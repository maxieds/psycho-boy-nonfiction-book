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n" sheetId="1" r:id="rId5"/>
    <sheet state="visible" name="Red" sheetId="2" r:id="rId6"/>
    <sheet state="visible" name="CustomGrn" sheetId="3" r:id="rId7"/>
    <sheet state="visible" name="CustomRed" sheetId="4" r:id="rId8"/>
    <sheet state="visible" name="LongGrn" sheetId="5" r:id="rId9"/>
    <sheet state="visible" name="LongRed" sheetId="6" r:id="rId10"/>
    <sheet state="visible" name="PartyGrn" sheetId="7" r:id="rId11"/>
    <sheet state="visible" name="PartyRed" sheetId="8" r:id="rId12"/>
    <sheet state="visible" name="PartyExpandGrn" sheetId="9" r:id="rId13"/>
    <sheet state="visible" name="PartyExpandRed" sheetId="10" r:id="rId14"/>
    <sheet state="visible" name="JrGrn" sheetId="11" r:id="rId15"/>
    <sheet state="visible" name="JrRed" sheetId="12" r:id="rId16"/>
  </sheets>
  <definedNames>
    <definedName name="Q">Grn!$D$1</definedName>
    <definedName hidden="1" localSheetId="0" name="_xlnm._FilterDatabase">Grn!$A$2:$K$616</definedName>
    <definedName hidden="1" localSheetId="1" name="_xlnm._FilterDatabase">Red!$A$2:$K$1828</definedName>
  </definedNames>
  <calcPr/>
</workbook>
</file>

<file path=xl/sharedStrings.xml><?xml version="1.0" encoding="utf-8"?>
<sst xmlns="http://schemas.openxmlformats.org/spreadsheetml/2006/main" count="9800" uniqueCount="7118">
  <si>
    <t>cards selected</t>
  </si>
  <si>
    <t>image links:</t>
  </si>
  <si>
    <t>"</t>
  </si>
  <si>
    <t>dataURI</t>
  </si>
  <si>
    <t>https://svgtext.heliohost.us/cgi-bin/gen.perl?text=</t>
  </si>
  <si>
    <t>Custom</t>
  </si>
  <si>
    <t>label</t>
  </si>
  <si>
    <t>extra</t>
  </si>
  <si>
    <t>json</t>
  </si>
  <si>
    <t>svg</t>
  </si>
  <si>
    <t>cgi</t>
  </si>
  <si>
    <t>sets</t>
  </si>
  <si>
    <t>l_len</t>
  </si>
  <si>
    <t>e_len</t>
  </si>
  <si>
    <t>cardType</t>
  </si>
  <si>
    <t>Absurd</t>
  </si>
  <si>
    <t xml:space="preserve">(ridiculous, senseless, foolish) </t>
  </si>
  <si>
    <t>[Expansion Set 2, Party Set]</t>
  </si>
  <si>
    <t>ubyt</t>
  </si>
  <si>
    <t>Abundant</t>
  </si>
  <si>
    <t xml:space="preserve">(plentiful, ample, numerous) </t>
  </si>
  <si>
    <t>[Expansion Set 2]</t>
  </si>
  <si>
    <t>mray</t>
  </si>
  <si>
    <t>Addictive</t>
  </si>
  <si>
    <t xml:space="preserve">(obsessive, consuming, captivating) </t>
  </si>
  <si>
    <t>[Expansion Set 1, Party Set]</t>
  </si>
  <si>
    <t>isjc</t>
  </si>
  <si>
    <t>Adorable</t>
  </si>
  <si>
    <t xml:space="preserve">(lovable, charming, delightful) </t>
  </si>
  <si>
    <t>[Basic Set, Party Set]</t>
  </si>
  <si>
    <t>goab</t>
  </si>
  <si>
    <t xml:space="preserve">(lovable, cute) </t>
  </si>
  <si>
    <t>[Junior 9+ (2nd)]</t>
  </si>
  <si>
    <t>slsm</t>
  </si>
  <si>
    <t>Aged</t>
  </si>
  <si>
    <t xml:space="preserve">(old, ancient, mature) </t>
  </si>
  <si>
    <t>mlcj</t>
  </si>
  <si>
    <t>Amazing</t>
  </si>
  <si>
    <t xml:space="preserve">(astonishing, surprising, wonderful) </t>
  </si>
  <si>
    <t>[Expansion Set 3, Party Expansion 1]</t>
  </si>
  <si>
    <t>ztwa</t>
  </si>
  <si>
    <t xml:space="preserve">(surprising, wonderful) </t>
  </si>
  <si>
    <t>[Junior 9+ (1st) &amp; (2nd)]</t>
  </si>
  <si>
    <t>bzlm</t>
  </si>
  <si>
    <t>American</t>
  </si>
  <si>
    <t xml:space="preserve">(U.S. Citizen, Yankee, Apple Pie) </t>
  </si>
  <si>
    <t>nrif</t>
  </si>
  <si>
    <t>Ancient</t>
  </si>
  <si>
    <t xml:space="preserve">(elderly, old, antique) </t>
  </si>
  <si>
    <t>uvnf</t>
  </si>
  <si>
    <t>Animated</t>
  </si>
  <si>
    <t xml:space="preserve">(lively, exuberant, spirited) </t>
  </si>
  <si>
    <t>kqkj</t>
  </si>
  <si>
    <t>Annoying</t>
  </si>
  <si>
    <t xml:space="preserve">(irritating, bothersome, teasing) </t>
  </si>
  <si>
    <t>vmzo</t>
  </si>
  <si>
    <t xml:space="preserve">(bothersome, irritating) </t>
  </si>
  <si>
    <t>mffo</t>
  </si>
  <si>
    <t>Appetizing</t>
  </si>
  <si>
    <t xml:space="preserve">(appealing, tasty, flavorful) </t>
  </si>
  <si>
    <t>aaqt</t>
  </si>
  <si>
    <t>Armed &amp; Dangerous</t>
  </si>
  <si>
    <t xml:space="preserve">(hazardous, threatening, fortified) </t>
  </si>
  <si>
    <t>[Expansion Set 4, Party Expansion 1]</t>
  </si>
  <si>
    <t>oxat</t>
  </si>
  <si>
    <t>Arrogant</t>
  </si>
  <si>
    <t xml:space="preserve">(egotistical, overconfident, conceited) </t>
  </si>
  <si>
    <t>gqob</t>
  </si>
  <si>
    <t>Attractive</t>
  </si>
  <si>
    <t xml:space="preserve">(alluring, engaging, good-looking) </t>
  </si>
  <si>
    <t>ropq</t>
  </si>
  <si>
    <t xml:space="preserve">(pretty, good-looking) </t>
  </si>
  <si>
    <t>myqb</t>
  </si>
  <si>
    <t>Awesome</t>
  </si>
  <si>
    <t xml:space="preserve">(amazing, remarkable, majestic) </t>
  </si>
  <si>
    <t>bhgv</t>
  </si>
  <si>
    <t>Awful</t>
  </si>
  <si>
    <t xml:space="preserve">(very bad, horrible) </t>
  </si>
  <si>
    <t>exdq</t>
  </si>
  <si>
    <t>Awkward</t>
  </si>
  <si>
    <t xml:space="preserve">(clumsy, bumbling, uncoordinated) </t>
  </si>
  <si>
    <t>butp</t>
  </si>
  <si>
    <t>Bad</t>
  </si>
  <si>
    <t xml:space="preserve">(rotten, hurtful) </t>
  </si>
  <si>
    <t>[Junior]</t>
  </si>
  <si>
    <t>uocu</t>
  </si>
  <si>
    <t>Bashful</t>
  </si>
  <si>
    <t xml:space="preserve">(shy, timid, modest) </t>
  </si>
  <si>
    <t>resm</t>
  </si>
  <si>
    <t>Beautiful</t>
  </si>
  <si>
    <t xml:space="preserve">(pretty, lovely) </t>
  </si>
  <si>
    <t>otvc</t>
  </si>
  <si>
    <t>Believable</t>
  </si>
  <si>
    <t xml:space="preserve">(trustworthy, credible, convincing) </t>
  </si>
  <si>
    <t>bedd</t>
  </si>
  <si>
    <t>Best</t>
  </si>
  <si>
    <t xml:space="preserve">(greatest, finest) </t>
  </si>
  <si>
    <t>tsuh</t>
  </si>
  <si>
    <t>Big</t>
  </si>
  <si>
    <t xml:space="preserve">(large, huge) </t>
  </si>
  <si>
    <t>nxwg</t>
  </si>
  <si>
    <t>Big &amp; Tall</t>
  </si>
  <si>
    <t xml:space="preserve">(large, bulky, gigantic) </t>
  </si>
  <si>
    <t>vces</t>
  </si>
  <si>
    <t>Bitter</t>
  </si>
  <si>
    <t xml:space="preserve">(sour, tart) </t>
  </si>
  <si>
    <t>nrvw</t>
  </si>
  <si>
    <t>Black &amp; Blue</t>
  </si>
  <si>
    <t xml:space="preserve">(bruised, battered, rough) </t>
  </si>
  <si>
    <t>onli</t>
  </si>
  <si>
    <t>Black &amp; White</t>
  </si>
  <si>
    <t xml:space="preserve">(indisputable, distinct, written) </t>
  </si>
  <si>
    <t>lsjb</t>
  </si>
  <si>
    <t>Bogus</t>
  </si>
  <si>
    <t xml:space="preserve">(fraudulent, phony, insincere) </t>
  </si>
  <si>
    <t>wotx</t>
  </si>
  <si>
    <t>Boisterous</t>
  </si>
  <si>
    <t xml:space="preserve">(loud, rambunctious, rowdy) </t>
  </si>
  <si>
    <t>zqui</t>
  </si>
  <si>
    <t>Bold</t>
  </si>
  <si>
    <t xml:space="preserve">(daring, brave, courageous) </t>
  </si>
  <si>
    <t>vbqa</t>
  </si>
  <si>
    <t xml:space="preserve">(daring, courageous) </t>
  </si>
  <si>
    <t>kuxn</t>
  </si>
  <si>
    <t>Boring</t>
  </si>
  <si>
    <t xml:space="preserve">(dull, tedious, monotonous) </t>
  </si>
  <si>
    <t>itho</t>
  </si>
  <si>
    <t xml:space="preserve">(not interesting, dull) </t>
  </si>
  <si>
    <t>gnvz</t>
  </si>
  <si>
    <t>Brains &amp; Brawn</t>
  </si>
  <si>
    <t xml:space="preserve">(solid, strong, capable) </t>
  </si>
  <si>
    <t>ydrs</t>
  </si>
  <si>
    <t>Brave</t>
  </si>
  <si>
    <t xml:space="preserve">(fearless, courageous) </t>
  </si>
  <si>
    <t>nhfa</t>
  </si>
  <si>
    <t>Bright</t>
  </si>
  <si>
    <t xml:space="preserve">(brilliant, radiant, shiny) </t>
  </si>
  <si>
    <t>xnpl</t>
  </si>
  <si>
    <t xml:space="preserve">(light, intelligent) </t>
  </si>
  <si>
    <t>kbbf</t>
  </si>
  <si>
    <t>Bright &amp; Shining</t>
  </si>
  <si>
    <t xml:space="preserve">(radiant, sparkling, gleaming) </t>
  </si>
  <si>
    <t>bkps</t>
  </si>
  <si>
    <t>Brilliant</t>
  </si>
  <si>
    <t xml:space="preserve">(dazzling, gleaming, intelligent) </t>
  </si>
  <si>
    <t>gmcf</t>
  </si>
  <si>
    <t>Brutal</t>
  </si>
  <si>
    <t xml:space="preserve">(cruel, crude, harsh) </t>
  </si>
  <si>
    <t>jjog</t>
  </si>
  <si>
    <t>Bumpy</t>
  </si>
  <si>
    <t xml:space="preserve">(lumpy, bouncy) </t>
  </si>
  <si>
    <t>ltnt</t>
  </si>
  <si>
    <t>Busy</t>
  </si>
  <si>
    <t xml:space="preserve">(occupied, meddlesome, engrossed) </t>
  </si>
  <si>
    <t>cqfe</t>
  </si>
  <si>
    <t xml:space="preserve">(active, unavailable) </t>
  </si>
  <si>
    <t>zbud</t>
  </si>
  <si>
    <t>Calm</t>
  </si>
  <si>
    <t xml:space="preserve">(peaceful, tranquil, placid) </t>
  </si>
  <si>
    <t>clus</t>
  </si>
  <si>
    <t xml:space="preserve">(peaceful, still) </t>
  </si>
  <si>
    <t>stok</t>
  </si>
  <si>
    <t>Careful</t>
  </si>
  <si>
    <t xml:space="preserve">(cautious, thoughtful) </t>
  </si>
  <si>
    <t>gpir</t>
  </si>
  <si>
    <t>Caring</t>
  </si>
  <si>
    <t xml:space="preserve">(concerned, interested) </t>
  </si>
  <si>
    <t>nbuc</t>
  </si>
  <si>
    <t>Casual</t>
  </si>
  <si>
    <t xml:space="preserve">(easygoing, blase, nonchalant) </t>
  </si>
  <si>
    <t>nawv</t>
  </si>
  <si>
    <t>Charismatic</t>
  </si>
  <si>
    <t xml:space="preserve">(alluring, magnetic, charming) </t>
  </si>
  <si>
    <t>mqqh</t>
  </si>
  <si>
    <t>Charming</t>
  </si>
  <si>
    <t xml:space="preserve">(captivating, enchanting, fascinating) </t>
  </si>
  <si>
    <t>wfte</t>
  </si>
  <si>
    <t xml:space="preserve">(pleasant, polite) </t>
  </si>
  <si>
    <t>rhcx</t>
  </si>
  <si>
    <t>Cheerful</t>
  </si>
  <si>
    <t xml:space="preserve">(happy, lively) </t>
  </si>
  <si>
    <t>ttzj</t>
  </si>
  <si>
    <t>Cheesy</t>
  </si>
  <si>
    <t xml:space="preserve">(trashy, tawdry, far-fetched) </t>
  </si>
  <si>
    <t>cvde</t>
  </si>
  <si>
    <t>Chewy</t>
  </si>
  <si>
    <t xml:space="preserve">(gummy, rubbery, stringy) </t>
  </si>
  <si>
    <t>uivm</t>
  </si>
  <si>
    <t xml:space="preserve">(gummy, rubbery) </t>
  </si>
  <si>
    <t>epjb</t>
  </si>
  <si>
    <t>Chubby</t>
  </si>
  <si>
    <t xml:space="preserve">(plump, round) </t>
  </si>
  <si>
    <t>atqp</t>
  </si>
  <si>
    <t>Chunky</t>
  </si>
  <si>
    <t xml:space="preserve">(lumpy, chubby, bumpy) </t>
  </si>
  <si>
    <t>eghm</t>
  </si>
  <si>
    <t>Classic</t>
  </si>
  <si>
    <t xml:space="preserve">(timeless, definitive, vintage) </t>
  </si>
  <si>
    <t>jrjd</t>
  </si>
  <si>
    <t>Clean</t>
  </si>
  <si>
    <t xml:space="preserve">(washed, pure, tidy) </t>
  </si>
  <si>
    <t>nccv</t>
  </si>
  <si>
    <t xml:space="preserve">(spotless, clear) </t>
  </si>
  <si>
    <t>syal</t>
  </si>
  <si>
    <t>Clear</t>
  </si>
  <si>
    <t xml:space="preserve">(understandable, uncluttered, transparent) </t>
  </si>
  <si>
    <t>[Expansion Set 1]</t>
  </si>
  <si>
    <t>wztf</t>
  </si>
  <si>
    <t>Clever</t>
  </si>
  <si>
    <t xml:space="preserve">(intelligent, ingenious, witty) </t>
  </si>
  <si>
    <t>pkmw</t>
  </si>
  <si>
    <t>Clueless</t>
  </si>
  <si>
    <t xml:space="preserve">(unaware, oblivious, ignorant) </t>
  </si>
  <si>
    <t>bkvc</t>
  </si>
  <si>
    <t>Clumsy</t>
  </si>
  <si>
    <t xml:space="preserve">(awkward, bumbling, uncoordinated) </t>
  </si>
  <si>
    <t>umfj</t>
  </si>
  <si>
    <t xml:space="preserve">(awkward, not graceful) </t>
  </si>
  <si>
    <t>mwss</t>
  </si>
  <si>
    <t>Cold</t>
  </si>
  <si>
    <t xml:space="preserve">(chilly, icy, aloof) </t>
  </si>
  <si>
    <t>mvpj</t>
  </si>
  <si>
    <t xml:space="preserve">(cool, chilly) </t>
  </si>
  <si>
    <t>efpl</t>
  </si>
  <si>
    <t>Colorful</t>
  </si>
  <si>
    <t xml:space="preserve">(vivid, brilliant, kaleidoscopic) </t>
  </si>
  <si>
    <t>bkhe</t>
  </si>
  <si>
    <t xml:space="preserve">(full of color, bright) </t>
  </si>
  <si>
    <t>mkch</t>
  </si>
  <si>
    <t>Comfortable</t>
  </si>
  <si>
    <t xml:space="preserve">(cozy, snug, restful) </t>
  </si>
  <si>
    <t>dylt</t>
  </si>
  <si>
    <t xml:space="preserve">(cozy, pleasant) </t>
  </si>
  <si>
    <t>qqtw</t>
  </si>
  <si>
    <t>Comical</t>
  </si>
  <si>
    <t xml:space="preserve">(funny, hilarious, amusing) </t>
  </si>
  <si>
    <t>wlfg</t>
  </si>
  <si>
    <t>Complicated</t>
  </si>
  <si>
    <t xml:space="preserve">(difficult, complex, involved) </t>
  </si>
  <si>
    <t>fwhr</t>
  </si>
  <si>
    <t>Conceited</t>
  </si>
  <si>
    <t xml:space="preserve">(vain, smug, self-centered) </t>
  </si>
  <si>
    <t>txfh</t>
  </si>
  <si>
    <t>Confused</t>
  </si>
  <si>
    <t xml:space="preserve">(muddled, bewildered, perplexed) </t>
  </si>
  <si>
    <t>bmps</t>
  </si>
  <si>
    <t>Confusing</t>
  </si>
  <si>
    <t xml:space="preserve">(puzzling, weird) </t>
  </si>
  <si>
    <t>ofks</t>
  </si>
  <si>
    <t>Controversial</t>
  </si>
  <si>
    <t xml:space="preserve">(contentious, disputable, debatable) </t>
  </si>
  <si>
    <t>ihwj</t>
  </si>
  <si>
    <t>Cool</t>
  </si>
  <si>
    <t xml:space="preserve">(chilly, hip, cold-blooded) </t>
  </si>
  <si>
    <t>dfns</t>
  </si>
  <si>
    <t xml:space="preserve">(not hot, chilled) </t>
  </si>
  <si>
    <t>hzse</t>
  </si>
  <si>
    <t>Cool &amp; Collected</t>
  </si>
  <si>
    <t xml:space="preserve">(controlled, composed, restrained) </t>
  </si>
  <si>
    <t>aukk</t>
  </si>
  <si>
    <t>Corrupt</t>
  </si>
  <si>
    <t xml:space="preserve">(dishonest, underhanded, shady) </t>
  </si>
  <si>
    <t>hmwr</t>
  </si>
  <si>
    <t>Cosmic</t>
  </si>
  <si>
    <t xml:space="preserve">(limitless, planetary, far out) </t>
  </si>
  <si>
    <t>qewx</t>
  </si>
  <si>
    <t>Cosmopolitan</t>
  </si>
  <si>
    <t>(sophisticated, urbane, well-informed)</t>
  </si>
  <si>
    <t>[Party Set]</t>
  </si>
  <si>
    <t>jcaf</t>
  </si>
  <si>
    <t>Costly</t>
  </si>
  <si>
    <t xml:space="preserve">(expensive, valuable) </t>
  </si>
  <si>
    <t>trbd</t>
  </si>
  <si>
    <t>Courageous</t>
  </si>
  <si>
    <t xml:space="preserve">(brave, gallant, dauntless) </t>
  </si>
  <si>
    <t>wbgv</t>
  </si>
  <si>
    <t xml:space="preserve">(brave, bold) </t>
  </si>
  <si>
    <t>lxtj</t>
  </si>
  <si>
    <t>Cowardly</t>
  </si>
  <si>
    <t xml:space="preserve">(fearful, afraid, spineless) </t>
  </si>
  <si>
    <t>hdis</t>
  </si>
  <si>
    <t>Cozy</t>
  </si>
  <si>
    <t xml:space="preserve">(comfortable, snug, warm) </t>
  </si>
  <si>
    <t>jpqh</t>
  </si>
  <si>
    <t xml:space="preserve">(comfortable, warm) </t>
  </si>
  <si>
    <t>dwdw</t>
  </si>
  <si>
    <t>Cranky</t>
  </si>
  <si>
    <t xml:space="preserve">(crabby, cantankerous, grouchy) </t>
  </si>
  <si>
    <t>tufn</t>
  </si>
  <si>
    <t>Crazed</t>
  </si>
  <si>
    <t xml:space="preserve">(insane, wild, deranged) </t>
  </si>
  <si>
    <t>ujwn</t>
  </si>
  <si>
    <t>Crazy</t>
  </si>
  <si>
    <t xml:space="preserve">(insane, bizarre, wacky) </t>
  </si>
  <si>
    <t>qqyo</t>
  </si>
  <si>
    <t xml:space="preserve">(silly, foolish) </t>
  </si>
  <si>
    <t>onif</t>
  </si>
  <si>
    <t>Creative</t>
  </si>
  <si>
    <t xml:space="preserve">(imaginative, artistic, original) </t>
  </si>
  <si>
    <t>yvyi</t>
  </si>
  <si>
    <t>Creepy</t>
  </si>
  <si>
    <t xml:space="preserve">(frightening, slithering, scary) </t>
  </si>
  <si>
    <t>rpjm</t>
  </si>
  <si>
    <t xml:space="preserve">(spooky, scary) </t>
  </si>
  <si>
    <t>tpaz</t>
  </si>
  <si>
    <t>Creepy &amp; Crawly</t>
  </si>
  <si>
    <t xml:space="preserve">(frightening, ghastly, icky) </t>
  </si>
  <si>
    <t>dpmg</t>
  </si>
  <si>
    <t>Crisp</t>
  </si>
  <si>
    <t xml:space="preserve">(brittle, brisk, fresh) </t>
  </si>
  <si>
    <t>uhdp</t>
  </si>
  <si>
    <t>Crisp &amp; Delicious</t>
  </si>
  <si>
    <t xml:space="preserve">(tasty, crunchy, savory) </t>
  </si>
  <si>
    <t>xvqy</t>
  </si>
  <si>
    <t>Crooked</t>
  </si>
  <si>
    <t xml:space="preserve">(bent, not straight) </t>
  </si>
  <si>
    <t>wimz</t>
  </si>
  <si>
    <t>Cruel</t>
  </si>
  <si>
    <t>(mean, harsh, merciless)</t>
  </si>
  <si>
    <t>cnds</t>
  </si>
  <si>
    <t>Cruel &amp; Unusual</t>
  </si>
  <si>
    <t xml:space="preserve">(barbaric, merciless, unwarranted) </t>
  </si>
  <si>
    <t>tush</t>
  </si>
  <si>
    <t>Crunchy</t>
  </si>
  <si>
    <t xml:space="preserve">(crispy, crackling) </t>
  </si>
  <si>
    <t>xxix</t>
  </si>
  <si>
    <t>Cuddly</t>
  </si>
  <si>
    <t xml:space="preserve">(loving, tender, huggable) </t>
  </si>
  <si>
    <t>wgix</t>
  </si>
  <si>
    <t xml:space="preserve">(cozy, soft) </t>
  </si>
  <si>
    <t>qlxc</t>
  </si>
  <si>
    <t>Curved</t>
  </si>
  <si>
    <t xml:space="preserve">(bent, rounded) </t>
  </si>
  <si>
    <t>brib</t>
  </si>
  <si>
    <t>Cut &amp; Dried</t>
  </si>
  <si>
    <t xml:space="preserve">(settled, obvious, indisputable) </t>
  </si>
  <si>
    <t>ghst</t>
  </si>
  <si>
    <t>Cute</t>
  </si>
  <si>
    <t xml:space="preserve">(pretty, perky, delightful) </t>
  </si>
  <si>
    <t>kfxs</t>
  </si>
  <si>
    <t>rpsm</t>
  </si>
  <si>
    <t>Cute &amp; Cuddly</t>
  </si>
  <si>
    <t xml:space="preserve">(adorable, precious, huggable) </t>
  </si>
  <si>
    <t>xgnh</t>
  </si>
  <si>
    <t>Dainty</t>
  </si>
  <si>
    <t xml:space="preserve">(delicate, fragile, thin) </t>
  </si>
  <si>
    <t>wuzn</t>
  </si>
  <si>
    <t xml:space="preserve">(delicate, elegant) </t>
  </si>
  <si>
    <t>bmzr</t>
  </si>
  <si>
    <t>Dangerous</t>
  </si>
  <si>
    <t xml:space="preserve">(risky, chancy, hazardous) </t>
  </si>
  <si>
    <t>cbpr</t>
  </si>
  <si>
    <t xml:space="preserve">(unsafe, risky) </t>
  </si>
  <si>
    <t>xlar</t>
  </si>
  <si>
    <t>Daring</t>
  </si>
  <si>
    <t>kkix</t>
  </si>
  <si>
    <t>Dark</t>
  </si>
  <si>
    <t xml:space="preserve">(without light, nearly black) </t>
  </si>
  <si>
    <t>zmpp</t>
  </si>
  <si>
    <t xml:space="preserve">(unlit, morbid, sinister) </t>
  </si>
  <si>
    <t>hdov</t>
  </si>
  <si>
    <t>Dashing</t>
  </si>
  <si>
    <t xml:space="preserve">(gallant, bold, elegant) </t>
  </si>
  <si>
    <t>bffi</t>
  </si>
  <si>
    <t>Dazed &amp; Confused</t>
  </si>
  <si>
    <t xml:space="preserve">(stunned, bewildered, disoriented) </t>
  </si>
  <si>
    <t>janu</t>
  </si>
  <si>
    <t>Dead</t>
  </si>
  <si>
    <t xml:space="preserve">(deceased, expired, unresponsive) </t>
  </si>
  <si>
    <t>tlud</t>
  </si>
  <si>
    <t>Dead &amp; Gone</t>
  </si>
  <si>
    <t xml:space="preserve">(deceased, defunct, passe) </t>
  </si>
  <si>
    <t>gevi</t>
  </si>
  <si>
    <t>Deadly</t>
  </si>
  <si>
    <t xml:space="preserve">(fatal, lethal, murderous) </t>
  </si>
  <si>
    <t>bedx</t>
  </si>
  <si>
    <t>Delicate</t>
  </si>
  <si>
    <t xml:space="preserve">(dainty, tender, elegant) </t>
  </si>
  <si>
    <t>pjng</t>
  </si>
  <si>
    <t xml:space="preserve">(breakable, dainty) </t>
  </si>
  <si>
    <t>hjxf</t>
  </si>
  <si>
    <t>Delicious</t>
  </si>
  <si>
    <t xml:space="preserve">(tasty, pleasing, appetizing) </t>
  </si>
  <si>
    <t>ymgu</t>
  </si>
  <si>
    <t xml:space="preserve">(tasty, pleasing) </t>
  </si>
  <si>
    <t>lild</t>
  </si>
  <si>
    <t>Delightful</t>
  </si>
  <si>
    <t xml:space="preserve">(pleasing, enjoyable, charming) </t>
  </si>
  <si>
    <t>ixmi</t>
  </si>
  <si>
    <t>Demanding</t>
  </si>
  <si>
    <t xml:space="preserve">(difficult, exacting, bothersome) </t>
  </si>
  <si>
    <t>dxgw</t>
  </si>
  <si>
    <t>Depressing</t>
  </si>
  <si>
    <t xml:space="preserve">(dismal, gloomy, sad) </t>
  </si>
  <si>
    <t>yhld</t>
  </si>
  <si>
    <t>Desperate</t>
  </si>
  <si>
    <t xml:space="preserve">(frantic, headlong, reckless) </t>
  </si>
  <si>
    <t>dymr</t>
  </si>
  <si>
    <t>Devious</t>
  </si>
  <si>
    <t xml:space="preserve">(sneaky, shifty, tricky) </t>
  </si>
  <si>
    <t>hupk</t>
  </si>
  <si>
    <t>Difficult</t>
  </si>
  <si>
    <t xml:space="preserve">(complicated, hard) </t>
  </si>
  <si>
    <t>cwri</t>
  </si>
  <si>
    <t>Dignified</t>
  </si>
  <si>
    <t xml:space="preserve">(stately, honorable, distinguished) </t>
  </si>
  <si>
    <t>trdw</t>
  </si>
  <si>
    <t>Dirty</t>
  </si>
  <si>
    <t xml:space="preserve">(unclean, soiled, impure) </t>
  </si>
  <si>
    <t>hbek</t>
  </si>
  <si>
    <t xml:space="preserve">(unclean, filthy) </t>
  </si>
  <si>
    <t>ctmc</t>
  </si>
  <si>
    <t>Disgusting</t>
  </si>
  <si>
    <t xml:space="preserve">(sickening, horrible) </t>
  </si>
  <si>
    <t>xhby</t>
  </si>
  <si>
    <t>Distinguished</t>
  </si>
  <si>
    <t xml:space="preserve">(dignified, extraordinary, acclaimed) </t>
  </si>
  <si>
    <t>axea</t>
  </si>
  <si>
    <t>Disturbing</t>
  </si>
  <si>
    <t xml:space="preserve">(unsettling, troubling, worrisome) </t>
  </si>
  <si>
    <t>svjq</t>
  </si>
  <si>
    <t>Down &amp; Dirty</t>
  </si>
  <si>
    <t xml:space="preserve">(nasty, vicious, unscrupulous) </t>
  </si>
  <si>
    <t>yeoq</t>
  </si>
  <si>
    <t>Down &amp; Out</t>
  </si>
  <si>
    <t xml:space="preserve">(destitute, impoverished, penniless) </t>
  </si>
  <si>
    <t>oaow</t>
  </si>
  <si>
    <t>Dramatic</t>
  </si>
  <si>
    <t xml:space="preserve">(exciting, sensational, theatrical) </t>
  </si>
  <si>
    <t>rcue</t>
  </si>
  <si>
    <t>Dreamy</t>
  </si>
  <si>
    <t xml:space="preserve">(fanciful, whimsical, heavenly) </t>
  </si>
  <si>
    <t>eixy</t>
  </si>
  <si>
    <t>Drunk &amp; Disorderly</t>
  </si>
  <si>
    <t xml:space="preserve">(intoxicated, unruly, rowdy) </t>
  </si>
  <si>
    <t>care</t>
  </si>
  <si>
    <t>Dull</t>
  </si>
  <si>
    <t>(boring, stupid, blunt)</t>
  </si>
  <si>
    <t>insn</t>
  </si>
  <si>
    <t xml:space="preserve">(not sharp, plain) </t>
  </si>
  <si>
    <t>dunv</t>
  </si>
  <si>
    <t>Dumb</t>
  </si>
  <si>
    <t xml:space="preserve">(silent, not smart) </t>
  </si>
  <si>
    <t>okfq</t>
  </si>
  <si>
    <t>Dumb &amp; Dumber</t>
  </si>
  <si>
    <t xml:space="preserve">(stupid, dull, rediculous) </t>
  </si>
  <si>
    <t>obzh</t>
  </si>
  <si>
    <t>Dysfunctional</t>
  </si>
  <si>
    <t xml:space="preserve">(impaired, damaged, maladjusted) </t>
  </si>
  <si>
    <t>jthr</t>
  </si>
  <si>
    <t>Earthy</t>
  </si>
  <si>
    <t xml:space="preserve">(unrefined, natural, crude) </t>
  </si>
  <si>
    <t>vmfp</t>
  </si>
  <si>
    <t>Easy</t>
  </si>
  <si>
    <t xml:space="preserve">(effortless, gentle, promiscuous) </t>
  </si>
  <si>
    <t>bhek</t>
  </si>
  <si>
    <t xml:space="preserve">(simple, not hard) </t>
  </si>
  <si>
    <t>gvwn</t>
  </si>
  <si>
    <t>Eccentric</t>
  </si>
  <si>
    <t xml:space="preserve">(peculiar, odd, bizarre) </t>
  </si>
  <si>
    <t>rvug</t>
  </si>
  <si>
    <t>Edgy</t>
  </si>
  <si>
    <t xml:space="preserve">(irritable, nervous, tense) </t>
  </si>
  <si>
    <t>kvtt</t>
  </si>
  <si>
    <t>Elderly</t>
  </si>
  <si>
    <t xml:space="preserve">(old, aged) </t>
  </si>
  <si>
    <t>oqxn</t>
  </si>
  <si>
    <t>Elitist</t>
  </si>
  <si>
    <t xml:space="preserve">(snobbish, arrogant, smug) </t>
  </si>
  <si>
    <t>tyfy</t>
  </si>
  <si>
    <t>Emotional</t>
  </si>
  <si>
    <t xml:space="preserve">(passionate, moving, volatile) </t>
  </si>
  <si>
    <t>erlx</t>
  </si>
  <si>
    <t>Enchanting</t>
  </si>
  <si>
    <t xml:space="preserve">(captivating, charming, spell-binding) </t>
  </si>
  <si>
    <t>akkm</t>
  </si>
  <si>
    <t>Endangered</t>
  </si>
  <si>
    <t xml:space="preserve">(at risk, threatened, unprotected) </t>
  </si>
  <si>
    <t>xmex</t>
  </si>
  <si>
    <t>Energetic</t>
  </si>
  <si>
    <t xml:space="preserve">(active, vigorous, forceful) </t>
  </si>
  <si>
    <t>pcqc</t>
  </si>
  <si>
    <t xml:space="preserve">(active, lively) </t>
  </si>
  <si>
    <t>syvn</t>
  </si>
  <si>
    <t>Enjoyable</t>
  </si>
  <si>
    <t xml:space="preserve">(pleasurable, entertaining, fun) </t>
  </si>
  <si>
    <t>btba</t>
  </si>
  <si>
    <t xml:space="preserve">(pleasant, fun) </t>
  </si>
  <si>
    <t>cjux</t>
  </si>
  <si>
    <t>Enormous</t>
  </si>
  <si>
    <t xml:space="preserve">(large, huge, gigantic) </t>
  </si>
  <si>
    <t>pgkp</t>
  </si>
  <si>
    <t xml:space="preserve">(huge, gigantic) </t>
  </si>
  <si>
    <t>duwr</t>
  </si>
  <si>
    <t>Entertaining</t>
  </si>
  <si>
    <t xml:space="preserve">(amusing, festive, enjoyable) </t>
  </si>
  <si>
    <t>kojk</t>
  </si>
  <si>
    <t xml:space="preserve">(interesting, fun) </t>
  </si>
  <si>
    <t>lcmk</t>
  </si>
  <si>
    <t>Eternal</t>
  </si>
  <si>
    <t xml:space="preserve">(timeless, immortal, perpetual) </t>
  </si>
  <si>
    <t>dfth</t>
  </si>
  <si>
    <t>European</t>
  </si>
  <si>
    <t xml:space="preserve">(of Europe, from Europe, about Europe) </t>
  </si>
  <si>
    <t>qhyd</t>
  </si>
  <si>
    <t>Evil</t>
  </si>
  <si>
    <t xml:space="preserve">(wicked, corrupt, depraved) </t>
  </si>
  <si>
    <t>amer</t>
  </si>
  <si>
    <t>Excellent</t>
  </si>
  <si>
    <t xml:space="preserve">(very good, outstanding) </t>
  </si>
  <si>
    <t>dnjn</t>
  </si>
  <si>
    <t>Exciting</t>
  </si>
  <si>
    <t xml:space="preserve">(thrilling, breathtaking, arousing) </t>
  </si>
  <si>
    <t>qmie</t>
  </si>
  <si>
    <t xml:space="preserve">(thrilling, interesting) </t>
  </si>
  <si>
    <t>hklo</t>
  </si>
  <si>
    <t>Exhausting</t>
  </si>
  <si>
    <t xml:space="preserve">(weakening, tiring, draining) </t>
  </si>
  <si>
    <t>qqje</t>
  </si>
  <si>
    <t>Expensive</t>
  </si>
  <si>
    <t xml:space="preserve">(costly, valuable, exorbitant) </t>
  </si>
  <si>
    <t>gkss</t>
  </si>
  <si>
    <t xml:space="preserve">(costly, high priced) </t>
  </si>
  <si>
    <t>pwyl</t>
  </si>
  <si>
    <t>Explosive</t>
  </si>
  <si>
    <t xml:space="preserve">(bursting, blasting, dangerous) </t>
  </si>
  <si>
    <t>ywqg</t>
  </si>
  <si>
    <t>Exquisite</t>
  </si>
  <si>
    <t xml:space="preserve">(excellent, refined, flawless) </t>
  </si>
  <si>
    <t>igdd</t>
  </si>
  <si>
    <t>Extreme</t>
  </si>
  <si>
    <t xml:space="preserve">(exceptional, superlative, radical) </t>
  </si>
  <si>
    <t>euzn</t>
  </si>
  <si>
    <t>Fabulous</t>
  </si>
  <si>
    <t xml:space="preserve">(marvelous, wonderful, incredible) </t>
  </si>
  <si>
    <t>xrfc</t>
  </si>
  <si>
    <t>Fake</t>
  </si>
  <si>
    <t xml:space="preserve">(unreal, counterfeit, deceptive) </t>
  </si>
  <si>
    <t>ikts</t>
  </si>
  <si>
    <t>Famous</t>
  </si>
  <si>
    <t xml:space="preserve">(well-known, celebrated, distinguished) </t>
  </si>
  <si>
    <t>ymub</t>
  </si>
  <si>
    <t xml:space="preserve">(well-known, important) </t>
  </si>
  <si>
    <t>uvjj</t>
  </si>
  <si>
    <t>Fancy</t>
  </si>
  <si>
    <t xml:space="preserve">(showy, ornate, decorated) </t>
  </si>
  <si>
    <t>ehut</t>
  </si>
  <si>
    <t xml:space="preserve">(decorated, elegant) </t>
  </si>
  <si>
    <t>gwpm</t>
  </si>
  <si>
    <t>Fantastic</t>
  </si>
  <si>
    <t xml:space="preserve">(awesome, outrageous, imaginary) </t>
  </si>
  <si>
    <t>jrdb</t>
  </si>
  <si>
    <t>Fascinating</t>
  </si>
  <si>
    <t xml:space="preserve">(interesting, attractive) </t>
  </si>
  <si>
    <t>yubk</t>
  </si>
  <si>
    <t>Fashionable</t>
  </si>
  <si>
    <t xml:space="preserve">(stylish, dashing, current) </t>
  </si>
  <si>
    <t>lgoo</t>
  </si>
  <si>
    <t>Fast</t>
  </si>
  <si>
    <t xml:space="preserve">(swift, quick, rapid) </t>
  </si>
  <si>
    <t>kvgh</t>
  </si>
  <si>
    <t xml:space="preserve">(speedy, quick) </t>
  </si>
  <si>
    <t>scqo</t>
  </si>
  <si>
    <t>Fast &amp; Furious</t>
  </si>
  <si>
    <t xml:space="preserve">(wild, reckless, breakneck) </t>
  </si>
  <si>
    <t>muyf</t>
  </si>
  <si>
    <t>Fast &amp; Loose</t>
  </si>
  <si>
    <t xml:space="preserve">(deceitful, fraudulent, reckless) </t>
  </si>
  <si>
    <t>rdyj</t>
  </si>
  <si>
    <t>Fat</t>
  </si>
  <si>
    <t xml:space="preserve">(plump, thick) </t>
  </si>
  <si>
    <t>edeh</t>
  </si>
  <si>
    <t>Fat &amp; Happy</t>
  </si>
  <si>
    <t xml:space="preserve">(content, satisfied, assured) </t>
  </si>
  <si>
    <t>kgyn</t>
  </si>
  <si>
    <t>Favorite</t>
  </si>
  <si>
    <t xml:space="preserve">(preferred, desired) </t>
  </si>
  <si>
    <t>rwds</t>
  </si>
  <si>
    <t>Fearful</t>
  </si>
  <si>
    <t xml:space="preserve">(scared, worried) </t>
  </si>
  <si>
    <t>xtso</t>
  </si>
  <si>
    <t>Feminine</t>
  </si>
  <si>
    <t xml:space="preserve">(womanly, ladylike, unmanly) </t>
  </si>
  <si>
    <t>npos</t>
  </si>
  <si>
    <t>Filthy</t>
  </si>
  <si>
    <t xml:space="preserve">(dirty, foul, unclean) </t>
  </si>
  <si>
    <t>elky</t>
  </si>
  <si>
    <t>Fine</t>
  </si>
  <si>
    <t xml:space="preserve">(worthy, delicate, all right) </t>
  </si>
  <si>
    <t>penr</t>
  </si>
  <si>
    <t>Flaky</t>
  </si>
  <si>
    <t xml:space="preserve">(foolish, eccentric, crispy) </t>
  </si>
  <si>
    <t>quqs</t>
  </si>
  <si>
    <t>Flamboyant</t>
  </si>
  <si>
    <t xml:space="preserve">(ornate, pompous, extravagant) </t>
  </si>
  <si>
    <t>vamo</t>
  </si>
  <si>
    <t>Flat</t>
  </si>
  <si>
    <t xml:space="preserve">(smooth, level) </t>
  </si>
  <si>
    <t>runr</t>
  </si>
  <si>
    <t>Flavorful</t>
  </si>
  <si>
    <t xml:space="preserve">(tasty, savory, pungent) </t>
  </si>
  <si>
    <t>ixnn</t>
  </si>
  <si>
    <t xml:space="preserve">(tasty, appetizing) </t>
  </si>
  <si>
    <t>qikl</t>
  </si>
  <si>
    <t>Flawed</t>
  </si>
  <si>
    <t xml:space="preserve">(imperfect, defective, unsound) </t>
  </si>
  <si>
    <t>xjhp</t>
  </si>
  <si>
    <t>Flirtatious</t>
  </si>
  <si>
    <t xml:space="preserve">(brazen, saucy, forward) </t>
  </si>
  <si>
    <t>leco</t>
  </si>
  <si>
    <t>Foot Loose &amp; Fancy Free</t>
  </si>
  <si>
    <t xml:space="preserve">(lighthearted, carefree, spontaneous) </t>
  </si>
  <si>
    <t>gsdx</t>
  </si>
  <si>
    <t>Foreign</t>
  </si>
  <si>
    <t xml:space="preserve">(alien, unfamiliar, exotic) </t>
  </si>
  <si>
    <t>hmdg</t>
  </si>
  <si>
    <t>Fragile</t>
  </si>
  <si>
    <t xml:space="preserve">(delicate, frail, breakable) </t>
  </si>
  <si>
    <t>mrpq</t>
  </si>
  <si>
    <t xml:space="preserve">(delicate, weak) </t>
  </si>
  <si>
    <t>hrlz</t>
  </si>
  <si>
    <t>Fragrant</t>
  </si>
  <si>
    <t xml:space="preserve">(aromatic, odorous, perfumed) </t>
  </si>
  <si>
    <t>mxgo</t>
  </si>
  <si>
    <t>Frail</t>
  </si>
  <si>
    <t xml:space="preserve">(fragile, weak) </t>
  </si>
  <si>
    <t>rakq</t>
  </si>
  <si>
    <t>Frazzled</t>
  </si>
  <si>
    <t xml:space="preserve">(exhausted, frayed, worn) </t>
  </si>
  <si>
    <t>syov</t>
  </si>
  <si>
    <t>Fresh</t>
  </si>
  <si>
    <t xml:space="preserve">(new, original, good) </t>
  </si>
  <si>
    <t>ulaw</t>
  </si>
  <si>
    <t xml:space="preserve">(new, clean) </t>
  </si>
  <si>
    <t>xaco</t>
  </si>
  <si>
    <t>Friendly</t>
  </si>
  <si>
    <t xml:space="preserve">(affectionate, comforting, welcoming) </t>
  </si>
  <si>
    <t>pabe</t>
  </si>
  <si>
    <t xml:space="preserve">(kind, nice) </t>
  </si>
  <si>
    <t>egfk</t>
  </si>
  <si>
    <t>Frightening</t>
  </si>
  <si>
    <t xml:space="preserve">(scary, horrifying, awesome) </t>
  </si>
  <si>
    <t>rpcr</t>
  </si>
  <si>
    <t xml:space="preserve">(scary, horrifying) </t>
  </si>
  <si>
    <t>auth</t>
  </si>
  <si>
    <t>Frivolous</t>
  </si>
  <si>
    <t>(trivial, silly, shallow)</t>
  </si>
  <si>
    <t>jnsq</t>
  </si>
  <si>
    <t>Fun</t>
  </si>
  <si>
    <t xml:space="preserve">(enjoyable, playful, amusing) </t>
  </si>
  <si>
    <t>yvjp</t>
  </si>
  <si>
    <t xml:space="preserve">(enjoyable, playful) </t>
  </si>
  <si>
    <t>cnve</t>
  </si>
  <si>
    <t>Funky</t>
  </si>
  <si>
    <t xml:space="preserve">(groovy, psychedelic, hip) </t>
  </si>
  <si>
    <t>nlsn</t>
  </si>
  <si>
    <t>Funny</t>
  </si>
  <si>
    <t xml:space="preserve">(amusing, comic, odd) </t>
  </si>
  <si>
    <t>hnfn</t>
  </si>
  <si>
    <t xml:space="preserve">(silly, goofy) </t>
  </si>
  <si>
    <t>bqup</t>
  </si>
  <si>
    <t>Furious</t>
  </si>
  <si>
    <t xml:space="preserve">(angry, raging, wild) </t>
  </si>
  <si>
    <t>ikzh</t>
  </si>
  <si>
    <t>Furry</t>
  </si>
  <si>
    <t xml:space="preserve">(hairy, fuzzy) </t>
  </si>
  <si>
    <t>ksml</t>
  </si>
  <si>
    <t>Fuzzy</t>
  </si>
  <si>
    <t xml:space="preserve">(downy, unclear, furry) </t>
  </si>
  <si>
    <t>whaf</t>
  </si>
  <si>
    <t xml:space="preserve">(furry, fuzz-covered) </t>
  </si>
  <si>
    <t>wutc</t>
  </si>
  <si>
    <t>Gentle</t>
  </si>
  <si>
    <t xml:space="preserve">(tame, mild) </t>
  </si>
  <si>
    <t>lcyj</t>
  </si>
  <si>
    <t>Gigantic</t>
  </si>
  <si>
    <t xml:space="preserve">(huge, large) </t>
  </si>
  <si>
    <t>rpev</t>
  </si>
  <si>
    <t>Glamorous</t>
  </si>
  <si>
    <t xml:space="preserve">(beautiful, dazzling, stylish) </t>
  </si>
  <si>
    <t>ipir</t>
  </si>
  <si>
    <t>Glitzy</t>
  </si>
  <si>
    <t xml:space="preserve">(flashy, showy, gaudy) </t>
  </si>
  <si>
    <t>kjnn</t>
  </si>
  <si>
    <t>Global</t>
  </si>
  <si>
    <t xml:space="preserve">(world-wide, spherical, universal) </t>
  </si>
  <si>
    <t>kigt</t>
  </si>
  <si>
    <t>Gloomy</t>
  </si>
  <si>
    <t xml:space="preserve">(dreary, depressing, sullen) </t>
  </si>
  <si>
    <t>bniq</t>
  </si>
  <si>
    <t>Glorious</t>
  </si>
  <si>
    <t xml:space="preserve">(magnificent, delightful, splendid) </t>
  </si>
  <si>
    <t>flyx</t>
  </si>
  <si>
    <t>Good</t>
  </si>
  <si>
    <t xml:space="preserve">(not bad, fine) </t>
  </si>
  <si>
    <t>faqf</t>
  </si>
  <si>
    <t>Goody-Goody</t>
  </si>
  <si>
    <t xml:space="preserve">(sweet, well-behaved, virtuous) </t>
  </si>
  <si>
    <t>lcjx</t>
  </si>
  <si>
    <t>Goofy</t>
  </si>
  <si>
    <t xml:space="preserve">(silly, foolish, giddy) </t>
  </si>
  <si>
    <t>essj</t>
  </si>
  <si>
    <t xml:space="preserve">(silly, weird) </t>
  </si>
  <si>
    <t>btov</t>
  </si>
  <si>
    <t>Gorgeous</t>
  </si>
  <si>
    <t xml:space="preserve">(beautiful, stunning, magnificent) </t>
  </si>
  <si>
    <t>qmjy</t>
  </si>
  <si>
    <t xml:space="preserve">(beautiful, dazzling) </t>
  </si>
  <si>
    <t>dggn</t>
  </si>
  <si>
    <t>Graceful</t>
  </si>
  <si>
    <t xml:space="preserve">(elegant, supple, limber) </t>
  </si>
  <si>
    <t>yiio</t>
  </si>
  <si>
    <t xml:space="preserve">(elegant, flowing) </t>
  </si>
  <si>
    <t>ioew</t>
  </si>
  <si>
    <t>Great</t>
  </si>
  <si>
    <t xml:space="preserve">(very good, important) </t>
  </si>
  <si>
    <t>ygjq</t>
  </si>
  <si>
    <t>Grueling</t>
  </si>
  <si>
    <t xml:space="preserve">(demanding, exhausting, strenuous) </t>
  </si>
  <si>
    <t>gtdi</t>
  </si>
  <si>
    <t>Gruesome</t>
  </si>
  <si>
    <t xml:space="preserve">(ghastly, hideous, grisly) </t>
  </si>
  <si>
    <t>xnad</t>
  </si>
  <si>
    <t>Grungy</t>
  </si>
  <si>
    <t xml:space="preserve">(dirty, shabby, seedy) </t>
  </si>
  <si>
    <t>luoa</t>
  </si>
  <si>
    <t>Hairy</t>
  </si>
  <si>
    <t xml:space="preserve">(not bald, furry) </t>
  </si>
  <si>
    <t>tgqh</t>
  </si>
  <si>
    <t>Hale &amp; Hearty</t>
  </si>
  <si>
    <t xml:space="preserve">(healthy, vigorous, robust) </t>
  </si>
  <si>
    <t>xrsx</t>
  </si>
  <si>
    <t>Handsome</t>
  </si>
  <si>
    <t xml:space="preserve">(attractive, elegant, fine) </t>
  </si>
  <si>
    <t>qovt</t>
  </si>
  <si>
    <t>Handy</t>
  </si>
  <si>
    <t xml:space="preserve">(convenient, available, capable) </t>
  </si>
  <si>
    <t>shir</t>
  </si>
  <si>
    <t xml:space="preserve">(useful, helpful) </t>
  </si>
  <si>
    <t>nhcb</t>
  </si>
  <si>
    <t>Happy</t>
  </si>
  <si>
    <t xml:space="preserve">(glad, jolly) </t>
  </si>
  <si>
    <t>byxl</t>
  </si>
  <si>
    <t>Hard</t>
  </si>
  <si>
    <t xml:space="preserve">(not soft, difficult) </t>
  </si>
  <si>
    <t>vmye</t>
  </si>
  <si>
    <t>Hardworking</t>
  </si>
  <si>
    <t xml:space="preserve">(industrious, diligent, busy) </t>
  </si>
  <si>
    <t>uvpy</t>
  </si>
  <si>
    <t xml:space="preserve">(industrious, careful) </t>
  </si>
  <si>
    <t>rryv</t>
  </si>
  <si>
    <t>Harmful</t>
  </si>
  <si>
    <t xml:space="preserve">(hurtful, unhealthy, damaging) </t>
  </si>
  <si>
    <t>eebx</t>
  </si>
  <si>
    <t xml:space="preserve">(hurtful, damaging) </t>
  </si>
  <si>
    <t>edvo</t>
  </si>
  <si>
    <t>Harsh</t>
  </si>
  <si>
    <t xml:space="preserve">(severe, glaring, brutal) </t>
  </si>
  <si>
    <t>yfkr</t>
  </si>
  <si>
    <t>Haunting</t>
  </si>
  <si>
    <t xml:space="preserve">(unforgettable, bewitching, unearthly) </t>
  </si>
  <si>
    <t>pyyp</t>
  </si>
  <si>
    <t>Hazardous</t>
  </si>
  <si>
    <t xml:space="preserve">(risky, dangerous, perilous) </t>
  </si>
  <si>
    <t>vqgn</t>
  </si>
  <si>
    <t>Healthy</t>
  </si>
  <si>
    <t xml:space="preserve">(hearty, robust, wholesome) </t>
  </si>
  <si>
    <t>dtjr</t>
  </si>
  <si>
    <t xml:space="preserve">(not sick, well) </t>
  </si>
  <si>
    <t>mixr</t>
  </si>
  <si>
    <t>Heartless</t>
  </si>
  <si>
    <t xml:space="preserve">(insensitive, cruel, uncaring) </t>
  </si>
  <si>
    <t>jfpo</t>
  </si>
  <si>
    <t>Heavy</t>
  </si>
  <si>
    <t xml:space="preserve">(not light, bulky) </t>
  </si>
  <si>
    <t>cyqy</t>
  </si>
  <si>
    <t>Helpful</t>
  </si>
  <si>
    <t xml:space="preserve">(useful, assisting) </t>
  </si>
  <si>
    <t>suhi</t>
  </si>
  <si>
    <t>High &amp; Dry</t>
  </si>
  <si>
    <t xml:space="preserve">(abandoned, alone, helpless) </t>
  </si>
  <si>
    <t>ofgj</t>
  </si>
  <si>
    <t>High &amp; Low</t>
  </si>
  <si>
    <t xml:space="preserve">(everywhere, universally, all over) </t>
  </si>
  <si>
    <t>yvtu</t>
  </si>
  <si>
    <t>High &amp; Mighty</t>
  </si>
  <si>
    <t xml:space="preserve">(arrogant, conceited, vain) </t>
  </si>
  <si>
    <t>nqxc</t>
  </si>
  <si>
    <t>Hilarious</t>
  </si>
  <si>
    <t xml:space="preserve">(funny, witty, amusing) </t>
  </si>
  <si>
    <t>teji</t>
  </si>
  <si>
    <t>Hit &amp; Miss</t>
  </si>
  <si>
    <t xml:space="preserve">(sporadic, unreliable, erratic) </t>
  </si>
  <si>
    <t>wkty</t>
  </si>
  <si>
    <t>Honest</t>
  </si>
  <si>
    <t xml:space="preserve">(trustworthy, truthful) </t>
  </si>
  <si>
    <t>rdoy</t>
  </si>
  <si>
    <t>Honorable</t>
  </si>
  <si>
    <t xml:space="preserve">(honest, just, virtuous) </t>
  </si>
  <si>
    <t>sbxe</t>
  </si>
  <si>
    <t>Hopeless</t>
  </si>
  <si>
    <t xml:space="preserve">(pessimistic, desperate, downhearted) </t>
  </si>
  <si>
    <t>eybw</t>
  </si>
  <si>
    <t>Horrible</t>
  </si>
  <si>
    <t xml:space="preserve">(frightening, awful) </t>
  </si>
  <si>
    <t>mvli</t>
  </si>
  <si>
    <t>Horrifying</t>
  </si>
  <si>
    <t xml:space="preserve">(offensive, abominable, disgusting) </t>
  </si>
  <si>
    <t>xpuk</t>
  </si>
  <si>
    <t>Hostile</t>
  </si>
  <si>
    <t xml:space="preserve">(antagonistic, aggressive, warlike) </t>
  </si>
  <si>
    <t>zsgg</t>
  </si>
  <si>
    <t>Hot</t>
  </si>
  <si>
    <t xml:space="preserve">(blazing, heated, spicy) </t>
  </si>
  <si>
    <t>lrpt</t>
  </si>
  <si>
    <t xml:space="preserve">(very warm, heated) </t>
  </si>
  <si>
    <t>vmvj</t>
  </si>
  <si>
    <t>Hot &amp; Bothered</t>
  </si>
  <si>
    <t xml:space="preserve">(annoyed, irritated, provoked) </t>
  </si>
  <si>
    <t>yshe</t>
  </si>
  <si>
    <t>Hot &amp; Cold</t>
  </si>
  <si>
    <t xml:space="preserve">(ambivalent, indecisive, varying) </t>
  </si>
  <si>
    <t>lbyw</t>
  </si>
  <si>
    <t>Hot &amp; Heavy</t>
  </si>
  <si>
    <t xml:space="preserve">(passionate, momentous, serious) </t>
  </si>
  <si>
    <t>ynyg</t>
  </si>
  <si>
    <t>Hot &amp; Muggy</t>
  </si>
  <si>
    <t xml:space="preserve">(sultry, humid, oppressive) </t>
  </si>
  <si>
    <t>cdla</t>
  </si>
  <si>
    <t>Hot &amp; Spicy</t>
  </si>
  <si>
    <t xml:space="preserve">(zesty, stimulating, pungent) </t>
  </si>
  <si>
    <t>kpzs</t>
  </si>
  <si>
    <t>Hot &amp; Sweaty</t>
  </si>
  <si>
    <t xml:space="preserve">(sweltering, intense, perspiring) </t>
  </si>
  <si>
    <t>rwxi</t>
  </si>
  <si>
    <t>Huge</t>
  </si>
  <si>
    <t xml:space="preserve">(gigantic, immense, important) </t>
  </si>
  <si>
    <t>kpen</t>
  </si>
  <si>
    <t xml:space="preserve">(big, large) </t>
  </si>
  <si>
    <t>ddbb</t>
  </si>
  <si>
    <t>Humorous</t>
  </si>
  <si>
    <t xml:space="preserve">(funny, amusing, comical) </t>
  </si>
  <si>
    <t>ibyj</t>
  </si>
  <si>
    <t>Icky</t>
  </si>
  <si>
    <t xml:space="preserve">(sickening, disgusting, repulsive) </t>
  </si>
  <si>
    <t>nxfc</t>
  </si>
  <si>
    <t>Ideal</t>
  </si>
  <si>
    <t xml:space="preserve">(perfect, flawless, model) </t>
  </si>
  <si>
    <t>gccn</t>
  </si>
  <si>
    <t>Idiotic</t>
  </si>
  <si>
    <t xml:space="preserve">(foolish, dumb, moronic) </t>
  </si>
  <si>
    <t>glrc</t>
  </si>
  <si>
    <t>Important</t>
  </si>
  <si>
    <t xml:space="preserve">(significant, substantial, momentous) </t>
  </si>
  <si>
    <t>gneg</t>
  </si>
  <si>
    <t xml:space="preserve">(valuable, worthwhile) </t>
  </si>
  <si>
    <t>jwoq</t>
  </si>
  <si>
    <t>Industrious</t>
  </si>
  <si>
    <t xml:space="preserve">(diligent, busy, hard-working) </t>
  </si>
  <si>
    <t>xbed</t>
  </si>
  <si>
    <t>Influential</t>
  </si>
  <si>
    <t xml:space="preserve">(powerful, prominent, important) </t>
  </si>
  <si>
    <t>jelm</t>
  </si>
  <si>
    <t>Innocent</t>
  </si>
  <si>
    <t xml:space="preserve">(guiltless, pure, naive) </t>
  </si>
  <si>
    <t>uqzl</t>
  </si>
  <si>
    <t>Insane</t>
  </si>
  <si>
    <t xml:space="preserve">(psychotic, deranged, mad) </t>
  </si>
  <si>
    <t>xjpp</t>
  </si>
  <si>
    <t>Inspirational</t>
  </si>
  <si>
    <t xml:space="preserve">(exhilarating, inspiring, stimulating) </t>
  </si>
  <si>
    <t>jlfe</t>
  </si>
  <si>
    <t>Insulting</t>
  </si>
  <si>
    <t xml:space="preserve">(offending, discourteous, rude) </t>
  </si>
  <si>
    <t>auku</t>
  </si>
  <si>
    <t>Intelligent</t>
  </si>
  <si>
    <t xml:space="preserve">(bright, smart, brainy) </t>
  </si>
  <si>
    <t>kksh</t>
  </si>
  <si>
    <t>Intense</t>
  </si>
  <si>
    <t xml:space="preserve">(extreme, passionate, strained) </t>
  </si>
  <si>
    <t>dwek</t>
  </si>
  <si>
    <t>Interesting</t>
  </si>
  <si>
    <t xml:space="preserve">(fascinating, exciting) </t>
  </si>
  <si>
    <t>ndhj</t>
  </si>
  <si>
    <t>Irresistible</t>
  </si>
  <si>
    <t xml:space="preserve">(overpowering, overwhelming, compelling) </t>
  </si>
  <si>
    <t>wwfv</t>
  </si>
  <si>
    <t>Irritating</t>
  </si>
  <si>
    <t xml:space="preserve">(annoying, troublesome, provoking) </t>
  </si>
  <si>
    <t>dwsv</t>
  </si>
  <si>
    <t>Jolly</t>
  </si>
  <si>
    <t xml:space="preserve">(cheerful, joyous, merry) </t>
  </si>
  <si>
    <t>oxna</t>
  </si>
  <si>
    <t xml:space="preserve">(cheerful, fun) </t>
  </si>
  <si>
    <t>lgqk</t>
  </si>
  <si>
    <t>Juicy</t>
  </si>
  <si>
    <t xml:space="preserve">(drippy, luscious, tantalizing) </t>
  </si>
  <si>
    <t>yhhz</t>
  </si>
  <si>
    <t xml:space="preserve">(wet, squishy) </t>
  </si>
  <si>
    <t>xxmx</t>
  </si>
  <si>
    <t>Kind</t>
  </si>
  <si>
    <t xml:space="preserve">(nice, helpful) </t>
  </si>
  <si>
    <t>lshh</t>
  </si>
  <si>
    <t>Large</t>
  </si>
  <si>
    <t xml:space="preserve">(big, not small) </t>
  </si>
  <si>
    <t>bdsu</t>
  </si>
  <si>
    <t>Lazy</t>
  </si>
  <si>
    <t xml:space="preserve">(lifeless, apathetic, weary) </t>
  </si>
  <si>
    <t>hwpv</t>
  </si>
  <si>
    <t xml:space="preserve">(slow, careless) </t>
  </si>
  <si>
    <t>iemt</t>
  </si>
  <si>
    <t>Lean &amp; Mean</t>
  </si>
  <si>
    <t xml:space="preserve">(vigorous, fit, efficient) </t>
  </si>
  <si>
    <t>pati</t>
  </si>
  <si>
    <t>Legendary</t>
  </si>
  <si>
    <t xml:space="preserve">(famous, distinctive, prominent) </t>
  </si>
  <si>
    <t>gvix</t>
  </si>
  <si>
    <t>Lewd &amp; Lascivious</t>
  </si>
  <si>
    <t xml:space="preserve">(lustful, obscene, indecent) </t>
  </si>
  <si>
    <t>mwpr</t>
  </si>
  <si>
    <t>Light</t>
  </si>
  <si>
    <t xml:space="preserve">(not dark, not heavy) </t>
  </si>
  <si>
    <t>uwun</t>
  </si>
  <si>
    <t>Light &amp; Fluffy</t>
  </si>
  <si>
    <t xml:space="preserve">(billowy, airy, soft) </t>
  </si>
  <si>
    <t>bcur</t>
  </si>
  <si>
    <t>Little</t>
  </si>
  <si>
    <t xml:space="preserve">(small, tiny) </t>
  </si>
  <si>
    <t>olmt</t>
  </si>
  <si>
    <t>Lively</t>
  </si>
  <si>
    <t xml:space="preserve">(cheerful, active) </t>
  </si>
  <si>
    <t>sqbb</t>
  </si>
  <si>
    <t>Long</t>
  </si>
  <si>
    <t xml:space="preserve">(not short, stretched) </t>
  </si>
  <si>
    <t>dosn</t>
  </si>
  <si>
    <t>Long &amp; Lean</t>
  </si>
  <si>
    <t xml:space="preserve">(slender, lanky, wiry) </t>
  </si>
  <si>
    <t>zjul</t>
  </si>
  <si>
    <t>Loud</t>
  </si>
  <si>
    <t xml:space="preserve">(noisy, boisterous, deafening) </t>
  </si>
  <si>
    <t>kpbw</t>
  </si>
  <si>
    <t xml:space="preserve">(noisy, not quiet) </t>
  </si>
  <si>
    <t>nfmq</t>
  </si>
  <si>
    <t>Loud &amp; Clear</t>
  </si>
  <si>
    <t xml:space="preserve">(definite, explicit, unequivocal) </t>
  </si>
  <si>
    <t>fxvb</t>
  </si>
  <si>
    <t>Lovable</t>
  </si>
  <si>
    <t xml:space="preserve">(adorable, endearing, cuddly) </t>
  </si>
  <si>
    <t>fyov</t>
  </si>
  <si>
    <t xml:space="preserve">(adorable, enchanting) </t>
  </si>
  <si>
    <t>ptph</t>
  </si>
  <si>
    <t>Loving</t>
  </si>
  <si>
    <t xml:space="preserve">(caring, kind) </t>
  </si>
  <si>
    <t>yvoa</t>
  </si>
  <si>
    <t>Lucky</t>
  </si>
  <si>
    <t xml:space="preserve">(fortunate, serendipitous, favored) </t>
  </si>
  <si>
    <t>zume</t>
  </si>
  <si>
    <t xml:space="preserve">(fortunate, favored) </t>
  </si>
  <si>
    <t>nshf</t>
  </si>
  <si>
    <t>Lumpy</t>
  </si>
  <si>
    <t xml:space="preserve">(bumpy, clumpy) </t>
  </si>
  <si>
    <t>ujcd</t>
  </si>
  <si>
    <t>Luscious</t>
  </si>
  <si>
    <t xml:space="preserve">(delicious, savory, juicy) </t>
  </si>
  <si>
    <t>pyqr</t>
  </si>
  <si>
    <t>Luxurious</t>
  </si>
  <si>
    <t xml:space="preserve">(opulent, lavish, sumptuous) </t>
  </si>
  <si>
    <t>vogv</t>
  </si>
  <si>
    <t>Magical</t>
  </si>
  <si>
    <t xml:space="preserve">(enchanting, miraculous, marvelous) </t>
  </si>
  <si>
    <t>cnam</t>
  </si>
  <si>
    <t xml:space="preserve">(mysterious, delightful) </t>
  </si>
  <si>
    <t>uwxo</t>
  </si>
  <si>
    <t>Manly</t>
  </si>
  <si>
    <t xml:space="preserve">(masculine, virile, strong) </t>
  </si>
  <si>
    <t>goqa</t>
  </si>
  <si>
    <t>Masculine</t>
  </si>
  <si>
    <t xml:space="preserve">(male, manly, virile) </t>
  </si>
  <si>
    <t>whfi</t>
  </si>
  <si>
    <t>Mean</t>
  </si>
  <si>
    <t xml:space="preserve">(malicious, ill-tempered, petty) </t>
  </si>
  <si>
    <t>tsto</t>
  </si>
  <si>
    <t xml:space="preserve">(unkind, nasty) </t>
  </si>
  <si>
    <t>eytm</t>
  </si>
  <si>
    <t>Meek</t>
  </si>
  <si>
    <t xml:space="preserve">(shy, mild, timid) </t>
  </si>
  <si>
    <t>vhzn</t>
  </si>
  <si>
    <t>Meek &amp; Mild</t>
  </si>
  <si>
    <t xml:space="preserve">(timid, docile, gentle) </t>
  </si>
  <si>
    <t>vmbs</t>
  </si>
  <si>
    <t>Melodramatic</t>
  </si>
  <si>
    <t>(theatrical, sensational, showy)</t>
  </si>
  <si>
    <t>vcwm</t>
  </si>
  <si>
    <t>Mesmerizing</t>
  </si>
  <si>
    <t xml:space="preserve">(fascinating, hypnotizing, charming) </t>
  </si>
  <si>
    <t>mgxj</t>
  </si>
  <si>
    <t>Messy</t>
  </si>
  <si>
    <t xml:space="preserve">(sloppy, disorderly, unclean) </t>
  </si>
  <si>
    <t>qyxx</t>
  </si>
  <si>
    <t xml:space="preserve">(sloppy, dirty) </t>
  </si>
  <si>
    <t>ansp</t>
  </si>
  <si>
    <t>Mischievous</t>
  </si>
  <si>
    <t xml:space="preserve">(naughty, prankish, sly) </t>
  </si>
  <si>
    <t>myuv</t>
  </si>
  <si>
    <t>Miserable</t>
  </si>
  <si>
    <t xml:space="preserve">(wretched, pitiful, forlorn) </t>
  </si>
  <si>
    <t>ahvs</t>
  </si>
  <si>
    <t xml:space="preserve">(unhappy, sorrowful) </t>
  </si>
  <si>
    <t>louq</t>
  </si>
  <si>
    <t>Misunderstood</t>
  </si>
  <si>
    <t xml:space="preserve">(not grasped, not learned, not absorbed) </t>
  </si>
  <si>
    <t>oxog</t>
  </si>
  <si>
    <t>Modern</t>
  </si>
  <si>
    <t xml:space="preserve">(contemporary, fashionable, trendy) </t>
  </si>
  <si>
    <t>dnoh</t>
  </si>
  <si>
    <t>Mushy</t>
  </si>
  <si>
    <t xml:space="preserve">(soft, squishy) </t>
  </si>
  <si>
    <t>wgaz</t>
  </si>
  <si>
    <t>Mysterious</t>
  </si>
  <si>
    <t xml:space="preserve">(secretive, puzzling, strange) </t>
  </si>
  <si>
    <t>sbrf</t>
  </si>
  <si>
    <t xml:space="preserve">(strange, secretive) </t>
  </si>
  <si>
    <t>atjp</t>
  </si>
  <si>
    <t>Mystical</t>
  </si>
  <si>
    <t xml:space="preserve">(spiritual, secretive, esoteric) </t>
  </si>
  <si>
    <t>lpeq</t>
  </si>
  <si>
    <t>Naive</t>
  </si>
  <si>
    <t xml:space="preserve">(unsophisticated, childlike, simple) </t>
  </si>
  <si>
    <t>unnf</t>
  </si>
  <si>
    <t>Nasty</t>
  </si>
  <si>
    <t xml:space="preserve">(mean, inclement, offensive) </t>
  </si>
  <si>
    <t>lfcq</t>
  </si>
  <si>
    <t xml:space="preserve">(mean, wicked) </t>
  </si>
  <si>
    <t>ynac</t>
  </si>
  <si>
    <t>Natural</t>
  </si>
  <si>
    <t xml:space="preserve">(pure, simple, unadorned) </t>
  </si>
  <si>
    <t>tqgn</t>
  </si>
  <si>
    <t xml:space="preserve">(normal, pure) </t>
  </si>
  <si>
    <t>ilwk</t>
  </si>
  <si>
    <t>Naughty &amp; Nice</t>
  </si>
  <si>
    <t xml:space="preserve">(impish, mischievous, playful) </t>
  </si>
  <si>
    <t>guaj</t>
  </si>
  <si>
    <t>Neat</t>
  </si>
  <si>
    <t xml:space="preserve">(tidy, orderly, cool) </t>
  </si>
  <si>
    <t>fumw</t>
  </si>
  <si>
    <t xml:space="preserve">(clean, orderly) </t>
  </si>
  <si>
    <t>wwhr</t>
  </si>
  <si>
    <t>Neat &amp; Clean</t>
  </si>
  <si>
    <t xml:space="preserve">(spotless, tidy, shipshape) </t>
  </si>
  <si>
    <t>kmbk</t>
  </si>
  <si>
    <t>Neglected</t>
  </si>
  <si>
    <t xml:space="preserve">(ignored, disregarded, rejected) </t>
  </si>
  <si>
    <t>necr</t>
  </si>
  <si>
    <t>Nerdy</t>
  </si>
  <si>
    <t xml:space="preserve">(unhip, uncool, dorky) </t>
  </si>
  <si>
    <t>xjxb</t>
  </si>
  <si>
    <t>New</t>
  </si>
  <si>
    <t xml:space="preserve">(fresh, modern) </t>
  </si>
  <si>
    <t>xbvk</t>
  </si>
  <si>
    <t>New &amp; Improved</t>
  </si>
  <si>
    <t xml:space="preserve">(upgraded, enhanced, revised) </t>
  </si>
  <si>
    <t>tadj</t>
  </si>
  <si>
    <t>Nice</t>
  </si>
  <si>
    <t xml:space="preserve">(pleasant, kind) </t>
  </si>
  <si>
    <t>eptq</t>
  </si>
  <si>
    <t>Noisy</t>
  </si>
  <si>
    <t xml:space="preserve">(loud, not quiet) </t>
  </si>
  <si>
    <t>ffhp</t>
  </si>
  <si>
    <t>Normal</t>
  </si>
  <si>
    <t xml:space="preserve">(usual, common, ordinary) </t>
  </si>
  <si>
    <t>babv</t>
  </si>
  <si>
    <t>Nutty</t>
  </si>
  <si>
    <t xml:space="preserve">(kooky, foolish, nutlike) </t>
  </si>
  <si>
    <t>nhoe</t>
  </si>
  <si>
    <t>Obnoxious</t>
  </si>
  <si>
    <t xml:space="preserve">(offensive, repulsive, annoying) </t>
  </si>
  <si>
    <t>kdcd</t>
  </si>
  <si>
    <t>Obscene</t>
  </si>
  <si>
    <t xml:space="preserve">(offensive, indecent, lewd) </t>
  </si>
  <si>
    <t>yzcv</t>
  </si>
  <si>
    <t>Odd</t>
  </si>
  <si>
    <t xml:space="preserve">(different, eccentric, bizarre) </t>
  </si>
  <si>
    <t>edot</t>
  </si>
  <si>
    <t xml:space="preserve">(unusual, strange) </t>
  </si>
  <si>
    <t>mued</t>
  </si>
  <si>
    <t>Offensive</t>
  </si>
  <si>
    <t xml:space="preserve">(insulting, vulgar, attacking) </t>
  </si>
  <si>
    <t>crgq</t>
  </si>
  <si>
    <t>Old</t>
  </si>
  <si>
    <t xml:space="preserve">(aged, elderly, antiquated) </t>
  </si>
  <si>
    <t>tnqv</t>
  </si>
  <si>
    <t xml:space="preserve">(not new, used) </t>
  </si>
  <si>
    <t>hkws</t>
  </si>
  <si>
    <t>Old &amp; Cranky</t>
  </si>
  <si>
    <t xml:space="preserve">(crabby, cantankerous, aged) </t>
  </si>
  <si>
    <t>vjfj</t>
  </si>
  <si>
    <t>Old &amp; Wise</t>
  </si>
  <si>
    <t xml:space="preserve">(experienced, judicious, shrewd) </t>
  </si>
  <si>
    <t>xioq</t>
  </si>
  <si>
    <t>On The Up &amp; Up</t>
  </si>
  <si>
    <t xml:space="preserve">(trustworthy, irreproachable, honest) </t>
  </si>
  <si>
    <t>hgpl</t>
  </si>
  <si>
    <t>Orderly</t>
  </si>
  <si>
    <t xml:space="preserve">(methodical, formal, systematic) </t>
  </si>
  <si>
    <t>bkhq</t>
  </si>
  <si>
    <t>Ordinary</t>
  </si>
  <si>
    <t xml:space="preserve">(usual, common, plain) </t>
  </si>
  <si>
    <t>[Basic Set (2001 Printing Forward), Party Set]</t>
  </si>
  <si>
    <t>ieoi</t>
  </si>
  <si>
    <t xml:space="preserve">(normal, common) </t>
  </si>
  <si>
    <t>tdpq</t>
  </si>
  <si>
    <t>Organic</t>
  </si>
  <si>
    <t xml:space="preserve">(natural, clean, biological) </t>
  </si>
  <si>
    <t>uemx</t>
  </si>
  <si>
    <t>Outrageous</t>
  </si>
  <si>
    <t xml:space="preserve">(shocking, scandalous, disgraceful) </t>
  </si>
  <si>
    <t>tcxk</t>
  </si>
  <si>
    <t>Overwhelming</t>
  </si>
  <si>
    <t xml:space="preserve">(exhaustive, breathtaking, monumental) </t>
  </si>
  <si>
    <t>bqec</t>
  </si>
  <si>
    <t>Painful</t>
  </si>
  <si>
    <t xml:space="preserve">(hurtful, agonizing, unbearable) </t>
  </si>
  <si>
    <t>dpmm</t>
  </si>
  <si>
    <t xml:space="preserve">(hurting, sore) </t>
  </si>
  <si>
    <t>zsfq</t>
  </si>
  <si>
    <t>Pale</t>
  </si>
  <si>
    <t xml:space="preserve">(faded, colorless) </t>
  </si>
  <si>
    <t>vcuf</t>
  </si>
  <si>
    <t>Pathetic</t>
  </si>
  <si>
    <t xml:space="preserve">(pitiful, distressing, heart-rending) </t>
  </si>
  <si>
    <t>rlex</t>
  </si>
  <si>
    <t>Patriotic</t>
  </si>
  <si>
    <t xml:space="preserve">(nationalistic, loyal, public-spirited) </t>
  </si>
  <si>
    <t>vugw</t>
  </si>
  <si>
    <t>Peaceful</t>
  </si>
  <si>
    <t xml:space="preserve">(serene, restful, calm) </t>
  </si>
  <si>
    <t>xbdc</t>
  </si>
  <si>
    <t xml:space="preserve">(calm, quiet) </t>
  </si>
  <si>
    <t>khqb</t>
  </si>
  <si>
    <t>Perfect</t>
  </si>
  <si>
    <t xml:space="preserve">(faultless, consummate, exact) </t>
  </si>
  <si>
    <t>gzlo</t>
  </si>
  <si>
    <t xml:space="preserve">(ideal, wonderful) </t>
  </si>
  <si>
    <t>uotu</t>
  </si>
  <si>
    <t>Perverse</t>
  </si>
  <si>
    <t xml:space="preserve">(stubborn, obstinate, improper) </t>
  </si>
  <si>
    <t>lzbv</t>
  </si>
  <si>
    <t>Philosophical</t>
  </si>
  <si>
    <t xml:space="preserve">(thoughtful, contemplative, wise) </t>
  </si>
  <si>
    <t>oqpp</t>
  </si>
  <si>
    <t>Phony</t>
  </si>
  <si>
    <t xml:space="preserve">(false, artificial, imitation) </t>
  </si>
  <si>
    <t>ikaq</t>
  </si>
  <si>
    <t>Plain</t>
  </si>
  <si>
    <t xml:space="preserve">(simple, evident, ordinary) </t>
  </si>
  <si>
    <t>[Basic Set (1999 Printing Only)]</t>
  </si>
  <si>
    <t>yvkf</t>
  </si>
  <si>
    <t xml:space="preserve">(simple, dull) </t>
  </si>
  <si>
    <t>tvch</t>
  </si>
  <si>
    <t>Plain &amp; Simple</t>
  </si>
  <si>
    <t xml:space="preserve">(unadorned, uncomplicated, clear) </t>
  </si>
  <si>
    <t>vjik</t>
  </si>
  <si>
    <t>Playful</t>
  </si>
  <si>
    <t xml:space="preserve">(fun, frisky, entertaining) </t>
  </si>
  <si>
    <t>rvpw</t>
  </si>
  <si>
    <t xml:space="preserve">(fun, cheerful) </t>
  </si>
  <si>
    <t>byhn</t>
  </si>
  <si>
    <t>Pleasant</t>
  </si>
  <si>
    <t xml:space="preserve">(enjoyable, nice) </t>
  </si>
  <si>
    <t>crhw</t>
  </si>
  <si>
    <t>Plug &amp; Play</t>
  </si>
  <si>
    <t xml:space="preserve">(effortless, automatic, self-operating) </t>
  </si>
  <si>
    <t>ddmm</t>
  </si>
  <si>
    <t>Plump &amp; Tender</t>
  </si>
  <si>
    <t xml:space="preserve">(ripe, chubby, fleshy) </t>
  </si>
  <si>
    <t>wdem</t>
  </si>
  <si>
    <t>Polite</t>
  </si>
  <si>
    <t xml:space="preserve">(respectful, well-mannered) </t>
  </si>
  <si>
    <t>cdhu</t>
  </si>
  <si>
    <t>Poor</t>
  </si>
  <si>
    <t xml:space="preserve">(not rich, unfortunate) </t>
  </si>
  <si>
    <t>xibk</t>
  </si>
  <si>
    <t>Popular</t>
  </si>
  <si>
    <t xml:space="preserve">(well-liked, accepted, preferred) </t>
  </si>
  <si>
    <t>wamd</t>
  </si>
  <si>
    <t>Powerful</t>
  </si>
  <si>
    <t xml:space="preserve">(strong, forceful, robust) </t>
  </si>
  <si>
    <t>ndrl</t>
  </si>
  <si>
    <t xml:space="preserve">(strong, forceful) </t>
  </si>
  <si>
    <t>jouh</t>
  </si>
  <si>
    <t>Practical</t>
  </si>
  <si>
    <t>hbjp</t>
  </si>
  <si>
    <t>Pretty</t>
  </si>
  <si>
    <t xml:space="preserve">(lovely, attractive, good-looking) </t>
  </si>
  <si>
    <t>wgbi</t>
  </si>
  <si>
    <t xml:space="preserve">(good-looking, pleasing) </t>
  </si>
  <si>
    <t>bbtq</t>
  </si>
  <si>
    <t>Prim &amp; Proper</t>
  </si>
  <si>
    <t xml:space="preserve">(reserved, modest, prudish) </t>
  </si>
  <si>
    <t>bfdn</t>
  </si>
  <si>
    <t>Primitive</t>
  </si>
  <si>
    <t xml:space="preserve">(prehistoric, primal, uncivilized) </t>
  </si>
  <si>
    <t>fxbt</t>
  </si>
  <si>
    <t>Principled</t>
  </si>
  <si>
    <t xml:space="preserve">(conscientious, ethical, scrupulous) </t>
  </si>
  <si>
    <t>equi</t>
  </si>
  <si>
    <t>Profound</t>
  </si>
  <si>
    <t xml:space="preserve">(deep, wise, thoughtful) </t>
  </si>
  <si>
    <t>cpqe</t>
  </si>
  <si>
    <t>Proud</t>
  </si>
  <si>
    <t xml:space="preserve">(dignified, satisfied) </t>
  </si>
  <si>
    <t>nyjp</t>
  </si>
  <si>
    <t>Puffy</t>
  </si>
  <si>
    <t xml:space="preserve">(swollen, billowy, bloated) </t>
  </si>
  <si>
    <t>rukb</t>
  </si>
  <si>
    <t>Pure</t>
  </si>
  <si>
    <t xml:space="preserve">(innocent, unadulterated, chaste) </t>
  </si>
  <si>
    <t>lytm</t>
  </si>
  <si>
    <t>Quick</t>
  </si>
  <si>
    <t xml:space="preserve">(fast, speedy) </t>
  </si>
  <si>
    <t>xhsk</t>
  </si>
  <si>
    <t>Quick &amp; Dirty</t>
  </si>
  <si>
    <t xml:space="preserve">(cheap, shoddy, inferior) </t>
  </si>
  <si>
    <t>hkoc</t>
  </si>
  <si>
    <t>Quiet</t>
  </si>
  <si>
    <t xml:space="preserve">(peaceful, silent, calm) </t>
  </si>
  <si>
    <t>rucl</t>
  </si>
  <si>
    <t xml:space="preserve">(silent, noiseless) </t>
  </si>
  <si>
    <t>xztq</t>
  </si>
  <si>
    <t>Radiant</t>
  </si>
  <si>
    <t xml:space="preserve">(shining, glowing, sparkling) </t>
  </si>
  <si>
    <t>eevk</t>
  </si>
  <si>
    <t>Radical</t>
  </si>
  <si>
    <t xml:space="preserve">(unconventional, revolutionary, extreme) </t>
  </si>
  <si>
    <t>maum</t>
  </si>
  <si>
    <t>Rare</t>
  </si>
  <si>
    <t xml:space="preserve">(scarce, unusual, half-cooked) </t>
  </si>
  <si>
    <t>oyol</t>
  </si>
  <si>
    <t>Raw</t>
  </si>
  <si>
    <t xml:space="preserve">(crude, uncooked, harsh) </t>
  </si>
  <si>
    <t>mitw</t>
  </si>
  <si>
    <t>Realistic</t>
  </si>
  <si>
    <t xml:space="preserve">(authentic, lifelike, reasonable) </t>
  </si>
  <si>
    <t>gebs</t>
  </si>
  <si>
    <t>Refined</t>
  </si>
  <si>
    <t xml:space="preserve">(well-bred, purified, cultivated) </t>
  </si>
  <si>
    <t>acoq</t>
  </si>
  <si>
    <t>Refreshing</t>
  </si>
  <si>
    <t xml:space="preserve">(brisk, invigorating, rejuvenating) </t>
  </si>
  <si>
    <t>mtpn</t>
  </si>
  <si>
    <t>Relaxed</t>
  </si>
  <si>
    <t xml:space="preserve">(calm, not tense) </t>
  </si>
  <si>
    <t>fdjj</t>
  </si>
  <si>
    <t>Relaxing</t>
  </si>
  <si>
    <t xml:space="preserve">(restful, calming, peaceful) </t>
  </si>
  <si>
    <t>uour</t>
  </si>
  <si>
    <t>Repulsive</t>
  </si>
  <si>
    <t xml:space="preserve">(disgusting, offensive, foul) </t>
  </si>
  <si>
    <t>nbpe</t>
  </si>
  <si>
    <t>Respectable</t>
  </si>
  <si>
    <t xml:space="preserve">(worthy, honorable, decent) </t>
  </si>
  <si>
    <t>offe</t>
  </si>
  <si>
    <t>Responsible</t>
  </si>
  <si>
    <t xml:space="preserve">(accountable, obligated, mature) </t>
  </si>
  <si>
    <t>glts</t>
  </si>
  <si>
    <t>Revolutionary</t>
  </si>
  <si>
    <t xml:space="preserve">(innovative, rebellious, radical) </t>
  </si>
  <si>
    <t>lczn</t>
  </si>
  <si>
    <t>Rich</t>
  </si>
  <si>
    <t xml:space="preserve">(wealthy, affluent, moneyed) </t>
  </si>
  <si>
    <t>lihx</t>
  </si>
  <si>
    <t xml:space="preserve">(wealthy, not poor) </t>
  </si>
  <si>
    <t>ortz</t>
  </si>
  <si>
    <t>Ridiculous</t>
  </si>
  <si>
    <t xml:space="preserve">(preposterous, absurd, ludicrous) </t>
  </si>
  <si>
    <t>emfv</t>
  </si>
  <si>
    <t>Risky</t>
  </si>
  <si>
    <t xml:space="preserve">(hazardous, daring, speculative) </t>
  </si>
  <si>
    <t>dihh</t>
  </si>
  <si>
    <t>Rough</t>
  </si>
  <si>
    <t xml:space="preserve">(scratchy, uneven, jagged) </t>
  </si>
  <si>
    <t>quyx</t>
  </si>
  <si>
    <t xml:space="preserve">(not smooth, not gentle) </t>
  </si>
  <si>
    <t>qisb</t>
  </si>
  <si>
    <t>Rough &amp; Ready</t>
  </si>
  <si>
    <t xml:space="preserve">(crude, makeshift, prepared) </t>
  </si>
  <si>
    <t>tsas</t>
  </si>
  <si>
    <t>Round</t>
  </si>
  <si>
    <t xml:space="preserve">(circular, ring shaped) </t>
  </si>
  <si>
    <t>qnev</t>
  </si>
  <si>
    <t>Sad</t>
  </si>
  <si>
    <t xml:space="preserve">(unhappy, gloomy) </t>
  </si>
  <si>
    <t>jsbx</t>
  </si>
  <si>
    <t>Saintly</t>
  </si>
  <si>
    <t xml:space="preserve">(virtuous, angelic, divine) </t>
  </si>
  <si>
    <t>tgjh</t>
  </si>
  <si>
    <t>Sappy</t>
  </si>
  <si>
    <t xml:space="preserve">(gooey, mushy, romantic) </t>
  </si>
  <si>
    <t>tkre</t>
  </si>
  <si>
    <t>Scary</t>
  </si>
  <si>
    <t xml:space="preserve">(frightening, absurd, ugly) </t>
  </si>
  <si>
    <t>jyoc</t>
  </si>
  <si>
    <t xml:space="preserve">(frightening, spooky) </t>
  </si>
  <si>
    <t>jhfl</t>
  </si>
  <si>
    <t>Scenic</t>
  </si>
  <si>
    <t xml:space="preserve">(picturesque, dramatic, panoramic) </t>
  </si>
  <si>
    <t>lbcr</t>
  </si>
  <si>
    <t>Scented</t>
  </si>
  <si>
    <t xml:space="preserve">(perfumed, fragrant) </t>
  </si>
  <si>
    <t>tmwd</t>
  </si>
  <si>
    <t>Secretive</t>
  </si>
  <si>
    <t xml:space="preserve">(concealed, covert, veiled) </t>
  </si>
  <si>
    <t>rlxq</t>
  </si>
  <si>
    <t>Selfish</t>
  </si>
  <si>
    <t xml:space="preserve">(stingy, greedy, miserly) </t>
  </si>
  <si>
    <t>ymdq</t>
  </si>
  <si>
    <t>Sensational</t>
  </si>
  <si>
    <t xml:space="preserve">(thrilling, startling, melodramatic) </t>
  </si>
  <si>
    <t>eqru</t>
  </si>
  <si>
    <t>Senseless</t>
  </si>
  <si>
    <t xml:space="preserve">(meaningless, absurd, foolish) </t>
  </si>
  <si>
    <t>ornc</t>
  </si>
  <si>
    <t>Sensitive</t>
  </si>
  <si>
    <t xml:space="preserve">(susceptible, sympathetic, tender) </t>
  </si>
  <si>
    <t>omyz</t>
  </si>
  <si>
    <t>Sensual</t>
  </si>
  <si>
    <t xml:space="preserve">(tactile, pleasing, sexual) </t>
  </si>
  <si>
    <t>nzej</t>
  </si>
  <si>
    <t>Serious</t>
  </si>
  <si>
    <t xml:space="preserve">(important, thoughtful) </t>
  </si>
  <si>
    <t>nxjm</t>
  </si>
  <si>
    <t>Sexy</t>
  </si>
  <si>
    <t xml:space="preserve">(arousing, appealing, seductive) </t>
  </si>
  <si>
    <t>rukl</t>
  </si>
  <si>
    <t>Shaggy</t>
  </si>
  <si>
    <t xml:space="preserve">(bushy, stringy) </t>
  </si>
  <si>
    <t>asyg</t>
  </si>
  <si>
    <t>Shallow</t>
  </si>
  <si>
    <t xml:space="preserve">(superficial, trivial, not deep) </t>
  </si>
  <si>
    <t>vvhl</t>
  </si>
  <si>
    <t>Sharp</t>
  </si>
  <si>
    <t xml:space="preserve">(pointed, keen, acute) </t>
  </si>
  <si>
    <t>uwtx</t>
  </si>
  <si>
    <t xml:space="preserve">(pointed, not rounded) </t>
  </si>
  <si>
    <t>uomg</t>
  </si>
  <si>
    <t>Shiny</t>
  </si>
  <si>
    <t xml:space="preserve">(reflective, gleaming, polished) </t>
  </si>
  <si>
    <t>vwqf</t>
  </si>
  <si>
    <t xml:space="preserve">(bright, glossy) </t>
  </si>
  <si>
    <t>pkew</t>
  </si>
  <si>
    <t>Shocking</t>
  </si>
  <si>
    <t xml:space="preserve">(frightening, electrifying, startling) </t>
  </si>
  <si>
    <t>crno</t>
  </si>
  <si>
    <t>Short</t>
  </si>
  <si>
    <t xml:space="preserve">(not long, not tall) </t>
  </si>
  <si>
    <t>tidf</t>
  </si>
  <si>
    <t>Short &amp; Stout</t>
  </si>
  <si>
    <t xml:space="preserve">(plump, portly, tubby) </t>
  </si>
  <si>
    <t>dbmy</t>
  </si>
  <si>
    <t>Short &amp; Sweet</t>
  </si>
  <si>
    <t xml:space="preserve">(precise, clear-cut, succinct) </t>
  </si>
  <si>
    <t>jlpd</t>
  </si>
  <si>
    <t>Shy</t>
  </si>
  <si>
    <t xml:space="preserve">(bashful, timid, cautious) </t>
  </si>
  <si>
    <t>fbuy</t>
  </si>
  <si>
    <t xml:space="preserve">(bashful, timid) </t>
  </si>
  <si>
    <t>xsll</t>
  </si>
  <si>
    <t>Sick &amp; Tired</t>
  </si>
  <si>
    <t xml:space="preserve">(worn out, exhausted, exasperated) </t>
  </si>
  <si>
    <t>risy</t>
  </si>
  <si>
    <t>Sick &amp; Twisted</t>
  </si>
  <si>
    <t xml:space="preserve">(depraved, wicked, lascivious) </t>
  </si>
  <si>
    <t>buyt</t>
  </si>
  <si>
    <t>Sickening</t>
  </si>
  <si>
    <t xml:space="preserve">(nauseating, disgusting, revolting) </t>
  </si>
  <si>
    <t>frrx</t>
  </si>
  <si>
    <t xml:space="preserve">(disgusting, horrible) </t>
  </si>
  <si>
    <t>tuid</t>
  </si>
  <si>
    <t>Silent</t>
  </si>
  <si>
    <t xml:space="preserve">(quiet, still) </t>
  </si>
  <si>
    <t>ubat</t>
  </si>
  <si>
    <t>Silky</t>
  </si>
  <si>
    <t xml:space="preserve">(smooth, soft) </t>
  </si>
  <si>
    <t>fnwu</t>
  </si>
  <si>
    <t>Silly</t>
  </si>
  <si>
    <t xml:space="preserve">(goofy, absurd, nonsensical) </t>
  </si>
  <si>
    <t>vyeu</t>
  </si>
  <si>
    <t xml:space="preserve">(foolish, goofy) </t>
  </si>
  <si>
    <t>bapo</t>
  </si>
  <si>
    <t>Simple</t>
  </si>
  <si>
    <t xml:space="preserve">(plain, easy) </t>
  </si>
  <si>
    <t>tfkq</t>
  </si>
  <si>
    <t>Skillful</t>
  </si>
  <si>
    <t xml:space="preserve">(expert, talented) </t>
  </si>
  <si>
    <t>wyfq</t>
  </si>
  <si>
    <t>Skinny</t>
  </si>
  <si>
    <t xml:space="preserve">(thin, lean) </t>
  </si>
  <si>
    <t>srhd</t>
  </si>
  <si>
    <t>Slender</t>
  </si>
  <si>
    <t xml:space="preserve">(slim, small) </t>
  </si>
  <si>
    <t>kjha</t>
  </si>
  <si>
    <t>Slimy</t>
  </si>
  <si>
    <t xml:space="preserve">(slippery, gooey) </t>
  </si>
  <si>
    <t>ildo</t>
  </si>
  <si>
    <t>Slippery</t>
  </si>
  <si>
    <t xml:space="preserve">(slick, sliding) </t>
  </si>
  <si>
    <t>cram</t>
  </si>
  <si>
    <t>Sloppy</t>
  </si>
  <si>
    <t xml:space="preserve">(messy, careless) </t>
  </si>
  <si>
    <t>ebvj</t>
  </si>
  <si>
    <t>Slow</t>
  </si>
  <si>
    <t xml:space="preserve">(not fast, pokey) </t>
  </si>
  <si>
    <t>xsdf</t>
  </si>
  <si>
    <t>Slow &amp; Steady</t>
  </si>
  <si>
    <t xml:space="preserve">(reliable, deliberate, ponderous) </t>
  </si>
  <si>
    <t>nmrt</t>
  </si>
  <si>
    <t>Sluggish</t>
  </si>
  <si>
    <t xml:space="preserve">(inactive, lazy, slothful) </t>
  </si>
  <si>
    <t>vrxl</t>
  </si>
  <si>
    <t>Small</t>
  </si>
  <si>
    <t xml:space="preserve">(little, not large) </t>
  </si>
  <si>
    <t>vtwy</t>
  </si>
  <si>
    <t>Smart</t>
  </si>
  <si>
    <t xml:space="preserve">(intelligent, stylish, witty) </t>
  </si>
  <si>
    <t>qnbw</t>
  </si>
  <si>
    <t xml:space="preserve">(intelligent, clever) </t>
  </si>
  <si>
    <t>zswk</t>
  </si>
  <si>
    <t>Smelly</t>
  </si>
  <si>
    <t xml:space="preserve">(stinky, odorous, rank) </t>
  </si>
  <si>
    <t>zlpl</t>
  </si>
  <si>
    <t xml:space="preserve">(stinky, bad odor) </t>
  </si>
  <si>
    <t>jlio</t>
  </si>
  <si>
    <t>Smooth</t>
  </si>
  <si>
    <t xml:space="preserve">(even, level, flat) </t>
  </si>
  <si>
    <t>ytqd</t>
  </si>
  <si>
    <t xml:space="preserve">(not bumpy, flat) </t>
  </si>
  <si>
    <t>tozm</t>
  </si>
  <si>
    <t>Smooth &amp; Creamy</t>
  </si>
  <si>
    <t xml:space="preserve">(silky, velvety, rich) </t>
  </si>
  <si>
    <t>ldkf</t>
  </si>
  <si>
    <t>Snappy</t>
  </si>
  <si>
    <t xml:space="preserve">(stylish, trendy, fast) </t>
  </si>
  <si>
    <t>ztvm</t>
  </si>
  <si>
    <t>Sneaky</t>
  </si>
  <si>
    <t xml:space="preserve">(tricky, mean) </t>
  </si>
  <si>
    <t>uegh</t>
  </si>
  <si>
    <t>Soft</t>
  </si>
  <si>
    <t xml:space="preserve">(malleable, pliable, mushy) </t>
  </si>
  <si>
    <t>uxwd</t>
  </si>
  <si>
    <t xml:space="preserve">(not hard, tender) </t>
  </si>
  <si>
    <t>hscj</t>
  </si>
  <si>
    <t>Sophisticated</t>
  </si>
  <si>
    <t xml:space="preserve">(urbane, cosmopolitan, complex) </t>
  </si>
  <si>
    <t>ckjk</t>
  </si>
  <si>
    <t>Sour</t>
  </si>
  <si>
    <t xml:space="preserve">(bitter, tart) </t>
  </si>
  <si>
    <t>stlj</t>
  </si>
  <si>
    <t>Special</t>
  </si>
  <si>
    <t xml:space="preserve">(distinctive, unique, original) </t>
  </si>
  <si>
    <t>pgjl</t>
  </si>
  <si>
    <t xml:space="preserve">(individual, unique) </t>
  </si>
  <si>
    <t>jkdw</t>
  </si>
  <si>
    <t>Speedy</t>
  </si>
  <si>
    <t xml:space="preserve">(quick, rapid, fast) </t>
  </si>
  <si>
    <t>lnmi</t>
  </si>
  <si>
    <t xml:space="preserve">(quick, fast) </t>
  </si>
  <si>
    <t>brep</t>
  </si>
  <si>
    <t>Spic &amp; Span</t>
  </si>
  <si>
    <t xml:space="preserve">(spotless, tidy, clean) </t>
  </si>
  <si>
    <t>stkb</t>
  </si>
  <si>
    <t>Spicy</t>
  </si>
  <si>
    <t xml:space="preserve">(flavorable, tangy, hot) </t>
  </si>
  <si>
    <t>lsqf</t>
  </si>
  <si>
    <t>Spiritual</t>
  </si>
  <si>
    <t xml:space="preserve">(religious, inspired, supernatural) </t>
  </si>
  <si>
    <t>sxmm</t>
  </si>
  <si>
    <t>Spooky</t>
  </si>
  <si>
    <t xml:space="preserve">(scary, weird, ghostly) </t>
  </si>
  <si>
    <t>miuh</t>
  </si>
  <si>
    <t xml:space="preserve">(scary, frightening) </t>
  </si>
  <si>
    <t>nqro</t>
  </si>
  <si>
    <t>Sporty</t>
  </si>
  <si>
    <t xml:space="preserve">(athletic, active) </t>
  </si>
  <si>
    <t>ewfu</t>
  </si>
  <si>
    <t>Spotless</t>
  </si>
  <si>
    <t xml:space="preserve">(clean, pure) </t>
  </si>
  <si>
    <t>uxnb</t>
  </si>
  <si>
    <t>Spunky</t>
  </si>
  <si>
    <t xml:space="preserve">(perky, lively, spirited) </t>
  </si>
  <si>
    <t>crhf</t>
  </si>
  <si>
    <t>Square</t>
  </si>
  <si>
    <t xml:space="preserve">(rectangular, uncool, dull) </t>
  </si>
  <si>
    <t>ruug</t>
  </si>
  <si>
    <t>Squeaky Clean</t>
  </si>
  <si>
    <t xml:space="preserve">(pure, immaculate, unapproachable) </t>
  </si>
  <si>
    <t>qcar</t>
  </si>
  <si>
    <t>Stereotyped</t>
  </si>
  <si>
    <t xml:space="preserve">(pigeonholed, caricatured, characterized) </t>
  </si>
  <si>
    <t>nrfl</t>
  </si>
  <si>
    <t>Sticky</t>
  </si>
  <si>
    <t xml:space="preserve">(gummy, pasty) </t>
  </si>
  <si>
    <t>yyge</t>
  </si>
  <si>
    <t>Stinky</t>
  </si>
  <si>
    <t xml:space="preserve">(smelly, bad odor) </t>
  </si>
  <si>
    <t>wxdi</t>
  </si>
  <si>
    <t>Straight</t>
  </si>
  <si>
    <t xml:space="preserve">(not curved, direct) </t>
  </si>
  <si>
    <t>izbb</t>
  </si>
  <si>
    <t>Strange</t>
  </si>
  <si>
    <t xml:space="preserve">(odd, unusual) </t>
  </si>
  <si>
    <t>kpnf</t>
  </si>
  <si>
    <t>Strong</t>
  </si>
  <si>
    <t xml:space="preserve">(powerful, forceful) </t>
  </si>
  <si>
    <t>krtf</t>
  </si>
  <si>
    <t>Stunning</t>
  </si>
  <si>
    <t xml:space="preserve">(astonishing, staggering, astounding) </t>
  </si>
  <si>
    <t>hdds</t>
  </si>
  <si>
    <t>Stupid</t>
  </si>
  <si>
    <t xml:space="preserve">(ignorant, unintelligent, inane) </t>
  </si>
  <si>
    <t>ccvx</t>
  </si>
  <si>
    <t>Sultry</t>
  </si>
  <si>
    <t xml:space="preserve">(sweltering, humid, sensual) </t>
  </si>
  <si>
    <t>gywb</t>
  </si>
  <si>
    <t>Surprising</t>
  </si>
  <si>
    <t xml:space="preserve">(unexpected, amazing) </t>
  </si>
  <si>
    <t>rtno</t>
  </si>
  <si>
    <t>Sweet</t>
  </si>
  <si>
    <t xml:space="preserve">(sugary, caring, good) </t>
  </si>
  <si>
    <t>lvef</t>
  </si>
  <si>
    <t xml:space="preserve">(sugary, nice) </t>
  </si>
  <si>
    <t>hbxd</t>
  </si>
  <si>
    <t>Swift</t>
  </si>
  <si>
    <t xml:space="preserve">(quick, speedy, expeditious) </t>
  </si>
  <si>
    <t>zlvb</t>
  </si>
  <si>
    <t>Swift &amp; Sure</t>
  </si>
  <si>
    <t xml:space="preserve">(steady, prompt, definite) </t>
  </si>
  <si>
    <t>cekw</t>
  </si>
  <si>
    <t>Talented</t>
  </si>
  <si>
    <t xml:space="preserve">(gifted, clever, skillful) </t>
  </si>
  <si>
    <t>necc</t>
  </si>
  <si>
    <t xml:space="preserve">(skillful, gifted) </t>
  </si>
  <si>
    <t>bkwd</t>
  </si>
  <si>
    <t>Tall</t>
  </si>
  <si>
    <t xml:space="preserve">(not short, not low) </t>
  </si>
  <si>
    <t>bgrf</t>
  </si>
  <si>
    <t>Tame</t>
  </si>
  <si>
    <t xml:space="preserve">(subdued, gentle, trained) </t>
  </si>
  <si>
    <t>fpnr</t>
  </si>
  <si>
    <t xml:space="preserve">(not wild, mild) </t>
  </si>
  <si>
    <t>jrik</t>
  </si>
  <si>
    <t>Tasty</t>
  </si>
  <si>
    <t xml:space="preserve">(flavorful, savory, appetizing) </t>
  </si>
  <si>
    <t>vtgd</t>
  </si>
  <si>
    <t xml:space="preserve">(flavorful, yummy) </t>
  </si>
  <si>
    <t>qxtb</t>
  </si>
  <si>
    <t>Technological</t>
  </si>
  <si>
    <t xml:space="preserve">(scientific, futuristic, mechanical) </t>
  </si>
  <si>
    <t>sutg</t>
  </si>
  <si>
    <t>Temperamental</t>
  </si>
  <si>
    <t xml:space="preserve">(moody, irritable, short-tempered) </t>
  </si>
  <si>
    <t>urhi</t>
  </si>
  <si>
    <t>Tempting</t>
  </si>
  <si>
    <t xml:space="preserve">(seductive, enticing, alluring) </t>
  </si>
  <si>
    <t>quby</t>
  </si>
  <si>
    <t>Tender</t>
  </si>
  <si>
    <t xml:space="preserve">(soft, compassionate, fragile) </t>
  </si>
  <si>
    <t>osum</t>
  </si>
  <si>
    <t>Terrible</t>
  </si>
  <si>
    <t xml:space="preserve">(awful, dreadful) </t>
  </si>
  <si>
    <t>sroa</t>
  </si>
  <si>
    <t>Terrific</t>
  </si>
  <si>
    <t xml:space="preserve">(sensational, fabulous, severe) </t>
  </si>
  <si>
    <t>kotq</t>
  </si>
  <si>
    <t>Thick</t>
  </si>
  <si>
    <t xml:space="preserve">(wide, solid) </t>
  </si>
  <si>
    <t>aivr</t>
  </si>
  <si>
    <t>Thick &amp; Chunky</t>
  </si>
  <si>
    <t xml:space="preserve">(bulky, heavy, lumpy) </t>
  </si>
  <si>
    <t>dxte</t>
  </si>
  <si>
    <t>Thin</t>
  </si>
  <si>
    <t xml:space="preserve">(skinny, narrow) </t>
  </si>
  <si>
    <t>ydnv</t>
  </si>
  <si>
    <t>Thoughtful</t>
  </si>
  <si>
    <t xml:space="preserve">(caring, unselfish) </t>
  </si>
  <si>
    <t>ddmx</t>
  </si>
  <si>
    <t>Timeless</t>
  </si>
  <si>
    <t xml:space="preserve">(classic, ageless, well-established) </t>
  </si>
  <si>
    <t>miwp</t>
  </si>
  <si>
    <t>Tiny</t>
  </si>
  <si>
    <t xml:space="preserve">(little, very small) </t>
  </si>
  <si>
    <t>ggxo</t>
  </si>
  <si>
    <t>Tormenting</t>
  </si>
  <si>
    <t xml:space="preserve">(torturing, harassing, agonizing) </t>
  </si>
  <si>
    <t>aawi</t>
  </si>
  <si>
    <t>Torn &amp; Tattered</t>
  </si>
  <si>
    <t xml:space="preserve">(shabby, ragged, grungy) </t>
  </si>
  <si>
    <t>crps</t>
  </si>
  <si>
    <t>Touch &amp; Go</t>
  </si>
  <si>
    <t xml:space="preserve">(indecisive, uncertain, insecure) </t>
  </si>
  <si>
    <t>vllu</t>
  </si>
  <si>
    <t>Touchy-Feely</t>
  </si>
  <si>
    <t xml:space="preserve">(affectionate, tactile, huggy) </t>
  </si>
  <si>
    <t>esfv</t>
  </si>
  <si>
    <t>Tough</t>
  </si>
  <si>
    <t xml:space="preserve">(strong, firm, difficult) </t>
  </si>
  <si>
    <t>mfer</t>
  </si>
  <si>
    <t xml:space="preserve">(strong, hard) </t>
  </si>
  <si>
    <t>wfkd</t>
  </si>
  <si>
    <t>Trashy</t>
  </si>
  <si>
    <t xml:space="preserve">(shameless, nasty, indecent) </t>
  </si>
  <si>
    <t>ushq</t>
  </si>
  <si>
    <t>Tried &amp; True</t>
  </si>
  <si>
    <t xml:space="preserve">(tested, proven, trustworthy) </t>
  </si>
  <si>
    <t>wjzj</t>
  </si>
  <si>
    <t>True &amp; Blue</t>
  </si>
  <si>
    <t xml:space="preserve">(loyal, faithful, patriotic) </t>
  </si>
  <si>
    <t>njlt</t>
  </si>
  <si>
    <t>Trustworthy</t>
  </si>
  <si>
    <t xml:space="preserve">(honest, reliable, unfailing) </t>
  </si>
  <si>
    <t>pfvp</t>
  </si>
  <si>
    <t xml:space="preserve">(dependable, honest) </t>
  </si>
  <si>
    <t>oepj</t>
  </si>
  <si>
    <t>Twisted</t>
  </si>
  <si>
    <t xml:space="preserve">(distorted, warped, perverted) </t>
  </si>
  <si>
    <t>ihcx</t>
  </si>
  <si>
    <t>Ugly</t>
  </si>
  <si>
    <t xml:space="preserve">(not pretty, unpleasant) </t>
  </si>
  <si>
    <t>gpuq</t>
  </si>
  <si>
    <t>Unbelievable</t>
  </si>
  <si>
    <t>(incredible, far-fetched, impossible)</t>
  </si>
  <si>
    <t>hsno</t>
  </si>
  <si>
    <t>Unforgettable</t>
  </si>
  <si>
    <t xml:space="preserve">(notable, impressive, remarkable) </t>
  </si>
  <si>
    <t>ttnt</t>
  </si>
  <si>
    <t xml:space="preserve">(memorable, treasured) </t>
  </si>
  <si>
    <t>mtdx</t>
  </si>
  <si>
    <t>Unhappy</t>
  </si>
  <si>
    <t xml:space="preserve">(sad, sorrowful) </t>
  </si>
  <si>
    <t>rpti</t>
  </si>
  <si>
    <t>Unhealthy</t>
  </si>
  <si>
    <t xml:space="preserve">(risky, sickly, dangerous) </t>
  </si>
  <si>
    <t>qbhh</t>
  </si>
  <si>
    <t>Unnatural</t>
  </si>
  <si>
    <t xml:space="preserve">(abnormal, artificial, bizarre) </t>
  </si>
  <si>
    <t>edsd</t>
  </si>
  <si>
    <t>Unreal</t>
  </si>
  <si>
    <t xml:space="preserve">(imaginary, illusionary, unbelievable) </t>
  </si>
  <si>
    <t>wqgv</t>
  </si>
  <si>
    <t>Unscrupulous</t>
  </si>
  <si>
    <t xml:space="preserve">(unethical, corrupt, unprincipled) </t>
  </si>
  <si>
    <t>bwjz</t>
  </si>
  <si>
    <t>Untamed</t>
  </si>
  <si>
    <t xml:space="preserve">(wild, natural) </t>
  </si>
  <si>
    <t>rnje</t>
  </si>
  <si>
    <t>Unusual</t>
  </si>
  <si>
    <t xml:space="preserve">(rare, odd, uncommon) </t>
  </si>
  <si>
    <t>ykgx</t>
  </si>
  <si>
    <t>Up &amp; Coming</t>
  </si>
  <si>
    <t xml:space="preserve">(promising, enterprising, gifted) </t>
  </si>
  <si>
    <t>juxy</t>
  </si>
  <si>
    <t>Up &amp; Down</t>
  </si>
  <si>
    <t xml:space="preserve">(volatile, variable, vertical) </t>
  </si>
  <si>
    <t>psmn</t>
  </si>
  <si>
    <t>Useful</t>
  </si>
  <si>
    <t xml:space="preserve">(helpful, handy) </t>
  </si>
  <si>
    <t>ldyt</t>
  </si>
  <si>
    <t>Useless</t>
  </si>
  <si>
    <t xml:space="preserve">(worthless, ineffective, unneeded) </t>
  </si>
  <si>
    <t>uzkb</t>
  </si>
  <si>
    <t xml:space="preserve">(worthless, not valuable) </t>
  </si>
  <si>
    <t>auoi</t>
  </si>
  <si>
    <t>Vain</t>
  </si>
  <si>
    <t xml:space="preserve">(conceited, arrogant, fruitless) </t>
  </si>
  <si>
    <t>ixxg</t>
  </si>
  <si>
    <t>Valuable</t>
  </si>
  <si>
    <t xml:space="preserve">(expensive, important) </t>
  </si>
  <si>
    <t>pzua</t>
  </si>
  <si>
    <t>Violent</t>
  </si>
  <si>
    <t xml:space="preserve">(furious, vicious, destructive) </t>
  </si>
  <si>
    <t>iqdr</t>
  </si>
  <si>
    <t>Virtuous</t>
  </si>
  <si>
    <t xml:space="preserve">(worthy, righteous, chaste) </t>
  </si>
  <si>
    <t>mpvq</t>
  </si>
  <si>
    <t>Visionary</t>
  </si>
  <si>
    <t xml:space="preserve">(idealistic, prophetic, far-seeing) </t>
  </si>
  <si>
    <t>wyph</t>
  </si>
  <si>
    <t>Warm</t>
  </si>
  <si>
    <t xml:space="preserve">(tepid, mild, affectionate) </t>
  </si>
  <si>
    <t>gvof</t>
  </si>
  <si>
    <t xml:space="preserve">(heated, somewhat hot) </t>
  </si>
  <si>
    <t>dias</t>
  </si>
  <si>
    <t>Warm &amp; Cozy</t>
  </si>
  <si>
    <t xml:space="preserve">(snug, comfy, friendly) </t>
  </si>
  <si>
    <t>kquy</t>
  </si>
  <si>
    <t>Warm &amp; Fuzzy</t>
  </si>
  <si>
    <t xml:space="preserve">(kindhearted, loving, affectionate) </t>
  </si>
  <si>
    <t>xukc</t>
  </si>
  <si>
    <t>Wash &amp; Wear</t>
  </si>
  <si>
    <t xml:space="preserve">(durable, easy-care, sturdy) </t>
  </si>
  <si>
    <t>llty</t>
  </si>
  <si>
    <t>Weak</t>
  </si>
  <si>
    <t xml:space="preserve">(not strong, sickly) </t>
  </si>
  <si>
    <t>acjv</t>
  </si>
  <si>
    <t>Weird</t>
  </si>
  <si>
    <t xml:space="preserve">(abnormal, peculiar, odd) </t>
  </si>
  <si>
    <t>cxbb</t>
  </si>
  <si>
    <t xml:space="preserve">(odd, mysterious) </t>
  </si>
  <si>
    <t>tjif</t>
  </si>
  <si>
    <t>Wet</t>
  </si>
  <si>
    <t xml:space="preserve">(watery, soaked) </t>
  </si>
  <si>
    <t>ashk</t>
  </si>
  <si>
    <t>Whimsical</t>
  </si>
  <si>
    <t xml:space="preserve">(humourous, peculiar, fanciful) </t>
  </si>
  <si>
    <t>bflc</t>
  </si>
  <si>
    <t>Wicked</t>
  </si>
  <si>
    <t xml:space="preserve">(evil, corrupt, depraved) </t>
  </si>
  <si>
    <t>sghi</t>
  </si>
  <si>
    <t>Wide</t>
  </si>
  <si>
    <t xml:space="preserve">(broad, thick) </t>
  </si>
  <si>
    <t>oujt</t>
  </si>
  <si>
    <t>Wild</t>
  </si>
  <si>
    <t xml:space="preserve">(untamed, savage, ferocious) </t>
  </si>
  <si>
    <t>ebfx</t>
  </si>
  <si>
    <t xml:space="preserve">(not tame, crazy) </t>
  </si>
  <si>
    <t>xfvg</t>
  </si>
  <si>
    <t>Wild &amp; Wooly</t>
  </si>
  <si>
    <t xml:space="preserve">(untamed, uncontrolled, reckless) </t>
  </si>
  <si>
    <t>krgu</t>
  </si>
  <si>
    <t>Wired</t>
  </si>
  <si>
    <t xml:space="preserve">(strained, tense, nervous) </t>
  </si>
  <si>
    <t>ozfv</t>
  </si>
  <si>
    <t>Witty</t>
  </si>
  <si>
    <t xml:space="preserve">(clever, humorous, cunning) </t>
  </si>
  <si>
    <t>ghtl</t>
  </si>
  <si>
    <t>Woebegone</t>
  </si>
  <si>
    <t xml:space="preserve">(dismal, sorrowful, bummed out) </t>
  </si>
  <si>
    <t>lxgl</t>
  </si>
  <si>
    <t>Wonderful</t>
  </si>
  <si>
    <t xml:space="preserve">(great, excellent) </t>
  </si>
  <si>
    <t>vfyi</t>
  </si>
  <si>
    <t>Worldly</t>
  </si>
  <si>
    <t xml:space="preserve">(experienced, sophisticated, materialistic) </t>
  </si>
  <si>
    <t>eugp</t>
  </si>
  <si>
    <t>Worthless</t>
  </si>
  <si>
    <t xml:space="preserve">(useless, meaningless) </t>
  </si>
  <si>
    <t>juey</t>
  </si>
  <si>
    <t>Young</t>
  </si>
  <si>
    <t xml:space="preserve">(not old, new) </t>
  </si>
  <si>
    <t>dqey</t>
  </si>
  <si>
    <t>Young &amp; Restless</t>
  </si>
  <si>
    <t xml:space="preserve">(fidgety, impatient, flighty) </t>
  </si>
  <si>
    <t>wmcd</t>
  </si>
  <si>
    <t>Yucky</t>
  </si>
  <si>
    <t xml:space="preserve">(icky, sickening) </t>
  </si>
  <si>
    <t>bnel</t>
  </si>
  <si>
    <t>Zany</t>
  </si>
  <si>
    <t xml:space="preserve">(crazy, funny, wacky) </t>
  </si>
  <si>
    <t>fkqt</t>
  </si>
  <si>
    <t>Set</t>
  </si>
  <si>
    <t>*NSYNC</t>
  </si>
  <si>
    <t>Popular boy band known for their dance routines and harmonies. Bye, Bye, Bye our albums!</t>
  </si>
  <si>
    <t>xjkz</t>
  </si>
  <si>
    <t>A Bad Haircut</t>
  </si>
  <si>
    <t>The perfect start to a bad hair day.</t>
  </si>
  <si>
    <t>tvps</t>
  </si>
  <si>
    <t>A Bakery</t>
  </si>
  <si>
    <t>Some bakers start work at 3:00 in the morning, so breads and donuts are fresh for breakfast.</t>
  </si>
  <si>
    <t>roua</t>
  </si>
  <si>
    <t>A Broken Leg</t>
  </si>
  <si>
    <t>I was riding my bike when I hit this big rock…</t>
  </si>
  <si>
    <t>hign</t>
  </si>
  <si>
    <t>A Bull Fight</t>
  </si>
  <si>
    <t>Also known as “la fiesta brava” (the brave festival). A whole lot of bull..</t>
  </si>
  <si>
    <t>vhva</t>
  </si>
  <si>
    <t>A Cabin In The Woods</t>
  </si>
  <si>
    <t>Henry David Thoreau went to Walden Pond for two years. All we're asking for is one lousy weekend!</t>
  </si>
  <si>
    <t>perh</t>
  </si>
  <si>
    <t>A Can Of Worms</t>
  </si>
  <si>
    <t>Now you’ve opened it.</t>
  </si>
  <si>
    <t>ubnp</t>
  </si>
  <si>
    <t>A Car Crash</t>
  </si>
  <si>
    <t>“Hey, it was an accident!”</t>
  </si>
  <si>
    <t>uavw</t>
  </si>
  <si>
    <t>A Cheap Motel</t>
  </si>
  <si>
    <t>No charge for the cockroaches.</t>
  </si>
  <si>
    <t>tucc</t>
  </si>
  <si>
    <t>A Cookbook</t>
  </si>
  <si>
    <t>The best ones include favorite family recipes.</t>
  </si>
  <si>
    <t>fsqo</t>
  </si>
  <si>
    <t>A Crawl Space</t>
  </si>
  <si>
    <t>Where you'll find something the cat dragged in.</t>
  </si>
  <si>
    <t>htpm</t>
  </si>
  <si>
    <t>A Crown</t>
  </si>
  <si>
    <t>A crown is a symbol of royalty.</t>
  </si>
  <si>
    <t>omym</t>
  </si>
  <si>
    <t>A Desert</t>
  </si>
  <si>
    <t>Hot, dry and sandy.</t>
  </si>
  <si>
    <t>sqve</t>
  </si>
  <si>
    <t>A Dollar</t>
  </si>
  <si>
    <t>Spend it wisely!</t>
  </si>
  <si>
    <t>xeqx</t>
  </si>
  <si>
    <t>A Dozen Red Roses</t>
  </si>
  <si>
    <t>When eleven just won't do.</t>
  </si>
  <si>
    <t>ioru</t>
  </si>
  <si>
    <t>A Fairy</t>
  </si>
  <si>
    <t>A tiny creature who has magical powers and can fly, like Tinkerbell.</t>
  </si>
  <si>
    <t>lrta</t>
  </si>
  <si>
    <t>A Few Good Men</t>
  </si>
  <si>
    <t>Is that too much to ask?</t>
  </si>
  <si>
    <t>zgol</t>
  </si>
  <si>
    <t>A Flat Tire</t>
  </si>
  <si>
    <t>“Whaddya mean, there’s no spare?”</t>
  </si>
  <si>
    <t>plrz</t>
  </si>
  <si>
    <t>A Fool &amp; His Money</t>
  </si>
  <si>
    <t>Are soon parted… especially on Wall Street.</t>
  </si>
  <si>
    <t>knyu</t>
  </si>
  <si>
    <t>A Forest</t>
  </si>
  <si>
    <t>Home to Bambi, Winnie the Pooh, Robin Hood, and many woodland animals.</t>
  </si>
  <si>
    <t>ehqw</t>
  </si>
  <si>
    <t>A French Maid</t>
  </si>
  <si>
    <t>Ooh, la, la!</t>
  </si>
  <si>
    <t>xowg</t>
  </si>
  <si>
    <t>A Full Moon</t>
  </si>
  <si>
    <t>“When the moon hits your eye like a big pizza pie, that's amore!”—Dean Martin</t>
  </si>
  <si>
    <t>qniz</t>
  </si>
  <si>
    <t>A Funeral</t>
  </si>
  <si>
    <t>A ceremony held to honor a person who has died.</t>
  </si>
  <si>
    <t>lbxz</t>
  </si>
  <si>
    <t>A Giant</t>
  </si>
  <si>
    <t>A very large and powerful person. When Jack climbed the bean stalk, he met a hungry giant.</t>
  </si>
  <si>
    <t>gkbi</t>
  </si>
  <si>
    <t>A Haunted House</t>
  </si>
  <si>
    <t>Maybe if people would STOP building their dream homes on ancient burial grounds…</t>
  </si>
  <si>
    <t>qmlc</t>
  </si>
  <si>
    <t>A High School Bathroom</t>
  </si>
  <si>
    <t>“Fools rush in where angels fear to tread” —Alexander Pope</t>
  </si>
  <si>
    <t>fbbm</t>
  </si>
  <si>
    <t>A Hole In One</t>
  </si>
  <si>
    <t>Par for the course?</t>
  </si>
  <si>
    <t>bpsl</t>
  </si>
  <si>
    <t>A Honeymoon</t>
  </si>
  <si>
    <t>America’s top honeymoon spots are Hawaii, Niagara Falls, Las Vegas and Florida. You can get there by air, land, sea… or shotgun.</t>
  </si>
  <si>
    <t>tpxf</t>
  </si>
  <si>
    <t>A King</t>
  </si>
  <si>
    <t>King Arthur became famous when he pulled a magical sword from a stone.</t>
  </si>
  <si>
    <t>vhur</t>
  </si>
  <si>
    <t>A Leaky Boat</t>
  </si>
  <si>
    <t>Time to bail out.</t>
  </si>
  <si>
    <t>kdri</t>
  </si>
  <si>
    <t>A Little White Lie</t>
  </si>
  <si>
    <t>If you can’t say anything nice…</t>
  </si>
  <si>
    <t>hnsx</t>
  </si>
  <si>
    <t>A Locker Room</t>
  </si>
  <si>
    <t>Steamy atmosphere… bawdy humor… sweaty bodies… HEY! Sounds like Cable TV!</t>
  </si>
  <si>
    <t>dzty</t>
  </si>
  <si>
    <t>A Log Cabin</t>
  </si>
  <si>
    <t>Just cut down a few trees and make a house.</t>
  </si>
  <si>
    <t>kfyr</t>
  </si>
  <si>
    <t>A Mermaid</t>
  </si>
  <si>
    <t>An imaginary creature with the upper body of a woman and the tail of a fish.</t>
  </si>
  <si>
    <t>xrks</t>
  </si>
  <si>
    <t>A Microwave Oven</t>
  </si>
  <si>
    <t>You’ll have popcorn in two minutes.</t>
  </si>
  <si>
    <t>{cal</t>
  </si>
  <si>
    <t>A Million Dollars</t>
  </si>
  <si>
    <t>If I had a million dollars…</t>
  </si>
  <si>
    <t>pmla</t>
  </si>
  <si>
    <t>A Morgue</t>
  </si>
  <si>
    <t>“Given strange eons, even death may die…”—H.P. Lovecraft</t>
  </si>
  <si>
    <t>ista</t>
  </si>
  <si>
    <t>A Movie Theater</t>
  </si>
  <si>
    <t>When you want a REALLY big screen.</t>
  </si>
  <si>
    <t>eyik</t>
  </si>
  <si>
    <t>A Mummy</t>
  </si>
  <si>
    <t>In Egypt there are mummies that are over 3,000 years old.</t>
  </si>
  <si>
    <t>irhi</t>
  </si>
  <si>
    <t>“Walk like an Egyptian.” —The Bangles</t>
  </si>
  <si>
    <t>rkub</t>
  </si>
  <si>
    <t>A Nine Iron</t>
  </si>
  <si>
    <t>A golf club best used on short shots or large opponents.</t>
  </si>
  <si>
    <t>cnia</t>
  </si>
  <si>
    <t>A Parade</t>
  </si>
  <si>
    <t>I love a parade.</t>
  </si>
  <si>
    <t>ppfm</t>
  </si>
  <si>
    <t>A Piano</t>
  </si>
  <si>
    <t>A piano is a percussion instrument, like a drum or cymbal.</t>
  </si>
  <si>
    <t>oe{k</t>
  </si>
  <si>
    <t>A Pile Of Leaves</t>
  </si>
  <si>
    <t>Rake them up and jump in!</t>
  </si>
  <si>
    <t>hqnc</t>
  </si>
  <si>
    <t>A Prince</t>
  </si>
  <si>
    <t>Some are real, but most are just in fairy tales.</t>
  </si>
  <si>
    <t>qgun</t>
  </si>
  <si>
    <t>A Princess</t>
  </si>
  <si>
    <t>shwu</t>
  </si>
  <si>
    <t>A Queen</t>
  </si>
  <si>
    <t>A wicked queen tried to kill Snow White with a poison apple.</t>
  </si>
  <si>
    <t>yntr</t>
  </si>
  <si>
    <t>A Refrigerator</t>
  </si>
  <si>
    <t>First stop after school.</t>
  </si>
  <si>
    <t>ctht</t>
  </si>
  <si>
    <t>A Ringing In My Ears</t>
  </si>
  <si>
    <t>Answer that, would’ya?</t>
  </si>
  <si>
    <t>xghi</t>
  </si>
  <si>
    <t>A Saw</t>
  </si>
  <si>
    <t>A metal tool with sharp teeth used to cut metal and wood. Some are used as musical instruments.</t>
  </si>
  <si>
    <t>lgxd</t>
  </si>
  <si>
    <t>A School Bus</t>
  </si>
  <si>
    <t>“The only thing we have to fear is fear itself.”—Franklin D. Roosevelt</t>
  </si>
  <si>
    <t>ejme</t>
  </si>
  <si>
    <t>A School Cafeteria</t>
  </si>
  <si>
    <t>Food fight!.</t>
  </si>
  <si>
    <t>inzd</t>
  </si>
  <si>
    <t>A School Dance</t>
  </si>
  <si>
    <t>No chicken dance or hokey-pokey!</t>
  </si>
  <si>
    <t>osno</t>
  </si>
  <si>
    <t>A Spare Tire</t>
  </si>
  <si>
    <t>The good news is: we have a spare tire…</t>
  </si>
  <si>
    <t>zstf</t>
  </si>
  <si>
    <t>A Submarine</t>
  </si>
  <si>
    <t>It’s a sandwich shaped like a boat.or a boat shaped like a sandwich.</t>
  </si>
  <si>
    <t>nluh</t>
  </si>
  <si>
    <t>A Sunrise</t>
  </si>
  <si>
    <t>“But he who kisses the joy as it flies/ Lives in eternity's sunrise.” —William Blake</t>
  </si>
  <si>
    <t>tdzf</t>
  </si>
  <si>
    <t>A Sunset</t>
  </si>
  <si>
    <t>The sun never set on the British Empire… because God didn't trust the English in the dark.</t>
  </si>
  <si>
    <t>mwdi</t>
  </si>
  <si>
    <t>A Surprise</t>
  </si>
  <si>
    <t>Something that is unexpected, like a present from a friend.</t>
  </si>
  <si>
    <t>xmic</t>
  </si>
  <si>
    <t>A Swimming Pool</t>
  </si>
  <si>
    <t>No diving in the shallow end.</t>
  </si>
  <si>
    <t>ycjk</t>
  </si>
  <si>
    <t>A Tree House</t>
  </si>
  <si>
    <t>Your first high-rise apartment.</t>
  </si>
  <si>
    <t>hdeo</t>
  </si>
  <si>
    <t>A Used Car Lot</t>
  </si>
  <si>
    <t>One of the most honest places around. Honest…</t>
  </si>
  <si>
    <t>tvaa</t>
  </si>
  <si>
    <t>A Volcano</t>
  </si>
  <si>
    <t>Hot lava!</t>
  </si>
  <si>
    <t>gxzr</t>
  </si>
  <si>
    <t>Abbot &amp; Costello</t>
  </si>
  <si>
    <t>Comedy team who had everyone guessing “Who's on first?”</t>
  </si>
  <si>
    <t>ryks</t>
  </si>
  <si>
    <t>Abraham Lincoln</t>
  </si>
  <si>
    <t>1809-65, 16th U.S. president, led the Union to victory in the American Civil War and abolished slavery. Was assassinated for his efforts.</t>
  </si>
  <si>
    <t>tycl</t>
  </si>
  <si>
    <t>President of the U.S. during the Civil War. He was called “Honest Abe.”</t>
  </si>
  <si>
    <t>wgkg</t>
  </si>
  <si>
    <t>Actors</t>
  </si>
  <si>
    <t>If they’re really good, you can’t tell they’re acting.</t>
  </si>
  <si>
    <t>ejzn</t>
  </si>
  <si>
    <t>Actresses</t>
  </si>
  <si>
    <t>“O Romeo, Romeo, wherefore art thou Romeo?”—Romeo and Juliet by William Shakespeare</t>
  </si>
  <si>
    <t>pmbp</t>
  </si>
  <si>
    <t>Adam &amp; Eve</t>
  </si>
  <si>
    <t>A relationship of Biblical proportions.</t>
  </si>
  <si>
    <t>bymr</t>
  </si>
  <si>
    <t>Adam Sandler</t>
  </si>
  <si>
    <t>1966-, American comedian, film star, and Saturday Night Live alumnus. Genius or goofballyou make the call.</t>
  </si>
  <si>
    <t>rskj</t>
  </si>
  <si>
    <t>Adolph Hitler</t>
  </si>
  <si>
    <t>1889-1945, turned Germany into a militarized dictatorship, caused the slaughter of millions and launched World War II.</t>
  </si>
  <si>
    <t>yyhv</t>
  </si>
  <si>
    <t>Africa</t>
  </si>
  <si>
    <t>The continent located between the Atlantic Ocean and Indian Ocean.</t>
  </si>
  <si>
    <t>qnad</t>
  </si>
  <si>
    <t>AIDS</t>
  </si>
  <si>
    <t>Acquired Immune Deficiency Syndrome.</t>
  </si>
  <si>
    <t>vlzp</t>
  </si>
  <si>
    <t>Airline Food</t>
  </si>
  <si>
    <t>Since when is a bag of peanuts considered a meal?</t>
  </si>
  <si>
    <t>txyk</t>
  </si>
  <si>
    <t>Airplane</t>
  </si>
  <si>
    <t>The Wright Brothers were “wright” when they added power to a glider in order to make it fly.</t>
  </si>
  <si>
    <t>yu{n</t>
  </si>
  <si>
    <t>Airplanes</t>
  </si>
  <si>
    <t>I want to sit by the window!</t>
  </si>
  <si>
    <t>kcde</t>
  </si>
  <si>
    <t>Al Pacino</t>
  </si>
  <si>
    <t>1940-, Oscar winning American actor and star of “The Godfather,” “Dog Day Afternoon” and “Scent Of A Woman.” One very intense guy.</t>
  </si>
  <si>
    <t>gauy</t>
  </si>
  <si>
    <t>Aladdin</t>
  </si>
  <si>
    <t>Folktale character who found a magic lamp with a gentle genie inside.</t>
  </si>
  <si>
    <t>fpzc</t>
  </si>
  <si>
    <t>Alan Greenspan</t>
  </si>
  <si>
    <t>1926-, chairman of the U.S. Federal Reserve Board.</t>
  </si>
  <si>
    <t>bqut</t>
  </si>
  <si>
    <t>Alaska</t>
  </si>
  <si>
    <t>The 49th state. It’s the home of Mount McKinley.</t>
  </si>
  <si>
    <t>duwl</t>
  </si>
  <si>
    <t>Albert Einstein</t>
  </si>
  <si>
    <t>1879-1855, German-born American physicist and Nobel laureate who created theories of relativity. Nice hair.</t>
  </si>
  <si>
    <t>mqtj</t>
  </si>
  <si>
    <t>Alfred Hitchcock</t>
  </si>
  <si>
    <t>1899-1980, British-born American director and producer of brilliant psychological thrillers. Right, mother? MOTHER!</t>
  </si>
  <si>
    <t>dkwo</t>
  </si>
  <si>
    <t>Alien Abductions</t>
  </si>
  <si>
    <t>There was a blinding lightand she was gone!</t>
  </si>
  <si>
    <t>nufj</t>
  </si>
  <si>
    <t>Aliens</t>
  </si>
  <si>
    <t>They’re not from around here!</t>
  </si>
  <si>
    <t>tqfe</t>
  </si>
  <si>
    <t>Alligators</t>
  </si>
  <si>
    <t>Large reptiles with strong jaws and long tails. Their skins are made into shoes and purses.</t>
  </si>
  <si>
    <t>ekkr</t>
  </si>
  <si>
    <t>AM &amp; FM</t>
  </si>
  <si>
    <t>Making waves in radio.</t>
  </si>
  <si>
    <t>ebgr</t>
  </si>
  <si>
    <t>Americans</t>
  </si>
  <si>
    <t>How many Americans does it take to screw in a light bulb? THAT'S NOT FUNNY! WE'RE SUING!</t>
  </si>
  <si>
    <t>tlgu</t>
  </si>
  <si>
    <t>Amputations</t>
  </si>
  <si>
    <t>“A SCRATCH? Your arm's off!” —Monty Python and the Holy Grail</t>
  </si>
  <si>
    <t>isib</t>
  </si>
  <si>
    <t>Amsterdam</t>
  </si>
  <si>
    <t>The capital of the Netherlands, and one of Europe’s most beautiful and notorious cities.</t>
  </si>
  <si>
    <t>m{lz</t>
  </si>
  <si>
    <t>An Igloo</t>
  </si>
  <si>
    <t>A domed-shaped house made from blocks of hard snow or ice.</t>
  </si>
  <si>
    <t>bb{c</t>
  </si>
  <si>
    <t>Ancient Rome</t>
  </si>
  <si>
    <t>In ancient times, all roads led to Rome, and the traffic has only gotten worse.</t>
  </si>
  <si>
    <t>rqh{</t>
  </si>
  <si>
    <t>Andy Warhol</t>
  </si>
  <si>
    <t>1928-87, American painter and filmmaker, a leader of the pop art movement. Famous for slightly more than 15 minutes.</t>
  </si>
  <si>
    <t>qxho</t>
  </si>
  <si>
    <t>Angry Hornets</t>
  </si>
  <si>
    <t>Who put the bees in their bonnets?</t>
  </si>
  <si>
    <t>ptcw</t>
  </si>
  <si>
    <t>Anna &amp; The King</t>
  </si>
  <si>
    <t>The 1999 film romanticizing the story of Anna Leonowens and King Mongkut of Siam.</t>
  </si>
  <si>
    <t>ifum</t>
  </si>
  <si>
    <t>Anna Kournikova</t>
  </si>
  <si>
    <t>1981-, Russian-born star of the tennis court and internet.</t>
  </si>
  <si>
    <t>ggju</t>
  </si>
  <si>
    <t>Anne Frank</t>
  </si>
  <si>
    <t>1929-45, German Jewish girl who wrote in her diary about her family hiding from the Nazis. She died in a concentration camp.</t>
  </si>
  <si>
    <t>am{l</t>
  </si>
  <si>
    <t>Antarctica</t>
  </si>
  <si>
    <t>Home to the lowest temperature ever recorded on earth, -126.9 F.</t>
  </si>
  <si>
    <t>idxr</t>
  </si>
  <si>
    <t>Anthony Hopkins</t>
  </si>
  <si>
    <t>1937-, British actor starred in “The Elephant Man”, “Howard’s End”, and, of course, “The Silence Of The Lambs.” Knighted in 1992.</t>
  </si>
  <si>
    <t>rxnx</t>
  </si>
  <si>
    <t>Anthrax</t>
  </si>
  <si>
    <t>A potentially deadly infectious disease caused by spore bacteria. Anthrax has been developed as a biological weapon.</t>
  </si>
  <si>
    <t>kriz</t>
  </si>
  <si>
    <t>Antiques Roadshow</t>
  </si>
  <si>
    <t>PBS television program where folks bring oddities for appraisal. One person’s trash is another one’s treasure.</t>
  </si>
  <si>
    <t>obcq</t>
  </si>
  <si>
    <t>Antony &amp; Cleopatra</t>
  </si>
  <si>
    <t>Roman general and Egyptian queen. A love affair that wouldn’t die. Oh, wait, it did.</t>
  </si>
  <si>
    <t>hhmh</t>
  </si>
  <si>
    <t>Ants</t>
  </si>
  <si>
    <t>Some are black and some are red. I don’t want them in my bed!</t>
  </si>
  <si>
    <t>nhnb</t>
  </si>
  <si>
    <t>Apple Juice</t>
  </si>
  <si>
    <t>Baby’s first juice.</t>
  </si>
  <si>
    <t>trsk</t>
  </si>
  <si>
    <t>Apple Pie</t>
  </si>
  <si>
    <t>It's as American as… as… something…</t>
  </si>
  <si>
    <t>ferp</t>
  </si>
  <si>
    <t>Apples</t>
  </si>
  <si>
    <t>More than 40 million metric tons are produced worldwide every year. How ’bout them apples?</t>
  </si>
  <si>
    <t>hzqo</t>
  </si>
  <si>
    <t>Johnny Appleseed traveled across the United States planting seeds for apple trees.</t>
  </si>
  <si>
    <t>nwsz</t>
  </si>
  <si>
    <t>Apples &amp; Oranges</t>
  </si>
  <si>
    <t>Don't even TRY to compare them.</t>
  </si>
  <si>
    <t>oxti</t>
  </si>
  <si>
    <t>Aristotle</t>
  </si>
  <si>
    <t>384-322 B.C., ancient Greek philosopher. His writings formed the foundation for much of today’s philosophical and political thought.</t>
  </si>
  <si>
    <t>qesv</t>
  </si>
  <si>
    <t>Arm &amp; A Leg</t>
  </si>
  <si>
    <t>Sure, they were free, but just try replacing them.</t>
  </si>
  <si>
    <t>i{pw</t>
  </si>
  <si>
    <t>Armadillo</t>
  </si>
  <si>
    <t>Burrowing mammal with armor-like bony plat covering. Roadkill extraordinaire.</t>
  </si>
  <si>
    <t>elgn</t>
  </si>
  <si>
    <t>Armed Robbery</t>
  </si>
  <si>
    <t>You got your Robbery, your Armed Robbery, your Strong Armed Robbery, and, of course, the five finger discount.</t>
  </si>
  <si>
    <t>wnfw</t>
  </si>
  <si>
    <t>Arnold Schwarzenegger</t>
  </si>
  <si>
    <t>1947-, Austrian born body-builder turned actor. “My body is like breakfast, lunch, and dinner. I don’t think about it, I just have it.”</t>
  </si>
  <si>
    <t>sypw</t>
  </si>
  <si>
    <t>Aroma Therapy</t>
  </si>
  <si>
    <t>Alternative medicine. Something’s smelly about it.</t>
  </si>
  <si>
    <t>otgn</t>
  </si>
  <si>
    <t>Arsenic &amp; Old Lace</t>
  </si>
  <si>
    <t>The hilarious dark comedy written by Joseph Kesselring, or the 1944 film adaptation by Frank Capra.</t>
  </si>
  <si>
    <t>ddiw</t>
  </si>
  <si>
    <t>Artists</t>
  </si>
  <si>
    <t>So creative!</t>
  </si>
  <si>
    <t>skey</t>
  </si>
  <si>
    <t>Assault &amp; Battery</t>
  </si>
  <si>
    <t>That would be a single “A” battery.</t>
  </si>
  <si>
    <t>yvsk</t>
  </si>
  <si>
    <t>Assembly Lines</t>
  </si>
  <si>
    <t>Faster. FASTER!</t>
  </si>
  <si>
    <t>zxuf</t>
  </si>
  <si>
    <t>Astronauts</t>
  </si>
  <si>
    <t>It’s a great day for a space walk!</t>
  </si>
  <si>
    <t>vvln</t>
  </si>
  <si>
    <t>At My Parent's House</t>
  </si>
  <si>
    <t>Like never-never land, you’re never seen as an adult here.</t>
  </si>
  <si>
    <t>houw</t>
  </si>
  <si>
    <t>Atlantis</t>
  </si>
  <si>
    <t>Mythological city where the folks had that sinking feeling.</t>
  </si>
  <si>
    <t>ildb</t>
  </si>
  <si>
    <t>Atomic Bombs</t>
  </si>
  <si>
    <t>The Italian physicist Enrico Fermi succeeded in producing the first nuclear chain reaction in 1942, at the University of Chicago.</t>
  </si>
  <si>
    <t>mapk</t>
  </si>
  <si>
    <t>Attack On Pearl Harbor</t>
  </si>
  <si>
    <t>“Yesterday, December 7th, 1941, a date which will live in infamy…” —Franklin D. Roosevelt</t>
  </si>
  <si>
    <t>twtw</t>
  </si>
  <si>
    <t>Austin Powers</t>
  </si>
  <si>
    <t>Fictional British man of mystery. Yeah, bay-beee, yeah!</t>
  </si>
  <si>
    <t>mhub</t>
  </si>
  <si>
    <t>Australian Outback</t>
  </si>
  <si>
    <t>Beware of dangerous temperatures, strange animals, and didgeridoos.</t>
  </si>
  <si>
    <t>fjec</t>
  </si>
  <si>
    <t>Babe Ruth</t>
  </si>
  <si>
    <t>1895-1948, American baseball legend, and one heck of a candy bar!</t>
  </si>
  <si>
    <t>tvvp</t>
  </si>
  <si>
    <t>Babies</t>
  </si>
  <si>
    <t>Little bundles of joy… and who needs sleep, anyway?</t>
  </si>
  <si>
    <t>hycd</t>
  </si>
  <si>
    <t>Very young children or infants. They cry a lot!</t>
  </si>
  <si>
    <t>kigu</t>
  </si>
  <si>
    <t>Baby Dolls</t>
  </si>
  <si>
    <t>Some of them talk, some of them walk, and some even wet their pants!</t>
  </si>
  <si>
    <t>wilu</t>
  </si>
  <si>
    <t>Baby Food</t>
  </si>
  <si>
    <t>Strained peas and mushy meat. Doesn’t that sound good?</t>
  </si>
  <si>
    <t>kwvp</t>
  </si>
  <si>
    <t>Baby Showers</t>
  </si>
  <si>
    <t>Baby showers may bring flowers…</t>
  </si>
  <si>
    <t>ofup</t>
  </si>
  <si>
    <t>Babysitters</t>
  </si>
  <si>
    <t>The good ones let you stay up late.</t>
  </si>
  <si>
    <t>xqxg</t>
  </si>
  <si>
    <t>Backstreet Boys</t>
  </si>
  <si>
    <t>The latest American pop boy band. Which one do you think is the cutest?</t>
  </si>
  <si>
    <t>owgz</t>
  </si>
  <si>
    <t>Backyards</t>
  </si>
  <si>
    <t>Your playground at home!</t>
  </si>
  <si>
    <t>neey</t>
  </si>
  <si>
    <t>Bacon</t>
  </si>
  <si>
    <t>Meat from a pig, flavored with salt and smoke. Oink!</t>
  </si>
  <si>
    <t>mbfe</t>
  </si>
  <si>
    <t>Bad Dogs</t>
  </si>
  <si>
    <t>Bad dog, bad dog. What’cha gonna do?</t>
  </si>
  <si>
    <t>ompy</t>
  </si>
  <si>
    <t>Bad Dreams</t>
  </si>
  <si>
    <t>Like good dreams, but with monsters.</t>
  </si>
  <si>
    <t>vitz</t>
  </si>
  <si>
    <t>Bagels And Lox</t>
  </si>
  <si>
    <t>A perfect snack for salmon-chanted evening…</t>
  </si>
  <si>
    <t>lift</t>
  </si>
  <si>
    <t>Bagpipes</t>
  </si>
  <si>
    <t>A shrill-toned musical instrument consisting of a leather bag and pipes. Also available in plaid.</t>
  </si>
  <si>
    <t>skkc</t>
  </si>
  <si>
    <t>Baked Beans</t>
  </si>
  <si>
    <t>Add a little bacon, brown sugar and Beano!</t>
  </si>
  <si>
    <t>hbrd</t>
  </si>
  <si>
    <t>Baked Potatoes</t>
  </si>
  <si>
    <t>Hot potato, couch potato, potato head, twice baked, half-baked, …whatever.</t>
  </si>
  <si>
    <t>uuru</t>
  </si>
  <si>
    <t>Baking Cookies</t>
  </si>
  <si>
    <t>An experience only surpassed by eating them.</t>
  </si>
  <si>
    <t>egpg</t>
  </si>
  <si>
    <t>Mix up the dough and put them in the oven.</t>
  </si>
  <si>
    <t>ifbq</t>
  </si>
  <si>
    <t>Bald Eagles</t>
  </si>
  <si>
    <t>Known for their majestic appearance and powerful flight. In 1782, the bald eagle was chosen as the emblem of the United States.</t>
  </si>
  <si>
    <t>khfm</t>
  </si>
  <si>
    <t>They're not really bald. The white feathers on their heads make them look that way.</t>
  </si>
  <si>
    <t>acms</t>
  </si>
  <si>
    <t>Ball &amp; Chain</t>
  </si>
  <si>
    <t>Don’t let it get you down.</t>
  </si>
  <si>
    <t>sngq</t>
  </si>
  <si>
    <t>Ballerinas</t>
  </si>
  <si>
    <t>It takes years of training before a ballerina can dance in toe shoes.</t>
  </si>
  <si>
    <t>bgxv</t>
  </si>
  <si>
    <t>Beautiful, graceful dancers who are always on their toes.</t>
  </si>
  <si>
    <t>wbfz</t>
  </si>
  <si>
    <t>Balloons</t>
  </si>
  <si>
    <t>Lots of colors, shapes, and sizes.</t>
  </si>
  <si>
    <t>nszh</t>
  </si>
  <si>
    <t>Ballroom Dancing</t>
  </si>
  <si>
    <t>Fox-trots, tangos, cha-chas, and more! Are you ready to rumba?</t>
  </si>
  <si>
    <t>jpcf</t>
  </si>
  <si>
    <t>Bananas</t>
  </si>
  <si>
    <t>Monkeys like them a bunch!</t>
  </si>
  <si>
    <t>xcen</t>
  </si>
  <si>
    <t>Band-Aids</t>
  </si>
  <si>
    <t>Available in lots of colors and shapes. A fun way to cover cuts and scrapes.</t>
  </si>
  <si>
    <t>ierd</t>
  </si>
  <si>
    <t>Bangkok</t>
  </si>
  <si>
    <t>Capital of Thailand. Location: near the Gulf of Siam. Population: five million. Reputation: seedy.</t>
  </si>
  <si>
    <t>rvxk</t>
  </si>
  <si>
    <t>Bankruptcy</t>
  </si>
  <si>
    <t>It’ll be the debt of you.</t>
  </si>
  <si>
    <t>qikn</t>
  </si>
  <si>
    <t>Barbara Walters</t>
  </si>
  <si>
    <t>1931-, American television journalist and author. Voted one of the most important women of the century by “Ladies Home Journal.”</t>
  </si>
  <si>
    <t>bslc</t>
  </si>
  <si>
    <t>Barbed Wire</t>
  </si>
  <si>
    <t>Wire with sharp points, used for fences. Created havoc on the western frontier.</t>
  </si>
  <si>
    <t>kduc</t>
  </si>
  <si>
    <t>Barbershops</t>
  </si>
  <si>
    <t>It’s a beauty shop for guys.</t>
  </si>
  <si>
    <t>zhma</t>
  </si>
  <si>
    <t>Barbie &amp; Ken</t>
  </si>
  <si>
    <t>Ah, to be blond and plastic…</t>
  </si>
  <si>
    <t>lnyb</t>
  </si>
  <si>
    <t>Barbie Dolls</t>
  </si>
  <si>
    <t>Tall, thin, fashion dolls with lots of clothes and tiny feet.</t>
  </si>
  <si>
    <t>vocv</t>
  </si>
  <si>
    <t>Barfing</t>
  </si>
  <si>
    <t>We didn’t want to bring that up…</t>
  </si>
  <si>
    <t>jwql</t>
  </si>
  <si>
    <t>Barney</t>
  </si>
  <si>
    <t>Purple dinosaur. “I love you, you love me, blah, blah, blah…”</t>
  </si>
  <si>
    <t>ms{y</t>
  </si>
  <si>
    <t>A large, purple dinosaur. “I love you, you love me.”</t>
  </si>
  <si>
    <t>quqo</t>
  </si>
  <si>
    <t>Bart Simpson</t>
  </si>
  <si>
    <t>Fictional animated character. “Don’t have a cow, man!”</t>
  </si>
  <si>
    <t>mzlr</t>
  </si>
  <si>
    <t>Baseball</t>
  </si>
  <si>
    <t>Its one, two, three strikes you’re out…</t>
  </si>
  <si>
    <t>jmkq</t>
  </si>
  <si>
    <t>Baseball Fields</t>
  </si>
  <si>
    <t>It's 90 feet from home plate to first base. But it seems longer when you’re trying to reach it!</t>
  </si>
  <si>
    <t>wnsf</t>
  </si>
  <si>
    <t>Baseball Games</t>
  </si>
  <si>
    <t>“One, two, three strikes, YOU'RE OUT!”</t>
  </si>
  <si>
    <t>wfaq</t>
  </si>
  <si>
    <t>Basketball</t>
  </si>
  <si>
    <t>Some basketball players are over seven feet tall.</t>
  </si>
  <si>
    <t>axww</t>
  </si>
  <si>
    <t>Bates Motel</t>
  </si>
  <si>
    <t>The haunt of Alfred Hitchcock’s psycho, Norman Bates… and mother, of course…</t>
  </si>
  <si>
    <t>ioyf</t>
  </si>
  <si>
    <t>Batman</t>
  </si>
  <si>
    <t>How does Batman's mother call him home? “Dinner, dinner, dinner, dinner, dinner, dinner, dinner, dinner BATMAN!”</t>
  </si>
  <si>
    <t>izkl</t>
  </si>
  <si>
    <t>A superhero who wears a black mask and cape. He drives the Batmobile.</t>
  </si>
  <si>
    <t>{rjq</t>
  </si>
  <si>
    <t>Batman &amp; Robin</t>
  </si>
  <si>
    <t>Superheroes or vigilantes, you make the call.</t>
  </si>
  <si>
    <t>coqs</t>
  </si>
  <si>
    <t>Bats</t>
  </si>
  <si>
    <t>The little brown bat consumes as many as 600 mosquitoes in an hour. The vampire bat dines elsewhere…</t>
  </si>
  <si>
    <t>rvqr</t>
  </si>
  <si>
    <t>Either furry little animals that fly, or sticks used to hit baseballs.</t>
  </si>
  <si>
    <t>hhhz</t>
  </si>
  <si>
    <t>Bats &amp; Balls</t>
  </si>
  <si>
    <t>At least they don’t go on strike.</t>
  </si>
  <si>
    <t>pslr</t>
  </si>
  <si>
    <t>BB Guns</t>
  </si>
  <si>
    <t>“You’ll shoot your eye out!”</t>
  </si>
  <si>
    <t>qxlp</t>
  </si>
  <si>
    <t>Beach Balls</t>
  </si>
  <si>
    <t>Blow them up and watch them blow away!</t>
  </si>
  <si>
    <t>dgcb</t>
  </si>
  <si>
    <t>Beach Parties</t>
  </si>
  <si>
    <t>Up for some “Beach Blanket Bingo,” Annette?</t>
  </si>
  <si>
    <t>tvuy</t>
  </si>
  <si>
    <t>Beanbag Chairs</t>
  </si>
  <si>
    <t>For beanbag butts…</t>
  </si>
  <si>
    <t>cfxe</t>
  </si>
  <si>
    <t>Beanie Babies</t>
  </si>
  <si>
    <t>Tiny plush collectible to love and cherish. Don't take that tag off!</t>
  </si>
  <si>
    <t>yvbv</t>
  </si>
  <si>
    <t>Little bean bag creatures that can be played with or collected.</t>
  </si>
  <si>
    <t>unpl</t>
  </si>
  <si>
    <t>Bears</t>
  </si>
  <si>
    <t>Large, shaggy animals with sharp claws and little tails. Sometimes they are named Teddy.</t>
  </si>
  <si>
    <t>jaqw</t>
  </si>
  <si>
    <t>Beauty &amp; The Beast</t>
  </si>
  <si>
    <t>A French fairy tale, animated by Disney in 1991.</t>
  </si>
  <si>
    <t>zlls</t>
  </si>
  <si>
    <t>Beauty And The Beast</t>
  </si>
  <si>
    <t>A tale as old as time… so Disney didn’t have to pay royalties.</t>
  </si>
  <si>
    <t>dxjr</t>
  </si>
  <si>
    <t>Beavis &amp; Butt-Head</t>
  </si>
  <si>
    <t>He said “butt.” Huh-huh. Huh-huh.</t>
  </si>
  <si>
    <t>fswo</t>
  </si>
  <si>
    <t>Bed &amp; Breakfast</t>
  </si>
  <si>
    <t>Not the same as breakfast in bed.</t>
  </si>
  <si>
    <t>gwnn</t>
  </si>
  <si>
    <t>Bee Stings</t>
  </si>
  <si>
    <t>Leave the bees alone—and they’ll leave you alone.</t>
  </si>
  <si>
    <t>tdqo</t>
  </si>
  <si>
    <t>Beef Stew</t>
  </si>
  <si>
    <t>Meat, potatoes, carrots, onions…</t>
  </si>
  <si>
    <t>hmoo</t>
  </si>
  <si>
    <t>Beer</t>
  </si>
  <si>
    <t>“Beer is proof that God loves us and wants us to be happy.”—Benjamin Franklin</t>
  </si>
  <si>
    <t>twgz</t>
  </si>
  <si>
    <t>Beer &amp; Pretzels</t>
  </si>
  <si>
    <t>“these pretzels are making me thirsty” —Cosmo Kramer, Seinfeld</t>
  </si>
  <si>
    <t>rtkj</t>
  </si>
  <si>
    <t>Beer Bellies</t>
  </si>
  <si>
    <t>Just think of them as microbreweries.</t>
  </si>
  <si>
    <t>rvjn</t>
  </si>
  <si>
    <t>Beethoven</t>
  </si>
  <si>
    <t>1770-1827, German composer, considered one of the greatest of the western world.</t>
  </si>
  <si>
    <t>vwxf</t>
  </si>
  <si>
    <t>Beets</t>
  </si>
  <si>
    <t>Round purplish-red vegetables. Do you like beets?</t>
  </si>
  <si>
    <t>rfhe</t>
  </si>
  <si>
    <t>Beats Brussels sprout.</t>
  </si>
  <si>
    <t>hwis</t>
  </si>
  <si>
    <t>Being &amp; Nothingness</t>
  </si>
  <si>
    <t>Jean Paul Satre’s 1943 work based on the distinction between things that exist by themselves and those that exist for themselves.</t>
  </si>
  <si>
    <t>t{zk</t>
  </si>
  <si>
    <t>Being In Love</t>
  </si>
  <si>
    <t>“Love's like the measles, all the worse when it comes late.”—Douglas Jerrold</t>
  </si>
  <si>
    <t>ptkz</t>
  </si>
  <si>
    <t>Bell-Bottoms</t>
  </si>
  <si>
    <t>Bell-bottoms and pea coats. Who would have thought the Navy could be such a trendsetter?</t>
  </si>
  <si>
    <t>uryw</t>
  </si>
  <si>
    <t>Bells &amp; Whistles</t>
  </si>
  <si>
    <t>It’s got everything!</t>
  </si>
  <si>
    <t>ehsb</t>
  </si>
  <si>
    <t>Belt Buckles</t>
  </si>
  <si>
    <t>Cowboys like them fancy and pilgrims like them plain.</t>
  </si>
  <si>
    <t>zcco</t>
  </si>
  <si>
    <t>Ben Stiller</t>
  </si>
  <si>
    <t>1965-, American actor, director, and funny guy of Reality Bites, There’s Something About Mary, and Meet The Parents</t>
  </si>
  <si>
    <t>lefd</t>
  </si>
  <si>
    <t>Berlin - 1945</t>
  </si>
  <si>
    <t>Adolph Hitler’s last stand. Bunker… I mean -hunker down, soldier.</t>
  </si>
  <si>
    <t>{wtt</t>
  </si>
  <si>
    <t>Bert &amp; Ernie</t>
  </si>
  <si>
    <t>Sesame Street’s muppet buddies.</t>
  </si>
  <si>
    <t>ukjy</t>
  </si>
  <si>
    <t>Bert And Ernie</t>
  </si>
  <si>
    <t>Two nice guys in striped shirts who live on Sesame Street.</t>
  </si>
  <si>
    <t>yqfm</t>
  </si>
  <si>
    <t>Big Bang Theory</t>
  </si>
  <si>
    <t>A cosmological theory for the origin of the universe. An explosive idea!</t>
  </si>
  <si>
    <t>ykan</t>
  </si>
  <si>
    <t>Big Bird</t>
  </si>
  <si>
    <t>Beloved Sesame Street character, or the not-necessarily-beloved U.S. spy satellite.</t>
  </si>
  <si>
    <t>yfce</t>
  </si>
  <si>
    <t>A very large, yellow bird who lives on Sesame Street with Bert and Ernie.</t>
  </si>
  <si>
    <t>hxyt</t>
  </si>
  <si>
    <t>Big Cities</t>
  </si>
  <si>
    <t>Very large towns, like New York, Los Angeles and Chicago.</t>
  </si>
  <si>
    <t>gorf</t>
  </si>
  <si>
    <t>Big Dogs</t>
  </si>
  <si>
    <t>An adult Saint Bernard weighs over 170 pounds.</t>
  </si>
  <si>
    <t>djxt</t>
  </si>
  <si>
    <t>Big Macs</t>
  </si>
  <si>
    <t>T w o  a l l  b e e f  p a t t i e s  s p e c i a l  s a u c e  l e t t u c e  c h e e s e  p i c k l e s  o n i o n s  o n  a  s e s a m e  s e e d  b u n .</t>
  </si>
  <si>
    <t>t{ih</t>
  </si>
  <si>
    <t>Bigfoot</t>
  </si>
  <si>
    <t>Legendary North American monster, a.k.a. Sasquatch or the Abominable Snowman.</t>
  </si>
  <si>
    <t>beuk</t>
  </si>
  <si>
    <t>Bill &amp; Ted</t>
  </si>
  <si>
    <t>Characters in Keanu Reeves’ excellent time-travel adventure film. Yeah, dude.</t>
  </si>
  <si>
    <t>ixur</t>
  </si>
  <si>
    <t>Bill Clinton</t>
  </si>
  <si>
    <t>1946-, popular, yet embattled, 42nd president of the United States.</t>
  </si>
  <si>
    <t>jfjf</t>
  </si>
  <si>
    <t>Bill Gates</t>
  </si>
  <si>
    <t>1955-, chairman and chief software architect of Microsoft Corporation. A very rich guy.</t>
  </si>
  <si>
    <t>zenz</t>
  </si>
  <si>
    <t>Bill Murray</t>
  </si>
  <si>
    <t>1950-, American actor and comedian. Star of Ghostbusters, Stripes, Groundhog Day, and Lost In Translation.</t>
  </si>
  <si>
    <t>jtru</t>
  </si>
  <si>
    <t>Billboards</t>
  </si>
  <si>
    <t>Only 1,254 miles to Wall Drug…</t>
  </si>
  <si>
    <t>vbcg</t>
  </si>
  <si>
    <t>Billy Crystal</t>
  </si>
  <si>
    <t>1947-, American comedian, actor and director. He looks maaaaah-velous.</t>
  </si>
  <si>
    <t>reuk</t>
  </si>
  <si>
    <t>Bingo</t>
  </si>
  <si>
    <t>“There was a farmer, had a dog, and Bingo was his name-o…”</t>
  </si>
  <si>
    <t>ubrr</t>
  </si>
  <si>
    <t>Get five in a row. BINGO!</t>
  </si>
  <si>
    <t>pixd</t>
  </si>
  <si>
    <t>Bird Watching</t>
  </si>
  <si>
    <t>A hobby that relies on a wing and a prayer.</t>
  </si>
  <si>
    <t>hwuz</t>
  </si>
  <si>
    <t>Birds</t>
  </si>
  <si>
    <t>“Birds of a feather, flock together.”</t>
  </si>
  <si>
    <t>wsbb</t>
  </si>
  <si>
    <t>Birthday Cake</t>
  </si>
  <si>
    <t>What kind of cake, white or chocolate?</t>
  </si>
  <si>
    <t>ubjq</t>
  </si>
  <si>
    <t>Black Cats</t>
  </si>
  <si>
    <t>It’s bad luck if they cross your path. You might step in a hairball!</t>
  </si>
  <si>
    <t>egwa</t>
  </si>
  <si>
    <t>They’re not really bad luck!</t>
  </si>
  <si>
    <t>aklz</t>
  </si>
  <si>
    <t>Black Holes</t>
  </si>
  <si>
    <t>The gravitational field of a black hole is so strong that nothing, including light, can escape from its vicinity.</t>
  </si>
  <si>
    <t>uwtp</t>
  </si>
  <si>
    <t>Black Licorice</t>
  </si>
  <si>
    <t>Alexander the Great and Julius Caesar both endorsed the beneficial properties of Licorice. No word on black jelly beans…</t>
  </si>
  <si>
    <t>nhsb</t>
  </si>
  <si>
    <t>Black Lingerie</t>
  </si>
  <si>
    <t>Victoria’s REAL secret: selling skimpy negligees at hefty price…</t>
  </si>
  <si>
    <t>jxkl</t>
  </si>
  <si>
    <t>Black Velvet</t>
  </si>
  <si>
    <t>Smooth, silky and sophisticated… until you paint an Elvis on it.</t>
  </si>
  <si>
    <t>nzpk</t>
  </si>
  <si>
    <t>Blackouts</t>
  </si>
  <si>
    <t>They can occur at any</t>
  </si>
  <si>
    <t>izfo</t>
  </si>
  <si>
    <t>Blizzard</t>
  </si>
  <si>
    <t>Extreme cold, strong winds, and a head snowfall. Also known as Canada.</t>
  </si>
  <si>
    <t>pwxw</t>
  </si>
  <si>
    <t>Blood</t>
  </si>
  <si>
    <t>A healthy human body contains between five and six quarts of blood. Bloody right they do!</t>
  </si>
  <si>
    <t>uain</t>
  </si>
  <si>
    <t>Blood carries oxygen and nutrients throughout the body.</t>
  </si>
  <si>
    <t>gmdb</t>
  </si>
  <si>
    <t>Blood &amp; Tears</t>
  </si>
  <si>
    <t>Don’t forget the sweat.</t>
  </si>
  <si>
    <t>wthd</t>
  </si>
  <si>
    <t>Blowing Bubbles</t>
  </si>
  <si>
    <t>The bigger the better!</t>
  </si>
  <si>
    <t>ngxd</t>
  </si>
  <si>
    <t>Blowing Your Nose</t>
  </si>
  <si>
    <t>Please use a tissue!</t>
  </si>
  <si>
    <t>kacg</t>
  </si>
  <si>
    <t>Blue Velvet</t>
  </si>
  <si>
    <t>An elegant, textured fabric, Bobby Vinton love song, or David Lynch’s bizarre 1986 film about the dark side of small-town America.</t>
  </si>
  <si>
    <t>royg</t>
  </si>
  <si>
    <t>Blueberries</t>
  </si>
  <si>
    <t>Blueberries will stain your teeth. Smile!</t>
  </si>
  <si>
    <t>zbds</t>
  </si>
  <si>
    <t>Board Games</t>
  </si>
  <si>
    <t>Games have been played for thousands of years. Some games of Monopoly just SEEM that long.</t>
  </si>
  <si>
    <t>vscn</t>
  </si>
  <si>
    <t>Boardwalk &amp; Park Place</t>
  </si>
  <si>
    <t>Top of the line in the real estate game.</t>
  </si>
  <si>
    <t>uoiw</t>
  </si>
  <si>
    <t>Boats</t>
  </si>
  <si>
    <t>“Row, row, row your boat!”</t>
  </si>
  <si>
    <t>rhsc</t>
  </si>
  <si>
    <t>Body &amp; Soul</t>
  </si>
  <si>
    <t>Just tryin’ to keep it all together.</t>
  </si>
  <si>
    <t>z{rs</t>
  </si>
  <si>
    <t>Body Odor</t>
  </si>
  <si>
    <t>Over $1.6 billion is spent each year on antiperspirants in the United States. That stinks!</t>
  </si>
  <si>
    <t>gcqw</t>
  </si>
  <si>
    <t>Body Piercing</t>
  </si>
  <si>
    <t>YOU STUCK WHAT? WHERE?</t>
  </si>
  <si>
    <t>lumd</t>
  </si>
  <si>
    <t>Body Snatchers</t>
  </si>
  <si>
    <t>We’d be worried, but nobody would want to snatch OUR bodies…</t>
  </si>
  <si>
    <t>orbl</t>
  </si>
  <si>
    <t>Body Surfing</t>
  </si>
  <si>
    <t>When you’re too cheap to buy a surfboard.</t>
  </si>
  <si>
    <t>sdrd</t>
  </si>
  <si>
    <t>Bodybuilders</t>
  </si>
  <si>
    <t>If you build it they will come.</t>
  </si>
  <si>
    <t>bdxb</t>
  </si>
  <si>
    <t>Bonbons</t>
  </si>
  <si>
    <t>Sweets for the sweet…</t>
  </si>
  <si>
    <t>nxqp</t>
  </si>
  <si>
    <t>Bongos</t>
  </si>
  <si>
    <t>Small drums played with the fingers. Used in Latin American and African music. The choice of American beat poets.</t>
  </si>
  <si>
    <t>{moc</t>
  </si>
  <si>
    <t>Bonnie &amp; Clyde</t>
  </si>
  <si>
    <t>American outlaws of the 1920s, played by Faye Dunaway and Warren Beatty in the 1967 film.</t>
  </si>
  <si>
    <t>ywzs</t>
  </si>
  <si>
    <t>Bora Bora</t>
  </si>
  <si>
    <t>Volcanic island in the Pacific. Good oranges and vanilla.</t>
  </si>
  <si>
    <t>kgwh</t>
  </si>
  <si>
    <t>Bottled Water</t>
  </si>
  <si>
    <t>How much are you willing to pay for something you can get for free?</t>
  </si>
  <si>
    <t>vqdi</t>
  </si>
  <si>
    <t>Bow &amp; Arrows</t>
  </si>
  <si>
    <t>More effective than sticks and stones.</t>
  </si>
  <si>
    <t>tcfo</t>
  </si>
  <si>
    <t>Bowling</t>
  </si>
  <si>
    <t>A game played by rolling a heavy ball so that it knocks down wooden pins. A perfect score is 300.</t>
  </si>
  <si>
    <t>ckim</t>
  </si>
  <si>
    <t>Three strikes and you’re in.</t>
  </si>
  <si>
    <t>cjib</t>
  </si>
  <si>
    <t>Boxing</t>
  </si>
  <si>
    <t>An ancient and honorable sport not just for boys anymore…</t>
  </si>
  <si>
    <t>uqqy</t>
  </si>
  <si>
    <t>Boy Scouts</t>
  </si>
  <si>
    <t>International organization for boys and young men founded in England in 1908, to foster character, citizenship and outdoor life.</t>
  </si>
  <si>
    <t>ktyh</t>
  </si>
  <si>
    <t>On my honor, I will do my best… and learn to camp.</t>
  </si>
  <si>
    <t>urzd</t>
  </si>
  <si>
    <t>Boyfriends</t>
  </si>
  <si>
    <t>“My boyfriend’s back and you’re gonna be in trouble.” —The Angels</t>
  </si>
  <si>
    <t>xpcw</t>
  </si>
  <si>
    <t>We're just friends!</t>
  </si>
  <si>
    <t>ycqa</t>
  </si>
  <si>
    <t>Boys</t>
  </si>
  <si>
    <t>“Snips and snails and puppy dog tails.”</t>
  </si>
  <si>
    <t>wpij</t>
  </si>
  <si>
    <t>Braces</t>
  </si>
  <si>
    <t>No more gum, no caramels, no corn on the cob.</t>
  </si>
  <si>
    <t>ixdx</t>
  </si>
  <si>
    <t>Brad Pitt</t>
  </si>
  <si>
    <t>1963-, American actor and heart-throb.</t>
  </si>
  <si>
    <t>rwbx</t>
  </si>
  <si>
    <t>Brain Surgeons</t>
  </si>
  <si>
    <t>Hey, it ain’t brain surgery… oh… wait a second…</t>
  </si>
  <si>
    <t>qeus</t>
  </si>
  <si>
    <t>Brains</t>
  </si>
  <si>
    <t>Vital to human existence and mad scientists.</t>
  </si>
  <si>
    <t>vcnm</t>
  </si>
  <si>
    <t>It’s all in your head.</t>
  </si>
  <si>
    <t>jtjx</t>
  </si>
  <si>
    <t>Bread &amp; Water</t>
  </si>
  <si>
    <t>Make that a baguette and a bottle of Perrier.</t>
  </si>
  <si>
    <t>wljv</t>
  </si>
  <si>
    <t>Breaking &amp; Entering</t>
  </si>
  <si>
    <t>“Honest, Officer, I lost my keys.”</t>
  </si>
  <si>
    <t>qqoy</t>
  </si>
  <si>
    <t>Bride &amp; Groom</t>
  </si>
  <si>
    <t>“With this ring…”</t>
  </si>
  <si>
    <t>unfq</t>
  </si>
  <si>
    <t>Britney Spears</t>
  </si>
  <si>
    <t>1981-, American singer. From mouseketeer to international pop star.</t>
  </si>
  <si>
    <t>mtlf</t>
  </si>
  <si>
    <t>Broadway</t>
  </si>
  <si>
    <t>The New York theater district. “They say the neon lights shine bright on Broadway.” —Barry Mann</t>
  </si>
  <si>
    <t>xfg{</t>
  </si>
  <si>
    <t>Brooks &amp; Dunn</t>
  </si>
  <si>
    <t>Extremely successful country &amp; honky-tonk music duo. “If they don’t dance, you’re dead.” —Ronnie Dunn</t>
  </si>
  <si>
    <t>oglo</t>
  </si>
  <si>
    <t>Brothers</t>
  </si>
  <si>
    <t>Oh, brother!</t>
  </si>
  <si>
    <t>nqwc</t>
  </si>
  <si>
    <t>Brothers &amp; Sisters</t>
  </si>
  <si>
    <t>“You can pick your friends, but…”</t>
  </si>
  <si>
    <t>mxij</t>
  </si>
  <si>
    <t>Bruce Willis</t>
  </si>
  <si>
    <t>1955-, Diehard American action movie star who has moonlighted on TV. He also starred in “Pulp Fiction”, “Armageddon” and “The Sixth Sense.”</t>
  </si>
  <si>
    <t>xeyu</t>
  </si>
  <si>
    <t>Bruises</t>
  </si>
  <si>
    <t>The dark color of a bruise is caused by broken blood vessels under the skin.</t>
  </si>
  <si>
    <t>wqwg</t>
  </si>
  <si>
    <t>Brushing Your Teeth</t>
  </si>
  <si>
    <t>Oh! What's that gunk stuck on your teeth?</t>
  </si>
  <si>
    <t>rmkz</t>
  </si>
  <si>
    <t>Bubble Bath</t>
  </si>
  <si>
    <t>Just add water!</t>
  </si>
  <si>
    <t>epxs</t>
  </si>
  <si>
    <t>Bubble Gum</t>
  </si>
  <si>
    <t>Chewing is easy, blowing bubbles is hard, getting it out of your hair is even harder.</t>
  </si>
  <si>
    <t>jgoz</t>
  </si>
  <si>
    <t>Crack it, snap it, pop it, and blow it!</t>
  </si>
  <si>
    <t>uqoi</t>
  </si>
  <si>
    <t>Bubbles</t>
  </si>
  <si>
    <t>“Tiny bubbles, in the wine/ Tiny bubble make me feel fine…” —Don Ho</t>
  </si>
  <si>
    <t>whiz</t>
  </si>
  <si>
    <t>Buddies</t>
  </si>
  <si>
    <t>Good friends people and pets.</t>
  </si>
  <si>
    <t>ushb</t>
  </si>
  <si>
    <t>Buffalo</t>
  </si>
  <si>
    <t>A large animal with a big, shaggy head and a hump on its back, native to North America.</t>
  </si>
  <si>
    <t>xvtr</t>
  </si>
  <si>
    <t>Bugs</t>
  </si>
  <si>
    <t>Ants, beetles, spiders, and roaches. It’s “A Bug’s Life.”</t>
  </si>
  <si>
    <t>v{ll</t>
  </si>
  <si>
    <t>Bugs Bunny</t>
  </si>
  <si>
    <t>A tall, skinny cartoon rabbit. “What’s up, Doc?”</t>
  </si>
  <si>
    <t>gmyd</t>
  </si>
  <si>
    <t>Bullfighting</t>
  </si>
  <si>
    <t>A traditional sport in some Spanish speaking countries.</t>
  </si>
  <si>
    <t>keey</t>
  </si>
  <si>
    <t>Bulls &amp; Bears</t>
  </si>
  <si>
    <t>On or off Wall Street.</t>
  </si>
  <si>
    <t>ihke</t>
  </si>
  <si>
    <t>Bullwinkle</t>
  </si>
  <si>
    <t>As in the cartoon “The Adventures of Rocky and Bullwinkle” the moose half of moose and squirrel.</t>
  </si>
  <si>
    <t>zdbx</t>
  </si>
  <si>
    <t>Bumble Bees</t>
  </si>
  <si>
    <t>Large, fuzzy bees with yellow and black stripes. Watch outthey sting!</t>
  </si>
  <si>
    <t>gdzg</t>
  </si>
  <si>
    <t>Bumper Cars</t>
  </si>
  <si>
    <t>Much like rush hour in Chicago.</t>
  </si>
  <si>
    <t>mrvt</t>
  </si>
  <si>
    <t>Bumper Stickers</t>
  </si>
  <si>
    <t>Your personal billboard!</t>
  </si>
  <si>
    <t>qeh{</t>
  </si>
  <si>
    <t>Bungee Jumping</t>
  </si>
  <si>
    <t>Another sport hanging on by a thread.</t>
  </si>
  <si>
    <t>aovy</t>
  </si>
  <si>
    <t>Bunk Beds</t>
  </si>
  <si>
    <t>Two single beds, one on top of the other. I want the top!</t>
  </si>
  <si>
    <t>sdzo</t>
  </si>
  <si>
    <t>Burger &amp; Fries</t>
  </si>
  <si>
    <t>“You want flies with that?”</t>
  </si>
  <si>
    <t>kmez</t>
  </si>
  <si>
    <t>Burned Toast</t>
  </si>
  <si>
    <t>Want some burned bacon with that?</t>
  </si>
  <si>
    <t>eunm</t>
  </si>
  <si>
    <t>Bus Drivers</t>
  </si>
  <si>
    <t>Don’t bother the bus driver.</t>
  </si>
  <si>
    <t>{wgz</t>
  </si>
  <si>
    <t>Butter</t>
  </si>
  <si>
    <t>What’s better than butter?</t>
  </si>
  <si>
    <t>mrhh</t>
  </si>
  <si>
    <t>Butterflies</t>
  </si>
  <si>
    <t>Butterflies flutter by.</t>
  </si>
  <si>
    <t>uxdp</t>
  </si>
  <si>
    <t>Buttons &amp; Bows</t>
  </si>
  <si>
    <t>Cute as a button, or a bow.</t>
  </si>
  <si>
    <t>{wze</t>
  </si>
  <si>
    <t>Buying A House</t>
  </si>
  <si>
    <t>If only we had the money, we could get a mortgage.</t>
  </si>
  <si>
    <t>zcll</t>
  </si>
  <si>
    <t>Buzz Lightyear</t>
  </si>
  <si>
    <t>The animated star of Toy Story. “To infinity and beyond!”</t>
  </si>
  <si>
    <t>jdu{</t>
  </si>
  <si>
    <t>Cabbage</t>
  </si>
  <si>
    <t>From the French word caboche, meaning “big head.”</t>
  </si>
  <si>
    <t>bshm</t>
  </si>
  <si>
    <t>Cactus</t>
  </si>
  <si>
    <t>Require little care and exhibit bizarre forms. As such, they are often mistaken for Survivalists.</t>
  </si>
  <si>
    <t>dfto</t>
  </si>
  <si>
    <t>California</t>
  </si>
  <si>
    <t>Sacramento is its capital, Los Angeles its largest city. Here we come.</t>
  </si>
  <si>
    <t>ctln</t>
  </si>
  <si>
    <t>Calvin &amp; Hobbs</t>
  </si>
  <si>
    <t>Bill Waterson’s late, great comic strip featuring a little boy and his tiger.</t>
  </si>
  <si>
    <t>gqkf</t>
  </si>
  <si>
    <t>Camelot</t>
  </si>
  <si>
    <t>“On second though, let’s not go to Camelot. ’Tis a silly place.” —King Arthur, Monty Python and the Holy Grail</t>
  </si>
  <si>
    <t>xxfw</t>
  </si>
  <si>
    <t>Camels</t>
  </si>
  <si>
    <t>One hump or two?</t>
  </si>
  <si>
    <t>gzke</t>
  </si>
  <si>
    <t>Cameras</t>
  </si>
  <si>
    <t>“And this is a picture from our summer vacation…”</t>
  </si>
  <si>
    <t>tiuv</t>
  </si>
  <si>
    <t>Campfire</t>
  </si>
  <si>
    <t>S’mores and songs. Gather ’round!</t>
  </si>
  <si>
    <t>yezo</t>
  </si>
  <si>
    <t>Camping</t>
  </si>
  <si>
    <t>Shhh! Did you hear that noise?</t>
  </si>
  <si>
    <t>puhx</t>
  </si>
  <si>
    <t>Camping Trip</t>
  </si>
  <si>
    <t>When you just have to get s'more nature.</t>
  </si>
  <si>
    <t>ecdt</t>
  </si>
  <si>
    <t>Canada</t>
  </si>
  <si>
    <t>Largest country in North America. Canada is located north of the U.S.</t>
  </si>
  <si>
    <t>ffzv</t>
  </si>
  <si>
    <t>Federated country of North America. The Great White Northeh?</t>
  </si>
  <si>
    <t>xpek</t>
  </si>
  <si>
    <t>Canadians</t>
  </si>
  <si>
    <t>How many Canadians does it take to screw in a lightbulb? Fifteen. Fourteen to chip it out of the ice, and one to screw it in.</t>
  </si>
  <si>
    <t>jmxk</t>
  </si>
  <si>
    <t>Candles</t>
  </si>
  <si>
    <t>How many candles are on your birthday cake?</t>
  </si>
  <si>
    <t>qnzo</t>
  </si>
  <si>
    <t>Candy</t>
  </si>
  <si>
    <t>Lollipops, jelly beans, chocolates, and lots more. All the good stuff!</t>
  </si>
  <si>
    <t>ckce</t>
  </si>
  <si>
    <t>Candy Corn</t>
  </si>
  <si>
    <t>It may be corn but it's not a vegetable.</t>
  </si>
  <si>
    <t>wxwx</t>
  </si>
  <si>
    <t>Canoes</t>
  </si>
  <si>
    <t>Light, narrow boats. Don't stand up!</t>
  </si>
  <si>
    <t>bevr</t>
  </si>
  <si>
    <t>Captain Kirk</t>
  </si>
  <si>
    <t>Fictional starship captain. “Beam me up Scotty, there is no intelligent life on this planet!” —bumper sticker, 1980s</t>
  </si>
  <si>
    <t>fiz{</t>
  </si>
  <si>
    <t>Car Bombs</t>
  </si>
  <si>
    <t>Not including the Ford Pinto, of course.</t>
  </si>
  <si>
    <t>qhkr</t>
  </si>
  <si>
    <t>Car Crash</t>
  </si>
  <si>
    <t>Always wear your seatbelt.</t>
  </si>
  <si>
    <t>kpel</t>
  </si>
  <si>
    <t>Car Horns</t>
  </si>
  <si>
    <t>Blow it, buddy!</t>
  </si>
  <si>
    <t>fhvz</t>
  </si>
  <si>
    <t>Card Games</t>
  </si>
  <si>
    <t>“Apples to Apples” might be fun!</t>
  </si>
  <si>
    <t>fs{n</t>
  </si>
  <si>
    <t>Carl Sagan</t>
  </si>
  <si>
    <t>1934-96, American astronomer and pioneer exobiologist. Touched many lives. Billions and billions of them.</t>
  </si>
  <si>
    <t>pmbh</t>
  </si>
  <si>
    <t>Carlos Santana</t>
  </si>
  <si>
    <t>1947-, guitar legend and member of the Rock and Roll Hall of Fame. Truly Supernatural.</t>
  </si>
  <si>
    <t>bejs</t>
  </si>
  <si>
    <t>Carnival Workers</t>
  </si>
  <si>
    <t>Step right up…</t>
  </si>
  <si>
    <t>rnyz</t>
  </si>
  <si>
    <t>Carpenters</t>
  </si>
  <si>
    <t>Hammering and sawing- it’s just wood work.</t>
  </si>
  <si>
    <t>twtm</t>
  </si>
  <si>
    <t>Carrot &amp; A Stick</t>
  </si>
  <si>
    <t>The ultimate motivator… for a donkey.</t>
  </si>
  <si>
    <t>xtwx</t>
  </si>
  <si>
    <t>Carrots</t>
  </si>
  <si>
    <t>Bugs Bunny’s favorite food.</t>
  </si>
  <si>
    <t>tydc</t>
  </si>
  <si>
    <t>Cary Grant</t>
  </si>
  <si>
    <t>1904-86, British-born American actor known for his debonair manner. He can be found “North by Northwest”.</t>
  </si>
  <si>
    <t>vgnh</t>
  </si>
  <si>
    <t>Casablanca</t>
  </si>
  <si>
    <t>The largest city in Morocco, and one heck of a good movie. “Of all the gin joints in all the towns in all the world…”</t>
  </si>
  <si>
    <t>zypk</t>
  </si>
  <si>
    <t>Casinos</t>
  </si>
  <si>
    <t>Slots and slots of fun.</t>
  </si>
  <si>
    <t>eqyz</t>
  </si>
  <si>
    <t>Castles</t>
  </si>
  <si>
    <t>Kings, queens, knights in shining armor, and little square hamburgers.</t>
  </si>
  <si>
    <t>rqwn</t>
  </si>
  <si>
    <t>Some have towers, dungeons and moats.</t>
  </si>
  <si>
    <t>{fct</t>
  </si>
  <si>
    <t>Cat &amp; Mouse</t>
  </si>
  <si>
    <t>It’s just a game.</t>
  </si>
  <si>
    <t>immo</t>
  </si>
  <si>
    <t>Catfish</t>
  </si>
  <si>
    <t>Fish with feelers that look like whiskers.</t>
  </si>
  <si>
    <t>uquv</t>
  </si>
  <si>
    <t>Catherine Zeta-Jones</t>
  </si>
  <si>
    <t>1969-, Welsh born actor, famous for her stunning good looks, as seen in The Mask Of Zorro, Entrapment and Traffic.</t>
  </si>
  <si>
    <t>jnlv</t>
  </si>
  <si>
    <t>Cats &amp; Dogs</t>
  </si>
  <si>
    <t>Is it raining?</t>
  </si>
  <si>
    <t>vkbn</t>
  </si>
  <si>
    <t>Catsup</t>
  </si>
  <si>
    <t>Catsup is made from tomatoes, onions, sugar, and spices.</t>
  </si>
  <si>
    <t>biji</t>
  </si>
  <si>
    <t>Catsup &amp; Mustard</t>
  </si>
  <si>
    <t>The salsa revolution brought down their condiment empire.</t>
  </si>
  <si>
    <t>xvxc</t>
  </si>
  <si>
    <t>Cattle Ranch</t>
  </si>
  <si>
    <t>Home on the range.</t>
  </si>
  <si>
    <t>ilnp</t>
  </si>
  <si>
    <t>Cauliflower</t>
  </si>
  <si>
    <t>Goes down easy when it's cheesy.</t>
  </si>
  <si>
    <t>nkem</t>
  </si>
  <si>
    <t>Caves</t>
  </si>
  <si>
    <t>Stalactites, stalagmites. Which go up and which go down?</t>
  </si>
  <si>
    <t>qwcg</t>
  </si>
  <si>
    <t>Dark and cool, and sometimes home to bats.</t>
  </si>
  <si>
    <t>wazq</t>
  </si>
  <si>
    <t>Caviar</t>
  </si>
  <si>
    <t>It's not JUST fish eggs. It’s… fish eggs… that cost a fortune…</t>
  </si>
  <si>
    <t>wb{h</t>
  </si>
  <si>
    <t>Cavities</t>
  </si>
  <si>
    <t>But I did brush my teeth!</t>
  </si>
  <si>
    <t>fvug</t>
  </si>
  <si>
    <t>CD Players</t>
  </si>
  <si>
    <t>Your portable, personal stereo system.</t>
  </si>
  <si>
    <t>nnv{</t>
  </si>
  <si>
    <t>Celine Dion</t>
  </si>
  <si>
    <t>1968-, Canadian singer whose heart will go on, and on…</t>
  </si>
  <si>
    <t>wmpo</t>
  </si>
  <si>
    <t>Cell Phones</t>
  </si>
  <si>
    <t>Get off the phone or get off the road!</t>
  </si>
  <si>
    <t>lipe</t>
  </si>
  <si>
    <t>Call home if you’re going to be late.</t>
  </si>
  <si>
    <t>jbzy</t>
  </si>
  <si>
    <t>Cesar Chavez</t>
  </si>
  <si>
    <t>1927-93, American labor leader who led the 1965 nationwide boycott of California grapes… a bunch of sour grapes!</t>
  </si>
  <si>
    <t>szor</t>
  </si>
  <si>
    <t>Chain Letters</t>
  </si>
  <si>
    <t>Send this game to ten of your friends and good luck will follow. Honest!</t>
  </si>
  <si>
    <t>wbpz</t>
  </si>
  <si>
    <t>Chain Link Fences</t>
  </si>
  <si>
    <t>Good fences make good neighbors.</t>
  </si>
  <si>
    <t>fwmg</t>
  </si>
  <si>
    <t>Chains</t>
  </si>
  <si>
    <t>Gold or iron: name your shackles.</t>
  </si>
  <si>
    <t>wgih</t>
  </si>
  <si>
    <t>Challenger Explosion</t>
  </si>
  <si>
    <t>“Without a wish, without a will/ I stood upon that silent hill/ and stared into the sky…” —Ralph Hodgeson</t>
  </si>
  <si>
    <t>ylne</t>
  </si>
  <si>
    <t>Chameleons</t>
  </si>
  <si>
    <t>The chameleon is a lizard that changes color when frightenedor is that a politician?</t>
  </si>
  <si>
    <t>nawq</t>
  </si>
  <si>
    <t>Charging Rhinos</t>
  </si>
  <si>
    <t>How do you stop a rhino from charging? Take away its credit cards.</t>
  </si>
  <si>
    <t>awi{</t>
  </si>
  <si>
    <t>Charles &amp; Diana</t>
  </si>
  <si>
    <t>A right royal marriage.</t>
  </si>
  <si>
    <t>mrtq</t>
  </si>
  <si>
    <t>Charlie Brown</t>
  </si>
  <si>
    <t>“Peanuts” cartoon character, friend of Linus and Lucy.</t>
  </si>
  <si>
    <t>jqmx</t>
  </si>
  <si>
    <t>Charlotte’s Web</t>
  </si>
  <si>
    <t>Award-winning book by E.B. White featuring Charlotte the spider, and a pig named Wilbur.</t>
  </si>
  <si>
    <t>udte</t>
  </si>
  <si>
    <t>Chat Rooms</t>
  </si>
  <si>
    <t>Electronic speakeasies for the information age.</t>
  </si>
  <si>
    <t>vsko</t>
  </si>
  <si>
    <t>Cheerleaders</t>
  </si>
  <si>
    <t>“Go, Team, Go!”</t>
  </si>
  <si>
    <t>ciuc</t>
  </si>
  <si>
    <t>Cheese</t>
  </si>
  <si>
    <t>Swiss cheese, American cheese, cottage cheese. Say cheese!</t>
  </si>
  <si>
    <t>utat</t>
  </si>
  <si>
    <t>Cheese Sandwich</t>
  </si>
  <si>
    <t>Two pieces of bread and a slice of cheese. Grill it, if you want.</t>
  </si>
  <si>
    <t>drzo</t>
  </si>
  <si>
    <t>Cheesecake</t>
  </si>
  <si>
    <t>A really tasty dish.</t>
  </si>
  <si>
    <t>jbva</t>
  </si>
  <si>
    <t>Cher</t>
  </si>
  <si>
    <t>1946-, American singer and actor, she makes aging look good.</t>
  </si>
  <si>
    <t>ypbs</t>
  </si>
  <si>
    <t>Cherries</t>
  </si>
  <si>
    <t>And a cherry on top!</t>
  </si>
  <si>
    <t>vjty</t>
  </si>
  <si>
    <t>Cherry Pie</t>
  </si>
  <si>
    <t>A flaky pastry filled with cherries.</t>
  </si>
  <si>
    <t>vlec</t>
  </si>
  <si>
    <t>Chewing Your Fingernails</t>
  </si>
  <si>
    <t>Hungry?</t>
  </si>
  <si>
    <t>gxzs</t>
  </si>
  <si>
    <t>Chicago</t>
  </si>
  <si>
    <t>Third largest city in the United States. Our kind of town.</t>
  </si>
  <si>
    <t>tohb</t>
  </si>
  <si>
    <t>Chicken Nuggets</t>
  </si>
  <si>
    <t>Bite-sized pieces of fried chicken. Finger food!</t>
  </si>
  <si>
    <t>kekq</t>
  </si>
  <si>
    <t>Chicken Pox</t>
  </si>
  <si>
    <t>Infectious disease usually contracted in childhood. Just don’t scratch ’em!</t>
  </si>
  <si>
    <t>nsvj</t>
  </si>
  <si>
    <t>An illness that comes with a fever and itchy red bumps. Don’t scratch!</t>
  </si>
  <si>
    <t>iyhj</t>
  </si>
  <si>
    <t>Chickens</t>
  </si>
  <si>
    <t>From incubator to rotisserie in 56 days! Run, chicken, run!</t>
  </si>
  <si>
    <t>hgcf</t>
  </si>
  <si>
    <t>Hens and roosters. Cluck-cluck, cock-a-doodle-do!</t>
  </si>
  <si>
    <t>wovb</t>
  </si>
  <si>
    <t>Chimpanzees</t>
  </si>
  <si>
    <t>Sure, they’re related to us; but they don’t write, and they NEVER call!</t>
  </si>
  <si>
    <t>woaw</t>
  </si>
  <si>
    <t>China</t>
  </si>
  <si>
    <t>The most populous country in the world. More than one-fifth of the world’s total population lives within its borders.</t>
  </si>
  <si>
    <t>swwh</t>
  </si>
  <si>
    <t>There are over one billion people living in the People’s Republic of China.</t>
  </si>
  <si>
    <t>fjtp</t>
  </si>
  <si>
    <t>Chinatown</t>
  </si>
  <si>
    <t>International travel, just around the corner.</t>
  </si>
  <si>
    <t>xfyo</t>
  </si>
  <si>
    <t>Chips &amp; Dip</t>
  </si>
  <si>
    <t>No double dipping!</t>
  </si>
  <si>
    <t>zsmw</t>
  </si>
  <si>
    <t>Chips &amp; Salsa</t>
  </si>
  <si>
    <t>Nacho average snack!</t>
  </si>
  <si>
    <t>sxpp</t>
  </si>
  <si>
    <t>Chocolate Milk</t>
  </si>
  <si>
    <t>Good for you and tastes good too!</t>
  </si>
  <si>
    <t>pctg</t>
  </si>
  <si>
    <t>Choir Boys</t>
  </si>
  <si>
    <t>They sound angelic, but…</t>
  </si>
  <si>
    <t>xpsg</t>
  </si>
  <si>
    <t>Chopsticks</t>
  </si>
  <si>
    <t>A pair of small, slender sticks used for eating. Just try eating peas.</t>
  </si>
  <si>
    <t>buhm</t>
  </si>
  <si>
    <t>Chorus Girls</t>
  </si>
  <si>
    <t>Long legs and high kicks!</t>
  </si>
  <si>
    <t>lpfz</t>
  </si>
  <si>
    <t>Christmas</t>
  </si>
  <si>
    <t>December 25th, a Christian holiday that is celebrated around the world.</t>
  </si>
  <si>
    <t>ykxv</t>
  </si>
  <si>
    <t>Churches</t>
  </si>
  <si>
    <t>“Here is the church, and here is the steeple…”</t>
  </si>
  <si>
    <t>wfyi</t>
  </si>
  <si>
    <t>Chutes &amp; Ladders</t>
  </si>
  <si>
    <t>A game of ups and downs.</t>
  </si>
  <si>
    <t>qhee</t>
  </si>
  <si>
    <t>Cigarette Burns</t>
  </si>
  <si>
    <t>Another reason to give up smoking.</t>
  </si>
  <si>
    <t>uqud</t>
  </si>
  <si>
    <t>Cigarettes</t>
  </si>
  <si>
    <t>Mind if I smoke?</t>
  </si>
  <si>
    <t>kjpw</t>
  </si>
  <si>
    <t>Cinco de Mayo</t>
  </si>
  <si>
    <t>Marks the victory of the Mexican Army over the French at the Battle of Puebla, in 1862.</t>
  </si>
  <si>
    <t>jswg</t>
  </si>
  <si>
    <t>Cinderella</t>
  </si>
  <si>
    <t>A storybook character who is helped by her fairy godmother. Bibbidi-bobbidi-boo!</t>
  </si>
  <si>
    <t>qadr</t>
  </si>
  <si>
    <t>Cindy Crawford</t>
  </si>
  <si>
    <t>1966-, American Supermodel. What dreams are made of.</t>
  </si>
  <si>
    <t>qscl</t>
  </si>
  <si>
    <t>Circus Peanuts</t>
  </si>
  <si>
    <t>Chewy, orange marshmallow things shaped like peanuts. Seldom found at the circus.</t>
  </si>
  <si>
    <t>banc</t>
  </si>
  <si>
    <t>Clark Gable</t>
  </si>
  <si>
    <t>1901-60, American film actor, noted as a romantic lead. Frankly, my dear, he didn’t give a damn.</t>
  </si>
  <si>
    <t>kj{g</t>
  </si>
  <si>
    <t>Claude Monet</t>
  </si>
  <si>
    <t>1840-1926, French painter, regarded as one of the leaders on the impressionist movement.</t>
  </si>
  <si>
    <t>yxcb</t>
  </si>
  <si>
    <t>Clay</t>
  </si>
  <si>
    <t>The oven where pottery is hardened is called a kiln.</t>
  </si>
  <si>
    <t>mxic</t>
  </si>
  <si>
    <t>Cleaning The Bathroom</t>
  </si>
  <si>
    <t>It's YOUR turn!</t>
  </si>
  <si>
    <t>zhmv</t>
  </si>
  <si>
    <t>Cleaning Your Room</t>
  </si>
  <si>
    <t>It’s no fun, but you have to do it.</t>
  </si>
  <si>
    <t>qrqh</t>
  </si>
  <si>
    <t>Cleopatra</t>
  </si>
  <si>
    <t>c. 69-30 BC, Queen of Egypt, noted for love affairs with Julius Caesar and Mark Antony, which came back to bite her in the asp.</t>
  </si>
  <si>
    <t>bnmh</t>
  </si>
  <si>
    <t>Cleveland</t>
  </si>
  <si>
    <t>“Cleveland rocks! Cleveland rocks!” —The Drew Carey Show</t>
  </si>
  <si>
    <t>gobx</t>
  </si>
  <si>
    <t>Climbing A Ladder</t>
  </si>
  <si>
    <t>Don’t look down!</t>
  </si>
  <si>
    <t>kfui</t>
  </si>
  <si>
    <t>Climbing A Tree</t>
  </si>
  <si>
    <t>Don’t go out on a limb!</t>
  </si>
  <si>
    <t>omis</t>
  </si>
  <si>
    <t>Clint Eastwood</t>
  </si>
  <si>
    <t>1930-, American film actor and director, past mayor of Carmel, California. Has earned fistfuls of dollars.</t>
  </si>
  <si>
    <t>fzyx</t>
  </si>
  <si>
    <t>Cloned Sheep</t>
  </si>
  <si>
    <t>Dolly good show!</t>
  </si>
  <si>
    <t>cfcf</t>
  </si>
  <si>
    <t>Clouds</t>
  </si>
  <si>
    <t>I see an elephant! And that one looks like a rabbit.</t>
  </si>
  <si>
    <t>zptq</t>
  </si>
  <si>
    <t>Clowns</t>
  </si>
  <si>
    <t>They would be really funny if they weren’t so darn scary.</t>
  </si>
  <si>
    <t>uvlp</t>
  </si>
  <si>
    <t>They often dress in silly outfits and paint their faces!</t>
  </si>
  <si>
    <t>llen</t>
  </si>
  <si>
    <t>Cocaine</t>
  </si>
  <si>
    <t>Alkaloid obtained from leaves of the coca plant and used as a local anesthetic and abused as a drug.</t>
  </si>
  <si>
    <t>opzp</t>
  </si>
  <si>
    <t>Cockles &amp; Mussels</t>
  </si>
  <si>
    <t>“Alive--alive-o!” I think I just lost my appetite.</t>
  </si>
  <si>
    <t>qpkw</t>
  </si>
  <si>
    <t>Cockroaches</t>
  </si>
  <si>
    <t>Annoying insects that can survive a nuclear war. Fortunately, they can't survive the heel of your shoe.</t>
  </si>
  <si>
    <t>tmkc</t>
  </si>
  <si>
    <t>Coconuts</t>
  </si>
  <si>
    <t>“Put the lime in the coconut, and drank them both up.” —Harry Nillson</t>
  </si>
  <si>
    <t>ygmu</t>
  </si>
  <si>
    <t>Coffee</t>
  </si>
  <si>
    <t>Two-thirds of the world's coffee beans are grown in Central and Southern America.</t>
  </si>
  <si>
    <t>dway</t>
  </si>
  <si>
    <t>Cold Pizza</t>
  </si>
  <si>
    <t>The breakfast of champions.</t>
  </si>
  <si>
    <t>bcse</t>
  </si>
  <si>
    <t>Colin Powell</t>
  </si>
  <si>
    <t>1937-, U.S. Secretary of State and Chairman of the Join Chiefs of Staff during the Gulf War. We’d give him four stars.</t>
  </si>
  <si>
    <t>yqcw</t>
  </si>
  <si>
    <t>Collection Shells</t>
  </si>
  <si>
    <t>She sells seashells by the seashore.</t>
  </si>
  <si>
    <t>zcyt</t>
  </si>
  <si>
    <t>Comic Books</t>
  </si>
  <si>
    <t>THIS looks like a job for… somebody who draws Superman!</t>
  </si>
  <si>
    <t>hbfu</t>
  </si>
  <si>
    <t>Communists</t>
  </si>
  <si>
    <t>“From each, according to their ability, to each according to their need.” I need a new Ferrari.</t>
  </si>
  <si>
    <t>otel</t>
  </si>
  <si>
    <t>Commuting</t>
  </si>
  <si>
    <t>The daily grind. And we’re not talking coffee.</t>
  </si>
  <si>
    <t>vkab</t>
  </si>
  <si>
    <t>Computer Hackers</t>
  </si>
  <si>
    <t>We didn’t mean to shut down the entire government…</t>
  </si>
  <si>
    <t>rldr</t>
  </si>
  <si>
    <t>Computers</t>
  </si>
  <si>
    <t>British mathematician Charles Babbage worked out the principles of the modern digital computer in the late 1800s.</t>
  </si>
  <si>
    <t>qhrg</t>
  </si>
  <si>
    <t>Great for games, homework, and e-mail.</t>
  </si>
  <si>
    <t>ftfe</t>
  </si>
  <si>
    <t>Confucius</t>
  </si>
  <si>
    <t>c. 551-479 BC, K’ung Fu-Tzu, Chinese philosopher and one of the most influential figures in Chinese history.</t>
  </si>
  <si>
    <t>objc</t>
  </si>
  <si>
    <t>Conspiracy Theories</t>
  </si>
  <si>
    <t>Oh, that was just a coincidence!</t>
  </si>
  <si>
    <t>cxcp</t>
  </si>
  <si>
    <t>Construction Workers</t>
  </si>
  <si>
    <t>Hard hats—hard bodies.</t>
  </si>
  <si>
    <t>uvwq</t>
  </si>
  <si>
    <t>Convenience Stores</t>
  </si>
  <si>
    <t>“Thank you come again.”</t>
  </si>
  <si>
    <t>zsol</t>
  </si>
  <si>
    <t>Cookies</t>
  </si>
  <si>
    <t>Chocolate chip, oatmeal, sugar or peanut butter.</t>
  </si>
  <si>
    <t>zphy</t>
  </si>
  <si>
    <t>Cooking Dinner</t>
  </si>
  <si>
    <t>What’s for dinner?</t>
  </si>
  <si>
    <t>ufie</t>
  </si>
  <si>
    <t>Cops &amp; Robbers</t>
  </si>
  <si>
    <t>When fighting crime was just child’s play.</t>
  </si>
  <si>
    <t>fkjb</t>
  </si>
  <si>
    <t>Coral Reef</t>
  </si>
  <si>
    <t>Composed of the skeletons of marine organisms. Home to lots of tropical fish.</t>
  </si>
  <si>
    <t>vskb</t>
  </si>
  <si>
    <t>Corn Fields</t>
  </si>
  <si>
    <t>Knee high by the Fourth of July.</t>
  </si>
  <si>
    <t>koqn</t>
  </si>
  <si>
    <t>Corn Flakes</t>
  </si>
  <si>
    <t>Eat them fast or they’ll get soggy.</t>
  </si>
  <si>
    <t>icyv</t>
  </si>
  <si>
    <t>Corn On The Cob</t>
  </si>
  <si>
    <t>A grain native to the Americas, corn was a staple food for many centuries before corn holders were invented.</t>
  </si>
  <si>
    <t>tqkv</t>
  </si>
  <si>
    <t>It’s a summertime treat that gets stuck in your teeth.</t>
  </si>
  <si>
    <t>pwcn</t>
  </si>
  <si>
    <t>Corned Beef &amp; Cabbage</t>
  </si>
  <si>
    <t>It’s not chopped liver.</t>
  </si>
  <si>
    <t>cjch</t>
  </si>
  <si>
    <t>Corrugated Cardboard</t>
  </si>
  <si>
    <t>When you want to think out of the box…</t>
  </si>
  <si>
    <t>dcqf</t>
  </si>
  <si>
    <t>Corvettes</t>
  </si>
  <si>
    <t>In 1953, Chevrolet introduced the Corverre, the first mass-produced sports car with a fiberglass body. The perfect cure for a midlife crisis.</t>
  </si>
  <si>
    <t>fqgi</t>
  </si>
  <si>
    <t>Cottage Cheese</t>
  </si>
  <si>
    <t>If it’s so popular, where are all the Cottage Cheeseheads?</t>
  </si>
  <si>
    <t>iwbh</t>
  </si>
  <si>
    <t>Cotton Candy</t>
  </si>
  <si>
    <t>Looks like cotton; tastes like candy.</t>
  </si>
  <si>
    <t>fbyb</t>
  </si>
  <si>
    <t>Coughing &amp; Sneezing</t>
  </si>
  <si>
    <t>And no cure in sight.</t>
  </si>
  <si>
    <t>skyb</t>
  </si>
  <si>
    <t>Count Dracula</t>
  </si>
  <si>
    <t>“I vant to suck your blood!”</t>
  </si>
  <si>
    <t>toqz</t>
  </si>
  <si>
    <t>Country Music</t>
  </si>
  <si>
    <t>Encompassing styles such as western swing, honky-tonk, bluegrass and rockabilly. Should mention a pickup truck and a dog named “Bo.”</t>
  </si>
  <si>
    <t>bzcd</t>
  </si>
  <si>
    <t>Cow-Pies</t>
  </si>
  <si>
    <t>When dried, these “cow chips” are hurled discus-like over great distances. It's true.</t>
  </si>
  <si>
    <t>lkwy</t>
  </si>
  <si>
    <t>Cowboys</t>
  </si>
  <si>
    <t>Men who take care of cattle on a ranch.</t>
  </si>
  <si>
    <t>yyjg</t>
  </si>
  <si>
    <t>Head ’em up and move ’em out!</t>
  </si>
  <si>
    <t>asxh</t>
  </si>
  <si>
    <t>Cowboys &amp; Indians</t>
  </si>
  <si>
    <t>How the west was won… and lost.</t>
  </si>
  <si>
    <t>zkvm</t>
  </si>
  <si>
    <t>Cows</t>
  </si>
  <si>
    <t>Large farm animals raised for milk. Moo.</t>
  </si>
  <si>
    <t>djms</t>
  </si>
  <si>
    <t>Crabs</t>
  </si>
  <si>
    <t>As crustaceans, crabs are related to lobster and shrimp. What do they all have in common? They all go well with butter.</t>
  </si>
  <si>
    <t>patj</t>
  </si>
  <si>
    <t>Crash &amp; Burn</t>
  </si>
  <si>
    <t>Try, try again.</t>
  </si>
  <si>
    <t>kjpp</t>
  </si>
  <si>
    <t>Crazy Horse</t>
  </si>
  <si>
    <t>1849?-77, chief of the Oglala Sioux. A leader in the Native American resistance to the westward expansion on the United States.</t>
  </si>
  <si>
    <t>lnsv</t>
  </si>
  <si>
    <t>Cream &amp; Sugar</t>
  </si>
  <si>
    <t>Do you want some coffee with that?</t>
  </si>
  <si>
    <t>j{gc</t>
  </si>
  <si>
    <t>Creamed Corn</t>
  </si>
  <si>
    <t>Eat it, it’s good for you.</t>
  </si>
  <si>
    <t>fpll</t>
  </si>
  <si>
    <t>Crime &amp; Punishment</t>
  </si>
  <si>
    <t>Fyodor Dostoevsky's 1917 classic novel following the tormented life of the murderer Rodion Romanovich Roskolnikov.</t>
  </si>
  <si>
    <t>ucyz</t>
  </si>
  <si>
    <t>Crying</t>
  </si>
  <si>
    <t>“Don't cry over spilled milk.”</t>
  </si>
  <si>
    <t>yxyh</t>
  </si>
  <si>
    <t>Crystal Balls</t>
  </si>
  <si>
    <t>I see a Green Apple card in your future.</t>
  </si>
  <si>
    <t>ctvl</t>
  </si>
  <si>
    <t>Cuba</t>
  </si>
  <si>
    <t>Island republic in the Caribbean, just south of Florida. Beans and rice never tasted so good.</t>
  </si>
  <si>
    <t>fxvf</t>
  </si>
  <si>
    <t>Cults</t>
  </si>
  <si>
    <t>They seemed nice…</t>
  </si>
  <si>
    <t>pvzd</t>
  </si>
  <si>
    <t>Cup &amp; Saucer</t>
  </si>
  <si>
    <t>Tea Time!</t>
  </si>
  <si>
    <t>bedh</t>
  </si>
  <si>
    <t>Cupcakes</t>
  </si>
  <si>
    <t>Small cakes, the size of a cup.</t>
  </si>
  <si>
    <t>ldos</t>
  </si>
  <si>
    <t>Curds &amp; Whey</t>
  </si>
  <si>
    <t>What? It’s just cottage cheese?</t>
  </si>
  <si>
    <t>cumj</t>
  </si>
  <si>
    <t>Currier &amp; Ives</t>
  </si>
  <si>
    <t>The lithography shop operated from 1834 to 1907 and produced over 7500 titles, all of which could have been called “Life In America.”</t>
  </si>
  <si>
    <t>gmex</t>
  </si>
  <si>
    <t>Custer's Last Stand</t>
  </si>
  <si>
    <t>1866, Little Big Horn. Very big mistake.</t>
  </si>
  <si>
    <t>okze</t>
  </si>
  <si>
    <t>Cut &amp; Curl</t>
  </si>
  <si>
    <t>You’ll look mah-velous!</t>
  </si>
  <si>
    <t>kuzh</t>
  </si>
  <si>
    <t>Cutting The Grass</t>
  </si>
  <si>
    <t>Why cut it? It just grows back.</t>
  </si>
  <si>
    <t>bhzq</t>
  </si>
  <si>
    <t>D-Day, 1944</t>
  </si>
  <si>
    <t>On June 6, 1944 the Allied forces invaded France, employing over 10,000 airplanes, 5,000 ships, and 250,000 servicemen.</t>
  </si>
  <si>
    <t>zmwi</t>
  </si>
  <si>
    <t>Dallas &amp; Fort Worth</t>
  </si>
  <si>
    <t>The heart &amp; soul of Texas.</t>
  </si>
  <si>
    <t>frfz</t>
  </si>
  <si>
    <t>Dance Class</t>
  </si>
  <si>
    <t>Step, turn, hop, hop, kick…</t>
  </si>
  <si>
    <t>wyzj</t>
  </si>
  <si>
    <t>Dancing</t>
  </si>
  <si>
    <t>Moving your feet and body in time with music. Cha-cha-cha.</t>
  </si>
  <si>
    <t>rc{t</t>
  </si>
  <si>
    <t>Dandruff</t>
  </si>
  <si>
    <t>Dry skin on your scalp? Sounds a bit flaky.</t>
  </si>
  <si>
    <t>znoz</t>
  </si>
  <si>
    <t>Danielle Steel</t>
  </si>
  <si>
    <t>1947-, Prolific romance novelist. “Suddenly, Stephanie spotted Lance on the beach…”</t>
  </si>
  <si>
    <t>xwdm</t>
  </si>
  <si>
    <t>Danny DeVito</t>
  </si>
  <si>
    <t>1944-, American television, motion-picture actor, and director. Star of “Taxi”, “Romancing The Stone”, “Twins”, and “Get Shorty.”</t>
  </si>
  <si>
    <t>xigk</t>
  </si>
  <si>
    <t>Dark Alleys</t>
  </si>
  <si>
    <t>I thought you brought the good flashlight!</t>
  </si>
  <si>
    <t>agiw</t>
  </si>
  <si>
    <t>Don’t go there!</t>
  </si>
  <si>
    <t>vjkw</t>
  </si>
  <si>
    <t>Darth Vader</t>
  </si>
  <si>
    <t>“Luke… (wheeze).. I am… (wheeze)… your father… and you don’t write, you don’t call… NOTHING.”</t>
  </si>
  <si>
    <t>kxcw</t>
  </si>
  <si>
    <t>Dating</t>
  </si>
  <si>
    <t>First stage of the human mating ritual.</t>
  </si>
  <si>
    <t>xlix</t>
  </si>
  <si>
    <t>David &amp; Goliath</t>
  </si>
  <si>
    <t>Bible story featuring the future king David and the Philistine giant Goliath. The bigger they come, the harder they fall.</t>
  </si>
  <si>
    <t>wmbo</t>
  </si>
  <si>
    <t>David Letterman</t>
  </si>
  <si>
    <t>1947-, American television entertainer and talk-show host. And… the Number One reason to watch him (drum roll, please): TOP TEN LISTS!</t>
  </si>
  <si>
    <t>qyxw</t>
  </si>
  <si>
    <t>Day Care Centers</t>
  </si>
  <si>
    <t>Preschool for preschool.</t>
  </si>
  <si>
    <t>oxnz</t>
  </si>
  <si>
    <t>Daytime TV</t>
  </si>
  <si>
    <t>Soap operas, game shows, talk shows and reruns… is this a great country or what?</t>
  </si>
  <si>
    <t>bdry</t>
  </si>
  <si>
    <t>Dead Fish</t>
  </si>
  <si>
    <t>Floating in the water, washed up on shore, or at a fish market.</t>
  </si>
  <si>
    <t>fzpu</t>
  </si>
  <si>
    <t>Death &amp; Dying</t>
  </si>
  <si>
    <t>The only way out.</t>
  </si>
  <si>
    <t>ylyh</t>
  </si>
  <si>
    <t>Death &amp; Taxes</t>
  </si>
  <si>
    <t>The two certainties in life.</t>
  </si>
  <si>
    <t>xcgi</t>
  </si>
  <si>
    <t>Death Valley</t>
  </si>
  <si>
    <t>Arid, desolate and hellish region of California. Named by a survivor of an attempted 1849 crossing.</t>
  </si>
  <si>
    <t>vqvt</t>
  </si>
  <si>
    <t>Deer Hunting</t>
  </si>
  <si>
    <t>Nooo! Nooooo! Not BAMBI'S MOTHER!</t>
  </si>
  <si>
    <t>xwcj</t>
  </si>
  <si>
    <t>Demi Moore</t>
  </si>
  <si>
    <t>1962-, American actor in St. Elmo's Fire, Ghost and GI Jane.</t>
  </si>
  <si>
    <t>tsol</t>
  </si>
  <si>
    <t>Democrats</t>
  </si>
  <si>
    <t>Their symbol is the donkey, or ass. Insert your own joke here.</t>
  </si>
  <si>
    <t>vpvk</t>
  </si>
  <si>
    <t>Dennis Rodman</t>
  </si>
  <si>
    <t>1961-, American professional basketball player and full-time human oddity.</t>
  </si>
  <si>
    <t>mdio</t>
  </si>
  <si>
    <t>Denzel Washington</t>
  </si>
  <si>
    <t>1954-, American actor known for his powerful roles in such movies as “Cry Freedom”, “Malcolm X”, and “Mississippi Masala.”</t>
  </si>
  <si>
    <t>swlz</t>
  </si>
  <si>
    <t>Detroit</t>
  </si>
  <si>
    <t>The Motor City is the world’s foremost automobile manufacturing center, and the tenth largest city in the U.S.</t>
  </si>
  <si>
    <t>bomy</t>
  </si>
  <si>
    <t>Diamonds</t>
  </si>
  <si>
    <t>The hard fact: they are just highly refractive crystalline allotropes.</t>
  </si>
  <si>
    <t>gqts</t>
  </si>
  <si>
    <t>Dictionaries</t>
  </si>
  <si>
    <t>Let me look that up!</t>
  </si>
  <si>
    <t>ylnk</t>
  </si>
  <si>
    <t>Dinner &amp; A Movie</t>
  </si>
  <si>
    <t>And a mortgage to pay for it.</t>
  </si>
  <si>
    <t>myyz</t>
  </si>
  <si>
    <t>Dinosaurs</t>
  </si>
  <si>
    <t>Reptiles that lived millions of years ago. Some, like the T. rex, were huge!</t>
  </si>
  <si>
    <t>oqfk</t>
  </si>
  <si>
    <t>Dirt</t>
  </si>
  <si>
    <t>Good in the garden.</t>
  </si>
  <si>
    <t>twej</t>
  </si>
  <si>
    <t>Dirty Diapers</t>
  </si>
  <si>
    <t>It must be time to change the baby!</t>
  </si>
  <si>
    <t>nlkq</t>
  </si>
  <si>
    <t>Dirty Dishes</t>
  </si>
  <si>
    <t>That’s why they make paper plates!</t>
  </si>
  <si>
    <t>q{fb</t>
  </si>
  <si>
    <t>Dirty Socks</t>
  </si>
  <si>
    <t>Put them in the wash!</t>
  </si>
  <si>
    <t>esbl</t>
  </si>
  <si>
    <t>Discos</t>
  </si>
  <si>
    <t>Where you go to catch “Saturday Night Fever.”</t>
  </si>
  <si>
    <t>fmuk</t>
  </si>
  <si>
    <t>Discovering America</t>
  </si>
  <si>
    <t>1492, Christopher Columbus discovered that America was discovered centuries before he arrived.</t>
  </si>
  <si>
    <t>zlly</t>
  </si>
  <si>
    <t>Disneyland</t>
  </si>
  <si>
    <t>You’ve just won the “Apples to Apples® Grand Masters Tournament.” Where're you gonna go?</t>
  </si>
  <si>
    <t>tke{</t>
  </si>
  <si>
    <t>A theme park featuring cartoon characters like Mickey Mouse and Donald Duck..</t>
  </si>
  <si>
    <t>ddjj</t>
  </si>
  <si>
    <t>Divorce</t>
  </si>
  <si>
    <t>It’s a trial separation that goes to trial.</t>
  </si>
  <si>
    <t>xsgl</t>
  </si>
  <si>
    <t>Doctors</t>
  </si>
  <si>
    <t>Over twenty years of education and they’re still “practicing” medicine?</t>
  </si>
  <si>
    <t>klam</t>
  </si>
  <si>
    <t>Stick out your tongue and say aaaaah!</t>
  </si>
  <si>
    <t>qyww</t>
  </si>
  <si>
    <t>Doctors &amp; Dentists</t>
  </si>
  <si>
    <t>For a long life and healthy teeth.</t>
  </si>
  <si>
    <t>niyg</t>
  </si>
  <si>
    <t>Dodo Birds</t>
  </si>
  <si>
    <t>A large, flightless bird of the island of Mauritius. Discovered by Europeans in 1598, extinct by 1681.</t>
  </si>
  <si>
    <t>bpkb</t>
  </si>
  <si>
    <t>Dog Days</t>
  </si>
  <si>
    <t>101 degrees in the shade.</t>
  </si>
  <si>
    <t>pkib</t>
  </si>
  <si>
    <t>Dog Food</t>
  </si>
  <si>
    <t>I like the chewy kind.</t>
  </si>
  <si>
    <t>hgrh</t>
  </si>
  <si>
    <t>Doing The Dishes</t>
  </si>
  <si>
    <t>I’ll wash the dishes and you can dry.</t>
  </si>
  <si>
    <t>wiqe</t>
  </si>
  <si>
    <t>You wash, I’ll watch.</t>
  </si>
  <si>
    <t>bbrr</t>
  </si>
  <si>
    <t>Doing The Hokey-Pokey</t>
  </si>
  <si>
    <t>That’s what it's all about.</t>
  </si>
  <si>
    <t>gdpw</t>
  </si>
  <si>
    <t>Dollars &amp; Cents</t>
  </si>
  <si>
    <t>“If it don't make dollars, it don't make sense.”—DJ Quik</t>
  </si>
  <si>
    <t>ltek</t>
  </si>
  <si>
    <t>Dolly Parton</t>
  </si>
  <si>
    <t>1967-, American singer, songwriter, and actor. Known as much for her personal style as for her successful career.</t>
  </si>
  <si>
    <t>mwho</t>
  </si>
  <si>
    <t>Dolphins</t>
  </si>
  <si>
    <t>Dolphins are mammals that live in the sea, and Sea World.</t>
  </si>
  <si>
    <t>ybnf</t>
  </si>
  <si>
    <t>Donuts</t>
  </si>
  <si>
    <t>In 1993, a doughnut weighing over 3,700 pounds was made in Utica, N.Y.</t>
  </si>
  <si>
    <t>iksd</t>
  </si>
  <si>
    <t>Doorbells</t>
  </si>
  <si>
    <t>Would someone please answer the door?</t>
  </si>
  <si>
    <t>dily</t>
  </si>
  <si>
    <t>Double Thick Malts</t>
  </si>
  <si>
    <t>For a double thick ice cream headache.</t>
  </si>
  <si>
    <t>xdnd</t>
  </si>
  <si>
    <t>Dr. Evil</t>
  </si>
  <si>
    <t>Arch-nemesis of Austin Powers. Riiiiiiight.</t>
  </si>
  <si>
    <t>jnrb</t>
  </si>
  <si>
    <t>Dr. Jekyll &amp; Mr. Hyde</t>
  </si>
  <si>
    <t>Robert Louis Stevenson's 1887 novel revealing the hypocrisy and innate evilness in society. The idea came to him in a dream a bad dream.</t>
  </si>
  <si>
    <t>qrkz</t>
  </si>
  <si>
    <t>Dr. Kevorkin</t>
  </si>
  <si>
    <t>1928-, Controversial advocate of doctor-assisted suicide.</t>
  </si>
  <si>
    <t>sdcq</t>
  </si>
  <si>
    <t>Dr. Laura</t>
  </si>
  <si>
    <t>1947-, American conservative talk show host and promoter of family values. HER family values, that is…</t>
  </si>
  <si>
    <t>wyxi</t>
  </si>
  <si>
    <t>Dr. Seuss</t>
  </si>
  <si>
    <t>1904-1991, Theodor Suess Geisel, the cat who came up with “The Cat in the Hat.”</t>
  </si>
  <si>
    <t>lrev</t>
  </si>
  <si>
    <t>Dragons</t>
  </si>
  <si>
    <t>Pretend animals that look like giant lizards with wings. Sometimes they breath fire!</t>
  </si>
  <si>
    <t>nxut</t>
  </si>
  <si>
    <t>Drew Barrymore</t>
  </si>
  <si>
    <t>1975-, heir to the Barrymore acting dynasty. Drew starred in “ET”, “The Wedding Singer”, “Charlie's Angels”, and countless tabloid stories.</t>
  </si>
  <si>
    <t>pjrc</t>
  </si>
  <si>
    <t>Drew Carey</t>
  </si>
  <si>
    <t>1958-, American comedian and television star. Whose line is it anyway? His.</t>
  </si>
  <si>
    <t>jzjz</t>
  </si>
  <si>
    <t>Drinking &amp; Driving</t>
  </si>
  <si>
    <t>Friends don’t let friends drive drunk.</t>
  </si>
  <si>
    <t>mtzp</t>
  </si>
  <si>
    <t>Driving A Car</t>
  </si>
  <si>
    <t>In most states, you have to be 16 years old to drive a car.</t>
  </si>
  <si>
    <t>jehf</t>
  </si>
  <si>
    <t>Driving Off A Cliff</t>
  </si>
  <si>
    <t>It was either that or hire someone to do my takes.</t>
  </si>
  <si>
    <t>dcqu</t>
  </si>
  <si>
    <t>Drums</t>
  </si>
  <si>
    <t>Beat it!</t>
  </si>
  <si>
    <t>lhot</t>
  </si>
  <si>
    <t>Drunk Drivers</t>
  </si>
  <si>
    <t>Number one highway safety problem.</t>
  </si>
  <si>
    <t>tuys</t>
  </si>
  <si>
    <t>Ducks</t>
  </si>
  <si>
    <t>Large birds with webbed feet and a flat bill. Quack-quack-quack!</t>
  </si>
  <si>
    <t>tfbi</t>
  </si>
  <si>
    <t>Duct Tape</t>
  </si>
  <si>
    <t>All-purpose, …all the time…</t>
  </si>
  <si>
    <t>sbaq</t>
  </si>
  <si>
    <t>Dumb Blonde Jokes</t>
  </si>
  <si>
    <t>Are they just naturally funny?</t>
  </si>
  <si>
    <t>dnqs</t>
  </si>
  <si>
    <t>Dumbo</t>
  </si>
  <si>
    <t>A little elephant cartoon character. When he flaps his ears, he can fly!</t>
  </si>
  <si>
    <t>ivvh</t>
  </si>
  <si>
    <t>Dump Trucks</t>
  </si>
  <si>
    <t>Large trucks that carry dirt, sand, and rocks.</t>
  </si>
  <si>
    <t>gxus</t>
  </si>
  <si>
    <t>Dungeons &amp; Dragons</t>
  </si>
  <si>
    <t>Popular role-playing game featuring swords, sorcery and wizards. Repeat after me: it's a game… it's only a game…</t>
  </si>
  <si>
    <t>xops</t>
  </si>
  <si>
    <t>Dustin Hoffman</t>
  </si>
  <si>
    <t>1937-, highly regarded actor of “The Graduate,” “Midnight Cowboy,” and “Rainman.” He’s an excellent driver!</t>
  </si>
  <si>
    <t>te{s</t>
  </si>
  <si>
    <t>E-Mail</t>
  </si>
  <si>
    <t>You’ve got JUNK mail!</t>
  </si>
  <si>
    <t>rixf</t>
  </si>
  <si>
    <t>Ear Wax</t>
  </si>
  <si>
    <t>A waxy, yellowish substance that protects the ear from dust, bacteria, and from hearing things you don’t want to hear.</t>
  </si>
  <si>
    <t>mlx{</t>
  </si>
  <si>
    <t>Early Morning</t>
  </si>
  <si>
    <t>“The early bird gets the worm!”</t>
  </si>
  <si>
    <t>iiii</t>
  </si>
  <si>
    <t>Ears</t>
  </si>
  <si>
    <t>What?</t>
  </si>
  <si>
    <t>orkx</t>
  </si>
  <si>
    <t>Earthquakes</t>
  </si>
  <si>
    <t>The Richter scale is named after the American seismologist Charles Richter. Did the earth move for you?</t>
  </si>
  <si>
    <t>qwnq</t>
  </si>
  <si>
    <t>Earwigs</t>
  </si>
  <si>
    <t>Nocturnal insects with abdominal pincers. Nothing to do with ears or wigs.</t>
  </si>
  <si>
    <t>lqis</t>
  </si>
  <si>
    <t>East Coast</t>
  </si>
  <si>
    <t>From New England to Florida. They’re not like folks ’round here…</t>
  </si>
  <si>
    <t>dkxq</t>
  </si>
  <si>
    <t>Eating Breakfast</t>
  </si>
  <si>
    <t>It’s always breakfast time at a truck stop.</t>
  </si>
  <si>
    <t>zdzw</t>
  </si>
  <si>
    <t>Ebony &amp; Ivory</t>
  </si>
  <si>
    <t>“Ebony and Ivory live together in perfect harmony.”—Paul McCartney</t>
  </si>
  <si>
    <t>{dki</t>
  </si>
  <si>
    <t>Eddie Murphy</t>
  </si>
  <si>
    <t>1961-, American comedian, actor, and producer. Best known for his work in 48 Hours, Beverly Hills Cop and on Saturday Night Live.</t>
  </si>
  <si>
    <t>scmx</t>
  </si>
  <si>
    <t>Egg Rolls</t>
  </si>
  <si>
    <t>Crunchy rolls filled with vegetables and meat. Available at Chinese restaurants.</t>
  </si>
  <si>
    <t>kbfc</t>
  </si>
  <si>
    <t>Eggplant</t>
  </si>
  <si>
    <t>Without it there would be no Eggplant Parmesan.</t>
  </si>
  <si>
    <t>xuwe</t>
  </si>
  <si>
    <t>Eggs</t>
  </si>
  <si>
    <t>Birds, fish, snakes and insects all lay eggs.</t>
  </si>
  <si>
    <t>hawe</t>
  </si>
  <si>
    <t>Eleanor Roosevelt</t>
  </si>
  <si>
    <t>1884-1962, first lady, social activist, author, lecturer, and U.S. representative to the United Nations.</t>
  </si>
  <si>
    <t>xcwm</t>
  </si>
  <si>
    <t>Electric Eels</t>
  </si>
  <si>
    <t>Slippery and slimy snakelike fishes that emit electrical charges. The shocking truth!</t>
  </si>
  <si>
    <t>zsyb</t>
  </si>
  <si>
    <t>Electricity</t>
  </si>
  <si>
    <t>The repulsive or attractive force between two stationary bodies. No problem unless one of those bodies is yours.</t>
  </si>
  <si>
    <t>lwom</t>
  </si>
  <si>
    <t>Elephants</t>
  </si>
  <si>
    <t>The largest living land mammal, with two species: Indian and African. Not counting Dumbo, there are no American elephants.</t>
  </si>
  <si>
    <t>jlnw</t>
  </si>
  <si>
    <t>Huge gray animals with large ears and trunks. Some elephants have tusks.</t>
  </si>
  <si>
    <t>gqyj</t>
  </si>
  <si>
    <t>Elevators</t>
  </si>
  <si>
    <t>The 110-story Sears Tower in Chicago has 104 elevators.</t>
  </si>
  <si>
    <t>lxgr</t>
  </si>
  <si>
    <t>Elizabeth Taylor</t>
  </si>
  <si>
    <t>1932-, American actor, noted for her lush beauty, emotional performances and multiple husbands.</t>
  </si>
  <si>
    <t>hkqx</t>
  </si>
  <si>
    <t>Elmo</t>
  </si>
  <si>
    <t>A little, red, fuzzy guy from Sesame Street. Tickle me!</t>
  </si>
  <si>
    <t>jsgl</t>
  </si>
  <si>
    <t>Elvis Presley</t>
  </si>
  <si>
    <t>1935-77, American singer and actor and the king of rock-and-roll. His death left the music world all shook up.</t>
  </si>
  <si>
    <t>czof</t>
  </si>
  <si>
    <t>Emergency Rooms</t>
  </si>
  <si>
    <t>Brings new meaning to he word “heartthrob.”</t>
  </si>
  <si>
    <t>nhkc</t>
  </si>
  <si>
    <t>Emily Dickinson</t>
  </si>
  <si>
    <t>1830-86, American poet, whose lyrics are psychologically astute treatments of love, death, and immortality. So there.</t>
  </si>
  <si>
    <t>yiuz</t>
  </si>
  <si>
    <t>Erasers</t>
  </si>
  <si>
    <t>Because everybody makes mistakes.</t>
  </si>
  <si>
    <t>bwkc</t>
  </si>
  <si>
    <t>Ernest Hemingway</t>
  </si>
  <si>
    <t>1899-1961, American novelist and short-story writer, whose macho style is crisp, laconic and understated.</t>
  </si>
  <si>
    <t>wstw</t>
  </si>
  <si>
    <t>Europe</t>
  </si>
  <si>
    <t>The Old Country… except to people who live there.</t>
  </si>
  <si>
    <t>gmki</t>
  </si>
  <si>
    <t>Exorcism</t>
  </si>
  <si>
    <t>To ceremoniously expel an evil spirit.</t>
  </si>
  <si>
    <t>xtud</t>
  </si>
  <si>
    <t>Exterminators</t>
  </si>
  <si>
    <t>Bugs, rats and vermin. It’s time for chemical warfare.</t>
  </si>
  <si>
    <t>wwob</t>
  </si>
  <si>
    <t>Eyes</t>
  </si>
  <si>
    <t>Light-sensitive organ of vision in animals. See?</t>
  </si>
  <si>
    <t>uxxo</t>
  </si>
  <si>
    <t>Flies have five eyes.</t>
  </si>
  <si>
    <t>fhat</t>
  </si>
  <si>
    <t>Face Paint</t>
  </si>
  <si>
    <t>You can be a clown, a pirate, a cat, or whatever you want.</t>
  </si>
  <si>
    <t>qeqm</t>
  </si>
  <si>
    <t>Factories</t>
  </si>
  <si>
    <t>Oompa-Loompa! Willy Wonka and the Chocolate Factory!</t>
  </si>
  <si>
    <t>ggek</t>
  </si>
  <si>
    <t>Fairies</t>
  </si>
  <si>
    <t>Tiny, mischievous, mythical beings with magic powers. They live in Fairyland. Really.</t>
  </si>
  <si>
    <t>aylt</t>
  </si>
  <si>
    <t>Tiny storybook characters with wings and magic powers.</t>
  </si>
  <si>
    <t>xqjy</t>
  </si>
  <si>
    <t>Faith Hill</t>
  </si>
  <si>
    <t>1967-, American crossover country music artist. You just gotta have Faith.</t>
  </si>
  <si>
    <t>jafa</t>
  </si>
  <si>
    <t>Falling Down</t>
  </si>
  <si>
    <t>“What we call failure is not the falling down, but the staying down.” —Mary Pickford</t>
  </si>
  <si>
    <t>mxve</t>
  </si>
  <si>
    <t>Fame &amp; Fortune</t>
  </si>
  <si>
    <t>Everybody may have 15 minutes of fame, but fortune is another thing altogether.</t>
  </si>
  <si>
    <t>otyw</t>
  </si>
  <si>
    <t>Family Reunions</t>
  </si>
  <si>
    <t>Just to remind you why you moved away in the first place…</t>
  </si>
  <si>
    <t>nnys</t>
  </si>
  <si>
    <t>Family Vacations</t>
  </si>
  <si>
    <t>Dad? Dad? Are we there yet? Are we there yet? Are we? Huh? Dad?</t>
  </si>
  <si>
    <t>yjuq</t>
  </si>
  <si>
    <t>Family Values</t>
  </si>
  <si>
    <t>Often said but seldom understood.</t>
  </si>
  <si>
    <t>hfti</t>
  </si>
  <si>
    <t>Farmers</t>
  </si>
  <si>
    <t>There's a farmer in the dell.</t>
  </si>
  <si>
    <t>rank</t>
  </si>
  <si>
    <t>Farms</t>
  </si>
  <si>
    <t>A place where animals and crops are raised for food. “Old McDonald had a farm.”</t>
  </si>
  <si>
    <t>zenn</t>
  </si>
  <si>
    <t>Fast Food</t>
  </si>
  <si>
    <t>You want fries with that?</t>
  </si>
  <si>
    <t>horc</t>
  </si>
  <si>
    <t>I can't believe I ate the whooooooole thing.</t>
  </si>
  <si>
    <t>nknb</t>
  </si>
  <si>
    <t>Fear &amp; Loathing</t>
  </si>
  <si>
    <t>In Las Vegas, or anywhere else.</t>
  </si>
  <si>
    <t>{kwf</t>
  </si>
  <si>
    <t>Feathers</t>
  </si>
  <si>
    <t>Feathers protect a bird’s skin, keep them warm, and help them fly.</t>
  </si>
  <si>
    <t>vfci</t>
  </si>
  <si>
    <t>Which weighs more, a pound of feathers or a pound of rocks?</t>
  </si>
  <si>
    <t>yfiu</t>
  </si>
  <si>
    <t>Feminists</t>
  </si>
  <si>
    <t>Political and social activists who support selected women’s causes.</t>
  </si>
  <si>
    <t>pjgw</t>
  </si>
  <si>
    <t>Ferdinand &amp; Isabella</t>
  </si>
  <si>
    <t>Late 15th century king and queen of Spain. They backed Christopher Columbus and benefitted royally.</t>
  </si>
  <si>
    <t>grnv</t>
  </si>
  <si>
    <t>Fertilizer</t>
  </si>
  <si>
    <t>Viagra for the garden.</t>
  </si>
  <si>
    <t>crzn</t>
  </si>
  <si>
    <t>Festering Wounds</t>
  </si>
  <si>
    <t>Quit picking at that!</t>
  </si>
  <si>
    <t>ghla</t>
  </si>
  <si>
    <t>Fidel Castro</t>
  </si>
  <si>
    <t>1927-, Cuban revolutionary and Communist dictator since 1976. He earned a PhD in law in 1950.</t>
  </si>
  <si>
    <t>jkua</t>
  </si>
  <si>
    <t>Field &amp; Stream</t>
  </si>
  <si>
    <t>The hunter’s best friend.</t>
  </si>
  <si>
    <t>omtj</t>
  </si>
  <si>
    <t>Finger Painting</t>
  </si>
  <si>
    <t>Just paint with your fingers. No brush needed!</t>
  </si>
  <si>
    <t>lbxq</t>
  </si>
  <si>
    <t>Fire</t>
  </si>
  <si>
    <t>Don’t get burned!</t>
  </si>
  <si>
    <t>uhej</t>
  </si>
  <si>
    <t>Firefighters</t>
  </si>
  <si>
    <t>Emperor Augustus instituted a corps of fire-fighting “watchmen” in 24 B.C. Nero, on the other hand, fiddled while Rome burned.</t>
  </si>
  <si>
    <t>lnnx</t>
  </si>
  <si>
    <t>Their job is to put out fires. They also get to drive fire engines.</t>
  </si>
  <si>
    <t>eipe</t>
  </si>
  <si>
    <t>Firestorms</t>
  </si>
  <si>
    <t>Some severe wildfires require more than 10,000 firefighters. And, wouldn’t ya know it, some idiot parked in front of the hydrant!</t>
  </si>
  <si>
    <t>ppzu</t>
  </si>
  <si>
    <t>Fireworks</t>
  </si>
  <si>
    <t>Includes firecrackers, Roman candles, and bottle rockets. It’s all fun until someone loses an eye… and a nose… and an arm…</t>
  </si>
  <si>
    <t>{rsu</t>
  </si>
  <si>
    <t>Bright, explosive displays often used for the 4th of July. Bang-Boom-Pop-Pop! Ohhh-Ahhh!</t>
  </si>
  <si>
    <t>{who</t>
  </si>
  <si>
    <t>First Man On The Moon</t>
  </si>
  <si>
    <t>July 20, 1969. “That's one small step for a man, one giant leap for mankind.” —Neil A. Armstrong</t>
  </si>
  <si>
    <t>jipb</t>
  </si>
  <si>
    <t>Fish &amp; Chips</t>
  </si>
  <si>
    <t>Just wrap it in any old newspaper.</t>
  </si>
  <si>
    <t>zldb</t>
  </si>
  <si>
    <t>Fishing</t>
  </si>
  <si>
    <t>The perfect way to spend a summer day. Maybe you’ll catch a big one!</t>
  </si>
  <si>
    <t>odxh</t>
  </si>
  <si>
    <t>Flags</t>
  </si>
  <si>
    <t>There are fifty stars and thirteen stripes on the flag of the United States of America.</t>
  </si>
  <si>
    <t>emsc</t>
  </si>
  <si>
    <t>Flannel Shirts</t>
  </si>
  <si>
    <t>Pick your plaid.</t>
  </si>
  <si>
    <t>fuxp</t>
  </si>
  <si>
    <t>Flash Floods</t>
  </si>
  <si>
    <t>Too late for sandbags!</t>
  </si>
  <si>
    <t>oser</t>
  </si>
  <si>
    <t>Flashlights</t>
  </si>
  <si>
    <t>Good for camping and reading under the covers.</t>
  </si>
  <si>
    <t>tobr</t>
  </si>
  <si>
    <t>Flies</t>
  </si>
  <si>
    <t>A group of insects with wings. They enjoy picnics.</t>
  </si>
  <si>
    <t>sgsp</t>
  </si>
  <si>
    <t>Flip-Flops</t>
  </si>
  <si>
    <t>It’s the sound they make when you walk.</t>
  </si>
  <si>
    <t>qqro</t>
  </si>
  <si>
    <t>Flipper</t>
  </si>
  <si>
    <t>American television dolphin of the 1960s… like Lassie, only wetter.</t>
  </si>
  <si>
    <t>bwgz</t>
  </si>
  <si>
    <t>Floods</t>
  </si>
  <si>
    <t>Heavy rains and melting snow can cause floods.</t>
  </si>
  <si>
    <t>hoxb</t>
  </si>
  <si>
    <t>Florence Nightengale</t>
  </si>
  <si>
    <t>1820-1910, English nurse and health-care reformer. We’ve been singing her praises for years.</t>
  </si>
  <si>
    <t>ojms</t>
  </si>
  <si>
    <t>Flour</t>
  </si>
  <si>
    <t>Flour is made by grinding wheat and other grains.</t>
  </si>
  <si>
    <t>ocxs</t>
  </si>
  <si>
    <t>Flower Gardens</t>
  </si>
  <si>
    <t>No weeds allowed.</t>
  </si>
  <si>
    <t>cswi</t>
  </si>
  <si>
    <t>Flowers &amp; Candy</t>
  </si>
  <si>
    <t>When “I’m sorry” is not enough.</t>
  </si>
  <si>
    <t>upav</t>
  </si>
  <si>
    <t>Fly Fishing</t>
  </si>
  <si>
    <t>…if you can't catch flies any OTHER way…</t>
  </si>
  <si>
    <t>gqlk</t>
  </si>
  <si>
    <t>Flying A Kite</t>
  </si>
  <si>
    <t>Don’t let go of the string!</t>
  </si>
  <si>
    <t>zsyn</t>
  </si>
  <si>
    <t>Flying Monkeys</t>
  </si>
  <si>
    <t>The reason why “The Wizard Of Oz” still gives us nightmares.</t>
  </si>
  <si>
    <t>bxsr</t>
  </si>
  <si>
    <t>Folk Music</t>
  </si>
  <si>
    <t>When you’re just fiddling around…</t>
  </si>
  <si>
    <t>cxvt</t>
  </si>
  <si>
    <t>Food &amp; Shelter</t>
  </si>
  <si>
    <t>Gotta have it.</t>
  </si>
  <si>
    <t>pkcb</t>
  </si>
  <si>
    <t>Food Poisoning</t>
  </si>
  <si>
    <t>This chicken tastes kinda funny…</t>
  </si>
  <si>
    <t>rwdq</t>
  </si>
  <si>
    <t>Foot &amp; Mouth</t>
  </si>
  <si>
    <t>An infectious disease of animals with hooves. Not the same as foot-IN-mouth disease which affects everybody at one time or another.</t>
  </si>
  <si>
    <t>tzse</t>
  </si>
  <si>
    <t>Football</t>
  </si>
  <si>
    <t>It's a ball AND a game.</t>
  </si>
  <si>
    <t>nujb</t>
  </si>
  <si>
    <t>Football Players</t>
  </si>
  <si>
    <t>Punt, pass, and kick!</t>
  </si>
  <si>
    <t>bqjf</t>
  </si>
  <si>
    <t>Forest Fires</t>
  </si>
  <si>
    <t>“Only YOU can prevent forest fires.” The heat is on!</t>
  </si>
  <si>
    <t>eo{v</t>
  </si>
  <si>
    <t>Lightning can start forest fires.</t>
  </si>
  <si>
    <t>kvul</t>
  </si>
  <si>
    <t>Forever &amp; Ever</t>
  </si>
  <si>
    <t>“Oh baby, I'm gonna love you forever / Forever and ever amen.” —Randy Travis</t>
  </si>
  <si>
    <t>xyxk</t>
  </si>
  <si>
    <t>Fort Knox</t>
  </si>
  <si>
    <t>American military post in Kentucky, containing the greater part of the gold reserve of the U.S. government.</t>
  </si>
  <si>
    <t>jjbx</t>
  </si>
  <si>
    <t>Fortune Cookies</t>
  </si>
  <si>
    <t>“You will soon eat a flat, dry, tasteless cookie…”</t>
  </si>
  <si>
    <t>vtwx</t>
  </si>
  <si>
    <t>Fortune Teller</t>
  </si>
  <si>
    <t>“My crystal ball says…”</t>
  </si>
  <si>
    <t>fwgw</t>
  </si>
  <si>
    <t>Fourth Of July</t>
  </si>
  <si>
    <t>“Independence Day” in the United States. “Thank Goodness We Got Rid of Them Day” in Britain.</t>
  </si>
  <si>
    <t>nbyu</t>
  </si>
  <si>
    <t>The United States Independence Day. Lots of picnics and fireworks!</t>
  </si>
  <si>
    <t>xczo</t>
  </si>
  <si>
    <t>Frank Lloyd Wright</t>
  </si>
  <si>
    <t>1867-1959, pioneering American architect. Considered one of the greatest designers of the 20th century.</t>
  </si>
  <si>
    <t>bwye</t>
  </si>
  <si>
    <t>Frank Sinatra</t>
  </si>
  <si>
    <t>1915-98, the greatest American pop singer of his generation, award winning film and television actor. Do-be do-be do, baby.</t>
  </si>
  <si>
    <t>sklj</t>
  </si>
  <si>
    <t>Freaks &amp; Geeks</t>
  </si>
  <si>
    <t>The 1999 television show, or those outside the social norm.</t>
  </si>
  <si>
    <t>ajco</t>
  </si>
  <si>
    <t>Freckles</t>
  </si>
  <si>
    <t>No matter what they tell you, freckles won't grow together to form a great-looking tan.</t>
  </si>
  <si>
    <t>fyui</t>
  </si>
  <si>
    <t>The more the merrier!</t>
  </si>
  <si>
    <t>oarl</t>
  </si>
  <si>
    <t>Fred &amp; Ginger</t>
  </si>
  <si>
    <t>Fred Astair &amp; Ginger Rogerstap dancing their way into the hearts of millions.</t>
  </si>
  <si>
    <t>myik</t>
  </si>
  <si>
    <t>Fred &amp; Wilma</t>
  </si>
  <si>
    <t>Meet the Flintstones. “Yabba-dabba-doooo!”</t>
  </si>
  <si>
    <t>ynlf</t>
  </si>
  <si>
    <t>Fred Flintstone</t>
  </si>
  <si>
    <t>Yaba-daba-dooooo!</t>
  </si>
  <si>
    <t>npvm</t>
  </si>
  <si>
    <t>Freedom</t>
  </si>
  <si>
    <t>Express yourself!</t>
  </si>
  <si>
    <t>vjuh</t>
  </si>
  <si>
    <t>French Fries</t>
  </si>
  <si>
    <t>In Europe, French fries are usually eaten with a fork.</t>
  </si>
  <si>
    <t>mskp</t>
  </si>
  <si>
    <t>French Wines</t>
  </si>
  <si>
    <t>The perfect complement to an overpriced meal.</t>
  </si>
  <si>
    <t>jlzf</t>
  </si>
  <si>
    <t>Fresh Water Pearls</t>
  </si>
  <si>
    <t>String them along…</t>
  </si>
  <si>
    <t>dypp</t>
  </si>
  <si>
    <t>Friction</t>
  </si>
  <si>
    <t>Resistance to the motion of a body in contact with another body… any body will do.</t>
  </si>
  <si>
    <t>ntkl</t>
  </si>
  <si>
    <t>Friends &amp; Family</t>
  </si>
  <si>
    <t>There when you need them.</t>
  </si>
  <si>
    <t>yscf</t>
  </si>
  <si>
    <t>Frisbees</t>
  </si>
  <si>
    <t>The frisbee was introduced to the market in 1948. Take one for a spin.</t>
  </si>
  <si>
    <t>epbw</t>
  </si>
  <si>
    <t>Frog &amp; Toad</t>
  </si>
  <si>
    <t>Characters in a series of children’s books by Arnold Lobel, or any of the millions of frogs and toads who choose not to wear clothes.</t>
  </si>
  <si>
    <t>xodh</t>
  </si>
  <si>
    <t>Frogs</t>
  </si>
  <si>
    <t>Some frogs can jump 20 feet.</t>
  </si>
  <si>
    <t>jjyd</t>
  </si>
  <si>
    <t>Frosty The Snowman</t>
  </si>
  <si>
    <t>This snowman has a corncob pipe and a button nose.</t>
  </si>
  <si>
    <t>coxo</t>
  </si>
  <si>
    <t>Frozen Peas</t>
  </si>
  <si>
    <t>Right under the frozen pizza.</t>
  </si>
  <si>
    <t>mygx</t>
  </si>
  <si>
    <t>Fund Raising</t>
  </si>
  <si>
    <t>Hello… my name is Jonathan, would you like to buy some fruit, magazines, candy bars, wreaths, pizzas… ?</t>
  </si>
  <si>
    <t>pvbn</t>
  </si>
  <si>
    <t>Funerals</t>
  </si>
  <si>
    <t>“He who dies with the most toys is, nonetheless, still dead.” —Anonymous</t>
  </si>
  <si>
    <t>pvfc</t>
  </si>
  <si>
    <t>Fur</t>
  </si>
  <si>
    <t>The characteristic covering of mammals and people with money.</t>
  </si>
  <si>
    <t>vlxa</t>
  </si>
  <si>
    <t>The soft, hairy covering on the skin of some animals.</t>
  </si>
  <si>
    <t>qqih</t>
  </si>
  <si>
    <t>Fuzz</t>
  </si>
  <si>
    <t>Lint… Policemen… Whatever…</t>
  </si>
  <si>
    <t>lerl</t>
  </si>
  <si>
    <t>Gall Bladder</t>
  </si>
  <si>
    <t>Where excess bile is stored. Stored for what, we don’t know.</t>
  </si>
  <si>
    <t>ds{l</t>
  </si>
  <si>
    <t>Gang Members</t>
  </si>
  <si>
    <t>“When you’re a Jet, you’re a Jet all the way…” —West Side Story</t>
  </si>
  <si>
    <t>txad</t>
  </si>
  <si>
    <t>Garages</t>
  </si>
  <si>
    <t>Little houses for cars.</t>
  </si>
  <si>
    <t>iffy</t>
  </si>
  <si>
    <t>Garbage Cans</t>
  </si>
  <si>
    <t>A restaurant for raccoons.</t>
  </si>
  <si>
    <t>iolz</t>
  </si>
  <si>
    <t>Gardening</t>
  </si>
  <si>
    <t>Get in touch with your roots.</t>
  </si>
  <si>
    <t>gnda</t>
  </si>
  <si>
    <t>Garrison Keillor</t>
  </si>
  <si>
    <t>1942-, American author and radio star. He shares the Midwest perspective with 2.6 million listeners each week on “A Prairie Home Companion.”</t>
  </si>
  <si>
    <t>eerm</t>
  </si>
  <si>
    <t>Garth Brooks</t>
  </si>
  <si>
    <t>1962-, American country music singer and songwriter. He's got friends in low places.</t>
  </si>
  <si>
    <t>eqmd</t>
  </si>
  <si>
    <t>Gas Stations</t>
  </si>
  <si>
    <t>How far to the next gas station?</t>
  </si>
  <si>
    <t>kews</t>
  </si>
  <si>
    <t>Geishas</t>
  </si>
  <si>
    <t>Japanese women training in traditional singing, dancing, and entertaining. Of course, you would never recognize them without all that make-up.</t>
  </si>
  <si>
    <t>zvvo</t>
  </si>
  <si>
    <t>Gen. George S. Patton</t>
  </si>
  <si>
    <t>1885-1945, the commander of the American Third Army during World War II. - a.k.a. Olf Blood and Guts</t>
  </si>
  <si>
    <t>xryc</t>
  </si>
  <si>
    <t>Genetic Engineering</t>
  </si>
  <si>
    <t>What DO you get when you cross a monkey with a potato?</t>
  </si>
  <si>
    <t>usqh</t>
  </si>
  <si>
    <t>George &amp; Jane, His Wife</t>
  </si>
  <si>
    <t>The Jetsons television show first aired in 1962. In spite of our best efforts, cars still can't fly.</t>
  </si>
  <si>
    <t>kqlq</t>
  </si>
  <si>
    <t>George W. Bush</t>
  </si>
  <si>
    <t>1946-, 43rd president of the United States. The second time ever that the son of a former president was elected to the office.</t>
  </si>
  <si>
    <t>(Basic Set (2001 Printing Forward), Party Set]</t>
  </si>
  <si>
    <t>{eqk</t>
  </si>
  <si>
    <t>George Washington</t>
  </si>
  <si>
    <t>1732-99, First President of the United States. He chopped down a cherry tree to make false teeth, or something like that…</t>
  </si>
  <si>
    <t>pkng</t>
  </si>
  <si>
    <t>First president of the United States.</t>
  </si>
  <si>
    <t>djxg</t>
  </si>
  <si>
    <t>Georgia O'Keeffe</t>
  </si>
  <si>
    <t>1887-1986, American abstract painter known for her still life compositions. Her skull paintings prove that beauty is more than skin deep.</t>
  </si>
  <si>
    <t>zdej</t>
  </si>
  <si>
    <t>Getting A Haircut</t>
  </si>
  <si>
    <t>It will always grow back.</t>
  </si>
  <si>
    <t>jysl</t>
  </si>
  <si>
    <t>Getting A Hug</t>
  </si>
  <si>
    <t>Hmmmm… nice.</t>
  </si>
  <si>
    <t>xpxq</t>
  </si>
  <si>
    <t>Getting A Shot</t>
  </si>
  <si>
    <t>It’s better than getting sick!</t>
  </si>
  <si>
    <t>znyb</t>
  </si>
  <si>
    <t>Getting Head Lice</t>
  </si>
  <si>
    <t>Tiny insects that live on the human scalp. Millions of children get head lice each year.</t>
  </si>
  <si>
    <t>aiey</t>
  </si>
  <si>
    <t>Getting Lost</t>
  </si>
  <si>
    <t>Now, where did they go?</t>
  </si>
  <si>
    <t>lenz</t>
  </si>
  <si>
    <t>Getting Mail</t>
  </si>
  <si>
    <t>Letters, cards, magazines and packages. Is there anything for me?</t>
  </si>
  <si>
    <t>ohmn</t>
  </si>
  <si>
    <t>Getting Sick</t>
  </si>
  <si>
    <t>Oh, I don't feel very good.</t>
  </si>
  <si>
    <t>hmxd</t>
  </si>
  <si>
    <t>Getting Stitches</t>
  </si>
  <si>
    <t>Now they can sew you up or glue you back together.</t>
  </si>
  <si>
    <t>dvtd</t>
  </si>
  <si>
    <t>Getting The Flu</t>
  </si>
  <si>
    <t>Stay home, drink juice and watch TV.</t>
  </si>
  <si>
    <t>yxbz</t>
  </si>
  <si>
    <t>Gettysburg, 1863</t>
  </si>
  <si>
    <t>The turning point of the American Civil War, a bit more than four score and seven years ago.</t>
  </si>
  <si>
    <t>urur</t>
  </si>
  <si>
    <t>Ghost Towns</t>
  </si>
  <si>
    <t>Population unknown.</t>
  </si>
  <si>
    <t>hgmx</t>
  </si>
  <si>
    <t>Ghosts</t>
  </si>
  <si>
    <t>Nonmaterial embodiments or the essence of organisms (mostly human beings). Quite spirited</t>
  </si>
  <si>
    <t>vnom</t>
  </si>
  <si>
    <t>A pale, shadowy form, and a favorite Halloween costume.</t>
  </si>
  <si>
    <t>edgn</t>
  </si>
  <si>
    <t>Ghosts &amp; Goblins</t>
  </si>
  <si>
    <t>“I see dead people.” —Cole Sear, The Sixth Sense</t>
  </si>
  <si>
    <t>zwri</t>
  </si>
  <si>
    <t>GI Joe</t>
  </si>
  <si>
    <t>He's an “action figure,” not a “doll.”</t>
  </si>
  <si>
    <t>oemx</t>
  </si>
  <si>
    <t>Giant Squid</t>
  </si>
  <si>
    <t>Going fishing for giant squid? Nautilus I have to…</t>
  </si>
  <si>
    <t>yyiu</t>
  </si>
  <si>
    <t>Gila Monsters</t>
  </si>
  <si>
    <t>The largest, and only poisonous lizard found in the United States.</t>
  </si>
  <si>
    <t>cvco</t>
  </si>
  <si>
    <t>Gilligan's Island</t>
  </si>
  <si>
    <t>Who would have thought that you could make a radio out of coconuts.</t>
  </si>
  <si>
    <t>nlsr</t>
  </si>
  <si>
    <t>Ginger &amp; Mary Ann</t>
  </si>
  <si>
    <t>“Here on Gilligan’s Isle.”</t>
  </si>
  <si>
    <t>xldh</t>
  </si>
  <si>
    <t>Gingko Trees</t>
  </si>
  <si>
    <t>An Asiatic tree, Gingko biloba, known for its fan shaped leaves. We can’t remember what it's good for.</t>
  </si>
  <si>
    <t>ycri</t>
  </si>
  <si>
    <t>Ginseng</t>
  </si>
  <si>
    <t>Common name for plants of the ginseng family, source of a stimulant and a supposed aphrodisiac.</t>
  </si>
  <si>
    <t>bmco</t>
  </si>
  <si>
    <t>Giraffes</t>
  </si>
  <si>
    <t>Giraffes can grow to 18 feet tall and have been known to kill a lion with a single kick. Not just another pretty face.</t>
  </si>
  <si>
    <t>w{nm</t>
  </si>
  <si>
    <t>Girl Scouts</t>
  </si>
  <si>
    <t>I’ll take six boxes of Thin Mints and three of the… you know, the kind with the peanut butter.</t>
  </si>
  <si>
    <t>ezvz</t>
  </si>
  <si>
    <t>I will do my best to be honest and fair, friendly and helpful… and sell lots of cookies.</t>
  </si>
  <si>
    <t>f{im</t>
  </si>
  <si>
    <t>Girlfriends</t>
  </si>
  <si>
    <t>Girlfriend let’s talk!</t>
  </si>
  <si>
    <t>zfzs</t>
  </si>
  <si>
    <t>dydi</t>
  </si>
  <si>
    <t>Girls</t>
  </si>
  <si>
    <t>“Sugar and spice and everything nice.”</t>
  </si>
  <si>
    <t>uodb</t>
  </si>
  <si>
    <t>Giving A Hug</t>
  </si>
  <si>
    <t>“One may give without loving; but none can love without giving.” —Anonymous</t>
  </si>
  <si>
    <t>hjpb</t>
  </si>
  <si>
    <t>Glaciers</t>
  </si>
  <si>
    <t>It’ll be a cold day when we see THEM again…</t>
  </si>
  <si>
    <t>dzae</t>
  </si>
  <si>
    <t>Glass</t>
  </si>
  <si>
    <t>Glass is made by melting sand with potash or other chemicals.</t>
  </si>
  <si>
    <t>jwlu</t>
  </si>
  <si>
    <t>Glazed Donuts</t>
  </si>
  <si>
    <t>If you’re going to be late, take a box of donuts.</t>
  </si>
  <si>
    <t>fspp</t>
  </si>
  <si>
    <t>Global Warming</t>
  </si>
  <si>
    <t>Is it hot in here, or is it just me?</t>
  </si>
  <si>
    <t>grec</t>
  </si>
  <si>
    <t>Globes</t>
  </si>
  <si>
    <t>The world at your fingertips.</t>
  </si>
  <si>
    <t>ulwm</t>
  </si>
  <si>
    <t>Glue</t>
  </si>
  <si>
    <t>Very sticky stuff!</t>
  </si>
  <si>
    <t>qovg</t>
  </si>
  <si>
    <t>Go Karts</t>
  </si>
  <si>
    <t>Go kart, go!</t>
  </si>
  <si>
    <t>lagh</t>
  </si>
  <si>
    <t>Goats</t>
  </si>
  <si>
    <t>Goats have short horns and beards. They’ll eat anything.</t>
  </si>
  <si>
    <t>ueim</t>
  </si>
  <si>
    <t>Going On A Cruise</t>
  </si>
  <si>
    <t>Iceberg, dead ahead!</t>
  </si>
  <si>
    <t>cxmi</t>
  </si>
  <si>
    <t>Going On A Safari</t>
  </si>
  <si>
    <t>Don’t feed the lions!</t>
  </si>
  <si>
    <t>yjoc</t>
  </si>
  <si>
    <t>Going On Vacation</t>
  </si>
  <si>
    <t>Pack your bags!</t>
  </si>
  <si>
    <t>bstc</t>
  </si>
  <si>
    <t>Going To A Movie</t>
  </si>
  <si>
    <t>Get some popcorn and watch the show.</t>
  </si>
  <si>
    <t>uvdt</t>
  </si>
  <si>
    <t>Going To Church</t>
  </si>
  <si>
    <t>Weddings, funerals, bazaars, and bingo!</t>
  </si>
  <si>
    <t>bdvi</t>
  </si>
  <si>
    <t>Going To Grandma's</t>
  </si>
  <si>
    <t>“Grandmother, what big teeth you have!” —Little Red Riding Hood</t>
  </si>
  <si>
    <t>qhmv</t>
  </si>
  <si>
    <t>Going To School</t>
  </si>
  <si>
    <t>Secondary education? It's elementary.</t>
  </si>
  <si>
    <t>kwbn</t>
  </si>
  <si>
    <t>The easiest way to get an education.</t>
  </si>
  <si>
    <t>fofb</t>
  </si>
  <si>
    <t>Going To The Dentist</t>
  </si>
  <si>
    <t>Have you brushed your teeth today?</t>
  </si>
  <si>
    <t>nbqe</t>
  </si>
  <si>
    <t>This won’t hurt a bit…</t>
  </si>
  <si>
    <t>xisb</t>
  </si>
  <si>
    <t>Going To The Gym</t>
  </si>
  <si>
    <t>No pain, no gain.</t>
  </si>
  <si>
    <t>lnjp</t>
  </si>
  <si>
    <t>Gold</t>
  </si>
  <si>
    <t>Rare yellow metal used to make coins and jewelry.</t>
  </si>
  <si>
    <t>pvwx</t>
  </si>
  <si>
    <t>Gold &amp; Silver</t>
  </si>
  <si>
    <t>There’s a good reason Fort Knox is full of gold and not silver.</t>
  </si>
  <si>
    <t>mfey</t>
  </si>
  <si>
    <t>Gold Chains</t>
  </si>
  <si>
    <t>The more, the better.</t>
  </si>
  <si>
    <t>okil</t>
  </si>
  <si>
    <t>Goldfish</t>
  </si>
  <si>
    <t>The pet, the carnival prize, or the snack cracker.</t>
  </si>
  <si>
    <t>pbqx</t>
  </si>
  <si>
    <t>Little orange fish that you can keep as pets.</t>
  </si>
  <si>
    <t>bmgl</t>
  </si>
  <si>
    <t>Goldie Hawn</t>
  </si>
  <si>
    <t>1945-, American actor and producer. Famous for playing ditzy blondesreally well!</t>
  </si>
  <si>
    <t>hjsr</t>
  </si>
  <si>
    <t>Golf-Ball-Sized Hail</t>
  </si>
  <si>
    <t>…which is almost as impressive as hail-sized golf balls…</t>
  </si>
  <si>
    <t>dfzz</t>
  </si>
  <si>
    <t>Good &amp; Plenty</t>
  </si>
  <si>
    <t>The licorice candy was first produced in 1893, making it the oldest branded candy in the United States.</t>
  </si>
  <si>
    <t>kpdi</t>
  </si>
  <si>
    <t>Goose &amp; The Gander</t>
  </si>
  <si>
    <t>If it’s good for the goose…</t>
  </si>
  <si>
    <t>rvxi</t>
  </si>
  <si>
    <t>Gorillas</t>
  </si>
  <si>
    <t>Large, strong primates. Gorillas come from Africa.</t>
  </si>
  <si>
    <t>zvyx</t>
  </si>
  <si>
    <t>Gossip</t>
  </si>
  <si>
    <t>Petty, backbiting rumor-mongering. See also: journalism.</t>
  </si>
  <si>
    <t>axby</t>
  </si>
  <si>
    <t>Gourmet Coffee Shops</t>
  </si>
  <si>
    <t>I’ll have a tall, double cappuccino, wet, with vanilla, half decaf, to walk.</t>
  </si>
  <si>
    <t>dtha</t>
  </si>
  <si>
    <t>Grace Kelly</t>
  </si>
  <si>
    <t>1929-82, Princess of Monaco and American film star of “Dial M for Murder”, “Rear Window”, and “To Catch a Thief.” Always chic, always elegant.</t>
  </si>
  <si>
    <t>qyxd</t>
  </si>
  <si>
    <t>Graffiti</t>
  </si>
  <si>
    <t>Art in a can. We’re drawn to it.</t>
  </si>
  <si>
    <t>zprt</t>
  </si>
  <si>
    <t>Grape Jelly</t>
  </si>
  <si>
    <t>It’s perfect for peanut butter and jelly sandwiches.</t>
  </si>
  <si>
    <t>cxct</t>
  </si>
  <si>
    <t>Grapefruit</t>
  </si>
  <si>
    <t>Not a grape, but it is a fruit.</t>
  </si>
  <si>
    <t>zgnj</t>
  </si>
  <si>
    <t>Grapes</t>
  </si>
  <si>
    <t>Small round fruit that grows in bunches, usually purple, red or green. They make good snacks!</t>
  </si>
  <si>
    <t>ilun</t>
  </si>
  <si>
    <t>Grass Skirts</t>
  </si>
  <si>
    <t>Hula loves you, baby?</t>
  </si>
  <si>
    <t>ptxx</t>
  </si>
  <si>
    <t>Grassy Hill</t>
  </si>
  <si>
    <t>Good for rolling down, flying kites, and playing games.</t>
  </si>
  <si>
    <t>judl</t>
  </si>
  <si>
    <t>Grave Robbers</t>
  </si>
  <si>
    <t>Famous for their bodies of work.</t>
  </si>
  <si>
    <t>maqp</t>
  </si>
  <si>
    <t>Gravity</t>
  </si>
  <si>
    <t>In 1684, the law of gravitation was formulated by English physicist Sir Isaac Newton, who recognized the gravity of the situation.</t>
  </si>
  <si>
    <t>pggp</t>
  </si>
  <si>
    <t>Gravy</t>
  </si>
  <si>
    <t>Sauce made from meat juices. Got to have it on mashed potatoes.</t>
  </si>
  <si>
    <t>wgfd</t>
  </si>
  <si>
    <t>Grease</t>
  </si>
  <si>
    <t>Pretty slick!</t>
  </si>
  <si>
    <t>bcii</t>
  </si>
  <si>
    <t>Grease &amp; Grime</t>
  </si>
  <si>
    <t>What would Martha do?</t>
  </si>
  <si>
    <t>nbuo</t>
  </si>
  <si>
    <t>Green Beans</t>
  </si>
  <si>
    <t>Long, thin beans that you can eat raw or cooked.</t>
  </si>
  <si>
    <t>{wvk</t>
  </si>
  <si>
    <t>Greenpeace</t>
  </si>
  <si>
    <t>International organization dedicated to preserving the Earth's natural resources, and its diverse plant and animal life.</t>
  </si>
  <si>
    <t>gabr</t>
  </si>
  <si>
    <t>Grocery Stores</t>
  </si>
  <si>
    <t>Good places to buy food, supplies and candy!</t>
  </si>
  <si>
    <t>qddc</t>
  </si>
  <si>
    <t>Guitars</t>
  </si>
  <si>
    <t>ROCK AND ROLL!</t>
  </si>
  <si>
    <t>mveq</t>
  </si>
  <si>
    <t>Gummi Bears</t>
  </si>
  <si>
    <t>Little rubbery candies shaped like bears.</t>
  </si>
  <si>
    <t>rrak</t>
  </si>
  <si>
    <t>Gym Teachers</t>
  </si>
  <si>
    <t>“I am a Physical Education Teacher. Call me a gym teacher again and you can drop and give me ten!”</t>
  </si>
  <si>
    <t>xuuc</t>
  </si>
  <si>
    <t>Gymnastics</t>
  </si>
  <si>
    <t>Tucks, vaults and handsprings—it's harder than it looks.</t>
  </si>
  <si>
    <t>ockd</t>
  </si>
  <si>
    <t>Haiku</t>
  </si>
  <si>
    <t>Traditional form of Japanese poetry consisting of three lines, usually containing a reference to nature.</t>
  </si>
  <si>
    <t>whra</t>
  </si>
  <si>
    <t>Hair Transplants</t>
  </si>
  <si>
    <t>Oh, it looks so natural…</t>
  </si>
  <si>
    <t>uuve</t>
  </si>
  <si>
    <t>Hairballs</t>
  </si>
  <si>
    <t>Cough it up, kitty…</t>
  </si>
  <si>
    <t>issb</t>
  </si>
  <si>
    <t>Halloween</t>
  </si>
  <si>
    <t>October 31, the eve of All Saints’ Day, celebrated with costumes, treats, and scary stuff. Not just for kids any more!</t>
  </si>
  <si>
    <t>qrli</t>
  </si>
  <si>
    <t>The October 31st celebration featuring costumes, treats, and other spooky stuff.</t>
  </si>
  <si>
    <t>dyru</t>
  </si>
  <si>
    <t>Ham Sandwhich</t>
  </si>
  <si>
    <t>Ham is pork. Pork is pig. It’s a pig sandwich!</t>
  </si>
  <si>
    <t>lbgy</t>
  </si>
  <si>
    <t>Hamburgers</t>
  </si>
  <si>
    <t>Do you want fries with that?</t>
  </si>
  <si>
    <t>bedv</t>
  </si>
  <si>
    <t>Hammer &amp; Nails</t>
  </si>
  <si>
    <t>“If I had a hammer…” —Peter, Paul and Mary</t>
  </si>
  <si>
    <t>ffca</t>
  </si>
  <si>
    <t>Hammer &amp; Sickle</t>
  </si>
  <si>
    <t>An emblem of the Communist movement, now retired… as is the Soviet Union.</t>
  </si>
  <si>
    <t>huxd</t>
  </si>
  <si>
    <t>Hammerhead Sharks</t>
  </si>
  <si>
    <t>The name for these sharks comes from the unusual shape of their heads.</t>
  </si>
  <si>
    <t>wckm</t>
  </si>
  <si>
    <t>Hammers</t>
  </si>
  <si>
    <t>“I’d rather be a hammer than a nail.”</t>
  </si>
  <si>
    <t>pcff</t>
  </si>
  <si>
    <t>Hamsters</t>
  </si>
  <si>
    <t>These little rodents store food in their cheeks.</t>
  </si>
  <si>
    <t>fnel</t>
  </si>
  <si>
    <t>Hand Grenades</t>
  </si>
  <si>
    <t>Close only counts in horseshoes and hand grenades!</t>
  </si>
  <si>
    <t>eszb</t>
  </si>
  <si>
    <t>Handcuffs</t>
  </si>
  <si>
    <t>“You have the right to remain silent…”</t>
  </si>
  <si>
    <t>ocyx</t>
  </si>
  <si>
    <t>Handguns</t>
  </si>
  <si>
    <t>Source of a never-ending controversy as to how to get them out of the hands of the bad guys and into the hands of the good guys.</t>
  </si>
  <si>
    <t>bnwo</t>
  </si>
  <si>
    <t>Hang Gliding</t>
  </si>
  <si>
    <t>Trust us. It’s a breeze.</t>
  </si>
  <si>
    <t>pwnj</t>
  </si>
  <si>
    <t>Hangnails</t>
  </si>
  <si>
    <t>We’ve fingered the cause of the pain.</t>
  </si>
  <si>
    <t>zxku</t>
  </si>
  <si>
    <t>Hansel &amp; Gretel</t>
  </si>
  <si>
    <t>One of Grimm’s grimmer fairy tales.</t>
  </si>
  <si>
    <t>hjir</t>
  </si>
  <si>
    <t>Hanukkah</t>
  </si>
  <si>
    <t>An eight day long Jewish celebration that usually occurs in December.</t>
  </si>
  <si>
    <t>nvkg</t>
  </si>
  <si>
    <t>Hard Boiled Eggs</t>
  </si>
  <si>
    <t>Well, I’ll be deviled…</t>
  </si>
  <si>
    <t>bcme</t>
  </si>
  <si>
    <t>Harrison Ford</t>
  </si>
  <si>
    <t>1942-, Iconic American actor. “Hokey religions and ancient weapons are no match for a blaster at your side, kid.”</t>
  </si>
  <si>
    <t>ejjk</t>
  </si>
  <si>
    <t>Harry Potter</t>
  </si>
  <si>
    <t>The hero in a series of books by J.K. Rowling featuring muggles and wizards.</t>
  </si>
  <si>
    <t>goen</t>
  </si>
  <si>
    <t>The hero in a series of books by J.K. Rowling featuring wizards and muggles.</t>
  </si>
  <si>
    <t>yajt</t>
  </si>
  <si>
    <t>Harvard &amp; Yale</t>
  </si>
  <si>
    <t>“What? Like it's hard?” —Reese Witherspoon, Legally Blond</t>
  </si>
  <si>
    <t>rjdg</t>
  </si>
  <si>
    <t>Haunted House</t>
  </si>
  <si>
    <t>If there’s a ghost—it's haunted!</t>
  </si>
  <si>
    <t>stgz</t>
  </si>
  <si>
    <t>Having A Baby</t>
  </si>
  <si>
    <t>“Rock-a-bye baby, on the tree top…” Who would put a kid on a tree top?</t>
  </si>
  <si>
    <t>cxaq</t>
  </si>
  <si>
    <t>Having A Party</t>
  </si>
  <si>
    <t>Invitations, snacks, games, music… it’s a party!</t>
  </si>
  <si>
    <t>qtbx</t>
  </si>
  <si>
    <t>Having An Operation</t>
  </si>
  <si>
    <t>What a cutup! A real stitch.</t>
  </si>
  <si>
    <t>jnwq</t>
  </si>
  <si>
    <t>Hawaii</t>
  </si>
  <si>
    <t>The eight islands that make up America's 50th state entered the Union on August 21, 1959.</t>
  </si>
  <si>
    <t>vbre</t>
  </si>
  <si>
    <t>Hawks &amp; Doves</t>
  </si>
  <si>
    <t>The big birds of war and peace.</t>
  </si>
  <si>
    <t>yvgt</t>
  </si>
  <si>
    <t>Head Lice</t>
  </si>
  <si>
    <t>Head lice suck blood from the scalp and spread like crazy. A REAL parasite.</t>
  </si>
  <si>
    <t>jici</t>
  </si>
  <si>
    <t>Heart &amp; Soul</t>
  </si>
  <si>
    <t>They’re yours. All yours!</t>
  </si>
  <si>
    <t>{tsd</t>
  </si>
  <si>
    <t>Heaven &amp; Hell</t>
  </si>
  <si>
    <t>The ups and down of the afterlife.</t>
  </si>
  <si>
    <t>swlj</t>
  </si>
  <si>
    <t>Helen Keller</t>
  </si>
  <si>
    <t>1880-1968, American author and lecturer who overcame deafness and blindness with the help of her companion, Anne Sullivan.</t>
  </si>
  <si>
    <t>nvoo</t>
  </si>
  <si>
    <t>Helicopters</t>
  </si>
  <si>
    <t>The spinning blades keep the helicopter in the air… somehow.</t>
  </si>
  <si>
    <t>gpvu</t>
  </si>
  <si>
    <t>Herb Gardens</t>
  </si>
  <si>
    <t>Rosemary, Basil, Chive… is it a herb garden or the cast from a British drama?</t>
  </si>
  <si>
    <t>d{zq</t>
  </si>
  <si>
    <t>Here &amp; There</t>
  </si>
  <si>
    <t>And everywhere.</t>
  </si>
  <si>
    <t>jdye</t>
  </si>
  <si>
    <t>Hiccups</t>
  </si>
  <si>
    <t>How do you, hic, get em? How do you, hic, get rid of ’em?</t>
  </si>
  <si>
    <t>crhv</t>
  </si>
  <si>
    <t>Hiding Places</t>
  </si>
  <si>
    <t>It’s a secret.</t>
  </si>
  <si>
    <t>xvul</t>
  </si>
  <si>
    <t>High Heels</t>
  </si>
  <si>
    <t>No running.</t>
  </si>
  <si>
    <t>twst</t>
  </si>
  <si>
    <t>High School</t>
  </si>
  <si>
    <t>Most students start high school when they are fourteen.</t>
  </si>
  <si>
    <t>txhj</t>
  </si>
  <si>
    <t>High School Football</t>
  </si>
  <si>
    <t>The whole ten yards!</t>
  </si>
  <si>
    <t>rrtb</t>
  </si>
  <si>
    <t>High School Reunions</t>
  </si>
  <si>
    <t>See also: “root canal, as fun as…”</t>
  </si>
  <si>
    <t>ne{l</t>
  </si>
  <si>
    <t>Hiking In The Woods</t>
  </si>
  <si>
    <t>It’s an adventure.</t>
  </si>
  <si>
    <t>krlz</t>
  </si>
  <si>
    <t>Hillary Rodham Clinton</t>
  </si>
  <si>
    <t>1947-, New York Senator, lawyer, and former American First Lady.</t>
  </si>
  <si>
    <t>mjhl</t>
  </si>
  <si>
    <t>Hills &amp; Valleys</t>
  </si>
  <si>
    <t>Nature’s little ups and down.</t>
  </si>
  <si>
    <t>rlyx</t>
  </si>
  <si>
    <t>Hip Hop</t>
  </si>
  <si>
    <t>Musical and cultural movement that gained popularity in the 1980s. Yo, yo, yo.</t>
  </si>
  <si>
    <t>llgm</t>
  </si>
  <si>
    <t>Hippopotamus</t>
  </si>
  <si>
    <t>Hippos are also called “river horses” and only eat plants.</t>
  </si>
  <si>
    <t>msuz</t>
  </si>
  <si>
    <t>Hiroshima - 1945</t>
  </si>
  <si>
    <t>“I am become death, the destroyer of worlds” —J. Robert Oppenheimer, on the detonation of the first atmoic bomb.</t>
  </si>
  <si>
    <t>qruj</t>
  </si>
  <si>
    <t>Hit &amp; Run</t>
  </si>
  <si>
    <t>An automobile crash, or a baseball play.</t>
  </si>
  <si>
    <t>gwos</t>
  </si>
  <si>
    <t>Hitting A Home-Run</t>
  </si>
  <si>
    <t>Going… going… CRASH… through the neighbor’s window!</t>
  </si>
  <si>
    <t>lneb</t>
  </si>
  <si>
    <t>HMOs</t>
  </si>
  <si>
    <t>Heath Maintenance Organizations. Here&gt;'s to your health…</t>
  </si>
  <si>
    <t>xkei</t>
  </si>
  <si>
    <t>Hockey</t>
  </si>
  <si>
    <t>Did you hear about the big fight last night? All of a sudden, a hockey game broke out!</t>
  </si>
  <si>
    <t>gobb</t>
  </si>
  <si>
    <t>Skate! Pass! Score!</t>
  </si>
  <si>
    <t>dgjf</t>
  </si>
  <si>
    <t>Hollywood</t>
  </si>
  <si>
    <t>Motion picture and television industry center of the world. Hooray for Hollywood!</t>
  </si>
  <si>
    <t>iqid</t>
  </si>
  <si>
    <t>Hollywood &amp; Vine</t>
  </si>
  <si>
    <t>The Los Angeles street corner where dreams come true.</t>
  </si>
  <si>
    <t>pgrk</t>
  </si>
  <si>
    <t>Homeless Shelters</t>
  </si>
  <si>
    <t>In the United States, nearly three-quarters of the help for the homeless comes from the private sector, mostly from church soup kitchens.</t>
  </si>
  <si>
    <t>vjkd</t>
  </si>
  <si>
    <t>Homer Simpson</t>
  </si>
  <si>
    <t>Fictional cartoon character created by Matt Groening. D’oh!</t>
  </si>
  <si>
    <t>qvrk</t>
  </si>
  <si>
    <t>Homework</t>
  </si>
  <si>
    <t>Finally, something to do during commercials.</t>
  </si>
  <si>
    <t>psjc</t>
  </si>
  <si>
    <t>Something to do during comercials.</t>
  </si>
  <si>
    <t>xhty</t>
  </si>
  <si>
    <t>Honey</t>
  </si>
  <si>
    <t>A sweet, thick, gold liquid made by bees.</t>
  </si>
  <si>
    <t>ktaf</t>
  </si>
  <si>
    <t>Hook &amp; Ladder Trucks</t>
  </si>
  <si>
    <t>One big reason to become a firefighter.</t>
  </si>
  <si>
    <t>nomg</t>
  </si>
  <si>
    <t>Hooligans</t>
  </si>
  <si>
    <t>“Hey! Kids! Get outta my yard!”</t>
  </si>
  <si>
    <t>fnvu</t>
  </si>
  <si>
    <t>Hootie &amp; The Blowfish</t>
  </si>
  <si>
    <t>One of the most commercially successful pop bands to emerge in the 1990s. I go blind when I think about them.</t>
  </si>
  <si>
    <t>obfq</t>
  </si>
  <si>
    <t>Hopscotch</t>
  </si>
  <si>
    <t>All you need is a sidewalk, chalk, and a rock.</t>
  </si>
  <si>
    <t>eezr</t>
  </si>
  <si>
    <t>Horse &amp; Cart</t>
  </si>
  <si>
    <t>Get the order right!</t>
  </si>
  <si>
    <t>dbmp</t>
  </si>
  <si>
    <t>Horseback Riding</t>
  </si>
  <si>
    <t>WHOAAA!!!</t>
  </si>
  <si>
    <t>ppcq</t>
  </si>
  <si>
    <t>Horses</t>
  </si>
  <si>
    <t>Black Beauty, the Black Stallion, and Flicka are famous horses in literature.</t>
  </si>
  <si>
    <t>jzcd</t>
  </si>
  <si>
    <t>Hospital Gowns</t>
  </si>
  <si>
    <t>Open all hours.</t>
  </si>
  <si>
    <t>y{er</t>
  </si>
  <si>
    <t>Hospitals</t>
  </si>
  <si>
    <t>The ambulance is the fastest way to get there.</t>
  </si>
  <si>
    <t>daqh</t>
  </si>
  <si>
    <t>Hot Chocolate</t>
  </si>
  <si>
    <t>A good drink on a cold day. Just add marshmallows!</t>
  </si>
  <si>
    <t>mkfh</t>
  </si>
  <si>
    <t>Hot Lava</t>
  </si>
  <si>
    <t>There’s no better way to serve it.</t>
  </si>
  <si>
    <t>wnqk</t>
  </si>
  <si>
    <t>Hot Tubs</t>
  </si>
  <si>
    <t>Of course it’s hot—it’s a hot tub!</t>
  </si>
  <si>
    <t>lbzb</t>
  </si>
  <si>
    <t>Hot Wheels Cars</t>
  </si>
  <si>
    <t>Small, metal cars to play with and collect. They can go over 300 miles per hour downhill!</t>
  </si>
  <si>
    <t>pqbe</t>
  </si>
  <si>
    <t>Hotdogs</t>
  </si>
  <si>
    <t>A sausage served at ballgames and cookouts. They are NOT made from dogs!</t>
  </si>
  <si>
    <t>dylg</t>
  </si>
  <si>
    <t>Hotels &amp; Motels</t>
  </si>
  <si>
    <t>Get a room!</t>
  </si>
  <si>
    <t>imkn</t>
  </si>
  <si>
    <t>House &amp; Home</t>
  </si>
  <si>
    <t>And money pit.</t>
  </si>
  <si>
    <t>tckf</t>
  </si>
  <si>
    <t>House Guests</t>
  </si>
  <si>
    <t>How many visitors does it take to drive you crazy? Go on …take a guest!</t>
  </si>
  <si>
    <t>uocf</t>
  </si>
  <si>
    <t>Howard Stern</t>
  </si>
  <si>
    <t>1954-, American shock disc jockey. His autobiography is titled Private Parts. If only they WERE private.</t>
  </si>
  <si>
    <t>socu</t>
  </si>
  <si>
    <t>Hugs</t>
  </si>
  <si>
    <t>There are bear hugs, Grandma hugs, friend hugs, and love hugs.</t>
  </si>
  <si>
    <t>zhgl</t>
  </si>
  <si>
    <t>Hummingbirds</t>
  </si>
  <si>
    <t>Why do hummingbirds hum? Because they don’t know the words…… da-dum, dum!</t>
  </si>
  <si>
    <t>fsav</t>
  </si>
  <si>
    <t>Humphrey Bogart</t>
  </si>
  <si>
    <t>1899-1957, American film actor, starred in such classics as “The Maltese Falcon” and “Casablanca.” “Here's looking at you kid.”</t>
  </si>
  <si>
    <t>exrx</t>
  </si>
  <si>
    <t>Hunters</t>
  </si>
  <si>
    <t>Wolves, hawks, owls, and people all hunt for food.</t>
  </si>
  <si>
    <t>iqzy</t>
  </si>
  <si>
    <t>Husbands &amp; Wives</t>
  </si>
  <si>
    <t>For richer… hopefully.</t>
  </si>
  <si>
    <t>lemt</t>
  </si>
  <si>
    <t>Ice</t>
  </si>
  <si>
    <t>Good for drinks in the summer and skating in the winter.</t>
  </si>
  <si>
    <t>sarr</t>
  </si>
  <si>
    <t>Ice &amp; Snow</t>
  </si>
  <si>
    <t>“We come from the land of the ice and snow / From the midnight sun where the hot springs blow.” —Led Zeppelin</t>
  </si>
  <si>
    <t>gqfj</t>
  </si>
  <si>
    <t>Ice Cream</t>
  </si>
  <si>
    <t>“I scream, you scream, we all scream, for ice cream!”</t>
  </si>
  <si>
    <t>tbdy</t>
  </si>
  <si>
    <t>Ice Skating</t>
  </si>
  <si>
    <t>You can do fancy turns, have a race, go backwards, or just glide.</t>
  </si>
  <si>
    <t>ltbx</t>
  </si>
  <si>
    <t>Icebergs</t>
  </si>
  <si>
    <t>May reach 300 to 500 feet above the oceans’s surface. Ask the captain of the Titanic about the 90 percent that’s UNDER water.</t>
  </si>
  <si>
    <t>{woi</t>
  </si>
  <si>
    <t>In A Coma</t>
  </si>
  <si>
    <t>A deep, prolonged state of unconsciousness… sometimes you just feel that way.</t>
  </si>
  <si>
    <t>kgjc</t>
  </si>
  <si>
    <t>In The Attic</t>
  </si>
  <si>
    <t>Old clothes, old toys, old furniture, and more old stuff.</t>
  </si>
  <si>
    <t>ymvr</t>
  </si>
  <si>
    <t>In The Basement</t>
  </si>
  <si>
    <t>You never know what you will find down there.</t>
  </si>
  <si>
    <t>vayp</t>
  </si>
  <si>
    <t>In The Doghouse</t>
  </si>
  <si>
    <t>All told, I’d rather be in the cathouse.</t>
  </si>
  <si>
    <t>zwkx</t>
  </si>
  <si>
    <t>Incense</t>
  </si>
  <si>
    <t>Incense is better than no sense at all.</t>
  </si>
  <si>
    <t>wtrb</t>
  </si>
  <si>
    <t>Inchworm</t>
  </si>
  <si>
    <t>An inchworm is actually a small, hairless caterpillar.</t>
  </si>
  <si>
    <t>pzhj</t>
  </si>
  <si>
    <t>India</t>
  </si>
  <si>
    <t>The world’s seventh largest country by area, but the second most populous, with one billion people.</t>
  </si>
  <si>
    <t>padx</t>
  </si>
  <si>
    <t>Indiana Jones</t>
  </si>
  <si>
    <t>Fictional archeologist and action hero. Proof that a good hat and a whip can take you a long way.</t>
  </si>
  <si>
    <t>vwvo</t>
  </si>
  <si>
    <t>Industrial Revolution</t>
  </si>
  <si>
    <t>The first Industrial Revolution occurred in Great Britain at the end of the 1700s. The second came with the invention of the “Clapper.”</t>
  </si>
  <si>
    <t>nowp</t>
  </si>
  <si>
    <t>Infomercials</t>
  </si>
  <si>
    <t>One of these days, one of them may even say something informative.</t>
  </si>
  <si>
    <t>fxxo</t>
  </si>
  <si>
    <t>Inside The Sun</t>
  </si>
  <si>
    <t>Consisting mostly of hydrogen, the temperature reaches almost 16,000,000 K (about 29,000,000 F).</t>
  </si>
  <si>
    <t>jbe{</t>
  </si>
  <si>
    <t>Intellectuals</t>
  </si>
  <si>
    <t>They think they’re so smart.</t>
  </si>
  <si>
    <t>odyg</t>
  </si>
  <si>
    <t>Ireland</t>
  </si>
  <si>
    <t>Island of the British Isles, west of Great Britain. Known for its distinctive traditional dance and music.</t>
  </si>
  <si>
    <t>qj{v</t>
  </si>
  <si>
    <t>Irrational Fears</t>
  </si>
  <si>
    <t>What’s that sound?</t>
  </si>
  <si>
    <t>ucgf</t>
  </si>
  <si>
    <t>Israel</t>
  </si>
  <si>
    <t>Located on the Mediterranean, the state of Israel was reated by a 1948 U.N. mandate.</t>
  </si>
  <si>
    <t>bcnh</t>
  </si>
  <si>
    <t>Italy</t>
  </si>
  <si>
    <t>European Republic, shaped like a boot a very fashionable boot.</t>
  </si>
  <si>
    <t>kicb</t>
  </si>
  <si>
    <t>Itchy Clothes</t>
  </si>
  <si>
    <t>Rough, prickly, scratchy they’re awful!</t>
  </si>
  <si>
    <t>ylpr</t>
  </si>
  <si>
    <t>Jack Nicholson</t>
  </si>
  <si>
    <t>1937-, American motion-picture actor of “Chinatown,” “Terms Of Endearment” and “The Shining.” He's as good as it gets!</t>
  </si>
  <si>
    <t>xzka</t>
  </si>
  <si>
    <t>Jack The Ripper</t>
  </si>
  <si>
    <t>Accused of murdering six women in 1888, and suspected in other murders. Still at large.</t>
  </si>
  <si>
    <t>ufao</t>
  </si>
  <si>
    <t>Jackie Chan</t>
  </si>
  <si>
    <t>1954-, actor, director, martial artist. Screen name, Sing Lung, means “Becoming the Dragon.” That’s “MISTER Becoming the Dragon” to you!</t>
  </si>
  <si>
    <t>xyqy</t>
  </si>
  <si>
    <t>Jacques Cousteau</t>
  </si>
  <si>
    <t>1910-97, French naval officer, marine explorer, and author. Best known as a documentary filmmaker.</t>
  </si>
  <si>
    <t>dygj</t>
  </si>
  <si>
    <t>Jail</t>
  </si>
  <si>
    <t>A place for keeping people who have broken the law.</t>
  </si>
  <si>
    <t>yiyd</t>
  </si>
  <si>
    <t>Jamaica</t>
  </si>
  <si>
    <t>Third largest island of the Greater Antilles, south of Cuba. Tropical climate, reggae music, and jerk cooking.</t>
  </si>
  <si>
    <t>xagv</t>
  </si>
  <si>
    <t>James Bond</t>
  </si>
  <si>
    <t>Fictional British secret agent created by English author Ian Fleming. Shaken, but never stirred.</t>
  </si>
  <si>
    <t>ujec</t>
  </si>
  <si>
    <t>James Dean</t>
  </si>
  <si>
    <t>1931-55, American actor of film, stage, and television. His role in “Rebel Without a Cause” helped define “cool.”</t>
  </si>
  <si>
    <t>bzhq</t>
  </si>
  <si>
    <t>Japan</t>
  </si>
  <si>
    <t>An Asian constitutional monarchy. The capital city is Tokyo. Let’s see… sushi, Godzilla, earthquakes…</t>
  </si>
  <si>
    <t>hawo</t>
  </si>
  <si>
    <t>Japanese</t>
  </si>
  <si>
    <t>How many Japanese does it take to screw in a light bulb? Who needs light bulbs when you’ve got OUR new technology!</t>
  </si>
  <si>
    <t>nffg</t>
  </si>
  <si>
    <t>Jell-O</t>
  </si>
  <si>
    <t>A solid, clear treat in lots of fruit flavors. It wiggles and jiggles!</t>
  </si>
  <si>
    <t>bvri</t>
  </si>
  <si>
    <t>Jelly Beans</t>
  </si>
  <si>
    <t>Jelly beans are now available in 50 different flavors!</t>
  </si>
  <si>
    <t>efcm</t>
  </si>
  <si>
    <t>Well, as long as we HAVE to eat our vegetables…</t>
  </si>
  <si>
    <t>swpn</t>
  </si>
  <si>
    <t>Jenna &amp; Barbara</t>
  </si>
  <si>
    <t>President Bush’s daughters, the “First Twins.”</t>
  </si>
  <si>
    <t>wuun</t>
  </si>
  <si>
    <t>Jennifer Lopez</t>
  </si>
  <si>
    <t>1970-, American singer and actor of Selena, Money Train, and Maid In Manhattan.</t>
  </si>
  <si>
    <t>qr{k</t>
  </si>
  <si>
    <t>Jerry Springer</t>
  </si>
  <si>
    <t>1944-, controversial talk-show host. Don’t those people know that millions of us are watching?</t>
  </si>
  <si>
    <t>mqjk</t>
  </si>
  <si>
    <t>Jesse Jackson</t>
  </si>
  <si>
    <t>1941-, American civil rights leader. Named to “The Gallup List of Ten Most Respected by Americans” for ten years.</t>
  </si>
  <si>
    <t>vyrg</t>
  </si>
  <si>
    <t>Jesse Ventura</t>
  </si>
  <si>
    <t>1951-, wrestler, Navy Seal, and former governor of Minnesota. Author of I Ain’t Got Time To Bleed.</t>
  </si>
  <si>
    <t>kwol</t>
  </si>
  <si>
    <t>Jim Carrey</t>
  </si>
  <si>
    <t>1962-, Canadian comedian and actor. Famous for outrageous faces, and dumb and dumber characters.</t>
  </si>
  <si>
    <t>ypon</t>
  </si>
  <si>
    <t>Jimmy Stewart</t>
  </si>
  <si>
    <t>1908-97, America’s favorite self-image. “Mr. Smith Goes to Washington,” “Rear Window,” “Vertigo,” and “It’s a Wonderful Life,” …and it probably was.</t>
  </si>
  <si>
    <t>iszk</t>
  </si>
  <si>
    <t>Joan Of Arc</t>
  </si>
  <si>
    <t>1412-31, patron saint of France who decisively turned the tide of the Hundred Years’ War, which really burned her up.</t>
  </si>
  <si>
    <t>thuu</t>
  </si>
  <si>
    <t>Jodie Foster</t>
  </si>
  <si>
    <t>1962-, American actor began her career on Mayberry, R.F.D. and went on to win Academy Awards for “The Accused” and “Silence Of The Lambs.”</t>
  </si>
  <si>
    <t>tyha</t>
  </si>
  <si>
    <t>John F. Kennedy</t>
  </si>
  <si>
    <t>1917-63, 35th president of the US. “Ask not what your country can do for you; ask what you can do for your country.”</t>
  </si>
  <si>
    <t>lewo</t>
  </si>
  <si>
    <t>John Glenn</t>
  </si>
  <si>
    <t>1921-, The first U.S. astronaut to orbit the earth in 1962, and a U.S. Senator. Never too old to shoot for the moon!</t>
  </si>
  <si>
    <t>coyi</t>
  </si>
  <si>
    <t>John Philip Sousa</t>
  </si>
  <si>
    <t>1854-1932, American bandmaster and composer of “Stars and Stripes Forever.” Known as “The March King.”</t>
  </si>
  <si>
    <t>tcac</t>
  </si>
  <si>
    <t>John Travolta</t>
  </si>
  <si>
    <t>1954, American actor of “Welcome Back, Kotter,” “Grease,” “Saturday Night Fever” and “Pulp Fiction.” That man can dance!</t>
  </si>
  <si>
    <t>zpww</t>
  </si>
  <si>
    <t>John Wayne</t>
  </si>
  <si>
    <t>1907-79, legendary American actor, “The Duke” starred in such classics as “Stagecoach,” “The Sands of Iwo Jima” and “True Grit.”</t>
  </si>
  <si>
    <t>vluf</t>
  </si>
  <si>
    <t>Johnny Depp</t>
  </si>
  <si>
    <t>1963-, American actor and heart-throb. From “Cry-Baby” to “The Man Who Cried” he's as smooth as “Chocolat.”</t>
  </si>
  <si>
    <t>zrsd</t>
  </si>
  <si>
    <t>Jonah &amp; The Whale</t>
  </si>
  <si>
    <t>The greatest fish story ever told, in the Bible, that is.</t>
  </si>
  <si>
    <t>cdye</t>
  </si>
  <si>
    <t>Judge Judy</t>
  </si>
  <si>
    <t>Ms. Sheindlin presides over real-life cases on this TV courtroom show. “I'm the boss, applesauce!”</t>
  </si>
  <si>
    <t>gxxs</t>
  </si>
  <si>
    <t>Juggling</t>
  </si>
  <si>
    <t>Start with two and see how you do.</t>
  </si>
  <si>
    <t>lrkg</t>
  </si>
  <si>
    <t>Julia Roberts</t>
  </si>
  <si>
    <t>1967-, American actor and Pretty Woman. Also starred in Steel Magnolias, My Best Friend's Wedding, and Erin Brockovich.</t>
  </si>
  <si>
    <t>suyj</t>
  </si>
  <si>
    <t>Jumping Rope</t>
  </si>
  <si>
    <t>Twirl the rope and jump!</t>
  </si>
  <si>
    <t>{ptz</t>
  </si>
  <si>
    <t>Junk Mail</t>
  </si>
  <si>
    <t>Contests, credit card applications, solicitations and political ads.</t>
  </si>
  <si>
    <t>pdul</t>
  </si>
  <si>
    <t>Junkyard Dogs</t>
  </si>
  <si>
    <t>Not as mean as bad, bad Leroy Brown.</t>
  </si>
  <si>
    <t>djnv</t>
  </si>
  <si>
    <t>Jupiter</t>
  </si>
  <si>
    <t>Story Problem: If one year on Jupiter equals 11.86 Earth years, and one day equals 9.92 Earth hours, how many Earth hours are there in a Jupiter year?</t>
  </si>
  <si>
    <t>j{gm</t>
  </si>
  <si>
    <t>Jurassic Park</t>
  </si>
  <si>
    <t>1993 film based on Michael Chrichton's book about dinosaurs brought back to life, with Oscar-winning visual effects.</t>
  </si>
  <si>
    <t>snzp</t>
  </si>
  <si>
    <t>Kangaroos</t>
  </si>
  <si>
    <t>Large animals from Australia that hop. Mother kangaroos carry their babies in pouches.</t>
  </si>
  <si>
    <t>xgjn</t>
  </si>
  <si>
    <t>Katherine Hepburn</t>
  </si>
  <si>
    <t>1909-2003, American actor and winner of four Academy Awards. She starred in such classics as The African Queen.</t>
  </si>
  <si>
    <t>eccj</t>
  </si>
  <si>
    <t>Keanu Reeves</t>
  </si>
  <si>
    <t>1964-, American actor of “Bill And Ted’s Excellent Adventure,” “The Matrix” and “Speed.” Keanu means “cool breeze over the mountains.”</t>
  </si>
  <si>
    <t>yfnn</t>
  </si>
  <si>
    <t>Kickball</t>
  </si>
  <si>
    <t>You’ll get a kick out of it!</t>
  </si>
  <si>
    <t>pkup</t>
  </si>
  <si>
    <t>Killer Whales</t>
  </si>
  <si>
    <t>Black and white predatory whales. Boy, can they sing!</t>
  </si>
  <si>
    <t>go{o</t>
  </si>
  <si>
    <t>Kilts</t>
  </si>
  <si>
    <t>If Mel Gibson can wear one, so can you.</t>
  </si>
  <si>
    <t>iyvv</t>
  </si>
  <si>
    <t>Kindergarten</t>
  </si>
  <si>
    <t>“A, B, C, D, E, F, G… Won’t you sing along with me?”</t>
  </si>
  <si>
    <t>dsnu</t>
  </si>
  <si>
    <t>King Arthur</t>
  </si>
  <si>
    <t>Legendary British king best known for Camelot and round tables.</t>
  </si>
  <si>
    <t>lfft</t>
  </si>
  <si>
    <t>King Henry VIII</t>
  </si>
  <si>
    <t>1491-1547, King of England, and founder of the Church of England. Six wives, no waiting.</t>
  </si>
  <si>
    <t>ijqk</t>
  </si>
  <si>
    <t>King Tut</t>
  </si>
  <si>
    <t>Boy king who ruled Egypt from 1333 to 1323 B.C., known for the great wealth of objects found in his tomb. He took it with him.</t>
  </si>
  <si>
    <t>bpdn</t>
  </si>
  <si>
    <t>Kiss &amp; Tell</t>
  </si>
  <si>
    <t>Best to keep your mouth shut.</t>
  </si>
  <si>
    <t>dgpl</t>
  </si>
  <si>
    <t>Kisses</t>
  </si>
  <si>
    <t>Chocolate kisses are the best!</t>
  </si>
  <si>
    <t>waow</t>
  </si>
  <si>
    <t>Kittens</t>
  </si>
  <si>
    <t>Baby cats, usually playful and fuzzy. Meow.</t>
  </si>
  <si>
    <t>jnqk</t>
  </si>
  <si>
    <t>Knife &amp; Fork</t>
  </si>
  <si>
    <t>Knife on the right, fork on the left.</t>
  </si>
  <si>
    <t>l{zk</t>
  </si>
  <si>
    <t>Knitting Needles</t>
  </si>
  <si>
    <t>Knit one, pearl two…</t>
  </si>
  <si>
    <t>zgyl</t>
  </si>
  <si>
    <t>Knock-Knock Jokes</t>
  </si>
  <si>
    <t>Who’s there?</t>
  </si>
  <si>
    <t>wsls</t>
  </si>
  <si>
    <t>Labor Unions</t>
  </si>
  <si>
    <t>Look for the Union label. And, while you’re at it, look for Jimmy Hoffa…</t>
  </si>
  <si>
    <t>ugez</t>
  </si>
  <si>
    <t>Lady &amp; The Tramp</t>
  </si>
  <si>
    <t>The 1955 Disney animated film featuring dogs, love and spaghetti.</t>
  </si>
  <si>
    <t>faht</t>
  </si>
  <si>
    <t>Ladybugs</t>
  </si>
  <si>
    <t>Small, round red or orange beetles with black spots. They can fly!</t>
  </si>
  <si>
    <t>rfwh</t>
  </si>
  <si>
    <t>Lance Armstrong</t>
  </si>
  <si>
    <t>1971-, American cyclist, cancer survivor and winner of the Tour De France brought new meaning to the phrase “Going Postal.”</t>
  </si>
  <si>
    <t>jjxi</t>
  </si>
  <si>
    <t>Large Mouth Bass</t>
  </si>
  <si>
    <t>Oh, please, let it not sing…</t>
  </si>
  <si>
    <t>wtbv</t>
  </si>
  <si>
    <t>Las Vegas</t>
  </si>
  <si>
    <t>The first casino opened in Las Vegas in 1946. “Las Vegas… or it that Lost Wages?”</t>
  </si>
  <si>
    <t>jaaf</t>
  </si>
  <si>
    <t>Lassie</t>
  </si>
  <si>
    <t>A famous collie, Lassie starred in her own TV show. “What’s that you say Lassie? Little Timmy’s fallen down the well?”</t>
  </si>
  <si>
    <t>mpre</t>
  </si>
  <si>
    <t>Last Night</t>
  </si>
  <si>
    <t>About last night…</t>
  </si>
  <si>
    <t>xumk</t>
  </si>
  <si>
    <t>Last Will &amp; Testament</t>
  </si>
  <si>
    <t>It may be your only chance to get the last word on anything.</t>
  </si>
  <si>
    <t>uuec</t>
  </si>
  <si>
    <t>Laurel &amp; Hardy</t>
  </si>
  <si>
    <t>Classic fat-skinny comedy duo of the 1920s.</t>
  </si>
  <si>
    <t>uzco</t>
  </si>
  <si>
    <t>Laverne &amp; Shirley</t>
  </si>
  <si>
    <t>The 1970s sitcom phenomenon that defined Milwaukee for the world. And Milwaukee’s still trying to live it down!</t>
  </si>
  <si>
    <t>srsx</t>
  </si>
  <si>
    <t>Law &amp; Order</t>
  </si>
  <si>
    <t>The television show, or the concept.</t>
  </si>
  <si>
    <t>qubc</t>
  </si>
  <si>
    <t>Lawyers</t>
  </si>
  <si>
    <t>We’d throw some joke in here, but we're afraid of getting sued.</t>
  </si>
  <si>
    <t>qsrc</t>
  </si>
  <si>
    <t>Leaf Blowers</t>
  </si>
  <si>
    <t>Toro, Toro, Toro!</t>
  </si>
  <si>
    <t>sjrq</t>
  </si>
  <si>
    <t>Learning Spanish</t>
  </si>
  <si>
    <t>Who knows, maybe you’ll need it someday.</t>
  </si>
  <si>
    <t>jcob</t>
  </si>
  <si>
    <t>Learning To Ski</t>
  </si>
  <si>
    <t>Put on the ski boots, then the skis, then get up to the top of the hill…</t>
  </si>
  <si>
    <t>ehur</t>
  </si>
  <si>
    <t>Leather</t>
  </si>
  <si>
    <t>Animal hide. Leather you like it or not.</t>
  </si>
  <si>
    <t>dxef</t>
  </si>
  <si>
    <t>Leather &amp; Lace</t>
  </si>
  <si>
    <t>It’s a texture thing.</t>
  </si>
  <si>
    <t>enla</t>
  </si>
  <si>
    <t>Leeches</t>
  </si>
  <si>
    <t>Any mention of lawyers, agents, or reporters would be FAR too easy…</t>
  </si>
  <si>
    <t>teve</t>
  </si>
  <si>
    <t>Lego Building Blocks</t>
  </si>
  <si>
    <t>Get more blocks! We’re building the Golden Gate Bridge.</t>
  </si>
  <si>
    <t>qmvs</t>
  </si>
  <si>
    <t>Legs</t>
  </si>
  <si>
    <t>People have them, animals have them, even tables have them.</t>
  </si>
  <si>
    <t>buhj</t>
  </si>
  <si>
    <t>Lemon &amp; Lime</t>
  </si>
  <si>
    <t>Pucker up.</t>
  </si>
  <si>
    <t>wykx</t>
  </si>
  <si>
    <t>Lemon Meringue Pie</t>
  </si>
  <si>
    <t>Tart, sweet and smooth.</t>
  </si>
  <si>
    <t>zxbf</t>
  </si>
  <si>
    <t>Lemonade</t>
  </si>
  <si>
    <t>Needs more sugar!</t>
  </si>
  <si>
    <t>zwgj</t>
  </si>
  <si>
    <t>Lemons</t>
  </si>
  <si>
    <t>When life gives you lemons, make lemonade… or, in the case of a car, take it back. There’s a law, you know!</t>
  </si>
  <si>
    <t>hlum</t>
  </si>
  <si>
    <t>Sour yellow fruit. Add sugar and water and you can make lemonade!</t>
  </si>
  <si>
    <t>sshm</t>
  </si>
  <si>
    <t>Lenin’s Tomb</t>
  </si>
  <si>
    <t>We'd love to visit Lenin’s Tomb, but it's probably just another communist plot.</t>
  </si>
  <si>
    <t>ubus</t>
  </si>
  <si>
    <t>Leonardo Da Vinci</t>
  </si>
  <si>
    <t>1452-1519, Florentine artist, sculptor, architect, engineer, scientist, and all-around smartypants.</t>
  </si>
  <si>
    <t>a{it</t>
  </si>
  <si>
    <t>Lethal Injection</t>
  </si>
  <si>
    <t>It’s a killer.</t>
  </si>
  <si>
    <t>xljs</t>
  </si>
  <si>
    <t>Lewis &amp; Clark</t>
  </si>
  <si>
    <t>The early 1800s expedition covered over 8000 miles and confirmed that the Louisiana Purchase was a very good deal.</t>
  </si>
  <si>
    <t>fgua</t>
  </si>
  <si>
    <t>Liberty &amp; Justice</t>
  </si>
  <si>
    <t>For all.</t>
  </si>
  <si>
    <t>wnkj</t>
  </si>
  <si>
    <t>Life Jackets</t>
  </si>
  <si>
    <t>It won’t work if you don’t wear it!</t>
  </si>
  <si>
    <t>glnt</t>
  </si>
  <si>
    <t>Lifeguard</t>
  </si>
  <si>
    <t>A person whose job it is to help and protect swimmers.</t>
  </si>
  <si>
    <t>qtvm</t>
  </si>
  <si>
    <t>Lightning</t>
  </si>
  <si>
    <t>Electrical discharge between rain clouds, or between a rain cloud and the earth, or between a rain cloud and an idiot with a kite.</t>
  </si>
  <si>
    <t>szkb</t>
  </si>
  <si>
    <t>An electrical flash of light in the sky, usually during a rainstorm.</t>
  </si>
  <si>
    <t>qvsq</t>
  </si>
  <si>
    <t>Linguine With Clam Sauce</t>
  </si>
  <si>
    <t>Pass the parmesan…</t>
  </si>
  <si>
    <t>xfqv</t>
  </si>
  <si>
    <t>Lions</t>
  </si>
  <si>
    <t>King of the jungle. Roar!</t>
  </si>
  <si>
    <t>lowk</t>
  </si>
  <si>
    <t>Lions &amp; Tigers</t>
  </si>
  <si>
    <t>And bears…</t>
  </si>
  <si>
    <t>pjah</t>
  </si>
  <si>
    <t>Liposuction</t>
  </si>
  <si>
    <t>Fatty tissue? That sucks…</t>
  </si>
  <si>
    <t>rlif</t>
  </si>
  <si>
    <t>Listening To Music</t>
  </si>
  <si>
    <t>Nobody’s home… play it loud!</t>
  </si>
  <si>
    <t>{okg</t>
  </si>
  <si>
    <t>Little Brown Mice</t>
  </si>
  <si>
    <t>EEEK!</t>
  </si>
  <si>
    <t>kcpz</t>
  </si>
  <si>
    <t>Liver And Onions</t>
  </si>
  <si>
    <t>An acquired taste.</t>
  </si>
  <si>
    <t>ixyu</t>
  </si>
  <si>
    <t>Lizards</t>
  </si>
  <si>
    <t>The Komodo dragon is the largest living lizard. They can grow to over ten feet long.</t>
  </si>
  <si>
    <t>lltw</t>
  </si>
  <si>
    <t>Llamas</t>
  </si>
  <si>
    <t>South American animal related to the camel, raised for wool, and used as pack animals.</t>
  </si>
  <si>
    <t>vfud</t>
  </si>
  <si>
    <t>Loan Sharks</t>
  </si>
  <si>
    <t>As dangerous as “Jaws,” but without the charisma.</t>
  </si>
  <si>
    <t>umef</t>
  </si>
  <si>
    <t>Lobster</t>
  </si>
  <si>
    <t>Crustaceans closely related to freshwater crayfishes. Market price.</t>
  </si>
  <si>
    <t>glys</t>
  </si>
  <si>
    <t>Lobsters</t>
  </si>
  <si>
    <t>Their large claws are actually their front pair of legs.</t>
  </si>
  <si>
    <t>nmpe</t>
  </si>
  <si>
    <t>Local Police</t>
  </si>
  <si>
    <t>They know who you are and they know where you live.</t>
  </si>
  <si>
    <t>yaji</t>
  </si>
  <si>
    <t>Loch Ness Monster</t>
  </si>
  <si>
    <t>“Nessie,” the legendary beast of Loch Ness, Scotland. It must be real, they have pictures.</t>
  </si>
  <si>
    <t>otnz</t>
  </si>
  <si>
    <t>Lock &amp; Key</t>
  </si>
  <si>
    <t>Quit picking on me!</t>
  </si>
  <si>
    <t>gjsr</t>
  </si>
  <si>
    <t>Lock &amp; Load</t>
  </si>
  <si>
    <t>It’s off to war we go.</t>
  </si>
  <si>
    <t>mcfl</t>
  </si>
  <si>
    <t>Log Cabins</t>
  </si>
  <si>
    <t>Among the many Americans born in log cabins were Preisdents Harrison, Lincoln, and Grant. Just pass the maple syrup.</t>
  </si>
  <si>
    <t>zxhs</t>
  </si>
  <si>
    <t>Lollipops</t>
  </si>
  <si>
    <t>Sucker!</t>
  </si>
  <si>
    <t>qtef</t>
  </si>
  <si>
    <t>London</t>
  </si>
  <si>
    <t>Founded even before the Romans reached England’s shores, now the capital of Great Britain.</t>
  </si>
  <si>
    <t>qiac</t>
  </si>
  <si>
    <t>Long Hair</t>
  </si>
  <si>
    <t>Braid it, tie it in a ponytail, or just let it fly in the wind.</t>
  </si>
  <si>
    <t>dyfn</t>
  </si>
  <si>
    <t>Looking For A Job</t>
  </si>
  <si>
    <t>Will work for fool…</t>
  </si>
  <si>
    <t>ccpp</t>
  </si>
  <si>
    <t>Looney Tunes</t>
  </si>
  <si>
    <t>Warner Brothers cartoons featuring Porky Pig and Bugs Bunny.</t>
  </si>
  <si>
    <t>cyxc</t>
  </si>
  <si>
    <t>Los Angeles</t>
  </si>
  <si>
    <t>LA LA Land.</t>
  </si>
  <si>
    <t>ervm</t>
  </si>
  <si>
    <t>Losing Your Backpack</t>
  </si>
  <si>
    <t>“I know I had it on the bus…”</t>
  </si>
  <si>
    <t>gzea</t>
  </si>
  <si>
    <t>Losing Your Job</t>
  </si>
  <si>
    <t>They just didn’t understand me!</t>
  </si>
  <si>
    <t>rhhk</t>
  </si>
  <si>
    <t>Love &amp; Marriage</t>
  </si>
  <si>
    <t>First comes love, then comes marriage…</t>
  </si>
  <si>
    <t>wout</t>
  </si>
  <si>
    <t>Love Letters</t>
  </si>
  <si>
    <t>“Roses are red, violets are blue…”</t>
  </si>
  <si>
    <t>vmrx</t>
  </si>
  <si>
    <t>Lox &amp; Bagels</t>
  </si>
  <si>
    <t>A deli favorite. Pass the cream cheese!</t>
  </si>
  <si>
    <t>vcmk</t>
  </si>
  <si>
    <t>Lucille Ball</t>
  </si>
  <si>
    <t>1911-89, American actor and comedian. You love Lucy? I love Lucy.</t>
  </si>
  <si>
    <t>cmej</t>
  </si>
  <si>
    <t>Lucy &amp; Desi</t>
  </si>
  <si>
    <t>Thirty years later and we still love Lucy.</t>
  </si>
  <si>
    <t>ljzd</t>
  </si>
  <si>
    <t>M &amp; M's</t>
  </si>
  <si>
    <t>Candy coated chocolates first sold in 1941. Now available in purple.</t>
  </si>
  <si>
    <t>rfzc</t>
  </si>
  <si>
    <t>Macaroni &amp; Cheese</t>
  </si>
  <si>
    <t>It’s the easiest.</t>
  </si>
  <si>
    <t>ttpb</t>
  </si>
  <si>
    <t>Macaroni And Cheese</t>
  </si>
  <si>
    <t>A good, hot meal that’s fun to eat.</t>
  </si>
  <si>
    <t>xquv</t>
  </si>
  <si>
    <t>Machine Guns</t>
  </si>
  <si>
    <t>Automatic, rapid-fire, repeating weapons. The Gatling gun was used as early as the American Civil War.</t>
  </si>
  <si>
    <t>y{sn</t>
  </si>
  <si>
    <t>Mad Cow Disease</t>
  </si>
  <si>
    <t>Degenerative brain disorder in cattle. The reason they don’t know enough to come in out of the rain?</t>
  </si>
  <si>
    <t>ccyu</t>
  </si>
  <si>
    <t>Madame Curie</t>
  </si>
  <si>
    <t>1867-1934, French chemist and physicist who won a Nobel Prize for her work on radiation. Fun fact: A “curie” is a unit of radioactivity.</t>
  </si>
  <si>
    <t>efqs</t>
  </si>
  <si>
    <t>Madeline</t>
  </si>
  <si>
    <t>Brave storybook character who lived in an old house in Paris that was covered in vines.</t>
  </si>
  <si>
    <t>lvie</t>
  </si>
  <si>
    <t>Madonna</t>
  </si>
  <si>
    <t>1958-, American singer, songwriter, actor, writer, and 1980s pop icon. Blond Ambition.</t>
  </si>
  <si>
    <t>iphx</t>
  </si>
  <si>
    <t>Mae West</t>
  </si>
  <si>
    <t>1892-1980, American stage and film comedian. “Too much of a good thing can be wonderful.”</t>
  </si>
  <si>
    <t>negt</t>
  </si>
  <si>
    <t>Maggots</t>
  </si>
  <si>
    <t>I though it was rice.</t>
  </si>
  <si>
    <t>aser</t>
  </si>
  <si>
    <t>Magic Tricks</t>
  </si>
  <si>
    <t>“Nothin’ up my sleeve…” —Bullwinkle</t>
  </si>
  <si>
    <t>nihr</t>
  </si>
  <si>
    <t>Now you see it, now you don’t!</t>
  </si>
  <si>
    <t>cdgd</t>
  </si>
  <si>
    <t>Mahatma Gandhi</t>
  </si>
  <si>
    <t>1869-1948, Indian leader and philosopher who preached nonviolence. Was assassinated for his efforts.</t>
  </si>
  <si>
    <t>lqhc</t>
  </si>
  <si>
    <t>Mail Carrier</t>
  </si>
  <si>
    <t>A person who brings the mail to your house, no matter what the weather.</t>
  </si>
  <si>
    <t>kjnm</t>
  </si>
  <si>
    <t>Manhattan</t>
  </si>
  <si>
    <t>I'll take Manhattan!.</t>
  </si>
  <si>
    <t>cpgu</t>
  </si>
  <si>
    <t>Maple Syrup</t>
  </si>
  <si>
    <t>Made from the sweet sap of the maple tree or black maple tree, produced only in North America a “must have” for pancakes.</t>
  </si>
  <si>
    <t>shge</t>
  </si>
  <si>
    <t>Mardi Gras</t>
  </si>
  <si>
    <t>Fat Tuesday marks the final day before the Christian fast of Lent, a 40-day period of self-denial and abstinence. SO LET'S PARTY!</t>
  </si>
  <si>
    <t>vn{e</t>
  </si>
  <si>
    <t>Marilyn Monroe</t>
  </si>
  <si>
    <t>1926-62, American movie star, pinup and sex symbol. Just ask the Kennedys.</t>
  </si>
  <si>
    <t>zqzf</t>
  </si>
  <si>
    <t>Mark Twain</t>
  </si>
  <si>
    <t>1835-1910, American writer and humorist, best known for the adventures of Tom Sawyer and Huckleberry Finn.</t>
  </si>
  <si>
    <t>ihjj</t>
  </si>
  <si>
    <t>Marlon Brando</t>
  </si>
  <si>
    <t>1924-, legendary America actor who starred in “A Streetcar Named Desire” and won awards for “On the Waterfront” and “The Godfather.”</t>
  </si>
  <si>
    <t>zrnt</t>
  </si>
  <si>
    <t>Marriage</t>
  </si>
  <si>
    <t>If love and marriage go together like a horse and carriage… who’s the horse?</t>
  </si>
  <si>
    <t>wgsv</t>
  </si>
  <si>
    <t>Mars</t>
  </si>
  <si>
    <t>The fourth planet from the sun. Where men come from.</t>
  </si>
  <si>
    <t>pyse</t>
  </si>
  <si>
    <t>Martha Stewart</t>
  </si>
  <si>
    <t>1941-, television personality, magazine editor, and author. Domestic arts are her stock-in-trade.</t>
  </si>
  <si>
    <t>iwzk</t>
  </si>
  <si>
    <t>Martin Luther King, Jr.</t>
  </si>
  <si>
    <t>1929-68, American civil rights leader and advocate of nonviolent resistance. Was assassinated for his efforts.</t>
  </si>
  <si>
    <t>zvwg</t>
  </si>
  <si>
    <t>He believed that everyone should have equal rights, regardless of the color of their skin.</t>
  </si>
  <si>
    <t>zlhe</t>
  </si>
  <si>
    <t>Mary-Kate And Ashley</t>
  </si>
  <si>
    <t>The Olsen twins have been TV stars since the 1980s. They also have books and videos.</t>
  </si>
  <si>
    <t>lqvs</t>
  </si>
  <si>
    <t>Mashed Potatoes</t>
  </si>
  <si>
    <t>Pile them up like a volcano and put butter in the middle.</t>
  </si>
  <si>
    <t>moar</t>
  </si>
  <si>
    <t>Math</t>
  </si>
  <si>
    <t>Add, subtract, multiply and divide—or use a calculator!</t>
  </si>
  <si>
    <t>qlac</t>
  </si>
  <si>
    <t>Matzo Balls</t>
  </si>
  <si>
    <t>Soul for the chicken soup.</t>
  </si>
  <si>
    <t>mwds</t>
  </si>
  <si>
    <t>Maui</t>
  </si>
  <si>
    <t>Hawaiian volcanic island, 728 square miles in area. Heaven on Earth.</t>
  </si>
  <si>
    <t>ocqt</t>
  </si>
  <si>
    <t>Maximum Security Prison</t>
  </si>
  <si>
    <t>When a regular strength prison just won’t do.</t>
  </si>
  <si>
    <t>rqmy</t>
  </si>
  <si>
    <t>McDonald's</t>
  </si>
  <si>
    <t>At a McDonald's restaurant in Mexico you can order a “hamburguesa.”</t>
  </si>
  <si>
    <t>ljyi</t>
  </si>
  <si>
    <t>Me &amp; My Shadow</t>
  </si>
  <si>
    <t>“Strolling down the avenue…”</t>
  </si>
  <si>
    <t>iqyd</t>
  </si>
  <si>
    <t>Meat &amp; Potatoes</t>
  </si>
  <si>
    <t>A simpler meal for a simpler time.</t>
  </si>
  <si>
    <t>ijkz</t>
  </si>
  <si>
    <t>Meat Cleavers</t>
  </si>
  <si>
    <t>No relation to Ward, June, or the Beaver…</t>
  </si>
  <si>
    <t>kepx</t>
  </si>
  <si>
    <t>Meat Markets</t>
  </si>
  <si>
    <t>A cut above the rest.</t>
  </si>
  <si>
    <t>kveq</t>
  </si>
  <si>
    <t>Meatballs</t>
  </si>
  <si>
    <t>Like meatloaf, only smaller.</t>
  </si>
  <si>
    <t>ehyj</t>
  </si>
  <si>
    <t>Meatloaf</t>
  </si>
  <si>
    <t>Large and intimidating the dish not the singer!</t>
  </si>
  <si>
    <t>rpek</t>
  </si>
  <si>
    <t>Meg Ryan</t>
  </si>
  <si>
    <t>1961-, American actor and girl-next-door star of “When Harry Met Sally,” “Sleepless In Seattle,” and “You’ve Got Mail.”</t>
  </si>
  <si>
    <t>mfev</t>
  </si>
  <si>
    <t>Mel Gibson</t>
  </si>
  <si>
    <t>1956-, Australian actor. Known for The Road Warrior, Braveheart and Leathal Weapon I, II, III, IV…</t>
  </si>
  <si>
    <t>dqhl</t>
  </si>
  <si>
    <t>Men</t>
  </si>
  <si>
    <t>REAL Men.</t>
  </si>
  <si>
    <t>ihwg</t>
  </si>
  <si>
    <t>Men In Black</t>
  </si>
  <si>
    <t>We’re not here. You don’t see us. The government did NOT send us.</t>
  </si>
  <si>
    <t>nleq</t>
  </si>
  <si>
    <t>Mensa High IQ Society</t>
  </si>
  <si>
    <t>Members have IQ's in the top 2% of the population.</t>
  </si>
  <si>
    <t>mgrb</t>
  </si>
  <si>
    <t>Meryl Streep</t>
  </si>
  <si>
    <t>1959-, accomplished American actor, two-time Oscar winner, with over a dozen Academy Award nominations.</t>
  </si>
  <si>
    <t>mkix</t>
  </si>
  <si>
    <t>Mexico</t>
  </si>
  <si>
    <t>Country in North America, just south of the United States. Spanish is spoken in Mexico.</t>
  </si>
  <si>
    <t>fouh</t>
  </si>
  <si>
    <t>Federal republic in North America. The capital and largest city is Mexico City.</t>
  </si>
  <si>
    <t>bwhz</t>
  </si>
  <si>
    <t>Mice</t>
  </si>
  <si>
    <t>“The best-laid schemes o’ mice an’ men…” —Robert Burns</t>
  </si>
  <si>
    <t>jblw</t>
  </si>
  <si>
    <t>Michael Jackson</t>
  </si>
  <si>
    <t>1958-, American popular singer, dancer, and songwriter. Welcome to Neverland.</t>
  </si>
  <si>
    <t>vqjl</t>
  </si>
  <si>
    <t>Michael Jordon</t>
  </si>
  <si>
    <t>1963-, American professional basketball legend, led Chicago to six world championships. No bull.</t>
  </si>
  <si>
    <t>bcjp</t>
  </si>
  <si>
    <t>Michelangelo</t>
  </si>
  <si>
    <t>1475-1564, inspired Italian sculptor, architect, painter, and poet. A REAL Renaissance man.</t>
  </si>
  <si>
    <t>geyo</t>
  </si>
  <si>
    <t>Michelle Pfeiffer</t>
  </si>
  <si>
    <t>1957-, American actor whose career began with “Grease 2.” She’d like us to forget that but remember her Oscar nominations.</t>
  </si>
  <si>
    <t>kgnn</t>
  </si>
  <si>
    <t>Mickey &amp; Minnie</t>
  </si>
  <si>
    <t>Mouse, that is. Disney’s dynamic duo.</t>
  </si>
  <si>
    <t>lczl</t>
  </si>
  <si>
    <t>Mickey Mouse</t>
  </si>
  <si>
    <t>Disney cartoon character, friends with Minnie Mouse and Goofy.</t>
  </si>
  <si>
    <t>isxj</t>
  </si>
  <si>
    <t>Microsoft</t>
  </si>
  <si>
    <t>A leading American software company. We’d say more but we don't want to monopolize your time…</t>
  </si>
  <si>
    <t>zigl</t>
  </si>
  <si>
    <t>Midlife Crisis</t>
  </si>
  <si>
    <t>“Here comes your 19th nervous breakdown…” —The Rolling Stone</t>
  </si>
  <si>
    <t>zqsl</t>
  </si>
  <si>
    <t>Midnight</t>
  </si>
  <si>
    <t>Cinderella’s curfew.</t>
  </si>
  <si>
    <t>da{l</t>
  </si>
  <si>
    <t>Migraine Headaches</t>
  </si>
  <si>
    <t>Not just any headache.</t>
  </si>
  <si>
    <t>wias</t>
  </si>
  <si>
    <t>Mike Tyson</t>
  </si>
  <si>
    <t>1966-, American heavyweight boxer. Lend him your ear…</t>
  </si>
  <si>
    <t>nmlh</t>
  </si>
  <si>
    <t>Miles Davis</t>
  </si>
  <si>
    <t>1926-91, innovative, influential, and respected American jazz trumpter player and band layer.</t>
  </si>
  <si>
    <t>rqms</t>
  </si>
  <si>
    <t>Milk</t>
  </si>
  <si>
    <t>Three glasses a day will give you… the gratitude of the dairy industry.</t>
  </si>
  <si>
    <t>cjen</t>
  </si>
  <si>
    <t>Milk &amp; Cookies</t>
  </si>
  <si>
    <t>The ultimate after-school special.</t>
  </si>
  <si>
    <t>Milk Duds</t>
  </si>
  <si>
    <t>Chocolate and caramel candy balls. Tooth extractions at no extra charge!</t>
  </si>
  <si>
    <t>ryqq</t>
  </si>
  <si>
    <t>Milking A Cow</t>
  </si>
  <si>
    <t>They have machines for that now.</t>
  </si>
  <si>
    <t>hpov</t>
  </si>
  <si>
    <t>Milwaukee</t>
  </si>
  <si>
    <t>The Genuine American City. It’s come along way since Laverne and Shirley.</t>
  </si>
  <si>
    <t>cdqg</t>
  </si>
  <si>
    <t>Miniature Golf</t>
  </si>
  <si>
    <t>You don’t have to be miniature to play!</t>
  </si>
  <si>
    <t>crog</t>
  </si>
  <si>
    <t>Minneapolis &amp; St. Paul</t>
  </si>
  <si>
    <t>The “Twin Cities” are Minnesota’s largest population center. They may be twins but you can tell the difference.</t>
  </si>
  <si>
    <t>ebaj</t>
  </si>
  <si>
    <t>Mirrors</t>
  </si>
  <si>
    <t>And now, a moment for reflection.</t>
  </si>
  <si>
    <t>fswi</t>
  </si>
  <si>
    <t>Mittens</t>
  </si>
  <si>
    <t>“Three little kittens; they lost their mittens.”</t>
  </si>
  <si>
    <t>qrdn</t>
  </si>
  <si>
    <t>Mold</t>
  </si>
  <si>
    <t>Fuzzy growth produced on organic matter by several types of fungi. Particularly attracted to students’ refrigerators</t>
  </si>
  <si>
    <t>hbye</t>
  </si>
  <si>
    <t>Mom &amp; Apple Pie</t>
  </si>
  <si>
    <t>Worth fighting for.</t>
  </si>
  <si>
    <t>zybh</t>
  </si>
  <si>
    <t>Mom &amp; Pop</t>
  </si>
  <si>
    <t>Hey! Maybe they should open a store!</t>
  </si>
  <si>
    <t>tk{b</t>
  </si>
  <si>
    <t>Mom's Cooking</t>
  </si>
  <si>
    <t>Just like Mom USED to make.</t>
  </si>
  <si>
    <t>w{lj</t>
  </si>
  <si>
    <t>Money</t>
  </si>
  <si>
    <t>“The best things in life are free / But you can give them to the birds and bees / Just give me money…” —Bradford and Gordy</t>
  </si>
  <si>
    <t>jsca</t>
  </si>
  <si>
    <t>Monitor &amp; The Merrimac</t>
  </si>
  <si>
    <t>American Civil War ironclads, first fought each other in 1862.</t>
  </si>
  <si>
    <t>nudy</t>
  </si>
  <si>
    <t>Monkeys</t>
  </si>
  <si>
    <t>Monkeys are playful, intelligent mammals. They just monkey around!</t>
  </si>
  <si>
    <t>kuxk</t>
  </si>
  <si>
    <t>Monkeys see…</t>
  </si>
  <si>
    <t>aglg</t>
  </si>
  <si>
    <t>Monster Trucks</t>
  </si>
  <si>
    <t>Large, noisy trucks that drive over cars and crush them.</t>
  </si>
  <si>
    <t>tgtn</t>
  </si>
  <si>
    <t>Monsters</t>
  </si>
  <si>
    <t>Some people think they live in closets, basements, or under beds.</t>
  </si>
  <si>
    <t>wbsi</t>
  </si>
  <si>
    <t>Moon &amp; The Stars</t>
  </si>
  <si>
    <t>You want what?</t>
  </si>
  <si>
    <t>wxir</t>
  </si>
  <si>
    <t>Morticians</t>
  </si>
  <si>
    <t>Why do you hang around with THOSE stiffs…?</t>
  </si>
  <si>
    <t>vvzv</t>
  </si>
  <si>
    <t>Mosquito Bites</t>
  </si>
  <si>
    <t>They just want your blood.</t>
  </si>
  <si>
    <t>zeoe</t>
  </si>
  <si>
    <t>Mosquitoes</t>
  </si>
  <si>
    <t>They suck.</t>
  </si>
  <si>
    <t>dmkq</t>
  </si>
  <si>
    <t>Motorcycles</t>
  </si>
  <si>
    <t>Feel the wind in your hair! Or… feel the wind on your helmet!</t>
  </si>
  <si>
    <t>fhey</t>
  </si>
  <si>
    <t>The air in your hair and bugs in your teeth.</t>
  </si>
  <si>
    <t>obys</t>
  </si>
  <si>
    <t>Mount Rushmore</t>
  </si>
  <si>
    <t>Memorial carved into the side of the Black Hills in South Dakota. Heads above all other monuments.</t>
  </si>
  <si>
    <t>imlv</t>
  </si>
  <si>
    <t>Mount Vesuvius</t>
  </si>
  <si>
    <t>Italian volcano that rises above the Bay of Naples and blew its top in 79 A.D., much to Pompeii’s regret.</t>
  </si>
  <si>
    <t>prph</t>
  </si>
  <si>
    <t>Mountain Bikes</t>
  </si>
  <si>
    <t>What goes up the mountain must come down.</t>
  </si>
  <si>
    <t>elyx</t>
  </si>
  <si>
    <t>Mountains</t>
  </si>
  <si>
    <t>Very high hills. Some have snow at the top, even in the summer!</t>
  </si>
  <si>
    <t>slbu</t>
  </si>
  <si>
    <t>Mr. Potato Head</t>
  </si>
  <si>
    <t>Mr. Potato Head was introduced in 1952. By now, that would be Grandpa Potato Head.</t>
  </si>
  <si>
    <t>odpt</t>
  </si>
  <si>
    <t>MTV</t>
  </si>
  <si>
    <t>“Video killed the radio star.” —The Buggles</t>
  </si>
  <si>
    <t>zujw</t>
  </si>
  <si>
    <t>Mud</t>
  </si>
  <si>
    <t>Soft, wet, sticky, gooey, gritty, grimy dirt.</t>
  </si>
  <si>
    <t>soxx</t>
  </si>
  <si>
    <t>Water. Dirt. You do the math.</t>
  </si>
  <si>
    <t>rehz</t>
  </si>
  <si>
    <t>Muddy Feet</t>
  </si>
  <si>
    <t>Squish your toes!</t>
  </si>
  <si>
    <t>hzod</t>
  </si>
  <si>
    <t>Mudslides</t>
  </si>
  <si>
    <t>Chocolate drink or natural disaster… both occur frequently in California.</t>
  </si>
  <si>
    <t>omog</t>
  </si>
  <si>
    <t>Muffins</t>
  </si>
  <si>
    <t>“Do you know the Muffin Man?”</t>
  </si>
  <si>
    <t>gvlg</t>
  </si>
  <si>
    <t>Muhammad Ali</t>
  </si>
  <si>
    <t>1942-, American heavyweight boxing champion. “Floats like a butterfly, stings like a bee.”</t>
  </si>
  <si>
    <t>{ksy</t>
  </si>
  <si>
    <t>Mushrooms</t>
  </si>
  <si>
    <t>It's a fungus.</t>
  </si>
  <si>
    <t>uljg</t>
  </si>
  <si>
    <t>Music</t>
  </si>
  <si>
    <t>Pick your favorite: country, pop, rock, rap, hip hop, jazz, or classical.</t>
  </si>
  <si>
    <t>njjv</t>
  </si>
  <si>
    <t>Music Lessons</t>
  </si>
  <si>
    <t>Practice, practice, practice.</t>
  </si>
  <si>
    <t>trzv</t>
  </si>
  <si>
    <t>Musicals</t>
  </si>
  <si>
    <t>“South Pacific,” “The King and I,” “The Sound of Music,” “A Chorus Line,” “Cats,” “Rent…”</t>
  </si>
  <si>
    <t>gcto</t>
  </si>
  <si>
    <t>Mustard</t>
  </si>
  <si>
    <t>Made from seeds of the mustard plant. Spread on pretzels and hotdogs.</t>
  </si>
  <si>
    <t>szzo</t>
  </si>
  <si>
    <t>Mutual Funds</t>
  </si>
  <si>
    <t>Mutually benefits you and your broker.</t>
  </si>
  <si>
    <t>agzp</t>
  </si>
  <si>
    <t>My 16th Birthday</t>
  </si>
  <si>
    <t>Dad, can I have the keys to the car, please?</t>
  </si>
  <si>
    <t>zbfw</t>
  </si>
  <si>
    <t>My Baby Blanket</t>
  </si>
  <si>
    <t>I don’t care if it does have holes!</t>
  </si>
  <si>
    <t>yzoj</t>
  </si>
  <si>
    <t>My Bank Account</t>
  </si>
  <si>
    <t>Speaking of theoretical mathematics and unreal numbers…</t>
  </si>
  <si>
    <t>vtuw</t>
  </si>
  <si>
    <t>My Bathroom</t>
  </si>
  <si>
    <t>“The bathroom was drenched with their splashings” —Aldous Huxley</t>
  </si>
  <si>
    <t>misr</t>
  </si>
  <si>
    <t>My Bedroom</t>
  </si>
  <si>
    <t>“No one knows what goes on behind closed doors.” —Charlie Rich</t>
  </si>
  <si>
    <t>ymwp</t>
  </si>
  <si>
    <t>My Best Friend</t>
  </si>
  <si>
    <t>A person you can trust, no matter what.</t>
  </si>
  <si>
    <t>vqbq</t>
  </si>
  <si>
    <t>My Body</t>
  </si>
  <si>
    <t>Mine is a temple. Specifically, the Temple of Doom…</t>
  </si>
  <si>
    <t>ijoo</t>
  </si>
  <si>
    <t>My Boss</t>
  </si>
  <si>
    <t>…is an idiot. You know it; we know it.</t>
  </si>
  <si>
    <t>oxkp</t>
  </si>
  <si>
    <t>My Dad</t>
  </si>
  <si>
    <t>Father, Daddy, Papa.</t>
  </si>
  <si>
    <t>gywt</t>
  </si>
  <si>
    <t>My Dreams</t>
  </si>
  <si>
    <t>“What dreams may come…” —Shakespeare's Hamlet</t>
  </si>
  <si>
    <t>hmkp</t>
  </si>
  <si>
    <t>My Family</t>
  </si>
  <si>
    <t>They’ll drive you nuts. As long as you do the same to them, it’s all even.</t>
  </si>
  <si>
    <t>ledm</t>
  </si>
  <si>
    <t>Everyone's family is different.</t>
  </si>
  <si>
    <t>oyzw</t>
  </si>
  <si>
    <t>My Father</t>
  </si>
  <si>
    <t>“Go ask your mother.”</t>
  </si>
  <si>
    <t>wxyq</t>
  </si>
  <si>
    <t>My First Kiss</t>
  </si>
  <si>
    <t>Sparks were flying. Of course, that could have been the braces…</t>
  </si>
  <si>
    <t>fvmy</t>
  </si>
  <si>
    <t>My Friends</t>
  </si>
  <si>
    <t>With friends like these, who needs enemies?</t>
  </si>
  <si>
    <t>lboc</t>
  </si>
  <si>
    <t>To have good friends, you have to be one.</t>
  </si>
  <si>
    <t>hspm</t>
  </si>
  <si>
    <t>My Future</t>
  </si>
  <si>
    <t>“The future's so bright, I gotta wear shades…” —Timbuk-3</t>
  </si>
  <si>
    <t>szkv</t>
  </si>
  <si>
    <t>My Grandma</t>
  </si>
  <si>
    <t>My mom or dad’s mother.</t>
  </si>
  <si>
    <t>rzby</t>
  </si>
  <si>
    <t>My Grandpa</t>
  </si>
  <si>
    <t>My mom or dad’s father.</t>
  </si>
  <si>
    <t>wzni</t>
  </si>
  <si>
    <t>My Hair</t>
  </si>
  <si>
    <t>You can curl it, cut it, and color it!</t>
  </si>
  <si>
    <t>koru</t>
  </si>
  <si>
    <t>Hair today, gone tomorrow…</t>
  </si>
  <si>
    <t>mqyw</t>
  </si>
  <si>
    <t>My High School Prom</t>
  </si>
  <si>
    <t>As if adolescence isn't awkward and painful enough…</t>
  </si>
  <si>
    <t>kfnq</t>
  </si>
  <si>
    <t>My Home</t>
  </si>
  <si>
    <t>There’s no place like home!</t>
  </si>
  <si>
    <t>jdqp</t>
  </si>
  <si>
    <t>My Job</t>
  </si>
  <si>
    <t>Love it or leave it.</t>
  </si>
  <si>
    <t>nduv</t>
  </si>
  <si>
    <t>My Life</t>
  </si>
  <si>
    <t>“There are places I'll remember / All my life / though some have changed…” —The Beatles</t>
  </si>
  <si>
    <t>vsdh</t>
  </si>
  <si>
    <t>My Love Life</t>
  </si>
  <si>
    <t>“All you need is love…” —The Beatles</t>
  </si>
  <si>
    <t>zdgf</t>
  </si>
  <si>
    <t>My Memories</t>
  </si>
  <si>
    <t>Thanks for the memories…</t>
  </si>
  <si>
    <t>ovep</t>
  </si>
  <si>
    <t>My Mind</t>
  </si>
  <si>
    <t>It’s a terrible thing to waste.</t>
  </si>
  <si>
    <t>cter</t>
  </si>
  <si>
    <t>My Mom</t>
  </si>
  <si>
    <t>Mother, Mommy, Mama.</t>
  </si>
  <si>
    <t>zwys</t>
  </si>
  <si>
    <t>My Mother</t>
  </si>
  <si>
    <t>”Go ask your father.”</t>
  </si>
  <si>
    <t>rkjk</t>
  </si>
  <si>
    <t>My Neighborhood</t>
  </si>
  <si>
    <t>“Please, won't you be my neighbor?” —Fred Rogers</t>
  </si>
  <si>
    <t>tvtg</t>
  </si>
  <si>
    <t>My Past</t>
  </si>
  <si>
    <t>What’s past is past… unless you’re a politician…</t>
  </si>
  <si>
    <t>whew</t>
  </si>
  <si>
    <t>My Personality</t>
  </si>
  <si>
    <t>“I’m good enough, smart enough and, gosh darn it, people like me.” —Stewart Smalley played by Al Franken</t>
  </si>
  <si>
    <t>icgi</t>
  </si>
  <si>
    <t>My Refrigerator</t>
  </si>
  <si>
    <t>It’s a science experiment!</t>
  </si>
  <si>
    <t>fjfh</t>
  </si>
  <si>
    <t>My Room</t>
  </si>
  <si>
    <t>Where I sleep and keep all my things. KEEP OUT!</t>
  </si>
  <si>
    <t>kplk</t>
  </si>
  <si>
    <t>My School</t>
  </si>
  <si>
    <t>“Be true to your school.”</t>
  </si>
  <si>
    <t>owrt</t>
  </si>
  <si>
    <t>My Shoes</t>
  </si>
  <si>
    <t>Old shoes, new shoes, red shoes, blue shoes.</t>
  </si>
  <si>
    <t>moek</t>
  </si>
  <si>
    <t>My Stuffed Animals</t>
  </si>
  <si>
    <t>The dog’s name is Lucky, the bear is Teddy, and the duck is Quacker.</t>
  </si>
  <si>
    <t>{rbe</t>
  </si>
  <si>
    <t>My Teacher</t>
  </si>
  <si>
    <t>If you can read this card, thank a teacher!</t>
  </si>
  <si>
    <t>ozvt</t>
  </si>
  <si>
    <t>My Town</t>
  </si>
  <si>
    <t>Large or small, it’s home.</t>
  </si>
  <si>
    <t>ghti</t>
  </si>
  <si>
    <t>Nail Polish</t>
  </si>
  <si>
    <t>Whatever color you want.</t>
  </si>
  <si>
    <t>tglc</t>
  </si>
  <si>
    <t>Napoleon Bonaparte</t>
  </si>
  <si>
    <t>1769-1821, Emperor of France. Met his Waterloo at the Battle of Waterloo. The name should have tipped him off…</t>
  </si>
  <si>
    <t>lczi</t>
  </si>
  <si>
    <t>NASA</t>
  </si>
  <si>
    <t>National Aeronautics and Space Administration, established in 1958 in part in response to the U.S.S.R. launching Sputnik.</t>
  </si>
  <si>
    <t>bojf</t>
  </si>
  <si>
    <t>NASCAR</t>
  </si>
  <si>
    <t>Stock car racing began after World War II, breaking records for speed and for the number of advertisements on a single jacket.</t>
  </si>
  <si>
    <t>invp</t>
  </si>
  <si>
    <t>Nashville</t>
  </si>
  <si>
    <t>Capital of Tennessee and capital of country music also known as Nash Vegas.</t>
  </si>
  <si>
    <t>nolm</t>
  </si>
  <si>
    <t>Neighbors</t>
  </si>
  <si>
    <t>Turn down that music!</t>
  </si>
  <si>
    <t>pbmn</t>
  </si>
  <si>
    <t>Neil Simon</t>
  </si>
  <si>
    <t>1927-, American producer, playwright, and screenwriter of The Odd Couple, Biloxi Blues, The Sunshine Boys, California Suite, and many more.</t>
  </si>
  <si>
    <t>wtwb</t>
  </si>
  <si>
    <t>New Orleans</t>
  </si>
  <si>
    <t>The Big Easy.</t>
  </si>
  <si>
    <t>ljco</t>
  </si>
  <si>
    <t>New Shoes</t>
  </si>
  <si>
    <t>Make you feel like dancing…</t>
  </si>
  <si>
    <t>dmrt</t>
  </si>
  <si>
    <t>New York City</t>
  </si>
  <si>
    <t>America’s most populous city. So good, they named it twice.</t>
  </si>
  <si>
    <t>znke</t>
  </si>
  <si>
    <t>America’s largest city, known for the Statue of Liberty.</t>
  </si>
  <si>
    <t>slhc</t>
  </si>
  <si>
    <t>New Yorkers</t>
  </si>
  <si>
    <t>Brash, brawny and full of bravado.</t>
  </si>
  <si>
    <t>treu</t>
  </si>
  <si>
    <t>Niagara Falls</t>
  </si>
  <si>
    <t>Niagara Falls was formed about 12,000 years ago, when glaciers retreated north, and honeymooners approached from the south.</t>
  </si>
  <si>
    <t>ihpq</t>
  </si>
  <si>
    <t>The 2nd largest waterfall in the world, located on the United States border with Canada.</t>
  </si>
  <si>
    <t>tqxu</t>
  </si>
  <si>
    <t>Nicholas Cage</t>
  </si>
  <si>
    <t>1964-, American actor known for his edgy characters in Leaving Los Vegas, Raising Arizona, and Moonstruck.</t>
  </si>
  <si>
    <t>ikko</t>
  </si>
  <si>
    <t>Night</t>
  </si>
  <si>
    <t>You can see stars and the moon in the sky.</t>
  </si>
  <si>
    <t>rozp</t>
  </si>
  <si>
    <t>Ninjas</t>
  </si>
  <si>
    <t>Teenage mutant turtles need not apply.</t>
  </si>
  <si>
    <t>ijrb</t>
  </si>
  <si>
    <t>Nirvana</t>
  </si>
  <si>
    <t>A state of supreme spiritual bliss and liberation. And then there’s the band…</t>
  </si>
  <si>
    <t>ymdt</t>
  </si>
  <si>
    <t>Nobel Peace Prize</t>
  </si>
  <si>
    <t>Established by Alfred Nobel. Swedish industrialist and inventor of dynamite. Led to an explosion of peace efforts.</t>
  </si>
  <si>
    <t>vebn</t>
  </si>
  <si>
    <t>Noisy Neighbors</t>
  </si>
  <si>
    <t>WHAT? I CAN'T HEAR YOU!</t>
  </si>
  <si>
    <t>exct</t>
  </si>
  <si>
    <t>Noodles</t>
  </si>
  <si>
    <t>Most noodles are made with flour, water and eggs, but some contain seaweed or spinach.</t>
  </si>
  <si>
    <t>pqju</t>
  </si>
  <si>
    <t>Normal Rockwell</t>
  </si>
  <si>
    <t>1894-1978, American painter, illustrator and all-around interpreter of small town American life.</t>
  </si>
  <si>
    <t>cxph</t>
  </si>
  <si>
    <t>North &amp; South Dakota</t>
  </si>
  <si>
    <t>It’s all north.</t>
  </si>
  <si>
    <t>pqbk</t>
  </si>
  <si>
    <t>North Pole</t>
  </si>
  <si>
    <t>The northern most point on the earth, but you're not going to find a pole there.</t>
  </si>
  <si>
    <t>oklv</t>
  </si>
  <si>
    <t>Nosebleeds</t>
  </si>
  <si>
    <t>Keep your chin up.</t>
  </si>
  <si>
    <t>dizv</t>
  </si>
  <si>
    <t>Nuclear Power Plants</t>
  </si>
  <si>
    <t>“You’ve turned a potential Chernobyl into a mere Three Mile Island.” —Montgomery Burns, “The Simpsons”</t>
  </si>
  <si>
    <t>zjxb</t>
  </si>
  <si>
    <t>Nuts &amp; Bolts</t>
  </si>
  <si>
    <t>A good way to stay connected.</t>
  </si>
  <si>
    <t>llyk</t>
  </si>
  <si>
    <t>NYPD</t>
  </si>
  <si>
    <t>The New York Police Department. They’re so good, they have their own TV show.</t>
  </si>
  <si>
    <t>poza</t>
  </si>
  <si>
    <t>Oatmeal</t>
  </si>
  <si>
    <t>A hot cereal made from oats. It sticks to your ribs, and to the floor!</t>
  </si>
  <si>
    <t>majg</t>
  </si>
  <si>
    <t>Octopus</t>
  </si>
  <si>
    <t>A sea animal with a soft, round body and eight long arms, called tentacles.</t>
  </si>
  <si>
    <t>ur{r</t>
  </si>
  <si>
    <t>Odds &amp; Ends</t>
  </si>
  <si>
    <t>It’s in the junk drawer.</t>
  </si>
  <si>
    <t>cufb</t>
  </si>
  <si>
    <t>Oil &amp; Filter</t>
  </si>
  <si>
    <t>Let me top that off for you.</t>
  </si>
  <si>
    <t>icys</t>
  </si>
  <si>
    <t>Oil &amp; Vinegar</t>
  </si>
  <si>
    <t>They don’t mix, but we keep trying.</t>
  </si>
  <si>
    <t>ahvb</t>
  </si>
  <si>
    <t>Oil Spills</t>
  </si>
  <si>
    <t>The American oil tanker, Exxon Valdez, went aground in Prince William Sound, Alaska, Mar. 24, 1989. Slick Move.</t>
  </si>
  <si>
    <t>fufb</t>
  </si>
  <si>
    <t>Old Age</t>
  </si>
  <si>
    <t>It looks good when you consider the alternative.</t>
  </si>
  <si>
    <t>jyjj</t>
  </si>
  <si>
    <t>Olive Oil</t>
  </si>
  <si>
    <t>Derived from fresh ripe fruit, which contain about 20% oil. Better than “olive” the other oils.</t>
  </si>
  <si>
    <t>hrlm</t>
  </si>
  <si>
    <t>On The Roof</t>
  </si>
  <si>
    <t>Come down this instant!</t>
  </si>
  <si>
    <t>qrll</t>
  </si>
  <si>
    <t>On-Line Shopping</t>
  </si>
  <si>
    <t>Enter your credit card number now. This is a secure site… Sure it is…</t>
  </si>
  <si>
    <t>fwpq</t>
  </si>
  <si>
    <t>Onions</t>
  </si>
  <si>
    <t>Round root vegetables with a strong smell and taste. They might make you cry!</t>
  </si>
  <si>
    <t>comh</t>
  </si>
  <si>
    <t>Oprah Winfrey</t>
  </si>
  <si>
    <t>1954-, Television talk show host, actor and all-around American success story.</t>
  </si>
  <si>
    <t>etdt</t>
  </si>
  <si>
    <t>Oral Surgery</t>
  </si>
  <si>
    <t>You said a mouthful.</t>
  </si>
  <si>
    <t>xtzy</t>
  </si>
  <si>
    <t>Orange Juice</t>
  </si>
  <si>
    <t>Sunshine in a glass!</t>
  </si>
  <si>
    <t>nzzg</t>
  </si>
  <si>
    <t>Oranges</t>
  </si>
  <si>
    <t>Round orange fruit, often made into juice. Some oranges have navels.</t>
  </si>
  <si>
    <t>cmn{</t>
  </si>
  <si>
    <t>Face it… nothing rhymes with orange.</t>
  </si>
  <si>
    <t>bvga</t>
  </si>
  <si>
    <t>Ordinary People</t>
  </si>
  <si>
    <t>Nothing special.</t>
  </si>
  <si>
    <t>xgcm</t>
  </si>
  <si>
    <t>Outer Space</t>
  </si>
  <si>
    <t>Where the sun, moon, and planets are located. Maybe you’ll visit there some day.</t>
  </si>
  <si>
    <t>wbna</t>
  </si>
  <si>
    <t>Owls</t>
  </si>
  <si>
    <t>Birds with large eyes and heads. They eat mice and snakes. Hoot-hoot.</t>
  </si>
  <si>
    <t>xbpe</t>
  </si>
  <si>
    <t>Oxygen</t>
  </si>
  <si>
    <t>Oxygen was discovered in 1774. You'd think someone would have noticed it earlier.</t>
  </si>
  <si>
    <t>bzdu</t>
  </si>
  <si>
    <t>Pablo Picasso</t>
  </si>
  <si>
    <t>1881-1973, Spanish painter and sculptor, one of the greatest artists of the 20th century. If only he could draw eyes…</t>
  </si>
  <si>
    <t>duyl</t>
  </si>
  <si>
    <t>Pacific Ocean</t>
  </si>
  <si>
    <t>The Pacific is the largest, and deepest, ocean on Earth.</t>
  </si>
  <si>
    <t>buua</t>
  </si>
  <si>
    <t>Pail &amp; Shovel</t>
  </si>
  <si>
    <t>I can dig it.</t>
  </si>
  <si>
    <t>loiy</t>
  </si>
  <si>
    <t>Painting A Fence</t>
  </si>
  <si>
    <t>A good way to earn some money.</t>
  </si>
  <si>
    <t>ljvq</t>
  </si>
  <si>
    <t>Pajamas</t>
  </si>
  <si>
    <t>Clothes you sleep in. Some have feet!</t>
  </si>
  <si>
    <t>ytjk</t>
  </si>
  <si>
    <t>Pancakes</t>
  </si>
  <si>
    <t>Some people call them flapjacks.</t>
  </si>
  <si>
    <t>nriu</t>
  </si>
  <si>
    <t>Panda Bears</t>
  </si>
  <si>
    <t>In China they're called “Xiongmao” which means giant cat bear.</t>
  </si>
  <si>
    <t>ltmk</t>
  </si>
  <si>
    <t>Panning For Gold</t>
  </si>
  <si>
    <t>The dot-coms of the 1840s…</t>
  </si>
  <si>
    <t>lqdn</t>
  </si>
  <si>
    <t>Paper Route</t>
  </si>
  <si>
    <t>It’s a job.</t>
  </si>
  <si>
    <t>auht</t>
  </si>
  <si>
    <t>Parachutes</t>
  </si>
  <si>
    <t>Put this on your back, jump out of the plane, and pull the cord. Ready?</t>
  </si>
  <si>
    <t>xubp</t>
  </si>
  <si>
    <t>Parenting</t>
  </si>
  <si>
    <t>The process of discovering you are becoming just like YOUR parents.</t>
  </si>
  <si>
    <t>vgsm</t>
  </si>
  <si>
    <t>Paris, France</t>
  </si>
  <si>
    <t>The governmental, cultural and gastronomic capital of France. Or the world. Just ask the French.</t>
  </si>
  <si>
    <t>fute</t>
  </si>
  <si>
    <t>Parties</t>
  </si>
  <si>
    <t>Birthday parties, slumber parties, Halloween parties. They’re all fun!</t>
  </si>
  <si>
    <t>cmum</t>
  </si>
  <si>
    <t>Paul McCartney &amp; Wings</t>
  </si>
  <si>
    <t>Life after The Beatles.</t>
  </si>
  <si>
    <t>ixup</t>
  </si>
  <si>
    <t>Paying Bills</t>
  </si>
  <si>
    <t>Also known as “Debt Restructuring.”</t>
  </si>
  <si>
    <t>zxrb</t>
  </si>
  <si>
    <t>Paying Taxes</t>
  </si>
  <si>
    <t>Death or Taxes? Do we have to choose right away?</t>
  </si>
  <si>
    <t>qbbi</t>
  </si>
  <si>
    <t>Peace &amp; Love</t>
  </si>
  <si>
    <t>Flower Power!</t>
  </si>
  <si>
    <t>iwjk</t>
  </si>
  <si>
    <t>Peace &amp; Quiet</t>
  </si>
  <si>
    <t>Truly appreciated during parenthood.</t>
  </si>
  <si>
    <t>dms{</t>
  </si>
  <si>
    <t>Peaches</t>
  </si>
  <si>
    <t>Fuzzy fruit.</t>
  </si>
  <si>
    <t>rcbb</t>
  </si>
  <si>
    <t>Peaches &amp; Cream</t>
  </si>
  <si>
    <t>A great complexion and a great dessert.</t>
  </si>
  <si>
    <t>hlwe</t>
  </si>
  <si>
    <t>Peacocks</t>
  </si>
  <si>
    <t>The show-offs of the bird world.</t>
  </si>
  <si>
    <t>qpvn</t>
  </si>
  <si>
    <t>Peanut Butter</t>
  </si>
  <si>
    <t>A soft, creamy spread made from peanuts. Sometimes it sticks to the roof of your mouth.</t>
  </si>
  <si>
    <t>uqdo</t>
  </si>
  <si>
    <t>Peanut Butter &amp; Jelly</t>
  </si>
  <si>
    <t>On white bread; cut off the crusts.</t>
  </si>
  <si>
    <t>fjui</t>
  </si>
  <si>
    <t>Peanuts</t>
  </si>
  <si>
    <t>Peanuts are really a seed, not a pea or a nut.</t>
  </si>
  <si>
    <t>ecqb</t>
  </si>
  <si>
    <t>Peanuts &amp; Popcorn</t>
  </si>
  <si>
    <t>It's a crackerjack combination!</t>
  </si>
  <si>
    <t>bfhj</t>
  </si>
  <si>
    <t>Pearl Earrings</t>
  </si>
  <si>
    <t>A good gift for Mother’s Day!</t>
  </si>
  <si>
    <t>bfyo</t>
  </si>
  <si>
    <t>Pebbles &amp; Bamm-Bamm</t>
  </si>
  <si>
    <t>The cartoon kids from The Flintstones. BAM-BAM, BAM-BAM, BAM-BAM.</t>
  </si>
  <si>
    <t>ajvr</t>
  </si>
  <si>
    <t>Pencil &amp; Paper</t>
  </si>
  <si>
    <t>We’re drawn to them!</t>
  </si>
  <si>
    <t>sl{b</t>
  </si>
  <si>
    <t>Pencils</t>
  </si>
  <si>
    <t>Three-fourths of all pencils made in the United States are yellow.</t>
  </si>
  <si>
    <t>hjdw</t>
  </si>
  <si>
    <t>Penguins</t>
  </si>
  <si>
    <t>Flightless, aquatic birds that reside in the Southern Hemisphere. All dressed up and no place to go.</t>
  </si>
  <si>
    <t>jumb</t>
  </si>
  <si>
    <t>Black and white sea birds found in Antarctica. They can’t fly, but they sure can waddle.</t>
  </si>
  <si>
    <t>nknr</t>
  </si>
  <si>
    <t>Penn &amp; Teller</t>
  </si>
  <si>
    <t>Magicians, illusionists, entertainers, and comedians.</t>
  </si>
  <si>
    <t>mypp</t>
  </si>
  <si>
    <t>Pennies</t>
  </si>
  <si>
    <t>Heads or tails?</t>
  </si>
  <si>
    <t>nwxj</t>
  </si>
  <si>
    <t>Peppers</t>
  </si>
  <si>
    <t>Sweet and crunchy, or hot and spicy!</t>
  </si>
  <si>
    <t>pvgi</t>
  </si>
  <si>
    <t>Perfume</t>
  </si>
  <si>
    <t>What’s that smell?</t>
  </si>
  <si>
    <t>ktso</t>
  </si>
  <si>
    <t>Peter Pan</t>
  </si>
  <si>
    <t>A book and movie character who could fly. He never wanted to grow up!</t>
  </si>
  <si>
    <t>bxyk</t>
  </si>
  <si>
    <t>Pez Dispensers</t>
  </si>
  <si>
    <t>Collectable candy dispensers first being sold in 1952. Believe it or not, there has never been an Elvis Pez dispenser.</t>
  </si>
  <si>
    <t>yjsn</t>
  </si>
  <si>
    <t>Phone &amp; Fax</t>
  </si>
  <si>
    <t>Soon you won’t need to leave the house at all!</t>
  </si>
  <si>
    <t>rrqz</t>
  </si>
  <si>
    <t>Piñatas</t>
  </si>
  <si>
    <t>Papier-mâché animals filled with candy and whacked with a stick.</t>
  </si>
  <si>
    <t>jsoc</t>
  </si>
  <si>
    <t>Picking Your Nose</t>
  </si>
  <si>
    <t>Noses run in our family.</t>
  </si>
  <si>
    <t>uuef</t>
  </si>
  <si>
    <t>Pickles</t>
  </si>
  <si>
    <t>Dill or sweet?</t>
  </si>
  <si>
    <t>wnku</t>
  </si>
  <si>
    <t>Picnics</t>
  </si>
  <si>
    <t>Pack up your food and a blanket, and go to your favorite park or beach.</t>
  </si>
  <si>
    <t>dvwy</t>
  </si>
  <si>
    <t>Pierced Ears</t>
  </si>
  <si>
    <t>Mom, when can I get my ears pierced?</t>
  </si>
  <si>
    <t>azvg</t>
  </si>
  <si>
    <t>Pigeons</t>
  </si>
  <si>
    <t>Birds with small heads, short necks, stout bodies, and an incredible attraction to statues.</t>
  </si>
  <si>
    <t>tjkw</t>
  </si>
  <si>
    <t>Pigs</t>
  </si>
  <si>
    <t>Domesticated mammal of the swine family. Thaaa… thaaa… that's all, folks!</t>
  </si>
  <si>
    <t>niqc</t>
  </si>
  <si>
    <t>Raised for their meat, including ham and bacon.</t>
  </si>
  <si>
    <t>ywwg</t>
  </si>
  <si>
    <t>Pillow Fights</t>
  </si>
  <si>
    <t>He started it!</t>
  </si>
  <si>
    <t>hbfy</t>
  </si>
  <si>
    <t>Pillows</t>
  </si>
  <si>
    <t>Pillow fight!</t>
  </si>
  <si>
    <t>hwyg</t>
  </si>
  <si>
    <t>Pilots</t>
  </si>
  <si>
    <t>“Welcome aboard. Today we'll be flying at 30,000 feet.”</t>
  </si>
  <si>
    <t>jdwk</t>
  </si>
  <si>
    <t>Pimples</t>
  </si>
  <si>
    <t>Just in time for school pictures.</t>
  </si>
  <si>
    <t>ovft</t>
  </si>
  <si>
    <t>Pine Cones</t>
  </si>
  <si>
    <t>Pine cones from Eastern White Pines can grow to eight inches in length.</t>
  </si>
  <si>
    <t>dyat</t>
  </si>
  <si>
    <t>Pine Trees</t>
  </si>
  <si>
    <t>Trees that stay green all year and have pinecones and needles. They smell great!</t>
  </si>
  <si>
    <t>clmn</t>
  </si>
  <si>
    <t>Pineapple</t>
  </si>
  <si>
    <t>Tropical fruit, or the less lush hand grenade.</t>
  </si>
  <si>
    <t>eqlt</t>
  </si>
  <si>
    <t>Pineapples</t>
  </si>
  <si>
    <t>Shaped like a football, tastes like a fruit.</t>
  </si>
  <si>
    <t>kdfl</t>
  </si>
  <si>
    <t>Pink Flamingos</t>
  </si>
  <si>
    <t>Gracing America’s lawns for more than 40 years sold only in pairs.</t>
  </si>
  <si>
    <t>rtrn</t>
  </si>
  <si>
    <t>Pinocchio</t>
  </si>
  <si>
    <t>Pinocchio was a wooden puppet who came to life. His nose grew each time he told a lie.</t>
  </si>
  <si>
    <t>rxth</t>
  </si>
  <si>
    <t>Pins &amp; Needles</t>
  </si>
  <si>
    <t>It’s all sewed up!</t>
  </si>
  <si>
    <t>nvfn</t>
  </si>
  <si>
    <t>Piranha</t>
  </si>
  <si>
    <t>Carnivorous fish found in rivers of South America. When you feel like a bite…</t>
  </si>
  <si>
    <t>hbua</t>
  </si>
  <si>
    <t>Pirates</t>
  </si>
  <si>
    <t>“Yo, ho, yo, ho, a pirate's life for me…” —Pirates of the Caribbean</t>
  </si>
  <si>
    <t>rxu{</t>
  </si>
  <si>
    <t>People who rob ships at sea. Blackbeard was a famous pirate.</t>
  </si>
  <si>
    <t>iuhu</t>
  </si>
  <si>
    <t>Pit Bulls</t>
  </si>
  <si>
    <t>Any of several crossbreeds of bulldogs with terriers. Or, several radio hosts we could mention.</t>
  </si>
  <si>
    <t>ytss</t>
  </si>
  <si>
    <t>Pizza</t>
  </si>
  <si>
    <t>Cheese, sausage, pepperoni, onions, and mushrooms. Pick your toppings!</t>
  </si>
  <si>
    <t>jswu</t>
  </si>
  <si>
    <t>Plane Crashes</t>
  </si>
  <si>
    <t>Statistically safer than driving… unless you crash.</t>
  </si>
  <si>
    <t>gsdk</t>
  </si>
  <si>
    <t>Planting Flowers</t>
  </si>
  <si>
    <t>“April showers bring May flowers.”</t>
  </si>
  <si>
    <t>rnyi</t>
  </si>
  <si>
    <t>Plastic</t>
  </si>
  <si>
    <t>Giant molecules of organic polymeric materials. Bags and bags of the stuff.</t>
  </si>
  <si>
    <t>xekp</t>
  </si>
  <si>
    <t>Play-Doh</t>
  </si>
  <si>
    <t>A colorful clay-like dough used for making shapes.</t>
  </si>
  <si>
    <t>zjft</t>
  </si>
  <si>
    <t>Playgrounds</t>
  </si>
  <si>
    <t>Some playgrounds have slides, swings, and sandboxes.</t>
  </si>
  <si>
    <t>fbct</t>
  </si>
  <si>
    <t>Playing Checkers</t>
  </si>
  <si>
    <t>A game for two using a checkerboard and 24 round game pieces. Jump, jump, jump..KING ME!</t>
  </si>
  <si>
    <t>sgyx</t>
  </si>
  <si>
    <t>Playing Chess</t>
  </si>
  <si>
    <t>Has tantalized many of the world’s greatest minds for almost 14 centuries. It just confuses the rest of us.</t>
  </si>
  <si>
    <t>eful</t>
  </si>
  <si>
    <t>Playing Golf</t>
  </si>
  <si>
    <t>For stress reduction. Now, get that head down and straighten your arm!</t>
  </si>
  <si>
    <t>ftxj</t>
  </si>
  <si>
    <t>Pluto</t>
  </si>
  <si>
    <t>The ninth planet in the Solar System, or Mickey Mouse’s dog.</t>
  </si>
  <si>
    <t>mksq</t>
  </si>
  <si>
    <t>Poison Ivy</t>
  </si>
  <si>
    <t>Contact with the leaves of this plant can cause a serious, itchy rash.</t>
  </si>
  <si>
    <t>ce{k</t>
  </si>
  <si>
    <t>Itching for a walk in the woods?</t>
  </si>
  <si>
    <t>urss</t>
  </si>
  <si>
    <t>Pokemon</t>
  </si>
  <si>
    <t>Cute cartoon monsters you gotta catch. What you do with them is up to you…</t>
  </si>
  <si>
    <t>egmf</t>
  </si>
  <si>
    <t>A video game, card game and television show. I like Pikachu.</t>
  </si>
  <si>
    <t>ckti</t>
  </si>
  <si>
    <t>Pole Vaulting</t>
  </si>
  <si>
    <t>The sport where you can reach new heights.</t>
  </si>
  <si>
    <t>ghkm</t>
  </si>
  <si>
    <t>Pomp &amp; Circumstance</t>
  </si>
  <si>
    <t>La-de-da.</t>
  </si>
  <si>
    <t>trxy</t>
  </si>
  <si>
    <t>Pond Scum</t>
  </si>
  <si>
    <t>Simple organisms that carry out photosynthesis… or spammers.</t>
  </si>
  <si>
    <t>xefl</t>
  </si>
  <si>
    <t>Poodles</t>
  </si>
  <si>
    <t>The only breed that is better groomed than their owners.</t>
  </si>
  <si>
    <t>ilal</t>
  </si>
  <si>
    <t>Popcorn</t>
  </si>
  <si>
    <t>Air poppers are for air heads… I say bring on the butter!</t>
  </si>
  <si>
    <t>wded</t>
  </si>
  <si>
    <t>A good movie-time snack.</t>
  </si>
  <si>
    <t>jlnp</t>
  </si>
  <si>
    <t>Porcupines</t>
  </si>
  <si>
    <t>Quill-bearing rodents that can leave you in a prickly situation.</t>
  </si>
  <si>
    <t>heqd</t>
  </si>
  <si>
    <t>Pork &amp; Beans</t>
  </si>
  <si>
    <t>Rustle us up some grub, Cookie.</t>
  </si>
  <si>
    <t>rnta</t>
  </si>
  <si>
    <t>Porsche Boxster</t>
  </si>
  <si>
    <t>A two-seat, six cylander roadster…elegant design and superior drivability.</t>
  </si>
  <si>
    <t>nvdo</t>
  </si>
  <si>
    <t>Postal Workers</t>
  </si>
  <si>
    <t>“Neither snow, nor rain, nor heat, nor gloom of night, stays these couriers from the swift completion of their appointed rounds.”</t>
  </si>
  <si>
    <t>bdjf</t>
  </si>
  <si>
    <t>Potato Chips</t>
  </si>
  <si>
    <t>Plain, sour cream and onion, ranch, or barbecue chips.</t>
  </si>
  <si>
    <t>jnsj</t>
  </si>
  <si>
    <t>Pounding Nails</t>
  </si>
  <si>
    <t>Use a hammer and watch your fingers.</t>
  </si>
  <si>
    <t>jcjb</t>
  </si>
  <si>
    <t>Power &amp; Glory</t>
  </si>
  <si>
    <t>The spoils of war.</t>
  </si>
  <si>
    <t>ptnx</t>
  </si>
  <si>
    <t>Power Drills</t>
  </si>
  <si>
    <t>Carpenters use them, and so do dentists.</t>
  </si>
  <si>
    <t>xefs</t>
  </si>
  <si>
    <t>Power Rangers</t>
  </si>
  <si>
    <t>A television series about a group of teens fighting evil space aliens.</t>
  </si>
  <si>
    <t>vkne</t>
  </si>
  <si>
    <t>Power Tools</t>
  </si>
  <si>
    <t>“More power! More power! Argh! Argh! ” —Tim ‘the Tool Man’ Taylor, “Home Improvement”</t>
  </si>
  <si>
    <t>fecn</t>
  </si>
  <si>
    <t>President Bush</t>
  </si>
  <si>
    <t>1946-, 43rd president of the United States.</t>
  </si>
  <si>
    <t>qxpl</t>
  </si>
  <si>
    <t>Pretzels</t>
  </si>
  <si>
    <t>Pretzels were first made in Germany. Available straight, twisted, or knotted.</t>
  </si>
  <si>
    <t>rtcb</t>
  </si>
  <si>
    <t>Pride &amp; Prejudice</t>
  </si>
  <si>
    <t>Jane Austin's 1813 classic novel expounding on the consequences of pride.</t>
  </si>
  <si>
    <t>pjsj</t>
  </si>
  <si>
    <t>Prince Charming</t>
  </si>
  <si>
    <t>The handsome prince who rescued Cinderella from her hard life. They lived happily ever after.</t>
  </si>
  <si>
    <t>yjdv</t>
  </si>
  <si>
    <t>The perfect man… mythical, of course.</t>
  </si>
  <si>
    <t>fedf</t>
  </si>
  <si>
    <t>Princess Di</t>
  </si>
  <si>
    <t>1962-97, beloved English Princess who died in an auto crash. “Good-bye England’s Rose…” —Elton John</t>
  </si>
  <si>
    <t>qghu</t>
  </si>
  <si>
    <t>Pro Wrestling</t>
  </si>
  <si>
    <t>They’re just faking it. But then, so are we.</t>
  </si>
  <si>
    <t>xqyg</t>
  </si>
  <si>
    <t>Psychiatrists</t>
  </si>
  <si>
    <t>“And how do you feel about that?”</t>
  </si>
  <si>
    <t>qoqr</t>
  </si>
  <si>
    <t>Psychics</t>
  </si>
  <si>
    <t>The Psychic Friends Network went bankrupt in 1997. Perhaps they should have seen it coming…</t>
  </si>
  <si>
    <t>ndgn</t>
  </si>
  <si>
    <t>Public Radio</t>
  </si>
  <si>
    <t>“Good morning….. This morning…………we have Wolfgang… Amadeus Mozart… for your listening pleasure…”</t>
  </si>
  <si>
    <t>wlng</t>
  </si>
  <si>
    <t>Puff Daddy</t>
  </si>
  <si>
    <t>1971-, American rap artist. “I'll be Missing You” shot him to stardom; no pun intended.</t>
  </si>
  <si>
    <t>nqsw</t>
  </si>
  <si>
    <t>Pulling Weeds</t>
  </si>
  <si>
    <t>It’s either this or chemical warfare.</t>
  </si>
  <si>
    <t>uyim</t>
  </si>
  <si>
    <t>The job nobody likes to do.</t>
  </si>
  <si>
    <t>xzsw</t>
  </si>
  <si>
    <t>Pumping Iron</t>
  </si>
  <si>
    <t>When a great weight needs to be lifted.</t>
  </si>
  <si>
    <t>envl</t>
  </si>
  <si>
    <t>Pumpkins</t>
  </si>
  <si>
    <t>Bake it or carve it. Pumpkins are actually a fruit!</t>
  </si>
  <si>
    <t>{gvn</t>
  </si>
  <si>
    <t>Puppets</t>
  </si>
  <si>
    <t>Finger puppets, hand puppets and string puppets. Kermit the Frog is a rod puppet.</t>
  </si>
  <si>
    <t>pfni</t>
  </si>
  <si>
    <t>Puppies</t>
  </si>
  <si>
    <t>Young dogs. They’ll chew on your shoes and bark all night.</t>
  </si>
  <si>
    <t>oxlk</t>
  </si>
  <si>
    <t>Pushups</t>
  </si>
  <si>
    <t>Exercises, a type of bra, or the ice cream treat.</t>
  </si>
  <si>
    <t>sfns</t>
  </si>
  <si>
    <t>Pyramids</t>
  </si>
  <si>
    <t>Built by ancient civilizations, found mainly in Egypt, Guatemala, Honduras, Mexico and Peru. Probably the result of some pyramid scheme.</t>
  </si>
  <si>
    <t>qmhu</t>
  </si>
  <si>
    <t>Queen Elizabeth II</t>
  </si>
  <si>
    <t>1926-, Queen of the United Kingdom and Northern Ireland since 1952. Shame about the kids, though…</t>
  </si>
  <si>
    <t>stly</t>
  </si>
  <si>
    <t>Quentin Terantino</t>
  </si>
  <si>
    <t>1963-, Groundbreaking American director and actor. Nice movies, but not nearly enough blood.</t>
  </si>
  <si>
    <t>djhb</t>
  </si>
  <si>
    <t>Quicksand</t>
  </si>
  <si>
    <t>Just don’t let it get you down.</t>
  </si>
  <si>
    <t>bra{</t>
  </si>
  <si>
    <t>R &amp; B</t>
  </si>
  <si>
    <t>Rhythm and Blues.</t>
  </si>
  <si>
    <t>zswl</t>
  </si>
  <si>
    <t>R &amp; D</t>
  </si>
  <si>
    <t>Research and Development.</t>
  </si>
  <si>
    <t>cclu</t>
  </si>
  <si>
    <t>R &amp; R</t>
  </si>
  <si>
    <t>Rest and relaxation, recreation, or could be recuperation.</t>
  </si>
  <si>
    <t>igch</t>
  </si>
  <si>
    <t>Rabbits</t>
  </si>
  <si>
    <t>Small, furry animals with long ears and short, fluffy tails. They like carrots and other vegetables.</t>
  </si>
  <si>
    <t>fhsa</t>
  </si>
  <si>
    <t>Raccoons</t>
  </si>
  <si>
    <t>They come out at night. The dark fur around their eyes looks like a mask.</t>
  </si>
  <si>
    <t>khfj</t>
  </si>
  <si>
    <t>Race Car Drivers</t>
  </si>
  <si>
    <t>Start your engines!</t>
  </si>
  <si>
    <t>snoz</t>
  </si>
  <si>
    <t>Radios</t>
  </si>
  <si>
    <t>In the 1940s, before television, families gathered together to listen to the radio.</t>
  </si>
  <si>
    <t>klfh</t>
  </si>
  <si>
    <t>Raggedy Ann</t>
  </si>
  <si>
    <t>A little red-headed rag doll with a triangle shaped nose.</t>
  </si>
  <si>
    <t>qjiv</t>
  </si>
  <si>
    <t>Ragweed</t>
  </si>
  <si>
    <t>A weed of the genus Ambrosia. Nothing to sneeze at.</t>
  </si>
  <si>
    <t>fblb</t>
  </si>
  <si>
    <t>Rain</t>
  </si>
  <si>
    <t>“When the rain comes, they run and hide their heads; they might as well be dead.” —The Beatles</t>
  </si>
  <si>
    <t>yske</t>
  </si>
  <si>
    <t>“Rain, rain, go away, come again another day.”</t>
  </si>
  <si>
    <t>tscs</t>
  </si>
  <si>
    <t>Rain Forests</t>
  </si>
  <si>
    <t>There is heavy rainfall throughout the year and lots of bugs.</t>
  </si>
  <si>
    <t>tu{j</t>
  </si>
  <si>
    <t>Rainbows</t>
  </si>
  <si>
    <t>“Someday we’ll find it / The Rainbow Connection / The lovers, the dreamers and me…” —Kermit the Frog</t>
  </si>
  <si>
    <t>hvdc</t>
  </si>
  <si>
    <t>There are seven colors in a rainbow: red, orange, yellow, green, blue, indigo, and violet.</t>
  </si>
  <si>
    <t>dttl</t>
  </si>
  <si>
    <t>Raisins</t>
  </si>
  <si>
    <t>They’re just dried grapes.</t>
  </si>
  <si>
    <t>nskl</t>
  </si>
  <si>
    <t>Raking Leaves</t>
  </si>
  <si>
    <t>Maybe they’ll all just blow away!</t>
  </si>
  <si>
    <t>blkp</t>
  </si>
  <si>
    <t>Ramona</t>
  </si>
  <si>
    <t>Main character in Beverly Cleary’s “Ramona the Pest” and other books in the series.</t>
  </si>
  <si>
    <t>cylo</t>
  </si>
  <si>
    <t>Rap Music</t>
  </si>
  <si>
    <t>Rap is a popular form of music with a strong beat and rhyming lyrics.</t>
  </si>
  <si>
    <t>rvwc</t>
  </si>
  <si>
    <t>Rappers</t>
  </si>
  <si>
    <t>PAENTAL ADVISORY EXPLICIT CONTENT Hasn't seemed to hurt sales…</t>
  </si>
  <si>
    <t>elgh</t>
  </si>
  <si>
    <t>Rats</t>
  </si>
  <si>
    <t>Gray or brown animals that look like very large mice. Usually pet rats are white.</t>
  </si>
  <si>
    <t>wqll</t>
  </si>
  <si>
    <t>Raves</t>
  </si>
  <si>
    <t>Neo-psychadelic all-night dance parties centered around acid house and techno music. All the rave.</t>
  </si>
  <si>
    <t>svyx</t>
  </si>
  <si>
    <t>Reading &amp; Writing</t>
  </si>
  <si>
    <t>Old-fashioned skill, amazingly still useful today.</t>
  </si>
  <si>
    <t>huon</t>
  </si>
  <si>
    <t>Reading A Book</t>
  </si>
  <si>
    <t>A good book is like traveling to a new world.</t>
  </si>
  <si>
    <t>wxwr</t>
  </si>
  <si>
    <t>Reading A Good Book</t>
  </si>
  <si>
    <t>So many books, so little time.</t>
  </si>
  <si>
    <t>tjod</t>
  </si>
  <si>
    <t>Recess</t>
  </si>
  <si>
    <t>My favorite subject in school!</t>
  </si>
  <si>
    <t>zove</t>
  </si>
  <si>
    <t>Recreational Vehicles</t>
  </si>
  <si>
    <t>If they’re trying to get away from it all, why are they taking it all with them?</t>
  </si>
  <si>
    <t>uatt</t>
  </si>
  <si>
    <t>Recycling</t>
  </si>
  <si>
    <t>More than one million tons of aluminum are NOT recycled each year. Where do you throw your cans?</t>
  </si>
  <si>
    <t>evmw</t>
  </si>
  <si>
    <t>Red Raspberries</t>
  </si>
  <si>
    <t>Worth a few scratches.</t>
  </si>
  <si>
    <t>fnet</t>
  </si>
  <si>
    <t>Red Roses</t>
  </si>
  <si>
    <t>Red roses are a symbol of love.</t>
  </si>
  <si>
    <t>mqzo</t>
  </si>
  <si>
    <t>Rednecks</t>
  </si>
  <si>
    <t>“You might be a redneck if…” —Jeff Foxworthy</t>
  </si>
  <si>
    <t>eiyk</t>
  </si>
  <si>
    <t>Redwood Forests</t>
  </si>
  <si>
    <t>“From the Redwood Forests to the Gulf Stream Waters /  This land was made for you and me.” —Woody Guthrie</t>
  </si>
  <si>
    <t>kcnt</t>
  </si>
  <si>
    <t>Reggae Music</t>
  </si>
  <si>
    <t>This contemporary Caribbean music, originating in Jamaica, remains an influential style of popular music. Ya mon!</t>
  </si>
  <si>
    <t>typc</t>
  </si>
  <si>
    <t>Regis &amp;…</t>
  </si>
  <si>
    <t>Kathy Lee or Kelly your choice.</t>
  </si>
  <si>
    <t>xgde</t>
  </si>
  <si>
    <t>Regis Philbin</t>
  </si>
  <si>
    <t>1934-, American talk and game show host. Who wants to be a millionaire? Regis, apparently.</t>
  </si>
  <si>
    <t>bybc</t>
  </si>
  <si>
    <t>Remote Controls</t>
  </si>
  <si>
    <t>The world's handiest invention. That is, if you can find it.</t>
  </si>
  <si>
    <t>hzda</t>
  </si>
  <si>
    <t>Republicans</t>
  </si>
  <si>
    <t>A U.S. political party symbolized by an elephant… and don't forget it!</t>
  </si>
  <si>
    <t>qiri</t>
  </si>
  <si>
    <t>Restaurants</t>
  </si>
  <si>
    <t>It’s good to try new things!</t>
  </si>
  <si>
    <t>licl</t>
  </si>
  <si>
    <t>Rice</t>
  </si>
  <si>
    <t>A grain grown for food. Rice can be white, brown or black.</t>
  </si>
  <si>
    <t>mzif</t>
  </si>
  <si>
    <t>Rice &amp; Beans</t>
  </si>
  <si>
    <t>South-of-the-border meat &amp; potatoes.</t>
  </si>
  <si>
    <t>eaaj</t>
  </si>
  <si>
    <t>Rice Krispies Treats</t>
  </si>
  <si>
    <t>How could you go wrong with Rice Krispies, marshmallows, and butter.</t>
  </si>
  <si>
    <t>xfkk</t>
  </si>
  <si>
    <t>Richard Nixon</t>
  </si>
  <si>
    <t>1913-94, 37th President of the United States and the only president to have resigned from office. At least that's what the tapes say…</t>
  </si>
  <si>
    <t>xwdh</t>
  </si>
  <si>
    <t>Richard Simmons</t>
  </si>
  <si>
    <t>1948-, American fitness guru famous for his extroverted style, short shorts and Sweatin'’ to the Oldies.</t>
  </si>
  <si>
    <t>fmmi</t>
  </si>
  <si>
    <t>Riding A Bike</t>
  </si>
  <si>
    <t>Remember to wear your helmet.</t>
  </si>
  <si>
    <t>wvpr</t>
  </si>
  <si>
    <t>Riding A Horse</t>
  </si>
  <si>
    <t>Grab the reins and hang on!</t>
  </si>
  <si>
    <t>trlh</t>
  </si>
  <si>
    <t>Riding A Scooter</t>
  </si>
  <si>
    <t>Where are the brakes?</t>
  </si>
  <si>
    <t>hxel</t>
  </si>
  <si>
    <t>Rio De Janeiro</t>
  </si>
  <si>
    <t>Vibrant Brazilian city and home to Carnival. Blame it on Rio!</t>
  </si>
  <si>
    <t>zfzx</t>
  </si>
  <si>
    <t>Rivers</t>
  </si>
  <si>
    <t>Can you spell Mississippi?</t>
  </si>
  <si>
    <t>vngj</t>
  </si>
  <si>
    <t>Road Kill</t>
  </si>
  <si>
    <t>Mmmmmm. Them's good eatin’.</t>
  </si>
  <si>
    <t>qxmn</t>
  </si>
  <si>
    <t>Road Rage</t>
  </si>
  <si>
    <t>Ten years ago we complained about potholes. NOW we’re dodging pot-shots.</t>
  </si>
  <si>
    <t>pxef</t>
  </si>
  <si>
    <t>Road Trips</t>
  </si>
  <si>
    <t>“Get Your Kicks on Route 66.” —Nelson Riddle</t>
  </si>
  <si>
    <t>ufnq</t>
  </si>
  <si>
    <t>Robert DeNiro</t>
  </si>
  <si>
    <t>1943-, Pre-eminent American actor who earned Academy Awards for “The Godfather II” and “Raging Bull.” “Are you looking at me?”</t>
  </si>
  <si>
    <t>tcgw</t>
  </si>
  <si>
    <t>Robin Hood</t>
  </si>
  <si>
    <t>Legendary British outlaw who stole from the rich and gave to the poor, known for his courage, skill, and Merry Men.</t>
  </si>
  <si>
    <t>svsz</t>
  </si>
  <si>
    <t>Robin Williams</t>
  </si>
  <si>
    <t>1952-, versatile American comedian and actor. The furriest man in show business.</t>
  </si>
  <si>
    <t>turh</t>
  </si>
  <si>
    <t>Robots</t>
  </si>
  <si>
    <t>They should make a robot that does homework.</t>
  </si>
  <si>
    <t>wnpw</t>
  </si>
  <si>
    <t>Rock &amp; Roll</t>
  </si>
  <si>
    <t>It’ll never die. Unlike Rock and Roll musicians.</t>
  </si>
  <si>
    <t>ulqb</t>
  </si>
  <si>
    <t>Rock And Roll</t>
  </si>
  <si>
    <t>It’s here to stay!</t>
  </si>
  <si>
    <t>jpaz</t>
  </si>
  <si>
    <t>Rock Candy</t>
  </si>
  <si>
    <t>Large, clear sugar crystals- rock hard!</t>
  </si>
  <si>
    <t>xkek</t>
  </si>
  <si>
    <t>Rock Concert</t>
  </si>
  <si>
    <t>If it's too loud, you’re too old.</t>
  </si>
  <si>
    <t>kiod</t>
  </si>
  <si>
    <t>Rock Concerts</t>
  </si>
  <si>
    <t>Not on a school night!</t>
  </si>
  <si>
    <t>kbnz</t>
  </si>
  <si>
    <t>Rock Stars</t>
  </si>
  <si>
    <t>Even the guys wear make-up!</t>
  </si>
  <si>
    <t>xtji</t>
  </si>
  <si>
    <t>Rocket Scientists</t>
  </si>
  <si>
    <t>Hey! They’re not rocket scie… oh… never mind.</t>
  </si>
  <si>
    <t>xnus</t>
  </si>
  <si>
    <t>Rocking Chairs</t>
  </si>
  <si>
    <t>Rock-a-bye baby.</t>
  </si>
  <si>
    <t>pvfj</t>
  </si>
  <si>
    <t>Rocks</t>
  </si>
  <si>
    <t>Rock collectors are sometimes called rockhounds.</t>
  </si>
  <si>
    <t>gsyg</t>
  </si>
  <si>
    <t>Rocky Mountains</t>
  </si>
  <si>
    <t>These extend 2,000 miles from northeastern British Columbia to central New Mexico, and keep the Californians away from everyone else…</t>
  </si>
  <si>
    <t>fqvs</t>
  </si>
  <si>
    <t>Rod &amp; Reel</t>
  </si>
  <si>
    <t>He took it hook, line, and sinker.</t>
  </si>
  <si>
    <t>xkoe</t>
  </si>
  <si>
    <t>Rogers &amp; Hammerstein</t>
  </si>
  <si>
    <t>Kings of the Broadway Musical: “The Sound of Music,” “The King and I,” “South Pacific,” and many, many more.</t>
  </si>
  <si>
    <t>yqkf</t>
  </si>
  <si>
    <t>Roller Coaster</t>
  </si>
  <si>
    <t>Roller coaster cars can go more than 70 miles per hour.</t>
  </si>
  <si>
    <t>bvjc</t>
  </si>
  <si>
    <t>Rollerblading</t>
  </si>
  <si>
    <t>Faster than walking.</t>
  </si>
  <si>
    <t>ojni</t>
  </si>
  <si>
    <t>Rolling The Car</t>
  </si>
  <si>
    <t>You’ll flip for this one…</t>
  </si>
  <si>
    <t>rvlm</t>
  </si>
  <si>
    <t>Roman Numerals</t>
  </si>
  <si>
    <t>There’s a I in VII chance you'll know them.</t>
  </si>
  <si>
    <t>zbcl</t>
  </si>
  <si>
    <t>Romeo And Juliet</t>
  </si>
  <si>
    <t>William Shakespeare’s best known play, written in 1595. Youthful love and hasty temperaments.</t>
  </si>
  <si>
    <t>qpi{</t>
  </si>
  <si>
    <t>Ronald McDonald</t>
  </si>
  <si>
    <t>The clown from McDonald’s restaurants.</t>
  </si>
  <si>
    <t>q{zt</t>
  </si>
  <si>
    <t>Roosters</t>
  </si>
  <si>
    <t>The barnyard alarm clock.</t>
  </si>
  <si>
    <t>grsd</t>
  </si>
  <si>
    <t>Root Beer</t>
  </si>
  <si>
    <t>A sweet, brown drink that is fizzy and foamy. Add ice cream to make a root beer float!</t>
  </si>
  <si>
    <t>ltbw</t>
  </si>
  <si>
    <t>Root Beer Floats</t>
  </si>
  <si>
    <t>Actually, it’s the ice cream that floats!</t>
  </si>
  <si>
    <t>osrt</t>
  </si>
  <si>
    <t>Rope Burns</t>
  </si>
  <si>
    <t>You were playing WHAT?</t>
  </si>
  <si>
    <t>thtu</t>
  </si>
  <si>
    <t>Rosa Parks</t>
  </si>
  <si>
    <t>1913-, civil rights icon arrested in 1956 for violating U.S. segregation laws by refusing to give up her bus seat to a white passenger.</t>
  </si>
  <si>
    <t>yxwd</t>
  </si>
  <si>
    <t>Rosie O'Donnell</t>
  </si>
  <si>
    <t>1962-, American actor and comedian. She’s in a league of her own!</t>
  </si>
  <si>
    <t>lekz</t>
  </si>
  <si>
    <t>Rubber Gloves</t>
  </si>
  <si>
    <t>Just in case…</t>
  </si>
  <si>
    <t>igpe</t>
  </si>
  <si>
    <t>Rugrats</t>
  </si>
  <si>
    <t>A cartoon about the adventures of Tommy, Chucky, Angelica, and Phil and Lil.</t>
  </si>
  <si>
    <t>sphx</t>
  </si>
  <si>
    <t>Running A Marathon</t>
  </si>
  <si>
    <t>26 miles, 385 yards: the distance run by a Greek soldier from the town of Marathon to Athens in 490 BC.</t>
  </si>
  <si>
    <t>njiq</t>
  </si>
  <si>
    <t>Running In A Race</t>
  </si>
  <si>
    <t>A marathon is a 26 mile race.</t>
  </si>
  <si>
    <t>srpn</t>
  </si>
  <si>
    <t>Rush Limbaugh</t>
  </si>
  <si>
    <t>1951-, conservative talk-radio personality. Claims to host his radio show with half his brain tied behind his back, just to make it fair.</t>
  </si>
  <si>
    <t>vano</t>
  </si>
  <si>
    <t>Russia</t>
  </si>
  <si>
    <t>The world’s largest country, spanning 11 time zones. Famous for borscht, ballet, chess and vodka…just don’t mix them.</t>
  </si>
  <si>
    <t>loym</t>
  </si>
  <si>
    <t>Rust</t>
  </si>
  <si>
    <t>“Rust never sleeps.” —Neil Young</t>
  </si>
  <si>
    <t>mugh</t>
  </si>
  <si>
    <t>Rusty Nails</t>
  </si>
  <si>
    <t>Good name for a country western singer.</t>
  </si>
  <si>
    <t>keme</t>
  </si>
  <si>
    <t>Saddam Hussein</t>
  </si>
  <si>
    <t>1937-, dictator of Iraq 1979-2003.</t>
  </si>
  <si>
    <t>orsp</t>
  </si>
  <si>
    <t>Sailors</t>
  </si>
  <si>
    <t>“In the Navy, you can sail the seven seas…” —The Village People</t>
  </si>
  <si>
    <t>hsln</t>
  </si>
  <si>
    <t>Get seasick? Don't become a sailor.</t>
  </si>
  <si>
    <t>zknp</t>
  </si>
  <si>
    <t>Salads</t>
  </si>
  <si>
    <t>Fruit salads, pasta salads, potato salads, and lettuce salads.</t>
  </si>
  <si>
    <t>uon{</t>
  </si>
  <si>
    <t>Lettuce not knock the vegetarians.</t>
  </si>
  <si>
    <t>etxs</t>
  </si>
  <si>
    <t>Salsa Dancing</t>
  </si>
  <si>
    <t>Popular form of Latin American dance. A little jazz, a little blues, a touch of rock and lots of heat.</t>
  </si>
  <si>
    <t>lvpk</t>
  </si>
  <si>
    <t>Salt</t>
  </si>
  <si>
    <t>In ancient times salt was valuable. In fact, it was used as money.</t>
  </si>
  <si>
    <t>jepy</t>
  </si>
  <si>
    <t>Salt 'N Pepa</t>
  </si>
  <si>
    <t>Extremely successful rap group formed in the 1980s, known for their portrayals of the woman's perspective on relationships.</t>
  </si>
  <si>
    <t>dq{{</t>
  </si>
  <si>
    <t>Salt &amp; Pepper</t>
  </si>
  <si>
    <t>“Pump it up a notch! BAM! ” —Emeril Lagasse.</t>
  </si>
  <si>
    <t>pmkf</t>
  </si>
  <si>
    <t>Salvador Dali</t>
  </si>
  <si>
    <t>1904-89, Spansih artist best known for his dream imagery and surrealism, including the limp watches in “The Persistence Of Memory.”</t>
  </si>
  <si>
    <t>spvb</t>
  </si>
  <si>
    <t>Samuel L. Jackson</t>
  </si>
  <si>
    <t>1948-, powerful American actor of “Pulp Fiction,” “Jackie Brown,” and “The Negotiator.”</t>
  </si>
  <si>
    <t>rnop</t>
  </si>
  <si>
    <t>San Francisco</t>
  </si>
  <si>
    <t>California's City by the Bay. Where many hearts are left.</t>
  </si>
  <si>
    <t>buzs</t>
  </si>
  <si>
    <t>Sand</t>
  </si>
  <si>
    <t>The desert, the dunes, the beach, and in your shoes.</t>
  </si>
  <si>
    <t>kdjz</t>
  </si>
  <si>
    <t>Sand &amp; Surf</t>
  </si>
  <si>
    <t>Life’s a beach!</t>
  </si>
  <si>
    <t>hose</t>
  </si>
  <si>
    <t>Sand Castles</t>
  </si>
  <si>
    <t>No dogs allowed.</t>
  </si>
  <si>
    <t>qlck</t>
  </si>
  <si>
    <t>Sandra Bullock</t>
  </si>
  <si>
    <t>1964-, American actor who starred in “Speed,” “Miss Congeniality,” and “While You Were Sleeping.” The classic girl-next-door.</t>
  </si>
  <si>
    <t>yitg</t>
  </si>
  <si>
    <t>Saturday Cartoons</t>
  </si>
  <si>
    <t>Get your blanket, a bowl of cereal and snuggle in for three hours of commercials.</t>
  </si>
  <si>
    <t>cmls</t>
  </si>
  <si>
    <t>Saturn</t>
  </si>
  <si>
    <t>Sixth planet from the sun, and the second largest in the solar system. Has a nice ring to it, don't you think?</t>
  </si>
  <si>
    <t>nqiq</t>
  </si>
  <si>
    <t>Scavenger Hunt</t>
  </si>
  <si>
    <t>OK kids, here’s your list: a marshmallow, a safety pin, a red rubber band, and a moon rock. Go find ’em!</t>
  </si>
  <si>
    <t>pgpj</t>
  </si>
  <si>
    <t>Scene Of The Crime</t>
  </si>
  <si>
    <t>It was Colonel Mustard, in the library, with the candlestick.</t>
  </si>
  <si>
    <t>dgwf</t>
  </si>
  <si>
    <t>Scented Candles</t>
  </si>
  <si>
    <t>You didn’t have to BAKE an apple pie just light a candle.</t>
  </si>
  <si>
    <t>orpr</t>
  </si>
  <si>
    <t>Schindler’s List</t>
  </si>
  <si>
    <t>1993 Steven Spielberg film. Powerful real-life story of a Catholic businessman who eventually saved over 1000 Jews in Nazi Poland.</t>
  </si>
  <si>
    <t>buod</t>
  </si>
  <si>
    <t>School Buses</t>
  </si>
  <si>
    <t>Large, yellow buses used to take children to school.</t>
  </si>
  <si>
    <t>bvjb</t>
  </si>
  <si>
    <t>School Lunch</t>
  </si>
  <si>
    <t>Hot lunch, cold lunch, or bring your own lunch.</t>
  </si>
  <si>
    <t>dbgl</t>
  </si>
  <si>
    <t>School Pictures</t>
  </si>
  <si>
    <t>How do I look?</t>
  </si>
  <si>
    <t>zepd</t>
  </si>
  <si>
    <t>Science Experiments</t>
  </si>
  <si>
    <t>Your science experiment? I thought it was dinner!</t>
  </si>
  <si>
    <t>tkof</t>
  </si>
  <si>
    <t>Science Fair Projects</t>
  </si>
  <si>
    <t>No human subjects, please!</t>
  </si>
  <si>
    <t>cls{</t>
  </si>
  <si>
    <t>Science Fiction</t>
  </si>
  <si>
    <t>In a galaxy far, far away…</t>
  </si>
  <si>
    <t>mtmv</t>
  </si>
  <si>
    <t>Science Tests</t>
  </si>
  <si>
    <t>Multiple choice or essay.</t>
  </si>
  <si>
    <t>ngfi</t>
  </si>
  <si>
    <t>Scientists</t>
  </si>
  <si>
    <t>Scientists study astronomy, biology, chemistry, geology, and other stuff.</t>
  </si>
  <si>
    <t>yuoc</t>
  </si>
  <si>
    <t>Scooby-Doo</t>
  </si>
  <si>
    <t>TV cartoon dog who helps solve crimes. “Scooby-Doo, where are you?”</t>
  </si>
  <si>
    <t>jzhp</t>
  </si>
  <si>
    <t>Screaming</t>
  </si>
  <si>
    <t>NOT SO LOUD!</t>
  </si>
  <si>
    <t>swef</t>
  </si>
  <si>
    <t>Screeching</t>
  </si>
  <si>
    <t>Please stop.</t>
  </si>
  <si>
    <t>dkjc</t>
  </si>
  <si>
    <t>Sean Connery</t>
  </si>
  <si>
    <t>1930-, Accomplished Scottish actor, although best known as the REAL Bond, JAMES Bond…</t>
  </si>
  <si>
    <t>ygig</t>
  </si>
  <si>
    <t>Seashells</t>
  </si>
  <si>
    <t>The outer shells of sea animals. You can find them on the beach.</t>
  </si>
  <si>
    <t>vthe</t>
  </si>
  <si>
    <t>Sesame Street</t>
  </si>
  <si>
    <t>Children’s television show featuring Big Bird. “Can you tell me how to get to Sesame Street?”</t>
  </si>
  <si>
    <t>wxvu</t>
  </si>
  <si>
    <t>Shake &amp; Bake</t>
  </si>
  <si>
    <t>…and eat.</t>
  </si>
  <si>
    <t>hnzy</t>
  </si>
  <si>
    <t>Shania Twain</t>
  </si>
  <si>
    <t>1965-, Canadian country singer and songwriter. “Shania” means “I'm on my way” in Ojibwa.</t>
  </si>
  <si>
    <t>ej{s</t>
  </si>
  <si>
    <t>Sharks</t>
  </si>
  <si>
    <t>Many species living today are similar to those from 100 million years ago. Because change is scary.</t>
  </si>
  <si>
    <t>ltxp</t>
  </si>
  <si>
    <t>Meat-eating fish known for their speed, sharp teeth, and the large fins on their backs.</t>
  </si>
  <si>
    <t>enhc</t>
  </si>
  <si>
    <t>Sharp Knives</t>
  </si>
  <si>
    <t>Found in kitchen drawers, tackle boxes and butcher shops.</t>
  </si>
  <si>
    <t>srru</t>
  </si>
  <si>
    <t>Shave &amp; A Haircut</t>
  </si>
  <si>
    <t>Two bits.</t>
  </si>
  <si>
    <t>axew</t>
  </si>
  <si>
    <t>Ships</t>
  </si>
  <si>
    <t>Battleships, cruise ships, freighters, and oil tankers.</t>
  </si>
  <si>
    <t>lrpy</t>
  </si>
  <si>
    <t>Shipwrecks</t>
  </si>
  <si>
    <t>“The lake it is said never gives up her dead…” —The Wreck of the Edmund Fitzgerald</t>
  </si>
  <si>
    <t>meei</t>
  </si>
  <si>
    <t>Shoplifting</t>
  </si>
  <si>
    <t>It's stealing and it's against the law.</t>
  </si>
  <si>
    <t>zvfi</t>
  </si>
  <si>
    <t>Shopping</t>
  </si>
  <si>
    <t>It’s shopping-whether you buy something or not.</t>
  </si>
  <si>
    <t>hzqf</t>
  </si>
  <si>
    <t>Shopping Mall</t>
  </si>
  <si>
    <t>Three-quarters of the North American population visit a shopping mall at least once a month.</t>
  </si>
  <si>
    <t>ebqz</t>
  </si>
  <si>
    <t>Shrimp</t>
  </si>
  <si>
    <t>Tiny to jumbo- they come in all sizes.</t>
  </si>
  <si>
    <t>nype</t>
  </si>
  <si>
    <t>Sigmund Freud</t>
  </si>
  <si>
    <t>1856-1939, Viennese psychologist and the originator of psychoanalysis and the Freudian slip.</t>
  </si>
  <si>
    <t>mfuv</t>
  </si>
  <si>
    <t>Silk</t>
  </si>
  <si>
    <t>Produced as a cocoon covering by the silk worm, and used in fine fabrics and textiles.</t>
  </si>
  <si>
    <t>bois</t>
  </si>
  <si>
    <t>Silly Putty</t>
  </si>
  <si>
    <t>It’s putty in your hands!</t>
  </si>
  <si>
    <t>djng</t>
  </si>
  <si>
    <t>Sin &amp; Redemption</t>
  </si>
  <si>
    <t>Everybody deserves a second chance.</t>
  </si>
  <si>
    <t>wctd</t>
  </si>
  <si>
    <t>Singing</t>
  </si>
  <si>
    <t>Making music with your voice. La-la-la.</t>
  </si>
  <si>
    <t>uufs</t>
  </si>
  <si>
    <t>Sisters</t>
  </si>
  <si>
    <t>Sister, sister!</t>
  </si>
  <si>
    <t>nm{x</t>
  </si>
  <si>
    <t>Sitcoms</t>
  </si>
  <si>
    <t>If they're so funny, WHY THE LAUGH TRACK?</t>
  </si>
  <si>
    <t>dfqg</t>
  </si>
  <si>
    <t>Skateboarding</t>
  </si>
  <si>
    <t>It’s just going downhill… down stairs… down ramps…</t>
  </si>
  <si>
    <t>ihlg</t>
  </si>
  <si>
    <t>Skateboards</t>
  </si>
  <si>
    <t>“Skateboarding is not a crime!”</t>
  </si>
  <si>
    <t>rtro</t>
  </si>
  <si>
    <t>Skeletons</t>
  </si>
  <si>
    <t>There are 206 bones in the human body. Count them!</t>
  </si>
  <si>
    <t>dxyp</t>
  </si>
  <si>
    <t>Skiing</t>
  </si>
  <si>
    <t>The Super Ginat Slalom: Swiss for “suicide.”</t>
  </si>
  <si>
    <t>xlsi</t>
  </si>
  <si>
    <t>Skin &amp; Bones</t>
  </si>
  <si>
    <t>What would you be without them?</t>
  </si>
  <si>
    <t>msrh</t>
  </si>
  <si>
    <t>Skinheads</t>
  </si>
  <si>
    <t>Shaved heads, big boots. Some are Nazis, some are not.</t>
  </si>
  <si>
    <t>iums</t>
  </si>
  <si>
    <t>Skinned Knees</t>
  </si>
  <si>
    <t>Ouch! Ouch! OUCH!</t>
  </si>
  <si>
    <t>oykk</t>
  </si>
  <si>
    <t>Skunks</t>
  </si>
  <si>
    <t>Black and white striped mammals known for their offensive smelling defensive spray.</t>
  </si>
  <si>
    <t>tlpk</t>
  </si>
  <si>
    <t>Black, bushy-tailed animals with one or two white stripes down their backs. Stinky!</t>
  </si>
  <si>
    <t>pemi</t>
  </si>
  <si>
    <t>Skydiving</t>
  </si>
  <si>
    <t>Parachute canopies are usually made from nylon fabric that lasts for thousands of jumps whether the skydiver does or not.</t>
  </si>
  <si>
    <t>qdmp</t>
  </si>
  <si>
    <t>Slash &amp; Burn</t>
  </si>
  <si>
    <t>And there goes another rain forest…</t>
  </si>
  <si>
    <t>awiz</t>
  </si>
  <si>
    <t>Slasher Films</t>
  </si>
  <si>
    <t>A real nightmare.</t>
  </si>
  <si>
    <t>mevr</t>
  </si>
  <si>
    <t>Sledding</t>
  </si>
  <si>
    <t>It would be more fun if you didn't have to climb back up the hill.</t>
  </si>
  <si>
    <t>cqdz</t>
  </si>
  <si>
    <t>Sleep</t>
  </si>
  <si>
    <t>“Don’t let the bedbugs bite.”</t>
  </si>
  <si>
    <t>dfml</t>
  </si>
  <si>
    <t>Sleeping Pills</t>
  </si>
  <si>
    <t>I remember taking them… I just… don't rememmer… how mamy.</t>
  </si>
  <si>
    <t>ossx</t>
  </si>
  <si>
    <t>Sleepovers</t>
  </si>
  <si>
    <t>If you don’t sleep, is it still a sleepover?</t>
  </si>
  <si>
    <t>ropr</t>
  </si>
  <si>
    <t>Slice &amp; Dice</t>
  </si>
  <si>
    <t>A sharp knife is a safe knife.</t>
  </si>
  <si>
    <t>gufz</t>
  </si>
  <si>
    <t>Slip &amp; Fall</t>
  </si>
  <si>
    <t>Watch out for… too late!</t>
  </si>
  <si>
    <t>gmfq</t>
  </si>
  <si>
    <t>Slivers</t>
  </si>
  <si>
    <t>Also known as splinters. The worst ones are under your fingernails.</t>
  </si>
  <si>
    <t>nbxe</t>
  </si>
  <si>
    <t>Slobodan Milosevic</t>
  </si>
  <si>
    <t>1941-, former leader of Serbia, also known as “the Butcher of the Balkans.”</t>
  </si>
  <si>
    <t>csg{</t>
  </si>
  <si>
    <t>Sloppy Joes</t>
  </si>
  <si>
    <t>My favorite recipe…open the can.</t>
  </si>
  <si>
    <t>eub{</t>
  </si>
  <si>
    <t>Smith &amp; Wesson</t>
  </si>
  <si>
    <t>Firearms when ready!</t>
  </si>
  <si>
    <t>mhiv</t>
  </si>
  <si>
    <t>Smithsonian Institution</t>
  </si>
  <si>
    <t>Located in Washington, D.C., the largest museum complex in the world. Wouldn’t that be a great garage sale?</t>
  </si>
  <si>
    <t>eqxr</t>
  </si>
  <si>
    <t>Smoke</t>
  </si>
  <si>
    <t>“Where there's smoke, there's fire!”</t>
  </si>
  <si>
    <t>kckz</t>
  </si>
  <si>
    <t>Smoke &amp; Mirrors</t>
  </si>
  <si>
    <t>That’s how we do it!</t>
  </si>
  <si>
    <t>hwgk</t>
  </si>
  <si>
    <t>Snakes</t>
  </si>
  <si>
    <t>Surprising, snakes move rapidly without legs. Also surprising, they find OTHER snakes attractive.</t>
  </si>
  <si>
    <t>inxj</t>
  </si>
  <si>
    <t>Long, thin reptiles without arms or legs. Their forked tongues are used for smelling.</t>
  </si>
  <si>
    <t>jwtd</t>
  </si>
  <si>
    <t>Sneezing</t>
  </si>
  <si>
    <t>Ah-ah-ah-choo!</t>
  </si>
  <si>
    <t>zwrt</t>
  </si>
  <si>
    <t>Snips &amp; Snails</t>
  </si>
  <si>
    <t>And puppy dog tails.</t>
  </si>
  <si>
    <t>htnz</t>
  </si>
  <si>
    <t>Snoopy</t>
  </si>
  <si>
    <t>The little, white beagle from the “Peanuts” cartoon.</t>
  </si>
  <si>
    <t>mwej</t>
  </si>
  <si>
    <t>Snoopy &amp; The Red Barron</t>
  </si>
  <si>
    <t>Characters in the Peanuts comic strip. Talk about a dog fight!</t>
  </si>
  <si>
    <t>gzkx</t>
  </si>
  <si>
    <t>Snow</t>
  </si>
  <si>
    <t>Transparent ice crystals which form around dust and other small particles. Get my drift?</t>
  </si>
  <si>
    <t>ditz</t>
  </si>
  <si>
    <t>Snow Cones</t>
  </si>
  <si>
    <t>You don’t have to wait for snow.</t>
  </si>
  <si>
    <t>ckol</t>
  </si>
  <si>
    <t>Snow White</t>
  </si>
  <si>
    <t>“Mirror, mirror, on the wall, who is the fairest of them all?”</t>
  </si>
  <si>
    <t>bcrr</t>
  </si>
  <si>
    <t>Snowballs</t>
  </si>
  <si>
    <t>Just right for throwing!</t>
  </si>
  <si>
    <t>irbf</t>
  </si>
  <si>
    <t>Snowboarding</t>
  </si>
  <si>
    <t>Snowboarding was declared an official Olympic sport in 1994.</t>
  </si>
  <si>
    <t>oyjl</t>
  </si>
  <si>
    <t>Snowflakes</t>
  </si>
  <si>
    <t>They say each one is different, but who would know?</t>
  </si>
  <si>
    <t>kmch</t>
  </si>
  <si>
    <t>Snowstorm</t>
  </si>
  <si>
    <t>Lots of snow blowing around. Maybe school will be closed!</t>
  </si>
  <si>
    <t>jtix</t>
  </si>
  <si>
    <t>Soccer</t>
  </si>
  <si>
    <t>A favorite team sport for kids. KICK IT!</t>
  </si>
  <si>
    <t>jyyq</t>
  </si>
  <si>
    <t>Social Security</t>
  </si>
  <si>
    <t>American program designed to provide income and services in the event of retirement, sickness, disability, death or unemployment.</t>
  </si>
  <si>
    <t>vzgi</t>
  </si>
  <si>
    <t>Socks</t>
  </si>
  <si>
    <t>“Black socks, they never get dirty, the longer you wear them the stronger they get.” —Bill Harley</t>
  </si>
  <si>
    <t>tuea</t>
  </si>
  <si>
    <t>Soldiers</t>
  </si>
  <si>
    <t>Men and women who serve in the military.</t>
  </si>
  <si>
    <t>fzjk</t>
  </si>
  <si>
    <t>South Africa</t>
  </si>
  <si>
    <t>Two oceans, rugged mountains, traditional villages, game sanctuaries, wineries… forget the past and bring on the tourists.</t>
  </si>
  <si>
    <t>nikq</t>
  </si>
  <si>
    <t>South Park</t>
  </si>
  <si>
    <t>Highly-rated, highly offensive animated cartoon series. “Oh my God! We killed Kenny!”</t>
  </si>
  <si>
    <t>ltkp</t>
  </si>
  <si>
    <t>Soy Sauce</t>
  </si>
  <si>
    <t>A brewed seasoning made from soybeans, wheat, and salt.</t>
  </si>
  <si>
    <t>putz</t>
  </si>
  <si>
    <t>Space &amp; Time</t>
  </si>
  <si>
    <t>Infinite.</t>
  </si>
  <si>
    <t>yydu</t>
  </si>
  <si>
    <t>Spaghetti</t>
  </si>
  <si>
    <t>Looks like a plate of worms!</t>
  </si>
  <si>
    <t>tvqh</t>
  </si>
  <si>
    <t>Spam</t>
  </si>
  <si>
    <t>Mystery meat, or mystery E-mails…</t>
  </si>
  <si>
    <t>szdz</t>
  </si>
  <si>
    <t>Sparklers</t>
  </si>
  <si>
    <t>They'’e still fireworks!</t>
  </si>
  <si>
    <t>bjzp</t>
  </si>
  <si>
    <t>Speeding Tickets</t>
  </si>
  <si>
    <t>“No, officer, I don’t have any idea how fast I was going.”</t>
  </si>
  <si>
    <t>hzix</t>
  </si>
  <si>
    <t>Spelling Bees</t>
  </si>
  <si>
    <t>Spelling contests. They have nothing to do with bees.</t>
  </si>
  <si>
    <t>zuml</t>
  </si>
  <si>
    <t>Spider-Man</t>
  </si>
  <si>
    <t>He’s a student. He’s a superhuman crime fighter. He's Spider-Man!</t>
  </si>
  <si>
    <t>idgx</t>
  </si>
  <si>
    <t>Spiders</t>
  </si>
  <si>
    <t>There are more than 34,000 species of spiders. Try not to think about THAT right before bedtime.</t>
  </si>
  <si>
    <t>upmy</t>
  </si>
  <si>
    <t>They have eight legs and they spin webs to catch their food.</t>
  </si>
  <si>
    <t>oppl</t>
  </si>
  <si>
    <t>Spiders &amp; Snakes</t>
  </si>
  <si>
    <t>Creepy! Legs or no legs.</t>
  </si>
  <si>
    <t>soex</t>
  </si>
  <si>
    <t>Spike Lee</t>
  </si>
  <si>
    <t>1957-, American film maker and Knicks fan. Best known for Do the Right Thing, Malcolm X, and 4 Little Girls.</t>
  </si>
  <si>
    <t>temc</t>
  </si>
  <si>
    <t>Spilled Milk</t>
  </si>
  <si>
    <t>Got milk? WHOOPS! Apparently not…</t>
  </si>
  <si>
    <t>kyvc</t>
  </si>
  <si>
    <t>Spinach</t>
  </si>
  <si>
    <t>Raw or cooked- it’s full of vitamins.</t>
  </si>
  <si>
    <t>rehd</t>
  </si>
  <si>
    <t>Spit</t>
  </si>
  <si>
    <t>Ladies and gentlemen, straight from the Salivary Glands…</t>
  </si>
  <si>
    <t>ofyu</t>
  </si>
  <si>
    <t>Spit that gum out right now!</t>
  </si>
  <si>
    <t>enpj</t>
  </si>
  <si>
    <t>Spit &amp; Polish</t>
  </si>
  <si>
    <t>We could do with less spit and more polish.</t>
  </si>
  <si>
    <t>eebn</t>
  </si>
  <si>
    <t>Spontaneous Combustion</t>
  </si>
  <si>
    <t>The ignition of substances without application of an external heat source. A good plot for “The X-Files.”</t>
  </si>
  <si>
    <t>brtp</t>
  </si>
  <si>
    <t>Sport Utility Vehicles</t>
  </si>
  <si>
    <t>Need new tires?</t>
  </si>
  <si>
    <t>walf</t>
  </si>
  <si>
    <t>Sports Channels</t>
  </si>
  <si>
    <t>Any team, any time.</t>
  </si>
  <si>
    <t>oxvt</t>
  </si>
  <si>
    <t>Square Dancing</t>
  </si>
  <si>
    <t>“Swing your partner!”</t>
  </si>
  <si>
    <t>cuue</t>
  </si>
  <si>
    <t>Squirrels</t>
  </si>
  <si>
    <t>Small animals with big brown eyes and bushy tails. They like nuts and can run on telephone lines.</t>
  </si>
  <si>
    <t>soqu</t>
  </si>
  <si>
    <t>Stalactites &amp; Stalagmites</t>
  </si>
  <si>
    <t>The ups and downs of spelunking.</t>
  </si>
  <si>
    <t>vzne</t>
  </si>
  <si>
    <t>Stamp Collecting</t>
  </si>
  <si>
    <t>If you can't lick ’em, collect ’em.</t>
  </si>
  <si>
    <t>vsi{</t>
  </si>
  <si>
    <t>Stanley &amp; Livingston</t>
  </si>
  <si>
    <t>Britons who explored Africa, I presume.</t>
  </si>
  <si>
    <t>hnwc</t>
  </si>
  <si>
    <t>Star Fruit</t>
  </si>
  <si>
    <t>Looks like plastic, tastes like lemons.</t>
  </si>
  <si>
    <t>chts</t>
  </si>
  <si>
    <t>Starfish</t>
  </si>
  <si>
    <t>A star-shaped sea creature with five or more arms. If one breaks off, another arm will grow.</t>
  </si>
  <si>
    <t>{bhn</t>
  </si>
  <si>
    <t>Starry Night</t>
  </si>
  <si>
    <t>A sky bright with stars, a classic Van Gogh painting, and a Don McLean song. Three cards in one!</t>
  </si>
  <si>
    <t>nkqj</t>
  </si>
  <si>
    <t>Stars</t>
  </si>
  <si>
    <t>Points of sparkling light that you can see in the night sky. Make a wish!</t>
  </si>
  <si>
    <t>vsyh</t>
  </si>
  <si>
    <t>Stars &amp; Stripes</t>
  </si>
  <si>
    <t>Three cheers for the red, white, and blue!</t>
  </si>
  <si>
    <t>gubc</t>
  </si>
  <si>
    <t>State Fair</t>
  </si>
  <si>
    <t>Aw, gee whiz, a blue ribbon for Bessie!</t>
  </si>
  <si>
    <t>slrg</t>
  </si>
  <si>
    <t>Steak And Potatoes</t>
  </si>
  <si>
    <t>Hot off the grill!</t>
  </si>
  <si>
    <t>oebr</t>
  </si>
  <si>
    <t>Stephen King</t>
  </si>
  <si>
    <t>1947-, American author of horror novels, who's sold more than 100 million copies of his books. Talk about frightening…</t>
  </si>
  <si>
    <t>ziie</t>
  </si>
  <si>
    <t>Steve Martin</t>
  </si>
  <si>
    <t>1945-, American comedian, actor, writer, and “wild and crazy guy.”</t>
  </si>
  <si>
    <t>qfzo</t>
  </si>
  <si>
    <t>Steven Spielberg</t>
  </si>
  <si>
    <t>1947-, American movie director and producer, and overachiever. From “E.T.” to “Schindler’s List” …too many to list.</t>
  </si>
  <si>
    <t>yonz</t>
  </si>
  <si>
    <t>Sticks &amp; Stones</t>
  </si>
  <si>
    <t>When words are not enough.</t>
  </si>
  <si>
    <t>flky</t>
  </si>
  <si>
    <t>Stocks &amp; Bonds</t>
  </si>
  <si>
    <t>At least they'’e worth the paper they're printed on… We hope.</t>
  </si>
  <si>
    <t>onbm</t>
  </si>
  <si>
    <t>Stomach Ache</t>
  </si>
  <si>
    <t>You ate the whole thing?</t>
  </si>
  <si>
    <t>cfeg</t>
  </si>
  <si>
    <t>Stonehenge</t>
  </si>
  <si>
    <t>Prehistoric stone monument located north of Salisbury, England.</t>
  </si>
  <si>
    <t>uhxq</t>
  </si>
  <si>
    <t>Stop Signs</t>
  </si>
  <si>
    <t>Gee, Officer, I THOUGHT it was green!</t>
  </si>
  <si>
    <t>iilb</t>
  </si>
  <si>
    <t>Strained Peas</t>
  </si>
  <si>
    <t>The strain comes when you have to eat them.</t>
  </si>
  <si>
    <t>yydp</t>
  </si>
  <si>
    <t>Strawberries</t>
  </si>
  <si>
    <t>Strawberry shortcake!</t>
  </si>
  <si>
    <t>wgic</t>
  </si>
  <si>
    <t>Strawberry Shortcake</t>
  </si>
  <si>
    <t>Summertime and the eating is easy…</t>
  </si>
  <si>
    <t>trfh</t>
  </si>
  <si>
    <t>Street Mimes</t>
  </si>
  <si>
    <t>A mime is a terrible thing to waste. On second thought…</t>
  </si>
  <si>
    <t>xjsz</t>
  </si>
  <si>
    <t>Stretch Limos</t>
  </si>
  <si>
    <t>Stretch your legs, stretch your wallet.</t>
  </si>
  <si>
    <t>iquh</t>
  </si>
  <si>
    <t>Strip Malls</t>
  </si>
  <si>
    <t>Almost as attractive as stip mines.</t>
  </si>
  <si>
    <t>jhos</t>
  </si>
  <si>
    <t>Stuart Little</t>
  </si>
  <si>
    <t>A clever little mouse who is a character in a book and a movie.</t>
  </si>
  <si>
    <t>hv{f</t>
  </si>
  <si>
    <t>Stubbed Toes</t>
  </si>
  <si>
    <t>It’ll feel better when it quits hurting.</t>
  </si>
  <si>
    <t>sbdc</t>
  </si>
  <si>
    <t>Stunt People</t>
  </si>
  <si>
    <t>When you need someone to take the fall.</t>
  </si>
  <si>
    <t>ipe{</t>
  </si>
  <si>
    <t>Substitute Teachers</t>
  </si>
  <si>
    <t>“Ms. Jones lets us eat candy and get drinks whenever we want!”</t>
  </si>
  <si>
    <t>fpwu</t>
  </si>
  <si>
    <t>Sugar</t>
  </si>
  <si>
    <t>“Sugar is sweet and so are you.”</t>
  </si>
  <si>
    <t>hogi</t>
  </si>
  <si>
    <t>Sugar &amp; Spice</t>
  </si>
  <si>
    <t>And everything nice.</t>
  </si>
  <si>
    <t>llwf</t>
  </si>
  <si>
    <t>Suit &amp; Tie</t>
  </si>
  <si>
    <t>It’s business as usual!</t>
  </si>
  <si>
    <t>uazq</t>
  </si>
  <si>
    <t>Summer</t>
  </si>
  <si>
    <t>SCHOOL'S OUT!</t>
  </si>
  <si>
    <t>bc{f</t>
  </si>
  <si>
    <t>Summer Camp</t>
  </si>
  <si>
    <t>Day camps and sleepover camps. Either way, you’ll have lots of fun.</t>
  </si>
  <si>
    <t>bayl</t>
  </si>
  <si>
    <t>If the bugs don’t get you, the poison ivy will!</t>
  </si>
  <si>
    <t>svxm</t>
  </si>
  <si>
    <t>Sumo Wrestlers</t>
  </si>
  <si>
    <t>Wrestlers usually weigh 300-400 pounds and win this Japanese form of wrestling by forcing an opponent out of the ring.</t>
  </si>
  <si>
    <t>nalo</t>
  </si>
  <si>
    <t>Sunburns</t>
  </si>
  <si>
    <t>Next time, use some sunscreen.</t>
  </si>
  <si>
    <t>nrso</t>
  </si>
  <si>
    <t>Sunday Drivers</t>
  </si>
  <si>
    <t>Now available ANY day of the week!</t>
  </si>
  <si>
    <t>wedg</t>
  </si>
  <si>
    <t>Sunflower</t>
  </si>
  <si>
    <t>Tall plants with large, yellow flowers. Toast the seeds for a tasty snack.</t>
  </si>
  <si>
    <t>ohhz</t>
  </si>
  <si>
    <t>Sunken Ships</t>
  </si>
  <si>
    <t>Early ships would often sink in battles or bad weather.</t>
  </si>
  <si>
    <t>nihj</t>
  </si>
  <si>
    <t>Sunshine</t>
  </si>
  <si>
    <t>Warms the Earth and helps plants to grow.</t>
  </si>
  <si>
    <t>bbbl</t>
  </si>
  <si>
    <t>Superman</t>
  </si>
  <si>
    <t>Fictional comic book superhero loved by Lois Lane and Jerry Seinfeld.</t>
  </si>
  <si>
    <t>bblb</t>
  </si>
  <si>
    <t>Faster than a speeding bullet!</t>
  </si>
  <si>
    <t>eoun</t>
  </si>
  <si>
    <t>Supermarkets</t>
  </si>
  <si>
    <t>It’s a meat market, bakery, flower shop, and toy store- all in one!</t>
  </si>
  <si>
    <t>mdey</t>
  </si>
  <si>
    <t>Supermodels</t>
  </si>
  <si>
    <t>Long legs = big bucks.</t>
  </si>
  <si>
    <t>vsfc</t>
  </si>
  <si>
    <t>Surf &amp; Turf</t>
  </si>
  <si>
    <t>Steak and lobster. No need to choose.</t>
  </si>
  <si>
    <t>cgzx</t>
  </si>
  <si>
    <t>Surfing</t>
  </si>
  <si>
    <t>The waves or the web.</t>
  </si>
  <si>
    <t>wpwq</t>
  </si>
  <si>
    <t>Surfing The Net</t>
  </si>
  <si>
    <t>www.otb-games.com</t>
  </si>
  <si>
    <t>xgzw</t>
  </si>
  <si>
    <t>Surprise Parties</t>
  </si>
  <si>
    <t>SURPRISE! Oh. He had a heart condition… that WAS a surprise…</t>
  </si>
  <si>
    <t>ldrv</t>
  </si>
  <si>
    <t>Everybody hide!</t>
  </si>
  <si>
    <t>tyqa</t>
  </si>
  <si>
    <t>Sushi</t>
  </si>
  <si>
    <t>Who would ever have guessed that raw fish could be so fashionable?</t>
  </si>
  <si>
    <t>bfuf</t>
  </si>
  <si>
    <t>Swamps</t>
  </si>
  <si>
    <t>Wet, spongy land, often covered with water. A great place to live- if you’re a mosquito.</t>
  </si>
  <si>
    <t>bdmp</t>
  </si>
  <si>
    <t>Swans</t>
  </si>
  <si>
    <t>The “Ugly Duckling” was actually a baby swan.</t>
  </si>
  <si>
    <t>zljz</t>
  </si>
  <si>
    <t>Swimming</t>
  </si>
  <si>
    <t>A great way to cool down on a hot summer day!</t>
  </si>
  <si>
    <t>iwue</t>
  </si>
  <si>
    <t>Swiss Bank Accounts</t>
  </si>
  <si>
    <t>Do you think everyone in Switzerland has one?</t>
  </si>
  <si>
    <t>vcse</t>
  </si>
  <si>
    <t>Swiss Cheese</t>
  </si>
  <si>
    <t>Guess it comes from holey cows…</t>
  </si>
  <si>
    <t>cibt</t>
  </si>
  <si>
    <t>Swiss Chocolate</t>
  </si>
  <si>
    <t>“What use are cartridges in battle? I always carry chocolate instead.” —George Bernard Shaw</t>
  </si>
  <si>
    <t>rbkk</t>
  </si>
  <si>
    <t>Swordfighting</t>
  </si>
  <si>
    <t>As a sport, sword fighting is called “Fencing.” It is an Olympic event.</t>
  </si>
  <si>
    <t>cnvp</t>
  </si>
  <si>
    <t>Tacos</t>
  </si>
  <si>
    <t>Meat, cheese, and hot sauce all wrapped up in a tortilla.</t>
  </si>
  <si>
    <t>mgqo</t>
  </si>
  <si>
    <t>Taking A Bath</t>
  </si>
  <si>
    <t>Bathing facilities have been found in excavations in India from before 2000 BC. Soap-on-a-Rope hasn’t.</t>
  </si>
  <si>
    <t>ouwe</t>
  </si>
  <si>
    <t>Don’t Forget the bubbles and toys.</t>
  </si>
  <si>
    <t>tzfo</t>
  </si>
  <si>
    <t>Taking A Shower</t>
  </si>
  <si>
    <t>That’ll wake you up.</t>
  </si>
  <si>
    <t>wudv</t>
  </si>
  <si>
    <t>Talk Radio</t>
  </si>
  <si>
    <t>Talk about air pollution.</t>
  </si>
  <si>
    <t>mzxe</t>
  </si>
  <si>
    <t>Tarred &amp; Feathered</t>
  </si>
  <si>
    <t>It’s a sticky situation.</t>
  </si>
  <si>
    <t>hqsd</t>
  </si>
  <si>
    <t>Tarzan &amp; Jane</t>
  </si>
  <si>
    <t>He went ape over her.</t>
  </si>
  <si>
    <t>jyme</t>
  </si>
  <si>
    <t>Tattoo Parlors</t>
  </si>
  <si>
    <t>“With nothing to show but this brand new tattoo… how I got it here I haven't a clue.” —Jimmy Buffett</t>
  </si>
  <si>
    <t>nuvx</t>
  </si>
  <si>
    <t>Tattoos</t>
  </si>
  <si>
    <t>Tattoos can be painful. Temporary tatoos don’t hurt at all.</t>
  </si>
  <si>
    <t>jozd</t>
  </si>
  <si>
    <t>Tea &amp; Crumpets</t>
  </si>
  <si>
    <t>Upper-crust toast &amp; jelly.</t>
  </si>
  <si>
    <t>svni</t>
  </si>
  <si>
    <t>Teachers</t>
  </si>
  <si>
    <t>“What do you mean, you didn’t know there was a test today?”</t>
  </si>
  <si>
    <t>ec{p</t>
  </si>
  <si>
    <t>If you can play this game, thank a teacher.</t>
  </si>
  <si>
    <t>vmrs</t>
  </si>
  <si>
    <t>Teenagers</t>
  </si>
  <si>
    <t>Ages thirteen to nineteen.</t>
  </si>
  <si>
    <t>kdce</t>
  </si>
  <si>
    <t>Teeth</t>
  </si>
  <si>
    <t>Adults have 32 permanent teeth.</t>
  </si>
  <si>
    <t>jcsy</t>
  </si>
  <si>
    <t>Telemarketers</t>
  </si>
  <si>
    <t>“No, thank you… No, I’m not interested… No, I have to go now…”</t>
  </si>
  <si>
    <t>gzjp</t>
  </si>
  <si>
    <t>Teletubbies</t>
  </si>
  <si>
    <t>Colorful characters with televisions in their stomachs. Tinky Winky is purple.</t>
  </si>
  <si>
    <t>ifin</t>
  </si>
  <si>
    <t>Televangelists</t>
  </si>
  <si>
    <t>Not to be confused with Teletubbies.</t>
  </si>
  <si>
    <t>zoky</t>
  </si>
  <si>
    <t>Television</t>
  </si>
  <si>
    <t>One-hundred and sixty-four channels, and nothing worth watching.</t>
  </si>
  <si>
    <t>wzcp</t>
  </si>
  <si>
    <t>If you get your homework done…</t>
  </si>
  <si>
    <t>znfr</t>
  </si>
  <si>
    <t>Telling Scary Stories</t>
  </si>
  <si>
    <t>“It was a dark and stormy night…”</t>
  </si>
  <si>
    <t>ddkv</t>
  </si>
  <si>
    <t>Telling The Truth</t>
  </si>
  <si>
    <t>“There are two kinds of truth. There are real truths and there are made-up truths.” —Marion Barry, ex-mayor of Washington, D.C.</t>
  </si>
  <si>
    <t>leky</t>
  </si>
  <si>
    <t>Tents</t>
  </si>
  <si>
    <t>A pup tent will hold one or two people, but a circus tent can hold hundreds.</t>
  </si>
  <si>
    <t>kxll</t>
  </si>
  <si>
    <t>Terrorist Attack</t>
  </si>
  <si>
    <t>We will never negotiate with terrorists.</t>
  </si>
  <si>
    <t>lqoi</t>
  </si>
  <si>
    <t>Texas</t>
  </si>
  <si>
    <t>Famous for oil wells, barbecues, and cowboys. The capital of Texas is Austin.</t>
  </si>
  <si>
    <t>gnmi</t>
  </si>
  <si>
    <t>Thanksgiving Day</t>
  </si>
  <si>
    <t>The fourth Thursday of November in the U.S.; the second Monday in October in Canada.</t>
  </si>
  <si>
    <t>drjl</t>
  </si>
  <si>
    <t>A harvest festival celebrated on the fourth Thursday in November in the U.S.</t>
  </si>
  <si>
    <t>hsrt</t>
  </si>
  <si>
    <t>The 1920s</t>
  </si>
  <si>
    <t>Pros: the Jazz Age. Cons: Presidents who look like librarians.</t>
  </si>
  <si>
    <t>otvj</t>
  </si>
  <si>
    <t>The 1950s</t>
  </si>
  <si>
    <t>Pros: Barbies, barbecues, and bikinis. Cons: McCarthy, the Korean War, television.</t>
  </si>
  <si>
    <t>o{ya</t>
  </si>
  <si>
    <t>The 1960s</t>
  </si>
  <si>
    <t>Pros: the Moon Lsnding, the music. Cons: hippies who refuse to believe they’re over.</t>
  </si>
  <si>
    <t>xesf</t>
  </si>
  <si>
    <t>The 1970s</t>
  </si>
  <si>
    <t>Pros… uh… pros… uh… GIVE US A MINUTE, OKAY?</t>
  </si>
  <si>
    <t>bzxe</t>
  </si>
  <si>
    <t>The 1980s</t>
  </si>
  <si>
    <t>Pros: meant the end of the 1970s. Cons: ’80s nostalgia.</t>
  </si>
  <si>
    <t>oxoi</t>
  </si>
  <si>
    <t>The 1990s</t>
  </si>
  <si>
    <t>Dot-coms, Clinton and designer coffee. The good old days.</t>
  </si>
  <si>
    <t>grwu</t>
  </si>
  <si>
    <t>The 21st Century</t>
  </si>
  <si>
    <t>The future is NOW!</t>
  </si>
  <si>
    <t>hvty</t>
  </si>
  <si>
    <t>The Academy Awards</t>
  </si>
  <si>
    <t>The statue known as “Oscar” weighs only eight and a half pounds. So why does it carry so much weight?</t>
  </si>
  <si>
    <t>wtbf</t>
  </si>
  <si>
    <t>The Atlantic &amp; Pacific</t>
  </si>
  <si>
    <t>Oceans apart.</t>
  </si>
  <si>
    <t>xwc{</t>
  </si>
  <si>
    <t>The Baby-Sitters Club</t>
  </si>
  <si>
    <t>This series of books, written by Ann M. Martin, is a favorite of girls, world-wide.</t>
  </si>
  <si>
    <t>gbwu</t>
  </si>
  <si>
    <t>The Beach</t>
  </si>
  <si>
    <t>A day at the beach is no day at the beach, ya know?</t>
  </si>
  <si>
    <t>sczr</t>
  </si>
  <si>
    <t>Sun, surf, and sand.</t>
  </si>
  <si>
    <t>The Beatles</t>
  </si>
  <si>
    <t>1960s British band. Only the most revolutionary, influential and universally acclaimed group of the 20th century. That's all.</t>
  </si>
  <si>
    <t>tvc{</t>
  </si>
  <si>
    <t>The Big Dipper</t>
  </si>
  <si>
    <t>Group of stars in the Northern sky that form part of the constellation Ursa Major.</t>
  </si>
  <si>
    <t>sbrj</t>
  </si>
  <si>
    <t>The Birds &amp; The Bees</t>
  </si>
  <si>
    <t>We’ll tell you about them sometime.</t>
  </si>
  <si>
    <t>ckac</t>
  </si>
  <si>
    <t>The Chicken &amp; The Egg</t>
  </si>
  <si>
    <t>Which came first? The egg. Look it up!</t>
  </si>
  <si>
    <t>ykas</t>
  </si>
  <si>
    <t>The Chicken Dance</t>
  </si>
  <si>
    <t>You put your hands in your armpits…</t>
  </si>
  <si>
    <t>yxlm</t>
  </si>
  <si>
    <t>The CIA</t>
  </si>
  <si>
    <t>The Central Intelligence Agency is responsible for keeping the U.S. government informed of foreign actions affecting the nation’s interest.</t>
  </si>
  <si>
    <t>osud</t>
  </si>
  <si>
    <t>The Circus</t>
  </si>
  <si>
    <t>A show featuring trained animals, clowns and acrobats.</t>
  </si>
  <si>
    <t>mgbg</t>
  </si>
  <si>
    <t>The Cold War</t>
  </si>
  <si>
    <t>The post-World War II struggle between the US and its allies, and the former USSR and its allies. Things could have gotten hot.</t>
  </si>
  <si>
    <t>wypy</t>
  </si>
  <si>
    <t>The Common Loon</t>
  </si>
  <si>
    <t>A spotted, red-eyed diving birdor various friends or family.</t>
  </si>
  <si>
    <t>kksu</t>
  </si>
  <si>
    <t>The Dalai Lama</t>
  </si>
  <si>
    <t>Title of the leader of Tibetan Buddhism, in exile since 1959. Hello, Dalai!</t>
  </si>
  <si>
    <t>oycd</t>
  </si>
  <si>
    <t>The Dallas Cowboys</t>
  </si>
  <si>
    <t>National Football League team known for their cheerleaders and their performance, both on and off the field.</t>
  </si>
  <si>
    <t>dgqt</t>
  </si>
  <si>
    <t>The Dixie Chicks</t>
  </si>
  <si>
    <t>Female country and western band with pop leanings. Winners of multiple Country Music Association awards. Goodbye, Earl!</t>
  </si>
  <si>
    <t>onlm</t>
  </si>
  <si>
    <t>The Dump</t>
  </si>
  <si>
    <t>Just remember to recycle.</t>
  </si>
  <si>
    <t>c{ml</t>
  </si>
  <si>
    <t>The Earth</t>
  </si>
  <si>
    <t>Third planet from the sun. Home to Earthlings.</t>
  </si>
  <si>
    <t>wade</t>
  </si>
  <si>
    <t>The Eiffel Tower</t>
  </si>
  <si>
    <t>Designed and built by French engineer Alexandre Gustave Eiffel for the Paris World's Fair of 1889.</t>
  </si>
  <si>
    <t>szmh</t>
  </si>
  <si>
    <t>The Electric Chair</t>
  </si>
  <si>
    <t>In U.S. prisons, an alternating current of about 2000 volts is used for electrocution.</t>
  </si>
  <si>
    <t>rljo</t>
  </si>
  <si>
    <t>The End Of The World</t>
  </si>
  <si>
    <t>“It's the end of the world as we know it, and I feel fine…” —REM</t>
  </si>
  <si>
    <t>lmkw</t>
  </si>
  <si>
    <t>The Everglades</t>
  </si>
  <si>
    <t>A vast marsh covering much of southern Florida. Watch out for alligators!</t>
  </si>
  <si>
    <t>efwr</t>
  </si>
  <si>
    <t>The Far Left</t>
  </si>
  <si>
    <t>They get high Marx from some.</t>
  </si>
  <si>
    <t>wejd</t>
  </si>
  <si>
    <t>The Far Right</t>
  </si>
  <si>
    <t>Far right for some and far wrong for others.</t>
  </si>
  <si>
    <t>tjtf</t>
  </si>
  <si>
    <t>The FBI</t>
  </si>
  <si>
    <t>The Federal Bureau of Investigation: the investigative agency for the U.S. Department of Justice. They’re listening…</t>
  </si>
  <si>
    <t>ckjq</t>
  </si>
  <si>
    <t>The First Day Of School</t>
  </si>
  <si>
    <t>Get your backpack, your lunch, and get going!</t>
  </si>
  <si>
    <t>typi</t>
  </si>
  <si>
    <t>“Fear has many eyes.” —Cervantes</t>
  </si>
  <si>
    <t>qsxo</t>
  </si>
  <si>
    <t>The French Riviera</t>
  </si>
  <si>
    <t>Holiday home of the rich, the famous, and the half-naked.</t>
  </si>
  <si>
    <t>coad</t>
  </si>
  <si>
    <t>The Godfather</t>
  </si>
  <si>
    <t>The 1972 critically acclaimed Mafia movie that made us as offer we couldn't refuse.</t>
  </si>
  <si>
    <t>piuh</t>
  </si>
  <si>
    <t>The Grand Canyon</t>
  </si>
  <si>
    <t>217 miles long, 4 to 18 miles wide, and more than 1 mile deeps. Now THAT'S grand.</t>
  </si>
  <si>
    <t>vimi</t>
  </si>
  <si>
    <t>The Grateful Dead</t>
  </si>
  <si>
    <t>American rock band, founded in 1965 and best known for their “Dead Head” fans.</t>
  </si>
  <si>
    <t>wokz</t>
  </si>
  <si>
    <t>The Graveyard Shift</t>
  </si>
  <si>
    <t>It WILL be the death of me…</t>
  </si>
  <si>
    <t>h{ru</t>
  </si>
  <si>
    <t>The Great Barrier Reef</t>
  </si>
  <si>
    <t>Coral reefs, shoals and islets off the northern coast of Australia. Scuba heaven.</t>
  </si>
  <si>
    <t>yepq</t>
  </si>
  <si>
    <t>The Great Chicago Fire</t>
  </si>
  <si>
    <t>The noteworthy fire of 1871… a hot time in the old town…</t>
  </si>
  <si>
    <t>q{ok</t>
  </si>
  <si>
    <t>The Great Depression</t>
  </si>
  <si>
    <t>Prozac was invented six decades too late.</t>
  </si>
  <si>
    <t>xdfz</t>
  </si>
  <si>
    <t>The Great Wall Of China</t>
  </si>
  <si>
    <t>A 1500 mile long wall across northern China. Built for fortification but better for tourism.</t>
  </si>
  <si>
    <t>qcze</t>
  </si>
  <si>
    <t>The Green Bay Packers</t>
  </si>
  <si>
    <t>Twelve time National Football League world champions, beloved by “Cheeseheads” everywhere. Are those brats done yet?</t>
  </si>
  <si>
    <t>gxe{</t>
  </si>
  <si>
    <t>The Gulf War</t>
  </si>
  <si>
    <t>JanuaryFebruary, 1991. This six week conflict with Iraq was also known as “Desert Storm.”</t>
  </si>
  <si>
    <t>cozo</t>
  </si>
  <si>
    <t>The Ice Age</t>
  </si>
  <si>
    <t>Polarity analysis of deep-sea sediment suggests the Pleistocene age began more than 1.8 million years ago. Bla-bla-bla.</t>
  </si>
  <si>
    <t>legg</t>
  </si>
  <si>
    <t>The Indy 500</t>
  </si>
  <si>
    <t>Contestants must drive the full 500 miles. Bathroom breaks ARE allowed.</t>
  </si>
  <si>
    <t>mvhw</t>
  </si>
  <si>
    <t>The Internet</t>
  </si>
  <si>
    <t>Computer-based worldwide information network, and global shopping market.</t>
  </si>
  <si>
    <t>iluo</t>
  </si>
  <si>
    <t>The IRS</t>
  </si>
  <si>
    <t>The Internal Revenue Service: agency of the U.S. Department of the Treasury responsible for collecting taxes. A human audity.</t>
  </si>
  <si>
    <t>hcym</t>
  </si>
  <si>
    <t>The JFK Assassination</t>
  </si>
  <si>
    <t>November 22, 1963. The funeral of President Kennedy was watched on television by millions around the world.</t>
  </si>
  <si>
    <t>uwna</t>
  </si>
  <si>
    <t>The Judge</t>
  </si>
  <si>
    <t>Smile when you play this card.</t>
  </si>
  <si>
    <t>myds</t>
  </si>
  <si>
    <t>The KKK</t>
  </si>
  <si>
    <t>IF they're supposed to be the master race, why do they keep misspelling “Clan”?</t>
  </si>
  <si>
    <t>hvfr</t>
  </si>
  <si>
    <t>The Land Of Oz</t>
  </si>
  <si>
    <t>“Toto, I’ve a feeling we're not in Kansas anymore.” —Dorothy, “The Wizard Of Oz”</t>
  </si>
  <si>
    <t>ckrq</t>
  </si>
  <si>
    <t>The Last Day Of School</t>
  </si>
  <si>
    <t>Almost as good as a birthday!</t>
  </si>
  <si>
    <t>fgax</t>
  </si>
  <si>
    <t>The Library</t>
  </si>
  <si>
    <t>Books, magazines, newspapers, tapes, and computers. SHHHH!</t>
  </si>
  <si>
    <t>lgbw</t>
  </si>
  <si>
    <t>The Little Mermaid</t>
  </si>
  <si>
    <t>The 1837 story by Hans Christian Anderson or the 1989 animated film by Disney. Guess which made more money?</t>
  </si>
  <si>
    <t>dvtk</t>
  </si>
  <si>
    <t>A character in a folktale who gave up her home under the sea so that she could live on land.</t>
  </si>
  <si>
    <t>ynhg</t>
  </si>
  <si>
    <t>The Lunchroom</t>
  </si>
  <si>
    <t>What's for lunch?</t>
  </si>
  <si>
    <t>o{{y</t>
  </si>
  <si>
    <t>The Mafia</t>
  </si>
  <si>
    <t>A loose association of criminal groups, bound by a blood oath and sworn to secrecy. Of course, now we have to kill you.</t>
  </si>
  <si>
    <t>jhte</t>
  </si>
  <si>
    <t>The Mall</t>
  </si>
  <si>
    <t>Great place to shop and meet friends.</t>
  </si>
  <si>
    <t>hmoe</t>
  </si>
  <si>
    <t>The Marx Brothers</t>
  </si>
  <si>
    <t>Chico, Groucho, Harpo, amd sometimes Zeppo. Their 1930s films include Duck Soup and Animal Crackers.</t>
  </si>
  <si>
    <t>wkqp</t>
  </si>
  <si>
    <t>The Metric System</t>
  </si>
  <si>
    <t>No, thank you. We like our inches and feet!</t>
  </si>
  <si>
    <t>dze{</t>
  </si>
  <si>
    <t>The Midwest</t>
  </si>
  <si>
    <t>America’s central plains states. They’re not like folks ’round here…</t>
  </si>
  <si>
    <t>gvmh</t>
  </si>
  <si>
    <t>The Milky Way</t>
  </si>
  <si>
    <t>The galaxy that includes the sun, its solar system, and a chewy layer of caramel.</t>
  </si>
  <si>
    <t>ffai</t>
  </si>
  <si>
    <t>The Mississippi River</t>
  </si>
  <si>
    <t>The Algonquin words “Misi sipi” mean “big river.” What's Algonquin for “muddy”?</t>
  </si>
  <si>
    <t>jlxo</t>
  </si>
  <si>
    <t>The Moon</t>
  </si>
  <si>
    <t>There’s a new moon and there’s a full moon, and sometimes there’s a man in the moon.</t>
  </si>
  <si>
    <t>yf{q</t>
  </si>
  <si>
    <t>The Mounties</t>
  </si>
  <si>
    <t>The Royal Canadian Mounted Police. They always get their man.</t>
  </si>
  <si>
    <t>ppnz</t>
  </si>
  <si>
    <t>The National Enquirer</t>
  </si>
  <si>
    <t>American tabloid newspaper. Inquiring minds want to know… Why the heck does this thing sell?</t>
  </si>
  <si>
    <t>xdyv</t>
  </si>
  <si>
    <t>The New York Yankees</t>
  </si>
  <si>
    <t>Legendary American baseball team. With so much success, it's obvious why they’re reviled.</t>
  </si>
  <si>
    <t>ozoi</t>
  </si>
  <si>
    <t>The North Pole</t>
  </si>
  <si>
    <t>Things can only go south from here…</t>
  </si>
  <si>
    <t>vdc{</t>
  </si>
  <si>
    <t>The NRA</t>
  </si>
  <si>
    <t>National Rifle Association. They’re gunning for your vote.</t>
  </si>
  <si>
    <t>yluc</t>
  </si>
  <si>
    <t>The Ocean</t>
  </si>
  <si>
    <t>How deep is the ocean? 12,000 feet. If they’d known that, maybe they wouldn’t have written that stupid song.</t>
  </si>
  <si>
    <t>mojg</t>
  </si>
  <si>
    <t>Almost three-fourths of the Earth’s surface is covered by the four oceans.</t>
  </si>
  <si>
    <t>mlog</t>
  </si>
  <si>
    <t>The Old Man And The Sea</t>
  </si>
  <si>
    <t>Ernest Hemingway’s classic novel fishing, hunger, fishing, torment, fishing, personal loss… fishing…</t>
  </si>
  <si>
    <t>gzon</t>
  </si>
  <si>
    <t>The Olympics</t>
  </si>
  <si>
    <t>An international athletic competition held every four years. The thrill of victors and the agony of defeat.</t>
  </si>
  <si>
    <t>gdwv</t>
  </si>
  <si>
    <t>The Opera</t>
  </si>
  <si>
    <t>It ain’t over ’til the fat lady sings. Unfortunately, sometimes, not even then.</t>
  </si>
  <si>
    <t>qtjm</t>
  </si>
  <si>
    <t>The Ozone Layer</t>
  </si>
  <si>
    <t>Short for ozonosphere. Theories about the ozone layer are full of holes.</t>
  </si>
  <si>
    <t>hseb</t>
  </si>
  <si>
    <t>The Pentagon</t>
  </si>
  <si>
    <t>The five-sided home of the U.S. Department of Defense.</t>
  </si>
  <si>
    <t>{vkj</t>
  </si>
  <si>
    <t>The Police</t>
  </si>
  <si>
    <t>They keep order and arrest those who break the law.</t>
  </si>
  <si>
    <t>bxun</t>
  </si>
  <si>
    <t>The President</t>
  </si>
  <si>
    <t>A U.S. president must be at least 35 years old and a natural born citizen.</t>
  </si>
  <si>
    <t>gcqv</t>
  </si>
  <si>
    <t>The Princess &amp; The Pea</t>
  </si>
  <si>
    <t>The true test of a princess, fairy tale or otherwise.</t>
  </si>
  <si>
    <t>wfeb</t>
  </si>
  <si>
    <t>The Pyramids</t>
  </si>
  <si>
    <t>The Egyptian pyramids were built from about 2700 BC to about 1000 BC. Tut, tut, tut…</t>
  </si>
  <si>
    <t>ibcu</t>
  </si>
  <si>
    <t>The Renaissance</t>
  </si>
  <si>
    <t>Beginning in the 1300s, started in Italy and spread across Europe. Kind of like Espresso bars…</t>
  </si>
  <si>
    <t>rlpz</t>
  </si>
  <si>
    <t>The Rolling Stones</t>
  </si>
  <si>
    <t>British “bad boy” rock band formed in 1962. Still touring?</t>
  </si>
  <si>
    <t>roqb</t>
  </si>
  <si>
    <t>The San Andreas Fault</t>
  </si>
  <si>
    <t>Geological feature in California stretching 600 miles. Like the state doesn’t have enough faults already.</t>
  </si>
  <si>
    <t>kwjy</t>
  </si>
  <si>
    <t>The Scarlet Letter</t>
  </si>
  <si>
    <t>Hawthorne’s 1845 novel about Puritan New England, moral conflicts, guilt, and down-right nastiness. (It was an “A”.)</t>
  </si>
  <si>
    <t>dqci</t>
  </si>
  <si>
    <t>The South</t>
  </si>
  <si>
    <t>Dixie: South of the Mason-Dixon line that is. They’re not like folks ’round here…</t>
  </si>
  <si>
    <t>bsha</t>
  </si>
  <si>
    <t>The Statue Of Liberty</t>
  </si>
  <si>
    <t>“Give me your tired, your poor / Your huddled masses yearning to breathe free…” —Emma Lazarus</t>
  </si>
  <si>
    <t>py{n</t>
  </si>
  <si>
    <t>“Lady Liberty” was a gift to the U.S. from the people of France.</t>
  </si>
  <si>
    <t>xxud</t>
  </si>
  <si>
    <t>The Super Bowl</t>
  </si>
  <si>
    <t>Who needs another national holiday?</t>
  </si>
  <si>
    <t>uiju</t>
  </si>
  <si>
    <t>The Supreme Court</t>
  </si>
  <si>
    <t>The highest court in the United States. Robes, but no wigs.</t>
  </si>
  <si>
    <t>mmvv</t>
  </si>
  <si>
    <t>The Symphony</t>
  </si>
  <si>
    <t>It’s music to our ears.</t>
  </si>
  <si>
    <t>cfel</t>
  </si>
  <si>
    <t>The Three Stooges</t>
  </si>
  <si>
    <t>Nyuk, nyuk, nyuk. A wiseguy, eh?</t>
  </si>
  <si>
    <t>hx{c</t>
  </si>
  <si>
    <t>The Three Tenors</t>
  </si>
  <si>
    <t>Opera stars Placido Domingo, Jose Carreras, and Luciano Pavarotti began recording as The Three Tenors in 1990.</t>
  </si>
  <si>
    <t>pceb</t>
  </si>
  <si>
    <t>The Titanic</t>
  </si>
  <si>
    <t>It sank in 1912. Get over it!</t>
  </si>
  <si>
    <t>nckm</t>
  </si>
  <si>
    <t>The U.S. Constitution</t>
  </si>
  <si>
    <t>We the people…</t>
  </si>
  <si>
    <t>lljc</t>
  </si>
  <si>
    <t>The Universe</t>
  </si>
  <si>
    <t>Everything. The big “It.” Huge. Massive. THAT big.</t>
  </si>
  <si>
    <t>ygch</t>
  </si>
  <si>
    <t>The Vatican</t>
  </si>
  <si>
    <t>The Papal State in the middle of Rome. Home of the Pope, Swiss Guards, and lots of pigeons.</t>
  </si>
  <si>
    <t>{pqu</t>
  </si>
  <si>
    <t>The Vietnam Memorial</t>
  </si>
  <si>
    <t>“The Wall,” built in 1982, was designed by 21-year-old architecture student, Maya Lin.</t>
  </si>
  <si>
    <t>hnwy</t>
  </si>
  <si>
    <t>The Williams Sisters</t>
  </si>
  <si>
    <t>Venus, 1980-, and Serena, 1981-, Williams, American tennis champs. One heck of a sister act.</t>
  </si>
  <si>
    <t>hgxj</t>
  </si>
  <si>
    <t>The Wright Brothers</t>
  </si>
  <si>
    <t>In 1903, Wilbur and Orville made the first powered airplane flights in history. Although there were delays at the airport.</t>
  </si>
  <si>
    <t>cvws</t>
  </si>
  <si>
    <t>The YMCA</t>
  </si>
  <si>
    <t>The Young Men’s Christian Association has 30 million members in 110 countries. “It’s fun to stay at the Y-M-C-A.” —The Village Peopl</t>
  </si>
  <si>
    <t>uhnx</t>
  </si>
  <si>
    <t>The Young &amp; The Restless</t>
  </si>
  <si>
    <t>Launched in 1973, this soap opera isn’t young, but it’s still restless.</t>
  </si>
  <si>
    <t>yhis</t>
  </si>
  <si>
    <t>The Zoo</t>
  </si>
  <si>
    <t>“Oh! Lions and tigers and bears. Oh my.”</t>
  </si>
  <si>
    <t>jmuc</t>
  </si>
  <si>
    <t>Thelma &amp; Louise</t>
  </si>
  <si>
    <t>1991 Ridley Scott film starring Susan Sarandon and Geena Davis as two over-the-edge women.</t>
  </si>
  <si>
    <t>qird</t>
  </si>
  <si>
    <t>Thomas Edison</t>
  </si>
  <si>
    <t>1847-1931, American inventor, developed a light bulb, generator, sound-recorder, and motion picture projector. Show off.</t>
  </si>
  <si>
    <t>pccw</t>
  </si>
  <si>
    <t>Three Men &amp; A Baby</t>
  </si>
  <si>
    <t>The 1987 comedy film. You do the math.</t>
  </si>
  <si>
    <t>cwvv</t>
  </si>
  <si>
    <t>Throwing Rocks</t>
  </si>
  <si>
    <t>Be careful so that you don't break any windows.</t>
  </si>
  <si>
    <t>rjps</t>
  </si>
  <si>
    <t>Throwing Up</t>
  </si>
  <si>
    <t>It’s proof that you really are sick.</t>
  </si>
  <si>
    <t>sxqk</t>
  </si>
  <si>
    <t>Thunder</t>
  </si>
  <si>
    <t>A booming sound wave created by the heat from lightning.</t>
  </si>
  <si>
    <t>qpvz</t>
  </si>
  <si>
    <t>“Here it comes again, Thunder and Lightning…” —ELO.</t>
  </si>
  <si>
    <t>pzjg</t>
  </si>
  <si>
    <t>Thunder &amp; Lightning</t>
  </si>
  <si>
    <t>Nature’s fireworks.</t>
  </si>
  <si>
    <t>clpv</t>
  </si>
  <si>
    <t>Thunderstorms</t>
  </si>
  <si>
    <t>Don’t stand under a tree if you hear thunder!</t>
  </si>
  <si>
    <t>uebw</t>
  </si>
  <si>
    <t>Tibet</t>
  </si>
  <si>
    <t>Mountainous region of China and religious enclave for a form of Buddhism called Lamaism. Known as the roof of the world.</t>
  </si>
  <si>
    <t>stoe</t>
  </si>
  <si>
    <t>Ticks</t>
  </si>
  <si>
    <t>All ticks are bloodsucking parasites, but not all bloodsucking parasites are ticks.</t>
  </si>
  <si>
    <t>vc{s</t>
  </si>
  <si>
    <t>Tidal Waves</t>
  </si>
  <si>
    <t>The gigantic ocean waves that strike with tremendous force, and cause considerable damage to life and property. Kind of like Spring Break.</t>
  </si>
  <si>
    <t>pji{</t>
  </si>
  <si>
    <t>Tiger Woods</t>
  </si>
  <si>
    <t>1975-, American star of the golf circuit. Known for his athletic skill, and youthful, classic style.</t>
  </si>
  <si>
    <t>iona</t>
  </si>
  <si>
    <t>Tightrope Walking</t>
  </si>
  <si>
    <t>If you get really good, you can join the circus.</t>
  </si>
  <si>
    <t>jzcc</t>
  </si>
  <si>
    <t>Timbuktu</t>
  </si>
  <si>
    <t>City of 20,000 located in the West African nation of Mali. The official name is Tombouctou. From here to Timbuktu.</t>
  </si>
  <si>
    <t>mfcf</t>
  </si>
  <si>
    <t>Time Travel</t>
  </si>
  <si>
    <t>“What do you mean I missed my connection in the 14th Century?”</t>
  </si>
  <si>
    <t>vpio</t>
  </si>
  <si>
    <t>Timothy McVey</t>
  </si>
  <si>
    <t>1961-2001, the Oklahoma City Bomber.</t>
  </si>
  <si>
    <t>hdmq</t>
  </si>
  <si>
    <t>Toasted Marshmallows</t>
  </si>
  <si>
    <t>Add chocolate and graham crackers and you'll wish you had s’more.</t>
  </si>
  <si>
    <t>lbmk</t>
  </si>
  <si>
    <t>How do you like yours…golden brown or flaming?</t>
  </si>
  <si>
    <t>elvs</t>
  </si>
  <si>
    <t>Toasters</t>
  </si>
  <si>
    <t>Wait don’t stick that fork in there!</t>
  </si>
  <si>
    <t>kigh</t>
  </si>
  <si>
    <t>Tobacco Companies</t>
  </si>
  <si>
    <t>Who says tobacco's not addictive? THEY can’t give it up…</t>
  </si>
  <si>
    <t>vwum</t>
  </si>
  <si>
    <t>Toenails</t>
  </si>
  <si>
    <t>A horse’s foot is actually a toe. The hoof is a toenail.</t>
  </si>
  <si>
    <t>ogzq</t>
  </si>
  <si>
    <t>Toes</t>
  </si>
  <si>
    <t>“This little piggy went to market…”</t>
  </si>
  <si>
    <t>bhwp</t>
  </si>
  <si>
    <t>Tom &amp; Jerry</t>
  </si>
  <si>
    <t>A good chaser.</t>
  </si>
  <si>
    <t>h{gs</t>
  </si>
  <si>
    <t>Tom Cruise</t>
  </si>
  <si>
    <t>1962-, American actor. It looked like “Risky Business” early on, but by 1986 he was “Top Gun.” No “Mission Impossible” for him.</t>
  </si>
  <si>
    <t>fbkc</t>
  </si>
  <si>
    <t>Tom Hanks</t>
  </si>
  <si>
    <t>1956-, American actor and star of such varied films as “Big,” “Philadelphia,” “Forrest Gump,” “Saving Private Ryan” and “Cast Away.”</t>
  </si>
  <si>
    <t>hcch</t>
  </si>
  <si>
    <t>Tomato Soup</t>
  </si>
  <si>
    <t>Good with cheese sandwiches.</t>
  </si>
  <si>
    <t>klzc</t>
  </si>
  <si>
    <t>Tomatoes</t>
  </si>
  <si>
    <t>Most people don't know that a tomato is a fruit.</t>
  </si>
  <si>
    <t>dtrx</t>
  </si>
  <si>
    <t>Tony Blair</t>
  </si>
  <si>
    <t>1951-, British Prime Minister, “We will not rest until this evil is driven from our world.” Sept. 11, 2001.</t>
  </si>
  <si>
    <t>rosx</t>
  </si>
  <si>
    <t>Tooth Fairy</t>
  </si>
  <si>
    <t>Who knows what they do with all those baby teeth.</t>
  </si>
  <si>
    <t>esvb</t>
  </si>
  <si>
    <t>Toothpaste</t>
  </si>
  <si>
    <t>Brush and spit!</t>
  </si>
  <si>
    <t>qglu</t>
  </si>
  <si>
    <t>Top Of A Rollercoaster</t>
  </si>
  <si>
    <t>Just remember: what goes UP…</t>
  </si>
  <si>
    <t>qhzt</t>
  </si>
  <si>
    <t>Tornadoes</t>
  </si>
  <si>
    <t>Funnel-shaped cloud whirling destructively at speeds up to 300 mph. “Honey, do you hear a freight train… Honey?”</t>
  </si>
  <si>
    <t>lx{g</t>
  </si>
  <si>
    <t>Toy Poodles</t>
  </si>
  <si>
    <t>They are less than ten inches tall, from their shoulders to the floor.</t>
  </si>
  <si>
    <t>epvv</t>
  </si>
  <si>
    <t>Toys</t>
  </si>
  <si>
    <t>Stuffed animals, action figures, dolls, balls, and lots more. Everyone loves toys!</t>
  </si>
  <si>
    <t>vxsb</t>
  </si>
  <si>
    <t>They’re not just for kids, anymore…</t>
  </si>
  <si>
    <t>xdda</t>
  </si>
  <si>
    <t>Track &amp; Field</t>
  </si>
  <si>
    <t>It’s eventful.</t>
  </si>
  <si>
    <t>zgtb</t>
  </si>
  <si>
    <t>Tractors</t>
  </si>
  <si>
    <t>“She thinks My Tractor’s Sexy.” —Kenny Chesney</t>
  </si>
  <si>
    <t>hapm</t>
  </si>
  <si>
    <t>Trailer Parks</t>
  </si>
  <si>
    <t>Also known as tornado magnets.</t>
  </si>
  <si>
    <t>kddg</t>
  </si>
  <si>
    <t>Training Wheels</t>
  </si>
  <si>
    <t>It’s a four-wheeler.</t>
  </si>
  <si>
    <t>twfw</t>
  </si>
  <si>
    <t>Trains</t>
  </si>
  <si>
    <t>“The Little Engine That Could” is a story about a train that climbs over a mountain.</t>
  </si>
  <si>
    <t>gnvj</t>
  </si>
  <si>
    <t>Trampolines</t>
  </si>
  <si>
    <t>Trampolines have been used in circuses wince the 18th century. Despite slumps in popularity, they always seem to bounce back!</t>
  </si>
  <si>
    <t>mszk</t>
  </si>
  <si>
    <t>Treasure Hunting</t>
  </si>
  <si>
    <t>Gold Doubloons! Gold Doubloons! AT A YARD SALE?</t>
  </si>
  <si>
    <t>gwjh</t>
  </si>
  <si>
    <t>Tree Huggers</t>
  </si>
  <si>
    <t>“Environmentalists” to the left. “Wackos” to the right.</t>
  </si>
  <si>
    <t>{xcy</t>
  </si>
  <si>
    <t>Treehouse</t>
  </si>
  <si>
    <t>A playhouse built in a tree. The Swiss Family Robinson lived in a treehouse on an island</t>
  </si>
  <si>
    <t>zyve</t>
  </si>
  <si>
    <t>Trees</t>
  </si>
  <si>
    <t>Some redwood trees in California are over 300 feet tall and thousands of years old.</t>
  </si>
  <si>
    <t>skgg</t>
  </si>
  <si>
    <t>Trekkies</t>
  </si>
  <si>
    <t>Beam them up, PLEASE!</t>
  </si>
  <si>
    <t>kyyo</t>
  </si>
  <si>
    <t>Trinidad &amp; Tobago</t>
  </si>
  <si>
    <t>Tiny, lush Caribbean republic. One of the most prosperous countries in the area due to petroleum and natural gas production.</t>
  </si>
  <si>
    <t>wjzd</t>
  </si>
  <si>
    <t>Truck Drivers</t>
  </si>
  <si>
    <t>See the country- or at least see the highways.</t>
  </si>
  <si>
    <t>izyl</t>
  </si>
  <si>
    <t>Truck Stops</t>
  </si>
  <si>
    <t>Breakfast 24 hours a day and you’re on your way.</t>
  </si>
  <si>
    <t>koua</t>
  </si>
  <si>
    <t>Truth &amp; Justice</t>
  </si>
  <si>
    <t>Sounds good on paper.</t>
  </si>
  <si>
    <t>sgin</t>
  </si>
  <si>
    <t>Tulips</t>
  </si>
  <si>
    <t>A sign of spring!</t>
  </si>
  <si>
    <t>bipy</t>
  </si>
  <si>
    <t>Turkey &amp; Stuffing</t>
  </si>
  <si>
    <t>Get stuffed.</t>
  </si>
  <si>
    <t>krfo</t>
  </si>
  <si>
    <t>Turkeys</t>
  </si>
  <si>
    <t>Large birds raised for food. Popular at Thanksgiving.</t>
  </si>
  <si>
    <t>xxhj</t>
  </si>
  <si>
    <t>Turtles</t>
  </si>
  <si>
    <t>They pull their legs and heads inside their shells for safety.</t>
  </si>
  <si>
    <t>fqyo</t>
  </si>
  <si>
    <t>Tyra Banks</t>
  </si>
  <si>
    <t>1973-, American model, starred in “Coyote Ugly.” Probably the only time you'll see the words “ugly” and “Tyra Banks” in the same sentence.</t>
  </si>
  <si>
    <t>hhdd</t>
  </si>
  <si>
    <t>Tyrannosaurus Rex</t>
  </si>
  <si>
    <t>Large carnivorous dinosaur of the latter part of the Mesozoic era. My, what big teeth you have!</t>
  </si>
  <si>
    <t>znhp</t>
  </si>
  <si>
    <t>Umbrella Drinks</t>
  </si>
  <si>
    <t>Extra fruit, please!</t>
  </si>
  <si>
    <t>ogmj</t>
  </si>
  <si>
    <t>Umbrellas</t>
  </si>
  <si>
    <t>pjfi</t>
  </si>
  <si>
    <t>Under My Bed</t>
  </si>
  <si>
    <t>A good place to hide, if it’s not too messy.</t>
  </si>
  <si>
    <t>jygj</t>
  </si>
  <si>
    <t>Underwear</t>
  </si>
  <si>
    <t>“Let's keep this brief.”</t>
  </si>
  <si>
    <t>kmic</t>
  </si>
  <si>
    <t>Keep it clean!</t>
  </si>
  <si>
    <t>kbnp</t>
  </si>
  <si>
    <t>Unicorns</t>
  </si>
  <si>
    <t>Imaginary horse-like animals. A long, pointed horn grown from the middle of their foreheads.</t>
  </si>
  <si>
    <t>ijev</t>
  </si>
  <si>
    <t>United Nations</t>
  </si>
  <si>
    <t>The U.N. was founded in 1945, after World War II ended. Its mission is to maintain world peace. If we ever achieve it, that is…</t>
  </si>
  <si>
    <t>obrf</t>
  </si>
  <si>
    <t>United States</t>
  </si>
  <si>
    <t>It's about 2,500 miles, from sea to shining sea.</t>
  </si>
  <si>
    <t>mpyy</t>
  </si>
  <si>
    <t>Urban Sprawl</t>
  </si>
  <si>
    <t>Oh give me a home where the edge of town roams…</t>
  </si>
  <si>
    <t>ygul</t>
  </si>
  <si>
    <t>Vacations</t>
  </si>
  <si>
    <t>“Vacation, all I ever wanted, Vacation, had to get away…” —Go-Go’s</t>
  </si>
  <si>
    <t>twxi</t>
  </si>
  <si>
    <t>Vacuum Cleaners</t>
  </si>
  <si>
    <t>It’s a dirty job!</t>
  </si>
  <si>
    <t>szpt</t>
  </si>
  <si>
    <t>Valentine's Day</t>
  </si>
  <si>
    <t>Will you be my Valentine?</t>
  </si>
  <si>
    <t>rtvk</t>
  </si>
  <si>
    <t>Vampires</t>
  </si>
  <si>
    <t>Legendary bloodsucking monsters.</t>
  </si>
  <si>
    <t>euh{</t>
  </si>
  <si>
    <t>Vanilla Pudding</t>
  </si>
  <si>
    <t>Now available frozen, on a stick.</t>
  </si>
  <si>
    <t>cblo</t>
  </si>
  <si>
    <t>Velcro</t>
  </si>
  <si>
    <t>A hook-and-loop fastener that can really grab you.</t>
  </si>
  <si>
    <t>qaxs</t>
  </si>
  <si>
    <t>Venus &amp; Mars</t>
  </si>
  <si>
    <t>As different as men &amp; women.</t>
  </si>
  <si>
    <t>zhho</t>
  </si>
  <si>
    <t>Viagra</t>
  </si>
  <si>
    <t>It works for Bob Dole, it'll work for you.</t>
  </si>
  <si>
    <t>xqrz</t>
  </si>
  <si>
    <t>Victorian England</t>
  </si>
  <si>
    <t>An era characterized by moral severity and pompous conservatism.</t>
  </si>
  <si>
    <t>fwnm</t>
  </si>
  <si>
    <t>Video Games</t>
  </si>
  <si>
    <t>Just how DO you get to the thirteenth level of “Doom”?</t>
  </si>
  <si>
    <t>djlk</t>
  </si>
  <si>
    <t>I told you ten hours a day was too much!</t>
  </si>
  <si>
    <t>smcr</t>
  </si>
  <si>
    <t>Vietnam, 1968</t>
  </si>
  <si>
    <t>More than 30,000 Americans had been killed in the Vietnam War by the end of 1968.</t>
  </si>
  <si>
    <t>jlqa</t>
  </si>
  <si>
    <t>Vincent Van Gogh</t>
  </si>
  <si>
    <t>1853-90, Dutch post-impressionist painter known for dramatic sunflowers and self-portraits. Only one of his paintings sold during his lifetime.</t>
  </si>
  <si>
    <t>ccti</t>
  </si>
  <si>
    <t>Violins</t>
  </si>
  <si>
    <t>It's a pain in the neck, but keep practicing.</t>
  </si>
  <si>
    <t>mcmw</t>
  </si>
  <si>
    <t>Volcanoes</t>
  </si>
  <si>
    <t>Vents in the crust of the earth from which steam, debris and molten rock spew, with explosive results.</t>
  </si>
  <si>
    <t>ittz</t>
  </si>
  <si>
    <t>Volleyball</t>
  </si>
  <si>
    <t>Spike it!</t>
  </si>
  <si>
    <t>rfds</t>
  </si>
  <si>
    <t>VW Beetles</t>
  </si>
  <si>
    <t>The prototype for the original VW Beetle was developed in 1934, and production begin in 1945. Functional, yet so fashionable.</t>
  </si>
  <si>
    <t>sjyp</t>
  </si>
  <si>
    <t>Waco, Texas</t>
  </si>
  <si>
    <t>Texas city near where a 51-day standoff between law-enforcement officials and members of the Branch Davidians occurred in 1993.</t>
  </si>
  <si>
    <t>gqud</t>
  </si>
  <si>
    <t>Waffles</t>
  </si>
  <si>
    <t>Like pancakes with built-in syrup cups.</t>
  </si>
  <si>
    <t>mdzn</t>
  </si>
  <si>
    <t>Walking The Dog</t>
  </si>
  <si>
    <t>It's good exercise.</t>
  </si>
  <si>
    <t>ihwh</t>
  </si>
  <si>
    <t>Wall Street</t>
  </si>
  <si>
    <t>The financial center of the United States. See also: roller coaster.</t>
  </si>
  <si>
    <t>enop</t>
  </si>
  <si>
    <t>Walt Disney</t>
  </si>
  <si>
    <t>1901-1966, the head of some Mickey Mouse company.</t>
  </si>
  <si>
    <t>xhsj</t>
  </si>
  <si>
    <t>War &amp; Peace</t>
  </si>
  <si>
    <t>Tolstoy's 1805 epic novel of the Napoleonic wars, a celebration of Russian spirit.</t>
  </si>
  <si>
    <t>ggdl</t>
  </si>
  <si>
    <t>Warts</t>
  </si>
  <si>
    <t>Small, benign, circumscribed tumors of the outer layer of the skin. Warts and all!</t>
  </si>
  <si>
    <t>vdog</t>
  </si>
  <si>
    <t>Small, hard lumps that grow on the skin. Anyone can get them, not just witches.</t>
  </si>
  <si>
    <t>{xfm</t>
  </si>
  <si>
    <t>Washer &amp; Dryer</t>
  </si>
  <si>
    <t>Take them out for a spin.</t>
  </si>
  <si>
    <t>qftj</t>
  </si>
  <si>
    <t>Washington, DC</t>
  </si>
  <si>
    <t>City named after George Washington, it's the capital of the United States.</t>
  </si>
  <si>
    <t>domd</t>
  </si>
  <si>
    <t>Watching Cartoons</t>
  </si>
  <si>
    <t>Not just for kids.</t>
  </si>
  <si>
    <t>vbnz</t>
  </si>
  <si>
    <t>Watching Football</t>
  </si>
  <si>
    <t>Sheer athletic prowess by players in peak physical condition is a glorious thing to behold. Pass the chips and beer.</t>
  </si>
  <si>
    <t>jdqx</t>
  </si>
  <si>
    <t>Isn't it more fun to PLAY football?</t>
  </si>
  <si>
    <t>qqhw</t>
  </si>
  <si>
    <t>Watching TV</t>
  </si>
  <si>
    <t>Cartoons and commercials, movies, commercials, shows, commercials, sports, and commercials.</t>
  </si>
  <si>
    <t>waix</t>
  </si>
  <si>
    <t>Water</t>
  </si>
  <si>
    <t>Pure water has no color, taste or smell. So, if it smells funny, don't drink it.</t>
  </si>
  <si>
    <t>fiax</t>
  </si>
  <si>
    <t>Water Baloons</t>
  </si>
  <si>
    <t>I'll fill them and you tie them.</t>
  </si>
  <si>
    <t>xmot</t>
  </si>
  <si>
    <t>Water Guns</t>
  </si>
  <si>
    <t>Don't take them to school!</t>
  </si>
  <si>
    <t>jduf</t>
  </si>
  <si>
    <t>Water Parks</t>
  </si>
  <si>
    <t>You can go down Dead Man's Drop and I'll take the Lazy River.</t>
  </si>
  <si>
    <t>hger</t>
  </si>
  <si>
    <t>Water Skiing</t>
  </si>
  <si>
    <t>Try it on one ski.</t>
  </si>
  <si>
    <t>qvfq</t>
  </si>
  <si>
    <t>Waterbeds</t>
  </si>
  <si>
    <t>Could serve as a safety precaution for those who smoke in bed.</t>
  </si>
  <si>
    <t>sbyu</t>
  </si>
  <si>
    <t>Waterfalls</t>
  </si>
  <si>
    <t>Water flowing from a cliff or other high place. Niagara Falls is over 160 feet high!</t>
  </si>
  <si>
    <t>nndy</t>
  </si>
  <si>
    <t>“Don't go chasing waterfalls…” —TLC</t>
  </si>
  <si>
    <t>myw{</t>
  </si>
  <si>
    <t>Watermelon</t>
  </si>
  <si>
    <t>How far can you spit the seeds?</t>
  </si>
  <si>
    <t>cbey</t>
  </si>
  <si>
    <t>Watermelons</t>
  </si>
  <si>
    <t>Pardeeville, WI—home of the Watermelon Seed-Spitting &amp; Speed-Eating Championship. The record is 2.5 lbs. of melon eaten in 3.5 seconds.</t>
  </si>
  <si>
    <t>xqhh</t>
  </si>
  <si>
    <t>Waterparks</t>
  </si>
  <si>
    <t>Wet and wild!</t>
  </si>
  <si>
    <t>fshg</t>
  </si>
  <si>
    <t>Waxing The Floor</t>
  </si>
  <si>
    <t>It's a pain in the neck, and back, and knees…</t>
  </si>
  <si>
    <t>bsld</t>
  </si>
  <si>
    <t>Weapons Dealers</t>
  </si>
  <si>
    <t>OK, what kind you need? Assault, Automatic, Atomic…?</t>
  </si>
  <si>
    <t>acer</t>
  </si>
  <si>
    <t>Weddings</t>
  </si>
  <si>
    <t>“Ding, dong, the bells are gonna chime…” —My Fair Lady</t>
  </si>
  <si>
    <t>isbr</t>
  </si>
  <si>
    <t>Here comes the bride!</t>
  </si>
  <si>
    <t>dzme</t>
  </si>
  <si>
    <t>Weed &amp; Feed</t>
  </si>
  <si>
    <t>Make sure the grass is greener on YOUR side of the fence.</t>
  </si>
  <si>
    <t>jpdk</t>
  </si>
  <si>
    <t>Weird Al Yankovic</t>
  </si>
  <si>
    <t>1959-, American musical humorist, born Alfred Matthew Yankovic, which is nothing to laugh about…</t>
  </si>
  <si>
    <t>koyb</t>
  </si>
  <si>
    <t>Whales</t>
  </si>
  <si>
    <t>Very large animals that live in oceans. They squirt water from a blowhole.</t>
  </si>
  <si>
    <t>wymx</t>
  </si>
  <si>
    <t>Wheat</t>
  </si>
  <si>
    <t>Mainly used in flour. World output of wheat is more than 600 million metric tons a year… so someone's making a lot of dough.</t>
  </si>
  <si>
    <t>pqg{</t>
  </si>
  <si>
    <t>Wheel Of Fortune</t>
  </si>
  <si>
    <t>American TV game show, BIG MONEY! BIG MONEY!.</t>
  </si>
  <si>
    <t>zjfy</t>
  </si>
  <si>
    <t>Whipped Cream</t>
  </si>
  <si>
    <t>Great on strawberry shortcake, banana splits, chocolate pudding…</t>
  </si>
  <si>
    <t>bisp</t>
  </si>
  <si>
    <t>Sweet and fluffy!</t>
  </si>
  <si>
    <t>xmje</t>
  </si>
  <si>
    <t>Whips</t>
  </si>
  <si>
    <t>“Crack that whip… whip it, whip it good.” —Devo</t>
  </si>
  <si>
    <t>qmiq</t>
  </si>
  <si>
    <t>Whips &amp; Chains</t>
  </si>
  <si>
    <t>Popular before prison reform the good old days.</t>
  </si>
  <si>
    <t>cvph</t>
  </si>
  <si>
    <t>White Bread</t>
  </si>
  <si>
    <t>Plain and simple.</t>
  </si>
  <si>
    <t>nzwz</t>
  </si>
  <si>
    <t>White Collar Crime</t>
  </si>
  <si>
    <t>Three strikes and you're OUT… to a cozy little low-level detention facility with a pool and tennis court.</t>
  </si>
  <si>
    <t>fpce</t>
  </si>
  <si>
    <t>Whoopie Goldberg</t>
  </si>
  <si>
    <t>1950-, American actor and comedian. Starred in such movies as Ghost, which earned her an Academy Award. Whoopee!</t>
  </si>
  <si>
    <t>bhhe</t>
  </si>
  <si>
    <t>Will &amp; Grace</t>
  </si>
  <si>
    <t>Popular sitcom debuted in 1998. Not your average next door neighbors.</t>
  </si>
  <si>
    <t>nftl</t>
  </si>
  <si>
    <t>Will Smith</t>
  </si>
  <si>
    <t>1968-, Successful American rap star, TV star and wildly successful motion picture star. He's got it all. We hate him.</t>
  </si>
  <si>
    <t>rj{l</t>
  </si>
  <si>
    <t>William Shakespeare</t>
  </si>
  <si>
    <t>1564-1616, The English poet and playwright. And all the world IS a stage…</t>
  </si>
  <si>
    <t>hiyo</t>
  </si>
  <si>
    <t>Wimbledon</t>
  </si>
  <si>
    <t>Strawberries… cream… temper tantrums…</t>
  </si>
  <si>
    <t>rt{k</t>
  </si>
  <si>
    <t>Windsurfing</t>
  </si>
  <si>
    <t>Really just surfing for lazy people.</t>
  </si>
  <si>
    <t>zbfc</t>
  </si>
  <si>
    <t>Wine Tasting</t>
  </si>
  <si>
    <t>Spit or swallow?</t>
  </si>
  <si>
    <t>bwoo</t>
  </si>
  <si>
    <t>Winnie The Pooh</t>
  </si>
  <si>
    <t>There's never enough honey for Pooh Bear!</t>
  </si>
  <si>
    <t>{kjk</t>
  </si>
  <si>
    <t>Winning A Trophy</t>
  </si>
  <si>
    <t>Congratulations!</t>
  </si>
  <si>
    <t>aizt</t>
  </si>
  <si>
    <t>Winning The Lottery</t>
  </si>
  <si>
    <t>The more you play, the more THEY win.</t>
  </si>
  <si>
    <t>ljcb</t>
  </si>
  <si>
    <t>Winter</t>
  </si>
  <si>
    <t>The coldest season of the year.</t>
  </si>
  <si>
    <t>cjed</t>
  </si>
  <si>
    <t>Wishbone</t>
  </si>
  <si>
    <t>Star of television and over 50 books. Wishbone is a Jack Russell terrier.</t>
  </si>
  <si>
    <t>lepk</t>
  </si>
  <si>
    <t>Witch Hunts</t>
  </si>
  <si>
    <t>Popular locations: Salem, Massachusetts and Washington, D.C.</t>
  </si>
  <si>
    <t>vaep</t>
  </si>
  <si>
    <t>Witches</t>
  </si>
  <si>
    <t>They are famous for their pointy noses, black hats and broomsticks.</t>
  </si>
  <si>
    <t>tjnt</t>
  </si>
  <si>
    <t>Women</t>
  </si>
  <si>
    <t>REAL Women.</t>
  </si>
  <si>
    <t>wjiu</t>
  </si>
  <si>
    <t>Women's Soccer</t>
  </si>
  <si>
    <t>The 1999 World Cup finals was the most-watched women's sporting event in history.</t>
  </si>
  <si>
    <t>ovjf</t>
  </si>
  <si>
    <t>Wood Chippers</t>
  </si>
  <si>
    <t>“I guess that was your accomplice in the wood chipper.” —Marge Gunderson, Fargo</t>
  </si>
  <si>
    <t>qmgq</t>
  </si>
  <si>
    <t>Woodpeckers</t>
  </si>
  <si>
    <t>They find insects to eat by pecking holes in wood with their beaks.</t>
  </si>
  <si>
    <t>zide</t>
  </si>
  <si>
    <t>Woodstock</t>
  </si>
  <si>
    <t>The 1969 love, music and mud festival attended by 400,000. Or, the little yellow bird.</t>
  </si>
  <si>
    <t>tzsl</t>
  </si>
  <si>
    <t>Woody Allen</t>
  </si>
  <si>
    <t>1935-, American comedian, actor and director, of Bananas, Annie Hall, Hannah and Her Sisters, and lots of New York Stories.</t>
  </si>
  <si>
    <t>mrwr</t>
  </si>
  <si>
    <t>Woolly Mammoth</t>
  </si>
  <si>
    <t>These large hairy elephants are now extinct.</t>
  </si>
  <si>
    <t>dnui</t>
  </si>
  <si>
    <t>Working Out</t>
  </si>
  <si>
    <t>mjiu</t>
  </si>
  <si>
    <t>Worms</t>
  </si>
  <si>
    <t>“A man may fish with the worm that hath eat of a king, and eat of the fish that has fed of that worm.” —“Hamlet” Shakespeare</t>
  </si>
  <si>
    <t>qedl</t>
  </si>
  <si>
    <t>A favorite food of robins.</t>
  </si>
  <si>
    <t>emvz</t>
  </si>
  <si>
    <t>Wrestling</t>
  </si>
  <si>
    <t>A sport where two people try to force each other to the ground. No hitting allowed.</t>
  </si>
  <si>
    <t>zpfi</t>
  </si>
  <si>
    <t>Writing A Letter</t>
  </si>
  <si>
    <t>Dear Mom, How are you? I am fine.</t>
  </si>
  <si>
    <t>junw</t>
  </si>
  <si>
    <t>X-Ray Vision</t>
  </si>
  <si>
    <t>Available to Superman for emergency use only.</t>
  </si>
  <si>
    <t>dtwz</t>
  </si>
  <si>
    <t>X-Rays</t>
  </si>
  <si>
    <t>X-Rays were discovered in 1895 by the German physicist Wilhelm Conrad Roentgen. Now if they could just get those X-ray glasses down.</t>
  </si>
  <si>
    <t>ffux</t>
  </si>
  <si>
    <t>Xena, Warrior Princess</t>
  </si>
  <si>
    <t>Popular TV fantasy, adventure program. Xena, played by Lucy Lawless, and her friend Gabrielle, seek adventure and fight evil.</t>
  </si>
  <si>
    <t>w{of</t>
  </si>
  <si>
    <t>Yellowstone Park</t>
  </si>
  <si>
    <t>Home to 3000 geysers and hot springs. More gas and hot air than Washington, D.C.</t>
  </si>
  <si>
    <t>wtgx</t>
  </si>
  <si>
    <t>Yin &amp; Yang</t>
  </si>
  <si>
    <t>Two elements that oppose each other and give life balance. If you're lucky.</t>
  </si>
  <si>
    <t>gous</t>
  </si>
  <si>
    <t>Yo-Yos</t>
  </si>
  <si>
    <t>There are lots of tricks that you can do with a yo-yo.</t>
  </si>
  <si>
    <t>gqkv</t>
  </si>
  <si>
    <t>Zebras</t>
  </si>
  <si>
    <t>The stripes on each zebra are in a slightly different pattern.</t>
  </si>
  <si>
    <t>mxcz</t>
  </si>
  <si>
    <t>Zen</t>
  </si>
  <si>
    <t>Japanese form of Buddhism, originated in China. Zen again, maybe not.</t>
  </si>
  <si>
    <t>xnlf</t>
  </si>
  <si>
    <t>Zippers</t>
  </si>
  <si>
    <t>Zip it, zip it good.</t>
  </si>
  <si>
    <t>cprr</t>
  </si>
  <si>
    <t>Faster than buttons.</t>
  </si>
  <si>
    <t>qhit</t>
  </si>
  <si>
    <t>Zombies</t>
  </si>
  <si>
    <t>Undead ghouls that feed off of brains. So WE'RE safe…</t>
  </si>
  <si>
    <t>owp{</t>
  </si>
  <si>
    <t>Zucchini</t>
  </si>
  <si>
    <t>A squashed vegetable.</t>
  </si>
  <si>
    <t>stdw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</si>
</sst>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Inconsolata"/>
    </font>
    <font>
      <b/>
      <color theme="1"/>
      <name val="Arial"/>
      <scheme val="minor"/>
    </font>
    <font>
      <u/>
      <sz val="11.0"/>
      <color rgb="FF008000"/>
      <name val="Inconsolata"/>
    </font>
    <font>
      <color theme="1"/>
      <name val="Arial"/>
      <scheme val="minor"/>
    </font>
    <font>
      <sz val="11.0"/>
      <color rgb="FF000000"/>
      <name val="Inconsolata"/>
    </font>
    <font>
      <u/>
      <sz val="11.0"/>
      <color rgb="FF000000"/>
      <name val="Inconsolata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  <xf borderId="0" fillId="2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2" fontId="5" numFmtId="0" xfId="0" applyFont="1"/>
    <xf borderId="0" fillId="2" fontId="6" numFmtId="0" xfId="0" applyFont="1"/>
    <xf borderId="0" fillId="0" fontId="4" numFmtId="0" xfId="0" applyAlignment="1" applyFont="1">
      <alignment readingOrder="0" shrinkToFit="0" wrapText="0"/>
    </xf>
    <xf borderId="0" fillId="2" fontId="5" numFmtId="0" xfId="0" applyAlignment="1" applyFont="1">
      <alignment readingOrder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vgtext.heliohost.us/cgi-bin/gen.perl?text=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vgtext.heliohost.us/cgi-bin/gen.perl?text=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www.otb-games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9.38"/>
    <col customWidth="1" min="3" max="3" width="36.13"/>
    <col customWidth="1" min="4" max="5" width="38.13"/>
    <col customWidth="1" min="6" max="6" width="6.0"/>
    <col customWidth="1" min="7" max="7" width="8.88"/>
    <col customWidth="1" min="8" max="8" width="33.88"/>
    <col customWidth="1" min="9" max="9" width="7.25"/>
    <col customWidth="1" min="10" max="10" width="7.63"/>
  </cols>
  <sheetData>
    <row r="1">
      <c r="A1" s="1">
        <f>countif(A3:A3350,"TRUE")</f>
        <v>207</v>
      </c>
      <c r="B1" s="2" t="s">
        <v>0</v>
      </c>
      <c r="C1" s="3" t="s">
        <v>1</v>
      </c>
      <c r="D1" s="2" t="s">
        <v>2</v>
      </c>
      <c r="E1" s="4" t="s">
        <v>3</v>
      </c>
      <c r="F1" s="5" t="s">
        <v>4</v>
      </c>
      <c r="H1" s="2"/>
      <c r="I1" s="2"/>
      <c r="J1" s="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2" t="s">
        <v>5</v>
      </c>
      <c r="B2" s="2" t="s">
        <v>6</v>
      </c>
      <c r="C2" s="2" t="s">
        <v>7</v>
      </c>
      <c r="D2" s="2" t="s">
        <v>8</v>
      </c>
      <c r="E2" s="4" t="s">
        <v>9</v>
      </c>
      <c r="F2" s="4" t="s">
        <v>10</v>
      </c>
      <c r="G2" s="2" t="s">
        <v>3</v>
      </c>
      <c r="H2" s="2" t="s">
        <v>11</v>
      </c>
      <c r="I2" s="2" t="s">
        <v>12</v>
      </c>
      <c r="J2" s="2" t="s">
        <v>13</v>
      </c>
      <c r="K2" s="2" t="s">
        <v>14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7" t="b">
        <v>0</v>
      </c>
      <c r="B3" s="8" t="s">
        <v>15</v>
      </c>
      <c r="C3" s="8" t="s">
        <v>16</v>
      </c>
      <c r="D3" s="8" t="str">
        <f>Q&amp;$K3&amp;Q&amp;":{"&amp;Q&amp;$B$2&amp;Q&amp;":"&amp;Q&amp;$B3&amp;Q&amp;","&amp;Q&amp;$C$2&amp;Q&amp;":"&amp;Q&amp;$C3&amp;Q&amp;","&amp;Q&amp;"sets"&amp;Q&amp;":"&amp;Q&amp;substitute(SUBSTITUTE($H3,"[",""),"]","")&amp;Q&amp;"},"</f>
        <v>"ubyt":{"label":"Absurd","extra":"(ridiculous, senseless, foolish) ","sets":"Expansion Set 2, Party Set"},</v>
      </c>
      <c r="E3" s="9" t="str">
        <f t="shared" ref="E3:E616" si="2">offset(E3,0,match($E$1,$F$2:$G$2))</f>
        <v>data:image/svg+xml,%3csvg xmlns='http://www.w3.org/2000/svg' viewBox='0 0 24 216'%3e%3ctext fill='%23fff' style='font: 900 16px sans-serif' text-anchor='end' transform='matrix(0 -1 1 0 18 5)'%3eAbsurd%3c/text%3e%3c/svg%3e</v>
      </c>
      <c r="F3" s="10" t="str">
        <f t="shared" ref="F3:F616" si="3">F$1&amp;ENCODEURL(B3)</f>
        <v>https://svgtext.heliohost.us/cgi-bin/gen.perl?text=Absurd</v>
      </c>
      <c r="G3" s="11" t="str">
        <f t="shared" ref="G3:G616" si="4">"data:image/svg+xml,%3csvg xmlns='http://www.w3.org/2000/svg' viewBox='0 0 24 216'%3e%3ctext fill='%23fff' style='font: 900 16px sans-serif' text-anchor='end' transform='matrix(0 -1 1 0 18 5)'%3e"&amp;substitute(ENCODEURL(substitute(B3,"&amp;","&amp;amp;")),"%20"," ")&amp;"%3c/text%3e%3c/svg%3e"</f>
        <v>data:image/svg+xml,%3csvg xmlns='http://www.w3.org/2000/svg' viewBox='0 0 24 216'%3e%3ctext fill='%23fff' style='font: 900 16px sans-serif' text-anchor='end' transform='matrix(0 -1 1 0 18 5)'%3eAbsurd%3c/text%3e%3c/svg%3e</v>
      </c>
      <c r="H3" s="8" t="s">
        <v>17</v>
      </c>
      <c r="I3" s="8">
        <f t="shared" ref="I3:J3" si="1">len(B3)</f>
        <v>6</v>
      </c>
      <c r="J3" s="8">
        <f t="shared" si="1"/>
        <v>33</v>
      </c>
      <c r="K3" s="8" t="s">
        <v>18</v>
      </c>
    </row>
    <row r="4">
      <c r="A4" s="7" t="b">
        <v>1</v>
      </c>
      <c r="B4" s="8" t="s">
        <v>19</v>
      </c>
      <c r="C4" s="8" t="s">
        <v>20</v>
      </c>
      <c r="D4" s="8" t="str">
        <f>Q&amp;$K4&amp;Q&amp;":{"&amp;Q&amp;$B$2&amp;Q&amp;":"&amp;Q&amp;$B4&amp;Q&amp;","&amp;Q&amp;$C$2&amp;Q&amp;":"&amp;Q&amp;$C4&amp;Q&amp;","&amp;Q&amp;"sets"&amp;Q&amp;":"&amp;Q&amp;substitute(SUBSTITUTE($H4,"[",""),"]","")&amp;Q&amp;"},"</f>
        <v>"mray":{"label":"Abundant","extra":"(plentiful, ample, numerous) ","sets":"Expansion Set 2"},</v>
      </c>
      <c r="E4" s="9" t="str">
        <f t="shared" si="2"/>
        <v>data:image/svg+xml,%3csvg xmlns='http://www.w3.org/2000/svg' viewBox='0 0 24 216'%3e%3ctext fill='%23fff' style='font: 900 16px sans-serif' text-anchor='end' transform='matrix(0 -1 1 0 18 5)'%3eAbundant%3c/text%3e%3c/svg%3e</v>
      </c>
      <c r="F4" s="10" t="str">
        <f t="shared" si="3"/>
        <v>https://svgtext.heliohost.us/cgi-bin/gen.perl?text=Abundant</v>
      </c>
      <c r="G4" s="11" t="str">
        <f t="shared" si="4"/>
        <v>data:image/svg+xml,%3csvg xmlns='http://www.w3.org/2000/svg' viewBox='0 0 24 216'%3e%3ctext fill='%23fff' style='font: 900 16px sans-serif' text-anchor='end' transform='matrix(0 -1 1 0 18 5)'%3eAbundant%3c/text%3e%3c/svg%3e</v>
      </c>
      <c r="H4" s="8" t="s">
        <v>21</v>
      </c>
      <c r="I4" s="8">
        <f t="shared" ref="I4:J4" si="5">len(B4)</f>
        <v>8</v>
      </c>
      <c r="J4" s="8">
        <f t="shared" si="5"/>
        <v>29</v>
      </c>
      <c r="K4" s="8" t="s">
        <v>22</v>
      </c>
    </row>
    <row r="5">
      <c r="A5" s="7" t="b">
        <v>0</v>
      </c>
      <c r="B5" s="8" t="s">
        <v>23</v>
      </c>
      <c r="C5" s="8" t="s">
        <v>24</v>
      </c>
      <c r="D5" s="8" t="str">
        <f>Q&amp;$K5&amp;Q&amp;":{"&amp;Q&amp;$B$2&amp;Q&amp;":"&amp;Q&amp;$B5&amp;Q&amp;","&amp;Q&amp;$C$2&amp;Q&amp;":"&amp;Q&amp;$C5&amp;Q&amp;","&amp;Q&amp;"sets"&amp;Q&amp;":"&amp;Q&amp;substitute(SUBSTITUTE($H5,"[",""),"]","")&amp;Q&amp;"},"</f>
        <v>"isjc":{"label":"Addictive","extra":"(obsessive, consuming, captivating) ","sets":"Expansion Set 1, Party Set"},</v>
      </c>
      <c r="E5" s="9" t="str">
        <f t="shared" si="2"/>
        <v>data:image/svg+xml,%3csvg xmlns='http://www.w3.org/2000/svg' viewBox='0 0 24 216'%3e%3ctext fill='%23fff' style='font: 900 16px sans-serif' text-anchor='end' transform='matrix(0 -1 1 0 18 5)'%3eAddictive%3c/text%3e%3c/svg%3e</v>
      </c>
      <c r="F5" s="10" t="str">
        <f t="shared" si="3"/>
        <v>https://svgtext.heliohost.us/cgi-bin/gen.perl?text=Addictive</v>
      </c>
      <c r="G5" s="11" t="str">
        <f t="shared" si="4"/>
        <v>data:image/svg+xml,%3csvg xmlns='http://www.w3.org/2000/svg' viewBox='0 0 24 216'%3e%3ctext fill='%23fff' style='font: 900 16px sans-serif' text-anchor='end' transform='matrix(0 -1 1 0 18 5)'%3eAddictive%3c/text%3e%3c/svg%3e</v>
      </c>
      <c r="H5" s="8" t="s">
        <v>25</v>
      </c>
      <c r="I5" s="8">
        <f t="shared" ref="I5:J5" si="6">len(B5)</f>
        <v>9</v>
      </c>
      <c r="J5" s="8">
        <f t="shared" si="6"/>
        <v>36</v>
      </c>
      <c r="K5" s="8" t="s">
        <v>26</v>
      </c>
    </row>
    <row r="6">
      <c r="A6" s="7" t="b">
        <v>0</v>
      </c>
      <c r="B6" s="8" t="s">
        <v>27</v>
      </c>
      <c r="C6" s="8" t="s">
        <v>28</v>
      </c>
      <c r="D6" s="8" t="str">
        <f>Q&amp;$K6&amp;Q&amp;":{"&amp;Q&amp;$B$2&amp;Q&amp;":"&amp;Q&amp;$B6&amp;Q&amp;","&amp;Q&amp;$C$2&amp;Q&amp;":"&amp;Q&amp;$C6&amp;Q&amp;","&amp;Q&amp;"sets"&amp;Q&amp;":"&amp;Q&amp;substitute(SUBSTITUTE($H6,"[",""),"]","")&amp;Q&amp;"},"</f>
        <v>"goab":{"label":"Adorable","extra":"(lovable, charming, delightful) ","sets":"Basic Set, Party Set"},</v>
      </c>
      <c r="E6" s="9" t="str">
        <f t="shared" si="2"/>
        <v>data:image/svg+xml,%3csvg xmlns='http://www.w3.org/2000/svg' viewBox='0 0 24 216'%3e%3ctext fill='%23fff' style='font: 900 16px sans-serif' text-anchor='end' transform='matrix(0 -1 1 0 18 5)'%3eAdorable%3c/text%3e%3c/svg%3e</v>
      </c>
      <c r="F6" s="10" t="str">
        <f t="shared" si="3"/>
        <v>https://svgtext.heliohost.us/cgi-bin/gen.perl?text=Adorable</v>
      </c>
      <c r="G6" s="11" t="str">
        <f t="shared" si="4"/>
        <v>data:image/svg+xml,%3csvg xmlns='http://www.w3.org/2000/svg' viewBox='0 0 24 216'%3e%3ctext fill='%23fff' style='font: 900 16px sans-serif' text-anchor='end' transform='matrix(0 -1 1 0 18 5)'%3eAdorable%3c/text%3e%3c/svg%3e</v>
      </c>
      <c r="H6" s="8" t="s">
        <v>29</v>
      </c>
      <c r="I6" s="8">
        <f t="shared" ref="I6:J6" si="7">len(B6)</f>
        <v>8</v>
      </c>
      <c r="J6" s="8">
        <f t="shared" si="7"/>
        <v>32</v>
      </c>
      <c r="K6" s="8" t="s">
        <v>30</v>
      </c>
    </row>
    <row r="7">
      <c r="A7" s="7" t="b">
        <v>1</v>
      </c>
      <c r="B7" s="8" t="s">
        <v>27</v>
      </c>
      <c r="C7" s="8" t="s">
        <v>31</v>
      </c>
      <c r="D7" s="8" t="str">
        <f>Q&amp;$K7&amp;Q&amp;":{"&amp;Q&amp;$B$2&amp;Q&amp;":"&amp;Q&amp;$B7&amp;Q&amp;","&amp;Q&amp;$C$2&amp;Q&amp;":"&amp;Q&amp;$C7&amp;Q&amp;","&amp;Q&amp;"sets"&amp;Q&amp;":"&amp;Q&amp;substitute(SUBSTITUTE($H7,"[",""),"]","")&amp;Q&amp;"},"</f>
        <v>"slsm":{"label":"Adorable","extra":"(lovable, cute) ","sets":"Junior 9+ (2nd)"},</v>
      </c>
      <c r="E7" s="9" t="str">
        <f t="shared" si="2"/>
        <v>data:image/svg+xml,%3csvg xmlns='http://www.w3.org/2000/svg' viewBox='0 0 24 216'%3e%3ctext fill='%23fff' style='font: 900 16px sans-serif' text-anchor='end' transform='matrix(0 -1 1 0 18 5)'%3eAdorable%3c/text%3e%3c/svg%3e</v>
      </c>
      <c r="F7" s="10" t="str">
        <f t="shared" si="3"/>
        <v>https://svgtext.heliohost.us/cgi-bin/gen.perl?text=Adorable</v>
      </c>
      <c r="G7" s="11" t="str">
        <f t="shared" si="4"/>
        <v>data:image/svg+xml,%3csvg xmlns='http://www.w3.org/2000/svg' viewBox='0 0 24 216'%3e%3ctext fill='%23fff' style='font: 900 16px sans-serif' text-anchor='end' transform='matrix(0 -1 1 0 18 5)'%3eAdorable%3c/text%3e%3c/svg%3e</v>
      </c>
      <c r="H7" s="8" t="s">
        <v>32</v>
      </c>
      <c r="I7" s="8">
        <f t="shared" ref="I7:J7" si="8">len(B7)</f>
        <v>8</v>
      </c>
      <c r="J7" s="8">
        <f t="shared" si="8"/>
        <v>16</v>
      </c>
      <c r="K7" s="8" t="s">
        <v>33</v>
      </c>
    </row>
    <row r="8">
      <c r="A8" s="7" t="b">
        <v>0</v>
      </c>
      <c r="B8" s="8" t="s">
        <v>34</v>
      </c>
      <c r="C8" s="8" t="s">
        <v>35</v>
      </c>
      <c r="D8" s="8" t="str">
        <f>Q&amp;$K8&amp;Q&amp;":{"&amp;Q&amp;$B$2&amp;Q&amp;":"&amp;Q&amp;$B8&amp;Q&amp;","&amp;Q&amp;$C$2&amp;Q&amp;":"&amp;Q&amp;$C8&amp;Q&amp;","&amp;Q&amp;"sets"&amp;Q&amp;":"&amp;Q&amp;substitute(SUBSTITUTE($H8,"[",""),"]","")&amp;Q&amp;"},"</f>
        <v>"mlcj":{"label":"Aged","extra":"(old, ancient, mature) ","sets":"Expansion Set 2, Party Set"},</v>
      </c>
      <c r="E8" s="9" t="str">
        <f t="shared" si="2"/>
        <v>data:image/svg+xml,%3csvg xmlns='http://www.w3.org/2000/svg' viewBox='0 0 24 216'%3e%3ctext fill='%23fff' style='font: 900 16px sans-serif' text-anchor='end' transform='matrix(0 -1 1 0 18 5)'%3eAged%3c/text%3e%3c/svg%3e</v>
      </c>
      <c r="F8" s="10" t="str">
        <f t="shared" si="3"/>
        <v>https://svgtext.heliohost.us/cgi-bin/gen.perl?text=Aged</v>
      </c>
      <c r="G8" s="11" t="str">
        <f t="shared" si="4"/>
        <v>data:image/svg+xml,%3csvg xmlns='http://www.w3.org/2000/svg' viewBox='0 0 24 216'%3e%3ctext fill='%23fff' style='font: 900 16px sans-serif' text-anchor='end' transform='matrix(0 -1 1 0 18 5)'%3eAged%3c/text%3e%3c/svg%3e</v>
      </c>
      <c r="H8" s="8" t="s">
        <v>17</v>
      </c>
      <c r="I8" s="8">
        <f t="shared" ref="I8:J8" si="9">len(B8)</f>
        <v>4</v>
      </c>
      <c r="J8" s="8">
        <f t="shared" si="9"/>
        <v>23</v>
      </c>
      <c r="K8" s="8" t="s">
        <v>36</v>
      </c>
    </row>
    <row r="9">
      <c r="A9" s="7" t="b">
        <v>1</v>
      </c>
      <c r="B9" s="8" t="s">
        <v>37</v>
      </c>
      <c r="C9" s="8" t="s">
        <v>38</v>
      </c>
      <c r="D9" s="8" t="str">
        <f>Q&amp;$K9&amp;Q&amp;":{"&amp;Q&amp;$B$2&amp;Q&amp;":"&amp;Q&amp;$B9&amp;Q&amp;","&amp;Q&amp;$C$2&amp;Q&amp;":"&amp;Q&amp;$C9&amp;Q&amp;","&amp;Q&amp;"sets"&amp;Q&amp;":"&amp;Q&amp;substitute(SUBSTITUTE($H9,"[",""),"]","")&amp;Q&amp;"},"</f>
        <v>"ztwa":{"label":"Amazing","extra":"(astonishing, surprising, wonderful) ","sets":"Expansion Set 3, Party Expansion 1"},</v>
      </c>
      <c r="E9" s="9" t="str">
        <f t="shared" si="2"/>
        <v>data:image/svg+xml,%3csvg xmlns='http://www.w3.org/2000/svg' viewBox='0 0 24 216'%3e%3ctext fill='%23fff' style='font: 900 16px sans-serif' text-anchor='end' transform='matrix(0 -1 1 0 18 5)'%3eAmazing%3c/text%3e%3c/svg%3e</v>
      </c>
      <c r="F9" s="10" t="str">
        <f t="shared" si="3"/>
        <v>https://svgtext.heliohost.us/cgi-bin/gen.perl?text=Amazing</v>
      </c>
      <c r="G9" s="11" t="str">
        <f t="shared" si="4"/>
        <v>data:image/svg+xml,%3csvg xmlns='http://www.w3.org/2000/svg' viewBox='0 0 24 216'%3e%3ctext fill='%23fff' style='font: 900 16px sans-serif' text-anchor='end' transform='matrix(0 -1 1 0 18 5)'%3eAmazing%3c/text%3e%3c/svg%3e</v>
      </c>
      <c r="H9" s="8" t="s">
        <v>39</v>
      </c>
      <c r="I9" s="8">
        <f t="shared" ref="I9:J9" si="10">len(B9)</f>
        <v>7</v>
      </c>
      <c r="J9" s="8">
        <f t="shared" si="10"/>
        <v>37</v>
      </c>
      <c r="K9" s="8" t="s">
        <v>40</v>
      </c>
    </row>
    <row r="10">
      <c r="A10" s="7" t="b">
        <v>1</v>
      </c>
      <c r="B10" s="8" t="s">
        <v>37</v>
      </c>
      <c r="C10" s="8" t="s">
        <v>41</v>
      </c>
      <c r="D10" s="8" t="str">
        <f>Q&amp;$K10&amp;Q&amp;":{"&amp;Q&amp;$B$2&amp;Q&amp;":"&amp;Q&amp;$B10&amp;Q&amp;","&amp;Q&amp;$C$2&amp;Q&amp;":"&amp;Q&amp;$C10&amp;Q&amp;","&amp;Q&amp;"sets"&amp;Q&amp;":"&amp;Q&amp;substitute(SUBSTITUTE($H10,"[",""),"]","")&amp;Q&amp;"},"</f>
        <v>"bzlm":{"label":"Amazing","extra":"(surprising, wonderful) ","sets":"Junior 9+ (1st) &amp; (2nd)"},</v>
      </c>
      <c r="E10" s="9" t="str">
        <f t="shared" si="2"/>
        <v>data:image/svg+xml,%3csvg xmlns='http://www.w3.org/2000/svg' viewBox='0 0 24 216'%3e%3ctext fill='%23fff' style='font: 900 16px sans-serif' text-anchor='end' transform='matrix(0 -1 1 0 18 5)'%3eAmazing%3c/text%3e%3c/svg%3e</v>
      </c>
      <c r="F10" s="10" t="str">
        <f t="shared" si="3"/>
        <v>https://svgtext.heliohost.us/cgi-bin/gen.perl?text=Amazing</v>
      </c>
      <c r="G10" s="11" t="str">
        <f t="shared" si="4"/>
        <v>data:image/svg+xml,%3csvg xmlns='http://www.w3.org/2000/svg' viewBox='0 0 24 216'%3e%3ctext fill='%23fff' style='font: 900 16px sans-serif' text-anchor='end' transform='matrix(0 -1 1 0 18 5)'%3eAmazing%3c/text%3e%3c/svg%3e</v>
      </c>
      <c r="H10" s="8" t="s">
        <v>42</v>
      </c>
      <c r="I10" s="8">
        <f t="shared" ref="I10:J10" si="11">len(B10)</f>
        <v>7</v>
      </c>
      <c r="J10" s="8">
        <f t="shared" si="11"/>
        <v>24</v>
      </c>
      <c r="K10" s="8" t="s">
        <v>43</v>
      </c>
    </row>
    <row r="11">
      <c r="A11" s="7" t="b">
        <v>0</v>
      </c>
      <c r="B11" s="8" t="s">
        <v>44</v>
      </c>
      <c r="C11" s="8" t="s">
        <v>45</v>
      </c>
      <c r="D11" s="8" t="str">
        <f>Q&amp;$K11&amp;Q&amp;":{"&amp;Q&amp;$B$2&amp;Q&amp;":"&amp;Q&amp;$B11&amp;Q&amp;","&amp;Q&amp;$C$2&amp;Q&amp;":"&amp;Q&amp;$C11&amp;Q&amp;","&amp;Q&amp;"sets"&amp;Q&amp;":"&amp;Q&amp;substitute(SUBSTITUTE($H11,"[",""),"]","")&amp;Q&amp;"},"</f>
        <v>"nrif":{"label":"American","extra":"(U.S. Citizen, Yankee, Apple Pie) ","sets":"Expansion Set 2, Party Set"},</v>
      </c>
      <c r="E11" s="9" t="str">
        <f t="shared" si="2"/>
        <v>data:image/svg+xml,%3csvg xmlns='http://www.w3.org/2000/svg' viewBox='0 0 24 216'%3e%3ctext fill='%23fff' style='font: 900 16px sans-serif' text-anchor='end' transform='matrix(0 -1 1 0 18 5)'%3eAmerican%3c/text%3e%3c/svg%3e</v>
      </c>
      <c r="F11" s="10" t="str">
        <f t="shared" si="3"/>
        <v>https://svgtext.heliohost.us/cgi-bin/gen.perl?text=American</v>
      </c>
      <c r="G11" s="11" t="str">
        <f t="shared" si="4"/>
        <v>data:image/svg+xml,%3csvg xmlns='http://www.w3.org/2000/svg' viewBox='0 0 24 216'%3e%3ctext fill='%23fff' style='font: 900 16px sans-serif' text-anchor='end' transform='matrix(0 -1 1 0 18 5)'%3eAmerican%3c/text%3e%3c/svg%3e</v>
      </c>
      <c r="H11" s="8" t="s">
        <v>17</v>
      </c>
      <c r="I11" s="8">
        <f t="shared" ref="I11:J11" si="12">len(B11)</f>
        <v>8</v>
      </c>
      <c r="J11" s="8">
        <f t="shared" si="12"/>
        <v>34</v>
      </c>
      <c r="K11" s="8" t="s">
        <v>46</v>
      </c>
    </row>
    <row r="12">
      <c r="A12" s="7" t="b">
        <v>0</v>
      </c>
      <c r="B12" s="8" t="s">
        <v>47</v>
      </c>
      <c r="C12" s="8" t="s">
        <v>48</v>
      </c>
      <c r="D12" s="8" t="str">
        <f>Q&amp;$K12&amp;Q&amp;":{"&amp;Q&amp;$B$2&amp;Q&amp;":"&amp;Q&amp;$B12&amp;Q&amp;","&amp;Q&amp;$C$2&amp;Q&amp;":"&amp;Q&amp;$C12&amp;Q&amp;","&amp;Q&amp;"sets"&amp;Q&amp;":"&amp;Q&amp;substitute(SUBSTITUTE($H12,"[",""),"]","")&amp;Q&amp;"},"</f>
        <v>"uvnf":{"label":"Ancient","extra":"(elderly, old, antique) ","sets":"Basic Set, Party Set"},</v>
      </c>
      <c r="E12" s="9" t="str">
        <f t="shared" si="2"/>
        <v>data:image/svg+xml,%3csvg xmlns='http://www.w3.org/2000/svg' viewBox='0 0 24 216'%3e%3ctext fill='%23fff' style='font: 900 16px sans-serif' text-anchor='end' transform='matrix(0 -1 1 0 18 5)'%3eAncient%3c/text%3e%3c/svg%3e</v>
      </c>
      <c r="F12" s="10" t="str">
        <f t="shared" si="3"/>
        <v>https://svgtext.heliohost.us/cgi-bin/gen.perl?text=Ancient</v>
      </c>
      <c r="G12" s="11" t="str">
        <f t="shared" si="4"/>
        <v>data:image/svg+xml,%3csvg xmlns='http://www.w3.org/2000/svg' viewBox='0 0 24 216'%3e%3ctext fill='%23fff' style='font: 900 16px sans-serif' text-anchor='end' transform='matrix(0 -1 1 0 18 5)'%3eAncient%3c/text%3e%3c/svg%3e</v>
      </c>
      <c r="H12" s="8" t="s">
        <v>29</v>
      </c>
      <c r="I12" s="8">
        <f t="shared" ref="I12:J12" si="13">len(B12)</f>
        <v>7</v>
      </c>
      <c r="J12" s="8">
        <f t="shared" si="13"/>
        <v>24</v>
      </c>
      <c r="K12" s="8" t="s">
        <v>49</v>
      </c>
    </row>
    <row r="13">
      <c r="A13" s="7" t="b">
        <v>0</v>
      </c>
      <c r="B13" s="8" t="s">
        <v>50</v>
      </c>
      <c r="C13" s="8" t="s">
        <v>51</v>
      </c>
      <c r="D13" s="8" t="str">
        <f>Q&amp;$K13&amp;Q&amp;":{"&amp;Q&amp;$B$2&amp;Q&amp;":"&amp;Q&amp;$B13&amp;Q&amp;","&amp;Q&amp;$C$2&amp;Q&amp;":"&amp;Q&amp;$C13&amp;Q&amp;","&amp;Q&amp;"sets"&amp;Q&amp;":"&amp;Q&amp;substitute(SUBSTITUTE($H13,"[",""),"]","")&amp;Q&amp;"},"</f>
        <v>"kqkj":{"label":"Animated","extra":"(lively, exuberant, spirited) ","sets":"Basic Set, Party Set"},</v>
      </c>
      <c r="E13" s="9" t="str">
        <f t="shared" si="2"/>
        <v>data:image/svg+xml,%3csvg xmlns='http://www.w3.org/2000/svg' viewBox='0 0 24 216'%3e%3ctext fill='%23fff' style='font: 900 16px sans-serif' text-anchor='end' transform='matrix(0 -1 1 0 18 5)'%3eAnimated%3c/text%3e%3c/svg%3e</v>
      </c>
      <c r="F13" s="10" t="str">
        <f t="shared" si="3"/>
        <v>https://svgtext.heliohost.us/cgi-bin/gen.perl?text=Animated</v>
      </c>
      <c r="G13" s="11" t="str">
        <f t="shared" si="4"/>
        <v>data:image/svg+xml,%3csvg xmlns='http://www.w3.org/2000/svg' viewBox='0 0 24 216'%3e%3ctext fill='%23fff' style='font: 900 16px sans-serif' text-anchor='end' transform='matrix(0 -1 1 0 18 5)'%3eAnimated%3c/text%3e%3c/svg%3e</v>
      </c>
      <c r="H13" s="8" t="s">
        <v>29</v>
      </c>
      <c r="I13" s="8">
        <f t="shared" ref="I13:J13" si="14">len(B13)</f>
        <v>8</v>
      </c>
      <c r="J13" s="8">
        <f t="shared" si="14"/>
        <v>30</v>
      </c>
      <c r="K13" s="8" t="s">
        <v>52</v>
      </c>
    </row>
    <row r="14">
      <c r="A14" s="7" t="b">
        <v>0</v>
      </c>
      <c r="B14" s="8" t="s">
        <v>53</v>
      </c>
      <c r="C14" s="8" t="s">
        <v>54</v>
      </c>
      <c r="D14" s="8" t="str">
        <f>Q&amp;$K14&amp;Q&amp;":{"&amp;Q&amp;$B$2&amp;Q&amp;":"&amp;Q&amp;$B14&amp;Q&amp;","&amp;Q&amp;$C$2&amp;Q&amp;":"&amp;Q&amp;$C14&amp;Q&amp;","&amp;Q&amp;"sets"&amp;Q&amp;":"&amp;Q&amp;substitute(SUBSTITUTE($H14,"[",""),"]","")&amp;Q&amp;"},"</f>
        <v>"vmzo":{"label":"Annoying","extra":"(irritating, bothersome, teasing) ","sets":"Expansion Set 1, Party Set"},</v>
      </c>
      <c r="E14" s="9" t="str">
        <f t="shared" si="2"/>
        <v>data:image/svg+xml,%3csvg xmlns='http://www.w3.org/2000/svg' viewBox='0 0 24 216'%3e%3ctext fill='%23fff' style='font: 900 16px sans-serif' text-anchor='end' transform='matrix(0 -1 1 0 18 5)'%3eAnnoying%3c/text%3e%3c/svg%3e</v>
      </c>
      <c r="F14" s="10" t="str">
        <f t="shared" si="3"/>
        <v>https://svgtext.heliohost.us/cgi-bin/gen.perl?text=Annoying</v>
      </c>
      <c r="G14" s="11" t="str">
        <f t="shared" si="4"/>
        <v>data:image/svg+xml,%3csvg xmlns='http://www.w3.org/2000/svg' viewBox='0 0 24 216'%3e%3ctext fill='%23fff' style='font: 900 16px sans-serif' text-anchor='end' transform='matrix(0 -1 1 0 18 5)'%3eAnnoying%3c/text%3e%3c/svg%3e</v>
      </c>
      <c r="H14" s="8" t="s">
        <v>25</v>
      </c>
      <c r="I14" s="8">
        <f t="shared" ref="I14:J14" si="15">len(B14)</f>
        <v>8</v>
      </c>
      <c r="J14" s="8">
        <f t="shared" si="15"/>
        <v>34</v>
      </c>
      <c r="K14" s="8" t="s">
        <v>55</v>
      </c>
    </row>
    <row r="15">
      <c r="A15" s="7" t="b">
        <v>1</v>
      </c>
      <c r="B15" s="8" t="s">
        <v>53</v>
      </c>
      <c r="C15" s="8" t="s">
        <v>56</v>
      </c>
      <c r="D15" s="8" t="str">
        <f>Q&amp;$K15&amp;Q&amp;":{"&amp;Q&amp;$B$2&amp;Q&amp;":"&amp;Q&amp;$B15&amp;Q&amp;","&amp;Q&amp;$C$2&amp;Q&amp;":"&amp;Q&amp;$C15&amp;Q&amp;","&amp;Q&amp;"sets"&amp;Q&amp;":"&amp;Q&amp;substitute(SUBSTITUTE($H15,"[",""),"]","")&amp;Q&amp;"},"</f>
        <v>"mffo":{"label":"Annoying","extra":"(bothersome, irritating) ","sets":"Junior 9+ (2nd)"},</v>
      </c>
      <c r="E15" s="9" t="str">
        <f t="shared" si="2"/>
        <v>data:image/svg+xml,%3csvg xmlns='http://www.w3.org/2000/svg' viewBox='0 0 24 216'%3e%3ctext fill='%23fff' style='font: 900 16px sans-serif' text-anchor='end' transform='matrix(0 -1 1 0 18 5)'%3eAnnoying%3c/text%3e%3c/svg%3e</v>
      </c>
      <c r="F15" s="10" t="str">
        <f t="shared" si="3"/>
        <v>https://svgtext.heliohost.us/cgi-bin/gen.perl?text=Annoying</v>
      </c>
      <c r="G15" s="11" t="str">
        <f t="shared" si="4"/>
        <v>data:image/svg+xml,%3csvg xmlns='http://www.w3.org/2000/svg' viewBox='0 0 24 216'%3e%3ctext fill='%23fff' style='font: 900 16px sans-serif' text-anchor='end' transform='matrix(0 -1 1 0 18 5)'%3eAnnoying%3c/text%3e%3c/svg%3e</v>
      </c>
      <c r="H15" s="8" t="s">
        <v>32</v>
      </c>
      <c r="I15" s="8">
        <f t="shared" ref="I15:J15" si="16">len(B15)</f>
        <v>8</v>
      </c>
      <c r="J15" s="8">
        <f t="shared" si="16"/>
        <v>25</v>
      </c>
      <c r="K15" s="8" t="s">
        <v>57</v>
      </c>
    </row>
    <row r="16">
      <c r="A16" s="7" t="b">
        <v>0</v>
      </c>
      <c r="B16" s="8" t="s">
        <v>58</v>
      </c>
      <c r="C16" s="8" t="s">
        <v>59</v>
      </c>
      <c r="D16" s="8" t="str">
        <f>Q&amp;$K16&amp;Q&amp;":{"&amp;Q&amp;$B$2&amp;Q&amp;":"&amp;Q&amp;$B16&amp;Q&amp;","&amp;Q&amp;$C$2&amp;Q&amp;":"&amp;Q&amp;$C16&amp;Q&amp;","&amp;Q&amp;"sets"&amp;Q&amp;":"&amp;Q&amp;substitute(SUBSTITUTE($H16,"[",""),"]","")&amp;Q&amp;"},"</f>
        <v>"aaqt":{"label":"Appetizing","extra":"(appealing, tasty, flavorful) ","sets":"Expansion Set 2, Party Set"},</v>
      </c>
      <c r="E16" s="9" t="str">
        <f t="shared" si="2"/>
        <v>data:image/svg+xml,%3csvg xmlns='http://www.w3.org/2000/svg' viewBox='0 0 24 216'%3e%3ctext fill='%23fff' style='font: 900 16px sans-serif' text-anchor='end' transform='matrix(0 -1 1 0 18 5)'%3eAppetizing%3c/text%3e%3c/svg%3e</v>
      </c>
      <c r="F16" s="10" t="str">
        <f t="shared" si="3"/>
        <v>https://svgtext.heliohost.us/cgi-bin/gen.perl?text=Appetizing</v>
      </c>
      <c r="G16" s="11" t="str">
        <f t="shared" si="4"/>
        <v>data:image/svg+xml,%3csvg xmlns='http://www.w3.org/2000/svg' viewBox='0 0 24 216'%3e%3ctext fill='%23fff' style='font: 900 16px sans-serif' text-anchor='end' transform='matrix(0 -1 1 0 18 5)'%3eAppetizing%3c/text%3e%3c/svg%3e</v>
      </c>
      <c r="H16" s="8" t="s">
        <v>17</v>
      </c>
      <c r="I16" s="8">
        <f t="shared" ref="I16:J16" si="17">len(B16)</f>
        <v>10</v>
      </c>
      <c r="J16" s="8">
        <f t="shared" si="17"/>
        <v>30</v>
      </c>
      <c r="K16" s="8" t="s">
        <v>60</v>
      </c>
    </row>
    <row r="17">
      <c r="A17" s="7" t="b">
        <v>1</v>
      </c>
      <c r="B17" s="8" t="s">
        <v>61</v>
      </c>
      <c r="C17" s="8" t="s">
        <v>62</v>
      </c>
      <c r="D17" s="8" t="str">
        <f>Q&amp;$K17&amp;Q&amp;":{"&amp;Q&amp;$B$2&amp;Q&amp;":"&amp;Q&amp;$B17&amp;Q&amp;","&amp;Q&amp;$C$2&amp;Q&amp;":"&amp;Q&amp;$C17&amp;Q&amp;","&amp;Q&amp;"sets"&amp;Q&amp;":"&amp;Q&amp;substitute(SUBSTITUTE($H17,"[",""),"]","")&amp;Q&amp;"},"</f>
        <v>"oxat":{"label":"Armed &amp; Dangerous","extra":"(hazardous, threatening, fortified) ","sets":"Expansion Set 4, Party Expansion 1"},</v>
      </c>
      <c r="E17" s="9" t="str">
        <f t="shared" si="2"/>
        <v>data:image/svg+xml,%3csvg xmlns='http://www.w3.org/2000/svg' viewBox='0 0 24 216'%3e%3ctext fill='%23fff' style='font: 900 16px sans-serif' text-anchor='end' transform='matrix(0 -1 1 0 18 5)'%3eArmed %26amp%3B Dangerous%3c/text%3e%3c/svg%3e</v>
      </c>
      <c r="F17" s="10" t="str">
        <f t="shared" si="3"/>
        <v>https://svgtext.heliohost.us/cgi-bin/gen.perl?text=Armed%20%26%20Dangerous</v>
      </c>
      <c r="G17" s="11" t="str">
        <f t="shared" si="4"/>
        <v>data:image/svg+xml,%3csvg xmlns='http://www.w3.org/2000/svg' viewBox='0 0 24 216'%3e%3ctext fill='%23fff' style='font: 900 16px sans-serif' text-anchor='end' transform='matrix(0 -1 1 0 18 5)'%3eArmed %26amp%3B Dangerous%3c/text%3e%3c/svg%3e</v>
      </c>
      <c r="H17" s="8" t="s">
        <v>63</v>
      </c>
      <c r="I17" s="8">
        <f t="shared" ref="I17:J17" si="18">len(B17)</f>
        <v>17</v>
      </c>
      <c r="J17" s="8">
        <f t="shared" si="18"/>
        <v>36</v>
      </c>
      <c r="K17" s="8" t="s">
        <v>64</v>
      </c>
    </row>
    <row r="18">
      <c r="A18" s="7" t="b">
        <v>0</v>
      </c>
      <c r="B18" s="8" t="s">
        <v>65</v>
      </c>
      <c r="C18" s="8" t="s">
        <v>66</v>
      </c>
      <c r="D18" s="8" t="str">
        <f>Q&amp;$K18&amp;Q&amp;":{"&amp;Q&amp;$B$2&amp;Q&amp;":"&amp;Q&amp;$B18&amp;Q&amp;","&amp;Q&amp;$C$2&amp;Q&amp;":"&amp;Q&amp;$C18&amp;Q&amp;","&amp;Q&amp;"sets"&amp;Q&amp;":"&amp;Q&amp;substitute(SUBSTITUTE($H18,"[",""),"]","")&amp;Q&amp;"},"</f>
        <v>"gqob":{"label":"Arrogant","extra":"(egotistical, overconfident, conceited) ","sets":"Basic Set, Party Set"},</v>
      </c>
      <c r="E18" s="9" t="str">
        <f t="shared" si="2"/>
        <v>data:image/svg+xml,%3csvg xmlns='http://www.w3.org/2000/svg' viewBox='0 0 24 216'%3e%3ctext fill='%23fff' style='font: 900 16px sans-serif' text-anchor='end' transform='matrix(0 -1 1 0 18 5)'%3eArrogant%3c/text%3e%3c/svg%3e</v>
      </c>
      <c r="F18" s="10" t="str">
        <f t="shared" si="3"/>
        <v>https://svgtext.heliohost.us/cgi-bin/gen.perl?text=Arrogant</v>
      </c>
      <c r="G18" s="11" t="str">
        <f t="shared" si="4"/>
        <v>data:image/svg+xml,%3csvg xmlns='http://www.w3.org/2000/svg' viewBox='0 0 24 216'%3e%3ctext fill='%23fff' style='font: 900 16px sans-serif' text-anchor='end' transform='matrix(0 -1 1 0 18 5)'%3eArrogant%3c/text%3e%3c/svg%3e</v>
      </c>
      <c r="H18" s="8" t="s">
        <v>29</v>
      </c>
      <c r="I18" s="8">
        <f t="shared" ref="I18:J18" si="19">len(B18)</f>
        <v>8</v>
      </c>
      <c r="J18" s="8">
        <f t="shared" si="19"/>
        <v>40</v>
      </c>
      <c r="K18" s="8" t="s">
        <v>67</v>
      </c>
    </row>
    <row r="19">
      <c r="A19" s="7" t="b">
        <v>1</v>
      </c>
      <c r="B19" s="8" t="s">
        <v>68</v>
      </c>
      <c r="C19" s="8" t="s">
        <v>69</v>
      </c>
      <c r="D19" s="8" t="str">
        <f>Q&amp;$K19&amp;Q&amp;":{"&amp;Q&amp;$B$2&amp;Q&amp;":"&amp;Q&amp;$B19&amp;Q&amp;","&amp;Q&amp;$C$2&amp;Q&amp;":"&amp;Q&amp;$C19&amp;Q&amp;","&amp;Q&amp;"sets"&amp;Q&amp;":"&amp;Q&amp;substitute(SUBSTITUTE($H19,"[",""),"]","")&amp;Q&amp;"},"</f>
        <v>"ropq":{"label":"Attractive","extra":"(alluring, engaging, good-looking) ","sets":"Expansion Set 3, Party Expansion 1"},</v>
      </c>
      <c r="E19" s="9" t="str">
        <f t="shared" si="2"/>
        <v>data:image/svg+xml,%3csvg xmlns='http://www.w3.org/2000/svg' viewBox='0 0 24 216'%3e%3ctext fill='%23fff' style='font: 900 16px sans-serif' text-anchor='end' transform='matrix(0 -1 1 0 18 5)'%3eAttractive%3c/text%3e%3c/svg%3e</v>
      </c>
      <c r="F19" s="10" t="str">
        <f t="shared" si="3"/>
        <v>https://svgtext.heliohost.us/cgi-bin/gen.perl?text=Attractive</v>
      </c>
      <c r="G19" s="11" t="str">
        <f t="shared" si="4"/>
        <v>data:image/svg+xml,%3csvg xmlns='http://www.w3.org/2000/svg' viewBox='0 0 24 216'%3e%3ctext fill='%23fff' style='font: 900 16px sans-serif' text-anchor='end' transform='matrix(0 -1 1 0 18 5)'%3eAttractive%3c/text%3e%3c/svg%3e</v>
      </c>
      <c r="H19" s="8" t="s">
        <v>39</v>
      </c>
      <c r="I19" s="8">
        <f t="shared" ref="I19:J19" si="20">len(B19)</f>
        <v>10</v>
      </c>
      <c r="J19" s="8">
        <f t="shared" si="20"/>
        <v>35</v>
      </c>
      <c r="K19" s="8" t="s">
        <v>70</v>
      </c>
    </row>
    <row r="20">
      <c r="A20" s="7" t="b">
        <v>1</v>
      </c>
      <c r="B20" s="8" t="s">
        <v>68</v>
      </c>
      <c r="C20" s="8" t="s">
        <v>71</v>
      </c>
      <c r="D20" s="8" t="str">
        <f>Q&amp;$K20&amp;Q&amp;":{"&amp;Q&amp;$B$2&amp;Q&amp;":"&amp;Q&amp;$B20&amp;Q&amp;","&amp;Q&amp;$C$2&amp;Q&amp;":"&amp;Q&amp;$C20&amp;Q&amp;","&amp;Q&amp;"sets"&amp;Q&amp;":"&amp;Q&amp;substitute(SUBSTITUTE($H20,"[",""),"]","")&amp;Q&amp;"},"</f>
        <v>"myqb":{"label":"Attractive","extra":"(pretty, good-looking) ","sets":"Junior 9+ (2nd)"},</v>
      </c>
      <c r="E20" s="9" t="str">
        <f t="shared" si="2"/>
        <v>data:image/svg+xml,%3csvg xmlns='http://www.w3.org/2000/svg' viewBox='0 0 24 216'%3e%3ctext fill='%23fff' style='font: 900 16px sans-serif' text-anchor='end' transform='matrix(0 -1 1 0 18 5)'%3eAttractive%3c/text%3e%3c/svg%3e</v>
      </c>
      <c r="F20" s="10" t="str">
        <f t="shared" si="3"/>
        <v>https://svgtext.heliohost.us/cgi-bin/gen.perl?text=Attractive</v>
      </c>
      <c r="G20" s="11" t="str">
        <f t="shared" si="4"/>
        <v>data:image/svg+xml,%3csvg xmlns='http://www.w3.org/2000/svg' viewBox='0 0 24 216'%3e%3ctext fill='%23fff' style='font: 900 16px sans-serif' text-anchor='end' transform='matrix(0 -1 1 0 18 5)'%3eAttractive%3c/text%3e%3c/svg%3e</v>
      </c>
      <c r="H20" s="8" t="s">
        <v>32</v>
      </c>
      <c r="I20" s="8">
        <f t="shared" ref="I20:J20" si="21">len(B20)</f>
        <v>10</v>
      </c>
      <c r="J20" s="8">
        <f t="shared" si="21"/>
        <v>23</v>
      </c>
      <c r="K20" s="8" t="s">
        <v>72</v>
      </c>
    </row>
    <row r="21">
      <c r="A21" s="7" t="b">
        <v>0</v>
      </c>
      <c r="B21" s="8" t="s">
        <v>73</v>
      </c>
      <c r="C21" s="8" t="s">
        <v>74</v>
      </c>
      <c r="D21" s="8" t="str">
        <f>Q&amp;$K21&amp;Q&amp;":{"&amp;Q&amp;$B$2&amp;Q&amp;":"&amp;Q&amp;$B21&amp;Q&amp;","&amp;Q&amp;$C$2&amp;Q&amp;":"&amp;Q&amp;$C21&amp;Q&amp;","&amp;Q&amp;"sets"&amp;Q&amp;":"&amp;Q&amp;substitute(SUBSTITUTE($H21,"[",""),"]","")&amp;Q&amp;"},"</f>
        <v>"bhgv":{"label":"Awesome","extra":"(amazing, remarkable, majestic) ","sets":"Expansion Set 1, Party Set"},</v>
      </c>
      <c r="E21" s="9" t="str">
        <f t="shared" si="2"/>
        <v>data:image/svg+xml,%3csvg xmlns='http://www.w3.org/2000/svg' viewBox='0 0 24 216'%3e%3ctext fill='%23fff' style='font: 900 16px sans-serif' text-anchor='end' transform='matrix(0 -1 1 0 18 5)'%3eAwesome%3c/text%3e%3c/svg%3e</v>
      </c>
      <c r="F21" s="10" t="str">
        <f t="shared" si="3"/>
        <v>https://svgtext.heliohost.us/cgi-bin/gen.perl?text=Awesome</v>
      </c>
      <c r="G21" s="11" t="str">
        <f t="shared" si="4"/>
        <v>data:image/svg+xml,%3csvg xmlns='http://www.w3.org/2000/svg' viewBox='0 0 24 216'%3e%3ctext fill='%23fff' style='font: 900 16px sans-serif' text-anchor='end' transform='matrix(0 -1 1 0 18 5)'%3eAwesome%3c/text%3e%3c/svg%3e</v>
      </c>
      <c r="H21" s="8" t="s">
        <v>25</v>
      </c>
      <c r="I21" s="8">
        <f t="shared" ref="I21:J21" si="22">len(B21)</f>
        <v>7</v>
      </c>
      <c r="J21" s="8">
        <f t="shared" si="22"/>
        <v>32</v>
      </c>
      <c r="K21" s="8" t="s">
        <v>75</v>
      </c>
    </row>
    <row r="22">
      <c r="A22" s="7" t="b">
        <v>0</v>
      </c>
      <c r="B22" s="8" t="s">
        <v>76</v>
      </c>
      <c r="C22" s="8" t="s">
        <v>77</v>
      </c>
      <c r="D22" s="8" t="str">
        <f>Q&amp;$K22&amp;Q&amp;":{"&amp;Q&amp;$B$2&amp;Q&amp;":"&amp;Q&amp;$B22&amp;Q&amp;","&amp;Q&amp;$C$2&amp;Q&amp;":"&amp;Q&amp;$C22&amp;Q&amp;","&amp;Q&amp;"sets"&amp;Q&amp;":"&amp;Q&amp;substitute(SUBSTITUTE($H22,"[",""),"]","")&amp;Q&amp;"},"</f>
        <v>"exdq":{"label":"Awful","extra":"(very bad, horrible) ","sets":"Junior 9+ (1st) &amp; (2nd)"},</v>
      </c>
      <c r="E22" s="9" t="str">
        <f t="shared" si="2"/>
        <v>data:image/svg+xml,%3csvg xmlns='http://www.w3.org/2000/svg' viewBox='0 0 24 216'%3e%3ctext fill='%23fff' style='font: 900 16px sans-serif' text-anchor='end' transform='matrix(0 -1 1 0 18 5)'%3eAwful%3c/text%3e%3c/svg%3e</v>
      </c>
      <c r="F22" s="10" t="str">
        <f t="shared" si="3"/>
        <v>https://svgtext.heliohost.us/cgi-bin/gen.perl?text=Awful</v>
      </c>
      <c r="G22" s="11" t="str">
        <f t="shared" si="4"/>
        <v>data:image/svg+xml,%3csvg xmlns='http://www.w3.org/2000/svg' viewBox='0 0 24 216'%3e%3ctext fill='%23fff' style='font: 900 16px sans-serif' text-anchor='end' transform='matrix(0 -1 1 0 18 5)'%3eAwful%3c/text%3e%3c/svg%3e</v>
      </c>
      <c r="H22" s="8" t="s">
        <v>42</v>
      </c>
      <c r="I22" s="8">
        <f t="shared" ref="I22:J22" si="23">len(B22)</f>
        <v>5</v>
      </c>
      <c r="J22" s="8">
        <f t="shared" si="23"/>
        <v>21</v>
      </c>
      <c r="K22" s="8" t="s">
        <v>78</v>
      </c>
    </row>
    <row r="23">
      <c r="A23" s="7" t="b">
        <v>0</v>
      </c>
      <c r="B23" s="8" t="s">
        <v>79</v>
      </c>
      <c r="C23" s="8" t="s">
        <v>80</v>
      </c>
      <c r="D23" s="8" t="str">
        <f>Q&amp;$K23&amp;Q&amp;":{"&amp;Q&amp;$B$2&amp;Q&amp;":"&amp;Q&amp;$B23&amp;Q&amp;","&amp;Q&amp;$C$2&amp;Q&amp;":"&amp;Q&amp;$C23&amp;Q&amp;","&amp;Q&amp;"sets"&amp;Q&amp;":"&amp;Q&amp;substitute(SUBSTITUTE($H23,"[",""),"]","")&amp;Q&amp;"},"</f>
        <v>"butp":{"label":"Awkward","extra":"(clumsy, bumbling, uncoordinated) ","sets":"Basic Set, Party Set"},</v>
      </c>
      <c r="E23" s="9" t="str">
        <f t="shared" si="2"/>
        <v>data:image/svg+xml,%3csvg xmlns='http://www.w3.org/2000/svg' viewBox='0 0 24 216'%3e%3ctext fill='%23fff' style='font: 900 16px sans-serif' text-anchor='end' transform='matrix(0 -1 1 0 18 5)'%3eAwkward%3c/text%3e%3c/svg%3e</v>
      </c>
      <c r="F23" s="10" t="str">
        <f t="shared" si="3"/>
        <v>https://svgtext.heliohost.us/cgi-bin/gen.perl?text=Awkward</v>
      </c>
      <c r="G23" s="11" t="str">
        <f t="shared" si="4"/>
        <v>data:image/svg+xml,%3csvg xmlns='http://www.w3.org/2000/svg' viewBox='0 0 24 216'%3e%3ctext fill='%23fff' style='font: 900 16px sans-serif' text-anchor='end' transform='matrix(0 -1 1 0 18 5)'%3eAwkward%3c/text%3e%3c/svg%3e</v>
      </c>
      <c r="H23" s="8" t="s">
        <v>29</v>
      </c>
      <c r="I23" s="8">
        <f t="shared" ref="I23:J23" si="24">len(B23)</f>
        <v>7</v>
      </c>
      <c r="J23" s="8">
        <f t="shared" si="24"/>
        <v>34</v>
      </c>
      <c r="K23" s="8" t="s">
        <v>81</v>
      </c>
    </row>
    <row r="24">
      <c r="A24" s="7" t="b">
        <v>0</v>
      </c>
      <c r="B24" s="8" t="s">
        <v>82</v>
      </c>
      <c r="C24" s="8" t="s">
        <v>83</v>
      </c>
      <c r="D24" s="8" t="str">
        <f>Q&amp;$K24&amp;Q&amp;":{"&amp;Q&amp;$B$2&amp;Q&amp;":"&amp;Q&amp;$B24&amp;Q&amp;","&amp;Q&amp;$C$2&amp;Q&amp;":"&amp;Q&amp;$C24&amp;Q&amp;","&amp;Q&amp;"sets"&amp;Q&amp;":"&amp;Q&amp;substitute(SUBSTITUTE($H24,"[",""),"]","")&amp;Q&amp;"},"</f>
        <v>"uocu":{"label":"Bad","extra":"(rotten, hurtful) ","sets":"Junior"},</v>
      </c>
      <c r="E24" s="9" t="str">
        <f t="shared" si="2"/>
        <v>data:image/svg+xml,%3csvg xmlns='http://www.w3.org/2000/svg' viewBox='0 0 24 216'%3e%3ctext fill='%23fff' style='font: 900 16px sans-serif' text-anchor='end' transform='matrix(0 -1 1 0 18 5)'%3eBad%3c/text%3e%3c/svg%3e</v>
      </c>
      <c r="F24" s="10" t="str">
        <f t="shared" si="3"/>
        <v>https://svgtext.heliohost.us/cgi-bin/gen.perl?text=Bad</v>
      </c>
      <c r="G24" s="11" t="str">
        <f t="shared" si="4"/>
        <v>data:image/svg+xml,%3csvg xmlns='http://www.w3.org/2000/svg' viewBox='0 0 24 216'%3e%3ctext fill='%23fff' style='font: 900 16px sans-serif' text-anchor='end' transform='matrix(0 -1 1 0 18 5)'%3eBad%3c/text%3e%3c/svg%3e</v>
      </c>
      <c r="H24" s="8" t="s">
        <v>84</v>
      </c>
      <c r="I24" s="8">
        <f t="shared" ref="I24:J24" si="25">len(B24)</f>
        <v>3</v>
      </c>
      <c r="J24" s="8">
        <f t="shared" si="25"/>
        <v>18</v>
      </c>
      <c r="K24" s="8" t="s">
        <v>85</v>
      </c>
    </row>
    <row r="25">
      <c r="A25" s="7" t="b">
        <v>1</v>
      </c>
      <c r="B25" s="8" t="s">
        <v>86</v>
      </c>
      <c r="C25" s="8" t="s">
        <v>87</v>
      </c>
      <c r="D25" s="8" t="str">
        <f>Q&amp;$K25&amp;Q&amp;":{"&amp;Q&amp;$B$2&amp;Q&amp;":"&amp;Q&amp;$B25&amp;Q&amp;","&amp;Q&amp;$C$2&amp;Q&amp;":"&amp;Q&amp;$C25&amp;Q&amp;","&amp;Q&amp;"sets"&amp;Q&amp;":"&amp;Q&amp;substitute(SUBSTITUTE($H25,"[",""),"]","")&amp;Q&amp;"},"</f>
        <v>"resm":{"label":"Bashful","extra":"(shy, timid, modest) ","sets":"Expansion Set 3, Party Expansion 1"},</v>
      </c>
      <c r="E25" s="9" t="str">
        <f t="shared" si="2"/>
        <v>data:image/svg+xml,%3csvg xmlns='http://www.w3.org/2000/svg' viewBox='0 0 24 216'%3e%3ctext fill='%23fff' style='font: 900 16px sans-serif' text-anchor='end' transform='matrix(0 -1 1 0 18 5)'%3eBashful%3c/text%3e%3c/svg%3e</v>
      </c>
      <c r="F25" s="10" t="str">
        <f t="shared" si="3"/>
        <v>https://svgtext.heliohost.us/cgi-bin/gen.perl?text=Bashful</v>
      </c>
      <c r="G25" s="11" t="str">
        <f t="shared" si="4"/>
        <v>data:image/svg+xml,%3csvg xmlns='http://www.w3.org/2000/svg' viewBox='0 0 24 216'%3e%3ctext fill='%23fff' style='font: 900 16px sans-serif' text-anchor='end' transform='matrix(0 -1 1 0 18 5)'%3eBashful%3c/text%3e%3c/svg%3e</v>
      </c>
      <c r="H25" s="8" t="s">
        <v>39</v>
      </c>
      <c r="I25" s="8">
        <f t="shared" ref="I25:J25" si="26">len(B25)</f>
        <v>7</v>
      </c>
      <c r="J25" s="8">
        <f t="shared" si="26"/>
        <v>21</v>
      </c>
      <c r="K25" s="8" t="s">
        <v>88</v>
      </c>
    </row>
    <row r="26">
      <c r="A26" s="7" t="b">
        <v>1</v>
      </c>
      <c r="B26" s="8" t="s">
        <v>89</v>
      </c>
      <c r="C26" s="8" t="s">
        <v>90</v>
      </c>
      <c r="D26" s="8" t="str">
        <f>Q&amp;$K26&amp;Q&amp;":{"&amp;Q&amp;$B$2&amp;Q&amp;":"&amp;Q&amp;$B26&amp;Q&amp;","&amp;Q&amp;$C$2&amp;Q&amp;":"&amp;Q&amp;$C26&amp;Q&amp;","&amp;Q&amp;"sets"&amp;Q&amp;":"&amp;Q&amp;substitute(SUBSTITUTE($H26,"[",""),"]","")&amp;Q&amp;"},"</f>
        <v>"otvc":{"label":"Beautiful","extra":"(pretty, lovely) ","sets":"Junior 9+ (1st) &amp; (2nd)"},</v>
      </c>
      <c r="E26" s="9" t="str">
        <f t="shared" si="2"/>
        <v>data:image/svg+xml,%3csvg xmlns='http://www.w3.org/2000/svg' viewBox='0 0 24 216'%3e%3ctext fill='%23fff' style='font: 900 16px sans-serif' text-anchor='end' transform='matrix(0 -1 1 0 18 5)'%3eBeautiful%3c/text%3e%3c/svg%3e</v>
      </c>
      <c r="F26" s="10" t="str">
        <f t="shared" si="3"/>
        <v>https://svgtext.heliohost.us/cgi-bin/gen.perl?text=Beautiful</v>
      </c>
      <c r="G26" s="11" t="str">
        <f t="shared" si="4"/>
        <v>data:image/svg+xml,%3csvg xmlns='http://www.w3.org/2000/svg' viewBox='0 0 24 216'%3e%3ctext fill='%23fff' style='font: 900 16px sans-serif' text-anchor='end' transform='matrix(0 -1 1 0 18 5)'%3eBeautiful%3c/text%3e%3c/svg%3e</v>
      </c>
      <c r="H26" s="8" t="s">
        <v>42</v>
      </c>
      <c r="I26" s="8">
        <f t="shared" ref="I26:J26" si="27">len(B26)</f>
        <v>9</v>
      </c>
      <c r="J26" s="8">
        <f t="shared" si="27"/>
        <v>17</v>
      </c>
      <c r="K26" s="8" t="s">
        <v>91</v>
      </c>
    </row>
    <row r="27">
      <c r="A27" s="7" t="b">
        <v>0</v>
      </c>
      <c r="B27" s="8" t="s">
        <v>92</v>
      </c>
      <c r="C27" s="8" t="s">
        <v>93</v>
      </c>
      <c r="D27" s="8" t="str">
        <f>Q&amp;$K27&amp;Q&amp;":{"&amp;Q&amp;$B$2&amp;Q&amp;":"&amp;Q&amp;$B27&amp;Q&amp;","&amp;Q&amp;$C$2&amp;Q&amp;":"&amp;Q&amp;$C27&amp;Q&amp;","&amp;Q&amp;"sets"&amp;Q&amp;":"&amp;Q&amp;substitute(SUBSTITUTE($H27,"[",""),"]","")&amp;Q&amp;"},"</f>
        <v>"bedd":{"label":"Believable","extra":"(trustworthy, credible, convincing) ","sets":"Expansion Set 1, Party Set"},</v>
      </c>
      <c r="E27" s="9" t="str">
        <f t="shared" si="2"/>
        <v>data:image/svg+xml,%3csvg xmlns='http://www.w3.org/2000/svg' viewBox='0 0 24 216'%3e%3ctext fill='%23fff' style='font: 900 16px sans-serif' text-anchor='end' transform='matrix(0 -1 1 0 18 5)'%3eBelievable%3c/text%3e%3c/svg%3e</v>
      </c>
      <c r="F27" s="10" t="str">
        <f t="shared" si="3"/>
        <v>https://svgtext.heliohost.us/cgi-bin/gen.perl?text=Believable</v>
      </c>
      <c r="G27" s="11" t="str">
        <f t="shared" si="4"/>
        <v>data:image/svg+xml,%3csvg xmlns='http://www.w3.org/2000/svg' viewBox='0 0 24 216'%3e%3ctext fill='%23fff' style='font: 900 16px sans-serif' text-anchor='end' transform='matrix(0 -1 1 0 18 5)'%3eBelievable%3c/text%3e%3c/svg%3e</v>
      </c>
      <c r="H27" s="8" t="s">
        <v>25</v>
      </c>
      <c r="I27" s="8">
        <f t="shared" ref="I27:J27" si="28">len(B27)</f>
        <v>10</v>
      </c>
      <c r="J27" s="8">
        <f t="shared" si="28"/>
        <v>36</v>
      </c>
      <c r="K27" s="8" t="s">
        <v>94</v>
      </c>
    </row>
    <row r="28">
      <c r="A28" s="7" t="b">
        <v>0</v>
      </c>
      <c r="B28" s="8" t="s">
        <v>95</v>
      </c>
      <c r="C28" s="8" t="s">
        <v>96</v>
      </c>
      <c r="D28" s="8" t="str">
        <f>Q&amp;$K28&amp;Q&amp;":{"&amp;Q&amp;$B$2&amp;Q&amp;":"&amp;Q&amp;$B28&amp;Q&amp;","&amp;Q&amp;$C$2&amp;Q&amp;":"&amp;Q&amp;$C28&amp;Q&amp;","&amp;Q&amp;"sets"&amp;Q&amp;":"&amp;Q&amp;substitute(SUBSTITUTE($H28,"[",""),"]","")&amp;Q&amp;"},"</f>
        <v>"tsuh":{"label":"Best","extra":"(greatest, finest) ","sets":"Junior 9+ (2nd)"},</v>
      </c>
      <c r="E28" s="9" t="str">
        <f t="shared" si="2"/>
        <v>data:image/svg+xml,%3csvg xmlns='http://www.w3.org/2000/svg' viewBox='0 0 24 216'%3e%3ctext fill='%23fff' style='font: 900 16px sans-serif' text-anchor='end' transform='matrix(0 -1 1 0 18 5)'%3eBest%3c/text%3e%3c/svg%3e</v>
      </c>
      <c r="F28" s="10" t="str">
        <f t="shared" si="3"/>
        <v>https://svgtext.heliohost.us/cgi-bin/gen.perl?text=Best</v>
      </c>
      <c r="G28" s="11" t="str">
        <f t="shared" si="4"/>
        <v>data:image/svg+xml,%3csvg xmlns='http://www.w3.org/2000/svg' viewBox='0 0 24 216'%3e%3ctext fill='%23fff' style='font: 900 16px sans-serif' text-anchor='end' transform='matrix(0 -1 1 0 18 5)'%3eBest%3c/text%3e%3c/svg%3e</v>
      </c>
      <c r="H28" s="8" t="s">
        <v>32</v>
      </c>
      <c r="I28" s="8">
        <f t="shared" ref="I28:J28" si="29">len(B28)</f>
        <v>4</v>
      </c>
      <c r="J28" s="8">
        <f t="shared" si="29"/>
        <v>19</v>
      </c>
      <c r="K28" s="8" t="s">
        <v>97</v>
      </c>
    </row>
    <row r="29">
      <c r="A29" s="7" t="b">
        <v>0</v>
      </c>
      <c r="B29" s="8" t="s">
        <v>98</v>
      </c>
      <c r="C29" s="8" t="s">
        <v>99</v>
      </c>
      <c r="D29" s="8" t="str">
        <f>Q&amp;$K29&amp;Q&amp;":{"&amp;Q&amp;$B$2&amp;Q&amp;":"&amp;Q&amp;$B29&amp;Q&amp;","&amp;Q&amp;$C$2&amp;Q&amp;":"&amp;Q&amp;$C29&amp;Q&amp;","&amp;Q&amp;"sets"&amp;Q&amp;":"&amp;Q&amp;substitute(SUBSTITUTE($H29,"[",""),"]","")&amp;Q&amp;"},"</f>
        <v>"nxwg":{"label":"Big","extra":"(large, huge) ","sets":"Junior"},</v>
      </c>
      <c r="E29" s="9" t="str">
        <f t="shared" si="2"/>
        <v>data:image/svg+xml,%3csvg xmlns='http://www.w3.org/2000/svg' viewBox='0 0 24 216'%3e%3ctext fill='%23fff' style='font: 900 16px sans-serif' text-anchor='end' transform='matrix(0 -1 1 0 18 5)'%3eBig%3c/text%3e%3c/svg%3e</v>
      </c>
      <c r="F29" s="10" t="str">
        <f t="shared" si="3"/>
        <v>https://svgtext.heliohost.us/cgi-bin/gen.perl?text=Big</v>
      </c>
      <c r="G29" s="11" t="str">
        <f t="shared" si="4"/>
        <v>data:image/svg+xml,%3csvg xmlns='http://www.w3.org/2000/svg' viewBox='0 0 24 216'%3e%3ctext fill='%23fff' style='font: 900 16px sans-serif' text-anchor='end' transform='matrix(0 -1 1 0 18 5)'%3eBig%3c/text%3e%3c/svg%3e</v>
      </c>
      <c r="H29" s="8" t="s">
        <v>84</v>
      </c>
      <c r="I29" s="8">
        <f t="shared" ref="I29:J29" si="30">len(B29)</f>
        <v>3</v>
      </c>
      <c r="J29" s="8">
        <f t="shared" si="30"/>
        <v>14</v>
      </c>
      <c r="K29" s="8" t="s">
        <v>100</v>
      </c>
    </row>
    <row r="30">
      <c r="A30" s="7" t="b">
        <v>1</v>
      </c>
      <c r="B30" s="8" t="s">
        <v>101</v>
      </c>
      <c r="C30" s="8" t="s">
        <v>102</v>
      </c>
      <c r="D30" s="8" t="str">
        <f>Q&amp;$K30&amp;Q&amp;":{"&amp;Q&amp;$B$2&amp;Q&amp;":"&amp;Q&amp;$B30&amp;Q&amp;","&amp;Q&amp;$C$2&amp;Q&amp;":"&amp;Q&amp;$C30&amp;Q&amp;","&amp;Q&amp;"sets"&amp;Q&amp;":"&amp;Q&amp;substitute(SUBSTITUTE($H30,"[",""),"]","")&amp;Q&amp;"},"</f>
        <v>"vces":{"label":"Big &amp; Tall","extra":"(large, bulky, gigantic) ","sets":"Expansion Set 4, Party Expansion 1"},</v>
      </c>
      <c r="E30" s="9" t="str">
        <f t="shared" si="2"/>
        <v>data:image/svg+xml,%3csvg xmlns='http://www.w3.org/2000/svg' viewBox='0 0 24 216'%3e%3ctext fill='%23fff' style='font: 900 16px sans-serif' text-anchor='end' transform='matrix(0 -1 1 0 18 5)'%3eBig %26amp%3B Tall%3c/text%3e%3c/svg%3e</v>
      </c>
      <c r="F30" s="10" t="str">
        <f t="shared" si="3"/>
        <v>https://svgtext.heliohost.us/cgi-bin/gen.perl?text=Big%20%26%20Tall</v>
      </c>
      <c r="G30" s="11" t="str">
        <f t="shared" si="4"/>
        <v>data:image/svg+xml,%3csvg xmlns='http://www.w3.org/2000/svg' viewBox='0 0 24 216'%3e%3ctext fill='%23fff' style='font: 900 16px sans-serif' text-anchor='end' transform='matrix(0 -1 1 0 18 5)'%3eBig %26amp%3B Tall%3c/text%3e%3c/svg%3e</v>
      </c>
      <c r="H30" s="8" t="s">
        <v>63</v>
      </c>
      <c r="I30" s="8">
        <f t="shared" ref="I30:J30" si="31">len(B30)</f>
        <v>10</v>
      </c>
      <c r="J30" s="8">
        <f t="shared" si="31"/>
        <v>25</v>
      </c>
      <c r="K30" s="8" t="s">
        <v>103</v>
      </c>
    </row>
    <row r="31">
      <c r="A31" s="7" t="b">
        <v>0</v>
      </c>
      <c r="B31" s="8" t="s">
        <v>104</v>
      </c>
      <c r="C31" s="8" t="s">
        <v>105</v>
      </c>
      <c r="D31" s="8" t="str">
        <f>Q&amp;$K31&amp;Q&amp;":{"&amp;Q&amp;$B$2&amp;Q&amp;":"&amp;Q&amp;$B31&amp;Q&amp;","&amp;Q&amp;$C$2&amp;Q&amp;":"&amp;Q&amp;$C31&amp;Q&amp;","&amp;Q&amp;"sets"&amp;Q&amp;":"&amp;Q&amp;substitute(SUBSTITUTE($H31,"[",""),"]","")&amp;Q&amp;"},"</f>
        <v>"nrvw":{"label":"Bitter","extra":"(sour, tart) ","sets":"Junior 9+ (2nd)"},</v>
      </c>
      <c r="E31" s="9" t="str">
        <f t="shared" si="2"/>
        <v>data:image/svg+xml,%3csvg xmlns='http://www.w3.org/2000/svg' viewBox='0 0 24 216'%3e%3ctext fill='%23fff' style='font: 900 16px sans-serif' text-anchor='end' transform='matrix(0 -1 1 0 18 5)'%3eBitter%3c/text%3e%3c/svg%3e</v>
      </c>
      <c r="F31" s="10" t="str">
        <f t="shared" si="3"/>
        <v>https://svgtext.heliohost.us/cgi-bin/gen.perl?text=Bitter</v>
      </c>
      <c r="G31" s="11" t="str">
        <f t="shared" si="4"/>
        <v>data:image/svg+xml,%3csvg xmlns='http://www.w3.org/2000/svg' viewBox='0 0 24 216'%3e%3ctext fill='%23fff' style='font: 900 16px sans-serif' text-anchor='end' transform='matrix(0 -1 1 0 18 5)'%3eBitter%3c/text%3e%3c/svg%3e</v>
      </c>
      <c r="H31" s="8" t="s">
        <v>32</v>
      </c>
      <c r="I31" s="8">
        <f t="shared" ref="I31:J31" si="32">len(B31)</f>
        <v>6</v>
      </c>
      <c r="J31" s="8">
        <f t="shared" si="32"/>
        <v>13</v>
      </c>
      <c r="K31" s="8" t="s">
        <v>106</v>
      </c>
    </row>
    <row r="32">
      <c r="A32" s="7" t="b">
        <v>1</v>
      </c>
      <c r="B32" s="8" t="s">
        <v>107</v>
      </c>
      <c r="C32" s="8" t="s">
        <v>108</v>
      </c>
      <c r="D32" s="8" t="str">
        <f>Q&amp;$K32&amp;Q&amp;":{"&amp;Q&amp;$B$2&amp;Q&amp;":"&amp;Q&amp;$B32&amp;Q&amp;","&amp;Q&amp;$C$2&amp;Q&amp;":"&amp;Q&amp;$C32&amp;Q&amp;","&amp;Q&amp;"sets"&amp;Q&amp;":"&amp;Q&amp;substitute(SUBSTITUTE($H32,"[",""),"]","")&amp;Q&amp;"},"</f>
        <v>"onli":{"label":"Black &amp; Blue","extra":"(bruised, battered, rough) ","sets":"Expansion Set 4, Party Expansion 1"},</v>
      </c>
      <c r="E32" s="9" t="str">
        <f t="shared" si="2"/>
        <v>data:image/svg+xml,%3csvg xmlns='http://www.w3.org/2000/svg' viewBox='0 0 24 216'%3e%3ctext fill='%23fff' style='font: 900 16px sans-serif' text-anchor='end' transform='matrix(0 -1 1 0 18 5)'%3eBlack %26amp%3B Blue%3c/text%3e%3c/svg%3e</v>
      </c>
      <c r="F32" s="10" t="str">
        <f t="shared" si="3"/>
        <v>https://svgtext.heliohost.us/cgi-bin/gen.perl?text=Black%20%26%20Blue</v>
      </c>
      <c r="G32" s="11" t="str">
        <f t="shared" si="4"/>
        <v>data:image/svg+xml,%3csvg xmlns='http://www.w3.org/2000/svg' viewBox='0 0 24 216'%3e%3ctext fill='%23fff' style='font: 900 16px sans-serif' text-anchor='end' transform='matrix(0 -1 1 0 18 5)'%3eBlack %26amp%3B Blue%3c/text%3e%3c/svg%3e</v>
      </c>
      <c r="H32" s="8" t="s">
        <v>63</v>
      </c>
      <c r="I32" s="8">
        <f t="shared" ref="I32:J32" si="33">len(B32)</f>
        <v>12</v>
      </c>
      <c r="J32" s="8">
        <f t="shared" si="33"/>
        <v>27</v>
      </c>
      <c r="K32" s="8" t="s">
        <v>109</v>
      </c>
    </row>
    <row r="33">
      <c r="A33" s="7" t="b">
        <v>1</v>
      </c>
      <c r="B33" s="8" t="s">
        <v>110</v>
      </c>
      <c r="C33" s="8" t="s">
        <v>111</v>
      </c>
      <c r="D33" s="8" t="str">
        <f>Q&amp;$K33&amp;Q&amp;":{"&amp;Q&amp;$B$2&amp;Q&amp;":"&amp;Q&amp;$B33&amp;Q&amp;","&amp;Q&amp;$C$2&amp;Q&amp;":"&amp;Q&amp;$C33&amp;Q&amp;","&amp;Q&amp;"sets"&amp;Q&amp;":"&amp;Q&amp;substitute(SUBSTITUTE($H33,"[",""),"]","")&amp;Q&amp;"},"</f>
        <v>"lsjb":{"label":"Black &amp; White","extra":"(indisputable, distinct, written) ","sets":"Expansion Set 4, Party Expansion 1"},</v>
      </c>
      <c r="E33" s="9" t="str">
        <f t="shared" si="2"/>
        <v>data:image/svg+xml,%3csvg xmlns='http://www.w3.org/2000/svg' viewBox='0 0 24 216'%3e%3ctext fill='%23fff' style='font: 900 16px sans-serif' text-anchor='end' transform='matrix(0 -1 1 0 18 5)'%3eBlack %26amp%3B White%3c/text%3e%3c/svg%3e</v>
      </c>
      <c r="F33" s="10" t="str">
        <f t="shared" si="3"/>
        <v>https://svgtext.heliohost.us/cgi-bin/gen.perl?text=Black%20%26%20White</v>
      </c>
      <c r="G33" s="11" t="str">
        <f t="shared" si="4"/>
        <v>data:image/svg+xml,%3csvg xmlns='http://www.w3.org/2000/svg' viewBox='0 0 24 216'%3e%3ctext fill='%23fff' style='font: 900 16px sans-serif' text-anchor='end' transform='matrix(0 -1 1 0 18 5)'%3eBlack %26amp%3B White%3c/text%3e%3c/svg%3e</v>
      </c>
      <c r="H33" s="8" t="s">
        <v>63</v>
      </c>
      <c r="I33" s="8">
        <f t="shared" ref="I33:J33" si="34">len(B33)</f>
        <v>13</v>
      </c>
      <c r="J33" s="8">
        <f t="shared" si="34"/>
        <v>34</v>
      </c>
      <c r="K33" s="8" t="s">
        <v>112</v>
      </c>
    </row>
    <row r="34">
      <c r="A34" s="7" t="b">
        <v>0</v>
      </c>
      <c r="B34" s="8" t="s">
        <v>113</v>
      </c>
      <c r="C34" s="8" t="s">
        <v>114</v>
      </c>
      <c r="D34" s="8" t="str">
        <f>Q&amp;$K34&amp;Q&amp;":{"&amp;Q&amp;$B$2&amp;Q&amp;":"&amp;Q&amp;$B34&amp;Q&amp;","&amp;Q&amp;$C$2&amp;Q&amp;":"&amp;Q&amp;$C34&amp;Q&amp;","&amp;Q&amp;"sets"&amp;Q&amp;":"&amp;Q&amp;substitute(SUBSTITUTE($H34,"[",""),"]","")&amp;Q&amp;"},"</f>
        <v>"wotx":{"label":"Bogus","extra":"(fraudulent, phony, insincere) ","sets":"Expansion Set 1, Party Set"},</v>
      </c>
      <c r="E34" s="9" t="str">
        <f t="shared" si="2"/>
        <v>data:image/svg+xml,%3csvg xmlns='http://www.w3.org/2000/svg' viewBox='0 0 24 216'%3e%3ctext fill='%23fff' style='font: 900 16px sans-serif' text-anchor='end' transform='matrix(0 -1 1 0 18 5)'%3eBogus%3c/text%3e%3c/svg%3e</v>
      </c>
      <c r="F34" s="10" t="str">
        <f t="shared" si="3"/>
        <v>https://svgtext.heliohost.us/cgi-bin/gen.perl?text=Bogus</v>
      </c>
      <c r="G34" s="11" t="str">
        <f t="shared" si="4"/>
        <v>data:image/svg+xml,%3csvg xmlns='http://www.w3.org/2000/svg' viewBox='0 0 24 216'%3e%3ctext fill='%23fff' style='font: 900 16px sans-serif' text-anchor='end' transform='matrix(0 -1 1 0 18 5)'%3eBogus%3c/text%3e%3c/svg%3e</v>
      </c>
      <c r="H34" s="8" t="s">
        <v>25</v>
      </c>
      <c r="I34" s="8">
        <f t="shared" ref="I34:J34" si="35">len(B34)</f>
        <v>5</v>
      </c>
      <c r="J34" s="8">
        <f t="shared" si="35"/>
        <v>31</v>
      </c>
      <c r="K34" s="8" t="s">
        <v>115</v>
      </c>
    </row>
    <row r="35">
      <c r="A35" s="7" t="b">
        <v>1</v>
      </c>
      <c r="B35" s="8" t="s">
        <v>116</v>
      </c>
      <c r="C35" s="8" t="s">
        <v>117</v>
      </c>
      <c r="D35" s="8" t="str">
        <f>Q&amp;$K35&amp;Q&amp;":{"&amp;Q&amp;$B$2&amp;Q&amp;":"&amp;Q&amp;$B35&amp;Q&amp;","&amp;Q&amp;$C$2&amp;Q&amp;":"&amp;Q&amp;$C35&amp;Q&amp;","&amp;Q&amp;"sets"&amp;Q&amp;":"&amp;Q&amp;substitute(SUBSTITUTE($H35,"[",""),"]","")&amp;Q&amp;"},"</f>
        <v>"zqui":{"label":"Boisterous","extra":"(loud, rambunctious, rowdy) ","sets":"Basic Set, Party Set"},</v>
      </c>
      <c r="E35" s="9" t="str">
        <f t="shared" si="2"/>
        <v>data:image/svg+xml,%3csvg xmlns='http://www.w3.org/2000/svg' viewBox='0 0 24 216'%3e%3ctext fill='%23fff' style='font: 900 16px sans-serif' text-anchor='end' transform='matrix(0 -1 1 0 18 5)'%3eBoisterous%3c/text%3e%3c/svg%3e</v>
      </c>
      <c r="F35" s="10" t="str">
        <f t="shared" si="3"/>
        <v>https://svgtext.heliohost.us/cgi-bin/gen.perl?text=Boisterous</v>
      </c>
      <c r="G35" s="11" t="str">
        <f t="shared" si="4"/>
        <v>data:image/svg+xml,%3csvg xmlns='http://www.w3.org/2000/svg' viewBox='0 0 24 216'%3e%3ctext fill='%23fff' style='font: 900 16px sans-serif' text-anchor='end' transform='matrix(0 -1 1 0 18 5)'%3eBoisterous%3c/text%3e%3c/svg%3e</v>
      </c>
      <c r="H35" s="8" t="s">
        <v>29</v>
      </c>
      <c r="I35" s="8">
        <f t="shared" ref="I35:J35" si="36">len(B35)</f>
        <v>10</v>
      </c>
      <c r="J35" s="8">
        <f t="shared" si="36"/>
        <v>28</v>
      </c>
      <c r="K35" s="8" t="s">
        <v>118</v>
      </c>
    </row>
    <row r="36">
      <c r="A36" s="7" t="b">
        <v>0</v>
      </c>
      <c r="B36" s="8" t="s">
        <v>119</v>
      </c>
      <c r="C36" s="8" t="s">
        <v>120</v>
      </c>
      <c r="D36" s="8" t="str">
        <f>Q&amp;$K36&amp;Q&amp;":{"&amp;Q&amp;$B$2&amp;Q&amp;":"&amp;Q&amp;$B36&amp;Q&amp;","&amp;Q&amp;$C$2&amp;Q&amp;":"&amp;Q&amp;$C36&amp;Q&amp;","&amp;Q&amp;"sets"&amp;Q&amp;":"&amp;Q&amp;substitute(SUBSTITUTE($H36,"[",""),"]","")&amp;Q&amp;"},"</f>
        <v>"vbqa":{"label":"Bold","extra":"(daring, brave, courageous) ","sets":"Expansion Set 1, Party Set"},</v>
      </c>
      <c r="E36" s="9" t="str">
        <f t="shared" si="2"/>
        <v>data:image/svg+xml,%3csvg xmlns='http://www.w3.org/2000/svg' viewBox='0 0 24 216'%3e%3ctext fill='%23fff' style='font: 900 16px sans-serif' text-anchor='end' transform='matrix(0 -1 1 0 18 5)'%3eBold%3c/text%3e%3c/svg%3e</v>
      </c>
      <c r="F36" s="10" t="str">
        <f t="shared" si="3"/>
        <v>https://svgtext.heliohost.us/cgi-bin/gen.perl?text=Bold</v>
      </c>
      <c r="G36" s="11" t="str">
        <f t="shared" si="4"/>
        <v>data:image/svg+xml,%3csvg xmlns='http://www.w3.org/2000/svg' viewBox='0 0 24 216'%3e%3ctext fill='%23fff' style='font: 900 16px sans-serif' text-anchor='end' transform='matrix(0 -1 1 0 18 5)'%3eBold%3c/text%3e%3c/svg%3e</v>
      </c>
      <c r="H36" s="8" t="s">
        <v>25</v>
      </c>
      <c r="I36" s="8">
        <f t="shared" ref="I36:J36" si="37">len(B36)</f>
        <v>4</v>
      </c>
      <c r="J36" s="8">
        <f t="shared" si="37"/>
        <v>28</v>
      </c>
      <c r="K36" s="8" t="s">
        <v>121</v>
      </c>
    </row>
    <row r="37">
      <c r="A37" s="7" t="b">
        <v>0</v>
      </c>
      <c r="B37" s="8" t="s">
        <v>119</v>
      </c>
      <c r="C37" s="8" t="s">
        <v>122</v>
      </c>
      <c r="D37" s="8" t="str">
        <f>Q&amp;$K37&amp;Q&amp;":{"&amp;Q&amp;$B$2&amp;Q&amp;":"&amp;Q&amp;$B37&amp;Q&amp;","&amp;Q&amp;$C$2&amp;Q&amp;":"&amp;Q&amp;$C37&amp;Q&amp;","&amp;Q&amp;"sets"&amp;Q&amp;":"&amp;Q&amp;substitute(SUBSTITUTE($H37,"[",""),"]","")&amp;Q&amp;"},"</f>
        <v>"kuxn":{"label":"Bold","extra":"(daring, courageous) ","sets":"Junior 9+ (2nd)"},</v>
      </c>
      <c r="E37" s="9" t="str">
        <f t="shared" si="2"/>
        <v>data:image/svg+xml,%3csvg xmlns='http://www.w3.org/2000/svg' viewBox='0 0 24 216'%3e%3ctext fill='%23fff' style='font: 900 16px sans-serif' text-anchor='end' transform='matrix(0 -1 1 0 18 5)'%3eBold%3c/text%3e%3c/svg%3e</v>
      </c>
      <c r="F37" s="10" t="str">
        <f t="shared" si="3"/>
        <v>https://svgtext.heliohost.us/cgi-bin/gen.perl?text=Bold</v>
      </c>
      <c r="G37" s="11" t="str">
        <f t="shared" si="4"/>
        <v>data:image/svg+xml,%3csvg xmlns='http://www.w3.org/2000/svg' viewBox='0 0 24 216'%3e%3ctext fill='%23fff' style='font: 900 16px sans-serif' text-anchor='end' transform='matrix(0 -1 1 0 18 5)'%3eBold%3c/text%3e%3c/svg%3e</v>
      </c>
      <c r="H37" s="8" t="s">
        <v>32</v>
      </c>
      <c r="I37" s="8">
        <f t="shared" ref="I37:J37" si="38">len(B37)</f>
        <v>4</v>
      </c>
      <c r="J37" s="8">
        <f t="shared" si="38"/>
        <v>21</v>
      </c>
      <c r="K37" s="8" t="s">
        <v>123</v>
      </c>
    </row>
    <row r="38">
      <c r="A38" s="7" t="b">
        <v>1</v>
      </c>
      <c r="B38" s="8" t="s">
        <v>124</v>
      </c>
      <c r="C38" s="8" t="s">
        <v>125</v>
      </c>
      <c r="D38" s="8" t="str">
        <f>Q&amp;$K38&amp;Q&amp;":{"&amp;Q&amp;$B$2&amp;Q&amp;":"&amp;Q&amp;$B38&amp;Q&amp;","&amp;Q&amp;$C$2&amp;Q&amp;":"&amp;Q&amp;$C38&amp;Q&amp;","&amp;Q&amp;"sets"&amp;Q&amp;":"&amp;Q&amp;substitute(SUBSTITUTE($H38,"[",""),"]","")&amp;Q&amp;"},"</f>
        <v>"itho":{"label":"Boring","extra":"(dull, tedious, monotonous) ","sets":"Basic Set, Party Set"},</v>
      </c>
      <c r="E38" s="9" t="str">
        <f t="shared" si="2"/>
        <v>data:image/svg+xml,%3csvg xmlns='http://www.w3.org/2000/svg' viewBox='0 0 24 216'%3e%3ctext fill='%23fff' style='font: 900 16px sans-serif' text-anchor='end' transform='matrix(0 -1 1 0 18 5)'%3eBoring%3c/text%3e%3c/svg%3e</v>
      </c>
      <c r="F38" s="10" t="str">
        <f t="shared" si="3"/>
        <v>https://svgtext.heliohost.us/cgi-bin/gen.perl?text=Boring</v>
      </c>
      <c r="G38" s="11" t="str">
        <f t="shared" si="4"/>
        <v>data:image/svg+xml,%3csvg xmlns='http://www.w3.org/2000/svg' viewBox='0 0 24 216'%3e%3ctext fill='%23fff' style='font: 900 16px sans-serif' text-anchor='end' transform='matrix(0 -1 1 0 18 5)'%3eBoring%3c/text%3e%3c/svg%3e</v>
      </c>
      <c r="H38" s="8" t="s">
        <v>29</v>
      </c>
      <c r="I38" s="8">
        <f t="shared" ref="I38:J38" si="39">len(B38)</f>
        <v>6</v>
      </c>
      <c r="J38" s="8">
        <f t="shared" si="39"/>
        <v>28</v>
      </c>
      <c r="K38" s="8" t="s">
        <v>126</v>
      </c>
    </row>
    <row r="39">
      <c r="A39" s="7" t="b">
        <v>0</v>
      </c>
      <c r="B39" s="8" t="s">
        <v>124</v>
      </c>
      <c r="C39" s="8" t="s">
        <v>127</v>
      </c>
      <c r="D39" s="8" t="str">
        <f>Q&amp;$K39&amp;Q&amp;":{"&amp;Q&amp;$B$2&amp;Q&amp;":"&amp;Q&amp;$B39&amp;Q&amp;","&amp;Q&amp;$C$2&amp;Q&amp;":"&amp;Q&amp;$C39&amp;Q&amp;","&amp;Q&amp;"sets"&amp;Q&amp;":"&amp;Q&amp;substitute(SUBSTITUTE($H39,"[",""),"]","")&amp;Q&amp;"},"</f>
        <v>"gnvz":{"label":"Boring","extra":"(not interesting, dull) ","sets":"Junior"},</v>
      </c>
      <c r="E39" s="9" t="str">
        <f t="shared" si="2"/>
        <v>data:image/svg+xml,%3csvg xmlns='http://www.w3.org/2000/svg' viewBox='0 0 24 216'%3e%3ctext fill='%23fff' style='font: 900 16px sans-serif' text-anchor='end' transform='matrix(0 -1 1 0 18 5)'%3eBoring%3c/text%3e%3c/svg%3e</v>
      </c>
      <c r="F39" s="10" t="str">
        <f t="shared" si="3"/>
        <v>https://svgtext.heliohost.us/cgi-bin/gen.perl?text=Boring</v>
      </c>
      <c r="G39" s="11" t="str">
        <f t="shared" si="4"/>
        <v>data:image/svg+xml,%3csvg xmlns='http://www.w3.org/2000/svg' viewBox='0 0 24 216'%3e%3ctext fill='%23fff' style='font: 900 16px sans-serif' text-anchor='end' transform='matrix(0 -1 1 0 18 5)'%3eBoring%3c/text%3e%3c/svg%3e</v>
      </c>
      <c r="H39" s="8" t="s">
        <v>84</v>
      </c>
      <c r="I39" s="8">
        <f t="shared" ref="I39:J39" si="40">len(B39)</f>
        <v>6</v>
      </c>
      <c r="J39" s="8">
        <f t="shared" si="40"/>
        <v>24</v>
      </c>
      <c r="K39" s="8" t="s">
        <v>128</v>
      </c>
    </row>
    <row r="40">
      <c r="A40" s="7" t="b">
        <v>1</v>
      </c>
      <c r="B40" s="8" t="s">
        <v>129</v>
      </c>
      <c r="C40" s="8" t="s">
        <v>130</v>
      </c>
      <c r="D40" s="8" t="str">
        <f>Q&amp;$K40&amp;Q&amp;":{"&amp;Q&amp;$B$2&amp;Q&amp;":"&amp;Q&amp;$B40&amp;Q&amp;","&amp;Q&amp;$C$2&amp;Q&amp;":"&amp;Q&amp;$C40&amp;Q&amp;","&amp;Q&amp;"sets"&amp;Q&amp;":"&amp;Q&amp;substitute(SUBSTITUTE($H40,"[",""),"]","")&amp;Q&amp;"},"</f>
        <v>"ydrs":{"label":"Brains &amp; Brawn","extra":"(solid, strong, capable) ","sets":"Expansion Set 4, Party Expansion 1"},</v>
      </c>
      <c r="E40" s="9" t="str">
        <f t="shared" si="2"/>
        <v>data:image/svg+xml,%3csvg xmlns='http://www.w3.org/2000/svg' viewBox='0 0 24 216'%3e%3ctext fill='%23fff' style='font: 900 16px sans-serif' text-anchor='end' transform='matrix(0 -1 1 0 18 5)'%3eBrains %26amp%3B Brawn%3c/text%3e%3c/svg%3e</v>
      </c>
      <c r="F40" s="10" t="str">
        <f t="shared" si="3"/>
        <v>https://svgtext.heliohost.us/cgi-bin/gen.perl?text=Brains%20%26%20Brawn</v>
      </c>
      <c r="G40" s="11" t="str">
        <f t="shared" si="4"/>
        <v>data:image/svg+xml,%3csvg xmlns='http://www.w3.org/2000/svg' viewBox='0 0 24 216'%3e%3ctext fill='%23fff' style='font: 900 16px sans-serif' text-anchor='end' transform='matrix(0 -1 1 0 18 5)'%3eBrains %26amp%3B Brawn%3c/text%3e%3c/svg%3e</v>
      </c>
      <c r="H40" s="8" t="s">
        <v>63</v>
      </c>
      <c r="I40" s="8">
        <f t="shared" ref="I40:J40" si="41">len(B40)</f>
        <v>14</v>
      </c>
      <c r="J40" s="8">
        <f t="shared" si="41"/>
        <v>25</v>
      </c>
      <c r="K40" s="8" t="s">
        <v>131</v>
      </c>
    </row>
    <row r="41">
      <c r="A41" s="7" t="b">
        <v>0</v>
      </c>
      <c r="B41" s="8" t="s">
        <v>132</v>
      </c>
      <c r="C41" s="8" t="s">
        <v>133</v>
      </c>
      <c r="D41" s="8" t="str">
        <f>Q&amp;$K41&amp;Q&amp;":{"&amp;Q&amp;$B$2&amp;Q&amp;":"&amp;Q&amp;$B41&amp;Q&amp;","&amp;Q&amp;$C$2&amp;Q&amp;":"&amp;Q&amp;$C41&amp;Q&amp;","&amp;Q&amp;"sets"&amp;Q&amp;":"&amp;Q&amp;substitute(SUBSTITUTE($H41,"[",""),"]","")&amp;Q&amp;"},"</f>
        <v>"nhfa":{"label":"Brave","extra":"(fearless, courageous) ","sets":"Junior"},</v>
      </c>
      <c r="E41" s="9" t="str">
        <f t="shared" si="2"/>
        <v>data:image/svg+xml,%3csvg xmlns='http://www.w3.org/2000/svg' viewBox='0 0 24 216'%3e%3ctext fill='%23fff' style='font: 900 16px sans-serif' text-anchor='end' transform='matrix(0 -1 1 0 18 5)'%3eBrave%3c/text%3e%3c/svg%3e</v>
      </c>
      <c r="F41" s="10" t="str">
        <f t="shared" si="3"/>
        <v>https://svgtext.heliohost.us/cgi-bin/gen.perl?text=Brave</v>
      </c>
      <c r="G41" s="11" t="str">
        <f t="shared" si="4"/>
        <v>data:image/svg+xml,%3csvg xmlns='http://www.w3.org/2000/svg' viewBox='0 0 24 216'%3e%3ctext fill='%23fff' style='font: 900 16px sans-serif' text-anchor='end' transform='matrix(0 -1 1 0 18 5)'%3eBrave%3c/text%3e%3c/svg%3e</v>
      </c>
      <c r="H41" s="8" t="s">
        <v>84</v>
      </c>
      <c r="I41" s="8">
        <f t="shared" ref="I41:J41" si="42">len(B41)</f>
        <v>5</v>
      </c>
      <c r="J41" s="8">
        <f t="shared" si="42"/>
        <v>23</v>
      </c>
      <c r="K41" s="8" t="s">
        <v>134</v>
      </c>
    </row>
    <row r="42">
      <c r="A42" s="7" t="b">
        <v>1</v>
      </c>
      <c r="B42" s="8" t="s">
        <v>135</v>
      </c>
      <c r="C42" s="8" t="s">
        <v>136</v>
      </c>
      <c r="D42" s="8" t="str">
        <f>Q&amp;$K42&amp;Q&amp;":{"&amp;Q&amp;$B$2&amp;Q&amp;":"&amp;Q&amp;$B42&amp;Q&amp;","&amp;Q&amp;$C$2&amp;Q&amp;":"&amp;Q&amp;$C42&amp;Q&amp;","&amp;Q&amp;"sets"&amp;Q&amp;":"&amp;Q&amp;substitute(SUBSTITUTE($H42,"[",""),"]","")&amp;Q&amp;"},"</f>
        <v>"xnpl":{"label":"Bright","extra":"(brilliant, radiant, shiny) ","sets":"Expansion Set 1, Party Set"},</v>
      </c>
      <c r="E42" s="9" t="str">
        <f t="shared" si="2"/>
        <v>data:image/svg+xml,%3csvg xmlns='http://www.w3.org/2000/svg' viewBox='0 0 24 216'%3e%3ctext fill='%23fff' style='font: 900 16px sans-serif' text-anchor='end' transform='matrix(0 -1 1 0 18 5)'%3eBright%3c/text%3e%3c/svg%3e</v>
      </c>
      <c r="F42" s="10" t="str">
        <f t="shared" si="3"/>
        <v>https://svgtext.heliohost.us/cgi-bin/gen.perl?text=Bright</v>
      </c>
      <c r="G42" s="11" t="str">
        <f t="shared" si="4"/>
        <v>data:image/svg+xml,%3csvg xmlns='http://www.w3.org/2000/svg' viewBox='0 0 24 216'%3e%3ctext fill='%23fff' style='font: 900 16px sans-serif' text-anchor='end' transform='matrix(0 -1 1 0 18 5)'%3eBright%3c/text%3e%3c/svg%3e</v>
      </c>
      <c r="H42" s="8" t="s">
        <v>25</v>
      </c>
      <c r="I42" s="8">
        <f t="shared" ref="I42:J42" si="43">len(B42)</f>
        <v>6</v>
      </c>
      <c r="J42" s="8">
        <f t="shared" si="43"/>
        <v>28</v>
      </c>
      <c r="K42" s="8" t="s">
        <v>137</v>
      </c>
    </row>
    <row r="43">
      <c r="A43" s="7" t="b">
        <v>0</v>
      </c>
      <c r="B43" s="8" t="s">
        <v>135</v>
      </c>
      <c r="C43" s="8" t="s">
        <v>138</v>
      </c>
      <c r="D43" s="8" t="str">
        <f>Q&amp;$K43&amp;Q&amp;":{"&amp;Q&amp;$B$2&amp;Q&amp;":"&amp;Q&amp;$B43&amp;Q&amp;","&amp;Q&amp;$C$2&amp;Q&amp;":"&amp;Q&amp;$C43&amp;Q&amp;","&amp;Q&amp;"sets"&amp;Q&amp;":"&amp;Q&amp;substitute(SUBSTITUTE($H43,"[",""),"]","")&amp;Q&amp;"},"</f>
        <v>"kbbf":{"label":"Bright","extra":"(light, intelligent) ","sets":"Junior 9+ (2nd)"},</v>
      </c>
      <c r="E43" s="9" t="str">
        <f t="shared" si="2"/>
        <v>data:image/svg+xml,%3csvg xmlns='http://www.w3.org/2000/svg' viewBox='0 0 24 216'%3e%3ctext fill='%23fff' style='font: 900 16px sans-serif' text-anchor='end' transform='matrix(0 -1 1 0 18 5)'%3eBright%3c/text%3e%3c/svg%3e</v>
      </c>
      <c r="F43" s="10" t="str">
        <f t="shared" si="3"/>
        <v>https://svgtext.heliohost.us/cgi-bin/gen.perl?text=Bright</v>
      </c>
      <c r="G43" s="11" t="str">
        <f t="shared" si="4"/>
        <v>data:image/svg+xml,%3csvg xmlns='http://www.w3.org/2000/svg' viewBox='0 0 24 216'%3e%3ctext fill='%23fff' style='font: 900 16px sans-serif' text-anchor='end' transform='matrix(0 -1 1 0 18 5)'%3eBright%3c/text%3e%3c/svg%3e</v>
      </c>
      <c r="H43" s="8" t="s">
        <v>32</v>
      </c>
      <c r="I43" s="8">
        <f t="shared" ref="I43:J43" si="44">len(B43)</f>
        <v>6</v>
      </c>
      <c r="J43" s="8">
        <f t="shared" si="44"/>
        <v>21</v>
      </c>
      <c r="K43" s="8" t="s">
        <v>139</v>
      </c>
    </row>
    <row r="44">
      <c r="A44" s="7" t="b">
        <v>1</v>
      </c>
      <c r="B44" s="8" t="s">
        <v>140</v>
      </c>
      <c r="C44" s="8" t="s">
        <v>141</v>
      </c>
      <c r="D44" s="8" t="str">
        <f>Q&amp;$K44&amp;Q&amp;":{"&amp;Q&amp;$B$2&amp;Q&amp;":"&amp;Q&amp;$B44&amp;Q&amp;","&amp;Q&amp;$C$2&amp;Q&amp;":"&amp;Q&amp;$C44&amp;Q&amp;","&amp;Q&amp;"sets"&amp;Q&amp;":"&amp;Q&amp;substitute(SUBSTITUTE($H44,"[",""),"]","")&amp;Q&amp;"},"</f>
        <v>"bkps":{"label":"Bright &amp; Shining","extra":"(radiant, sparkling, gleaming) ","sets":"Expansion Set 4, Party Expansion 1"},</v>
      </c>
      <c r="E44" s="9" t="str">
        <f t="shared" si="2"/>
        <v>data:image/svg+xml,%3csvg xmlns='http://www.w3.org/2000/svg' viewBox='0 0 24 216'%3e%3ctext fill='%23fff' style='font: 900 16px sans-serif' text-anchor='end' transform='matrix(0 -1 1 0 18 5)'%3eBright %26amp%3B Shining%3c/text%3e%3c/svg%3e</v>
      </c>
      <c r="F44" s="10" t="str">
        <f t="shared" si="3"/>
        <v>https://svgtext.heliohost.us/cgi-bin/gen.perl?text=Bright%20%26%20Shining</v>
      </c>
      <c r="G44" s="11" t="str">
        <f t="shared" si="4"/>
        <v>data:image/svg+xml,%3csvg xmlns='http://www.w3.org/2000/svg' viewBox='0 0 24 216'%3e%3ctext fill='%23fff' style='font: 900 16px sans-serif' text-anchor='end' transform='matrix(0 -1 1 0 18 5)'%3eBright %26amp%3B Shining%3c/text%3e%3c/svg%3e</v>
      </c>
      <c r="H44" s="8" t="s">
        <v>63</v>
      </c>
      <c r="I44" s="8">
        <f t="shared" ref="I44:J44" si="45">len(B44)</f>
        <v>16</v>
      </c>
      <c r="J44" s="8">
        <f t="shared" si="45"/>
        <v>31</v>
      </c>
      <c r="K44" s="8" t="s">
        <v>142</v>
      </c>
    </row>
    <row r="45">
      <c r="A45" s="7" t="b">
        <v>0</v>
      </c>
      <c r="B45" s="8" t="s">
        <v>143</v>
      </c>
      <c r="C45" s="8" t="s">
        <v>144</v>
      </c>
      <c r="D45" s="8" t="str">
        <f>Q&amp;$K45&amp;Q&amp;":{"&amp;Q&amp;$B$2&amp;Q&amp;":"&amp;Q&amp;$B45&amp;Q&amp;","&amp;Q&amp;$C$2&amp;Q&amp;":"&amp;Q&amp;$C45&amp;Q&amp;","&amp;Q&amp;"sets"&amp;Q&amp;":"&amp;Q&amp;substitute(SUBSTITUTE($H45,"[",""),"]","")&amp;Q&amp;"},"</f>
        <v>"gmcf":{"label":"Brilliant","extra":"(dazzling, gleaming, intelligent) ","sets":"Basic Set, Party Set"},</v>
      </c>
      <c r="E45" s="9" t="str">
        <f t="shared" si="2"/>
        <v>data:image/svg+xml,%3csvg xmlns='http://www.w3.org/2000/svg' viewBox='0 0 24 216'%3e%3ctext fill='%23fff' style='font: 900 16px sans-serif' text-anchor='end' transform='matrix(0 -1 1 0 18 5)'%3eBrilliant%3c/text%3e%3c/svg%3e</v>
      </c>
      <c r="F45" s="10" t="str">
        <f t="shared" si="3"/>
        <v>https://svgtext.heliohost.us/cgi-bin/gen.perl?text=Brilliant</v>
      </c>
      <c r="G45" s="11" t="str">
        <f t="shared" si="4"/>
        <v>data:image/svg+xml,%3csvg xmlns='http://www.w3.org/2000/svg' viewBox='0 0 24 216'%3e%3ctext fill='%23fff' style='font: 900 16px sans-serif' text-anchor='end' transform='matrix(0 -1 1 0 18 5)'%3eBrilliant%3c/text%3e%3c/svg%3e</v>
      </c>
      <c r="H45" s="8" t="s">
        <v>29</v>
      </c>
      <c r="I45" s="8">
        <f t="shared" ref="I45:J45" si="46">len(B45)</f>
        <v>9</v>
      </c>
      <c r="J45" s="8">
        <f t="shared" si="46"/>
        <v>34</v>
      </c>
      <c r="K45" s="8" t="s">
        <v>145</v>
      </c>
    </row>
    <row r="46">
      <c r="A46" s="7" t="b">
        <v>1</v>
      </c>
      <c r="B46" s="8" t="s">
        <v>146</v>
      </c>
      <c r="C46" s="8" t="s">
        <v>147</v>
      </c>
      <c r="D46" s="8" t="str">
        <f>Q&amp;$K46&amp;Q&amp;":{"&amp;Q&amp;$B$2&amp;Q&amp;":"&amp;Q&amp;$B46&amp;Q&amp;","&amp;Q&amp;$C$2&amp;Q&amp;":"&amp;Q&amp;$C46&amp;Q&amp;","&amp;Q&amp;"sets"&amp;Q&amp;":"&amp;Q&amp;substitute(SUBSTITUTE($H46,"[",""),"]","")&amp;Q&amp;"},"</f>
        <v>"jjog":{"label":"Brutal","extra":"(cruel, crude, harsh) ","sets":"Expansion Set 3, Party Expansion 1"},</v>
      </c>
      <c r="E46" s="9" t="str">
        <f t="shared" si="2"/>
        <v>data:image/svg+xml,%3csvg xmlns='http://www.w3.org/2000/svg' viewBox='0 0 24 216'%3e%3ctext fill='%23fff' style='font: 900 16px sans-serif' text-anchor='end' transform='matrix(0 -1 1 0 18 5)'%3eBrutal%3c/text%3e%3c/svg%3e</v>
      </c>
      <c r="F46" s="10" t="str">
        <f t="shared" si="3"/>
        <v>https://svgtext.heliohost.us/cgi-bin/gen.perl?text=Brutal</v>
      </c>
      <c r="G46" s="11" t="str">
        <f t="shared" si="4"/>
        <v>data:image/svg+xml,%3csvg xmlns='http://www.w3.org/2000/svg' viewBox='0 0 24 216'%3e%3ctext fill='%23fff' style='font: 900 16px sans-serif' text-anchor='end' transform='matrix(0 -1 1 0 18 5)'%3eBrutal%3c/text%3e%3c/svg%3e</v>
      </c>
      <c r="H46" s="8" t="s">
        <v>39</v>
      </c>
      <c r="I46" s="8">
        <f t="shared" ref="I46:J46" si="47">len(B46)</f>
        <v>6</v>
      </c>
      <c r="J46" s="8">
        <f t="shared" si="47"/>
        <v>22</v>
      </c>
      <c r="K46" s="8" t="s">
        <v>148</v>
      </c>
    </row>
    <row r="47">
      <c r="A47" s="7" t="b">
        <v>0</v>
      </c>
      <c r="B47" s="8" t="s">
        <v>149</v>
      </c>
      <c r="C47" s="8" t="s">
        <v>150</v>
      </c>
      <c r="D47" s="8" t="str">
        <f>Q&amp;$K47&amp;Q&amp;":{"&amp;Q&amp;$B$2&amp;Q&amp;":"&amp;Q&amp;$B47&amp;Q&amp;","&amp;Q&amp;$C$2&amp;Q&amp;":"&amp;Q&amp;$C47&amp;Q&amp;","&amp;Q&amp;"sets"&amp;Q&amp;":"&amp;Q&amp;substitute(SUBSTITUTE($H47,"[",""),"]","")&amp;Q&amp;"},"</f>
        <v>"ltnt":{"label":"Bumpy","extra":"(lumpy, bouncy) ","sets":"Junior 9+ (1st) &amp; (2nd)"},</v>
      </c>
      <c r="E47" s="9" t="str">
        <f t="shared" si="2"/>
        <v>data:image/svg+xml,%3csvg xmlns='http://www.w3.org/2000/svg' viewBox='0 0 24 216'%3e%3ctext fill='%23fff' style='font: 900 16px sans-serif' text-anchor='end' transform='matrix(0 -1 1 0 18 5)'%3eBumpy%3c/text%3e%3c/svg%3e</v>
      </c>
      <c r="F47" s="10" t="str">
        <f t="shared" si="3"/>
        <v>https://svgtext.heliohost.us/cgi-bin/gen.perl?text=Bumpy</v>
      </c>
      <c r="G47" s="11" t="str">
        <f t="shared" si="4"/>
        <v>data:image/svg+xml,%3csvg xmlns='http://www.w3.org/2000/svg' viewBox='0 0 24 216'%3e%3ctext fill='%23fff' style='font: 900 16px sans-serif' text-anchor='end' transform='matrix(0 -1 1 0 18 5)'%3eBumpy%3c/text%3e%3c/svg%3e</v>
      </c>
      <c r="H47" s="8" t="s">
        <v>42</v>
      </c>
      <c r="I47" s="8">
        <f t="shared" ref="I47:J47" si="48">len(B47)</f>
        <v>5</v>
      </c>
      <c r="J47" s="8">
        <f t="shared" si="48"/>
        <v>16</v>
      </c>
      <c r="K47" s="8" t="s">
        <v>151</v>
      </c>
    </row>
    <row r="48">
      <c r="A48" s="7" t="b">
        <v>0</v>
      </c>
      <c r="B48" s="8" t="s">
        <v>152</v>
      </c>
      <c r="C48" s="8" t="s">
        <v>153</v>
      </c>
      <c r="D48" s="8" t="str">
        <f>Q&amp;$K48&amp;Q&amp;":{"&amp;Q&amp;$B$2&amp;Q&amp;":"&amp;Q&amp;$B48&amp;Q&amp;","&amp;Q&amp;$C$2&amp;Q&amp;":"&amp;Q&amp;$C48&amp;Q&amp;","&amp;Q&amp;"sets"&amp;Q&amp;":"&amp;Q&amp;substitute(SUBSTITUTE($H48,"[",""),"]","")&amp;Q&amp;"},"</f>
        <v>"cqfe":{"label":"Busy","extra":"(occupied, meddlesome, engrossed) ","sets":"Expansion Set 2, Party Set"},</v>
      </c>
      <c r="E48" s="9" t="str">
        <f t="shared" si="2"/>
        <v>data:image/svg+xml,%3csvg xmlns='http://www.w3.org/2000/svg' viewBox='0 0 24 216'%3e%3ctext fill='%23fff' style='font: 900 16px sans-serif' text-anchor='end' transform='matrix(0 -1 1 0 18 5)'%3eBusy%3c/text%3e%3c/svg%3e</v>
      </c>
      <c r="F48" s="10" t="str">
        <f t="shared" si="3"/>
        <v>https://svgtext.heliohost.us/cgi-bin/gen.perl?text=Busy</v>
      </c>
      <c r="G48" s="11" t="str">
        <f t="shared" si="4"/>
        <v>data:image/svg+xml,%3csvg xmlns='http://www.w3.org/2000/svg' viewBox='0 0 24 216'%3e%3ctext fill='%23fff' style='font: 900 16px sans-serif' text-anchor='end' transform='matrix(0 -1 1 0 18 5)'%3eBusy%3c/text%3e%3c/svg%3e</v>
      </c>
      <c r="H48" s="8" t="s">
        <v>17</v>
      </c>
      <c r="I48" s="8">
        <f t="shared" ref="I48:J48" si="49">len(B48)</f>
        <v>4</v>
      </c>
      <c r="J48" s="8">
        <f t="shared" si="49"/>
        <v>34</v>
      </c>
      <c r="K48" s="8" t="s">
        <v>154</v>
      </c>
    </row>
    <row r="49">
      <c r="A49" s="7" t="b">
        <v>0</v>
      </c>
      <c r="B49" s="8" t="s">
        <v>152</v>
      </c>
      <c r="C49" s="8" t="s">
        <v>155</v>
      </c>
      <c r="D49" s="8" t="str">
        <f>Q&amp;$K49&amp;Q&amp;":{"&amp;Q&amp;$B$2&amp;Q&amp;":"&amp;Q&amp;$B49&amp;Q&amp;","&amp;Q&amp;$C$2&amp;Q&amp;":"&amp;Q&amp;$C49&amp;Q&amp;","&amp;Q&amp;"sets"&amp;Q&amp;":"&amp;Q&amp;substitute(SUBSTITUTE($H49,"[",""),"]","")&amp;Q&amp;"},"</f>
        <v>"zbud":{"label":"Busy","extra":"(active, unavailable) ","sets":"Junior 9+ (1st) &amp; (2nd)"},</v>
      </c>
      <c r="E49" s="9" t="str">
        <f t="shared" si="2"/>
        <v>data:image/svg+xml,%3csvg xmlns='http://www.w3.org/2000/svg' viewBox='0 0 24 216'%3e%3ctext fill='%23fff' style='font: 900 16px sans-serif' text-anchor='end' transform='matrix(0 -1 1 0 18 5)'%3eBusy%3c/text%3e%3c/svg%3e</v>
      </c>
      <c r="F49" s="10" t="str">
        <f t="shared" si="3"/>
        <v>https://svgtext.heliohost.us/cgi-bin/gen.perl?text=Busy</v>
      </c>
      <c r="G49" s="11" t="str">
        <f t="shared" si="4"/>
        <v>data:image/svg+xml,%3csvg xmlns='http://www.w3.org/2000/svg' viewBox='0 0 24 216'%3e%3ctext fill='%23fff' style='font: 900 16px sans-serif' text-anchor='end' transform='matrix(0 -1 1 0 18 5)'%3eBusy%3c/text%3e%3c/svg%3e</v>
      </c>
      <c r="H49" s="8" t="s">
        <v>42</v>
      </c>
      <c r="I49" s="8">
        <f t="shared" ref="I49:J49" si="50">len(B49)</f>
        <v>4</v>
      </c>
      <c r="J49" s="8">
        <f t="shared" si="50"/>
        <v>22</v>
      </c>
      <c r="K49" s="8" t="s">
        <v>156</v>
      </c>
    </row>
    <row r="50">
      <c r="A50" s="7" t="b">
        <v>1</v>
      </c>
      <c r="B50" s="8" t="s">
        <v>157</v>
      </c>
      <c r="C50" s="8" t="s">
        <v>158</v>
      </c>
      <c r="D50" s="8" t="str">
        <f>Q&amp;$K50&amp;Q&amp;":{"&amp;Q&amp;$B$2&amp;Q&amp;":"&amp;Q&amp;$B50&amp;Q&amp;","&amp;Q&amp;$C$2&amp;Q&amp;":"&amp;Q&amp;$C50&amp;Q&amp;","&amp;Q&amp;"sets"&amp;Q&amp;":"&amp;Q&amp;substitute(SUBSTITUTE($H50,"[",""),"]","")&amp;Q&amp;"},"</f>
        <v>"clus":{"label":"Calm","extra":"(peaceful, tranquil, placid) ","sets":"Basic Set, Party Set"},</v>
      </c>
      <c r="E50" s="9" t="str">
        <f t="shared" si="2"/>
        <v>data:image/svg+xml,%3csvg xmlns='http://www.w3.org/2000/svg' viewBox='0 0 24 216'%3e%3ctext fill='%23fff' style='font: 900 16px sans-serif' text-anchor='end' transform='matrix(0 -1 1 0 18 5)'%3eCalm%3c/text%3e%3c/svg%3e</v>
      </c>
      <c r="F50" s="10" t="str">
        <f t="shared" si="3"/>
        <v>https://svgtext.heliohost.us/cgi-bin/gen.perl?text=Calm</v>
      </c>
      <c r="G50" s="11" t="str">
        <f t="shared" si="4"/>
        <v>data:image/svg+xml,%3csvg xmlns='http://www.w3.org/2000/svg' viewBox='0 0 24 216'%3e%3ctext fill='%23fff' style='font: 900 16px sans-serif' text-anchor='end' transform='matrix(0 -1 1 0 18 5)'%3eCalm%3c/text%3e%3c/svg%3e</v>
      </c>
      <c r="H50" s="8" t="s">
        <v>29</v>
      </c>
      <c r="I50" s="8">
        <f t="shared" ref="I50:J50" si="51">len(B50)</f>
        <v>4</v>
      </c>
      <c r="J50" s="8">
        <f t="shared" si="51"/>
        <v>29</v>
      </c>
      <c r="K50" s="8" t="s">
        <v>159</v>
      </c>
    </row>
    <row r="51">
      <c r="A51" s="7" t="b">
        <v>0</v>
      </c>
      <c r="B51" s="8" t="s">
        <v>157</v>
      </c>
      <c r="C51" s="8" t="s">
        <v>160</v>
      </c>
      <c r="D51" s="8" t="str">
        <f>Q&amp;$K51&amp;Q&amp;":{"&amp;Q&amp;$B$2&amp;Q&amp;":"&amp;Q&amp;$B51&amp;Q&amp;","&amp;Q&amp;$C$2&amp;Q&amp;":"&amp;Q&amp;$C51&amp;Q&amp;","&amp;Q&amp;"sets"&amp;Q&amp;":"&amp;Q&amp;substitute(SUBSTITUTE($H51,"[",""),"]","")&amp;Q&amp;"},"</f>
        <v>"stok":{"label":"Calm","extra":"(peaceful, still) ","sets":"Junior 9+ (1st) &amp; (2nd)"},</v>
      </c>
      <c r="E51" s="9" t="str">
        <f t="shared" si="2"/>
        <v>data:image/svg+xml,%3csvg xmlns='http://www.w3.org/2000/svg' viewBox='0 0 24 216'%3e%3ctext fill='%23fff' style='font: 900 16px sans-serif' text-anchor='end' transform='matrix(0 -1 1 0 18 5)'%3eCalm%3c/text%3e%3c/svg%3e</v>
      </c>
      <c r="F51" s="10" t="str">
        <f t="shared" si="3"/>
        <v>https://svgtext.heliohost.us/cgi-bin/gen.perl?text=Calm</v>
      </c>
      <c r="G51" s="11" t="str">
        <f t="shared" si="4"/>
        <v>data:image/svg+xml,%3csvg xmlns='http://www.w3.org/2000/svg' viewBox='0 0 24 216'%3e%3ctext fill='%23fff' style='font: 900 16px sans-serif' text-anchor='end' transform='matrix(0 -1 1 0 18 5)'%3eCalm%3c/text%3e%3c/svg%3e</v>
      </c>
      <c r="H51" s="8" t="s">
        <v>42</v>
      </c>
      <c r="I51" s="8">
        <f t="shared" ref="I51:J51" si="52">len(B51)</f>
        <v>4</v>
      </c>
      <c r="J51" s="8">
        <f t="shared" si="52"/>
        <v>18</v>
      </c>
      <c r="K51" s="8" t="s">
        <v>161</v>
      </c>
    </row>
    <row r="52">
      <c r="A52" s="7" t="b">
        <v>0</v>
      </c>
      <c r="B52" s="8" t="s">
        <v>162</v>
      </c>
      <c r="C52" s="8" t="s">
        <v>163</v>
      </c>
      <c r="D52" s="8" t="str">
        <f>Q&amp;$K52&amp;Q&amp;":{"&amp;Q&amp;$B$2&amp;Q&amp;":"&amp;Q&amp;$B52&amp;Q&amp;","&amp;Q&amp;$C$2&amp;Q&amp;":"&amp;Q&amp;$C52&amp;Q&amp;","&amp;Q&amp;"sets"&amp;Q&amp;":"&amp;Q&amp;substitute(SUBSTITUTE($H52,"[",""),"]","")&amp;Q&amp;"},"</f>
        <v>"gpir":{"label":"Careful","extra":"(cautious, thoughtful) ","sets":"Junior 9+ (1st) &amp; (2nd)"},</v>
      </c>
      <c r="E52" s="9" t="str">
        <f t="shared" si="2"/>
        <v>data:image/svg+xml,%3csvg xmlns='http://www.w3.org/2000/svg' viewBox='0 0 24 216'%3e%3ctext fill='%23fff' style='font: 900 16px sans-serif' text-anchor='end' transform='matrix(0 -1 1 0 18 5)'%3eCareful%3c/text%3e%3c/svg%3e</v>
      </c>
      <c r="F52" s="10" t="str">
        <f t="shared" si="3"/>
        <v>https://svgtext.heliohost.us/cgi-bin/gen.perl?text=Careful</v>
      </c>
      <c r="G52" s="11" t="str">
        <f t="shared" si="4"/>
        <v>data:image/svg+xml,%3csvg xmlns='http://www.w3.org/2000/svg' viewBox='0 0 24 216'%3e%3ctext fill='%23fff' style='font: 900 16px sans-serif' text-anchor='end' transform='matrix(0 -1 1 0 18 5)'%3eCareful%3c/text%3e%3c/svg%3e</v>
      </c>
      <c r="H52" s="8" t="s">
        <v>42</v>
      </c>
      <c r="I52" s="8">
        <f t="shared" ref="I52:J52" si="53">len(B52)</f>
        <v>7</v>
      </c>
      <c r="J52" s="8">
        <f t="shared" si="53"/>
        <v>23</v>
      </c>
      <c r="K52" s="8" t="s">
        <v>164</v>
      </c>
    </row>
    <row r="53">
      <c r="A53" s="7" t="b">
        <v>0</v>
      </c>
      <c r="B53" s="8" t="s">
        <v>165</v>
      </c>
      <c r="C53" s="8" t="s">
        <v>166</v>
      </c>
      <c r="D53" s="8" t="str">
        <f>Q&amp;$K53&amp;Q&amp;":{"&amp;Q&amp;$B$2&amp;Q&amp;":"&amp;Q&amp;$B53&amp;Q&amp;","&amp;Q&amp;$C$2&amp;Q&amp;":"&amp;Q&amp;$C53&amp;Q&amp;","&amp;Q&amp;"sets"&amp;Q&amp;":"&amp;Q&amp;substitute(SUBSTITUTE($H53,"[",""),"]","")&amp;Q&amp;"},"</f>
        <v>"nbuc":{"label":"Caring","extra":"(concerned, interested) ","sets":"Junior 9+ (2nd)"},</v>
      </c>
      <c r="E53" s="9" t="str">
        <f t="shared" si="2"/>
        <v>data:image/svg+xml,%3csvg xmlns='http://www.w3.org/2000/svg' viewBox='0 0 24 216'%3e%3ctext fill='%23fff' style='font: 900 16px sans-serif' text-anchor='end' transform='matrix(0 -1 1 0 18 5)'%3eCaring%3c/text%3e%3c/svg%3e</v>
      </c>
      <c r="F53" s="10" t="str">
        <f t="shared" si="3"/>
        <v>https://svgtext.heliohost.us/cgi-bin/gen.perl?text=Caring</v>
      </c>
      <c r="G53" s="11" t="str">
        <f t="shared" si="4"/>
        <v>data:image/svg+xml,%3csvg xmlns='http://www.w3.org/2000/svg' viewBox='0 0 24 216'%3e%3ctext fill='%23fff' style='font: 900 16px sans-serif' text-anchor='end' transform='matrix(0 -1 1 0 18 5)'%3eCaring%3c/text%3e%3c/svg%3e</v>
      </c>
      <c r="H53" s="8" t="s">
        <v>32</v>
      </c>
      <c r="I53" s="8">
        <f t="shared" ref="I53:J53" si="54">len(B53)</f>
        <v>6</v>
      </c>
      <c r="J53" s="8">
        <f t="shared" si="54"/>
        <v>24</v>
      </c>
      <c r="K53" s="8" t="s">
        <v>167</v>
      </c>
    </row>
    <row r="54">
      <c r="A54" s="7" t="b">
        <v>0</v>
      </c>
      <c r="B54" s="8" t="s">
        <v>168</v>
      </c>
      <c r="C54" s="8" t="s">
        <v>169</v>
      </c>
      <c r="D54" s="8" t="str">
        <f>Q&amp;$K54&amp;Q&amp;":{"&amp;Q&amp;$B$2&amp;Q&amp;":"&amp;Q&amp;$B54&amp;Q&amp;","&amp;Q&amp;$C$2&amp;Q&amp;":"&amp;Q&amp;$C54&amp;Q&amp;","&amp;Q&amp;"sets"&amp;Q&amp;":"&amp;Q&amp;substitute(SUBSTITUTE($H54,"[",""),"]","")&amp;Q&amp;"},"</f>
        <v>"nawv":{"label":"Casual","extra":"(easygoing, blase, nonchalant) ","sets":"Basic Set, Party Set"},</v>
      </c>
      <c r="E54" s="9" t="str">
        <f t="shared" si="2"/>
        <v>data:image/svg+xml,%3csvg xmlns='http://www.w3.org/2000/svg' viewBox='0 0 24 216'%3e%3ctext fill='%23fff' style='font: 900 16px sans-serif' text-anchor='end' transform='matrix(0 -1 1 0 18 5)'%3eCasual%3c/text%3e%3c/svg%3e</v>
      </c>
      <c r="F54" s="10" t="str">
        <f t="shared" si="3"/>
        <v>https://svgtext.heliohost.us/cgi-bin/gen.perl?text=Casual</v>
      </c>
      <c r="G54" s="11" t="str">
        <f t="shared" si="4"/>
        <v>data:image/svg+xml,%3csvg xmlns='http://www.w3.org/2000/svg' viewBox='0 0 24 216'%3e%3ctext fill='%23fff' style='font: 900 16px sans-serif' text-anchor='end' transform='matrix(0 -1 1 0 18 5)'%3eCasual%3c/text%3e%3c/svg%3e</v>
      </c>
      <c r="H54" s="8" t="s">
        <v>29</v>
      </c>
      <c r="I54" s="8">
        <f t="shared" ref="I54:J54" si="55">len(B54)</f>
        <v>6</v>
      </c>
      <c r="J54" s="8">
        <f t="shared" si="55"/>
        <v>31</v>
      </c>
      <c r="K54" s="8" t="s">
        <v>170</v>
      </c>
    </row>
    <row r="55">
      <c r="A55" s="7" t="b">
        <v>1</v>
      </c>
      <c r="B55" s="8" t="s">
        <v>171</v>
      </c>
      <c r="C55" s="8" t="s">
        <v>172</v>
      </c>
      <c r="D55" s="8" t="str">
        <f>Q&amp;$K55&amp;Q&amp;":{"&amp;Q&amp;$B$2&amp;Q&amp;":"&amp;Q&amp;$B55&amp;Q&amp;","&amp;Q&amp;$C$2&amp;Q&amp;":"&amp;Q&amp;$C55&amp;Q&amp;","&amp;Q&amp;"sets"&amp;Q&amp;":"&amp;Q&amp;substitute(SUBSTITUTE($H55,"[",""),"]","")&amp;Q&amp;"},"</f>
        <v>"mqqh":{"label":"Charismatic","extra":"(alluring, magnetic, charming) ","sets":"Expansion Set 2, Party Set"},</v>
      </c>
      <c r="E55" s="9" t="str">
        <f t="shared" si="2"/>
        <v>data:image/svg+xml,%3csvg xmlns='http://www.w3.org/2000/svg' viewBox='0 0 24 216'%3e%3ctext fill='%23fff' style='font: 900 16px sans-serif' text-anchor='end' transform='matrix(0 -1 1 0 18 5)'%3eCharismatic%3c/text%3e%3c/svg%3e</v>
      </c>
      <c r="F55" s="10" t="str">
        <f t="shared" si="3"/>
        <v>https://svgtext.heliohost.us/cgi-bin/gen.perl?text=Charismatic</v>
      </c>
      <c r="G55" s="11" t="str">
        <f t="shared" si="4"/>
        <v>data:image/svg+xml,%3csvg xmlns='http://www.w3.org/2000/svg' viewBox='0 0 24 216'%3e%3ctext fill='%23fff' style='font: 900 16px sans-serif' text-anchor='end' transform='matrix(0 -1 1 0 18 5)'%3eCharismatic%3c/text%3e%3c/svg%3e</v>
      </c>
      <c r="H55" s="8" t="s">
        <v>17</v>
      </c>
      <c r="I55" s="8">
        <f t="shared" ref="I55:J55" si="56">len(B55)</f>
        <v>11</v>
      </c>
      <c r="J55" s="8">
        <f t="shared" si="56"/>
        <v>31</v>
      </c>
      <c r="K55" s="8" t="s">
        <v>173</v>
      </c>
    </row>
    <row r="56">
      <c r="A56" s="7" t="b">
        <v>0</v>
      </c>
      <c r="B56" s="8" t="s">
        <v>174</v>
      </c>
      <c r="C56" s="8" t="s">
        <v>175</v>
      </c>
      <c r="D56" s="8" t="str">
        <f>Q&amp;$K56&amp;Q&amp;":{"&amp;Q&amp;$B$2&amp;Q&amp;":"&amp;Q&amp;$B56&amp;Q&amp;","&amp;Q&amp;$C$2&amp;Q&amp;":"&amp;Q&amp;$C56&amp;Q&amp;","&amp;Q&amp;"sets"&amp;Q&amp;":"&amp;Q&amp;substitute(SUBSTITUTE($H56,"[",""),"]","")&amp;Q&amp;"},"</f>
        <v>"wfte":{"label":"Charming","extra":"(captivating, enchanting, fascinating) ","sets":"Basic Set, Party Set"},</v>
      </c>
      <c r="E56" s="9" t="str">
        <f t="shared" si="2"/>
        <v>data:image/svg+xml,%3csvg xmlns='http://www.w3.org/2000/svg' viewBox='0 0 24 216'%3e%3ctext fill='%23fff' style='font: 900 16px sans-serif' text-anchor='end' transform='matrix(0 -1 1 0 18 5)'%3eCharming%3c/text%3e%3c/svg%3e</v>
      </c>
      <c r="F56" s="10" t="str">
        <f t="shared" si="3"/>
        <v>https://svgtext.heliohost.us/cgi-bin/gen.perl?text=Charming</v>
      </c>
      <c r="G56" s="11" t="str">
        <f t="shared" si="4"/>
        <v>data:image/svg+xml,%3csvg xmlns='http://www.w3.org/2000/svg' viewBox='0 0 24 216'%3e%3ctext fill='%23fff' style='font: 900 16px sans-serif' text-anchor='end' transform='matrix(0 -1 1 0 18 5)'%3eCharming%3c/text%3e%3c/svg%3e</v>
      </c>
      <c r="H56" s="8" t="s">
        <v>29</v>
      </c>
      <c r="I56" s="8">
        <f t="shared" ref="I56:J56" si="57">len(B56)</f>
        <v>8</v>
      </c>
      <c r="J56" s="8">
        <f t="shared" si="57"/>
        <v>39</v>
      </c>
      <c r="K56" s="8" t="s">
        <v>176</v>
      </c>
    </row>
    <row r="57">
      <c r="A57" s="7" t="b">
        <v>1</v>
      </c>
      <c r="B57" s="8" t="s">
        <v>174</v>
      </c>
      <c r="C57" s="8" t="s">
        <v>177</v>
      </c>
      <c r="D57" s="8" t="str">
        <f>Q&amp;$K57&amp;Q&amp;":{"&amp;Q&amp;$B$2&amp;Q&amp;":"&amp;Q&amp;$B57&amp;Q&amp;","&amp;Q&amp;$C$2&amp;Q&amp;":"&amp;Q&amp;$C57&amp;Q&amp;","&amp;Q&amp;"sets"&amp;Q&amp;":"&amp;Q&amp;substitute(SUBSTITUTE($H57,"[",""),"]","")&amp;Q&amp;"},"</f>
        <v>"rhcx":{"label":"Charming","extra":"(pleasant, polite) ","sets":"Junior 9+ (2nd)"},</v>
      </c>
      <c r="E57" s="9" t="str">
        <f t="shared" si="2"/>
        <v>data:image/svg+xml,%3csvg xmlns='http://www.w3.org/2000/svg' viewBox='0 0 24 216'%3e%3ctext fill='%23fff' style='font: 900 16px sans-serif' text-anchor='end' transform='matrix(0 -1 1 0 18 5)'%3eCharming%3c/text%3e%3c/svg%3e</v>
      </c>
      <c r="F57" s="10" t="str">
        <f t="shared" si="3"/>
        <v>https://svgtext.heliohost.us/cgi-bin/gen.perl?text=Charming</v>
      </c>
      <c r="G57" s="11" t="str">
        <f t="shared" si="4"/>
        <v>data:image/svg+xml,%3csvg xmlns='http://www.w3.org/2000/svg' viewBox='0 0 24 216'%3e%3ctext fill='%23fff' style='font: 900 16px sans-serif' text-anchor='end' transform='matrix(0 -1 1 0 18 5)'%3eCharming%3c/text%3e%3c/svg%3e</v>
      </c>
      <c r="H57" s="8" t="s">
        <v>32</v>
      </c>
      <c r="I57" s="8">
        <f t="shared" ref="I57:J57" si="58">len(B57)</f>
        <v>8</v>
      </c>
      <c r="J57" s="8">
        <f t="shared" si="58"/>
        <v>19</v>
      </c>
      <c r="K57" s="8" t="s">
        <v>178</v>
      </c>
    </row>
    <row r="58">
      <c r="A58" s="7" t="b">
        <v>0</v>
      </c>
      <c r="B58" s="8" t="s">
        <v>179</v>
      </c>
      <c r="C58" s="8" t="s">
        <v>180</v>
      </c>
      <c r="D58" s="8" t="str">
        <f>Q&amp;$K58&amp;Q&amp;":{"&amp;Q&amp;$B$2&amp;Q&amp;":"&amp;Q&amp;$B58&amp;Q&amp;","&amp;Q&amp;$C$2&amp;Q&amp;":"&amp;Q&amp;$C58&amp;Q&amp;","&amp;Q&amp;"sets"&amp;Q&amp;":"&amp;Q&amp;substitute(SUBSTITUTE($H58,"[",""),"]","")&amp;Q&amp;"},"</f>
        <v>"ttzj":{"label":"Cheerful","extra":"(happy, lively) ","sets":"Junior 9+ (1st) &amp; (2nd)"},</v>
      </c>
      <c r="E58" s="9" t="str">
        <f t="shared" si="2"/>
        <v>data:image/svg+xml,%3csvg xmlns='http://www.w3.org/2000/svg' viewBox='0 0 24 216'%3e%3ctext fill='%23fff' style='font: 900 16px sans-serif' text-anchor='end' transform='matrix(0 -1 1 0 18 5)'%3eCheerful%3c/text%3e%3c/svg%3e</v>
      </c>
      <c r="F58" s="10" t="str">
        <f t="shared" si="3"/>
        <v>https://svgtext.heliohost.us/cgi-bin/gen.perl?text=Cheerful</v>
      </c>
      <c r="G58" s="11" t="str">
        <f t="shared" si="4"/>
        <v>data:image/svg+xml,%3csvg xmlns='http://www.w3.org/2000/svg' viewBox='0 0 24 216'%3e%3ctext fill='%23fff' style='font: 900 16px sans-serif' text-anchor='end' transform='matrix(0 -1 1 0 18 5)'%3eCheerful%3c/text%3e%3c/svg%3e</v>
      </c>
      <c r="H58" s="8" t="s">
        <v>42</v>
      </c>
      <c r="I58" s="8">
        <f t="shared" ref="I58:J58" si="59">len(B58)</f>
        <v>8</v>
      </c>
      <c r="J58" s="8">
        <f t="shared" si="59"/>
        <v>16</v>
      </c>
      <c r="K58" s="8" t="s">
        <v>181</v>
      </c>
    </row>
    <row r="59">
      <c r="A59" s="7" t="b">
        <v>0</v>
      </c>
      <c r="B59" s="8" t="s">
        <v>182</v>
      </c>
      <c r="C59" s="8" t="s">
        <v>183</v>
      </c>
      <c r="D59" s="8" t="str">
        <f>Q&amp;$K59&amp;Q&amp;":{"&amp;Q&amp;$B$2&amp;Q&amp;":"&amp;Q&amp;$B59&amp;Q&amp;","&amp;Q&amp;$C$2&amp;Q&amp;":"&amp;Q&amp;$C59&amp;Q&amp;","&amp;Q&amp;"sets"&amp;Q&amp;":"&amp;Q&amp;substitute(SUBSTITUTE($H59,"[",""),"]","")&amp;Q&amp;"},"</f>
        <v>"cvde":{"label":"Cheesy","extra":"(trashy, tawdry, far-fetched) ","sets":"Basic Set, Party Set"},</v>
      </c>
      <c r="E59" s="9" t="str">
        <f t="shared" si="2"/>
        <v>data:image/svg+xml,%3csvg xmlns='http://www.w3.org/2000/svg' viewBox='0 0 24 216'%3e%3ctext fill='%23fff' style='font: 900 16px sans-serif' text-anchor='end' transform='matrix(0 -1 1 0 18 5)'%3eCheesy%3c/text%3e%3c/svg%3e</v>
      </c>
      <c r="F59" s="10" t="str">
        <f t="shared" si="3"/>
        <v>https://svgtext.heliohost.us/cgi-bin/gen.perl?text=Cheesy</v>
      </c>
      <c r="G59" s="11" t="str">
        <f t="shared" si="4"/>
        <v>data:image/svg+xml,%3csvg xmlns='http://www.w3.org/2000/svg' viewBox='0 0 24 216'%3e%3ctext fill='%23fff' style='font: 900 16px sans-serif' text-anchor='end' transform='matrix(0 -1 1 0 18 5)'%3eCheesy%3c/text%3e%3c/svg%3e</v>
      </c>
      <c r="H59" s="8" t="s">
        <v>29</v>
      </c>
      <c r="I59" s="8">
        <f t="shared" ref="I59:J59" si="60">len(B59)</f>
        <v>6</v>
      </c>
      <c r="J59" s="8">
        <f t="shared" si="60"/>
        <v>30</v>
      </c>
      <c r="K59" s="8" t="s">
        <v>184</v>
      </c>
    </row>
    <row r="60">
      <c r="A60" s="7" t="b">
        <v>1</v>
      </c>
      <c r="B60" s="8" t="s">
        <v>185</v>
      </c>
      <c r="C60" s="8" t="s">
        <v>186</v>
      </c>
      <c r="D60" s="8" t="str">
        <f>Q&amp;$K60&amp;Q&amp;":{"&amp;Q&amp;$B$2&amp;Q&amp;":"&amp;Q&amp;$B60&amp;Q&amp;","&amp;Q&amp;$C$2&amp;Q&amp;":"&amp;Q&amp;$C60&amp;Q&amp;","&amp;Q&amp;"sets"&amp;Q&amp;":"&amp;Q&amp;substitute(SUBSTITUTE($H60,"[",""),"]","")&amp;Q&amp;"},"</f>
        <v>"uivm":{"label":"Chewy","extra":"(gummy, rubbery, stringy) ","sets":"Expansion Set 1, Party Set"},</v>
      </c>
      <c r="E60" s="9" t="str">
        <f t="shared" si="2"/>
        <v>data:image/svg+xml,%3csvg xmlns='http://www.w3.org/2000/svg' viewBox='0 0 24 216'%3e%3ctext fill='%23fff' style='font: 900 16px sans-serif' text-anchor='end' transform='matrix(0 -1 1 0 18 5)'%3eChewy%3c/text%3e%3c/svg%3e</v>
      </c>
      <c r="F60" s="10" t="str">
        <f t="shared" si="3"/>
        <v>https://svgtext.heliohost.us/cgi-bin/gen.perl?text=Chewy</v>
      </c>
      <c r="G60" s="11" t="str">
        <f t="shared" si="4"/>
        <v>data:image/svg+xml,%3csvg xmlns='http://www.w3.org/2000/svg' viewBox='0 0 24 216'%3e%3ctext fill='%23fff' style='font: 900 16px sans-serif' text-anchor='end' transform='matrix(0 -1 1 0 18 5)'%3eChewy%3c/text%3e%3c/svg%3e</v>
      </c>
      <c r="H60" s="8" t="s">
        <v>25</v>
      </c>
      <c r="I60" s="8">
        <f t="shared" ref="I60:J60" si="61">len(B60)</f>
        <v>5</v>
      </c>
      <c r="J60" s="8">
        <f t="shared" si="61"/>
        <v>26</v>
      </c>
      <c r="K60" s="8" t="s">
        <v>187</v>
      </c>
    </row>
    <row r="61">
      <c r="A61" s="7" t="b">
        <v>0</v>
      </c>
      <c r="B61" s="8" t="s">
        <v>185</v>
      </c>
      <c r="C61" s="8" t="s">
        <v>188</v>
      </c>
      <c r="D61" s="8" t="str">
        <f>Q&amp;$K61&amp;Q&amp;":{"&amp;Q&amp;$B$2&amp;Q&amp;":"&amp;Q&amp;$B61&amp;Q&amp;","&amp;Q&amp;$C$2&amp;Q&amp;":"&amp;Q&amp;$C61&amp;Q&amp;","&amp;Q&amp;"sets"&amp;Q&amp;":"&amp;Q&amp;substitute(SUBSTITUTE($H61,"[",""),"]","")&amp;Q&amp;"},"</f>
        <v>"epjb":{"label":"Chewy","extra":"(gummy, rubbery) ","sets":"Junior 9+ (1st) &amp; (2nd)"},</v>
      </c>
      <c r="E61" s="9" t="str">
        <f t="shared" si="2"/>
        <v>data:image/svg+xml,%3csvg xmlns='http://www.w3.org/2000/svg' viewBox='0 0 24 216'%3e%3ctext fill='%23fff' style='font: 900 16px sans-serif' text-anchor='end' transform='matrix(0 -1 1 0 18 5)'%3eChewy%3c/text%3e%3c/svg%3e</v>
      </c>
      <c r="F61" s="10" t="str">
        <f t="shared" si="3"/>
        <v>https://svgtext.heliohost.us/cgi-bin/gen.perl?text=Chewy</v>
      </c>
      <c r="G61" s="11" t="str">
        <f t="shared" si="4"/>
        <v>data:image/svg+xml,%3csvg xmlns='http://www.w3.org/2000/svg' viewBox='0 0 24 216'%3e%3ctext fill='%23fff' style='font: 900 16px sans-serif' text-anchor='end' transform='matrix(0 -1 1 0 18 5)'%3eChewy%3c/text%3e%3c/svg%3e</v>
      </c>
      <c r="H61" s="8" t="s">
        <v>42</v>
      </c>
      <c r="I61" s="8">
        <f t="shared" ref="I61:J61" si="62">len(B61)</f>
        <v>5</v>
      </c>
      <c r="J61" s="8">
        <f t="shared" si="62"/>
        <v>17</v>
      </c>
      <c r="K61" s="8" t="s">
        <v>189</v>
      </c>
    </row>
    <row r="62">
      <c r="A62" s="7" t="b">
        <v>0</v>
      </c>
      <c r="B62" s="8" t="s">
        <v>190</v>
      </c>
      <c r="C62" s="8" t="s">
        <v>191</v>
      </c>
      <c r="D62" s="8" t="str">
        <f>Q&amp;$K62&amp;Q&amp;":{"&amp;Q&amp;$B$2&amp;Q&amp;":"&amp;Q&amp;$B62&amp;Q&amp;","&amp;Q&amp;$C$2&amp;Q&amp;":"&amp;Q&amp;$C62&amp;Q&amp;","&amp;Q&amp;"sets"&amp;Q&amp;":"&amp;Q&amp;substitute(SUBSTITUTE($H62,"[",""),"]","")&amp;Q&amp;"},"</f>
        <v>"atqp":{"label":"Chubby","extra":"(plump, round) ","sets":"Junior 9+ (2nd)"},</v>
      </c>
      <c r="E62" s="9" t="str">
        <f t="shared" si="2"/>
        <v>data:image/svg+xml,%3csvg xmlns='http://www.w3.org/2000/svg' viewBox='0 0 24 216'%3e%3ctext fill='%23fff' style='font: 900 16px sans-serif' text-anchor='end' transform='matrix(0 -1 1 0 18 5)'%3eChubby%3c/text%3e%3c/svg%3e</v>
      </c>
      <c r="F62" s="10" t="str">
        <f t="shared" si="3"/>
        <v>https://svgtext.heliohost.us/cgi-bin/gen.perl?text=Chubby</v>
      </c>
      <c r="G62" s="11" t="str">
        <f t="shared" si="4"/>
        <v>data:image/svg+xml,%3csvg xmlns='http://www.w3.org/2000/svg' viewBox='0 0 24 216'%3e%3ctext fill='%23fff' style='font: 900 16px sans-serif' text-anchor='end' transform='matrix(0 -1 1 0 18 5)'%3eChubby%3c/text%3e%3c/svg%3e</v>
      </c>
      <c r="H62" s="8" t="s">
        <v>32</v>
      </c>
      <c r="I62" s="8">
        <f t="shared" ref="I62:J62" si="63">len(B62)</f>
        <v>6</v>
      </c>
      <c r="J62" s="8">
        <f t="shared" si="63"/>
        <v>15</v>
      </c>
      <c r="K62" s="8" t="s">
        <v>192</v>
      </c>
    </row>
    <row r="63">
      <c r="A63" s="7" t="b">
        <v>0</v>
      </c>
      <c r="B63" s="8" t="s">
        <v>193</v>
      </c>
      <c r="C63" s="8" t="s">
        <v>194</v>
      </c>
      <c r="D63" s="8" t="str">
        <f>Q&amp;$K63&amp;Q&amp;":{"&amp;Q&amp;$B$2&amp;Q&amp;":"&amp;Q&amp;$B63&amp;Q&amp;","&amp;Q&amp;$C$2&amp;Q&amp;":"&amp;Q&amp;$C63&amp;Q&amp;","&amp;Q&amp;"sets"&amp;Q&amp;":"&amp;Q&amp;substitute(SUBSTITUTE($H63,"[",""),"]","")&amp;Q&amp;"},"</f>
        <v>"eghm":{"label":"Chunky","extra":"(lumpy, chubby, bumpy) ","sets":"Expansion Set 1, Party Set"},</v>
      </c>
      <c r="E63" s="9" t="str">
        <f t="shared" si="2"/>
        <v>data:image/svg+xml,%3csvg xmlns='http://www.w3.org/2000/svg' viewBox='0 0 24 216'%3e%3ctext fill='%23fff' style='font: 900 16px sans-serif' text-anchor='end' transform='matrix(0 -1 1 0 18 5)'%3eChunky%3c/text%3e%3c/svg%3e</v>
      </c>
      <c r="F63" s="10" t="str">
        <f t="shared" si="3"/>
        <v>https://svgtext.heliohost.us/cgi-bin/gen.perl?text=Chunky</v>
      </c>
      <c r="G63" s="11" t="str">
        <f t="shared" si="4"/>
        <v>data:image/svg+xml,%3csvg xmlns='http://www.w3.org/2000/svg' viewBox='0 0 24 216'%3e%3ctext fill='%23fff' style='font: 900 16px sans-serif' text-anchor='end' transform='matrix(0 -1 1 0 18 5)'%3eChunky%3c/text%3e%3c/svg%3e</v>
      </c>
      <c r="H63" s="8" t="s">
        <v>25</v>
      </c>
      <c r="I63" s="8">
        <f t="shared" ref="I63:J63" si="64">len(B63)</f>
        <v>6</v>
      </c>
      <c r="J63" s="8">
        <f t="shared" si="64"/>
        <v>23</v>
      </c>
      <c r="K63" s="8" t="s">
        <v>195</v>
      </c>
    </row>
    <row r="64">
      <c r="A64" s="7" t="b">
        <v>0</v>
      </c>
      <c r="B64" s="8" t="s">
        <v>196</v>
      </c>
      <c r="C64" s="8" t="s">
        <v>197</v>
      </c>
      <c r="D64" s="8" t="str">
        <f>Q&amp;$K64&amp;Q&amp;":{"&amp;Q&amp;$B$2&amp;Q&amp;":"&amp;Q&amp;$B64&amp;Q&amp;","&amp;Q&amp;$C$2&amp;Q&amp;":"&amp;Q&amp;$C64&amp;Q&amp;","&amp;Q&amp;"sets"&amp;Q&amp;":"&amp;Q&amp;substitute(SUBSTITUTE($H64,"[",""),"]","")&amp;Q&amp;"},"</f>
        <v>"jrjd":{"label":"Classic","extra":"(timeless, definitive, vintage) ","sets":"Expansion Set 1, Party Set"},</v>
      </c>
      <c r="E64" s="9" t="str">
        <f t="shared" si="2"/>
        <v>data:image/svg+xml,%3csvg xmlns='http://www.w3.org/2000/svg' viewBox='0 0 24 216'%3e%3ctext fill='%23fff' style='font: 900 16px sans-serif' text-anchor='end' transform='matrix(0 -1 1 0 18 5)'%3eClassic%3c/text%3e%3c/svg%3e</v>
      </c>
      <c r="F64" s="10" t="str">
        <f t="shared" si="3"/>
        <v>https://svgtext.heliohost.us/cgi-bin/gen.perl?text=Classic</v>
      </c>
      <c r="G64" s="11" t="str">
        <f t="shared" si="4"/>
        <v>data:image/svg+xml,%3csvg xmlns='http://www.w3.org/2000/svg' viewBox='0 0 24 216'%3e%3ctext fill='%23fff' style='font: 900 16px sans-serif' text-anchor='end' transform='matrix(0 -1 1 0 18 5)'%3eClassic%3c/text%3e%3c/svg%3e</v>
      </c>
      <c r="H64" s="8" t="s">
        <v>25</v>
      </c>
      <c r="I64" s="8">
        <f t="shared" ref="I64:J64" si="65">len(B64)</f>
        <v>7</v>
      </c>
      <c r="J64" s="8">
        <f t="shared" si="65"/>
        <v>32</v>
      </c>
      <c r="K64" s="8" t="s">
        <v>198</v>
      </c>
    </row>
    <row r="65">
      <c r="A65" s="7" t="b">
        <v>0</v>
      </c>
      <c r="B65" s="8" t="s">
        <v>199</v>
      </c>
      <c r="C65" s="8" t="s">
        <v>200</v>
      </c>
      <c r="D65" s="8" t="str">
        <f>Q&amp;$K65&amp;Q&amp;":{"&amp;Q&amp;$B$2&amp;Q&amp;":"&amp;Q&amp;$B65&amp;Q&amp;","&amp;Q&amp;$C$2&amp;Q&amp;":"&amp;Q&amp;$C65&amp;Q&amp;","&amp;Q&amp;"sets"&amp;Q&amp;":"&amp;Q&amp;substitute(SUBSTITUTE($H65,"[",""),"]","")&amp;Q&amp;"},"</f>
        <v>"nccv":{"label":"Clean","extra":"(washed, pure, tidy) ","sets":"Expansion Set 2, Party Set"},</v>
      </c>
      <c r="E65" s="9" t="str">
        <f t="shared" si="2"/>
        <v>data:image/svg+xml,%3csvg xmlns='http://www.w3.org/2000/svg' viewBox='0 0 24 216'%3e%3ctext fill='%23fff' style='font: 900 16px sans-serif' text-anchor='end' transform='matrix(0 -1 1 0 18 5)'%3eClean%3c/text%3e%3c/svg%3e</v>
      </c>
      <c r="F65" s="10" t="str">
        <f t="shared" si="3"/>
        <v>https://svgtext.heliohost.us/cgi-bin/gen.perl?text=Clean</v>
      </c>
      <c r="G65" s="11" t="str">
        <f t="shared" si="4"/>
        <v>data:image/svg+xml,%3csvg xmlns='http://www.w3.org/2000/svg' viewBox='0 0 24 216'%3e%3ctext fill='%23fff' style='font: 900 16px sans-serif' text-anchor='end' transform='matrix(0 -1 1 0 18 5)'%3eClean%3c/text%3e%3c/svg%3e</v>
      </c>
      <c r="H65" s="8" t="s">
        <v>17</v>
      </c>
      <c r="I65" s="8">
        <f t="shared" ref="I65:J65" si="66">len(B65)</f>
        <v>5</v>
      </c>
      <c r="J65" s="8">
        <f t="shared" si="66"/>
        <v>21</v>
      </c>
      <c r="K65" s="8" t="s">
        <v>201</v>
      </c>
    </row>
    <row r="66">
      <c r="A66" s="7" t="b">
        <v>0</v>
      </c>
      <c r="B66" s="8" t="s">
        <v>199</v>
      </c>
      <c r="C66" s="8" t="s">
        <v>202</v>
      </c>
      <c r="D66" s="8" t="str">
        <f>Q&amp;$K66&amp;Q&amp;":{"&amp;Q&amp;$B$2&amp;Q&amp;":"&amp;Q&amp;$B66&amp;Q&amp;","&amp;Q&amp;$C$2&amp;Q&amp;":"&amp;Q&amp;$C66&amp;Q&amp;","&amp;Q&amp;"sets"&amp;Q&amp;":"&amp;Q&amp;substitute(SUBSTITUTE($H66,"[",""),"]","")&amp;Q&amp;"},"</f>
        <v>"syal":{"label":"Clean","extra":"(spotless, clear) ","sets":"Junior"},</v>
      </c>
      <c r="E66" s="9" t="str">
        <f t="shared" si="2"/>
        <v>data:image/svg+xml,%3csvg xmlns='http://www.w3.org/2000/svg' viewBox='0 0 24 216'%3e%3ctext fill='%23fff' style='font: 900 16px sans-serif' text-anchor='end' transform='matrix(0 -1 1 0 18 5)'%3eClean%3c/text%3e%3c/svg%3e</v>
      </c>
      <c r="F66" s="10" t="str">
        <f t="shared" si="3"/>
        <v>https://svgtext.heliohost.us/cgi-bin/gen.perl?text=Clean</v>
      </c>
      <c r="G66" s="11" t="str">
        <f t="shared" si="4"/>
        <v>data:image/svg+xml,%3csvg xmlns='http://www.w3.org/2000/svg' viewBox='0 0 24 216'%3e%3ctext fill='%23fff' style='font: 900 16px sans-serif' text-anchor='end' transform='matrix(0 -1 1 0 18 5)'%3eClean%3c/text%3e%3c/svg%3e</v>
      </c>
      <c r="H66" s="8" t="s">
        <v>84</v>
      </c>
      <c r="I66" s="8">
        <f t="shared" ref="I66:J66" si="67">len(B66)</f>
        <v>5</v>
      </c>
      <c r="J66" s="8">
        <f t="shared" si="67"/>
        <v>18</v>
      </c>
      <c r="K66" s="8" t="s">
        <v>203</v>
      </c>
    </row>
    <row r="67">
      <c r="A67" s="7" t="b">
        <v>0</v>
      </c>
      <c r="B67" s="8" t="s">
        <v>204</v>
      </c>
      <c r="C67" s="8" t="s">
        <v>205</v>
      </c>
      <c r="D67" s="8" t="str">
        <f>Q&amp;$K67&amp;Q&amp;":{"&amp;Q&amp;$B$2&amp;Q&amp;":"&amp;Q&amp;$B67&amp;Q&amp;","&amp;Q&amp;$C$2&amp;Q&amp;":"&amp;Q&amp;$C67&amp;Q&amp;","&amp;Q&amp;"sets"&amp;Q&amp;":"&amp;Q&amp;substitute(SUBSTITUTE($H67,"[",""),"]","")&amp;Q&amp;"},"</f>
        <v>"wztf":{"label":"Clear","extra":"(understandable, uncluttered, transparent) ","sets":"Expansion Set 1"},</v>
      </c>
      <c r="E67" s="9" t="str">
        <f t="shared" si="2"/>
        <v>data:image/svg+xml,%3csvg xmlns='http://www.w3.org/2000/svg' viewBox='0 0 24 216'%3e%3ctext fill='%23fff' style='font: 900 16px sans-serif' text-anchor='end' transform='matrix(0 -1 1 0 18 5)'%3eClear%3c/text%3e%3c/svg%3e</v>
      </c>
      <c r="F67" s="10" t="str">
        <f t="shared" si="3"/>
        <v>https://svgtext.heliohost.us/cgi-bin/gen.perl?text=Clear</v>
      </c>
      <c r="G67" s="11" t="str">
        <f t="shared" si="4"/>
        <v>data:image/svg+xml,%3csvg xmlns='http://www.w3.org/2000/svg' viewBox='0 0 24 216'%3e%3ctext fill='%23fff' style='font: 900 16px sans-serif' text-anchor='end' transform='matrix(0 -1 1 0 18 5)'%3eClear%3c/text%3e%3c/svg%3e</v>
      </c>
      <c r="H67" s="8" t="s">
        <v>206</v>
      </c>
      <c r="I67" s="8">
        <f t="shared" ref="I67:J67" si="68">len(B67)</f>
        <v>5</v>
      </c>
      <c r="J67" s="8">
        <f t="shared" si="68"/>
        <v>43</v>
      </c>
      <c r="K67" s="8" t="s">
        <v>207</v>
      </c>
    </row>
    <row r="68">
      <c r="A68" s="7" t="b">
        <v>1</v>
      </c>
      <c r="B68" s="8" t="s">
        <v>208</v>
      </c>
      <c r="C68" s="8" t="s">
        <v>209</v>
      </c>
      <c r="D68" s="8" t="str">
        <f>Q&amp;$K68&amp;Q&amp;":{"&amp;Q&amp;$B$2&amp;Q&amp;":"&amp;Q&amp;$B68&amp;Q&amp;","&amp;Q&amp;$C$2&amp;Q&amp;":"&amp;Q&amp;$C68&amp;Q&amp;","&amp;Q&amp;"sets"&amp;Q&amp;":"&amp;Q&amp;substitute(SUBSTITUTE($H68,"[",""),"]","")&amp;Q&amp;"},"</f>
        <v>"pkmw":{"label":"Clever","extra":"(intelligent, ingenious, witty) ","sets":"Expansion Set 3, Party Expansion 1"},</v>
      </c>
      <c r="E68" s="9" t="str">
        <f t="shared" si="2"/>
        <v>data:image/svg+xml,%3csvg xmlns='http://www.w3.org/2000/svg' viewBox='0 0 24 216'%3e%3ctext fill='%23fff' style='font: 900 16px sans-serif' text-anchor='end' transform='matrix(0 -1 1 0 18 5)'%3eClever%3c/text%3e%3c/svg%3e</v>
      </c>
      <c r="F68" s="10" t="str">
        <f t="shared" si="3"/>
        <v>https://svgtext.heliohost.us/cgi-bin/gen.perl?text=Clever</v>
      </c>
      <c r="G68" s="11" t="str">
        <f t="shared" si="4"/>
        <v>data:image/svg+xml,%3csvg xmlns='http://www.w3.org/2000/svg' viewBox='0 0 24 216'%3e%3ctext fill='%23fff' style='font: 900 16px sans-serif' text-anchor='end' transform='matrix(0 -1 1 0 18 5)'%3eClever%3c/text%3e%3c/svg%3e</v>
      </c>
      <c r="H68" s="8" t="s">
        <v>39</v>
      </c>
      <c r="I68" s="8">
        <f t="shared" ref="I68:J68" si="69">len(B68)</f>
        <v>6</v>
      </c>
      <c r="J68" s="8">
        <f t="shared" si="69"/>
        <v>32</v>
      </c>
      <c r="K68" s="8" t="s">
        <v>210</v>
      </c>
    </row>
    <row r="69">
      <c r="A69" s="7" t="b">
        <v>1</v>
      </c>
      <c r="B69" s="8" t="s">
        <v>211</v>
      </c>
      <c r="C69" s="8" t="s">
        <v>212</v>
      </c>
      <c r="D69" s="8" t="str">
        <f>Q&amp;$K69&amp;Q&amp;":{"&amp;Q&amp;$B$2&amp;Q&amp;":"&amp;Q&amp;$B69&amp;Q&amp;","&amp;Q&amp;$C$2&amp;Q&amp;":"&amp;Q&amp;$C69&amp;Q&amp;","&amp;Q&amp;"sets"&amp;Q&amp;":"&amp;Q&amp;substitute(SUBSTITUTE($H69,"[",""),"]","")&amp;Q&amp;"},"</f>
        <v>"bkvc":{"label":"Clueless","extra":"(unaware, oblivious, ignorant) ","sets":"Expansion Set 1, Party Set"},</v>
      </c>
      <c r="E69" s="9" t="str">
        <f t="shared" si="2"/>
        <v>data:image/svg+xml,%3csvg xmlns='http://www.w3.org/2000/svg' viewBox='0 0 24 216'%3e%3ctext fill='%23fff' style='font: 900 16px sans-serif' text-anchor='end' transform='matrix(0 -1 1 0 18 5)'%3eClueless%3c/text%3e%3c/svg%3e</v>
      </c>
      <c r="F69" s="10" t="str">
        <f t="shared" si="3"/>
        <v>https://svgtext.heliohost.us/cgi-bin/gen.perl?text=Clueless</v>
      </c>
      <c r="G69" s="11" t="str">
        <f t="shared" si="4"/>
        <v>data:image/svg+xml,%3csvg xmlns='http://www.w3.org/2000/svg' viewBox='0 0 24 216'%3e%3ctext fill='%23fff' style='font: 900 16px sans-serif' text-anchor='end' transform='matrix(0 -1 1 0 18 5)'%3eClueless%3c/text%3e%3c/svg%3e</v>
      </c>
      <c r="H69" s="8" t="s">
        <v>25</v>
      </c>
      <c r="I69" s="8">
        <f t="shared" ref="I69:J69" si="70">len(B69)</f>
        <v>8</v>
      </c>
      <c r="J69" s="8">
        <f t="shared" si="70"/>
        <v>31</v>
      </c>
      <c r="K69" s="8" t="s">
        <v>213</v>
      </c>
    </row>
    <row r="70">
      <c r="A70" s="7" t="b">
        <v>1</v>
      </c>
      <c r="B70" s="8" t="s">
        <v>214</v>
      </c>
      <c r="C70" s="8" t="s">
        <v>215</v>
      </c>
      <c r="D70" s="8" t="str">
        <f>Q&amp;$K70&amp;Q&amp;":{"&amp;Q&amp;$B$2&amp;Q&amp;":"&amp;Q&amp;$B70&amp;Q&amp;","&amp;Q&amp;$C$2&amp;Q&amp;":"&amp;Q&amp;$C70&amp;Q&amp;","&amp;Q&amp;"sets"&amp;Q&amp;":"&amp;Q&amp;substitute(SUBSTITUTE($H70,"[",""),"]","")&amp;Q&amp;"},"</f>
        <v>"umfj":{"label":"Clumsy","extra":"(awkward, bumbling, uncoordinated) ","sets":"Expansion Set 3, Party Expansion 1"},</v>
      </c>
      <c r="E70" s="9" t="str">
        <f t="shared" si="2"/>
        <v>data:image/svg+xml,%3csvg xmlns='http://www.w3.org/2000/svg' viewBox='0 0 24 216'%3e%3ctext fill='%23fff' style='font: 900 16px sans-serif' text-anchor='end' transform='matrix(0 -1 1 0 18 5)'%3eClumsy%3c/text%3e%3c/svg%3e</v>
      </c>
      <c r="F70" s="10" t="str">
        <f t="shared" si="3"/>
        <v>https://svgtext.heliohost.us/cgi-bin/gen.perl?text=Clumsy</v>
      </c>
      <c r="G70" s="11" t="str">
        <f t="shared" si="4"/>
        <v>data:image/svg+xml,%3csvg xmlns='http://www.w3.org/2000/svg' viewBox='0 0 24 216'%3e%3ctext fill='%23fff' style='font: 900 16px sans-serif' text-anchor='end' transform='matrix(0 -1 1 0 18 5)'%3eClumsy%3c/text%3e%3c/svg%3e</v>
      </c>
      <c r="H70" s="8" t="s">
        <v>39</v>
      </c>
      <c r="I70" s="8">
        <f t="shared" ref="I70:J70" si="71">len(B70)</f>
        <v>6</v>
      </c>
      <c r="J70" s="8">
        <f t="shared" si="71"/>
        <v>35</v>
      </c>
      <c r="K70" s="8" t="s">
        <v>216</v>
      </c>
    </row>
    <row r="71">
      <c r="A71" s="7" t="b">
        <v>0</v>
      </c>
      <c r="B71" s="8" t="s">
        <v>214</v>
      </c>
      <c r="C71" s="8" t="s">
        <v>217</v>
      </c>
      <c r="D71" s="8" t="str">
        <f>Q&amp;$K71&amp;Q&amp;":{"&amp;Q&amp;$B$2&amp;Q&amp;":"&amp;Q&amp;$B71&amp;Q&amp;","&amp;Q&amp;$C$2&amp;Q&amp;":"&amp;Q&amp;$C71&amp;Q&amp;","&amp;Q&amp;"sets"&amp;Q&amp;":"&amp;Q&amp;substitute(SUBSTITUTE($H71,"[",""),"]","")&amp;Q&amp;"},"</f>
        <v>"mwss":{"label":"Clumsy","extra":"(awkward, not graceful) ","sets":"Junior 9+ (1st) &amp; (2nd)"},</v>
      </c>
      <c r="E71" s="9" t="str">
        <f t="shared" si="2"/>
        <v>data:image/svg+xml,%3csvg xmlns='http://www.w3.org/2000/svg' viewBox='0 0 24 216'%3e%3ctext fill='%23fff' style='font: 900 16px sans-serif' text-anchor='end' transform='matrix(0 -1 1 0 18 5)'%3eClumsy%3c/text%3e%3c/svg%3e</v>
      </c>
      <c r="F71" s="10" t="str">
        <f t="shared" si="3"/>
        <v>https://svgtext.heliohost.us/cgi-bin/gen.perl?text=Clumsy</v>
      </c>
      <c r="G71" s="11" t="str">
        <f t="shared" si="4"/>
        <v>data:image/svg+xml,%3csvg xmlns='http://www.w3.org/2000/svg' viewBox='0 0 24 216'%3e%3ctext fill='%23fff' style='font: 900 16px sans-serif' text-anchor='end' transform='matrix(0 -1 1 0 18 5)'%3eClumsy%3c/text%3e%3c/svg%3e</v>
      </c>
      <c r="H71" s="8" t="s">
        <v>42</v>
      </c>
      <c r="I71" s="8">
        <f t="shared" ref="I71:J71" si="72">len(B71)</f>
        <v>6</v>
      </c>
      <c r="J71" s="8">
        <f t="shared" si="72"/>
        <v>24</v>
      </c>
      <c r="K71" s="8" t="s">
        <v>218</v>
      </c>
    </row>
    <row r="72">
      <c r="A72" s="7" t="b">
        <v>1</v>
      </c>
      <c r="B72" s="8" t="s">
        <v>219</v>
      </c>
      <c r="C72" s="8" t="s">
        <v>220</v>
      </c>
      <c r="D72" s="8" t="str">
        <f>Q&amp;$K72&amp;Q&amp;":{"&amp;Q&amp;$B$2&amp;Q&amp;":"&amp;Q&amp;$B72&amp;Q&amp;","&amp;Q&amp;$C$2&amp;Q&amp;":"&amp;Q&amp;$C72&amp;Q&amp;","&amp;Q&amp;"sets"&amp;Q&amp;":"&amp;Q&amp;substitute(SUBSTITUTE($H72,"[",""),"]","")&amp;Q&amp;"},"</f>
        <v>"mvpj":{"label":"Cold","extra":"(chilly, icy, aloof) ","sets":"Expansion Set 2, Party Set"},</v>
      </c>
      <c r="E72" s="9" t="str">
        <f t="shared" si="2"/>
        <v>data:image/svg+xml,%3csvg xmlns='http://www.w3.org/2000/svg' viewBox='0 0 24 216'%3e%3ctext fill='%23fff' style='font: 900 16px sans-serif' text-anchor='end' transform='matrix(0 -1 1 0 18 5)'%3eCold%3c/text%3e%3c/svg%3e</v>
      </c>
      <c r="F72" s="10" t="str">
        <f t="shared" si="3"/>
        <v>https://svgtext.heliohost.us/cgi-bin/gen.perl?text=Cold</v>
      </c>
      <c r="G72" s="11" t="str">
        <f t="shared" si="4"/>
        <v>data:image/svg+xml,%3csvg xmlns='http://www.w3.org/2000/svg' viewBox='0 0 24 216'%3e%3ctext fill='%23fff' style='font: 900 16px sans-serif' text-anchor='end' transform='matrix(0 -1 1 0 18 5)'%3eCold%3c/text%3e%3c/svg%3e</v>
      </c>
      <c r="H72" s="8" t="s">
        <v>17</v>
      </c>
      <c r="I72" s="8">
        <f t="shared" ref="I72:J72" si="73">len(B72)</f>
        <v>4</v>
      </c>
      <c r="J72" s="8">
        <f t="shared" si="73"/>
        <v>21</v>
      </c>
      <c r="K72" s="8" t="s">
        <v>221</v>
      </c>
    </row>
    <row r="73">
      <c r="A73" s="7" t="b">
        <v>0</v>
      </c>
      <c r="B73" s="8" t="s">
        <v>219</v>
      </c>
      <c r="C73" s="8" t="s">
        <v>222</v>
      </c>
      <c r="D73" s="8" t="str">
        <f>Q&amp;$K73&amp;Q&amp;":{"&amp;Q&amp;$B$2&amp;Q&amp;":"&amp;Q&amp;$B73&amp;Q&amp;","&amp;Q&amp;$C$2&amp;Q&amp;":"&amp;Q&amp;$C73&amp;Q&amp;","&amp;Q&amp;"sets"&amp;Q&amp;":"&amp;Q&amp;substitute(SUBSTITUTE($H73,"[",""),"]","")&amp;Q&amp;"},"</f>
        <v>"efpl":{"label":"Cold","extra":"(cool, chilly) ","sets":"Junior"},</v>
      </c>
      <c r="E73" s="9" t="str">
        <f t="shared" si="2"/>
        <v>data:image/svg+xml,%3csvg xmlns='http://www.w3.org/2000/svg' viewBox='0 0 24 216'%3e%3ctext fill='%23fff' style='font: 900 16px sans-serif' text-anchor='end' transform='matrix(0 -1 1 0 18 5)'%3eCold%3c/text%3e%3c/svg%3e</v>
      </c>
      <c r="F73" s="10" t="str">
        <f t="shared" si="3"/>
        <v>https://svgtext.heliohost.us/cgi-bin/gen.perl?text=Cold</v>
      </c>
      <c r="G73" s="11" t="str">
        <f t="shared" si="4"/>
        <v>data:image/svg+xml,%3csvg xmlns='http://www.w3.org/2000/svg' viewBox='0 0 24 216'%3e%3ctext fill='%23fff' style='font: 900 16px sans-serif' text-anchor='end' transform='matrix(0 -1 1 0 18 5)'%3eCold%3c/text%3e%3c/svg%3e</v>
      </c>
      <c r="H73" s="8" t="s">
        <v>84</v>
      </c>
      <c r="I73" s="8">
        <f t="shared" ref="I73:J73" si="74">len(B73)</f>
        <v>4</v>
      </c>
      <c r="J73" s="8">
        <f t="shared" si="74"/>
        <v>15</v>
      </c>
      <c r="K73" s="8" t="s">
        <v>223</v>
      </c>
    </row>
    <row r="74">
      <c r="A74" s="7" t="b">
        <v>0</v>
      </c>
      <c r="B74" s="8" t="s">
        <v>224</v>
      </c>
      <c r="C74" s="8" t="s">
        <v>225</v>
      </c>
      <c r="D74" s="8" t="str">
        <f>Q&amp;$K74&amp;Q&amp;":{"&amp;Q&amp;$B$2&amp;Q&amp;":"&amp;Q&amp;$B74&amp;Q&amp;","&amp;Q&amp;$C$2&amp;Q&amp;":"&amp;Q&amp;$C74&amp;Q&amp;","&amp;Q&amp;"sets"&amp;Q&amp;":"&amp;Q&amp;substitute(SUBSTITUTE($H74,"[",""),"]","")&amp;Q&amp;"},"</f>
        <v>"bkhe":{"label":"Colorful","extra":"(vivid, brilliant, kaleidoscopic) ","sets":"Basic Set, Party Set"},</v>
      </c>
      <c r="E74" s="9" t="str">
        <f t="shared" si="2"/>
        <v>data:image/svg+xml,%3csvg xmlns='http://www.w3.org/2000/svg' viewBox='0 0 24 216'%3e%3ctext fill='%23fff' style='font: 900 16px sans-serif' text-anchor='end' transform='matrix(0 -1 1 0 18 5)'%3eColorful%3c/text%3e%3c/svg%3e</v>
      </c>
      <c r="F74" s="10" t="str">
        <f t="shared" si="3"/>
        <v>https://svgtext.heliohost.us/cgi-bin/gen.perl?text=Colorful</v>
      </c>
      <c r="G74" s="11" t="str">
        <f t="shared" si="4"/>
        <v>data:image/svg+xml,%3csvg xmlns='http://www.w3.org/2000/svg' viewBox='0 0 24 216'%3e%3ctext fill='%23fff' style='font: 900 16px sans-serif' text-anchor='end' transform='matrix(0 -1 1 0 18 5)'%3eColorful%3c/text%3e%3c/svg%3e</v>
      </c>
      <c r="H74" s="8" t="s">
        <v>29</v>
      </c>
      <c r="I74" s="8">
        <f t="shared" ref="I74:J74" si="75">len(B74)</f>
        <v>8</v>
      </c>
      <c r="J74" s="8">
        <f t="shared" si="75"/>
        <v>34</v>
      </c>
      <c r="K74" s="8" t="s">
        <v>226</v>
      </c>
    </row>
    <row r="75">
      <c r="A75" s="7" t="b">
        <v>0</v>
      </c>
      <c r="B75" s="8" t="s">
        <v>224</v>
      </c>
      <c r="C75" s="8" t="s">
        <v>227</v>
      </c>
      <c r="D75" s="8" t="str">
        <f>Q&amp;$K75&amp;Q&amp;":{"&amp;Q&amp;$B$2&amp;Q&amp;":"&amp;Q&amp;$B75&amp;Q&amp;","&amp;Q&amp;$C$2&amp;Q&amp;":"&amp;Q&amp;$C75&amp;Q&amp;","&amp;Q&amp;"sets"&amp;Q&amp;":"&amp;Q&amp;substitute(SUBSTITUTE($H75,"[",""),"]","")&amp;Q&amp;"},"</f>
        <v>"mkch":{"label":"Colorful","extra":"(full of color, bright) ","sets":"Junior"},</v>
      </c>
      <c r="E75" s="9" t="str">
        <f t="shared" si="2"/>
        <v>data:image/svg+xml,%3csvg xmlns='http://www.w3.org/2000/svg' viewBox='0 0 24 216'%3e%3ctext fill='%23fff' style='font: 900 16px sans-serif' text-anchor='end' transform='matrix(0 -1 1 0 18 5)'%3eColorful%3c/text%3e%3c/svg%3e</v>
      </c>
      <c r="F75" s="10" t="str">
        <f t="shared" si="3"/>
        <v>https://svgtext.heliohost.us/cgi-bin/gen.perl?text=Colorful</v>
      </c>
      <c r="G75" s="11" t="str">
        <f t="shared" si="4"/>
        <v>data:image/svg+xml,%3csvg xmlns='http://www.w3.org/2000/svg' viewBox='0 0 24 216'%3e%3ctext fill='%23fff' style='font: 900 16px sans-serif' text-anchor='end' transform='matrix(0 -1 1 0 18 5)'%3eColorful%3c/text%3e%3c/svg%3e</v>
      </c>
      <c r="H75" s="8" t="s">
        <v>84</v>
      </c>
      <c r="I75" s="8">
        <f t="shared" ref="I75:J75" si="76">len(B75)</f>
        <v>8</v>
      </c>
      <c r="J75" s="8">
        <f t="shared" si="76"/>
        <v>24</v>
      </c>
      <c r="K75" s="8" t="s">
        <v>228</v>
      </c>
    </row>
    <row r="76">
      <c r="A76" s="7" t="b">
        <v>1</v>
      </c>
      <c r="B76" s="8" t="s">
        <v>229</v>
      </c>
      <c r="C76" s="8" t="s">
        <v>230</v>
      </c>
      <c r="D76" s="8" t="str">
        <f>Q&amp;$K76&amp;Q&amp;":{"&amp;Q&amp;$B$2&amp;Q&amp;":"&amp;Q&amp;$B76&amp;Q&amp;","&amp;Q&amp;$C$2&amp;Q&amp;":"&amp;Q&amp;$C76&amp;Q&amp;","&amp;Q&amp;"sets"&amp;Q&amp;":"&amp;Q&amp;substitute(SUBSTITUTE($H76,"[",""),"]","")&amp;Q&amp;"},"</f>
        <v>"dylt":{"label":"Comfortable","extra":"(cozy, snug, restful) ","sets":"Expansion Set 2, Party Set"},</v>
      </c>
      <c r="E76" s="9" t="str">
        <f t="shared" si="2"/>
        <v>data:image/svg+xml,%3csvg xmlns='http://www.w3.org/2000/svg' viewBox='0 0 24 216'%3e%3ctext fill='%23fff' style='font: 900 16px sans-serif' text-anchor='end' transform='matrix(0 -1 1 0 18 5)'%3eComfortable%3c/text%3e%3c/svg%3e</v>
      </c>
      <c r="F76" s="10" t="str">
        <f t="shared" si="3"/>
        <v>https://svgtext.heliohost.us/cgi-bin/gen.perl?text=Comfortable</v>
      </c>
      <c r="G76" s="11" t="str">
        <f t="shared" si="4"/>
        <v>data:image/svg+xml,%3csvg xmlns='http://www.w3.org/2000/svg' viewBox='0 0 24 216'%3e%3ctext fill='%23fff' style='font: 900 16px sans-serif' text-anchor='end' transform='matrix(0 -1 1 0 18 5)'%3eComfortable%3c/text%3e%3c/svg%3e</v>
      </c>
      <c r="H76" s="8" t="s">
        <v>17</v>
      </c>
      <c r="I76" s="8">
        <f t="shared" ref="I76:J76" si="77">len(B76)</f>
        <v>11</v>
      </c>
      <c r="J76" s="8">
        <f t="shared" si="77"/>
        <v>22</v>
      </c>
      <c r="K76" s="8" t="s">
        <v>231</v>
      </c>
    </row>
    <row r="77">
      <c r="A77" s="7" t="b">
        <v>0</v>
      </c>
      <c r="B77" s="8" t="s">
        <v>229</v>
      </c>
      <c r="C77" s="8" t="s">
        <v>232</v>
      </c>
      <c r="D77" s="8" t="str">
        <f>Q&amp;$K77&amp;Q&amp;":{"&amp;Q&amp;$B$2&amp;Q&amp;":"&amp;Q&amp;$B77&amp;Q&amp;","&amp;Q&amp;$C$2&amp;Q&amp;":"&amp;Q&amp;$C77&amp;Q&amp;","&amp;Q&amp;"sets"&amp;Q&amp;":"&amp;Q&amp;substitute(SUBSTITUTE($H77,"[",""),"]","")&amp;Q&amp;"},"</f>
        <v>"qqtw":{"label":"Comfortable","extra":"(cozy, pleasant) ","sets":"Junior 9+ (1st) &amp; (2nd)"},</v>
      </c>
      <c r="E77" s="9" t="str">
        <f t="shared" si="2"/>
        <v>data:image/svg+xml,%3csvg xmlns='http://www.w3.org/2000/svg' viewBox='0 0 24 216'%3e%3ctext fill='%23fff' style='font: 900 16px sans-serif' text-anchor='end' transform='matrix(0 -1 1 0 18 5)'%3eComfortable%3c/text%3e%3c/svg%3e</v>
      </c>
      <c r="F77" s="10" t="str">
        <f t="shared" si="3"/>
        <v>https://svgtext.heliohost.us/cgi-bin/gen.perl?text=Comfortable</v>
      </c>
      <c r="G77" s="11" t="str">
        <f t="shared" si="4"/>
        <v>data:image/svg+xml,%3csvg xmlns='http://www.w3.org/2000/svg' viewBox='0 0 24 216'%3e%3ctext fill='%23fff' style='font: 900 16px sans-serif' text-anchor='end' transform='matrix(0 -1 1 0 18 5)'%3eComfortable%3c/text%3e%3c/svg%3e</v>
      </c>
      <c r="H77" s="8" t="s">
        <v>42</v>
      </c>
      <c r="I77" s="8">
        <f t="shared" ref="I77:J77" si="78">len(B77)</f>
        <v>11</v>
      </c>
      <c r="J77" s="8">
        <f t="shared" si="78"/>
        <v>17</v>
      </c>
      <c r="K77" s="8" t="s">
        <v>233</v>
      </c>
    </row>
    <row r="78">
      <c r="A78" s="7" t="b">
        <v>0</v>
      </c>
      <c r="B78" s="8" t="s">
        <v>234</v>
      </c>
      <c r="C78" s="8" t="s">
        <v>235</v>
      </c>
      <c r="D78" s="8" t="str">
        <f>Q&amp;$K78&amp;Q&amp;":{"&amp;Q&amp;$B$2&amp;Q&amp;":"&amp;Q&amp;$B78&amp;Q&amp;","&amp;Q&amp;$C$2&amp;Q&amp;":"&amp;Q&amp;$C78&amp;Q&amp;","&amp;Q&amp;"sets"&amp;Q&amp;":"&amp;Q&amp;substitute(SUBSTITUTE($H78,"[",""),"]","")&amp;Q&amp;"},"</f>
        <v>"wlfg":{"label":"Comical","extra":"(funny, hilarious, amusing) ","sets":"Expansion Set 2, Party Set"},</v>
      </c>
      <c r="E78" s="9" t="str">
        <f t="shared" si="2"/>
        <v>data:image/svg+xml,%3csvg xmlns='http://www.w3.org/2000/svg' viewBox='0 0 24 216'%3e%3ctext fill='%23fff' style='font: 900 16px sans-serif' text-anchor='end' transform='matrix(0 -1 1 0 18 5)'%3eComical%3c/text%3e%3c/svg%3e</v>
      </c>
      <c r="F78" s="10" t="str">
        <f t="shared" si="3"/>
        <v>https://svgtext.heliohost.us/cgi-bin/gen.perl?text=Comical</v>
      </c>
      <c r="G78" s="11" t="str">
        <f t="shared" si="4"/>
        <v>data:image/svg+xml,%3csvg xmlns='http://www.w3.org/2000/svg' viewBox='0 0 24 216'%3e%3ctext fill='%23fff' style='font: 900 16px sans-serif' text-anchor='end' transform='matrix(0 -1 1 0 18 5)'%3eComical%3c/text%3e%3c/svg%3e</v>
      </c>
      <c r="H78" s="8" t="s">
        <v>17</v>
      </c>
      <c r="I78" s="8">
        <f t="shared" ref="I78:J78" si="79">len(B78)</f>
        <v>7</v>
      </c>
      <c r="J78" s="8">
        <f t="shared" si="79"/>
        <v>28</v>
      </c>
      <c r="K78" s="8" t="s">
        <v>236</v>
      </c>
    </row>
    <row r="79">
      <c r="A79" s="7" t="b">
        <v>0</v>
      </c>
      <c r="B79" s="8" t="s">
        <v>237</v>
      </c>
      <c r="C79" s="8" t="s">
        <v>238</v>
      </c>
      <c r="D79" s="8" t="str">
        <f>Q&amp;$K79&amp;Q&amp;":{"&amp;Q&amp;$B$2&amp;Q&amp;":"&amp;Q&amp;$B79&amp;Q&amp;","&amp;Q&amp;$C$2&amp;Q&amp;":"&amp;Q&amp;$C79&amp;Q&amp;","&amp;Q&amp;"sets"&amp;Q&amp;":"&amp;Q&amp;substitute(SUBSTITUTE($H79,"[",""),"]","")&amp;Q&amp;"},"</f>
        <v>"fwhr":{"label":"Complicated","extra":"(difficult, complex, involved) ","sets":"Expansion Set 1, Party Set"},</v>
      </c>
      <c r="E79" s="9" t="str">
        <f t="shared" si="2"/>
        <v>data:image/svg+xml,%3csvg xmlns='http://www.w3.org/2000/svg' viewBox='0 0 24 216'%3e%3ctext fill='%23fff' style='font: 900 16px sans-serif' text-anchor='end' transform='matrix(0 -1 1 0 18 5)'%3eComplicated%3c/text%3e%3c/svg%3e</v>
      </c>
      <c r="F79" s="10" t="str">
        <f t="shared" si="3"/>
        <v>https://svgtext.heliohost.us/cgi-bin/gen.perl?text=Complicated</v>
      </c>
      <c r="G79" s="11" t="str">
        <f t="shared" si="4"/>
        <v>data:image/svg+xml,%3csvg xmlns='http://www.w3.org/2000/svg' viewBox='0 0 24 216'%3e%3ctext fill='%23fff' style='font: 900 16px sans-serif' text-anchor='end' transform='matrix(0 -1 1 0 18 5)'%3eComplicated%3c/text%3e%3c/svg%3e</v>
      </c>
      <c r="H79" s="8" t="s">
        <v>25</v>
      </c>
      <c r="I79" s="8">
        <f t="shared" ref="I79:J79" si="80">len(B79)</f>
        <v>11</v>
      </c>
      <c r="J79" s="8">
        <f t="shared" si="80"/>
        <v>31</v>
      </c>
      <c r="K79" s="8" t="s">
        <v>239</v>
      </c>
    </row>
    <row r="80">
      <c r="A80" s="7" t="b">
        <v>1</v>
      </c>
      <c r="B80" s="8" t="s">
        <v>240</v>
      </c>
      <c r="C80" s="8" t="s">
        <v>241</v>
      </c>
      <c r="D80" s="8" t="str">
        <f>Q&amp;$K80&amp;Q&amp;":{"&amp;Q&amp;$B$2&amp;Q&amp;":"&amp;Q&amp;$B80&amp;Q&amp;","&amp;Q&amp;$C$2&amp;Q&amp;":"&amp;Q&amp;$C80&amp;Q&amp;","&amp;Q&amp;"sets"&amp;Q&amp;":"&amp;Q&amp;substitute(SUBSTITUTE($H80,"[",""),"]","")&amp;Q&amp;"},"</f>
        <v>"txfh":{"label":"Conceited","extra":"(vain, smug, self-centered) ","sets":"Expansion Set 3, Party Expansion 1"},</v>
      </c>
      <c r="E80" s="9" t="str">
        <f t="shared" si="2"/>
        <v>data:image/svg+xml,%3csvg xmlns='http://www.w3.org/2000/svg' viewBox='0 0 24 216'%3e%3ctext fill='%23fff' style='font: 900 16px sans-serif' text-anchor='end' transform='matrix(0 -1 1 0 18 5)'%3eConceited%3c/text%3e%3c/svg%3e</v>
      </c>
      <c r="F80" s="10" t="str">
        <f t="shared" si="3"/>
        <v>https://svgtext.heliohost.us/cgi-bin/gen.perl?text=Conceited</v>
      </c>
      <c r="G80" s="11" t="str">
        <f t="shared" si="4"/>
        <v>data:image/svg+xml,%3csvg xmlns='http://www.w3.org/2000/svg' viewBox='0 0 24 216'%3e%3ctext fill='%23fff' style='font: 900 16px sans-serif' text-anchor='end' transform='matrix(0 -1 1 0 18 5)'%3eConceited%3c/text%3e%3c/svg%3e</v>
      </c>
      <c r="H80" s="8" t="s">
        <v>39</v>
      </c>
      <c r="I80" s="8">
        <f t="shared" ref="I80:J80" si="81">len(B80)</f>
        <v>9</v>
      </c>
      <c r="J80" s="8">
        <f t="shared" si="81"/>
        <v>28</v>
      </c>
      <c r="K80" s="8" t="s">
        <v>242</v>
      </c>
    </row>
    <row r="81">
      <c r="A81" s="7" t="b">
        <v>0</v>
      </c>
      <c r="B81" s="8" t="s">
        <v>243</v>
      </c>
      <c r="C81" s="8" t="s">
        <v>244</v>
      </c>
      <c r="D81" s="8" t="str">
        <f>Q&amp;$K81&amp;Q&amp;":{"&amp;Q&amp;$B$2&amp;Q&amp;":"&amp;Q&amp;$B81&amp;Q&amp;","&amp;Q&amp;$C$2&amp;Q&amp;":"&amp;Q&amp;$C81&amp;Q&amp;","&amp;Q&amp;"sets"&amp;Q&amp;":"&amp;Q&amp;substitute(SUBSTITUTE($H81,"[",""),"]","")&amp;Q&amp;"},"</f>
        <v>"bmps":{"label":"Confused","extra":"(muddled, bewildered, perplexed) ","sets":"Expansion Set 1, Party Set"},</v>
      </c>
      <c r="E81" s="9" t="str">
        <f t="shared" si="2"/>
        <v>data:image/svg+xml,%3csvg xmlns='http://www.w3.org/2000/svg' viewBox='0 0 24 216'%3e%3ctext fill='%23fff' style='font: 900 16px sans-serif' text-anchor='end' transform='matrix(0 -1 1 0 18 5)'%3eConfused%3c/text%3e%3c/svg%3e</v>
      </c>
      <c r="F81" s="10" t="str">
        <f t="shared" si="3"/>
        <v>https://svgtext.heliohost.us/cgi-bin/gen.perl?text=Confused</v>
      </c>
      <c r="G81" s="11" t="str">
        <f t="shared" si="4"/>
        <v>data:image/svg+xml,%3csvg xmlns='http://www.w3.org/2000/svg' viewBox='0 0 24 216'%3e%3ctext fill='%23fff' style='font: 900 16px sans-serif' text-anchor='end' transform='matrix(0 -1 1 0 18 5)'%3eConfused%3c/text%3e%3c/svg%3e</v>
      </c>
      <c r="H81" s="8" t="s">
        <v>25</v>
      </c>
      <c r="I81" s="8">
        <f t="shared" ref="I81:J81" si="82">len(B81)</f>
        <v>8</v>
      </c>
      <c r="J81" s="8">
        <f t="shared" si="82"/>
        <v>33</v>
      </c>
      <c r="K81" s="8" t="s">
        <v>245</v>
      </c>
    </row>
    <row r="82">
      <c r="A82" s="7" t="b">
        <v>1</v>
      </c>
      <c r="B82" s="8" t="s">
        <v>246</v>
      </c>
      <c r="C82" s="8" t="s">
        <v>247</v>
      </c>
      <c r="D82" s="8" t="str">
        <f>Q&amp;$K82&amp;Q&amp;":{"&amp;Q&amp;$B$2&amp;Q&amp;":"&amp;Q&amp;$B82&amp;Q&amp;","&amp;Q&amp;$C$2&amp;Q&amp;":"&amp;Q&amp;$C82&amp;Q&amp;","&amp;Q&amp;"sets"&amp;Q&amp;":"&amp;Q&amp;substitute(SUBSTITUTE($H82,"[",""),"]","")&amp;Q&amp;"},"</f>
        <v>"ofks":{"label":"Confusing","extra":"(puzzling, weird) ","sets":"Junior 9+ (2nd)"},</v>
      </c>
      <c r="E82" s="9" t="str">
        <f t="shared" si="2"/>
        <v>data:image/svg+xml,%3csvg xmlns='http://www.w3.org/2000/svg' viewBox='0 0 24 216'%3e%3ctext fill='%23fff' style='font: 900 16px sans-serif' text-anchor='end' transform='matrix(0 -1 1 0 18 5)'%3eConfusing%3c/text%3e%3c/svg%3e</v>
      </c>
      <c r="F82" s="10" t="str">
        <f t="shared" si="3"/>
        <v>https://svgtext.heliohost.us/cgi-bin/gen.perl?text=Confusing</v>
      </c>
      <c r="G82" s="11" t="str">
        <f t="shared" si="4"/>
        <v>data:image/svg+xml,%3csvg xmlns='http://www.w3.org/2000/svg' viewBox='0 0 24 216'%3e%3ctext fill='%23fff' style='font: 900 16px sans-serif' text-anchor='end' transform='matrix(0 -1 1 0 18 5)'%3eConfusing%3c/text%3e%3c/svg%3e</v>
      </c>
      <c r="H82" s="8" t="s">
        <v>32</v>
      </c>
      <c r="I82" s="8">
        <f t="shared" ref="I82:J82" si="83">len(B82)</f>
        <v>9</v>
      </c>
      <c r="J82" s="8">
        <f t="shared" si="83"/>
        <v>18</v>
      </c>
      <c r="K82" s="8" t="s">
        <v>248</v>
      </c>
    </row>
    <row r="83">
      <c r="A83" s="7" t="b">
        <v>1</v>
      </c>
      <c r="B83" s="8" t="s">
        <v>249</v>
      </c>
      <c r="C83" s="8" t="s">
        <v>250</v>
      </c>
      <c r="D83" s="8" t="str">
        <f>Q&amp;$K83&amp;Q&amp;":{"&amp;Q&amp;$B$2&amp;Q&amp;":"&amp;Q&amp;$B83&amp;Q&amp;","&amp;Q&amp;$C$2&amp;Q&amp;":"&amp;Q&amp;$C83&amp;Q&amp;","&amp;Q&amp;"sets"&amp;Q&amp;":"&amp;Q&amp;substitute(SUBSTITUTE($H83,"[",""),"]","")&amp;Q&amp;"},"</f>
        <v>"ihwj":{"label":"Controversial","extra":"(contentious, disputable, debatable) ","sets":"Expansion Set 3, Party Expansion 1"},</v>
      </c>
      <c r="E83" s="9" t="str">
        <f t="shared" si="2"/>
        <v>data:image/svg+xml,%3csvg xmlns='http://www.w3.org/2000/svg' viewBox='0 0 24 216'%3e%3ctext fill='%23fff' style='font: 900 16px sans-serif' text-anchor='end' transform='matrix(0 -1 1 0 18 5)'%3eControversial%3c/text%3e%3c/svg%3e</v>
      </c>
      <c r="F83" s="10" t="str">
        <f t="shared" si="3"/>
        <v>https://svgtext.heliohost.us/cgi-bin/gen.perl?text=Controversial</v>
      </c>
      <c r="G83" s="11" t="str">
        <f t="shared" si="4"/>
        <v>data:image/svg+xml,%3csvg xmlns='http://www.w3.org/2000/svg' viewBox='0 0 24 216'%3e%3ctext fill='%23fff' style='font: 900 16px sans-serif' text-anchor='end' transform='matrix(0 -1 1 0 18 5)'%3eControversial%3c/text%3e%3c/svg%3e</v>
      </c>
      <c r="H83" s="8" t="s">
        <v>39</v>
      </c>
      <c r="I83" s="8">
        <f t="shared" ref="I83:J83" si="84">len(B83)</f>
        <v>13</v>
      </c>
      <c r="J83" s="8">
        <f t="shared" si="84"/>
        <v>37</v>
      </c>
      <c r="K83" s="8" t="s">
        <v>251</v>
      </c>
    </row>
    <row r="84">
      <c r="A84" s="7" t="b">
        <v>0</v>
      </c>
      <c r="B84" s="8" t="s">
        <v>252</v>
      </c>
      <c r="C84" s="8" t="s">
        <v>253</v>
      </c>
      <c r="D84" s="8" t="str">
        <f>Q&amp;$K84&amp;Q&amp;":{"&amp;Q&amp;$B$2&amp;Q&amp;":"&amp;Q&amp;$B84&amp;Q&amp;","&amp;Q&amp;$C$2&amp;Q&amp;":"&amp;Q&amp;$C84&amp;Q&amp;","&amp;Q&amp;"sets"&amp;Q&amp;":"&amp;Q&amp;substitute(SUBSTITUTE($H84,"[",""),"]","")&amp;Q&amp;"},"</f>
        <v>"dfns":{"label":"Cool","extra":"(chilly, hip, cold-blooded) ","sets":"Basic Set, Party Set"},</v>
      </c>
      <c r="E84" s="9" t="str">
        <f t="shared" si="2"/>
        <v>data:image/svg+xml,%3csvg xmlns='http://www.w3.org/2000/svg' viewBox='0 0 24 216'%3e%3ctext fill='%23fff' style='font: 900 16px sans-serif' text-anchor='end' transform='matrix(0 -1 1 0 18 5)'%3eCool%3c/text%3e%3c/svg%3e</v>
      </c>
      <c r="F84" s="10" t="str">
        <f t="shared" si="3"/>
        <v>https://svgtext.heliohost.us/cgi-bin/gen.perl?text=Cool</v>
      </c>
      <c r="G84" s="11" t="str">
        <f t="shared" si="4"/>
        <v>data:image/svg+xml,%3csvg xmlns='http://www.w3.org/2000/svg' viewBox='0 0 24 216'%3e%3ctext fill='%23fff' style='font: 900 16px sans-serif' text-anchor='end' transform='matrix(0 -1 1 0 18 5)'%3eCool%3c/text%3e%3c/svg%3e</v>
      </c>
      <c r="H84" s="8" t="s">
        <v>29</v>
      </c>
      <c r="I84" s="8">
        <f t="shared" ref="I84:J84" si="85">len(B84)</f>
        <v>4</v>
      </c>
      <c r="J84" s="8">
        <f t="shared" si="85"/>
        <v>28</v>
      </c>
      <c r="K84" s="8" t="s">
        <v>254</v>
      </c>
    </row>
    <row r="85">
      <c r="A85" s="7" t="b">
        <v>0</v>
      </c>
      <c r="B85" s="8" t="s">
        <v>252</v>
      </c>
      <c r="C85" s="8" t="s">
        <v>255</v>
      </c>
      <c r="D85" s="8" t="str">
        <f>Q&amp;$K85&amp;Q&amp;":{"&amp;Q&amp;$B$2&amp;Q&amp;":"&amp;Q&amp;$B85&amp;Q&amp;","&amp;Q&amp;$C$2&amp;Q&amp;":"&amp;Q&amp;$C85&amp;Q&amp;","&amp;Q&amp;"sets"&amp;Q&amp;":"&amp;Q&amp;substitute(SUBSTITUTE($H85,"[",""),"]","")&amp;Q&amp;"},"</f>
        <v>"hzse":{"label":"Cool","extra":"(not hot, chilled) ","sets":"Junior 9+ (1st) &amp; (2nd)"},</v>
      </c>
      <c r="E85" s="9" t="str">
        <f t="shared" si="2"/>
        <v>data:image/svg+xml,%3csvg xmlns='http://www.w3.org/2000/svg' viewBox='0 0 24 216'%3e%3ctext fill='%23fff' style='font: 900 16px sans-serif' text-anchor='end' transform='matrix(0 -1 1 0 18 5)'%3eCool%3c/text%3e%3c/svg%3e</v>
      </c>
      <c r="F85" s="10" t="str">
        <f t="shared" si="3"/>
        <v>https://svgtext.heliohost.us/cgi-bin/gen.perl?text=Cool</v>
      </c>
      <c r="G85" s="11" t="str">
        <f t="shared" si="4"/>
        <v>data:image/svg+xml,%3csvg xmlns='http://www.w3.org/2000/svg' viewBox='0 0 24 216'%3e%3ctext fill='%23fff' style='font: 900 16px sans-serif' text-anchor='end' transform='matrix(0 -1 1 0 18 5)'%3eCool%3c/text%3e%3c/svg%3e</v>
      </c>
      <c r="H85" s="8" t="s">
        <v>42</v>
      </c>
      <c r="I85" s="8">
        <f t="shared" ref="I85:J85" si="86">len(B85)</f>
        <v>4</v>
      </c>
      <c r="J85" s="8">
        <f t="shared" si="86"/>
        <v>19</v>
      </c>
      <c r="K85" s="8" t="s">
        <v>256</v>
      </c>
    </row>
    <row r="86">
      <c r="A86" s="7" t="b">
        <v>1</v>
      </c>
      <c r="B86" s="8" t="s">
        <v>257</v>
      </c>
      <c r="C86" s="8" t="s">
        <v>258</v>
      </c>
      <c r="D86" s="8" t="str">
        <f>Q&amp;$K86&amp;Q&amp;":{"&amp;Q&amp;$B$2&amp;Q&amp;":"&amp;Q&amp;$B86&amp;Q&amp;","&amp;Q&amp;$C$2&amp;Q&amp;":"&amp;Q&amp;$C86&amp;Q&amp;","&amp;Q&amp;"sets"&amp;Q&amp;":"&amp;Q&amp;substitute(SUBSTITUTE($H86,"[",""),"]","")&amp;Q&amp;"},"</f>
        <v>"aukk":{"label":"Cool &amp; Collected","extra":"(controlled, composed, restrained) ","sets":"Expansion Set 4, Party Expansion 1"},</v>
      </c>
      <c r="E86" s="9" t="str">
        <f t="shared" si="2"/>
        <v>data:image/svg+xml,%3csvg xmlns='http://www.w3.org/2000/svg' viewBox='0 0 24 216'%3e%3ctext fill='%23fff' style='font: 900 16px sans-serif' text-anchor='end' transform='matrix(0 -1 1 0 18 5)'%3eCool %26amp%3B Collected%3c/text%3e%3c/svg%3e</v>
      </c>
      <c r="F86" s="10" t="str">
        <f t="shared" si="3"/>
        <v>https://svgtext.heliohost.us/cgi-bin/gen.perl?text=Cool%20%26%20Collected</v>
      </c>
      <c r="G86" s="11" t="str">
        <f t="shared" si="4"/>
        <v>data:image/svg+xml,%3csvg xmlns='http://www.w3.org/2000/svg' viewBox='0 0 24 216'%3e%3ctext fill='%23fff' style='font: 900 16px sans-serif' text-anchor='end' transform='matrix(0 -1 1 0 18 5)'%3eCool %26amp%3B Collected%3c/text%3e%3c/svg%3e</v>
      </c>
      <c r="H86" s="8" t="s">
        <v>63</v>
      </c>
      <c r="I86" s="8">
        <f t="shared" ref="I86:J86" si="87">len(B86)</f>
        <v>16</v>
      </c>
      <c r="J86" s="8">
        <f t="shared" si="87"/>
        <v>35</v>
      </c>
      <c r="K86" s="8" t="s">
        <v>259</v>
      </c>
    </row>
    <row r="87">
      <c r="A87" s="7" t="b">
        <v>0</v>
      </c>
      <c r="B87" s="8" t="s">
        <v>260</v>
      </c>
      <c r="C87" s="8" t="s">
        <v>261</v>
      </c>
      <c r="D87" s="8" t="str">
        <f>Q&amp;$K87&amp;Q&amp;":{"&amp;Q&amp;$B$2&amp;Q&amp;":"&amp;Q&amp;$B87&amp;Q&amp;","&amp;Q&amp;$C$2&amp;Q&amp;":"&amp;Q&amp;$C87&amp;Q&amp;","&amp;Q&amp;"sets"&amp;Q&amp;":"&amp;Q&amp;substitute(SUBSTITUTE($H87,"[",""),"]","")&amp;Q&amp;"},"</f>
        <v>"hmwr":{"label":"Corrupt","extra":"(dishonest, underhanded, shady) ","sets":"Basic Set, Party Set"},</v>
      </c>
      <c r="E87" s="9" t="str">
        <f t="shared" si="2"/>
        <v>data:image/svg+xml,%3csvg xmlns='http://www.w3.org/2000/svg' viewBox='0 0 24 216'%3e%3ctext fill='%23fff' style='font: 900 16px sans-serif' text-anchor='end' transform='matrix(0 -1 1 0 18 5)'%3eCorrupt%3c/text%3e%3c/svg%3e</v>
      </c>
      <c r="F87" s="10" t="str">
        <f t="shared" si="3"/>
        <v>https://svgtext.heliohost.us/cgi-bin/gen.perl?text=Corrupt</v>
      </c>
      <c r="G87" s="11" t="str">
        <f t="shared" si="4"/>
        <v>data:image/svg+xml,%3csvg xmlns='http://www.w3.org/2000/svg' viewBox='0 0 24 216'%3e%3ctext fill='%23fff' style='font: 900 16px sans-serif' text-anchor='end' transform='matrix(0 -1 1 0 18 5)'%3eCorrupt%3c/text%3e%3c/svg%3e</v>
      </c>
      <c r="H87" s="8" t="s">
        <v>29</v>
      </c>
      <c r="I87" s="8">
        <f t="shared" ref="I87:J87" si="88">len(B87)</f>
        <v>7</v>
      </c>
      <c r="J87" s="8">
        <f t="shared" si="88"/>
        <v>32</v>
      </c>
      <c r="K87" s="8" t="s">
        <v>262</v>
      </c>
    </row>
    <row r="88">
      <c r="A88" s="7" t="b">
        <v>0</v>
      </c>
      <c r="B88" s="8" t="s">
        <v>263</v>
      </c>
      <c r="C88" s="8" t="s">
        <v>264</v>
      </c>
      <c r="D88" s="8" t="str">
        <f>Q&amp;$K88&amp;Q&amp;":{"&amp;Q&amp;$B$2&amp;Q&amp;":"&amp;Q&amp;$B88&amp;Q&amp;","&amp;Q&amp;$C$2&amp;Q&amp;":"&amp;Q&amp;$C88&amp;Q&amp;","&amp;Q&amp;"sets"&amp;Q&amp;":"&amp;Q&amp;substitute(SUBSTITUTE($H88,"[",""),"]","")&amp;Q&amp;"},"</f>
        <v>"qewx":{"label":"Cosmic","extra":"(limitless, planetary, far out) ","sets":"Expansion Set 2, Party Set"},</v>
      </c>
      <c r="E88" s="9" t="str">
        <f t="shared" si="2"/>
        <v>data:image/svg+xml,%3csvg xmlns='http://www.w3.org/2000/svg' viewBox='0 0 24 216'%3e%3ctext fill='%23fff' style='font: 900 16px sans-serif' text-anchor='end' transform='matrix(0 -1 1 0 18 5)'%3eCosmic%3c/text%3e%3c/svg%3e</v>
      </c>
      <c r="F88" s="10" t="str">
        <f t="shared" si="3"/>
        <v>https://svgtext.heliohost.us/cgi-bin/gen.perl?text=Cosmic</v>
      </c>
      <c r="G88" s="11" t="str">
        <f t="shared" si="4"/>
        <v>data:image/svg+xml,%3csvg xmlns='http://www.w3.org/2000/svg' viewBox='0 0 24 216'%3e%3ctext fill='%23fff' style='font: 900 16px sans-serif' text-anchor='end' transform='matrix(0 -1 1 0 18 5)'%3eCosmic%3c/text%3e%3c/svg%3e</v>
      </c>
      <c r="H88" s="8" t="s">
        <v>17</v>
      </c>
      <c r="I88" s="8">
        <f t="shared" ref="I88:J88" si="89">len(B88)</f>
        <v>6</v>
      </c>
      <c r="J88" s="8">
        <f t="shared" si="89"/>
        <v>32</v>
      </c>
      <c r="K88" s="8" t="s">
        <v>265</v>
      </c>
    </row>
    <row r="89">
      <c r="A89" s="7" t="b">
        <v>0</v>
      </c>
      <c r="B89" s="8" t="s">
        <v>266</v>
      </c>
      <c r="C89" s="7" t="s">
        <v>267</v>
      </c>
      <c r="D89" s="8" t="str">
        <f>Q&amp;$K89&amp;Q&amp;":{"&amp;Q&amp;$B$2&amp;Q&amp;":"&amp;Q&amp;$B89&amp;Q&amp;","&amp;Q&amp;$C$2&amp;Q&amp;":"&amp;Q&amp;$C89&amp;Q&amp;","&amp;Q&amp;"sets"&amp;Q&amp;":"&amp;Q&amp;substitute(SUBSTITUTE($H89,"[",""),"]","")&amp;Q&amp;"},"</f>
        <v>"jcaf":{"label":"Cosmopolitan","extra":"(sophisticated, urbane, well-informed)","sets":"Party Set"},</v>
      </c>
      <c r="E89" s="9" t="str">
        <f t="shared" si="2"/>
        <v>data:image/svg+xml,%3csvg xmlns='http://www.w3.org/2000/svg' viewBox='0 0 24 216'%3e%3ctext fill='%23fff' style='font: 900 16px sans-serif' text-anchor='end' transform='matrix(0 -1 1 0 18 5)'%3eCosmopolitan%3c/text%3e%3c/svg%3e</v>
      </c>
      <c r="F89" s="10" t="str">
        <f t="shared" si="3"/>
        <v>https://svgtext.heliohost.us/cgi-bin/gen.perl?text=Cosmopolitan</v>
      </c>
      <c r="G89" s="11" t="str">
        <f t="shared" si="4"/>
        <v>data:image/svg+xml,%3csvg xmlns='http://www.w3.org/2000/svg' viewBox='0 0 24 216'%3e%3ctext fill='%23fff' style='font: 900 16px sans-serif' text-anchor='end' transform='matrix(0 -1 1 0 18 5)'%3eCosmopolitan%3c/text%3e%3c/svg%3e</v>
      </c>
      <c r="H89" s="12" t="s">
        <v>268</v>
      </c>
      <c r="I89" s="8">
        <f t="shared" ref="I89:J89" si="90">len(B89)</f>
        <v>12</v>
      </c>
      <c r="J89" s="8">
        <f t="shared" si="90"/>
        <v>38</v>
      </c>
      <c r="K89" s="8" t="s">
        <v>269</v>
      </c>
    </row>
    <row r="90">
      <c r="A90" s="7" t="b">
        <v>0</v>
      </c>
      <c r="B90" s="8" t="s">
        <v>270</v>
      </c>
      <c r="C90" s="8" t="s">
        <v>271</v>
      </c>
      <c r="D90" s="8" t="str">
        <f>Q&amp;$K90&amp;Q&amp;":{"&amp;Q&amp;$B$2&amp;Q&amp;":"&amp;Q&amp;$B90&amp;Q&amp;","&amp;Q&amp;$C$2&amp;Q&amp;":"&amp;Q&amp;$C90&amp;Q&amp;","&amp;Q&amp;"sets"&amp;Q&amp;":"&amp;Q&amp;substitute(SUBSTITUTE($H90,"[",""),"]","")&amp;Q&amp;"},"</f>
        <v>"trbd":{"label":"Costly","extra":"(expensive, valuable) ","sets":"Junior 9+ (2nd)"},</v>
      </c>
      <c r="E90" s="9" t="str">
        <f t="shared" si="2"/>
        <v>data:image/svg+xml,%3csvg xmlns='http://www.w3.org/2000/svg' viewBox='0 0 24 216'%3e%3ctext fill='%23fff' style='font: 900 16px sans-serif' text-anchor='end' transform='matrix(0 -1 1 0 18 5)'%3eCostly%3c/text%3e%3c/svg%3e</v>
      </c>
      <c r="F90" s="10" t="str">
        <f t="shared" si="3"/>
        <v>https://svgtext.heliohost.us/cgi-bin/gen.perl?text=Costly</v>
      </c>
      <c r="G90" s="11" t="str">
        <f t="shared" si="4"/>
        <v>data:image/svg+xml,%3csvg xmlns='http://www.w3.org/2000/svg' viewBox='0 0 24 216'%3e%3ctext fill='%23fff' style='font: 900 16px sans-serif' text-anchor='end' transform='matrix(0 -1 1 0 18 5)'%3eCostly%3c/text%3e%3c/svg%3e</v>
      </c>
      <c r="H90" s="8" t="s">
        <v>32</v>
      </c>
      <c r="I90" s="8">
        <f t="shared" ref="I90:J90" si="91">len(B90)</f>
        <v>6</v>
      </c>
      <c r="J90" s="8">
        <f t="shared" si="91"/>
        <v>22</v>
      </c>
      <c r="K90" s="8" t="s">
        <v>272</v>
      </c>
    </row>
    <row r="91">
      <c r="A91" s="7" t="b">
        <v>0</v>
      </c>
      <c r="B91" s="8" t="s">
        <v>273</v>
      </c>
      <c r="C91" s="8" t="s">
        <v>274</v>
      </c>
      <c r="D91" s="8" t="str">
        <f>Q&amp;$K91&amp;Q&amp;":{"&amp;Q&amp;$B$2&amp;Q&amp;":"&amp;Q&amp;$B91&amp;Q&amp;","&amp;Q&amp;$C$2&amp;Q&amp;":"&amp;Q&amp;$C91&amp;Q&amp;","&amp;Q&amp;"sets"&amp;Q&amp;":"&amp;Q&amp;substitute(SUBSTITUTE($H91,"[",""),"]","")&amp;Q&amp;"},"</f>
        <v>"wbgv":{"label":"Courageous","extra":"(brave, gallant, dauntless) ","sets":"Basic Set, Party Set"},</v>
      </c>
      <c r="E91" s="9" t="str">
        <f t="shared" si="2"/>
        <v>data:image/svg+xml,%3csvg xmlns='http://www.w3.org/2000/svg' viewBox='0 0 24 216'%3e%3ctext fill='%23fff' style='font: 900 16px sans-serif' text-anchor='end' transform='matrix(0 -1 1 0 18 5)'%3eCourageous%3c/text%3e%3c/svg%3e</v>
      </c>
      <c r="F91" s="10" t="str">
        <f t="shared" si="3"/>
        <v>https://svgtext.heliohost.us/cgi-bin/gen.perl?text=Courageous</v>
      </c>
      <c r="G91" s="11" t="str">
        <f t="shared" si="4"/>
        <v>data:image/svg+xml,%3csvg xmlns='http://www.w3.org/2000/svg' viewBox='0 0 24 216'%3e%3ctext fill='%23fff' style='font: 900 16px sans-serif' text-anchor='end' transform='matrix(0 -1 1 0 18 5)'%3eCourageous%3c/text%3e%3c/svg%3e</v>
      </c>
      <c r="H91" s="8" t="s">
        <v>29</v>
      </c>
      <c r="I91" s="8">
        <f t="shared" ref="I91:J91" si="92">len(B91)</f>
        <v>10</v>
      </c>
      <c r="J91" s="8">
        <f t="shared" si="92"/>
        <v>28</v>
      </c>
      <c r="K91" s="8" t="s">
        <v>275</v>
      </c>
    </row>
    <row r="92">
      <c r="A92" s="7" t="b">
        <v>0</v>
      </c>
      <c r="B92" s="8" t="s">
        <v>273</v>
      </c>
      <c r="C92" s="8" t="s">
        <v>276</v>
      </c>
      <c r="D92" s="8" t="str">
        <f>Q&amp;$K92&amp;Q&amp;":{"&amp;Q&amp;$B$2&amp;Q&amp;":"&amp;Q&amp;$B92&amp;Q&amp;","&amp;Q&amp;$C$2&amp;Q&amp;":"&amp;Q&amp;$C92&amp;Q&amp;","&amp;Q&amp;"sets"&amp;Q&amp;":"&amp;Q&amp;substitute(SUBSTITUTE($H92,"[",""),"]","")&amp;Q&amp;"},"</f>
        <v>"lxtj":{"label":"Courageous","extra":"(brave, bold) ","sets":"Junior 9+ (2nd)"},</v>
      </c>
      <c r="E92" s="9" t="str">
        <f t="shared" si="2"/>
        <v>data:image/svg+xml,%3csvg xmlns='http://www.w3.org/2000/svg' viewBox='0 0 24 216'%3e%3ctext fill='%23fff' style='font: 900 16px sans-serif' text-anchor='end' transform='matrix(0 -1 1 0 18 5)'%3eCourageous%3c/text%3e%3c/svg%3e</v>
      </c>
      <c r="F92" s="10" t="str">
        <f t="shared" si="3"/>
        <v>https://svgtext.heliohost.us/cgi-bin/gen.perl?text=Courageous</v>
      </c>
      <c r="G92" s="11" t="str">
        <f t="shared" si="4"/>
        <v>data:image/svg+xml,%3csvg xmlns='http://www.w3.org/2000/svg' viewBox='0 0 24 216'%3e%3ctext fill='%23fff' style='font: 900 16px sans-serif' text-anchor='end' transform='matrix(0 -1 1 0 18 5)'%3eCourageous%3c/text%3e%3c/svg%3e</v>
      </c>
      <c r="H92" s="8" t="s">
        <v>32</v>
      </c>
      <c r="I92" s="8">
        <f t="shared" ref="I92:J92" si="93">len(B92)</f>
        <v>10</v>
      </c>
      <c r="J92" s="8">
        <f t="shared" si="93"/>
        <v>14</v>
      </c>
      <c r="K92" s="8" t="s">
        <v>277</v>
      </c>
    </row>
    <row r="93">
      <c r="A93" s="7" t="b">
        <v>0</v>
      </c>
      <c r="B93" s="8" t="s">
        <v>278</v>
      </c>
      <c r="C93" s="8" t="s">
        <v>279</v>
      </c>
      <c r="D93" s="8" t="str">
        <f>Q&amp;$K93&amp;Q&amp;":{"&amp;Q&amp;$B$2&amp;Q&amp;":"&amp;Q&amp;$B93&amp;Q&amp;","&amp;Q&amp;$C$2&amp;Q&amp;":"&amp;Q&amp;$C93&amp;Q&amp;","&amp;Q&amp;"sets"&amp;Q&amp;":"&amp;Q&amp;substitute(SUBSTITUTE($H93,"[",""),"]","")&amp;Q&amp;"},"</f>
        <v>"hdis":{"label":"Cowardly","extra":"(fearful, afraid, spineless) ","sets":"Expansion Set 1, Party Set"},</v>
      </c>
      <c r="E93" s="9" t="str">
        <f t="shared" si="2"/>
        <v>data:image/svg+xml,%3csvg xmlns='http://www.w3.org/2000/svg' viewBox='0 0 24 216'%3e%3ctext fill='%23fff' style='font: 900 16px sans-serif' text-anchor='end' transform='matrix(0 -1 1 0 18 5)'%3eCowardly%3c/text%3e%3c/svg%3e</v>
      </c>
      <c r="F93" s="10" t="str">
        <f t="shared" si="3"/>
        <v>https://svgtext.heliohost.us/cgi-bin/gen.perl?text=Cowardly</v>
      </c>
      <c r="G93" s="11" t="str">
        <f t="shared" si="4"/>
        <v>data:image/svg+xml,%3csvg xmlns='http://www.w3.org/2000/svg' viewBox='0 0 24 216'%3e%3ctext fill='%23fff' style='font: 900 16px sans-serif' text-anchor='end' transform='matrix(0 -1 1 0 18 5)'%3eCowardly%3c/text%3e%3c/svg%3e</v>
      </c>
      <c r="H93" s="8" t="s">
        <v>25</v>
      </c>
      <c r="I93" s="8">
        <f t="shared" ref="I93:J93" si="94">len(B93)</f>
        <v>8</v>
      </c>
      <c r="J93" s="8">
        <f t="shared" si="94"/>
        <v>29</v>
      </c>
      <c r="K93" s="8" t="s">
        <v>280</v>
      </c>
    </row>
    <row r="94">
      <c r="A94" s="7" t="b">
        <v>1</v>
      </c>
      <c r="B94" s="8" t="s">
        <v>281</v>
      </c>
      <c r="C94" s="8" t="s">
        <v>282</v>
      </c>
      <c r="D94" s="8" t="str">
        <f>Q&amp;$K94&amp;Q&amp;":{"&amp;Q&amp;$B$2&amp;Q&amp;":"&amp;Q&amp;$B94&amp;Q&amp;","&amp;Q&amp;$C$2&amp;Q&amp;":"&amp;Q&amp;$C94&amp;Q&amp;","&amp;Q&amp;"sets"&amp;Q&amp;":"&amp;Q&amp;substitute(SUBSTITUTE($H94,"[",""),"]","")&amp;Q&amp;"},"</f>
        <v>"jpqh":{"label":"Cozy","extra":"(comfortable, snug, warm) ","sets":"Expansion Set 3, Party Expansion 1"},</v>
      </c>
      <c r="E94" s="9" t="str">
        <f t="shared" si="2"/>
        <v>data:image/svg+xml,%3csvg xmlns='http://www.w3.org/2000/svg' viewBox='0 0 24 216'%3e%3ctext fill='%23fff' style='font: 900 16px sans-serif' text-anchor='end' transform='matrix(0 -1 1 0 18 5)'%3eCozy%3c/text%3e%3c/svg%3e</v>
      </c>
      <c r="F94" s="10" t="str">
        <f t="shared" si="3"/>
        <v>https://svgtext.heliohost.us/cgi-bin/gen.perl?text=Cozy</v>
      </c>
      <c r="G94" s="11" t="str">
        <f t="shared" si="4"/>
        <v>data:image/svg+xml,%3csvg xmlns='http://www.w3.org/2000/svg' viewBox='0 0 24 216'%3e%3ctext fill='%23fff' style='font: 900 16px sans-serif' text-anchor='end' transform='matrix(0 -1 1 0 18 5)'%3eCozy%3c/text%3e%3c/svg%3e</v>
      </c>
      <c r="H94" s="8" t="s">
        <v>39</v>
      </c>
      <c r="I94" s="8">
        <f t="shared" ref="I94:J94" si="95">len(B94)</f>
        <v>4</v>
      </c>
      <c r="J94" s="8">
        <f t="shared" si="95"/>
        <v>26</v>
      </c>
      <c r="K94" s="8" t="s">
        <v>283</v>
      </c>
    </row>
    <row r="95">
      <c r="A95" s="7" t="b">
        <v>0</v>
      </c>
      <c r="B95" s="8" t="s">
        <v>281</v>
      </c>
      <c r="C95" s="8" t="s">
        <v>284</v>
      </c>
      <c r="D95" s="8" t="str">
        <f>Q&amp;$K95&amp;Q&amp;":{"&amp;Q&amp;$B$2&amp;Q&amp;":"&amp;Q&amp;$B95&amp;Q&amp;","&amp;Q&amp;$C$2&amp;Q&amp;":"&amp;Q&amp;$C95&amp;Q&amp;","&amp;Q&amp;"sets"&amp;Q&amp;":"&amp;Q&amp;substitute(SUBSTITUTE($H95,"[",""),"]","")&amp;Q&amp;"},"</f>
        <v>"dwdw":{"label":"Cozy","extra":"(comfortable, warm) ","sets":"Junior 9+ (1st) &amp; (2nd)"},</v>
      </c>
      <c r="E95" s="9" t="str">
        <f t="shared" si="2"/>
        <v>data:image/svg+xml,%3csvg xmlns='http://www.w3.org/2000/svg' viewBox='0 0 24 216'%3e%3ctext fill='%23fff' style='font: 900 16px sans-serif' text-anchor='end' transform='matrix(0 -1 1 0 18 5)'%3eCozy%3c/text%3e%3c/svg%3e</v>
      </c>
      <c r="F95" s="10" t="str">
        <f t="shared" si="3"/>
        <v>https://svgtext.heliohost.us/cgi-bin/gen.perl?text=Cozy</v>
      </c>
      <c r="G95" s="11" t="str">
        <f t="shared" si="4"/>
        <v>data:image/svg+xml,%3csvg xmlns='http://www.w3.org/2000/svg' viewBox='0 0 24 216'%3e%3ctext fill='%23fff' style='font: 900 16px sans-serif' text-anchor='end' transform='matrix(0 -1 1 0 18 5)'%3eCozy%3c/text%3e%3c/svg%3e</v>
      </c>
      <c r="H95" s="8" t="s">
        <v>42</v>
      </c>
      <c r="I95" s="8">
        <f t="shared" ref="I95:J95" si="96">len(B95)</f>
        <v>4</v>
      </c>
      <c r="J95" s="8">
        <f t="shared" si="96"/>
        <v>20</v>
      </c>
      <c r="K95" s="8" t="s">
        <v>285</v>
      </c>
    </row>
    <row r="96">
      <c r="A96" s="7" t="b">
        <v>0</v>
      </c>
      <c r="B96" s="8" t="s">
        <v>286</v>
      </c>
      <c r="C96" s="8" t="s">
        <v>287</v>
      </c>
      <c r="D96" s="8" t="str">
        <f>Q&amp;$K96&amp;Q&amp;":{"&amp;Q&amp;$B$2&amp;Q&amp;":"&amp;Q&amp;$B96&amp;Q&amp;","&amp;Q&amp;$C$2&amp;Q&amp;":"&amp;Q&amp;$C96&amp;Q&amp;","&amp;Q&amp;"sets"&amp;Q&amp;":"&amp;Q&amp;substitute(SUBSTITUTE($H96,"[",""),"]","")&amp;Q&amp;"},"</f>
        <v>"tufn":{"label":"Cranky","extra":"(crabby, cantankerous, grouchy) ","sets":"Expansion Set 2, Party Set"},</v>
      </c>
      <c r="E96" s="9" t="str">
        <f t="shared" si="2"/>
        <v>data:image/svg+xml,%3csvg xmlns='http://www.w3.org/2000/svg' viewBox='0 0 24 216'%3e%3ctext fill='%23fff' style='font: 900 16px sans-serif' text-anchor='end' transform='matrix(0 -1 1 0 18 5)'%3eCranky%3c/text%3e%3c/svg%3e</v>
      </c>
      <c r="F96" s="10" t="str">
        <f t="shared" si="3"/>
        <v>https://svgtext.heliohost.us/cgi-bin/gen.perl?text=Cranky</v>
      </c>
      <c r="G96" s="11" t="str">
        <f t="shared" si="4"/>
        <v>data:image/svg+xml,%3csvg xmlns='http://www.w3.org/2000/svg' viewBox='0 0 24 216'%3e%3ctext fill='%23fff' style='font: 900 16px sans-serif' text-anchor='end' transform='matrix(0 -1 1 0 18 5)'%3eCranky%3c/text%3e%3c/svg%3e</v>
      </c>
      <c r="H96" s="8" t="s">
        <v>17</v>
      </c>
      <c r="I96" s="8">
        <f t="shared" ref="I96:J96" si="97">len(B96)</f>
        <v>6</v>
      </c>
      <c r="J96" s="8">
        <f t="shared" si="97"/>
        <v>32</v>
      </c>
      <c r="K96" s="8" t="s">
        <v>288</v>
      </c>
    </row>
    <row r="97">
      <c r="A97" s="7" t="b">
        <v>0</v>
      </c>
      <c r="B97" s="8" t="s">
        <v>289</v>
      </c>
      <c r="C97" s="8" t="s">
        <v>290</v>
      </c>
      <c r="D97" s="8" t="str">
        <f>Q&amp;$K97&amp;Q&amp;":{"&amp;Q&amp;$B$2&amp;Q&amp;":"&amp;Q&amp;$B97&amp;Q&amp;","&amp;Q&amp;$C$2&amp;Q&amp;":"&amp;Q&amp;$C97&amp;Q&amp;","&amp;Q&amp;"sets"&amp;Q&amp;":"&amp;Q&amp;substitute(SUBSTITUTE($H97,"[",""),"]","")&amp;Q&amp;"},"</f>
        <v>"ujwn":{"label":"Crazed","extra":"(insane, wild, deranged) ","sets":"Basic Set, Party Set"},</v>
      </c>
      <c r="E97" s="9" t="str">
        <f t="shared" si="2"/>
        <v>data:image/svg+xml,%3csvg xmlns='http://www.w3.org/2000/svg' viewBox='0 0 24 216'%3e%3ctext fill='%23fff' style='font: 900 16px sans-serif' text-anchor='end' transform='matrix(0 -1 1 0 18 5)'%3eCrazed%3c/text%3e%3c/svg%3e</v>
      </c>
      <c r="F97" s="10" t="str">
        <f t="shared" si="3"/>
        <v>https://svgtext.heliohost.us/cgi-bin/gen.perl?text=Crazed</v>
      </c>
      <c r="G97" s="11" t="str">
        <f t="shared" si="4"/>
        <v>data:image/svg+xml,%3csvg xmlns='http://www.w3.org/2000/svg' viewBox='0 0 24 216'%3e%3ctext fill='%23fff' style='font: 900 16px sans-serif' text-anchor='end' transform='matrix(0 -1 1 0 18 5)'%3eCrazed%3c/text%3e%3c/svg%3e</v>
      </c>
      <c r="H97" s="8" t="s">
        <v>29</v>
      </c>
      <c r="I97" s="8">
        <f t="shared" ref="I97:J97" si="98">len(B97)</f>
        <v>6</v>
      </c>
      <c r="J97" s="8">
        <f t="shared" si="98"/>
        <v>25</v>
      </c>
      <c r="K97" s="8" t="s">
        <v>291</v>
      </c>
    </row>
    <row r="98">
      <c r="A98" s="7" t="b">
        <v>1</v>
      </c>
      <c r="B98" s="8" t="s">
        <v>292</v>
      </c>
      <c r="C98" s="8" t="s">
        <v>293</v>
      </c>
      <c r="D98" s="8" t="str">
        <f>Q&amp;$K98&amp;Q&amp;":{"&amp;Q&amp;$B$2&amp;Q&amp;":"&amp;Q&amp;$B98&amp;Q&amp;","&amp;Q&amp;$C$2&amp;Q&amp;":"&amp;Q&amp;$C98&amp;Q&amp;","&amp;Q&amp;"sets"&amp;Q&amp;":"&amp;Q&amp;substitute(SUBSTITUTE($H98,"[",""),"]","")&amp;Q&amp;"},"</f>
        <v>"qqyo":{"label":"Crazy","extra":"(insane, bizarre, wacky) ","sets":"Expansion Set 1, Party Set"},</v>
      </c>
      <c r="E98" s="9" t="str">
        <f t="shared" si="2"/>
        <v>data:image/svg+xml,%3csvg xmlns='http://www.w3.org/2000/svg' viewBox='0 0 24 216'%3e%3ctext fill='%23fff' style='font: 900 16px sans-serif' text-anchor='end' transform='matrix(0 -1 1 0 18 5)'%3eCrazy%3c/text%3e%3c/svg%3e</v>
      </c>
      <c r="F98" s="10" t="str">
        <f t="shared" si="3"/>
        <v>https://svgtext.heliohost.us/cgi-bin/gen.perl?text=Crazy</v>
      </c>
      <c r="G98" s="11" t="str">
        <f t="shared" si="4"/>
        <v>data:image/svg+xml,%3csvg xmlns='http://www.w3.org/2000/svg' viewBox='0 0 24 216'%3e%3ctext fill='%23fff' style='font: 900 16px sans-serif' text-anchor='end' transform='matrix(0 -1 1 0 18 5)'%3eCrazy%3c/text%3e%3c/svg%3e</v>
      </c>
      <c r="H98" s="8" t="s">
        <v>25</v>
      </c>
      <c r="I98" s="8">
        <f t="shared" ref="I98:J98" si="99">len(B98)</f>
        <v>5</v>
      </c>
      <c r="J98" s="8">
        <f t="shared" si="99"/>
        <v>25</v>
      </c>
      <c r="K98" s="8" t="s">
        <v>294</v>
      </c>
    </row>
    <row r="99">
      <c r="A99" s="7" t="b">
        <v>0</v>
      </c>
      <c r="B99" s="8" t="s">
        <v>292</v>
      </c>
      <c r="C99" s="8" t="s">
        <v>295</v>
      </c>
      <c r="D99" s="8" t="str">
        <f>Q&amp;$K99&amp;Q&amp;":{"&amp;Q&amp;$B$2&amp;Q&amp;":"&amp;Q&amp;$B99&amp;Q&amp;","&amp;Q&amp;$C$2&amp;Q&amp;":"&amp;Q&amp;$C99&amp;Q&amp;","&amp;Q&amp;"sets"&amp;Q&amp;":"&amp;Q&amp;substitute(SUBSTITUTE($H99,"[",""),"]","")&amp;Q&amp;"},"</f>
        <v>"onif":{"label":"Crazy","extra":"(silly, foolish) ","sets":"Junior 9+ (1st) &amp; (2nd)"},</v>
      </c>
      <c r="E99" s="9" t="str">
        <f t="shared" si="2"/>
        <v>data:image/svg+xml,%3csvg xmlns='http://www.w3.org/2000/svg' viewBox='0 0 24 216'%3e%3ctext fill='%23fff' style='font: 900 16px sans-serif' text-anchor='end' transform='matrix(0 -1 1 0 18 5)'%3eCrazy%3c/text%3e%3c/svg%3e</v>
      </c>
      <c r="F99" s="10" t="str">
        <f t="shared" si="3"/>
        <v>https://svgtext.heliohost.us/cgi-bin/gen.perl?text=Crazy</v>
      </c>
      <c r="G99" s="11" t="str">
        <f t="shared" si="4"/>
        <v>data:image/svg+xml,%3csvg xmlns='http://www.w3.org/2000/svg' viewBox='0 0 24 216'%3e%3ctext fill='%23fff' style='font: 900 16px sans-serif' text-anchor='end' transform='matrix(0 -1 1 0 18 5)'%3eCrazy%3c/text%3e%3c/svg%3e</v>
      </c>
      <c r="H99" s="8" t="s">
        <v>42</v>
      </c>
      <c r="I99" s="8">
        <f t="shared" ref="I99:J99" si="100">len(B99)</f>
        <v>5</v>
      </c>
      <c r="J99" s="8">
        <f t="shared" si="100"/>
        <v>17</v>
      </c>
      <c r="K99" s="8" t="s">
        <v>296</v>
      </c>
    </row>
    <row r="100">
      <c r="A100" s="7" t="b">
        <v>0</v>
      </c>
      <c r="B100" s="8" t="s">
        <v>297</v>
      </c>
      <c r="C100" s="8" t="s">
        <v>298</v>
      </c>
      <c r="D100" s="8" t="str">
        <f>Q&amp;$K100&amp;Q&amp;":{"&amp;Q&amp;$B$2&amp;Q&amp;":"&amp;Q&amp;$B100&amp;Q&amp;","&amp;Q&amp;$C$2&amp;Q&amp;":"&amp;Q&amp;$C100&amp;Q&amp;","&amp;Q&amp;"sets"&amp;Q&amp;":"&amp;Q&amp;substitute(SUBSTITUTE($H100,"[",""),"]","")&amp;Q&amp;"},"</f>
        <v>"yvyi":{"label":"Creative","extra":"(imaginative, artistic, original) ","sets":"Basic Set, Party Set"},</v>
      </c>
      <c r="E100" s="9" t="str">
        <f t="shared" si="2"/>
        <v>data:image/svg+xml,%3csvg xmlns='http://www.w3.org/2000/svg' viewBox='0 0 24 216'%3e%3ctext fill='%23fff' style='font: 900 16px sans-serif' text-anchor='end' transform='matrix(0 -1 1 0 18 5)'%3eCreative%3c/text%3e%3c/svg%3e</v>
      </c>
      <c r="F100" s="10" t="str">
        <f t="shared" si="3"/>
        <v>https://svgtext.heliohost.us/cgi-bin/gen.perl?text=Creative</v>
      </c>
      <c r="G100" s="11" t="str">
        <f t="shared" si="4"/>
        <v>data:image/svg+xml,%3csvg xmlns='http://www.w3.org/2000/svg' viewBox='0 0 24 216'%3e%3ctext fill='%23fff' style='font: 900 16px sans-serif' text-anchor='end' transform='matrix(0 -1 1 0 18 5)'%3eCreative%3c/text%3e%3c/svg%3e</v>
      </c>
      <c r="H100" s="8" t="s">
        <v>29</v>
      </c>
      <c r="I100" s="8">
        <f t="shared" ref="I100:J100" si="101">len(B100)</f>
        <v>8</v>
      </c>
      <c r="J100" s="8">
        <f t="shared" si="101"/>
        <v>34</v>
      </c>
      <c r="K100" s="8" t="s">
        <v>299</v>
      </c>
    </row>
    <row r="101">
      <c r="A101" s="7" t="b">
        <v>1</v>
      </c>
      <c r="B101" s="8" t="s">
        <v>300</v>
      </c>
      <c r="C101" s="8" t="s">
        <v>301</v>
      </c>
      <c r="D101" s="8" t="str">
        <f>Q&amp;$K101&amp;Q&amp;":{"&amp;Q&amp;$B$2&amp;Q&amp;":"&amp;Q&amp;$B101&amp;Q&amp;","&amp;Q&amp;$C$2&amp;Q&amp;":"&amp;Q&amp;$C101&amp;Q&amp;","&amp;Q&amp;"sets"&amp;Q&amp;":"&amp;Q&amp;substitute(SUBSTITUTE($H101,"[",""),"]","")&amp;Q&amp;"},"</f>
        <v>"rpjm":{"label":"Creepy","extra":"(frightening, slithering, scary) ","sets":"Basic Set, Party Set"},</v>
      </c>
      <c r="E101" s="9" t="str">
        <f t="shared" si="2"/>
        <v>data:image/svg+xml,%3csvg xmlns='http://www.w3.org/2000/svg' viewBox='0 0 24 216'%3e%3ctext fill='%23fff' style='font: 900 16px sans-serif' text-anchor='end' transform='matrix(0 -1 1 0 18 5)'%3eCreepy%3c/text%3e%3c/svg%3e</v>
      </c>
      <c r="F101" s="10" t="str">
        <f t="shared" si="3"/>
        <v>https://svgtext.heliohost.us/cgi-bin/gen.perl?text=Creepy</v>
      </c>
      <c r="G101" s="11" t="str">
        <f t="shared" si="4"/>
        <v>data:image/svg+xml,%3csvg xmlns='http://www.w3.org/2000/svg' viewBox='0 0 24 216'%3e%3ctext fill='%23fff' style='font: 900 16px sans-serif' text-anchor='end' transform='matrix(0 -1 1 0 18 5)'%3eCreepy%3c/text%3e%3c/svg%3e</v>
      </c>
      <c r="H101" s="8" t="s">
        <v>29</v>
      </c>
      <c r="I101" s="8">
        <f t="shared" ref="I101:J101" si="102">len(B101)</f>
        <v>6</v>
      </c>
      <c r="J101" s="8">
        <f t="shared" si="102"/>
        <v>33</v>
      </c>
      <c r="K101" s="8" t="s">
        <v>302</v>
      </c>
    </row>
    <row r="102">
      <c r="A102" s="7" t="b">
        <v>0</v>
      </c>
      <c r="B102" s="8" t="s">
        <v>300</v>
      </c>
      <c r="C102" s="8" t="s">
        <v>303</v>
      </c>
      <c r="D102" s="8" t="str">
        <f>Q&amp;$K102&amp;Q&amp;":{"&amp;Q&amp;$B$2&amp;Q&amp;":"&amp;Q&amp;$B102&amp;Q&amp;","&amp;Q&amp;$C$2&amp;Q&amp;":"&amp;Q&amp;$C102&amp;Q&amp;","&amp;Q&amp;"sets"&amp;Q&amp;":"&amp;Q&amp;substitute(SUBSTITUTE($H102,"[",""),"]","")&amp;Q&amp;"},"</f>
        <v>"tpaz":{"label":"Creepy","extra":"(spooky, scary) ","sets":"Junior"},</v>
      </c>
      <c r="E102" s="9" t="str">
        <f t="shared" si="2"/>
        <v>data:image/svg+xml,%3csvg xmlns='http://www.w3.org/2000/svg' viewBox='0 0 24 216'%3e%3ctext fill='%23fff' style='font: 900 16px sans-serif' text-anchor='end' transform='matrix(0 -1 1 0 18 5)'%3eCreepy%3c/text%3e%3c/svg%3e</v>
      </c>
      <c r="F102" s="10" t="str">
        <f t="shared" si="3"/>
        <v>https://svgtext.heliohost.us/cgi-bin/gen.perl?text=Creepy</v>
      </c>
      <c r="G102" s="11" t="str">
        <f t="shared" si="4"/>
        <v>data:image/svg+xml,%3csvg xmlns='http://www.w3.org/2000/svg' viewBox='0 0 24 216'%3e%3ctext fill='%23fff' style='font: 900 16px sans-serif' text-anchor='end' transform='matrix(0 -1 1 0 18 5)'%3eCreepy%3c/text%3e%3c/svg%3e</v>
      </c>
      <c r="H102" s="8" t="s">
        <v>84</v>
      </c>
      <c r="I102" s="8">
        <f t="shared" ref="I102:J102" si="103">len(B102)</f>
        <v>6</v>
      </c>
      <c r="J102" s="8">
        <f t="shared" si="103"/>
        <v>16</v>
      </c>
      <c r="K102" s="8" t="s">
        <v>304</v>
      </c>
    </row>
    <row r="103">
      <c r="A103" s="7" t="b">
        <v>0</v>
      </c>
      <c r="B103" s="8" t="s">
        <v>305</v>
      </c>
      <c r="C103" s="8" t="s">
        <v>306</v>
      </c>
      <c r="D103" s="8" t="str">
        <f>Q&amp;$K103&amp;Q&amp;":{"&amp;Q&amp;$B$2&amp;Q&amp;":"&amp;Q&amp;$B103&amp;Q&amp;","&amp;Q&amp;$C$2&amp;Q&amp;":"&amp;Q&amp;$C103&amp;Q&amp;","&amp;Q&amp;"sets"&amp;Q&amp;":"&amp;Q&amp;substitute(SUBSTITUTE($H103,"[",""),"]","")&amp;Q&amp;"},"</f>
        <v>"dpmg":{"label":"Creepy &amp; Crawly","extra":"(frightening, ghastly, icky) ","sets":"Expansion Set 4, Party Expansion 1"},</v>
      </c>
      <c r="E103" s="9" t="str">
        <f t="shared" si="2"/>
        <v>data:image/svg+xml,%3csvg xmlns='http://www.w3.org/2000/svg' viewBox='0 0 24 216'%3e%3ctext fill='%23fff' style='font: 900 16px sans-serif' text-anchor='end' transform='matrix(0 -1 1 0 18 5)'%3eCreepy %26amp%3B Crawly%3c/text%3e%3c/svg%3e</v>
      </c>
      <c r="F103" s="10" t="str">
        <f t="shared" si="3"/>
        <v>https://svgtext.heliohost.us/cgi-bin/gen.perl?text=Creepy%20%26%20Crawly</v>
      </c>
      <c r="G103" s="11" t="str">
        <f t="shared" si="4"/>
        <v>data:image/svg+xml,%3csvg xmlns='http://www.w3.org/2000/svg' viewBox='0 0 24 216'%3e%3ctext fill='%23fff' style='font: 900 16px sans-serif' text-anchor='end' transform='matrix(0 -1 1 0 18 5)'%3eCreepy %26amp%3B Crawly%3c/text%3e%3c/svg%3e</v>
      </c>
      <c r="H103" s="8" t="s">
        <v>63</v>
      </c>
      <c r="I103" s="8">
        <f t="shared" ref="I103:J103" si="104">len(B103)</f>
        <v>15</v>
      </c>
      <c r="J103" s="8">
        <f t="shared" si="104"/>
        <v>29</v>
      </c>
      <c r="K103" s="8" t="s">
        <v>307</v>
      </c>
    </row>
    <row r="104">
      <c r="A104" s="7" t="b">
        <v>1</v>
      </c>
      <c r="B104" s="8" t="s">
        <v>308</v>
      </c>
      <c r="C104" s="8" t="s">
        <v>309</v>
      </c>
      <c r="D104" s="8" t="str">
        <f>Q&amp;$K104&amp;Q&amp;":{"&amp;Q&amp;$B$2&amp;Q&amp;":"&amp;Q&amp;$B104&amp;Q&amp;","&amp;Q&amp;$C$2&amp;Q&amp;":"&amp;Q&amp;$C104&amp;Q&amp;","&amp;Q&amp;"sets"&amp;Q&amp;":"&amp;Q&amp;substitute(SUBSTITUTE($H104,"[",""),"]","")&amp;Q&amp;"},"</f>
        <v>"uhdp":{"label":"Crisp","extra":"(brittle, brisk, fresh) ","sets":"Expansion Set 3, Party Expansion 1"},</v>
      </c>
      <c r="E104" s="9" t="str">
        <f t="shared" si="2"/>
        <v>data:image/svg+xml,%3csvg xmlns='http://www.w3.org/2000/svg' viewBox='0 0 24 216'%3e%3ctext fill='%23fff' style='font: 900 16px sans-serif' text-anchor='end' transform='matrix(0 -1 1 0 18 5)'%3eCrisp%3c/text%3e%3c/svg%3e</v>
      </c>
      <c r="F104" s="10" t="str">
        <f t="shared" si="3"/>
        <v>https://svgtext.heliohost.us/cgi-bin/gen.perl?text=Crisp</v>
      </c>
      <c r="G104" s="11" t="str">
        <f t="shared" si="4"/>
        <v>data:image/svg+xml,%3csvg xmlns='http://www.w3.org/2000/svg' viewBox='0 0 24 216'%3e%3ctext fill='%23fff' style='font: 900 16px sans-serif' text-anchor='end' transform='matrix(0 -1 1 0 18 5)'%3eCrisp%3c/text%3e%3c/svg%3e</v>
      </c>
      <c r="H104" s="8" t="s">
        <v>39</v>
      </c>
      <c r="I104" s="8">
        <f t="shared" ref="I104:J104" si="105">len(B104)</f>
        <v>5</v>
      </c>
      <c r="J104" s="8">
        <f t="shared" si="105"/>
        <v>24</v>
      </c>
      <c r="K104" s="8" t="s">
        <v>310</v>
      </c>
    </row>
    <row r="105">
      <c r="A105" s="7" t="b">
        <v>0</v>
      </c>
      <c r="B105" s="8" t="s">
        <v>311</v>
      </c>
      <c r="C105" s="8" t="s">
        <v>312</v>
      </c>
      <c r="D105" s="8" t="str">
        <f>Q&amp;$K105&amp;Q&amp;":{"&amp;Q&amp;$B$2&amp;Q&amp;":"&amp;Q&amp;$B105&amp;Q&amp;","&amp;Q&amp;$C$2&amp;Q&amp;":"&amp;Q&amp;$C105&amp;Q&amp;","&amp;Q&amp;"sets"&amp;Q&amp;":"&amp;Q&amp;substitute(SUBSTITUTE($H105,"[",""),"]","")&amp;Q&amp;"},"</f>
        <v>"xvqy":{"label":"Crisp &amp; Delicious","extra":"(tasty, crunchy, savory) ","sets":"Expansion Set 4, Party Expansion 1"},</v>
      </c>
      <c r="E105" s="9" t="str">
        <f t="shared" si="2"/>
        <v>data:image/svg+xml,%3csvg xmlns='http://www.w3.org/2000/svg' viewBox='0 0 24 216'%3e%3ctext fill='%23fff' style='font: 900 16px sans-serif' text-anchor='end' transform='matrix(0 -1 1 0 18 5)'%3eCrisp %26amp%3B Delicious%3c/text%3e%3c/svg%3e</v>
      </c>
      <c r="F105" s="10" t="str">
        <f t="shared" si="3"/>
        <v>https://svgtext.heliohost.us/cgi-bin/gen.perl?text=Crisp%20%26%20Delicious</v>
      </c>
      <c r="G105" s="11" t="str">
        <f t="shared" si="4"/>
        <v>data:image/svg+xml,%3csvg xmlns='http://www.w3.org/2000/svg' viewBox='0 0 24 216'%3e%3ctext fill='%23fff' style='font: 900 16px sans-serif' text-anchor='end' transform='matrix(0 -1 1 0 18 5)'%3eCrisp %26amp%3B Delicious%3c/text%3e%3c/svg%3e</v>
      </c>
      <c r="H105" s="8" t="s">
        <v>63</v>
      </c>
      <c r="I105" s="8">
        <f t="shared" ref="I105:J105" si="106">len(B105)</f>
        <v>17</v>
      </c>
      <c r="J105" s="8">
        <f t="shared" si="106"/>
        <v>25</v>
      </c>
      <c r="K105" s="8" t="s">
        <v>313</v>
      </c>
    </row>
    <row r="106">
      <c r="A106" s="7" t="b">
        <v>0</v>
      </c>
      <c r="B106" s="8" t="s">
        <v>314</v>
      </c>
      <c r="C106" s="8" t="s">
        <v>315</v>
      </c>
      <c r="D106" s="8" t="str">
        <f>Q&amp;$K106&amp;Q&amp;":{"&amp;Q&amp;$B$2&amp;Q&amp;":"&amp;Q&amp;$B106&amp;Q&amp;","&amp;Q&amp;$C$2&amp;Q&amp;":"&amp;Q&amp;$C106&amp;Q&amp;","&amp;Q&amp;"sets"&amp;Q&amp;":"&amp;Q&amp;substitute(SUBSTITUTE($H106,"[",""),"]","")&amp;Q&amp;"},"</f>
        <v>"wimz":{"label":"Crooked","extra":"(bent, not straight) ","sets":"Junior 9+ (2nd)"},</v>
      </c>
      <c r="E106" s="9" t="str">
        <f t="shared" si="2"/>
        <v>data:image/svg+xml,%3csvg xmlns='http://www.w3.org/2000/svg' viewBox='0 0 24 216'%3e%3ctext fill='%23fff' style='font: 900 16px sans-serif' text-anchor='end' transform='matrix(0 -1 1 0 18 5)'%3eCrooked%3c/text%3e%3c/svg%3e</v>
      </c>
      <c r="F106" s="10" t="str">
        <f t="shared" si="3"/>
        <v>https://svgtext.heliohost.us/cgi-bin/gen.perl?text=Crooked</v>
      </c>
      <c r="G106" s="11" t="str">
        <f t="shared" si="4"/>
        <v>data:image/svg+xml,%3csvg xmlns='http://www.w3.org/2000/svg' viewBox='0 0 24 216'%3e%3ctext fill='%23fff' style='font: 900 16px sans-serif' text-anchor='end' transform='matrix(0 -1 1 0 18 5)'%3eCrooked%3c/text%3e%3c/svg%3e</v>
      </c>
      <c r="H106" s="8" t="s">
        <v>32</v>
      </c>
      <c r="I106" s="8">
        <f t="shared" ref="I106:J106" si="107">len(B106)</f>
        <v>7</v>
      </c>
      <c r="J106" s="8">
        <f t="shared" si="107"/>
        <v>21</v>
      </c>
      <c r="K106" s="8" t="s">
        <v>316</v>
      </c>
    </row>
    <row r="107">
      <c r="A107" s="7" t="b">
        <v>0</v>
      </c>
      <c r="B107" s="8" t="s">
        <v>317</v>
      </c>
      <c r="C107" s="7" t="s">
        <v>318</v>
      </c>
      <c r="D107" s="8" t="str">
        <f>Q&amp;$K107&amp;Q&amp;":{"&amp;Q&amp;$B$2&amp;Q&amp;":"&amp;Q&amp;$B107&amp;Q&amp;","&amp;Q&amp;$C$2&amp;Q&amp;":"&amp;Q&amp;$C107&amp;Q&amp;","&amp;Q&amp;"sets"&amp;Q&amp;":"&amp;Q&amp;substitute(SUBSTITUTE($H107,"[",""),"]","")&amp;Q&amp;"},"</f>
        <v>"cnds":{"label":"Cruel","extra":"(mean, harsh, merciless)","sets":"Party Set"},</v>
      </c>
      <c r="E107" s="9" t="str">
        <f t="shared" si="2"/>
        <v>data:image/svg+xml,%3csvg xmlns='http://www.w3.org/2000/svg' viewBox='0 0 24 216'%3e%3ctext fill='%23fff' style='font: 900 16px sans-serif' text-anchor='end' transform='matrix(0 -1 1 0 18 5)'%3eCruel%3c/text%3e%3c/svg%3e</v>
      </c>
      <c r="F107" s="10" t="str">
        <f t="shared" si="3"/>
        <v>https://svgtext.heliohost.us/cgi-bin/gen.perl?text=Cruel</v>
      </c>
      <c r="G107" s="11" t="str">
        <f t="shared" si="4"/>
        <v>data:image/svg+xml,%3csvg xmlns='http://www.w3.org/2000/svg' viewBox='0 0 24 216'%3e%3ctext fill='%23fff' style='font: 900 16px sans-serif' text-anchor='end' transform='matrix(0 -1 1 0 18 5)'%3eCruel%3c/text%3e%3c/svg%3e</v>
      </c>
      <c r="H107" s="12" t="s">
        <v>268</v>
      </c>
      <c r="I107" s="8">
        <f t="shared" ref="I107:J107" si="108">len(B107)</f>
        <v>5</v>
      </c>
      <c r="J107" s="8">
        <f t="shared" si="108"/>
        <v>24</v>
      </c>
      <c r="K107" s="8" t="s">
        <v>319</v>
      </c>
    </row>
    <row r="108">
      <c r="A108" s="7" t="b">
        <v>1</v>
      </c>
      <c r="B108" s="8" t="s">
        <v>320</v>
      </c>
      <c r="C108" s="8" t="s">
        <v>321</v>
      </c>
      <c r="D108" s="8" t="str">
        <f>Q&amp;$K108&amp;Q&amp;":{"&amp;Q&amp;$B$2&amp;Q&amp;":"&amp;Q&amp;$B108&amp;Q&amp;","&amp;Q&amp;$C$2&amp;Q&amp;":"&amp;Q&amp;$C108&amp;Q&amp;","&amp;Q&amp;"sets"&amp;Q&amp;":"&amp;Q&amp;substitute(SUBSTITUTE($H108,"[",""),"]","")&amp;Q&amp;"},"</f>
        <v>"tush":{"label":"Cruel &amp; Unusual","extra":"(barbaric, merciless, unwarranted) ","sets":"Expansion Set 4, Party Expansion 1"},</v>
      </c>
      <c r="E108" s="9" t="str">
        <f t="shared" si="2"/>
        <v>data:image/svg+xml,%3csvg xmlns='http://www.w3.org/2000/svg' viewBox='0 0 24 216'%3e%3ctext fill='%23fff' style='font: 900 16px sans-serif' text-anchor='end' transform='matrix(0 -1 1 0 18 5)'%3eCruel %26amp%3B Unusual%3c/text%3e%3c/svg%3e</v>
      </c>
      <c r="F108" s="10" t="str">
        <f t="shared" si="3"/>
        <v>https://svgtext.heliohost.us/cgi-bin/gen.perl?text=Cruel%20%26%20Unusual</v>
      </c>
      <c r="G108" s="11" t="str">
        <f t="shared" si="4"/>
        <v>data:image/svg+xml,%3csvg xmlns='http://www.w3.org/2000/svg' viewBox='0 0 24 216'%3e%3ctext fill='%23fff' style='font: 900 16px sans-serif' text-anchor='end' transform='matrix(0 -1 1 0 18 5)'%3eCruel %26amp%3B Unusual%3c/text%3e%3c/svg%3e</v>
      </c>
      <c r="H108" s="8" t="s">
        <v>63</v>
      </c>
      <c r="I108" s="8">
        <f t="shared" ref="I108:J108" si="109">len(B108)</f>
        <v>15</v>
      </c>
      <c r="J108" s="8">
        <f t="shared" si="109"/>
        <v>35</v>
      </c>
      <c r="K108" s="8" t="s">
        <v>322</v>
      </c>
    </row>
    <row r="109">
      <c r="A109" s="7" t="b">
        <v>1</v>
      </c>
      <c r="B109" s="8" t="s">
        <v>323</v>
      </c>
      <c r="C109" s="8" t="s">
        <v>324</v>
      </c>
      <c r="D109" s="8" t="str">
        <f>Q&amp;$K109&amp;Q&amp;":{"&amp;Q&amp;$B$2&amp;Q&amp;":"&amp;Q&amp;$B109&amp;Q&amp;","&amp;Q&amp;$C$2&amp;Q&amp;":"&amp;Q&amp;$C109&amp;Q&amp;","&amp;Q&amp;"sets"&amp;Q&amp;":"&amp;Q&amp;substitute(SUBSTITUTE($H109,"[",""),"]","")&amp;Q&amp;"},"</f>
        <v>"xxix":{"label":"Crunchy","extra":"(crispy, crackling) ","sets":"Junior 9+ (1st) &amp; (2nd)"},</v>
      </c>
      <c r="E109" s="9" t="str">
        <f t="shared" si="2"/>
        <v>data:image/svg+xml,%3csvg xmlns='http://www.w3.org/2000/svg' viewBox='0 0 24 216'%3e%3ctext fill='%23fff' style='font: 900 16px sans-serif' text-anchor='end' transform='matrix(0 -1 1 0 18 5)'%3eCrunchy%3c/text%3e%3c/svg%3e</v>
      </c>
      <c r="F109" s="10" t="str">
        <f t="shared" si="3"/>
        <v>https://svgtext.heliohost.us/cgi-bin/gen.perl?text=Crunchy</v>
      </c>
      <c r="G109" s="11" t="str">
        <f t="shared" si="4"/>
        <v>data:image/svg+xml,%3csvg xmlns='http://www.w3.org/2000/svg' viewBox='0 0 24 216'%3e%3ctext fill='%23fff' style='font: 900 16px sans-serif' text-anchor='end' transform='matrix(0 -1 1 0 18 5)'%3eCrunchy%3c/text%3e%3c/svg%3e</v>
      </c>
      <c r="H109" s="8" t="s">
        <v>42</v>
      </c>
      <c r="I109" s="8">
        <f t="shared" ref="I109:J109" si="110">len(B109)</f>
        <v>7</v>
      </c>
      <c r="J109" s="8">
        <f t="shared" si="110"/>
        <v>20</v>
      </c>
      <c r="K109" s="8" t="s">
        <v>325</v>
      </c>
    </row>
    <row r="110">
      <c r="A110" s="7" t="b">
        <v>0</v>
      </c>
      <c r="B110" s="8" t="s">
        <v>326</v>
      </c>
      <c r="C110" s="8" t="s">
        <v>327</v>
      </c>
      <c r="D110" s="8" t="str">
        <f>Q&amp;$K110&amp;Q&amp;":{"&amp;Q&amp;$B$2&amp;Q&amp;":"&amp;Q&amp;$B110&amp;Q&amp;","&amp;Q&amp;$C$2&amp;Q&amp;":"&amp;Q&amp;$C110&amp;Q&amp;","&amp;Q&amp;"sets"&amp;Q&amp;":"&amp;Q&amp;substitute(SUBSTITUTE($H110,"[",""),"]","")&amp;Q&amp;"},"</f>
        <v>"wgix":{"label":"Cuddly","extra":"(loving, tender, huggable) ","sets":"Basic Set, Party Set"},</v>
      </c>
      <c r="E110" s="9" t="str">
        <f t="shared" si="2"/>
        <v>data:image/svg+xml,%3csvg xmlns='http://www.w3.org/2000/svg' viewBox='0 0 24 216'%3e%3ctext fill='%23fff' style='font: 900 16px sans-serif' text-anchor='end' transform='matrix(0 -1 1 0 18 5)'%3eCuddly%3c/text%3e%3c/svg%3e</v>
      </c>
      <c r="F110" s="10" t="str">
        <f t="shared" si="3"/>
        <v>https://svgtext.heliohost.us/cgi-bin/gen.perl?text=Cuddly</v>
      </c>
      <c r="G110" s="11" t="str">
        <f t="shared" si="4"/>
        <v>data:image/svg+xml,%3csvg xmlns='http://www.w3.org/2000/svg' viewBox='0 0 24 216'%3e%3ctext fill='%23fff' style='font: 900 16px sans-serif' text-anchor='end' transform='matrix(0 -1 1 0 18 5)'%3eCuddly%3c/text%3e%3c/svg%3e</v>
      </c>
      <c r="H110" s="8" t="s">
        <v>29</v>
      </c>
      <c r="I110" s="8">
        <f t="shared" ref="I110:J110" si="111">len(B110)</f>
        <v>6</v>
      </c>
      <c r="J110" s="8">
        <f t="shared" si="111"/>
        <v>27</v>
      </c>
      <c r="K110" s="8" t="s">
        <v>328</v>
      </c>
    </row>
    <row r="111">
      <c r="A111" s="7" t="b">
        <v>0</v>
      </c>
      <c r="B111" s="8" t="s">
        <v>326</v>
      </c>
      <c r="C111" s="8" t="s">
        <v>329</v>
      </c>
      <c r="D111" s="8" t="str">
        <f>Q&amp;$K111&amp;Q&amp;":{"&amp;Q&amp;$B$2&amp;Q&amp;":"&amp;Q&amp;$B111&amp;Q&amp;","&amp;Q&amp;$C$2&amp;Q&amp;":"&amp;Q&amp;$C111&amp;Q&amp;","&amp;Q&amp;"sets"&amp;Q&amp;":"&amp;Q&amp;substitute(SUBSTITUTE($H111,"[",""),"]","")&amp;Q&amp;"},"</f>
        <v>"qlxc":{"label":"Cuddly","extra":"(cozy, soft) ","sets":"Junior 9+ (1st) &amp; (2nd)"},</v>
      </c>
      <c r="E111" s="9" t="str">
        <f t="shared" si="2"/>
        <v>data:image/svg+xml,%3csvg xmlns='http://www.w3.org/2000/svg' viewBox='0 0 24 216'%3e%3ctext fill='%23fff' style='font: 900 16px sans-serif' text-anchor='end' transform='matrix(0 -1 1 0 18 5)'%3eCuddly%3c/text%3e%3c/svg%3e</v>
      </c>
      <c r="F111" s="10" t="str">
        <f t="shared" si="3"/>
        <v>https://svgtext.heliohost.us/cgi-bin/gen.perl?text=Cuddly</v>
      </c>
      <c r="G111" s="11" t="str">
        <f t="shared" si="4"/>
        <v>data:image/svg+xml,%3csvg xmlns='http://www.w3.org/2000/svg' viewBox='0 0 24 216'%3e%3ctext fill='%23fff' style='font: 900 16px sans-serif' text-anchor='end' transform='matrix(0 -1 1 0 18 5)'%3eCuddly%3c/text%3e%3c/svg%3e</v>
      </c>
      <c r="H111" s="8" t="s">
        <v>42</v>
      </c>
      <c r="I111" s="8">
        <f t="shared" ref="I111:J111" si="112">len(B111)</f>
        <v>6</v>
      </c>
      <c r="J111" s="8">
        <f t="shared" si="112"/>
        <v>13</v>
      </c>
      <c r="K111" s="8" t="s">
        <v>330</v>
      </c>
    </row>
    <row r="112">
      <c r="A112" s="7" t="b">
        <v>0</v>
      </c>
      <c r="B112" s="8" t="s">
        <v>331</v>
      </c>
      <c r="C112" s="8" t="s">
        <v>332</v>
      </c>
      <c r="D112" s="8" t="str">
        <f>Q&amp;$K112&amp;Q&amp;":{"&amp;Q&amp;$B$2&amp;Q&amp;":"&amp;Q&amp;$B112&amp;Q&amp;","&amp;Q&amp;$C$2&amp;Q&amp;":"&amp;Q&amp;$C112&amp;Q&amp;","&amp;Q&amp;"sets"&amp;Q&amp;":"&amp;Q&amp;substitute(SUBSTITUTE($H112,"[",""),"]","")&amp;Q&amp;"},"</f>
        <v>"brib":{"label":"Curved","extra":"(bent, rounded) ","sets":"Junior 9+ (2nd)"},</v>
      </c>
      <c r="E112" s="9" t="str">
        <f t="shared" si="2"/>
        <v>data:image/svg+xml,%3csvg xmlns='http://www.w3.org/2000/svg' viewBox='0 0 24 216'%3e%3ctext fill='%23fff' style='font: 900 16px sans-serif' text-anchor='end' transform='matrix(0 -1 1 0 18 5)'%3eCurved%3c/text%3e%3c/svg%3e</v>
      </c>
      <c r="F112" s="10" t="str">
        <f t="shared" si="3"/>
        <v>https://svgtext.heliohost.us/cgi-bin/gen.perl?text=Curved</v>
      </c>
      <c r="G112" s="11" t="str">
        <f t="shared" si="4"/>
        <v>data:image/svg+xml,%3csvg xmlns='http://www.w3.org/2000/svg' viewBox='0 0 24 216'%3e%3ctext fill='%23fff' style='font: 900 16px sans-serif' text-anchor='end' transform='matrix(0 -1 1 0 18 5)'%3eCurved%3c/text%3e%3c/svg%3e</v>
      </c>
      <c r="H112" s="8" t="s">
        <v>32</v>
      </c>
      <c r="I112" s="8">
        <f t="shared" ref="I112:J112" si="113">len(B112)</f>
        <v>6</v>
      </c>
      <c r="J112" s="8">
        <f t="shared" si="113"/>
        <v>16</v>
      </c>
      <c r="K112" s="8" t="s">
        <v>333</v>
      </c>
    </row>
    <row r="113">
      <c r="A113" s="7" t="b">
        <v>1</v>
      </c>
      <c r="B113" s="8" t="s">
        <v>334</v>
      </c>
      <c r="C113" s="8" t="s">
        <v>335</v>
      </c>
      <c r="D113" s="8" t="str">
        <f>Q&amp;$K113&amp;Q&amp;":{"&amp;Q&amp;$B$2&amp;Q&amp;":"&amp;Q&amp;$B113&amp;Q&amp;","&amp;Q&amp;$C$2&amp;Q&amp;":"&amp;Q&amp;$C113&amp;Q&amp;","&amp;Q&amp;"sets"&amp;Q&amp;":"&amp;Q&amp;substitute(SUBSTITUTE($H113,"[",""),"]","")&amp;Q&amp;"},"</f>
        <v>"ghst":{"label":"Cut &amp; Dried","extra":"(settled, obvious, indisputable) ","sets":"Expansion Set 4, Party Expansion 1"},</v>
      </c>
      <c r="E113" s="9" t="str">
        <f t="shared" si="2"/>
        <v>data:image/svg+xml,%3csvg xmlns='http://www.w3.org/2000/svg' viewBox='0 0 24 216'%3e%3ctext fill='%23fff' style='font: 900 16px sans-serif' text-anchor='end' transform='matrix(0 -1 1 0 18 5)'%3eCut %26amp%3B Dried%3c/text%3e%3c/svg%3e</v>
      </c>
      <c r="F113" s="10" t="str">
        <f t="shared" si="3"/>
        <v>https://svgtext.heliohost.us/cgi-bin/gen.perl?text=Cut%20%26%20Dried</v>
      </c>
      <c r="G113" s="11" t="str">
        <f t="shared" si="4"/>
        <v>data:image/svg+xml,%3csvg xmlns='http://www.w3.org/2000/svg' viewBox='0 0 24 216'%3e%3ctext fill='%23fff' style='font: 900 16px sans-serif' text-anchor='end' transform='matrix(0 -1 1 0 18 5)'%3eCut %26amp%3B Dried%3c/text%3e%3c/svg%3e</v>
      </c>
      <c r="H113" s="8" t="s">
        <v>63</v>
      </c>
      <c r="I113" s="8">
        <f t="shared" ref="I113:J113" si="114">len(B113)</f>
        <v>11</v>
      </c>
      <c r="J113" s="8">
        <f t="shared" si="114"/>
        <v>33</v>
      </c>
      <c r="K113" s="8" t="s">
        <v>336</v>
      </c>
    </row>
    <row r="114">
      <c r="A114" s="7" t="b">
        <v>0</v>
      </c>
      <c r="B114" s="8" t="s">
        <v>337</v>
      </c>
      <c r="C114" s="8" t="s">
        <v>338</v>
      </c>
      <c r="D114" s="8" t="str">
        <f>Q&amp;$K114&amp;Q&amp;":{"&amp;Q&amp;$B$2&amp;Q&amp;":"&amp;Q&amp;$B114&amp;Q&amp;","&amp;Q&amp;$C$2&amp;Q&amp;":"&amp;Q&amp;$C114&amp;Q&amp;","&amp;Q&amp;"sets"&amp;Q&amp;":"&amp;Q&amp;substitute(SUBSTITUTE($H114,"[",""),"]","")&amp;Q&amp;"},"</f>
        <v>"kfxs":{"label":"Cute","extra":"(pretty, perky, delightful) ","sets":"Expansion Set 2, Party Set"},</v>
      </c>
      <c r="E114" s="9" t="str">
        <f t="shared" si="2"/>
        <v>data:image/svg+xml,%3csvg xmlns='http://www.w3.org/2000/svg' viewBox='0 0 24 216'%3e%3ctext fill='%23fff' style='font: 900 16px sans-serif' text-anchor='end' transform='matrix(0 -1 1 0 18 5)'%3eCute%3c/text%3e%3c/svg%3e</v>
      </c>
      <c r="F114" s="10" t="str">
        <f t="shared" si="3"/>
        <v>https://svgtext.heliohost.us/cgi-bin/gen.perl?text=Cute</v>
      </c>
      <c r="G114" s="11" t="str">
        <f t="shared" si="4"/>
        <v>data:image/svg+xml,%3csvg xmlns='http://www.w3.org/2000/svg' viewBox='0 0 24 216'%3e%3ctext fill='%23fff' style='font: 900 16px sans-serif' text-anchor='end' transform='matrix(0 -1 1 0 18 5)'%3eCute%3c/text%3e%3c/svg%3e</v>
      </c>
      <c r="H114" s="8" t="s">
        <v>17</v>
      </c>
      <c r="I114" s="8">
        <f t="shared" ref="I114:J114" si="115">len(B114)</f>
        <v>4</v>
      </c>
      <c r="J114" s="8">
        <f t="shared" si="115"/>
        <v>28</v>
      </c>
      <c r="K114" s="8" t="s">
        <v>339</v>
      </c>
    </row>
    <row r="115">
      <c r="A115" s="7" t="b">
        <v>0</v>
      </c>
      <c r="B115" s="8" t="s">
        <v>337</v>
      </c>
      <c r="C115" s="8" t="s">
        <v>71</v>
      </c>
      <c r="D115" s="8" t="str">
        <f>Q&amp;$K115&amp;Q&amp;":{"&amp;Q&amp;$B$2&amp;Q&amp;":"&amp;Q&amp;$B115&amp;Q&amp;","&amp;Q&amp;$C$2&amp;Q&amp;":"&amp;Q&amp;$C115&amp;Q&amp;","&amp;Q&amp;"sets"&amp;Q&amp;":"&amp;Q&amp;substitute(SUBSTITUTE($H115,"[",""),"]","")&amp;Q&amp;"},"</f>
        <v>"rpsm":{"label":"Cute","extra":"(pretty, good-looking) ","sets":"Junior"},</v>
      </c>
      <c r="E115" s="9" t="str">
        <f t="shared" si="2"/>
        <v>data:image/svg+xml,%3csvg xmlns='http://www.w3.org/2000/svg' viewBox='0 0 24 216'%3e%3ctext fill='%23fff' style='font: 900 16px sans-serif' text-anchor='end' transform='matrix(0 -1 1 0 18 5)'%3eCute%3c/text%3e%3c/svg%3e</v>
      </c>
      <c r="F115" s="10" t="str">
        <f t="shared" si="3"/>
        <v>https://svgtext.heliohost.us/cgi-bin/gen.perl?text=Cute</v>
      </c>
      <c r="G115" s="11" t="str">
        <f t="shared" si="4"/>
        <v>data:image/svg+xml,%3csvg xmlns='http://www.w3.org/2000/svg' viewBox='0 0 24 216'%3e%3ctext fill='%23fff' style='font: 900 16px sans-serif' text-anchor='end' transform='matrix(0 -1 1 0 18 5)'%3eCute%3c/text%3e%3c/svg%3e</v>
      </c>
      <c r="H115" s="8" t="s">
        <v>84</v>
      </c>
      <c r="I115" s="8">
        <f t="shared" ref="I115:J115" si="116">len(B115)</f>
        <v>4</v>
      </c>
      <c r="J115" s="8">
        <f t="shared" si="116"/>
        <v>23</v>
      </c>
      <c r="K115" s="8" t="s">
        <v>340</v>
      </c>
    </row>
    <row r="116">
      <c r="A116" s="7" t="b">
        <v>1</v>
      </c>
      <c r="B116" s="8" t="s">
        <v>341</v>
      </c>
      <c r="C116" s="8" t="s">
        <v>342</v>
      </c>
      <c r="D116" s="8" t="str">
        <f>Q&amp;$K116&amp;Q&amp;":{"&amp;Q&amp;$B$2&amp;Q&amp;":"&amp;Q&amp;$B116&amp;Q&amp;","&amp;Q&amp;$C$2&amp;Q&amp;":"&amp;Q&amp;$C116&amp;Q&amp;","&amp;Q&amp;"sets"&amp;Q&amp;":"&amp;Q&amp;substitute(SUBSTITUTE($H116,"[",""),"]","")&amp;Q&amp;"},"</f>
        <v>"xgnh":{"label":"Cute &amp; Cuddly","extra":"(adorable, precious, huggable) ","sets":"Expansion Set 4, Party Expansion 1"},</v>
      </c>
      <c r="E116" s="9" t="str">
        <f t="shared" si="2"/>
        <v>data:image/svg+xml,%3csvg xmlns='http://www.w3.org/2000/svg' viewBox='0 0 24 216'%3e%3ctext fill='%23fff' style='font: 900 16px sans-serif' text-anchor='end' transform='matrix(0 -1 1 0 18 5)'%3eCute %26amp%3B Cuddly%3c/text%3e%3c/svg%3e</v>
      </c>
      <c r="F116" s="10" t="str">
        <f t="shared" si="3"/>
        <v>https://svgtext.heliohost.us/cgi-bin/gen.perl?text=Cute%20%26%20Cuddly</v>
      </c>
      <c r="G116" s="11" t="str">
        <f t="shared" si="4"/>
        <v>data:image/svg+xml,%3csvg xmlns='http://www.w3.org/2000/svg' viewBox='0 0 24 216'%3e%3ctext fill='%23fff' style='font: 900 16px sans-serif' text-anchor='end' transform='matrix(0 -1 1 0 18 5)'%3eCute %26amp%3B Cuddly%3c/text%3e%3c/svg%3e</v>
      </c>
      <c r="H116" s="8" t="s">
        <v>63</v>
      </c>
      <c r="I116" s="8">
        <f t="shared" ref="I116:J116" si="117">len(B116)</f>
        <v>13</v>
      </c>
      <c r="J116" s="8">
        <f t="shared" si="117"/>
        <v>31</v>
      </c>
      <c r="K116" s="8" t="s">
        <v>343</v>
      </c>
    </row>
    <row r="117">
      <c r="A117" s="7" t="b">
        <v>0</v>
      </c>
      <c r="B117" s="8" t="s">
        <v>344</v>
      </c>
      <c r="C117" s="8" t="s">
        <v>345</v>
      </c>
      <c r="D117" s="8" t="str">
        <f>Q&amp;$K117&amp;Q&amp;":{"&amp;Q&amp;$B$2&amp;Q&amp;":"&amp;Q&amp;$B117&amp;Q&amp;","&amp;Q&amp;$C$2&amp;Q&amp;":"&amp;Q&amp;$C117&amp;Q&amp;","&amp;Q&amp;"sets"&amp;Q&amp;":"&amp;Q&amp;substitute(SUBSTITUTE($H117,"[",""),"]","")&amp;Q&amp;"},"</f>
        <v>"wuzn":{"label":"Dainty","extra":"(delicate, fragile, thin) ","sets":"Basic Set, Party Set"},</v>
      </c>
      <c r="E117" s="9" t="str">
        <f t="shared" si="2"/>
        <v>data:image/svg+xml,%3csvg xmlns='http://www.w3.org/2000/svg' viewBox='0 0 24 216'%3e%3ctext fill='%23fff' style='font: 900 16px sans-serif' text-anchor='end' transform='matrix(0 -1 1 0 18 5)'%3eDainty%3c/text%3e%3c/svg%3e</v>
      </c>
      <c r="F117" s="10" t="str">
        <f t="shared" si="3"/>
        <v>https://svgtext.heliohost.us/cgi-bin/gen.perl?text=Dainty</v>
      </c>
      <c r="G117" s="11" t="str">
        <f t="shared" si="4"/>
        <v>data:image/svg+xml,%3csvg xmlns='http://www.w3.org/2000/svg' viewBox='0 0 24 216'%3e%3ctext fill='%23fff' style='font: 900 16px sans-serif' text-anchor='end' transform='matrix(0 -1 1 0 18 5)'%3eDainty%3c/text%3e%3c/svg%3e</v>
      </c>
      <c r="H117" s="8" t="s">
        <v>29</v>
      </c>
      <c r="I117" s="8">
        <f t="shared" ref="I117:J117" si="118">len(B117)</f>
        <v>6</v>
      </c>
      <c r="J117" s="8">
        <f t="shared" si="118"/>
        <v>26</v>
      </c>
      <c r="K117" s="8" t="s">
        <v>346</v>
      </c>
    </row>
    <row r="118">
      <c r="A118" s="7" t="b">
        <v>0</v>
      </c>
      <c r="B118" s="8" t="s">
        <v>344</v>
      </c>
      <c r="C118" s="8" t="s">
        <v>347</v>
      </c>
      <c r="D118" s="8" t="str">
        <f>Q&amp;$K118&amp;Q&amp;":{"&amp;Q&amp;$B$2&amp;Q&amp;":"&amp;Q&amp;$B118&amp;Q&amp;","&amp;Q&amp;$C$2&amp;Q&amp;":"&amp;Q&amp;$C118&amp;Q&amp;","&amp;Q&amp;"sets"&amp;Q&amp;":"&amp;Q&amp;substitute(SUBSTITUTE($H118,"[",""),"]","")&amp;Q&amp;"},"</f>
        <v>"bmzr":{"label":"Dainty","extra":"(delicate, elegant) ","sets":"Junior 9+ (2nd)"},</v>
      </c>
      <c r="E118" s="9" t="str">
        <f t="shared" si="2"/>
        <v>data:image/svg+xml,%3csvg xmlns='http://www.w3.org/2000/svg' viewBox='0 0 24 216'%3e%3ctext fill='%23fff' style='font: 900 16px sans-serif' text-anchor='end' transform='matrix(0 -1 1 0 18 5)'%3eDainty%3c/text%3e%3c/svg%3e</v>
      </c>
      <c r="F118" s="10" t="str">
        <f t="shared" si="3"/>
        <v>https://svgtext.heliohost.us/cgi-bin/gen.perl?text=Dainty</v>
      </c>
      <c r="G118" s="11" t="str">
        <f t="shared" si="4"/>
        <v>data:image/svg+xml,%3csvg xmlns='http://www.w3.org/2000/svg' viewBox='0 0 24 216'%3e%3ctext fill='%23fff' style='font: 900 16px sans-serif' text-anchor='end' transform='matrix(0 -1 1 0 18 5)'%3eDainty%3c/text%3e%3c/svg%3e</v>
      </c>
      <c r="H118" s="8" t="s">
        <v>32</v>
      </c>
      <c r="I118" s="8">
        <f t="shared" ref="I118:J118" si="119">len(B118)</f>
        <v>6</v>
      </c>
      <c r="J118" s="8">
        <f t="shared" si="119"/>
        <v>20</v>
      </c>
      <c r="K118" s="8" t="s">
        <v>348</v>
      </c>
    </row>
    <row r="119">
      <c r="A119" s="7" t="b">
        <v>1</v>
      </c>
      <c r="B119" s="8" t="s">
        <v>349</v>
      </c>
      <c r="C119" s="8" t="s">
        <v>350</v>
      </c>
      <c r="D119" s="8" t="str">
        <f>Q&amp;$K119&amp;Q&amp;":{"&amp;Q&amp;$B$2&amp;Q&amp;":"&amp;Q&amp;$B119&amp;Q&amp;","&amp;Q&amp;$C$2&amp;Q&amp;":"&amp;Q&amp;$C119&amp;Q&amp;","&amp;Q&amp;"sets"&amp;Q&amp;":"&amp;Q&amp;substitute(SUBSTITUTE($H119,"[",""),"]","")&amp;Q&amp;"},"</f>
        <v>"cbpr":{"label":"Dangerous","extra":"(risky, chancy, hazardous) ","sets":"Basic Set, Party Set"},</v>
      </c>
      <c r="E119" s="9" t="str">
        <f t="shared" si="2"/>
        <v>data:image/svg+xml,%3csvg xmlns='http://www.w3.org/2000/svg' viewBox='0 0 24 216'%3e%3ctext fill='%23fff' style='font: 900 16px sans-serif' text-anchor='end' transform='matrix(0 -1 1 0 18 5)'%3eDangerous%3c/text%3e%3c/svg%3e</v>
      </c>
      <c r="F119" s="10" t="str">
        <f t="shared" si="3"/>
        <v>https://svgtext.heliohost.us/cgi-bin/gen.perl?text=Dangerous</v>
      </c>
      <c r="G119" s="11" t="str">
        <f t="shared" si="4"/>
        <v>data:image/svg+xml,%3csvg xmlns='http://www.w3.org/2000/svg' viewBox='0 0 24 216'%3e%3ctext fill='%23fff' style='font: 900 16px sans-serif' text-anchor='end' transform='matrix(0 -1 1 0 18 5)'%3eDangerous%3c/text%3e%3c/svg%3e</v>
      </c>
      <c r="H119" s="8" t="s">
        <v>29</v>
      </c>
      <c r="I119" s="8">
        <f t="shared" ref="I119:J119" si="120">len(B119)</f>
        <v>9</v>
      </c>
      <c r="J119" s="8">
        <f t="shared" si="120"/>
        <v>27</v>
      </c>
      <c r="K119" s="8" t="s">
        <v>351</v>
      </c>
    </row>
    <row r="120">
      <c r="A120" s="7" t="b">
        <v>0</v>
      </c>
      <c r="B120" s="8" t="s">
        <v>349</v>
      </c>
      <c r="C120" s="8" t="s">
        <v>352</v>
      </c>
      <c r="D120" s="8" t="str">
        <f>Q&amp;$K120&amp;Q&amp;":{"&amp;Q&amp;$B$2&amp;Q&amp;":"&amp;Q&amp;$B120&amp;Q&amp;","&amp;Q&amp;$C$2&amp;Q&amp;":"&amp;Q&amp;$C120&amp;Q&amp;","&amp;Q&amp;"sets"&amp;Q&amp;":"&amp;Q&amp;substitute(SUBSTITUTE($H120,"[",""),"]","")&amp;Q&amp;"},"</f>
        <v>"xlar":{"label":"Dangerous","extra":"(unsafe, risky) ","sets":"Junior"},</v>
      </c>
      <c r="E120" s="9" t="str">
        <f t="shared" si="2"/>
        <v>data:image/svg+xml,%3csvg xmlns='http://www.w3.org/2000/svg' viewBox='0 0 24 216'%3e%3ctext fill='%23fff' style='font: 900 16px sans-serif' text-anchor='end' transform='matrix(0 -1 1 0 18 5)'%3eDangerous%3c/text%3e%3c/svg%3e</v>
      </c>
      <c r="F120" s="10" t="str">
        <f t="shared" si="3"/>
        <v>https://svgtext.heliohost.us/cgi-bin/gen.perl?text=Dangerous</v>
      </c>
      <c r="G120" s="11" t="str">
        <f t="shared" si="4"/>
        <v>data:image/svg+xml,%3csvg xmlns='http://www.w3.org/2000/svg' viewBox='0 0 24 216'%3e%3ctext fill='%23fff' style='font: 900 16px sans-serif' text-anchor='end' transform='matrix(0 -1 1 0 18 5)'%3eDangerous%3c/text%3e%3c/svg%3e</v>
      </c>
      <c r="H120" s="8" t="s">
        <v>84</v>
      </c>
      <c r="I120" s="8">
        <f t="shared" ref="I120:J120" si="121">len(B120)</f>
        <v>9</v>
      </c>
      <c r="J120" s="8">
        <f t="shared" si="121"/>
        <v>16</v>
      </c>
      <c r="K120" s="8" t="s">
        <v>353</v>
      </c>
    </row>
    <row r="121">
      <c r="A121" s="7" t="b">
        <v>0</v>
      </c>
      <c r="B121" s="8" t="s">
        <v>354</v>
      </c>
      <c r="C121" s="8" t="s">
        <v>276</v>
      </c>
      <c r="D121" s="8" t="str">
        <f>Q&amp;$K121&amp;Q&amp;":{"&amp;Q&amp;$B$2&amp;Q&amp;":"&amp;Q&amp;$B121&amp;Q&amp;","&amp;Q&amp;$C$2&amp;Q&amp;":"&amp;Q&amp;$C121&amp;Q&amp;","&amp;Q&amp;"sets"&amp;Q&amp;":"&amp;Q&amp;substitute(SUBSTITUTE($H121,"[",""),"]","")&amp;Q&amp;"},"</f>
        <v>"kkix":{"label":"Daring","extra":"(brave, bold) ","sets":"Junior 9+ (2nd)"},</v>
      </c>
      <c r="E121" s="9" t="str">
        <f t="shared" si="2"/>
        <v>data:image/svg+xml,%3csvg xmlns='http://www.w3.org/2000/svg' viewBox='0 0 24 216'%3e%3ctext fill='%23fff' style='font: 900 16px sans-serif' text-anchor='end' transform='matrix(0 -1 1 0 18 5)'%3eDaring%3c/text%3e%3c/svg%3e</v>
      </c>
      <c r="F121" s="10" t="str">
        <f t="shared" si="3"/>
        <v>https://svgtext.heliohost.us/cgi-bin/gen.perl?text=Daring</v>
      </c>
      <c r="G121" s="11" t="str">
        <f t="shared" si="4"/>
        <v>data:image/svg+xml,%3csvg xmlns='http://www.w3.org/2000/svg' viewBox='0 0 24 216'%3e%3ctext fill='%23fff' style='font: 900 16px sans-serif' text-anchor='end' transform='matrix(0 -1 1 0 18 5)'%3eDaring%3c/text%3e%3c/svg%3e</v>
      </c>
      <c r="H121" s="8" t="s">
        <v>32</v>
      </c>
      <c r="I121" s="8">
        <f t="shared" ref="I121:J121" si="122">len(B121)</f>
        <v>6</v>
      </c>
      <c r="J121" s="8">
        <f t="shared" si="122"/>
        <v>14</v>
      </c>
      <c r="K121" s="8" t="s">
        <v>355</v>
      </c>
    </row>
    <row r="122">
      <c r="A122" s="7" t="b">
        <v>0</v>
      </c>
      <c r="B122" s="8" t="s">
        <v>356</v>
      </c>
      <c r="C122" s="8" t="s">
        <v>357</v>
      </c>
      <c r="D122" s="8" t="str">
        <f>Q&amp;$K122&amp;Q&amp;":{"&amp;Q&amp;$B$2&amp;Q&amp;":"&amp;Q&amp;$B122&amp;Q&amp;","&amp;Q&amp;$C$2&amp;Q&amp;":"&amp;Q&amp;$C122&amp;Q&amp;","&amp;Q&amp;"sets"&amp;Q&amp;":"&amp;Q&amp;substitute(SUBSTITUTE($H122,"[",""),"]","")&amp;Q&amp;"},"</f>
        <v>"zmpp":{"label":"Dark","extra":"(without light, nearly black) ","sets":"Junior"},</v>
      </c>
      <c r="E122" s="9" t="str">
        <f t="shared" si="2"/>
        <v>data:image/svg+xml,%3csvg xmlns='http://www.w3.org/2000/svg' viewBox='0 0 24 216'%3e%3ctext fill='%23fff' style='font: 900 16px sans-serif' text-anchor='end' transform='matrix(0 -1 1 0 18 5)'%3eDark%3c/text%3e%3c/svg%3e</v>
      </c>
      <c r="F122" s="10" t="str">
        <f t="shared" si="3"/>
        <v>https://svgtext.heliohost.us/cgi-bin/gen.perl?text=Dark</v>
      </c>
      <c r="G122" s="11" t="str">
        <f t="shared" si="4"/>
        <v>data:image/svg+xml,%3csvg xmlns='http://www.w3.org/2000/svg' viewBox='0 0 24 216'%3e%3ctext fill='%23fff' style='font: 900 16px sans-serif' text-anchor='end' transform='matrix(0 -1 1 0 18 5)'%3eDark%3c/text%3e%3c/svg%3e</v>
      </c>
      <c r="H122" s="8" t="s">
        <v>84</v>
      </c>
      <c r="I122" s="8">
        <f t="shared" ref="I122:J122" si="123">len(B122)</f>
        <v>4</v>
      </c>
      <c r="J122" s="8">
        <f t="shared" si="123"/>
        <v>30</v>
      </c>
      <c r="K122" s="8" t="s">
        <v>358</v>
      </c>
    </row>
    <row r="123">
      <c r="A123" s="7" t="b">
        <v>1</v>
      </c>
      <c r="B123" s="8" t="s">
        <v>356</v>
      </c>
      <c r="C123" s="8" t="s">
        <v>359</v>
      </c>
      <c r="D123" s="8" t="str">
        <f>Q&amp;$K123&amp;Q&amp;":{"&amp;Q&amp;$B$2&amp;Q&amp;":"&amp;Q&amp;$B123&amp;Q&amp;","&amp;Q&amp;$C$2&amp;Q&amp;":"&amp;Q&amp;$C123&amp;Q&amp;","&amp;Q&amp;"sets"&amp;Q&amp;":"&amp;Q&amp;substitute(SUBSTITUTE($H123,"[",""),"]","")&amp;Q&amp;"},"</f>
        <v>"hdov":{"label":"Dark","extra":"(unlit, morbid, sinister) ","sets":"Expansion Set 3, Party Expansion 1"},</v>
      </c>
      <c r="E123" s="9" t="str">
        <f t="shared" si="2"/>
        <v>data:image/svg+xml,%3csvg xmlns='http://www.w3.org/2000/svg' viewBox='0 0 24 216'%3e%3ctext fill='%23fff' style='font: 900 16px sans-serif' text-anchor='end' transform='matrix(0 -1 1 0 18 5)'%3eDark%3c/text%3e%3c/svg%3e</v>
      </c>
      <c r="F123" s="10" t="str">
        <f t="shared" si="3"/>
        <v>https://svgtext.heliohost.us/cgi-bin/gen.perl?text=Dark</v>
      </c>
      <c r="G123" s="11" t="str">
        <f t="shared" si="4"/>
        <v>data:image/svg+xml,%3csvg xmlns='http://www.w3.org/2000/svg' viewBox='0 0 24 216'%3e%3ctext fill='%23fff' style='font: 900 16px sans-serif' text-anchor='end' transform='matrix(0 -1 1 0 18 5)'%3eDark%3c/text%3e%3c/svg%3e</v>
      </c>
      <c r="H123" s="8" t="s">
        <v>39</v>
      </c>
      <c r="I123" s="8">
        <f t="shared" ref="I123:J123" si="124">len(B123)</f>
        <v>4</v>
      </c>
      <c r="J123" s="8">
        <f t="shared" si="124"/>
        <v>26</v>
      </c>
      <c r="K123" s="8" t="s">
        <v>360</v>
      </c>
    </row>
    <row r="124">
      <c r="A124" s="7" t="b">
        <v>1</v>
      </c>
      <c r="B124" s="8" t="s">
        <v>361</v>
      </c>
      <c r="C124" s="8" t="s">
        <v>362</v>
      </c>
      <c r="D124" s="8" t="str">
        <f>Q&amp;$K124&amp;Q&amp;":{"&amp;Q&amp;$B$2&amp;Q&amp;":"&amp;Q&amp;$B124&amp;Q&amp;","&amp;Q&amp;$C$2&amp;Q&amp;":"&amp;Q&amp;$C124&amp;Q&amp;","&amp;Q&amp;"sets"&amp;Q&amp;":"&amp;Q&amp;substitute(SUBSTITUTE($H124,"[",""),"]","")&amp;Q&amp;"},"</f>
        <v>"bffi":{"label":"Dashing","extra":"(gallant, bold, elegant) ","sets":"Expansion Set 3, Party Expansion 1"},</v>
      </c>
      <c r="E124" s="9" t="str">
        <f t="shared" si="2"/>
        <v>data:image/svg+xml,%3csvg xmlns='http://www.w3.org/2000/svg' viewBox='0 0 24 216'%3e%3ctext fill='%23fff' style='font: 900 16px sans-serif' text-anchor='end' transform='matrix(0 -1 1 0 18 5)'%3eDashing%3c/text%3e%3c/svg%3e</v>
      </c>
      <c r="F124" s="10" t="str">
        <f t="shared" si="3"/>
        <v>https://svgtext.heliohost.us/cgi-bin/gen.perl?text=Dashing</v>
      </c>
      <c r="G124" s="11" t="str">
        <f t="shared" si="4"/>
        <v>data:image/svg+xml,%3csvg xmlns='http://www.w3.org/2000/svg' viewBox='0 0 24 216'%3e%3ctext fill='%23fff' style='font: 900 16px sans-serif' text-anchor='end' transform='matrix(0 -1 1 0 18 5)'%3eDashing%3c/text%3e%3c/svg%3e</v>
      </c>
      <c r="H124" s="8" t="s">
        <v>39</v>
      </c>
      <c r="I124" s="8">
        <f t="shared" ref="I124:J124" si="125">len(B124)</f>
        <v>7</v>
      </c>
      <c r="J124" s="8">
        <f t="shared" si="125"/>
        <v>25</v>
      </c>
      <c r="K124" s="8" t="s">
        <v>363</v>
      </c>
    </row>
    <row r="125">
      <c r="A125" s="7" t="b">
        <v>1</v>
      </c>
      <c r="B125" s="8" t="s">
        <v>364</v>
      </c>
      <c r="C125" s="8" t="s">
        <v>365</v>
      </c>
      <c r="D125" s="8" t="str">
        <f>Q&amp;$K125&amp;Q&amp;":{"&amp;Q&amp;$B$2&amp;Q&amp;":"&amp;Q&amp;$B125&amp;Q&amp;","&amp;Q&amp;$C$2&amp;Q&amp;":"&amp;Q&amp;$C125&amp;Q&amp;","&amp;Q&amp;"sets"&amp;Q&amp;":"&amp;Q&amp;substitute(SUBSTITUTE($H125,"[",""),"]","")&amp;Q&amp;"},"</f>
        <v>"janu":{"label":"Dazed &amp; Confused","extra":"(stunned, bewildered, disoriented) ","sets":"Expansion Set 4, Party Expansion 1"},</v>
      </c>
      <c r="E125" s="9" t="str">
        <f t="shared" si="2"/>
        <v>data:image/svg+xml,%3csvg xmlns='http://www.w3.org/2000/svg' viewBox='0 0 24 216'%3e%3ctext fill='%23fff' style='font: 900 16px sans-serif' text-anchor='end' transform='matrix(0 -1 1 0 18 5)'%3eDazed %26amp%3B Confused%3c/text%3e%3c/svg%3e</v>
      </c>
      <c r="F125" s="10" t="str">
        <f t="shared" si="3"/>
        <v>https://svgtext.heliohost.us/cgi-bin/gen.perl?text=Dazed%20%26%20Confused</v>
      </c>
      <c r="G125" s="11" t="str">
        <f t="shared" si="4"/>
        <v>data:image/svg+xml,%3csvg xmlns='http://www.w3.org/2000/svg' viewBox='0 0 24 216'%3e%3ctext fill='%23fff' style='font: 900 16px sans-serif' text-anchor='end' transform='matrix(0 -1 1 0 18 5)'%3eDazed %26amp%3B Confused%3c/text%3e%3c/svg%3e</v>
      </c>
      <c r="H125" s="8" t="s">
        <v>63</v>
      </c>
      <c r="I125" s="8">
        <f t="shared" ref="I125:J125" si="126">len(B125)</f>
        <v>16</v>
      </c>
      <c r="J125" s="8">
        <f t="shared" si="126"/>
        <v>35</v>
      </c>
      <c r="K125" s="8" t="s">
        <v>366</v>
      </c>
    </row>
    <row r="126">
      <c r="A126" s="7" t="b">
        <v>1</v>
      </c>
      <c r="B126" s="8" t="s">
        <v>367</v>
      </c>
      <c r="C126" s="8" t="s">
        <v>368</v>
      </c>
      <c r="D126" s="8" t="str">
        <f>Q&amp;$K126&amp;Q&amp;":{"&amp;Q&amp;$B$2&amp;Q&amp;":"&amp;Q&amp;$B126&amp;Q&amp;","&amp;Q&amp;$C$2&amp;Q&amp;":"&amp;Q&amp;$C126&amp;Q&amp;","&amp;Q&amp;"sets"&amp;Q&amp;":"&amp;Q&amp;substitute(SUBSTITUTE($H126,"[",""),"]","")&amp;Q&amp;"},"</f>
        <v>"tlud":{"label":"Dead","extra":"(deceased, expired, unresponsive) ","sets":"Expansion Set 2, Party Set"},</v>
      </c>
      <c r="E126" s="9" t="str">
        <f t="shared" si="2"/>
        <v>data:image/svg+xml,%3csvg xmlns='http://www.w3.org/2000/svg' viewBox='0 0 24 216'%3e%3ctext fill='%23fff' style='font: 900 16px sans-serif' text-anchor='end' transform='matrix(0 -1 1 0 18 5)'%3eDead%3c/text%3e%3c/svg%3e</v>
      </c>
      <c r="F126" s="10" t="str">
        <f t="shared" si="3"/>
        <v>https://svgtext.heliohost.us/cgi-bin/gen.perl?text=Dead</v>
      </c>
      <c r="G126" s="11" t="str">
        <f t="shared" si="4"/>
        <v>data:image/svg+xml,%3csvg xmlns='http://www.w3.org/2000/svg' viewBox='0 0 24 216'%3e%3ctext fill='%23fff' style='font: 900 16px sans-serif' text-anchor='end' transform='matrix(0 -1 1 0 18 5)'%3eDead%3c/text%3e%3c/svg%3e</v>
      </c>
      <c r="H126" s="8" t="s">
        <v>17</v>
      </c>
      <c r="I126" s="8">
        <f t="shared" ref="I126:J126" si="127">len(B126)</f>
        <v>4</v>
      </c>
      <c r="J126" s="8">
        <f t="shared" si="127"/>
        <v>34</v>
      </c>
      <c r="K126" s="8" t="s">
        <v>369</v>
      </c>
    </row>
    <row r="127">
      <c r="A127" s="7" t="b">
        <v>0</v>
      </c>
      <c r="B127" s="8" t="s">
        <v>370</v>
      </c>
      <c r="C127" s="8" t="s">
        <v>371</v>
      </c>
      <c r="D127" s="8" t="str">
        <f>Q&amp;$K127&amp;Q&amp;":{"&amp;Q&amp;$B$2&amp;Q&amp;":"&amp;Q&amp;$B127&amp;Q&amp;","&amp;Q&amp;$C$2&amp;Q&amp;":"&amp;Q&amp;$C127&amp;Q&amp;","&amp;Q&amp;"sets"&amp;Q&amp;":"&amp;Q&amp;substitute(SUBSTITUTE($H127,"[",""),"]","")&amp;Q&amp;"},"</f>
        <v>"gevi":{"label":"Dead &amp; Gone","extra":"(deceased, defunct, passe) ","sets":"Expansion Set 4, Party Expansion 1"},</v>
      </c>
      <c r="E127" s="9" t="str">
        <f t="shared" si="2"/>
        <v>data:image/svg+xml,%3csvg xmlns='http://www.w3.org/2000/svg' viewBox='0 0 24 216'%3e%3ctext fill='%23fff' style='font: 900 16px sans-serif' text-anchor='end' transform='matrix(0 -1 1 0 18 5)'%3eDead %26amp%3B Gone%3c/text%3e%3c/svg%3e</v>
      </c>
      <c r="F127" s="10" t="str">
        <f t="shared" si="3"/>
        <v>https://svgtext.heliohost.us/cgi-bin/gen.perl?text=Dead%20%26%20Gone</v>
      </c>
      <c r="G127" s="11" t="str">
        <f t="shared" si="4"/>
        <v>data:image/svg+xml,%3csvg xmlns='http://www.w3.org/2000/svg' viewBox='0 0 24 216'%3e%3ctext fill='%23fff' style='font: 900 16px sans-serif' text-anchor='end' transform='matrix(0 -1 1 0 18 5)'%3eDead %26amp%3B Gone%3c/text%3e%3c/svg%3e</v>
      </c>
      <c r="H127" s="8" t="s">
        <v>63</v>
      </c>
      <c r="I127" s="8">
        <f t="shared" ref="I127:J127" si="128">len(B127)</f>
        <v>11</v>
      </c>
      <c r="J127" s="8">
        <f t="shared" si="128"/>
        <v>27</v>
      </c>
      <c r="K127" s="8" t="s">
        <v>372</v>
      </c>
    </row>
    <row r="128">
      <c r="A128" s="7" t="b">
        <v>0</v>
      </c>
      <c r="B128" s="8" t="s">
        <v>373</v>
      </c>
      <c r="C128" s="8" t="s">
        <v>374</v>
      </c>
      <c r="D128" s="8" t="str">
        <f>Q&amp;$K128&amp;Q&amp;":{"&amp;Q&amp;$B$2&amp;Q&amp;":"&amp;Q&amp;$B128&amp;Q&amp;","&amp;Q&amp;$C$2&amp;Q&amp;":"&amp;Q&amp;$C128&amp;Q&amp;","&amp;Q&amp;"sets"&amp;Q&amp;":"&amp;Q&amp;substitute(SUBSTITUTE($H128,"[",""),"]","")&amp;Q&amp;"},"</f>
        <v>"bedx":{"label":"Deadly","extra":"(fatal, lethal, murderous) ","sets":"Expansion Set 1, Party Set"},</v>
      </c>
      <c r="E128" s="9" t="str">
        <f t="shared" si="2"/>
        <v>data:image/svg+xml,%3csvg xmlns='http://www.w3.org/2000/svg' viewBox='0 0 24 216'%3e%3ctext fill='%23fff' style='font: 900 16px sans-serif' text-anchor='end' transform='matrix(0 -1 1 0 18 5)'%3eDeadly%3c/text%3e%3c/svg%3e</v>
      </c>
      <c r="F128" s="10" t="str">
        <f t="shared" si="3"/>
        <v>https://svgtext.heliohost.us/cgi-bin/gen.perl?text=Deadly</v>
      </c>
      <c r="G128" s="11" t="str">
        <f t="shared" si="4"/>
        <v>data:image/svg+xml,%3csvg xmlns='http://www.w3.org/2000/svg' viewBox='0 0 24 216'%3e%3ctext fill='%23fff' style='font: 900 16px sans-serif' text-anchor='end' transform='matrix(0 -1 1 0 18 5)'%3eDeadly%3c/text%3e%3c/svg%3e</v>
      </c>
      <c r="H128" s="8" t="s">
        <v>25</v>
      </c>
      <c r="I128" s="8">
        <f t="shared" ref="I128:J128" si="129">len(B128)</f>
        <v>6</v>
      </c>
      <c r="J128" s="8">
        <f t="shared" si="129"/>
        <v>27</v>
      </c>
      <c r="K128" s="8" t="s">
        <v>375</v>
      </c>
    </row>
    <row r="129">
      <c r="A129" s="7" t="b">
        <v>1</v>
      </c>
      <c r="B129" s="8" t="s">
        <v>376</v>
      </c>
      <c r="C129" s="8" t="s">
        <v>377</v>
      </c>
      <c r="D129" s="8" t="str">
        <f>Q&amp;$K129&amp;Q&amp;":{"&amp;Q&amp;$B$2&amp;Q&amp;":"&amp;Q&amp;$B129&amp;Q&amp;","&amp;Q&amp;$C$2&amp;Q&amp;":"&amp;Q&amp;$C129&amp;Q&amp;","&amp;Q&amp;"sets"&amp;Q&amp;":"&amp;Q&amp;substitute(SUBSTITUTE($H129,"[",""),"]","")&amp;Q&amp;"},"</f>
        <v>"pjng":{"label":"Delicate","extra":"(dainty, tender, elegant) ","sets":"Basic Set, Party Set"},</v>
      </c>
      <c r="E129" s="9" t="str">
        <f t="shared" si="2"/>
        <v>data:image/svg+xml,%3csvg xmlns='http://www.w3.org/2000/svg' viewBox='0 0 24 216'%3e%3ctext fill='%23fff' style='font: 900 16px sans-serif' text-anchor='end' transform='matrix(0 -1 1 0 18 5)'%3eDelicate%3c/text%3e%3c/svg%3e</v>
      </c>
      <c r="F129" s="10" t="str">
        <f t="shared" si="3"/>
        <v>https://svgtext.heliohost.us/cgi-bin/gen.perl?text=Delicate</v>
      </c>
      <c r="G129" s="11" t="str">
        <f t="shared" si="4"/>
        <v>data:image/svg+xml,%3csvg xmlns='http://www.w3.org/2000/svg' viewBox='0 0 24 216'%3e%3ctext fill='%23fff' style='font: 900 16px sans-serif' text-anchor='end' transform='matrix(0 -1 1 0 18 5)'%3eDelicate%3c/text%3e%3c/svg%3e</v>
      </c>
      <c r="H129" s="8" t="s">
        <v>29</v>
      </c>
      <c r="I129" s="8">
        <f t="shared" ref="I129:J129" si="130">len(B129)</f>
        <v>8</v>
      </c>
      <c r="J129" s="8">
        <f t="shared" si="130"/>
        <v>26</v>
      </c>
      <c r="K129" s="8" t="s">
        <v>378</v>
      </c>
    </row>
    <row r="130">
      <c r="A130" s="7" t="b">
        <v>0</v>
      </c>
      <c r="B130" s="8" t="s">
        <v>376</v>
      </c>
      <c r="C130" s="8" t="s">
        <v>379</v>
      </c>
      <c r="D130" s="8" t="str">
        <f>Q&amp;$K130&amp;Q&amp;":{"&amp;Q&amp;$B$2&amp;Q&amp;":"&amp;Q&amp;$B130&amp;Q&amp;","&amp;Q&amp;$C$2&amp;Q&amp;":"&amp;Q&amp;$C130&amp;Q&amp;","&amp;Q&amp;"sets"&amp;Q&amp;":"&amp;Q&amp;substitute(SUBSTITUTE($H130,"[",""),"]","")&amp;Q&amp;"},"</f>
        <v>"hjxf":{"label":"Delicate","extra":"(breakable, dainty) ","sets":"Junior 9+ (1st) &amp; (2nd)"},</v>
      </c>
      <c r="E130" s="9" t="str">
        <f t="shared" si="2"/>
        <v>data:image/svg+xml,%3csvg xmlns='http://www.w3.org/2000/svg' viewBox='0 0 24 216'%3e%3ctext fill='%23fff' style='font: 900 16px sans-serif' text-anchor='end' transform='matrix(0 -1 1 0 18 5)'%3eDelicate%3c/text%3e%3c/svg%3e</v>
      </c>
      <c r="F130" s="10" t="str">
        <f t="shared" si="3"/>
        <v>https://svgtext.heliohost.us/cgi-bin/gen.perl?text=Delicate</v>
      </c>
      <c r="G130" s="11" t="str">
        <f t="shared" si="4"/>
        <v>data:image/svg+xml,%3csvg xmlns='http://www.w3.org/2000/svg' viewBox='0 0 24 216'%3e%3ctext fill='%23fff' style='font: 900 16px sans-serif' text-anchor='end' transform='matrix(0 -1 1 0 18 5)'%3eDelicate%3c/text%3e%3c/svg%3e</v>
      </c>
      <c r="H130" s="8" t="s">
        <v>42</v>
      </c>
      <c r="I130" s="8">
        <f t="shared" ref="I130:J130" si="131">len(B130)</f>
        <v>8</v>
      </c>
      <c r="J130" s="8">
        <f t="shared" si="131"/>
        <v>20</v>
      </c>
      <c r="K130" s="8" t="s">
        <v>380</v>
      </c>
    </row>
    <row r="131">
      <c r="A131" s="7" t="b">
        <v>1</v>
      </c>
      <c r="B131" s="8" t="s">
        <v>381</v>
      </c>
      <c r="C131" s="8" t="s">
        <v>382</v>
      </c>
      <c r="D131" s="8" t="str">
        <f>Q&amp;$K131&amp;Q&amp;":{"&amp;Q&amp;$B$2&amp;Q&amp;":"&amp;Q&amp;$B131&amp;Q&amp;","&amp;Q&amp;$C$2&amp;Q&amp;":"&amp;Q&amp;$C131&amp;Q&amp;","&amp;Q&amp;"sets"&amp;Q&amp;":"&amp;Q&amp;substitute(SUBSTITUTE($H131,"[",""),"]","")&amp;Q&amp;"},"</f>
        <v>"ymgu":{"label":"Delicious","extra":"(tasty, pleasing, appetizing) ","sets":"Basic Set, Party Set"},</v>
      </c>
      <c r="E131" s="9" t="str">
        <f t="shared" si="2"/>
        <v>data:image/svg+xml,%3csvg xmlns='http://www.w3.org/2000/svg' viewBox='0 0 24 216'%3e%3ctext fill='%23fff' style='font: 900 16px sans-serif' text-anchor='end' transform='matrix(0 -1 1 0 18 5)'%3eDelicious%3c/text%3e%3c/svg%3e</v>
      </c>
      <c r="F131" s="10" t="str">
        <f t="shared" si="3"/>
        <v>https://svgtext.heliohost.us/cgi-bin/gen.perl?text=Delicious</v>
      </c>
      <c r="G131" s="11" t="str">
        <f t="shared" si="4"/>
        <v>data:image/svg+xml,%3csvg xmlns='http://www.w3.org/2000/svg' viewBox='0 0 24 216'%3e%3ctext fill='%23fff' style='font: 900 16px sans-serif' text-anchor='end' transform='matrix(0 -1 1 0 18 5)'%3eDelicious%3c/text%3e%3c/svg%3e</v>
      </c>
      <c r="H131" s="8" t="s">
        <v>29</v>
      </c>
      <c r="I131" s="8">
        <f t="shared" ref="I131:J131" si="132">len(B131)</f>
        <v>9</v>
      </c>
      <c r="J131" s="8">
        <f t="shared" si="132"/>
        <v>30</v>
      </c>
      <c r="K131" s="8" t="s">
        <v>383</v>
      </c>
    </row>
    <row r="132">
      <c r="A132" s="7" t="b">
        <v>0</v>
      </c>
      <c r="B132" s="8" t="s">
        <v>381</v>
      </c>
      <c r="C132" s="8" t="s">
        <v>384</v>
      </c>
      <c r="D132" s="8" t="str">
        <f>Q&amp;$K132&amp;Q&amp;":{"&amp;Q&amp;$B$2&amp;Q&amp;":"&amp;Q&amp;$B132&amp;Q&amp;","&amp;Q&amp;$C$2&amp;Q&amp;":"&amp;Q&amp;$C132&amp;Q&amp;","&amp;Q&amp;"sets"&amp;Q&amp;":"&amp;Q&amp;substitute(SUBSTITUTE($H132,"[",""),"]","")&amp;Q&amp;"},"</f>
        <v>"lild":{"label":"Delicious","extra":"(tasty, pleasing) ","sets":"Junior 9+ (1st) &amp; (2nd)"},</v>
      </c>
      <c r="E132" s="9" t="str">
        <f t="shared" si="2"/>
        <v>data:image/svg+xml,%3csvg xmlns='http://www.w3.org/2000/svg' viewBox='0 0 24 216'%3e%3ctext fill='%23fff' style='font: 900 16px sans-serif' text-anchor='end' transform='matrix(0 -1 1 0 18 5)'%3eDelicious%3c/text%3e%3c/svg%3e</v>
      </c>
      <c r="F132" s="10" t="str">
        <f t="shared" si="3"/>
        <v>https://svgtext.heliohost.us/cgi-bin/gen.perl?text=Delicious</v>
      </c>
      <c r="G132" s="11" t="str">
        <f t="shared" si="4"/>
        <v>data:image/svg+xml,%3csvg xmlns='http://www.w3.org/2000/svg' viewBox='0 0 24 216'%3e%3ctext fill='%23fff' style='font: 900 16px sans-serif' text-anchor='end' transform='matrix(0 -1 1 0 18 5)'%3eDelicious%3c/text%3e%3c/svg%3e</v>
      </c>
      <c r="H132" s="8" t="s">
        <v>42</v>
      </c>
      <c r="I132" s="8">
        <f t="shared" ref="I132:J132" si="133">len(B132)</f>
        <v>9</v>
      </c>
      <c r="J132" s="8">
        <f t="shared" si="133"/>
        <v>18</v>
      </c>
      <c r="K132" s="8" t="s">
        <v>385</v>
      </c>
    </row>
    <row r="133">
      <c r="A133" s="7" t="b">
        <v>0</v>
      </c>
      <c r="B133" s="8" t="s">
        <v>386</v>
      </c>
      <c r="C133" s="8" t="s">
        <v>387</v>
      </c>
      <c r="D133" s="8" t="str">
        <f>Q&amp;$K133&amp;Q&amp;":{"&amp;Q&amp;$B$2&amp;Q&amp;":"&amp;Q&amp;$B133&amp;Q&amp;","&amp;Q&amp;$C$2&amp;Q&amp;":"&amp;Q&amp;$C133&amp;Q&amp;","&amp;Q&amp;"sets"&amp;Q&amp;":"&amp;Q&amp;substitute(SUBSTITUTE($H133,"[",""),"]","")&amp;Q&amp;"},"</f>
        <v>"ixmi":{"label":"Delightful","extra":"(pleasing, enjoyable, charming) ","sets":"Expansion Set 1, Party Set"},</v>
      </c>
      <c r="E133" s="9" t="str">
        <f t="shared" si="2"/>
        <v>data:image/svg+xml,%3csvg xmlns='http://www.w3.org/2000/svg' viewBox='0 0 24 216'%3e%3ctext fill='%23fff' style='font: 900 16px sans-serif' text-anchor='end' transform='matrix(0 -1 1 0 18 5)'%3eDelightful%3c/text%3e%3c/svg%3e</v>
      </c>
      <c r="F133" s="10" t="str">
        <f t="shared" si="3"/>
        <v>https://svgtext.heliohost.us/cgi-bin/gen.perl?text=Delightful</v>
      </c>
      <c r="G133" s="11" t="str">
        <f t="shared" si="4"/>
        <v>data:image/svg+xml,%3csvg xmlns='http://www.w3.org/2000/svg' viewBox='0 0 24 216'%3e%3ctext fill='%23fff' style='font: 900 16px sans-serif' text-anchor='end' transform='matrix(0 -1 1 0 18 5)'%3eDelightful%3c/text%3e%3c/svg%3e</v>
      </c>
      <c r="H133" s="8" t="s">
        <v>25</v>
      </c>
      <c r="I133" s="8">
        <f t="shared" ref="I133:J133" si="134">len(B133)</f>
        <v>10</v>
      </c>
      <c r="J133" s="8">
        <f t="shared" si="134"/>
        <v>32</v>
      </c>
      <c r="K133" s="8" t="s">
        <v>388</v>
      </c>
    </row>
    <row r="134">
      <c r="A134" s="7" t="b">
        <v>0</v>
      </c>
      <c r="B134" s="8" t="s">
        <v>389</v>
      </c>
      <c r="C134" s="8" t="s">
        <v>390</v>
      </c>
      <c r="D134" s="8" t="str">
        <f>Q&amp;$K134&amp;Q&amp;":{"&amp;Q&amp;$B$2&amp;Q&amp;":"&amp;Q&amp;$B134&amp;Q&amp;","&amp;Q&amp;$C$2&amp;Q&amp;":"&amp;Q&amp;$C134&amp;Q&amp;","&amp;Q&amp;"sets"&amp;Q&amp;":"&amp;Q&amp;substitute(SUBSTITUTE($H134,"[",""),"]","")&amp;Q&amp;"},"</f>
        <v>"dxgw":{"label":"Demanding","extra":"(difficult, exacting, bothersome) ","sets":"Basic Set, Party Set"},</v>
      </c>
      <c r="E134" s="9" t="str">
        <f t="shared" si="2"/>
        <v>data:image/svg+xml,%3csvg xmlns='http://www.w3.org/2000/svg' viewBox='0 0 24 216'%3e%3ctext fill='%23fff' style='font: 900 16px sans-serif' text-anchor='end' transform='matrix(0 -1 1 0 18 5)'%3eDemanding%3c/text%3e%3c/svg%3e</v>
      </c>
      <c r="F134" s="10" t="str">
        <f t="shared" si="3"/>
        <v>https://svgtext.heliohost.us/cgi-bin/gen.perl?text=Demanding</v>
      </c>
      <c r="G134" s="11" t="str">
        <f t="shared" si="4"/>
        <v>data:image/svg+xml,%3csvg xmlns='http://www.w3.org/2000/svg' viewBox='0 0 24 216'%3e%3ctext fill='%23fff' style='font: 900 16px sans-serif' text-anchor='end' transform='matrix(0 -1 1 0 18 5)'%3eDemanding%3c/text%3e%3c/svg%3e</v>
      </c>
      <c r="H134" s="8" t="s">
        <v>29</v>
      </c>
      <c r="I134" s="8">
        <f t="shared" ref="I134:J134" si="135">len(B134)</f>
        <v>9</v>
      </c>
      <c r="J134" s="8">
        <f t="shared" si="135"/>
        <v>34</v>
      </c>
      <c r="K134" s="8" t="s">
        <v>391</v>
      </c>
    </row>
    <row r="135">
      <c r="A135" s="7" t="b">
        <v>0</v>
      </c>
      <c r="B135" s="8" t="s">
        <v>392</v>
      </c>
      <c r="C135" s="8" t="s">
        <v>393</v>
      </c>
      <c r="D135" s="8" t="str">
        <f>Q&amp;$K135&amp;Q&amp;":{"&amp;Q&amp;$B$2&amp;Q&amp;":"&amp;Q&amp;$B135&amp;Q&amp;","&amp;Q&amp;$C$2&amp;Q&amp;":"&amp;Q&amp;$C135&amp;Q&amp;","&amp;Q&amp;"sets"&amp;Q&amp;":"&amp;Q&amp;substitute(SUBSTITUTE($H135,"[",""),"]","")&amp;Q&amp;"},"</f>
        <v>"yhld":{"label":"Depressing","extra":"(dismal, gloomy, sad) ","sets":"Expansion Set 2, Party Set"},</v>
      </c>
      <c r="E135" s="9" t="str">
        <f t="shared" si="2"/>
        <v>data:image/svg+xml,%3csvg xmlns='http://www.w3.org/2000/svg' viewBox='0 0 24 216'%3e%3ctext fill='%23fff' style='font: 900 16px sans-serif' text-anchor='end' transform='matrix(0 -1 1 0 18 5)'%3eDepressing%3c/text%3e%3c/svg%3e</v>
      </c>
      <c r="F135" s="10" t="str">
        <f t="shared" si="3"/>
        <v>https://svgtext.heliohost.us/cgi-bin/gen.perl?text=Depressing</v>
      </c>
      <c r="G135" s="11" t="str">
        <f t="shared" si="4"/>
        <v>data:image/svg+xml,%3csvg xmlns='http://www.w3.org/2000/svg' viewBox='0 0 24 216'%3e%3ctext fill='%23fff' style='font: 900 16px sans-serif' text-anchor='end' transform='matrix(0 -1 1 0 18 5)'%3eDepressing%3c/text%3e%3c/svg%3e</v>
      </c>
      <c r="H135" s="8" t="s">
        <v>17</v>
      </c>
      <c r="I135" s="8">
        <f t="shared" ref="I135:J135" si="136">len(B135)</f>
        <v>10</v>
      </c>
      <c r="J135" s="8">
        <f t="shared" si="136"/>
        <v>22</v>
      </c>
      <c r="K135" s="8" t="s">
        <v>394</v>
      </c>
    </row>
    <row r="136">
      <c r="A136" s="7" t="b">
        <v>0</v>
      </c>
      <c r="B136" s="8" t="s">
        <v>395</v>
      </c>
      <c r="C136" s="8" t="s">
        <v>396</v>
      </c>
      <c r="D136" s="8" t="str">
        <f>Q&amp;$K136&amp;Q&amp;":{"&amp;Q&amp;$B$2&amp;Q&amp;":"&amp;Q&amp;$B136&amp;Q&amp;","&amp;Q&amp;$C$2&amp;Q&amp;":"&amp;Q&amp;$C136&amp;Q&amp;","&amp;Q&amp;"sets"&amp;Q&amp;":"&amp;Q&amp;substitute(SUBSTITUTE($H136,"[",""),"]","")&amp;Q&amp;"},"</f>
        <v>"dymr":{"label":"Desperate","extra":"(frantic, headlong, reckless) ","sets":"Basic Set, Party Set"},</v>
      </c>
      <c r="E136" s="9" t="str">
        <f t="shared" si="2"/>
        <v>data:image/svg+xml,%3csvg xmlns='http://www.w3.org/2000/svg' viewBox='0 0 24 216'%3e%3ctext fill='%23fff' style='font: 900 16px sans-serif' text-anchor='end' transform='matrix(0 -1 1 0 18 5)'%3eDesperate%3c/text%3e%3c/svg%3e</v>
      </c>
      <c r="F136" s="10" t="str">
        <f t="shared" si="3"/>
        <v>https://svgtext.heliohost.us/cgi-bin/gen.perl?text=Desperate</v>
      </c>
      <c r="G136" s="11" t="str">
        <f t="shared" si="4"/>
        <v>data:image/svg+xml,%3csvg xmlns='http://www.w3.org/2000/svg' viewBox='0 0 24 216'%3e%3ctext fill='%23fff' style='font: 900 16px sans-serif' text-anchor='end' transform='matrix(0 -1 1 0 18 5)'%3eDesperate%3c/text%3e%3c/svg%3e</v>
      </c>
      <c r="H136" s="8" t="s">
        <v>29</v>
      </c>
      <c r="I136" s="8">
        <f t="shared" ref="I136:J136" si="137">len(B136)</f>
        <v>9</v>
      </c>
      <c r="J136" s="8">
        <f t="shared" si="137"/>
        <v>30</v>
      </c>
      <c r="K136" s="8" t="s">
        <v>397</v>
      </c>
    </row>
    <row r="137">
      <c r="A137" s="7" t="b">
        <v>1</v>
      </c>
      <c r="B137" s="8" t="s">
        <v>398</v>
      </c>
      <c r="C137" s="8" t="s">
        <v>399</v>
      </c>
      <c r="D137" s="8" t="str">
        <f>Q&amp;$K137&amp;Q&amp;":{"&amp;Q&amp;$B$2&amp;Q&amp;":"&amp;Q&amp;$B137&amp;Q&amp;","&amp;Q&amp;$C$2&amp;Q&amp;":"&amp;Q&amp;$C137&amp;Q&amp;","&amp;Q&amp;"sets"&amp;Q&amp;":"&amp;Q&amp;substitute(SUBSTITUTE($H137,"[",""),"]","")&amp;Q&amp;"},"</f>
        <v>"hupk":{"label":"Devious","extra":"(sneaky, shifty, tricky) ","sets":"Expansion Set 3, Party Expansion 1"},</v>
      </c>
      <c r="E137" s="9" t="str">
        <f t="shared" si="2"/>
        <v>data:image/svg+xml,%3csvg xmlns='http://www.w3.org/2000/svg' viewBox='0 0 24 216'%3e%3ctext fill='%23fff' style='font: 900 16px sans-serif' text-anchor='end' transform='matrix(0 -1 1 0 18 5)'%3eDevious%3c/text%3e%3c/svg%3e</v>
      </c>
      <c r="F137" s="10" t="str">
        <f t="shared" si="3"/>
        <v>https://svgtext.heliohost.us/cgi-bin/gen.perl?text=Devious</v>
      </c>
      <c r="G137" s="11" t="str">
        <f t="shared" si="4"/>
        <v>data:image/svg+xml,%3csvg xmlns='http://www.w3.org/2000/svg' viewBox='0 0 24 216'%3e%3ctext fill='%23fff' style='font: 900 16px sans-serif' text-anchor='end' transform='matrix(0 -1 1 0 18 5)'%3eDevious%3c/text%3e%3c/svg%3e</v>
      </c>
      <c r="H137" s="8" t="s">
        <v>39</v>
      </c>
      <c r="I137" s="8">
        <f t="shared" ref="I137:J137" si="138">len(B137)</f>
        <v>7</v>
      </c>
      <c r="J137" s="8">
        <f t="shared" si="138"/>
        <v>25</v>
      </c>
      <c r="K137" s="8" t="s">
        <v>400</v>
      </c>
    </row>
    <row r="138">
      <c r="A138" s="7" t="b">
        <v>0</v>
      </c>
      <c r="B138" s="8" t="s">
        <v>401</v>
      </c>
      <c r="C138" s="8" t="s">
        <v>402</v>
      </c>
      <c r="D138" s="8" t="str">
        <f>Q&amp;$K138&amp;Q&amp;":{"&amp;Q&amp;$B$2&amp;Q&amp;":"&amp;Q&amp;$B138&amp;Q&amp;","&amp;Q&amp;$C$2&amp;Q&amp;":"&amp;Q&amp;$C138&amp;Q&amp;","&amp;Q&amp;"sets"&amp;Q&amp;":"&amp;Q&amp;substitute(SUBSTITUTE($H138,"[",""),"]","")&amp;Q&amp;"},"</f>
        <v>"cwri":{"label":"Difficult","extra":"(complicated, hard) ","sets":"Junior 9+ (2nd)"},</v>
      </c>
      <c r="E138" s="9" t="str">
        <f t="shared" si="2"/>
        <v>data:image/svg+xml,%3csvg xmlns='http://www.w3.org/2000/svg' viewBox='0 0 24 216'%3e%3ctext fill='%23fff' style='font: 900 16px sans-serif' text-anchor='end' transform='matrix(0 -1 1 0 18 5)'%3eDifficult%3c/text%3e%3c/svg%3e</v>
      </c>
      <c r="F138" s="10" t="str">
        <f t="shared" si="3"/>
        <v>https://svgtext.heliohost.us/cgi-bin/gen.perl?text=Difficult</v>
      </c>
      <c r="G138" s="11" t="str">
        <f t="shared" si="4"/>
        <v>data:image/svg+xml,%3csvg xmlns='http://www.w3.org/2000/svg' viewBox='0 0 24 216'%3e%3ctext fill='%23fff' style='font: 900 16px sans-serif' text-anchor='end' transform='matrix(0 -1 1 0 18 5)'%3eDifficult%3c/text%3e%3c/svg%3e</v>
      </c>
      <c r="H138" s="8" t="s">
        <v>32</v>
      </c>
      <c r="I138" s="8">
        <f t="shared" ref="I138:J138" si="139">len(B138)</f>
        <v>9</v>
      </c>
      <c r="J138" s="8">
        <f t="shared" si="139"/>
        <v>20</v>
      </c>
      <c r="K138" s="8" t="s">
        <v>403</v>
      </c>
    </row>
    <row r="139">
      <c r="A139" s="7" t="b">
        <v>0</v>
      </c>
      <c r="B139" s="8" t="s">
        <v>404</v>
      </c>
      <c r="C139" s="8" t="s">
        <v>405</v>
      </c>
      <c r="D139" s="8" t="str">
        <f>Q&amp;$K139&amp;Q&amp;":{"&amp;Q&amp;$B$2&amp;Q&amp;":"&amp;Q&amp;$B139&amp;Q&amp;","&amp;Q&amp;$C$2&amp;Q&amp;":"&amp;Q&amp;$C139&amp;Q&amp;","&amp;Q&amp;"sets"&amp;Q&amp;":"&amp;Q&amp;substitute(SUBSTITUTE($H139,"[",""),"]","")&amp;Q&amp;"},"</f>
        <v>"trdw":{"label":"Dignified","extra":"(stately, honorable, distinguished) ","sets":"Expansion Set 1, Party Set"},</v>
      </c>
      <c r="E139" s="9" t="str">
        <f t="shared" si="2"/>
        <v>data:image/svg+xml,%3csvg xmlns='http://www.w3.org/2000/svg' viewBox='0 0 24 216'%3e%3ctext fill='%23fff' style='font: 900 16px sans-serif' text-anchor='end' transform='matrix(0 -1 1 0 18 5)'%3eDignified%3c/text%3e%3c/svg%3e</v>
      </c>
      <c r="F139" s="10" t="str">
        <f t="shared" si="3"/>
        <v>https://svgtext.heliohost.us/cgi-bin/gen.perl?text=Dignified</v>
      </c>
      <c r="G139" s="11" t="str">
        <f t="shared" si="4"/>
        <v>data:image/svg+xml,%3csvg xmlns='http://www.w3.org/2000/svg' viewBox='0 0 24 216'%3e%3ctext fill='%23fff' style='font: 900 16px sans-serif' text-anchor='end' transform='matrix(0 -1 1 0 18 5)'%3eDignified%3c/text%3e%3c/svg%3e</v>
      </c>
      <c r="H139" s="8" t="s">
        <v>25</v>
      </c>
      <c r="I139" s="8">
        <f t="shared" ref="I139:J139" si="140">len(B139)</f>
        <v>9</v>
      </c>
      <c r="J139" s="8">
        <f t="shared" si="140"/>
        <v>36</v>
      </c>
      <c r="K139" s="8" t="s">
        <v>406</v>
      </c>
    </row>
    <row r="140">
      <c r="A140" s="7" t="b">
        <v>0</v>
      </c>
      <c r="B140" s="8" t="s">
        <v>407</v>
      </c>
      <c r="C140" s="8" t="s">
        <v>408</v>
      </c>
      <c r="D140" s="8" t="str">
        <f>Q&amp;$K140&amp;Q&amp;":{"&amp;Q&amp;$B$2&amp;Q&amp;":"&amp;Q&amp;$B140&amp;Q&amp;","&amp;Q&amp;$C$2&amp;Q&amp;":"&amp;Q&amp;$C140&amp;Q&amp;","&amp;Q&amp;"sets"&amp;Q&amp;":"&amp;Q&amp;substitute(SUBSTITUTE($H140,"[",""),"]","")&amp;Q&amp;"},"</f>
        <v>"hbek":{"label":"Dirty","extra":"(unclean, soiled, impure) ","sets":"Expansion Set 2, Party Set"},</v>
      </c>
      <c r="E140" s="9" t="str">
        <f t="shared" si="2"/>
        <v>data:image/svg+xml,%3csvg xmlns='http://www.w3.org/2000/svg' viewBox='0 0 24 216'%3e%3ctext fill='%23fff' style='font: 900 16px sans-serif' text-anchor='end' transform='matrix(0 -1 1 0 18 5)'%3eDirty%3c/text%3e%3c/svg%3e</v>
      </c>
      <c r="F140" s="10" t="str">
        <f t="shared" si="3"/>
        <v>https://svgtext.heliohost.us/cgi-bin/gen.perl?text=Dirty</v>
      </c>
      <c r="G140" s="11" t="str">
        <f t="shared" si="4"/>
        <v>data:image/svg+xml,%3csvg xmlns='http://www.w3.org/2000/svg' viewBox='0 0 24 216'%3e%3ctext fill='%23fff' style='font: 900 16px sans-serif' text-anchor='end' transform='matrix(0 -1 1 0 18 5)'%3eDirty%3c/text%3e%3c/svg%3e</v>
      </c>
      <c r="H140" s="8" t="s">
        <v>17</v>
      </c>
      <c r="I140" s="8">
        <f t="shared" ref="I140:J140" si="141">len(B140)</f>
        <v>5</v>
      </c>
      <c r="J140" s="8">
        <f t="shared" si="141"/>
        <v>26</v>
      </c>
      <c r="K140" s="8" t="s">
        <v>409</v>
      </c>
    </row>
    <row r="141">
      <c r="A141" s="7" t="b">
        <v>0</v>
      </c>
      <c r="B141" s="8" t="s">
        <v>407</v>
      </c>
      <c r="C141" s="8" t="s">
        <v>410</v>
      </c>
      <c r="D141" s="8" t="str">
        <f>Q&amp;$K141&amp;Q&amp;":{"&amp;Q&amp;$B$2&amp;Q&amp;":"&amp;Q&amp;$B141&amp;Q&amp;","&amp;Q&amp;$C$2&amp;Q&amp;":"&amp;Q&amp;$C141&amp;Q&amp;","&amp;Q&amp;"sets"&amp;Q&amp;":"&amp;Q&amp;substitute(SUBSTITUTE($H141,"[",""),"]","")&amp;Q&amp;"},"</f>
        <v>"ctmc":{"label":"Dirty","extra":"(unclean, filthy) ","sets":"Junior"},</v>
      </c>
      <c r="E141" s="9" t="str">
        <f t="shared" si="2"/>
        <v>data:image/svg+xml,%3csvg xmlns='http://www.w3.org/2000/svg' viewBox='0 0 24 216'%3e%3ctext fill='%23fff' style='font: 900 16px sans-serif' text-anchor='end' transform='matrix(0 -1 1 0 18 5)'%3eDirty%3c/text%3e%3c/svg%3e</v>
      </c>
      <c r="F141" s="10" t="str">
        <f t="shared" si="3"/>
        <v>https://svgtext.heliohost.us/cgi-bin/gen.perl?text=Dirty</v>
      </c>
      <c r="G141" s="11" t="str">
        <f t="shared" si="4"/>
        <v>data:image/svg+xml,%3csvg xmlns='http://www.w3.org/2000/svg' viewBox='0 0 24 216'%3e%3ctext fill='%23fff' style='font: 900 16px sans-serif' text-anchor='end' transform='matrix(0 -1 1 0 18 5)'%3eDirty%3c/text%3e%3c/svg%3e</v>
      </c>
      <c r="H141" s="8" t="s">
        <v>84</v>
      </c>
      <c r="I141" s="8">
        <f t="shared" ref="I141:J141" si="142">len(B141)</f>
        <v>5</v>
      </c>
      <c r="J141" s="8">
        <f t="shared" si="142"/>
        <v>18</v>
      </c>
      <c r="K141" s="8" t="s">
        <v>411</v>
      </c>
    </row>
    <row r="142">
      <c r="A142" s="7" t="b">
        <v>0</v>
      </c>
      <c r="B142" s="8" t="s">
        <v>412</v>
      </c>
      <c r="C142" s="8" t="s">
        <v>413</v>
      </c>
      <c r="D142" s="8" t="str">
        <f>Q&amp;$K142&amp;Q&amp;":{"&amp;Q&amp;$B$2&amp;Q&amp;":"&amp;Q&amp;$B142&amp;Q&amp;","&amp;Q&amp;$C$2&amp;Q&amp;":"&amp;Q&amp;$C142&amp;Q&amp;","&amp;Q&amp;"sets"&amp;Q&amp;":"&amp;Q&amp;substitute(SUBSTITUTE($H142,"[",""),"]","")&amp;Q&amp;"},"</f>
        <v>"xhby":{"label":"Disgusting","extra":"(sickening, horrible) ","sets":"Junior 9+ (2nd)"},</v>
      </c>
      <c r="E142" s="9" t="str">
        <f t="shared" si="2"/>
        <v>data:image/svg+xml,%3csvg xmlns='http://www.w3.org/2000/svg' viewBox='0 0 24 216'%3e%3ctext fill='%23fff' style='font: 900 16px sans-serif' text-anchor='end' transform='matrix(0 -1 1 0 18 5)'%3eDisgusting%3c/text%3e%3c/svg%3e</v>
      </c>
      <c r="F142" s="10" t="str">
        <f t="shared" si="3"/>
        <v>https://svgtext.heliohost.us/cgi-bin/gen.perl?text=Disgusting</v>
      </c>
      <c r="G142" s="11" t="str">
        <f t="shared" si="4"/>
        <v>data:image/svg+xml,%3csvg xmlns='http://www.w3.org/2000/svg' viewBox='0 0 24 216'%3e%3ctext fill='%23fff' style='font: 900 16px sans-serif' text-anchor='end' transform='matrix(0 -1 1 0 18 5)'%3eDisgusting%3c/text%3e%3c/svg%3e</v>
      </c>
      <c r="H142" s="8" t="s">
        <v>32</v>
      </c>
      <c r="I142" s="8">
        <f t="shared" ref="I142:J142" si="143">len(B142)</f>
        <v>10</v>
      </c>
      <c r="J142" s="8">
        <f t="shared" si="143"/>
        <v>22</v>
      </c>
      <c r="K142" s="8" t="s">
        <v>414</v>
      </c>
    </row>
    <row r="143">
      <c r="A143" s="7" t="b">
        <v>0</v>
      </c>
      <c r="B143" s="8" t="s">
        <v>415</v>
      </c>
      <c r="C143" s="8" t="s">
        <v>416</v>
      </c>
      <c r="D143" s="8" t="str">
        <f>Q&amp;$K143&amp;Q&amp;":{"&amp;Q&amp;$B$2&amp;Q&amp;":"&amp;Q&amp;$B143&amp;Q&amp;","&amp;Q&amp;$C$2&amp;Q&amp;":"&amp;Q&amp;$C143&amp;Q&amp;","&amp;Q&amp;"sets"&amp;Q&amp;":"&amp;Q&amp;substitute(SUBSTITUTE($H143,"[",""),"]","")&amp;Q&amp;"},"</f>
        <v>"axea":{"label":"Distinguished","extra":"(dignified, extraordinary, acclaimed) ","sets":"Basic Set, Party Set"},</v>
      </c>
      <c r="E143" s="9" t="str">
        <f t="shared" si="2"/>
        <v>data:image/svg+xml,%3csvg xmlns='http://www.w3.org/2000/svg' viewBox='0 0 24 216'%3e%3ctext fill='%23fff' style='font: 900 16px sans-serif' text-anchor='end' transform='matrix(0 -1 1 0 18 5)'%3eDistinguished%3c/text%3e%3c/svg%3e</v>
      </c>
      <c r="F143" s="10" t="str">
        <f t="shared" si="3"/>
        <v>https://svgtext.heliohost.us/cgi-bin/gen.perl?text=Distinguished</v>
      </c>
      <c r="G143" s="11" t="str">
        <f t="shared" si="4"/>
        <v>data:image/svg+xml,%3csvg xmlns='http://www.w3.org/2000/svg' viewBox='0 0 24 216'%3e%3ctext fill='%23fff' style='font: 900 16px sans-serif' text-anchor='end' transform='matrix(0 -1 1 0 18 5)'%3eDistinguished%3c/text%3e%3c/svg%3e</v>
      </c>
      <c r="H143" s="8" t="s">
        <v>29</v>
      </c>
      <c r="I143" s="8">
        <f t="shared" ref="I143:J143" si="144">len(B143)</f>
        <v>13</v>
      </c>
      <c r="J143" s="8">
        <f t="shared" si="144"/>
        <v>38</v>
      </c>
      <c r="K143" s="8" t="s">
        <v>417</v>
      </c>
    </row>
    <row r="144">
      <c r="A144" s="7" t="b">
        <v>0</v>
      </c>
      <c r="B144" s="8" t="s">
        <v>418</v>
      </c>
      <c r="C144" s="8" t="s">
        <v>419</v>
      </c>
      <c r="D144" s="8" t="str">
        <f>Q&amp;$K144&amp;Q&amp;":{"&amp;Q&amp;$B$2&amp;Q&amp;":"&amp;Q&amp;$B144&amp;Q&amp;","&amp;Q&amp;$C$2&amp;Q&amp;":"&amp;Q&amp;$C144&amp;Q&amp;","&amp;Q&amp;"sets"&amp;Q&amp;":"&amp;Q&amp;substitute(SUBSTITUTE($H144,"[",""),"]","")&amp;Q&amp;"},"</f>
        <v>"svjq":{"label":"Disturbing","extra":"(unsettling, troubling, worrisome) ","sets":"Expansion Set 1, Party Set"},</v>
      </c>
      <c r="E144" s="9" t="str">
        <f t="shared" si="2"/>
        <v>data:image/svg+xml,%3csvg xmlns='http://www.w3.org/2000/svg' viewBox='0 0 24 216'%3e%3ctext fill='%23fff' style='font: 900 16px sans-serif' text-anchor='end' transform='matrix(0 -1 1 0 18 5)'%3eDisturbing%3c/text%3e%3c/svg%3e</v>
      </c>
      <c r="F144" s="10" t="str">
        <f t="shared" si="3"/>
        <v>https://svgtext.heliohost.us/cgi-bin/gen.perl?text=Disturbing</v>
      </c>
      <c r="G144" s="11" t="str">
        <f t="shared" si="4"/>
        <v>data:image/svg+xml,%3csvg xmlns='http://www.w3.org/2000/svg' viewBox='0 0 24 216'%3e%3ctext fill='%23fff' style='font: 900 16px sans-serif' text-anchor='end' transform='matrix(0 -1 1 0 18 5)'%3eDisturbing%3c/text%3e%3c/svg%3e</v>
      </c>
      <c r="H144" s="8" t="s">
        <v>25</v>
      </c>
      <c r="I144" s="8">
        <f t="shared" ref="I144:J144" si="145">len(B144)</f>
        <v>10</v>
      </c>
      <c r="J144" s="8">
        <f t="shared" si="145"/>
        <v>35</v>
      </c>
      <c r="K144" s="8" t="s">
        <v>420</v>
      </c>
    </row>
    <row r="145">
      <c r="A145" s="7" t="b">
        <v>0</v>
      </c>
      <c r="B145" s="8" t="s">
        <v>421</v>
      </c>
      <c r="C145" s="8" t="s">
        <v>422</v>
      </c>
      <c r="D145" s="8" t="str">
        <f>Q&amp;$K145&amp;Q&amp;":{"&amp;Q&amp;$B$2&amp;Q&amp;":"&amp;Q&amp;$B145&amp;Q&amp;","&amp;Q&amp;$C$2&amp;Q&amp;":"&amp;Q&amp;$C145&amp;Q&amp;","&amp;Q&amp;"sets"&amp;Q&amp;":"&amp;Q&amp;substitute(SUBSTITUTE($H145,"[",""),"]","")&amp;Q&amp;"},"</f>
        <v>"yeoq":{"label":"Down &amp; Dirty","extra":"(nasty, vicious, unscrupulous) ","sets":"Expansion Set 4, Party Expansion 1"},</v>
      </c>
      <c r="E145" s="9" t="str">
        <f t="shared" si="2"/>
        <v>data:image/svg+xml,%3csvg xmlns='http://www.w3.org/2000/svg' viewBox='0 0 24 216'%3e%3ctext fill='%23fff' style='font: 900 16px sans-serif' text-anchor='end' transform='matrix(0 -1 1 0 18 5)'%3eDown %26amp%3B Dirty%3c/text%3e%3c/svg%3e</v>
      </c>
      <c r="F145" s="10" t="str">
        <f t="shared" si="3"/>
        <v>https://svgtext.heliohost.us/cgi-bin/gen.perl?text=Down%20%26%20Dirty</v>
      </c>
      <c r="G145" s="11" t="str">
        <f t="shared" si="4"/>
        <v>data:image/svg+xml,%3csvg xmlns='http://www.w3.org/2000/svg' viewBox='0 0 24 216'%3e%3ctext fill='%23fff' style='font: 900 16px sans-serif' text-anchor='end' transform='matrix(0 -1 1 0 18 5)'%3eDown %26amp%3B Dirty%3c/text%3e%3c/svg%3e</v>
      </c>
      <c r="H145" s="8" t="s">
        <v>63</v>
      </c>
      <c r="I145" s="8">
        <f t="shared" ref="I145:J145" si="146">len(B145)</f>
        <v>12</v>
      </c>
      <c r="J145" s="8">
        <f t="shared" si="146"/>
        <v>31</v>
      </c>
      <c r="K145" s="8" t="s">
        <v>423</v>
      </c>
    </row>
    <row r="146">
      <c r="A146" s="7" t="b">
        <v>1</v>
      </c>
      <c r="B146" s="8" t="s">
        <v>424</v>
      </c>
      <c r="C146" s="8" t="s">
        <v>425</v>
      </c>
      <c r="D146" s="8" t="str">
        <f>Q&amp;$K146&amp;Q&amp;":{"&amp;Q&amp;$B$2&amp;Q&amp;":"&amp;Q&amp;$B146&amp;Q&amp;","&amp;Q&amp;$C$2&amp;Q&amp;":"&amp;Q&amp;$C146&amp;Q&amp;","&amp;Q&amp;"sets"&amp;Q&amp;":"&amp;Q&amp;substitute(SUBSTITUTE($H146,"[",""),"]","")&amp;Q&amp;"},"</f>
        <v>"oaow":{"label":"Down &amp; Out","extra":"(destitute, impoverished, penniless) ","sets":"Expansion Set 4, Party Expansion 1"},</v>
      </c>
      <c r="E146" s="9" t="str">
        <f t="shared" si="2"/>
        <v>data:image/svg+xml,%3csvg xmlns='http://www.w3.org/2000/svg' viewBox='0 0 24 216'%3e%3ctext fill='%23fff' style='font: 900 16px sans-serif' text-anchor='end' transform='matrix(0 -1 1 0 18 5)'%3eDown %26amp%3B Out%3c/text%3e%3c/svg%3e</v>
      </c>
      <c r="F146" s="10" t="str">
        <f t="shared" si="3"/>
        <v>https://svgtext.heliohost.us/cgi-bin/gen.perl?text=Down%20%26%20Out</v>
      </c>
      <c r="G146" s="11" t="str">
        <f t="shared" si="4"/>
        <v>data:image/svg+xml,%3csvg xmlns='http://www.w3.org/2000/svg' viewBox='0 0 24 216'%3e%3ctext fill='%23fff' style='font: 900 16px sans-serif' text-anchor='end' transform='matrix(0 -1 1 0 18 5)'%3eDown %26amp%3B Out%3c/text%3e%3c/svg%3e</v>
      </c>
      <c r="H146" s="8" t="s">
        <v>63</v>
      </c>
      <c r="I146" s="8">
        <f t="shared" ref="I146:J146" si="147">len(B146)</f>
        <v>10</v>
      </c>
      <c r="J146" s="8">
        <f t="shared" si="147"/>
        <v>37</v>
      </c>
      <c r="K146" s="8" t="s">
        <v>426</v>
      </c>
    </row>
    <row r="147">
      <c r="A147" s="7" t="b">
        <v>0</v>
      </c>
      <c r="B147" s="8" t="s">
        <v>427</v>
      </c>
      <c r="C147" s="8" t="s">
        <v>428</v>
      </c>
      <c r="D147" s="8" t="str">
        <f>Q&amp;$K147&amp;Q&amp;":{"&amp;Q&amp;$B$2&amp;Q&amp;":"&amp;Q&amp;$B147&amp;Q&amp;","&amp;Q&amp;$C$2&amp;Q&amp;":"&amp;Q&amp;$C147&amp;Q&amp;","&amp;Q&amp;"sets"&amp;Q&amp;":"&amp;Q&amp;substitute(SUBSTITUTE($H147,"[",""),"]","")&amp;Q&amp;"},"</f>
        <v>"rcue":{"label":"Dramatic","extra":"(exciting, sensational, theatrical) ","sets":"Basic Set, Party Set"},</v>
      </c>
      <c r="E147" s="9" t="str">
        <f t="shared" si="2"/>
        <v>data:image/svg+xml,%3csvg xmlns='http://www.w3.org/2000/svg' viewBox='0 0 24 216'%3e%3ctext fill='%23fff' style='font: 900 16px sans-serif' text-anchor='end' transform='matrix(0 -1 1 0 18 5)'%3eDramatic%3c/text%3e%3c/svg%3e</v>
      </c>
      <c r="F147" s="10" t="str">
        <f t="shared" si="3"/>
        <v>https://svgtext.heliohost.us/cgi-bin/gen.perl?text=Dramatic</v>
      </c>
      <c r="G147" s="11" t="str">
        <f t="shared" si="4"/>
        <v>data:image/svg+xml,%3csvg xmlns='http://www.w3.org/2000/svg' viewBox='0 0 24 216'%3e%3ctext fill='%23fff' style='font: 900 16px sans-serif' text-anchor='end' transform='matrix(0 -1 1 0 18 5)'%3eDramatic%3c/text%3e%3c/svg%3e</v>
      </c>
      <c r="H147" s="8" t="s">
        <v>29</v>
      </c>
      <c r="I147" s="8">
        <f t="shared" ref="I147:J147" si="148">len(B147)</f>
        <v>8</v>
      </c>
      <c r="J147" s="8">
        <f t="shared" si="148"/>
        <v>36</v>
      </c>
      <c r="K147" s="8" t="s">
        <v>429</v>
      </c>
    </row>
    <row r="148">
      <c r="A148" s="7" t="b">
        <v>0</v>
      </c>
      <c r="B148" s="8" t="s">
        <v>430</v>
      </c>
      <c r="C148" s="8" t="s">
        <v>431</v>
      </c>
      <c r="D148" s="8" t="str">
        <f>Q&amp;$K148&amp;Q&amp;":{"&amp;Q&amp;$B$2&amp;Q&amp;":"&amp;Q&amp;$B148&amp;Q&amp;","&amp;Q&amp;$C$2&amp;Q&amp;":"&amp;Q&amp;$C148&amp;Q&amp;","&amp;Q&amp;"sets"&amp;Q&amp;":"&amp;Q&amp;substitute(SUBSTITUTE($H148,"[",""),"]","")&amp;Q&amp;"},"</f>
        <v>"eixy":{"label":"Dreamy","extra":"(fanciful, whimsical, heavenly) ","sets":"Expansion Set 1, Party Set"},</v>
      </c>
      <c r="E148" s="9" t="str">
        <f t="shared" si="2"/>
        <v>data:image/svg+xml,%3csvg xmlns='http://www.w3.org/2000/svg' viewBox='0 0 24 216'%3e%3ctext fill='%23fff' style='font: 900 16px sans-serif' text-anchor='end' transform='matrix(0 -1 1 0 18 5)'%3eDreamy%3c/text%3e%3c/svg%3e</v>
      </c>
      <c r="F148" s="10" t="str">
        <f t="shared" si="3"/>
        <v>https://svgtext.heliohost.us/cgi-bin/gen.perl?text=Dreamy</v>
      </c>
      <c r="G148" s="11" t="str">
        <f t="shared" si="4"/>
        <v>data:image/svg+xml,%3csvg xmlns='http://www.w3.org/2000/svg' viewBox='0 0 24 216'%3e%3ctext fill='%23fff' style='font: 900 16px sans-serif' text-anchor='end' transform='matrix(0 -1 1 0 18 5)'%3eDreamy%3c/text%3e%3c/svg%3e</v>
      </c>
      <c r="H148" s="8" t="s">
        <v>25</v>
      </c>
      <c r="I148" s="8">
        <f t="shared" ref="I148:J148" si="149">len(B148)</f>
        <v>6</v>
      </c>
      <c r="J148" s="8">
        <f t="shared" si="149"/>
        <v>32</v>
      </c>
      <c r="K148" s="8" t="s">
        <v>432</v>
      </c>
    </row>
    <row r="149">
      <c r="A149" s="7" t="b">
        <v>0</v>
      </c>
      <c r="B149" s="8" t="s">
        <v>433</v>
      </c>
      <c r="C149" s="8" t="s">
        <v>434</v>
      </c>
      <c r="D149" s="8" t="str">
        <f>Q&amp;$K149&amp;Q&amp;":{"&amp;Q&amp;$B$2&amp;Q&amp;":"&amp;Q&amp;$B149&amp;Q&amp;","&amp;Q&amp;$C$2&amp;Q&amp;":"&amp;Q&amp;$C149&amp;Q&amp;","&amp;Q&amp;"sets"&amp;Q&amp;":"&amp;Q&amp;substitute(SUBSTITUTE($H149,"[",""),"]","")&amp;Q&amp;"},"</f>
        <v>"care":{"label":"Drunk &amp; Disorderly","extra":"(intoxicated, unruly, rowdy) ","sets":"Expansion Set 4, Party Expansion 1"},</v>
      </c>
      <c r="E149" s="9" t="str">
        <f t="shared" si="2"/>
        <v>data:image/svg+xml,%3csvg xmlns='http://www.w3.org/2000/svg' viewBox='0 0 24 216'%3e%3ctext fill='%23fff' style='font: 900 16px sans-serif' text-anchor='end' transform='matrix(0 -1 1 0 18 5)'%3eDrunk %26amp%3B Disorderly%3c/text%3e%3c/svg%3e</v>
      </c>
      <c r="F149" s="10" t="str">
        <f t="shared" si="3"/>
        <v>https://svgtext.heliohost.us/cgi-bin/gen.perl?text=Drunk%20%26%20Disorderly</v>
      </c>
      <c r="G149" s="11" t="str">
        <f t="shared" si="4"/>
        <v>data:image/svg+xml,%3csvg xmlns='http://www.w3.org/2000/svg' viewBox='0 0 24 216'%3e%3ctext fill='%23fff' style='font: 900 16px sans-serif' text-anchor='end' transform='matrix(0 -1 1 0 18 5)'%3eDrunk %26amp%3B Disorderly%3c/text%3e%3c/svg%3e</v>
      </c>
      <c r="H149" s="8" t="s">
        <v>63</v>
      </c>
      <c r="I149" s="8">
        <f t="shared" ref="I149:J149" si="150">len(B149)</f>
        <v>18</v>
      </c>
      <c r="J149" s="8">
        <f t="shared" si="150"/>
        <v>29</v>
      </c>
      <c r="K149" s="8" t="s">
        <v>435</v>
      </c>
    </row>
    <row r="150">
      <c r="A150" s="7" t="b">
        <v>0</v>
      </c>
      <c r="B150" s="8" t="s">
        <v>436</v>
      </c>
      <c r="C150" s="7" t="s">
        <v>437</v>
      </c>
      <c r="D150" s="8" t="str">
        <f>Q&amp;$K150&amp;Q&amp;":{"&amp;Q&amp;$B$2&amp;Q&amp;":"&amp;Q&amp;$B150&amp;Q&amp;","&amp;Q&amp;$C$2&amp;Q&amp;":"&amp;Q&amp;$C150&amp;Q&amp;","&amp;Q&amp;"sets"&amp;Q&amp;":"&amp;Q&amp;substitute(SUBSTITUTE($H150,"[",""),"]","")&amp;Q&amp;"},"</f>
        <v>"insn":{"label":"Dull","extra":"(boring, stupid, blunt)","sets":"Party Set"},</v>
      </c>
      <c r="E150" s="9" t="str">
        <f t="shared" si="2"/>
        <v>data:image/svg+xml,%3csvg xmlns='http://www.w3.org/2000/svg' viewBox='0 0 24 216'%3e%3ctext fill='%23fff' style='font: 900 16px sans-serif' text-anchor='end' transform='matrix(0 -1 1 0 18 5)'%3eDull%3c/text%3e%3c/svg%3e</v>
      </c>
      <c r="F150" s="10" t="str">
        <f t="shared" si="3"/>
        <v>https://svgtext.heliohost.us/cgi-bin/gen.perl?text=Dull</v>
      </c>
      <c r="G150" s="11" t="str">
        <f t="shared" si="4"/>
        <v>data:image/svg+xml,%3csvg xmlns='http://www.w3.org/2000/svg' viewBox='0 0 24 216'%3e%3ctext fill='%23fff' style='font: 900 16px sans-serif' text-anchor='end' transform='matrix(0 -1 1 0 18 5)'%3eDull%3c/text%3e%3c/svg%3e</v>
      </c>
      <c r="H150" s="12" t="s">
        <v>268</v>
      </c>
      <c r="I150" s="8">
        <f t="shared" ref="I150:J150" si="151">len(B150)</f>
        <v>4</v>
      </c>
      <c r="J150" s="8">
        <f t="shared" si="151"/>
        <v>23</v>
      </c>
      <c r="K150" s="8" t="s">
        <v>438</v>
      </c>
    </row>
    <row r="151">
      <c r="A151" s="7" t="b">
        <v>0</v>
      </c>
      <c r="B151" s="8" t="s">
        <v>436</v>
      </c>
      <c r="C151" s="8" t="s">
        <v>439</v>
      </c>
      <c r="D151" s="8" t="str">
        <f>Q&amp;$K151&amp;Q&amp;":{"&amp;Q&amp;$B$2&amp;Q&amp;":"&amp;Q&amp;$B151&amp;Q&amp;","&amp;Q&amp;$C$2&amp;Q&amp;":"&amp;Q&amp;$C151&amp;Q&amp;","&amp;Q&amp;"sets"&amp;Q&amp;":"&amp;Q&amp;substitute(SUBSTITUTE($H151,"[",""),"]","")&amp;Q&amp;"},"</f>
        <v>"dunv":{"label":"Dull","extra":"(not sharp, plain) ","sets":"Junior 9+ (1st) &amp; (2nd)"},</v>
      </c>
      <c r="E151" s="9" t="str">
        <f t="shared" si="2"/>
        <v>data:image/svg+xml,%3csvg xmlns='http://www.w3.org/2000/svg' viewBox='0 0 24 216'%3e%3ctext fill='%23fff' style='font: 900 16px sans-serif' text-anchor='end' transform='matrix(0 -1 1 0 18 5)'%3eDull%3c/text%3e%3c/svg%3e</v>
      </c>
      <c r="F151" s="10" t="str">
        <f t="shared" si="3"/>
        <v>https://svgtext.heliohost.us/cgi-bin/gen.perl?text=Dull</v>
      </c>
      <c r="G151" s="11" t="str">
        <f t="shared" si="4"/>
        <v>data:image/svg+xml,%3csvg xmlns='http://www.w3.org/2000/svg' viewBox='0 0 24 216'%3e%3ctext fill='%23fff' style='font: 900 16px sans-serif' text-anchor='end' transform='matrix(0 -1 1 0 18 5)'%3eDull%3c/text%3e%3c/svg%3e</v>
      </c>
      <c r="H151" s="8" t="s">
        <v>42</v>
      </c>
      <c r="I151" s="8">
        <f t="shared" ref="I151:J151" si="152">len(B151)</f>
        <v>4</v>
      </c>
      <c r="J151" s="8">
        <f t="shared" si="152"/>
        <v>19</v>
      </c>
      <c r="K151" s="8" t="s">
        <v>440</v>
      </c>
    </row>
    <row r="152">
      <c r="A152" s="7" t="b">
        <v>0</v>
      </c>
      <c r="B152" s="8" t="s">
        <v>441</v>
      </c>
      <c r="C152" s="8" t="s">
        <v>442</v>
      </c>
      <c r="D152" s="8" t="str">
        <f>Q&amp;$K152&amp;Q&amp;":{"&amp;Q&amp;$B$2&amp;Q&amp;":"&amp;Q&amp;$B152&amp;Q&amp;","&amp;Q&amp;$C$2&amp;Q&amp;":"&amp;Q&amp;$C152&amp;Q&amp;","&amp;Q&amp;"sets"&amp;Q&amp;":"&amp;Q&amp;substitute(SUBSTITUTE($H152,"[",""),"]","")&amp;Q&amp;"},"</f>
        <v>"okfq":{"label":"Dumb","extra":"(silent, not smart) ","sets":"Junior 9+ (2nd)"},</v>
      </c>
      <c r="E152" s="9" t="str">
        <f t="shared" si="2"/>
        <v>data:image/svg+xml,%3csvg xmlns='http://www.w3.org/2000/svg' viewBox='0 0 24 216'%3e%3ctext fill='%23fff' style='font: 900 16px sans-serif' text-anchor='end' transform='matrix(0 -1 1 0 18 5)'%3eDumb%3c/text%3e%3c/svg%3e</v>
      </c>
      <c r="F152" s="10" t="str">
        <f t="shared" si="3"/>
        <v>https://svgtext.heliohost.us/cgi-bin/gen.perl?text=Dumb</v>
      </c>
      <c r="G152" s="11" t="str">
        <f t="shared" si="4"/>
        <v>data:image/svg+xml,%3csvg xmlns='http://www.w3.org/2000/svg' viewBox='0 0 24 216'%3e%3ctext fill='%23fff' style='font: 900 16px sans-serif' text-anchor='end' transform='matrix(0 -1 1 0 18 5)'%3eDumb%3c/text%3e%3c/svg%3e</v>
      </c>
      <c r="H152" s="8" t="s">
        <v>32</v>
      </c>
      <c r="I152" s="8">
        <f t="shared" ref="I152:J152" si="153">len(B152)</f>
        <v>4</v>
      </c>
      <c r="J152" s="8">
        <f t="shared" si="153"/>
        <v>20</v>
      </c>
      <c r="K152" s="8" t="s">
        <v>443</v>
      </c>
    </row>
    <row r="153">
      <c r="A153" s="7" t="b">
        <v>0</v>
      </c>
      <c r="B153" s="8" t="s">
        <v>444</v>
      </c>
      <c r="C153" s="8" t="s">
        <v>445</v>
      </c>
      <c r="D153" s="8" t="str">
        <f>Q&amp;$K153&amp;Q&amp;":{"&amp;Q&amp;$B$2&amp;Q&amp;":"&amp;Q&amp;$B153&amp;Q&amp;","&amp;Q&amp;$C$2&amp;Q&amp;":"&amp;Q&amp;$C153&amp;Q&amp;","&amp;Q&amp;"sets"&amp;Q&amp;":"&amp;Q&amp;substitute(SUBSTITUTE($H153,"[",""),"]","")&amp;Q&amp;"},"</f>
        <v>"obzh":{"label":"Dumb &amp; Dumber","extra":"(stupid, dull, rediculous) ","sets":"Expansion Set 4, Party Expansion 1"},</v>
      </c>
      <c r="E153" s="9" t="str">
        <f t="shared" si="2"/>
        <v>data:image/svg+xml,%3csvg xmlns='http://www.w3.org/2000/svg' viewBox='0 0 24 216'%3e%3ctext fill='%23fff' style='font: 900 16px sans-serif' text-anchor='end' transform='matrix(0 -1 1 0 18 5)'%3eDumb %26amp%3B Dumber%3c/text%3e%3c/svg%3e</v>
      </c>
      <c r="F153" s="10" t="str">
        <f t="shared" si="3"/>
        <v>https://svgtext.heliohost.us/cgi-bin/gen.perl?text=Dumb%20%26%20Dumber</v>
      </c>
      <c r="G153" s="11" t="str">
        <f t="shared" si="4"/>
        <v>data:image/svg+xml,%3csvg xmlns='http://www.w3.org/2000/svg' viewBox='0 0 24 216'%3e%3ctext fill='%23fff' style='font: 900 16px sans-serif' text-anchor='end' transform='matrix(0 -1 1 0 18 5)'%3eDumb %26amp%3B Dumber%3c/text%3e%3c/svg%3e</v>
      </c>
      <c r="H153" s="8" t="s">
        <v>63</v>
      </c>
      <c r="I153" s="8">
        <f t="shared" ref="I153:J153" si="154">len(B153)</f>
        <v>13</v>
      </c>
      <c r="J153" s="8">
        <f t="shared" si="154"/>
        <v>27</v>
      </c>
      <c r="K153" s="8" t="s">
        <v>446</v>
      </c>
    </row>
    <row r="154">
      <c r="A154" s="7" t="b">
        <v>0</v>
      </c>
      <c r="B154" s="8" t="s">
        <v>447</v>
      </c>
      <c r="C154" s="8" t="s">
        <v>448</v>
      </c>
      <c r="D154" s="8" t="str">
        <f>Q&amp;$K154&amp;Q&amp;":{"&amp;Q&amp;$B$2&amp;Q&amp;":"&amp;Q&amp;$B154&amp;Q&amp;","&amp;Q&amp;$C$2&amp;Q&amp;":"&amp;Q&amp;$C154&amp;Q&amp;","&amp;Q&amp;"sets"&amp;Q&amp;":"&amp;Q&amp;substitute(SUBSTITUTE($H154,"[",""),"]","")&amp;Q&amp;"},"</f>
        <v>"jthr":{"label":"Dysfunctional","extra":"(impaired, damaged, maladjusted) ","sets":"Expansion Set 2, Party Set"},</v>
      </c>
      <c r="E154" s="9" t="str">
        <f t="shared" si="2"/>
        <v>data:image/svg+xml,%3csvg xmlns='http://www.w3.org/2000/svg' viewBox='0 0 24 216'%3e%3ctext fill='%23fff' style='font: 900 16px sans-serif' text-anchor='end' transform='matrix(0 -1 1 0 18 5)'%3eDysfunctional%3c/text%3e%3c/svg%3e</v>
      </c>
      <c r="F154" s="10" t="str">
        <f t="shared" si="3"/>
        <v>https://svgtext.heliohost.us/cgi-bin/gen.perl?text=Dysfunctional</v>
      </c>
      <c r="G154" s="11" t="str">
        <f t="shared" si="4"/>
        <v>data:image/svg+xml,%3csvg xmlns='http://www.w3.org/2000/svg' viewBox='0 0 24 216'%3e%3ctext fill='%23fff' style='font: 900 16px sans-serif' text-anchor='end' transform='matrix(0 -1 1 0 18 5)'%3eDysfunctional%3c/text%3e%3c/svg%3e</v>
      </c>
      <c r="H154" s="8" t="s">
        <v>17</v>
      </c>
      <c r="I154" s="8">
        <f t="shared" ref="I154:J154" si="155">len(B154)</f>
        <v>13</v>
      </c>
      <c r="J154" s="8">
        <f t="shared" si="155"/>
        <v>33</v>
      </c>
      <c r="K154" s="8" t="s">
        <v>449</v>
      </c>
    </row>
    <row r="155">
      <c r="A155" s="7" t="b">
        <v>0</v>
      </c>
      <c r="B155" s="8" t="s">
        <v>450</v>
      </c>
      <c r="C155" s="8" t="s">
        <v>451</v>
      </c>
      <c r="D155" s="8" t="str">
        <f>Q&amp;$K155&amp;Q&amp;":{"&amp;Q&amp;$B$2&amp;Q&amp;":"&amp;Q&amp;$B155&amp;Q&amp;","&amp;Q&amp;$C$2&amp;Q&amp;":"&amp;Q&amp;$C155&amp;Q&amp;","&amp;Q&amp;"sets"&amp;Q&amp;":"&amp;Q&amp;substitute(SUBSTITUTE($H155,"[",""),"]","")&amp;Q&amp;"},"</f>
        <v>"vmfp":{"label":"Earthy","extra":"(unrefined, natural, crude) ","sets":"Basic Set, Party Set"},</v>
      </c>
      <c r="E155" s="9" t="str">
        <f t="shared" si="2"/>
        <v>data:image/svg+xml,%3csvg xmlns='http://www.w3.org/2000/svg' viewBox='0 0 24 216'%3e%3ctext fill='%23fff' style='font: 900 16px sans-serif' text-anchor='end' transform='matrix(0 -1 1 0 18 5)'%3eEarthy%3c/text%3e%3c/svg%3e</v>
      </c>
      <c r="F155" s="10" t="str">
        <f t="shared" si="3"/>
        <v>https://svgtext.heliohost.us/cgi-bin/gen.perl?text=Earthy</v>
      </c>
      <c r="G155" s="11" t="str">
        <f t="shared" si="4"/>
        <v>data:image/svg+xml,%3csvg xmlns='http://www.w3.org/2000/svg' viewBox='0 0 24 216'%3e%3ctext fill='%23fff' style='font: 900 16px sans-serif' text-anchor='end' transform='matrix(0 -1 1 0 18 5)'%3eEarthy%3c/text%3e%3c/svg%3e</v>
      </c>
      <c r="H155" s="8" t="s">
        <v>29</v>
      </c>
      <c r="I155" s="8">
        <f t="shared" ref="I155:J155" si="156">len(B155)</f>
        <v>6</v>
      </c>
      <c r="J155" s="8">
        <f t="shared" si="156"/>
        <v>28</v>
      </c>
      <c r="K155" s="8" t="s">
        <v>452</v>
      </c>
    </row>
    <row r="156">
      <c r="A156" s="7" t="b">
        <v>1</v>
      </c>
      <c r="B156" s="8" t="s">
        <v>453</v>
      </c>
      <c r="C156" s="8" t="s">
        <v>454</v>
      </c>
      <c r="D156" s="8" t="str">
        <f>Q&amp;$K156&amp;Q&amp;":{"&amp;Q&amp;$B$2&amp;Q&amp;":"&amp;Q&amp;$B156&amp;Q&amp;","&amp;Q&amp;$C$2&amp;Q&amp;":"&amp;Q&amp;$C156&amp;Q&amp;","&amp;Q&amp;"sets"&amp;Q&amp;":"&amp;Q&amp;substitute(SUBSTITUTE($H156,"[",""),"]","")&amp;Q&amp;"},"</f>
        <v>"bhek":{"label":"Easy","extra":"(effortless, gentle, promiscuous) ","sets":"Basic Set, Party Set"},</v>
      </c>
      <c r="E156" s="9" t="str">
        <f t="shared" si="2"/>
        <v>data:image/svg+xml,%3csvg xmlns='http://www.w3.org/2000/svg' viewBox='0 0 24 216'%3e%3ctext fill='%23fff' style='font: 900 16px sans-serif' text-anchor='end' transform='matrix(0 -1 1 0 18 5)'%3eEasy%3c/text%3e%3c/svg%3e</v>
      </c>
      <c r="F156" s="10" t="str">
        <f t="shared" si="3"/>
        <v>https://svgtext.heliohost.us/cgi-bin/gen.perl?text=Easy</v>
      </c>
      <c r="G156" s="11" t="str">
        <f t="shared" si="4"/>
        <v>data:image/svg+xml,%3csvg xmlns='http://www.w3.org/2000/svg' viewBox='0 0 24 216'%3e%3ctext fill='%23fff' style='font: 900 16px sans-serif' text-anchor='end' transform='matrix(0 -1 1 0 18 5)'%3eEasy%3c/text%3e%3c/svg%3e</v>
      </c>
      <c r="H156" s="8" t="s">
        <v>29</v>
      </c>
      <c r="I156" s="8">
        <f t="shared" ref="I156:J156" si="157">len(B156)</f>
        <v>4</v>
      </c>
      <c r="J156" s="8">
        <f t="shared" si="157"/>
        <v>34</v>
      </c>
      <c r="K156" s="8" t="s">
        <v>455</v>
      </c>
    </row>
    <row r="157">
      <c r="A157" s="7" t="b">
        <v>0</v>
      </c>
      <c r="B157" s="8" t="s">
        <v>453</v>
      </c>
      <c r="C157" s="8" t="s">
        <v>456</v>
      </c>
      <c r="D157" s="8" t="str">
        <f>Q&amp;$K157&amp;Q&amp;":{"&amp;Q&amp;$B$2&amp;Q&amp;":"&amp;Q&amp;$B157&amp;Q&amp;","&amp;Q&amp;$C$2&amp;Q&amp;":"&amp;Q&amp;$C157&amp;Q&amp;","&amp;Q&amp;"sets"&amp;Q&amp;":"&amp;Q&amp;substitute(SUBSTITUTE($H157,"[",""),"]","")&amp;Q&amp;"},"</f>
        <v>"gvwn":{"label":"Easy","extra":"(simple, not hard) ","sets":"Junior 9+ (1st) &amp; (2nd)"},</v>
      </c>
      <c r="E157" s="9" t="str">
        <f t="shared" si="2"/>
        <v>data:image/svg+xml,%3csvg xmlns='http://www.w3.org/2000/svg' viewBox='0 0 24 216'%3e%3ctext fill='%23fff' style='font: 900 16px sans-serif' text-anchor='end' transform='matrix(0 -1 1 0 18 5)'%3eEasy%3c/text%3e%3c/svg%3e</v>
      </c>
      <c r="F157" s="10" t="str">
        <f t="shared" si="3"/>
        <v>https://svgtext.heliohost.us/cgi-bin/gen.perl?text=Easy</v>
      </c>
      <c r="G157" s="11" t="str">
        <f t="shared" si="4"/>
        <v>data:image/svg+xml,%3csvg xmlns='http://www.w3.org/2000/svg' viewBox='0 0 24 216'%3e%3ctext fill='%23fff' style='font: 900 16px sans-serif' text-anchor='end' transform='matrix(0 -1 1 0 18 5)'%3eEasy%3c/text%3e%3c/svg%3e</v>
      </c>
      <c r="H157" s="8" t="s">
        <v>42</v>
      </c>
      <c r="I157" s="8">
        <f t="shared" ref="I157:J157" si="158">len(B157)</f>
        <v>4</v>
      </c>
      <c r="J157" s="8">
        <f t="shared" si="158"/>
        <v>19</v>
      </c>
      <c r="K157" s="8" t="s">
        <v>457</v>
      </c>
    </row>
    <row r="158">
      <c r="A158" s="7" t="b">
        <v>0</v>
      </c>
      <c r="B158" s="8" t="s">
        <v>458</v>
      </c>
      <c r="C158" s="8" t="s">
        <v>459</v>
      </c>
      <c r="D158" s="8" t="str">
        <f>Q&amp;$K158&amp;Q&amp;":{"&amp;Q&amp;$B$2&amp;Q&amp;":"&amp;Q&amp;$B158&amp;Q&amp;","&amp;Q&amp;$C$2&amp;Q&amp;":"&amp;Q&amp;$C158&amp;Q&amp;","&amp;Q&amp;"sets"&amp;Q&amp;":"&amp;Q&amp;substitute(SUBSTITUTE($H158,"[",""),"]","")&amp;Q&amp;"},"</f>
        <v>"rvug":{"label":"Eccentric","extra":"(peculiar, odd, bizarre) ","sets":"Expansion Set 2, Party Set"},</v>
      </c>
      <c r="E158" s="9" t="str">
        <f t="shared" si="2"/>
        <v>data:image/svg+xml,%3csvg xmlns='http://www.w3.org/2000/svg' viewBox='0 0 24 216'%3e%3ctext fill='%23fff' style='font: 900 16px sans-serif' text-anchor='end' transform='matrix(0 -1 1 0 18 5)'%3eEccentric%3c/text%3e%3c/svg%3e</v>
      </c>
      <c r="F158" s="10" t="str">
        <f t="shared" si="3"/>
        <v>https://svgtext.heliohost.us/cgi-bin/gen.perl?text=Eccentric</v>
      </c>
      <c r="G158" s="11" t="str">
        <f t="shared" si="4"/>
        <v>data:image/svg+xml,%3csvg xmlns='http://www.w3.org/2000/svg' viewBox='0 0 24 216'%3e%3ctext fill='%23fff' style='font: 900 16px sans-serif' text-anchor='end' transform='matrix(0 -1 1 0 18 5)'%3eEccentric%3c/text%3e%3c/svg%3e</v>
      </c>
      <c r="H158" s="8" t="s">
        <v>17</v>
      </c>
      <c r="I158" s="8">
        <f t="shared" ref="I158:J158" si="159">len(B158)</f>
        <v>9</v>
      </c>
      <c r="J158" s="8">
        <f t="shared" si="159"/>
        <v>25</v>
      </c>
      <c r="K158" s="8" t="s">
        <v>460</v>
      </c>
    </row>
    <row r="159">
      <c r="A159" s="7" t="b">
        <v>1</v>
      </c>
      <c r="B159" s="8" t="s">
        <v>461</v>
      </c>
      <c r="C159" s="8" t="s">
        <v>462</v>
      </c>
      <c r="D159" s="8" t="str">
        <f>Q&amp;$K159&amp;Q&amp;":{"&amp;Q&amp;$B$2&amp;Q&amp;":"&amp;Q&amp;$B159&amp;Q&amp;","&amp;Q&amp;$C$2&amp;Q&amp;":"&amp;Q&amp;$C159&amp;Q&amp;","&amp;Q&amp;"sets"&amp;Q&amp;":"&amp;Q&amp;substitute(SUBSTITUTE($H159,"[",""),"]","")&amp;Q&amp;"},"</f>
        <v>"kvtt":{"label":"Edgy","extra":"(irritable, nervous, tense) ","sets":"Expansion Set 3, Party Expansion 1"},</v>
      </c>
      <c r="E159" s="9" t="str">
        <f t="shared" si="2"/>
        <v>data:image/svg+xml,%3csvg xmlns='http://www.w3.org/2000/svg' viewBox='0 0 24 216'%3e%3ctext fill='%23fff' style='font: 900 16px sans-serif' text-anchor='end' transform='matrix(0 -1 1 0 18 5)'%3eEdgy%3c/text%3e%3c/svg%3e</v>
      </c>
      <c r="F159" s="10" t="str">
        <f t="shared" si="3"/>
        <v>https://svgtext.heliohost.us/cgi-bin/gen.perl?text=Edgy</v>
      </c>
      <c r="G159" s="11" t="str">
        <f t="shared" si="4"/>
        <v>data:image/svg+xml,%3csvg xmlns='http://www.w3.org/2000/svg' viewBox='0 0 24 216'%3e%3ctext fill='%23fff' style='font: 900 16px sans-serif' text-anchor='end' transform='matrix(0 -1 1 0 18 5)'%3eEdgy%3c/text%3e%3c/svg%3e</v>
      </c>
      <c r="H159" s="8" t="s">
        <v>39</v>
      </c>
      <c r="I159" s="8">
        <f t="shared" ref="I159:J159" si="160">len(B159)</f>
        <v>4</v>
      </c>
      <c r="J159" s="8">
        <f t="shared" si="160"/>
        <v>28</v>
      </c>
      <c r="K159" s="8" t="s">
        <v>463</v>
      </c>
    </row>
    <row r="160">
      <c r="A160" s="7" t="b">
        <v>0</v>
      </c>
      <c r="B160" s="8" t="s">
        <v>464</v>
      </c>
      <c r="C160" s="8" t="s">
        <v>465</v>
      </c>
      <c r="D160" s="8" t="str">
        <f>Q&amp;$K160&amp;Q&amp;":{"&amp;Q&amp;$B$2&amp;Q&amp;":"&amp;Q&amp;$B160&amp;Q&amp;","&amp;Q&amp;$C$2&amp;Q&amp;":"&amp;Q&amp;$C160&amp;Q&amp;","&amp;Q&amp;"sets"&amp;Q&amp;":"&amp;Q&amp;substitute(SUBSTITUTE($H160,"[",""),"]","")&amp;Q&amp;"},"</f>
        <v>"oqxn":{"label":"Elderly","extra":"(old, aged) ","sets":"Junior 9+ (2nd)"},</v>
      </c>
      <c r="E160" s="9" t="str">
        <f t="shared" si="2"/>
        <v>data:image/svg+xml,%3csvg xmlns='http://www.w3.org/2000/svg' viewBox='0 0 24 216'%3e%3ctext fill='%23fff' style='font: 900 16px sans-serif' text-anchor='end' transform='matrix(0 -1 1 0 18 5)'%3eElderly%3c/text%3e%3c/svg%3e</v>
      </c>
      <c r="F160" s="10" t="str">
        <f t="shared" si="3"/>
        <v>https://svgtext.heliohost.us/cgi-bin/gen.perl?text=Elderly</v>
      </c>
      <c r="G160" s="11" t="str">
        <f t="shared" si="4"/>
        <v>data:image/svg+xml,%3csvg xmlns='http://www.w3.org/2000/svg' viewBox='0 0 24 216'%3e%3ctext fill='%23fff' style='font: 900 16px sans-serif' text-anchor='end' transform='matrix(0 -1 1 0 18 5)'%3eElderly%3c/text%3e%3c/svg%3e</v>
      </c>
      <c r="H160" s="8" t="s">
        <v>32</v>
      </c>
      <c r="I160" s="8">
        <f t="shared" ref="I160:J160" si="161">len(B160)</f>
        <v>7</v>
      </c>
      <c r="J160" s="8">
        <f t="shared" si="161"/>
        <v>12</v>
      </c>
      <c r="K160" s="8" t="s">
        <v>466</v>
      </c>
    </row>
    <row r="161">
      <c r="A161" s="7" t="b">
        <v>0</v>
      </c>
      <c r="B161" s="8" t="s">
        <v>467</v>
      </c>
      <c r="C161" s="8" t="s">
        <v>468</v>
      </c>
      <c r="D161" s="8" t="str">
        <f>Q&amp;$K161&amp;Q&amp;":{"&amp;Q&amp;$B$2&amp;Q&amp;":"&amp;Q&amp;$B161&amp;Q&amp;","&amp;Q&amp;$C$2&amp;Q&amp;":"&amp;Q&amp;$C161&amp;Q&amp;","&amp;Q&amp;"sets"&amp;Q&amp;":"&amp;Q&amp;substitute(SUBSTITUTE($H161,"[",""),"]","")&amp;Q&amp;"},"</f>
        <v>"tyfy":{"label":"Elitist","extra":"(snobbish, arrogant, smug) ","sets":"Expansion Set 2, Party Set"},</v>
      </c>
      <c r="E161" s="9" t="str">
        <f t="shared" si="2"/>
        <v>data:image/svg+xml,%3csvg xmlns='http://www.w3.org/2000/svg' viewBox='0 0 24 216'%3e%3ctext fill='%23fff' style='font: 900 16px sans-serif' text-anchor='end' transform='matrix(0 -1 1 0 18 5)'%3eElitist%3c/text%3e%3c/svg%3e</v>
      </c>
      <c r="F161" s="10" t="str">
        <f t="shared" si="3"/>
        <v>https://svgtext.heliohost.us/cgi-bin/gen.perl?text=Elitist</v>
      </c>
      <c r="G161" s="11" t="str">
        <f t="shared" si="4"/>
        <v>data:image/svg+xml,%3csvg xmlns='http://www.w3.org/2000/svg' viewBox='0 0 24 216'%3e%3ctext fill='%23fff' style='font: 900 16px sans-serif' text-anchor='end' transform='matrix(0 -1 1 0 18 5)'%3eElitist%3c/text%3e%3c/svg%3e</v>
      </c>
      <c r="H161" s="8" t="s">
        <v>17</v>
      </c>
      <c r="I161" s="8">
        <f t="shared" ref="I161:J161" si="162">len(B161)</f>
        <v>7</v>
      </c>
      <c r="J161" s="8">
        <f t="shared" si="162"/>
        <v>27</v>
      </c>
      <c r="K161" s="8" t="s">
        <v>469</v>
      </c>
    </row>
    <row r="162">
      <c r="A162" s="7" t="b">
        <v>0</v>
      </c>
      <c r="B162" s="8" t="s">
        <v>470</v>
      </c>
      <c r="C162" s="8" t="s">
        <v>471</v>
      </c>
      <c r="D162" s="8" t="str">
        <f>Q&amp;$K162&amp;Q&amp;":{"&amp;Q&amp;$B$2&amp;Q&amp;":"&amp;Q&amp;$B162&amp;Q&amp;","&amp;Q&amp;$C$2&amp;Q&amp;":"&amp;Q&amp;$C162&amp;Q&amp;","&amp;Q&amp;"sets"&amp;Q&amp;":"&amp;Q&amp;substitute(SUBSTITUTE($H162,"[",""),"]","")&amp;Q&amp;"},"</f>
        <v>"erlx":{"label":"Emotional","extra":"(passionate, moving, volatile) ","sets":"Expansion Set 2, Party Set"},</v>
      </c>
      <c r="E162" s="9" t="str">
        <f t="shared" si="2"/>
        <v>data:image/svg+xml,%3csvg xmlns='http://www.w3.org/2000/svg' viewBox='0 0 24 216'%3e%3ctext fill='%23fff' style='font: 900 16px sans-serif' text-anchor='end' transform='matrix(0 -1 1 0 18 5)'%3eEmotional%3c/text%3e%3c/svg%3e</v>
      </c>
      <c r="F162" s="10" t="str">
        <f t="shared" si="3"/>
        <v>https://svgtext.heliohost.us/cgi-bin/gen.perl?text=Emotional</v>
      </c>
      <c r="G162" s="11" t="str">
        <f t="shared" si="4"/>
        <v>data:image/svg+xml,%3csvg xmlns='http://www.w3.org/2000/svg' viewBox='0 0 24 216'%3e%3ctext fill='%23fff' style='font: 900 16px sans-serif' text-anchor='end' transform='matrix(0 -1 1 0 18 5)'%3eEmotional%3c/text%3e%3c/svg%3e</v>
      </c>
      <c r="H162" s="8" t="s">
        <v>17</v>
      </c>
      <c r="I162" s="8">
        <f t="shared" ref="I162:J162" si="163">len(B162)</f>
        <v>9</v>
      </c>
      <c r="J162" s="8">
        <f t="shared" si="163"/>
        <v>31</v>
      </c>
      <c r="K162" s="8" t="s">
        <v>472</v>
      </c>
    </row>
    <row r="163">
      <c r="A163" s="7" t="b">
        <v>1</v>
      </c>
      <c r="B163" s="8" t="s">
        <v>473</v>
      </c>
      <c r="C163" s="8" t="s">
        <v>474</v>
      </c>
      <c r="D163" s="8" t="str">
        <f>Q&amp;$K163&amp;Q&amp;":{"&amp;Q&amp;$B$2&amp;Q&amp;":"&amp;Q&amp;$B163&amp;Q&amp;","&amp;Q&amp;$C$2&amp;Q&amp;":"&amp;Q&amp;$C163&amp;Q&amp;","&amp;Q&amp;"sets"&amp;Q&amp;":"&amp;Q&amp;substitute(SUBSTITUTE($H163,"[",""),"]","")&amp;Q&amp;"},"</f>
        <v>"akkm":{"label":"Enchanting","extra":"(captivating, charming, spell-binding) ","sets":"Expansion Set 3, Party Expansion 1"},</v>
      </c>
      <c r="E163" s="9" t="str">
        <f t="shared" si="2"/>
        <v>data:image/svg+xml,%3csvg xmlns='http://www.w3.org/2000/svg' viewBox='0 0 24 216'%3e%3ctext fill='%23fff' style='font: 900 16px sans-serif' text-anchor='end' transform='matrix(0 -1 1 0 18 5)'%3eEnchanting%3c/text%3e%3c/svg%3e</v>
      </c>
      <c r="F163" s="10" t="str">
        <f t="shared" si="3"/>
        <v>https://svgtext.heliohost.us/cgi-bin/gen.perl?text=Enchanting</v>
      </c>
      <c r="G163" s="11" t="str">
        <f t="shared" si="4"/>
        <v>data:image/svg+xml,%3csvg xmlns='http://www.w3.org/2000/svg' viewBox='0 0 24 216'%3e%3ctext fill='%23fff' style='font: 900 16px sans-serif' text-anchor='end' transform='matrix(0 -1 1 0 18 5)'%3eEnchanting%3c/text%3e%3c/svg%3e</v>
      </c>
      <c r="H163" s="8" t="s">
        <v>39</v>
      </c>
      <c r="I163" s="8">
        <f t="shared" ref="I163:J163" si="164">len(B163)</f>
        <v>10</v>
      </c>
      <c r="J163" s="8">
        <f t="shared" si="164"/>
        <v>39</v>
      </c>
      <c r="K163" s="8" t="s">
        <v>475</v>
      </c>
    </row>
    <row r="164">
      <c r="A164" s="7" t="b">
        <v>1</v>
      </c>
      <c r="B164" s="8" t="s">
        <v>476</v>
      </c>
      <c r="C164" s="8" t="s">
        <v>477</v>
      </c>
      <c r="D164" s="8" t="str">
        <f>Q&amp;$K164&amp;Q&amp;":{"&amp;Q&amp;$B$2&amp;Q&amp;":"&amp;Q&amp;$B164&amp;Q&amp;","&amp;Q&amp;$C$2&amp;Q&amp;":"&amp;Q&amp;$C164&amp;Q&amp;","&amp;Q&amp;"sets"&amp;Q&amp;":"&amp;Q&amp;substitute(SUBSTITUTE($H164,"[",""),"]","")&amp;Q&amp;"},"</f>
        <v>"xmex":{"label":"Endangered","extra":"(at risk, threatened, unprotected) ","sets":"Expansion Set 3, Party Expansion 1"},</v>
      </c>
      <c r="E164" s="9" t="str">
        <f t="shared" si="2"/>
        <v>data:image/svg+xml,%3csvg xmlns='http://www.w3.org/2000/svg' viewBox='0 0 24 216'%3e%3ctext fill='%23fff' style='font: 900 16px sans-serif' text-anchor='end' transform='matrix(0 -1 1 0 18 5)'%3eEndangered%3c/text%3e%3c/svg%3e</v>
      </c>
      <c r="F164" s="10" t="str">
        <f t="shared" si="3"/>
        <v>https://svgtext.heliohost.us/cgi-bin/gen.perl?text=Endangered</v>
      </c>
      <c r="G164" s="11" t="str">
        <f t="shared" si="4"/>
        <v>data:image/svg+xml,%3csvg xmlns='http://www.w3.org/2000/svg' viewBox='0 0 24 216'%3e%3ctext fill='%23fff' style='font: 900 16px sans-serif' text-anchor='end' transform='matrix(0 -1 1 0 18 5)'%3eEndangered%3c/text%3e%3c/svg%3e</v>
      </c>
      <c r="H164" s="8" t="s">
        <v>39</v>
      </c>
      <c r="I164" s="8">
        <f t="shared" ref="I164:J164" si="165">len(B164)</f>
        <v>10</v>
      </c>
      <c r="J164" s="8">
        <f t="shared" si="165"/>
        <v>35</v>
      </c>
      <c r="K164" s="8" t="s">
        <v>478</v>
      </c>
    </row>
    <row r="165">
      <c r="A165" s="7" t="b">
        <v>1</v>
      </c>
      <c r="B165" s="8" t="s">
        <v>479</v>
      </c>
      <c r="C165" s="8" t="s">
        <v>480</v>
      </c>
      <c r="D165" s="8" t="str">
        <f>Q&amp;$K165&amp;Q&amp;":{"&amp;Q&amp;$B$2&amp;Q&amp;":"&amp;Q&amp;$B165&amp;Q&amp;","&amp;Q&amp;$C$2&amp;Q&amp;":"&amp;Q&amp;$C165&amp;Q&amp;","&amp;Q&amp;"sets"&amp;Q&amp;":"&amp;Q&amp;substitute(SUBSTITUTE($H165,"[",""),"]","")&amp;Q&amp;"},"</f>
        <v>"pcqc":{"label":"Energetic","extra":"(active, vigorous, forceful) ","sets":"Expansion Set 3, Party Expansion 1"},</v>
      </c>
      <c r="E165" s="9" t="str">
        <f t="shared" si="2"/>
        <v>data:image/svg+xml,%3csvg xmlns='http://www.w3.org/2000/svg' viewBox='0 0 24 216'%3e%3ctext fill='%23fff' style='font: 900 16px sans-serif' text-anchor='end' transform='matrix(0 -1 1 0 18 5)'%3eEnergetic%3c/text%3e%3c/svg%3e</v>
      </c>
      <c r="F165" s="10" t="str">
        <f t="shared" si="3"/>
        <v>https://svgtext.heliohost.us/cgi-bin/gen.perl?text=Energetic</v>
      </c>
      <c r="G165" s="11" t="str">
        <f t="shared" si="4"/>
        <v>data:image/svg+xml,%3csvg xmlns='http://www.w3.org/2000/svg' viewBox='0 0 24 216'%3e%3ctext fill='%23fff' style='font: 900 16px sans-serif' text-anchor='end' transform='matrix(0 -1 1 0 18 5)'%3eEnergetic%3c/text%3e%3c/svg%3e</v>
      </c>
      <c r="H165" s="8" t="s">
        <v>39</v>
      </c>
      <c r="I165" s="8">
        <f t="shared" ref="I165:J165" si="166">len(B165)</f>
        <v>9</v>
      </c>
      <c r="J165" s="8">
        <f t="shared" si="166"/>
        <v>29</v>
      </c>
      <c r="K165" s="8" t="s">
        <v>481</v>
      </c>
    </row>
    <row r="166">
      <c r="A166" s="7" t="b">
        <v>0</v>
      </c>
      <c r="B166" s="8" t="s">
        <v>479</v>
      </c>
      <c r="C166" s="8" t="s">
        <v>482</v>
      </c>
      <c r="D166" s="8" t="str">
        <f>Q&amp;$K166&amp;Q&amp;":{"&amp;Q&amp;$B$2&amp;Q&amp;":"&amp;Q&amp;$B166&amp;Q&amp;","&amp;Q&amp;$C$2&amp;Q&amp;":"&amp;Q&amp;$C166&amp;Q&amp;","&amp;Q&amp;"sets"&amp;Q&amp;":"&amp;Q&amp;substitute(SUBSTITUTE($H166,"[",""),"]","")&amp;Q&amp;"},"</f>
        <v>"syvn":{"label":"Energetic","extra":"(active, lively) ","sets":"Junior 9+ (2nd)"},</v>
      </c>
      <c r="E166" s="9" t="str">
        <f t="shared" si="2"/>
        <v>data:image/svg+xml,%3csvg xmlns='http://www.w3.org/2000/svg' viewBox='0 0 24 216'%3e%3ctext fill='%23fff' style='font: 900 16px sans-serif' text-anchor='end' transform='matrix(0 -1 1 0 18 5)'%3eEnergetic%3c/text%3e%3c/svg%3e</v>
      </c>
      <c r="F166" s="10" t="str">
        <f t="shared" si="3"/>
        <v>https://svgtext.heliohost.us/cgi-bin/gen.perl?text=Energetic</v>
      </c>
      <c r="G166" s="11" t="str">
        <f t="shared" si="4"/>
        <v>data:image/svg+xml,%3csvg xmlns='http://www.w3.org/2000/svg' viewBox='0 0 24 216'%3e%3ctext fill='%23fff' style='font: 900 16px sans-serif' text-anchor='end' transform='matrix(0 -1 1 0 18 5)'%3eEnergetic%3c/text%3e%3c/svg%3e</v>
      </c>
      <c r="H166" s="8" t="s">
        <v>32</v>
      </c>
      <c r="I166" s="8">
        <f t="shared" ref="I166:J166" si="167">len(B166)</f>
        <v>9</v>
      </c>
      <c r="J166" s="8">
        <f t="shared" si="167"/>
        <v>17</v>
      </c>
      <c r="K166" s="8" t="s">
        <v>483</v>
      </c>
    </row>
    <row r="167">
      <c r="A167" s="7" t="b">
        <v>1</v>
      </c>
      <c r="B167" s="8" t="s">
        <v>484</v>
      </c>
      <c r="C167" s="8" t="s">
        <v>485</v>
      </c>
      <c r="D167" s="8" t="str">
        <f>Q&amp;$K167&amp;Q&amp;":{"&amp;Q&amp;$B$2&amp;Q&amp;":"&amp;Q&amp;$B167&amp;Q&amp;","&amp;Q&amp;$C$2&amp;Q&amp;":"&amp;Q&amp;$C167&amp;Q&amp;","&amp;Q&amp;"sets"&amp;Q&amp;":"&amp;Q&amp;substitute(SUBSTITUTE($H167,"[",""),"]","")&amp;Q&amp;"},"</f>
        <v>"btba":{"label":"Enjoyable","extra":"(pleasurable, entertaining, fun) ","sets":"Expansion Set 3, Party Expansion 1"},</v>
      </c>
      <c r="E167" s="9" t="str">
        <f t="shared" si="2"/>
        <v>data:image/svg+xml,%3csvg xmlns='http://www.w3.org/2000/svg' viewBox='0 0 24 216'%3e%3ctext fill='%23fff' style='font: 900 16px sans-serif' text-anchor='end' transform='matrix(0 -1 1 0 18 5)'%3eEnjoyable%3c/text%3e%3c/svg%3e</v>
      </c>
      <c r="F167" s="10" t="str">
        <f t="shared" si="3"/>
        <v>https://svgtext.heliohost.us/cgi-bin/gen.perl?text=Enjoyable</v>
      </c>
      <c r="G167" s="11" t="str">
        <f t="shared" si="4"/>
        <v>data:image/svg+xml,%3csvg xmlns='http://www.w3.org/2000/svg' viewBox='0 0 24 216'%3e%3ctext fill='%23fff' style='font: 900 16px sans-serif' text-anchor='end' transform='matrix(0 -1 1 0 18 5)'%3eEnjoyable%3c/text%3e%3c/svg%3e</v>
      </c>
      <c r="H167" s="8" t="s">
        <v>39</v>
      </c>
      <c r="I167" s="8">
        <f t="shared" ref="I167:J167" si="168">len(B167)</f>
        <v>9</v>
      </c>
      <c r="J167" s="8">
        <f t="shared" si="168"/>
        <v>33</v>
      </c>
      <c r="K167" s="8" t="s">
        <v>486</v>
      </c>
    </row>
    <row r="168">
      <c r="A168" s="7" t="b">
        <v>0</v>
      </c>
      <c r="B168" s="8" t="s">
        <v>484</v>
      </c>
      <c r="C168" s="8" t="s">
        <v>487</v>
      </c>
      <c r="D168" s="8" t="str">
        <f>Q&amp;$K168&amp;Q&amp;":{"&amp;Q&amp;$B$2&amp;Q&amp;":"&amp;Q&amp;$B168&amp;Q&amp;","&amp;Q&amp;$C$2&amp;Q&amp;":"&amp;Q&amp;$C168&amp;Q&amp;","&amp;Q&amp;"sets"&amp;Q&amp;":"&amp;Q&amp;substitute(SUBSTITUTE($H168,"[",""),"]","")&amp;Q&amp;"},"</f>
        <v>"cjux":{"label":"Enjoyable","extra":"(pleasant, fun) ","sets":"Junior 9+ (1st) &amp; (2nd)"},</v>
      </c>
      <c r="E168" s="9" t="str">
        <f t="shared" si="2"/>
        <v>data:image/svg+xml,%3csvg xmlns='http://www.w3.org/2000/svg' viewBox='0 0 24 216'%3e%3ctext fill='%23fff' style='font: 900 16px sans-serif' text-anchor='end' transform='matrix(0 -1 1 0 18 5)'%3eEnjoyable%3c/text%3e%3c/svg%3e</v>
      </c>
      <c r="F168" s="10" t="str">
        <f t="shared" si="3"/>
        <v>https://svgtext.heliohost.us/cgi-bin/gen.perl?text=Enjoyable</v>
      </c>
      <c r="G168" s="11" t="str">
        <f t="shared" si="4"/>
        <v>data:image/svg+xml,%3csvg xmlns='http://www.w3.org/2000/svg' viewBox='0 0 24 216'%3e%3ctext fill='%23fff' style='font: 900 16px sans-serif' text-anchor='end' transform='matrix(0 -1 1 0 18 5)'%3eEnjoyable%3c/text%3e%3c/svg%3e</v>
      </c>
      <c r="H168" s="8" t="s">
        <v>42</v>
      </c>
      <c r="I168" s="8">
        <f t="shared" ref="I168:J168" si="169">len(B168)</f>
        <v>9</v>
      </c>
      <c r="J168" s="8">
        <f t="shared" si="169"/>
        <v>16</v>
      </c>
      <c r="K168" s="8" t="s">
        <v>488</v>
      </c>
    </row>
    <row r="169">
      <c r="A169" s="7" t="b">
        <v>1</v>
      </c>
      <c r="B169" s="8" t="s">
        <v>489</v>
      </c>
      <c r="C169" s="8" t="s">
        <v>490</v>
      </c>
      <c r="D169" s="8" t="str">
        <f>Q&amp;$K169&amp;Q&amp;":{"&amp;Q&amp;$B$2&amp;Q&amp;":"&amp;Q&amp;$B169&amp;Q&amp;","&amp;Q&amp;$C$2&amp;Q&amp;":"&amp;Q&amp;$C169&amp;Q&amp;","&amp;Q&amp;"sets"&amp;Q&amp;":"&amp;Q&amp;substitute(SUBSTITUTE($H169,"[",""),"]","")&amp;Q&amp;"},"</f>
        <v>"pgkp":{"label":"Enormous","extra":"(large, huge, gigantic) ","sets":"Expansion Set 3, Party Expansion 1"},</v>
      </c>
      <c r="E169" s="9" t="str">
        <f t="shared" si="2"/>
        <v>data:image/svg+xml,%3csvg xmlns='http://www.w3.org/2000/svg' viewBox='0 0 24 216'%3e%3ctext fill='%23fff' style='font: 900 16px sans-serif' text-anchor='end' transform='matrix(0 -1 1 0 18 5)'%3eEnormous%3c/text%3e%3c/svg%3e</v>
      </c>
      <c r="F169" s="10" t="str">
        <f t="shared" si="3"/>
        <v>https://svgtext.heliohost.us/cgi-bin/gen.perl?text=Enormous</v>
      </c>
      <c r="G169" s="11" t="str">
        <f t="shared" si="4"/>
        <v>data:image/svg+xml,%3csvg xmlns='http://www.w3.org/2000/svg' viewBox='0 0 24 216'%3e%3ctext fill='%23fff' style='font: 900 16px sans-serif' text-anchor='end' transform='matrix(0 -1 1 0 18 5)'%3eEnormous%3c/text%3e%3c/svg%3e</v>
      </c>
      <c r="H169" s="8" t="s">
        <v>39</v>
      </c>
      <c r="I169" s="8">
        <f t="shared" ref="I169:J169" si="170">len(B169)</f>
        <v>8</v>
      </c>
      <c r="J169" s="8">
        <f t="shared" si="170"/>
        <v>24</v>
      </c>
      <c r="K169" s="8" t="s">
        <v>491</v>
      </c>
    </row>
    <row r="170">
      <c r="A170" s="7" t="b">
        <v>0</v>
      </c>
      <c r="B170" s="8" t="s">
        <v>489</v>
      </c>
      <c r="C170" s="8" t="s">
        <v>492</v>
      </c>
      <c r="D170" s="8" t="str">
        <f>Q&amp;$K170&amp;Q&amp;":{"&amp;Q&amp;$B$2&amp;Q&amp;":"&amp;Q&amp;$B170&amp;Q&amp;","&amp;Q&amp;$C$2&amp;Q&amp;":"&amp;Q&amp;$C170&amp;Q&amp;","&amp;Q&amp;"sets"&amp;Q&amp;":"&amp;Q&amp;substitute(SUBSTITUTE($H170,"[",""),"]","")&amp;Q&amp;"},"</f>
        <v>"duwr":{"label":"Enormous","extra":"(huge, gigantic) ","sets":"Junior 9+ (2nd)"},</v>
      </c>
      <c r="E170" s="9" t="str">
        <f t="shared" si="2"/>
        <v>data:image/svg+xml,%3csvg xmlns='http://www.w3.org/2000/svg' viewBox='0 0 24 216'%3e%3ctext fill='%23fff' style='font: 900 16px sans-serif' text-anchor='end' transform='matrix(0 -1 1 0 18 5)'%3eEnormous%3c/text%3e%3c/svg%3e</v>
      </c>
      <c r="F170" s="10" t="str">
        <f t="shared" si="3"/>
        <v>https://svgtext.heliohost.us/cgi-bin/gen.perl?text=Enormous</v>
      </c>
      <c r="G170" s="11" t="str">
        <f t="shared" si="4"/>
        <v>data:image/svg+xml,%3csvg xmlns='http://www.w3.org/2000/svg' viewBox='0 0 24 216'%3e%3ctext fill='%23fff' style='font: 900 16px sans-serif' text-anchor='end' transform='matrix(0 -1 1 0 18 5)'%3eEnormous%3c/text%3e%3c/svg%3e</v>
      </c>
      <c r="H170" s="8" t="s">
        <v>32</v>
      </c>
      <c r="I170" s="8">
        <f t="shared" ref="I170:J170" si="171">len(B170)</f>
        <v>8</v>
      </c>
      <c r="J170" s="8">
        <f t="shared" si="171"/>
        <v>17</v>
      </c>
      <c r="K170" s="8" t="s">
        <v>493</v>
      </c>
    </row>
    <row r="171">
      <c r="A171" s="7" t="b">
        <v>1</v>
      </c>
      <c r="B171" s="8" t="s">
        <v>494</v>
      </c>
      <c r="C171" s="8" t="s">
        <v>495</v>
      </c>
      <c r="D171" s="8" t="str">
        <f>Q&amp;$K171&amp;Q&amp;":{"&amp;Q&amp;$B$2&amp;Q&amp;":"&amp;Q&amp;$B171&amp;Q&amp;","&amp;Q&amp;$C$2&amp;Q&amp;":"&amp;Q&amp;$C171&amp;Q&amp;","&amp;Q&amp;"sets"&amp;Q&amp;":"&amp;Q&amp;substitute(SUBSTITUTE($H171,"[",""),"]","")&amp;Q&amp;"},"</f>
        <v>"kojk":{"label":"Entertaining","extra":"(amusing, festive, enjoyable) ","sets":"Expansion Set 3, Party Expansion 1"},</v>
      </c>
      <c r="E171" s="9" t="str">
        <f t="shared" si="2"/>
        <v>data:image/svg+xml,%3csvg xmlns='http://www.w3.org/2000/svg' viewBox='0 0 24 216'%3e%3ctext fill='%23fff' style='font: 900 16px sans-serif' text-anchor='end' transform='matrix(0 -1 1 0 18 5)'%3eEntertaining%3c/text%3e%3c/svg%3e</v>
      </c>
      <c r="F171" s="10" t="str">
        <f t="shared" si="3"/>
        <v>https://svgtext.heliohost.us/cgi-bin/gen.perl?text=Entertaining</v>
      </c>
      <c r="G171" s="11" t="str">
        <f t="shared" si="4"/>
        <v>data:image/svg+xml,%3csvg xmlns='http://www.w3.org/2000/svg' viewBox='0 0 24 216'%3e%3ctext fill='%23fff' style='font: 900 16px sans-serif' text-anchor='end' transform='matrix(0 -1 1 0 18 5)'%3eEntertaining%3c/text%3e%3c/svg%3e</v>
      </c>
      <c r="H171" s="8" t="s">
        <v>39</v>
      </c>
      <c r="I171" s="8">
        <f t="shared" ref="I171:J171" si="172">len(B171)</f>
        <v>12</v>
      </c>
      <c r="J171" s="8">
        <f t="shared" si="172"/>
        <v>30</v>
      </c>
      <c r="K171" s="8" t="s">
        <v>496</v>
      </c>
    </row>
    <row r="172">
      <c r="A172" s="7" t="b">
        <v>0</v>
      </c>
      <c r="B172" s="8" t="s">
        <v>494</v>
      </c>
      <c r="C172" s="8" t="s">
        <v>497</v>
      </c>
      <c r="D172" s="8" t="str">
        <f>Q&amp;$K172&amp;Q&amp;":{"&amp;Q&amp;$B$2&amp;Q&amp;":"&amp;Q&amp;$B172&amp;Q&amp;","&amp;Q&amp;$C$2&amp;Q&amp;":"&amp;Q&amp;$C172&amp;Q&amp;","&amp;Q&amp;"sets"&amp;Q&amp;":"&amp;Q&amp;substitute(SUBSTITUTE($H172,"[",""),"]","")&amp;Q&amp;"},"</f>
        <v>"lcmk":{"label":"Entertaining","extra":"(interesting, fun) ","sets":"Junior 9+ (2nd)"},</v>
      </c>
      <c r="E172" s="9" t="str">
        <f t="shared" si="2"/>
        <v>data:image/svg+xml,%3csvg xmlns='http://www.w3.org/2000/svg' viewBox='0 0 24 216'%3e%3ctext fill='%23fff' style='font: 900 16px sans-serif' text-anchor='end' transform='matrix(0 -1 1 0 18 5)'%3eEntertaining%3c/text%3e%3c/svg%3e</v>
      </c>
      <c r="F172" s="10" t="str">
        <f t="shared" si="3"/>
        <v>https://svgtext.heliohost.us/cgi-bin/gen.perl?text=Entertaining</v>
      </c>
      <c r="G172" s="11" t="str">
        <f t="shared" si="4"/>
        <v>data:image/svg+xml,%3csvg xmlns='http://www.w3.org/2000/svg' viewBox='0 0 24 216'%3e%3ctext fill='%23fff' style='font: 900 16px sans-serif' text-anchor='end' transform='matrix(0 -1 1 0 18 5)'%3eEntertaining%3c/text%3e%3c/svg%3e</v>
      </c>
      <c r="H172" s="8" t="s">
        <v>32</v>
      </c>
      <c r="I172" s="8">
        <f t="shared" ref="I172:J172" si="173">len(B172)</f>
        <v>12</v>
      </c>
      <c r="J172" s="8">
        <f t="shared" si="173"/>
        <v>19</v>
      </c>
      <c r="K172" s="8" t="s">
        <v>498</v>
      </c>
    </row>
    <row r="173">
      <c r="A173" s="7" t="b">
        <v>0</v>
      </c>
      <c r="B173" s="8" t="s">
        <v>499</v>
      </c>
      <c r="C173" s="8" t="s">
        <v>500</v>
      </c>
      <c r="D173" s="8" t="str">
        <f>Q&amp;$K173&amp;Q&amp;":{"&amp;Q&amp;$B$2&amp;Q&amp;":"&amp;Q&amp;$B173&amp;Q&amp;","&amp;Q&amp;$C$2&amp;Q&amp;":"&amp;Q&amp;$C173&amp;Q&amp;","&amp;Q&amp;"sets"&amp;Q&amp;":"&amp;Q&amp;substitute(SUBSTITUTE($H173,"[",""),"]","")&amp;Q&amp;"},"</f>
        <v>"dfth":{"label":"Eternal","extra":"(timeless, immortal, perpetual) ","sets":"Expansion Set 2, Party Set"},</v>
      </c>
      <c r="E173" s="9" t="str">
        <f t="shared" si="2"/>
        <v>data:image/svg+xml,%3csvg xmlns='http://www.w3.org/2000/svg' viewBox='0 0 24 216'%3e%3ctext fill='%23fff' style='font: 900 16px sans-serif' text-anchor='end' transform='matrix(0 -1 1 0 18 5)'%3eEternal%3c/text%3e%3c/svg%3e</v>
      </c>
      <c r="F173" s="10" t="str">
        <f t="shared" si="3"/>
        <v>https://svgtext.heliohost.us/cgi-bin/gen.perl?text=Eternal</v>
      </c>
      <c r="G173" s="11" t="str">
        <f t="shared" si="4"/>
        <v>data:image/svg+xml,%3csvg xmlns='http://www.w3.org/2000/svg' viewBox='0 0 24 216'%3e%3ctext fill='%23fff' style='font: 900 16px sans-serif' text-anchor='end' transform='matrix(0 -1 1 0 18 5)'%3eEternal%3c/text%3e%3c/svg%3e</v>
      </c>
      <c r="H173" s="8" t="s">
        <v>17</v>
      </c>
      <c r="I173" s="8">
        <f t="shared" ref="I173:J173" si="174">len(B173)</f>
        <v>7</v>
      </c>
      <c r="J173" s="8">
        <f t="shared" si="174"/>
        <v>32</v>
      </c>
      <c r="K173" s="8" t="s">
        <v>501</v>
      </c>
    </row>
    <row r="174">
      <c r="A174" s="7" t="b">
        <v>0</v>
      </c>
      <c r="B174" s="8" t="s">
        <v>502</v>
      </c>
      <c r="C174" s="8" t="s">
        <v>503</v>
      </c>
      <c r="D174" s="8" t="str">
        <f>Q&amp;$K174&amp;Q&amp;":{"&amp;Q&amp;$B$2&amp;Q&amp;":"&amp;Q&amp;$B174&amp;Q&amp;","&amp;Q&amp;$C$2&amp;Q&amp;":"&amp;Q&amp;$C174&amp;Q&amp;","&amp;Q&amp;"sets"&amp;Q&amp;":"&amp;Q&amp;substitute(SUBSTITUTE($H174,"[",""),"]","")&amp;Q&amp;"},"</f>
        <v>"qhyd":{"label":"European","extra":"(of Europe, from Europe, about Europe) ","sets":"Expansion Set 2, Party Set"},</v>
      </c>
      <c r="E174" s="9" t="str">
        <f t="shared" si="2"/>
        <v>data:image/svg+xml,%3csvg xmlns='http://www.w3.org/2000/svg' viewBox='0 0 24 216'%3e%3ctext fill='%23fff' style='font: 900 16px sans-serif' text-anchor='end' transform='matrix(0 -1 1 0 18 5)'%3eEuropean%3c/text%3e%3c/svg%3e</v>
      </c>
      <c r="F174" s="10" t="str">
        <f t="shared" si="3"/>
        <v>https://svgtext.heliohost.us/cgi-bin/gen.perl?text=European</v>
      </c>
      <c r="G174" s="11" t="str">
        <f t="shared" si="4"/>
        <v>data:image/svg+xml,%3csvg xmlns='http://www.w3.org/2000/svg' viewBox='0 0 24 216'%3e%3ctext fill='%23fff' style='font: 900 16px sans-serif' text-anchor='end' transform='matrix(0 -1 1 0 18 5)'%3eEuropean%3c/text%3e%3c/svg%3e</v>
      </c>
      <c r="H174" s="8" t="s">
        <v>17</v>
      </c>
      <c r="I174" s="8">
        <f t="shared" ref="I174:J174" si="175">len(B174)</f>
        <v>8</v>
      </c>
      <c r="J174" s="8">
        <f t="shared" si="175"/>
        <v>39</v>
      </c>
      <c r="K174" s="8" t="s">
        <v>504</v>
      </c>
    </row>
    <row r="175">
      <c r="A175" s="7" t="b">
        <v>1</v>
      </c>
      <c r="B175" s="8" t="s">
        <v>505</v>
      </c>
      <c r="C175" s="8" t="s">
        <v>506</v>
      </c>
      <c r="D175" s="8" t="str">
        <f>Q&amp;$K175&amp;Q&amp;":{"&amp;Q&amp;$B$2&amp;Q&amp;":"&amp;Q&amp;$B175&amp;Q&amp;","&amp;Q&amp;$C$2&amp;Q&amp;":"&amp;Q&amp;$C175&amp;Q&amp;","&amp;Q&amp;"sets"&amp;Q&amp;":"&amp;Q&amp;substitute(SUBSTITUTE($H175,"[",""),"]","")&amp;Q&amp;"},"</f>
        <v>"amer":{"label":"Evil","extra":"(wicked, corrupt, depraved) ","sets":"Expansion Set 3, Party Expansion 1"},</v>
      </c>
      <c r="E175" s="9" t="str">
        <f t="shared" si="2"/>
        <v>data:image/svg+xml,%3csvg xmlns='http://www.w3.org/2000/svg' viewBox='0 0 24 216'%3e%3ctext fill='%23fff' style='font: 900 16px sans-serif' text-anchor='end' transform='matrix(0 -1 1 0 18 5)'%3eEvil%3c/text%3e%3c/svg%3e</v>
      </c>
      <c r="F175" s="10" t="str">
        <f t="shared" si="3"/>
        <v>https://svgtext.heliohost.us/cgi-bin/gen.perl?text=Evil</v>
      </c>
      <c r="G175" s="11" t="str">
        <f t="shared" si="4"/>
        <v>data:image/svg+xml,%3csvg xmlns='http://www.w3.org/2000/svg' viewBox='0 0 24 216'%3e%3ctext fill='%23fff' style='font: 900 16px sans-serif' text-anchor='end' transform='matrix(0 -1 1 0 18 5)'%3eEvil%3c/text%3e%3c/svg%3e</v>
      </c>
      <c r="H175" s="8" t="s">
        <v>39</v>
      </c>
      <c r="I175" s="8">
        <f t="shared" ref="I175:J175" si="176">len(B175)</f>
        <v>4</v>
      </c>
      <c r="J175" s="8">
        <f t="shared" si="176"/>
        <v>28</v>
      </c>
      <c r="K175" s="8" t="s">
        <v>507</v>
      </c>
    </row>
    <row r="176">
      <c r="A176" s="7" t="b">
        <v>0</v>
      </c>
      <c r="B176" s="8" t="s">
        <v>508</v>
      </c>
      <c r="C176" s="8" t="s">
        <v>509</v>
      </c>
      <c r="D176" s="8" t="str">
        <f>Q&amp;$K176&amp;Q&amp;":{"&amp;Q&amp;$B$2&amp;Q&amp;":"&amp;Q&amp;$B176&amp;Q&amp;","&amp;Q&amp;$C$2&amp;Q&amp;":"&amp;Q&amp;$C176&amp;Q&amp;","&amp;Q&amp;"sets"&amp;Q&amp;":"&amp;Q&amp;substitute(SUBSTITUTE($H176,"[",""),"]","")&amp;Q&amp;"},"</f>
        <v>"dnjn":{"label":"Excellent","extra":"(very good, outstanding) ","sets":"Junior 9+ (1st) &amp; (2nd)"},</v>
      </c>
      <c r="E176" s="9" t="str">
        <f t="shared" si="2"/>
        <v>data:image/svg+xml,%3csvg xmlns='http://www.w3.org/2000/svg' viewBox='0 0 24 216'%3e%3ctext fill='%23fff' style='font: 900 16px sans-serif' text-anchor='end' transform='matrix(0 -1 1 0 18 5)'%3eExcellent%3c/text%3e%3c/svg%3e</v>
      </c>
      <c r="F176" s="10" t="str">
        <f t="shared" si="3"/>
        <v>https://svgtext.heliohost.us/cgi-bin/gen.perl?text=Excellent</v>
      </c>
      <c r="G176" s="11" t="str">
        <f t="shared" si="4"/>
        <v>data:image/svg+xml,%3csvg xmlns='http://www.w3.org/2000/svg' viewBox='0 0 24 216'%3e%3ctext fill='%23fff' style='font: 900 16px sans-serif' text-anchor='end' transform='matrix(0 -1 1 0 18 5)'%3eExcellent%3c/text%3e%3c/svg%3e</v>
      </c>
      <c r="H176" s="8" t="s">
        <v>42</v>
      </c>
      <c r="I176" s="8">
        <f t="shared" ref="I176:J176" si="177">len(B176)</f>
        <v>9</v>
      </c>
      <c r="J176" s="8">
        <f t="shared" si="177"/>
        <v>25</v>
      </c>
      <c r="K176" s="8" t="s">
        <v>510</v>
      </c>
    </row>
    <row r="177">
      <c r="A177" s="7" t="b">
        <v>0</v>
      </c>
      <c r="B177" s="8" t="s">
        <v>511</v>
      </c>
      <c r="C177" s="8" t="s">
        <v>512</v>
      </c>
      <c r="D177" s="8" t="str">
        <f>Q&amp;$K177&amp;Q&amp;":{"&amp;Q&amp;$B$2&amp;Q&amp;":"&amp;Q&amp;$B177&amp;Q&amp;","&amp;Q&amp;$C$2&amp;Q&amp;":"&amp;Q&amp;$C177&amp;Q&amp;","&amp;Q&amp;"sets"&amp;Q&amp;":"&amp;Q&amp;substitute(SUBSTITUTE($H177,"[",""),"]","")&amp;Q&amp;"},"</f>
        <v>"qmie":{"label":"Exciting","extra":"(thrilling, breathtaking, arousing) ","sets":"Expansion Set 1, Party Set"},</v>
      </c>
      <c r="E177" s="9" t="str">
        <f t="shared" si="2"/>
        <v>data:image/svg+xml,%3csvg xmlns='http://www.w3.org/2000/svg' viewBox='0 0 24 216'%3e%3ctext fill='%23fff' style='font: 900 16px sans-serif' text-anchor='end' transform='matrix(0 -1 1 0 18 5)'%3eExciting%3c/text%3e%3c/svg%3e</v>
      </c>
      <c r="F177" s="10" t="str">
        <f t="shared" si="3"/>
        <v>https://svgtext.heliohost.us/cgi-bin/gen.perl?text=Exciting</v>
      </c>
      <c r="G177" s="11" t="str">
        <f t="shared" si="4"/>
        <v>data:image/svg+xml,%3csvg xmlns='http://www.w3.org/2000/svg' viewBox='0 0 24 216'%3e%3ctext fill='%23fff' style='font: 900 16px sans-serif' text-anchor='end' transform='matrix(0 -1 1 0 18 5)'%3eExciting%3c/text%3e%3c/svg%3e</v>
      </c>
      <c r="H177" s="8" t="s">
        <v>25</v>
      </c>
      <c r="I177" s="8">
        <f t="shared" ref="I177:J177" si="178">len(B177)</f>
        <v>8</v>
      </c>
      <c r="J177" s="8">
        <f t="shared" si="178"/>
        <v>36</v>
      </c>
      <c r="K177" s="8" t="s">
        <v>513</v>
      </c>
    </row>
    <row r="178">
      <c r="A178" s="7" t="b">
        <v>0</v>
      </c>
      <c r="B178" s="8" t="s">
        <v>511</v>
      </c>
      <c r="C178" s="8" t="s">
        <v>514</v>
      </c>
      <c r="D178" s="8" t="str">
        <f>Q&amp;$K178&amp;Q&amp;":{"&amp;Q&amp;$B$2&amp;Q&amp;":"&amp;Q&amp;$B178&amp;Q&amp;","&amp;Q&amp;$C$2&amp;Q&amp;":"&amp;Q&amp;$C178&amp;Q&amp;","&amp;Q&amp;"sets"&amp;Q&amp;":"&amp;Q&amp;substitute(SUBSTITUTE($H178,"[",""),"]","")&amp;Q&amp;"},"</f>
        <v>"hklo":{"label":"Exciting","extra":"(thrilling, interesting) ","sets":"Junior"},</v>
      </c>
      <c r="E178" s="9" t="str">
        <f t="shared" si="2"/>
        <v>data:image/svg+xml,%3csvg xmlns='http://www.w3.org/2000/svg' viewBox='0 0 24 216'%3e%3ctext fill='%23fff' style='font: 900 16px sans-serif' text-anchor='end' transform='matrix(0 -1 1 0 18 5)'%3eExciting%3c/text%3e%3c/svg%3e</v>
      </c>
      <c r="F178" s="10" t="str">
        <f t="shared" si="3"/>
        <v>https://svgtext.heliohost.us/cgi-bin/gen.perl?text=Exciting</v>
      </c>
      <c r="G178" s="11" t="str">
        <f t="shared" si="4"/>
        <v>data:image/svg+xml,%3csvg xmlns='http://www.w3.org/2000/svg' viewBox='0 0 24 216'%3e%3ctext fill='%23fff' style='font: 900 16px sans-serif' text-anchor='end' transform='matrix(0 -1 1 0 18 5)'%3eExciting%3c/text%3e%3c/svg%3e</v>
      </c>
      <c r="H178" s="8" t="s">
        <v>84</v>
      </c>
      <c r="I178" s="8">
        <f t="shared" ref="I178:J178" si="179">len(B178)</f>
        <v>8</v>
      </c>
      <c r="J178" s="8">
        <f t="shared" si="179"/>
        <v>25</v>
      </c>
      <c r="K178" s="8" t="s">
        <v>515</v>
      </c>
    </row>
    <row r="179">
      <c r="A179" s="7" t="b">
        <v>0</v>
      </c>
      <c r="B179" s="8" t="s">
        <v>516</v>
      </c>
      <c r="C179" s="8" t="s">
        <v>517</v>
      </c>
      <c r="D179" s="8" t="str">
        <f>Q&amp;$K179&amp;Q&amp;":{"&amp;Q&amp;$B$2&amp;Q&amp;":"&amp;Q&amp;$B179&amp;Q&amp;","&amp;Q&amp;$C$2&amp;Q&amp;":"&amp;Q&amp;$C179&amp;Q&amp;","&amp;Q&amp;"sets"&amp;Q&amp;":"&amp;Q&amp;substitute(SUBSTITUTE($H179,"[",""),"]","")&amp;Q&amp;"},"</f>
        <v>"qqje":{"label":"Exhausting","extra":"(weakening, tiring, draining) ","sets":"Expansion Set 2, Party Set"},</v>
      </c>
      <c r="E179" s="9" t="str">
        <f t="shared" si="2"/>
        <v>data:image/svg+xml,%3csvg xmlns='http://www.w3.org/2000/svg' viewBox='0 0 24 216'%3e%3ctext fill='%23fff' style='font: 900 16px sans-serif' text-anchor='end' transform='matrix(0 -1 1 0 18 5)'%3eExhausting%3c/text%3e%3c/svg%3e</v>
      </c>
      <c r="F179" s="10" t="str">
        <f t="shared" si="3"/>
        <v>https://svgtext.heliohost.us/cgi-bin/gen.perl?text=Exhausting</v>
      </c>
      <c r="G179" s="11" t="str">
        <f t="shared" si="4"/>
        <v>data:image/svg+xml,%3csvg xmlns='http://www.w3.org/2000/svg' viewBox='0 0 24 216'%3e%3ctext fill='%23fff' style='font: 900 16px sans-serif' text-anchor='end' transform='matrix(0 -1 1 0 18 5)'%3eExhausting%3c/text%3e%3c/svg%3e</v>
      </c>
      <c r="H179" s="8" t="s">
        <v>17</v>
      </c>
      <c r="I179" s="8">
        <f t="shared" ref="I179:J179" si="180">len(B179)</f>
        <v>10</v>
      </c>
      <c r="J179" s="8">
        <f t="shared" si="180"/>
        <v>30</v>
      </c>
      <c r="K179" s="8" t="s">
        <v>518</v>
      </c>
    </row>
    <row r="180">
      <c r="A180" s="7" t="b">
        <v>1</v>
      </c>
      <c r="B180" s="8" t="s">
        <v>519</v>
      </c>
      <c r="C180" s="8" t="s">
        <v>520</v>
      </c>
      <c r="D180" s="8" t="str">
        <f>Q&amp;$K180&amp;Q&amp;":{"&amp;Q&amp;$B$2&amp;Q&amp;":"&amp;Q&amp;$B180&amp;Q&amp;","&amp;Q&amp;$C$2&amp;Q&amp;":"&amp;Q&amp;$C180&amp;Q&amp;","&amp;Q&amp;"sets"&amp;Q&amp;":"&amp;Q&amp;substitute(SUBSTITUTE($H180,"[",""),"]","")&amp;Q&amp;"},"</f>
        <v>"gkss":{"label":"Expensive","extra":"(costly, valuable, exorbitant) ","sets":"Basic Set, Party Set"},</v>
      </c>
      <c r="E180" s="9" t="str">
        <f t="shared" si="2"/>
        <v>data:image/svg+xml,%3csvg xmlns='http://www.w3.org/2000/svg' viewBox='0 0 24 216'%3e%3ctext fill='%23fff' style='font: 900 16px sans-serif' text-anchor='end' transform='matrix(0 -1 1 0 18 5)'%3eExpensive%3c/text%3e%3c/svg%3e</v>
      </c>
      <c r="F180" s="10" t="str">
        <f t="shared" si="3"/>
        <v>https://svgtext.heliohost.us/cgi-bin/gen.perl?text=Expensive</v>
      </c>
      <c r="G180" s="11" t="str">
        <f t="shared" si="4"/>
        <v>data:image/svg+xml,%3csvg xmlns='http://www.w3.org/2000/svg' viewBox='0 0 24 216'%3e%3ctext fill='%23fff' style='font: 900 16px sans-serif' text-anchor='end' transform='matrix(0 -1 1 0 18 5)'%3eExpensive%3c/text%3e%3c/svg%3e</v>
      </c>
      <c r="H180" s="8" t="s">
        <v>29</v>
      </c>
      <c r="I180" s="8">
        <f t="shared" ref="I180:J180" si="181">len(B180)</f>
        <v>9</v>
      </c>
      <c r="J180" s="8">
        <f t="shared" si="181"/>
        <v>31</v>
      </c>
      <c r="K180" s="8" t="s">
        <v>521</v>
      </c>
    </row>
    <row r="181">
      <c r="A181" s="7" t="b">
        <v>0</v>
      </c>
      <c r="B181" s="8" t="s">
        <v>519</v>
      </c>
      <c r="C181" s="8" t="s">
        <v>522</v>
      </c>
      <c r="D181" s="8" t="str">
        <f>Q&amp;$K181&amp;Q&amp;":{"&amp;Q&amp;$B$2&amp;Q&amp;":"&amp;Q&amp;$B181&amp;Q&amp;","&amp;Q&amp;$C$2&amp;Q&amp;":"&amp;Q&amp;$C181&amp;Q&amp;","&amp;Q&amp;"sets"&amp;Q&amp;":"&amp;Q&amp;substitute(SUBSTITUTE($H181,"[",""),"]","")&amp;Q&amp;"},"</f>
        <v>"pwyl":{"label":"Expensive","extra":"(costly, high priced) ","sets":"Junior 9+ (1st) &amp; (2nd)"},</v>
      </c>
      <c r="E181" s="9" t="str">
        <f t="shared" si="2"/>
        <v>data:image/svg+xml,%3csvg xmlns='http://www.w3.org/2000/svg' viewBox='0 0 24 216'%3e%3ctext fill='%23fff' style='font: 900 16px sans-serif' text-anchor='end' transform='matrix(0 -1 1 0 18 5)'%3eExpensive%3c/text%3e%3c/svg%3e</v>
      </c>
      <c r="F181" s="10" t="str">
        <f t="shared" si="3"/>
        <v>https://svgtext.heliohost.us/cgi-bin/gen.perl?text=Expensive</v>
      </c>
      <c r="G181" s="11" t="str">
        <f t="shared" si="4"/>
        <v>data:image/svg+xml,%3csvg xmlns='http://www.w3.org/2000/svg' viewBox='0 0 24 216'%3e%3ctext fill='%23fff' style='font: 900 16px sans-serif' text-anchor='end' transform='matrix(0 -1 1 0 18 5)'%3eExpensive%3c/text%3e%3c/svg%3e</v>
      </c>
      <c r="H181" s="8" t="s">
        <v>42</v>
      </c>
      <c r="I181" s="8">
        <f t="shared" ref="I181:J181" si="182">len(B181)</f>
        <v>9</v>
      </c>
      <c r="J181" s="8">
        <f t="shared" si="182"/>
        <v>22</v>
      </c>
      <c r="K181" s="8" t="s">
        <v>523</v>
      </c>
    </row>
    <row r="182">
      <c r="A182" s="7" t="b">
        <v>0</v>
      </c>
      <c r="B182" s="8" t="s">
        <v>524</v>
      </c>
      <c r="C182" s="8" t="s">
        <v>525</v>
      </c>
      <c r="D182" s="8" t="str">
        <f>Q&amp;$K182&amp;Q&amp;":{"&amp;Q&amp;$B$2&amp;Q&amp;":"&amp;Q&amp;$B182&amp;Q&amp;","&amp;Q&amp;$C$2&amp;Q&amp;":"&amp;Q&amp;$C182&amp;Q&amp;","&amp;Q&amp;"sets"&amp;Q&amp;":"&amp;Q&amp;substitute(SUBSTITUTE($H182,"[",""),"]","")&amp;Q&amp;"},"</f>
        <v>"ywqg":{"label":"Explosive","extra":"(bursting, blasting, dangerous) ","sets":"Expansion Set 1, Party Set"},</v>
      </c>
      <c r="E182" s="9" t="str">
        <f t="shared" si="2"/>
        <v>data:image/svg+xml,%3csvg xmlns='http://www.w3.org/2000/svg' viewBox='0 0 24 216'%3e%3ctext fill='%23fff' style='font: 900 16px sans-serif' text-anchor='end' transform='matrix(0 -1 1 0 18 5)'%3eExplosive%3c/text%3e%3c/svg%3e</v>
      </c>
      <c r="F182" s="10" t="str">
        <f t="shared" si="3"/>
        <v>https://svgtext.heliohost.us/cgi-bin/gen.perl?text=Explosive</v>
      </c>
      <c r="G182" s="11" t="str">
        <f t="shared" si="4"/>
        <v>data:image/svg+xml,%3csvg xmlns='http://www.w3.org/2000/svg' viewBox='0 0 24 216'%3e%3ctext fill='%23fff' style='font: 900 16px sans-serif' text-anchor='end' transform='matrix(0 -1 1 0 18 5)'%3eExplosive%3c/text%3e%3c/svg%3e</v>
      </c>
      <c r="H182" s="8" t="s">
        <v>25</v>
      </c>
      <c r="I182" s="8">
        <f t="shared" ref="I182:J182" si="183">len(B182)</f>
        <v>9</v>
      </c>
      <c r="J182" s="8">
        <f t="shared" si="183"/>
        <v>32</v>
      </c>
      <c r="K182" s="8" t="s">
        <v>526</v>
      </c>
    </row>
    <row r="183">
      <c r="A183" s="7" t="b">
        <v>0</v>
      </c>
      <c r="B183" s="8" t="s">
        <v>527</v>
      </c>
      <c r="C183" s="8" t="s">
        <v>528</v>
      </c>
      <c r="D183" s="8" t="str">
        <f>Q&amp;$K183&amp;Q&amp;":{"&amp;Q&amp;$B$2&amp;Q&amp;":"&amp;Q&amp;$B183&amp;Q&amp;","&amp;Q&amp;$C$2&amp;Q&amp;":"&amp;Q&amp;$C183&amp;Q&amp;","&amp;Q&amp;"sets"&amp;Q&amp;":"&amp;Q&amp;substitute(SUBSTITUTE($H183,"[",""),"]","")&amp;Q&amp;"},"</f>
        <v>"igdd":{"label":"Exquisite","extra":"(excellent, refined, flawless) ","sets":"Expansion Set 2, Party Set"},</v>
      </c>
      <c r="E183" s="9" t="str">
        <f t="shared" si="2"/>
        <v>data:image/svg+xml,%3csvg xmlns='http://www.w3.org/2000/svg' viewBox='0 0 24 216'%3e%3ctext fill='%23fff' style='font: 900 16px sans-serif' text-anchor='end' transform='matrix(0 -1 1 0 18 5)'%3eExquisite%3c/text%3e%3c/svg%3e</v>
      </c>
      <c r="F183" s="10" t="str">
        <f t="shared" si="3"/>
        <v>https://svgtext.heliohost.us/cgi-bin/gen.perl?text=Exquisite</v>
      </c>
      <c r="G183" s="11" t="str">
        <f t="shared" si="4"/>
        <v>data:image/svg+xml,%3csvg xmlns='http://www.w3.org/2000/svg' viewBox='0 0 24 216'%3e%3ctext fill='%23fff' style='font: 900 16px sans-serif' text-anchor='end' transform='matrix(0 -1 1 0 18 5)'%3eExquisite%3c/text%3e%3c/svg%3e</v>
      </c>
      <c r="H183" s="8" t="s">
        <v>17</v>
      </c>
      <c r="I183" s="8">
        <f t="shared" ref="I183:J183" si="184">len(B183)</f>
        <v>9</v>
      </c>
      <c r="J183" s="8">
        <f t="shared" si="184"/>
        <v>31</v>
      </c>
      <c r="K183" s="8" t="s">
        <v>529</v>
      </c>
    </row>
    <row r="184">
      <c r="A184" s="7" t="b">
        <v>0</v>
      </c>
      <c r="B184" s="8" t="s">
        <v>530</v>
      </c>
      <c r="C184" s="8" t="s">
        <v>531</v>
      </c>
      <c r="D184" s="8" t="str">
        <f>Q&amp;$K184&amp;Q&amp;":{"&amp;Q&amp;$B$2&amp;Q&amp;":"&amp;Q&amp;$B184&amp;Q&amp;","&amp;Q&amp;$C$2&amp;Q&amp;":"&amp;Q&amp;$C184&amp;Q&amp;","&amp;Q&amp;"sets"&amp;Q&amp;":"&amp;Q&amp;substitute(SUBSTITUTE($H184,"[",""),"]","")&amp;Q&amp;"},"</f>
        <v>"euzn":{"label":"Extreme","extra":"(exceptional, superlative, radical) ","sets":"Basic Set, Party Set"},</v>
      </c>
      <c r="E184" s="9" t="str">
        <f t="shared" si="2"/>
        <v>data:image/svg+xml,%3csvg xmlns='http://www.w3.org/2000/svg' viewBox='0 0 24 216'%3e%3ctext fill='%23fff' style='font: 900 16px sans-serif' text-anchor='end' transform='matrix(0 -1 1 0 18 5)'%3eExtreme%3c/text%3e%3c/svg%3e</v>
      </c>
      <c r="F184" s="10" t="str">
        <f t="shared" si="3"/>
        <v>https://svgtext.heliohost.us/cgi-bin/gen.perl?text=Extreme</v>
      </c>
      <c r="G184" s="11" t="str">
        <f t="shared" si="4"/>
        <v>data:image/svg+xml,%3csvg xmlns='http://www.w3.org/2000/svg' viewBox='0 0 24 216'%3e%3ctext fill='%23fff' style='font: 900 16px sans-serif' text-anchor='end' transform='matrix(0 -1 1 0 18 5)'%3eExtreme%3c/text%3e%3c/svg%3e</v>
      </c>
      <c r="H184" s="8" t="s">
        <v>29</v>
      </c>
      <c r="I184" s="8">
        <f t="shared" ref="I184:J184" si="185">len(B184)</f>
        <v>7</v>
      </c>
      <c r="J184" s="8">
        <f t="shared" si="185"/>
        <v>36</v>
      </c>
      <c r="K184" s="8" t="s">
        <v>532</v>
      </c>
    </row>
    <row r="185">
      <c r="A185" s="7" t="b">
        <v>0</v>
      </c>
      <c r="B185" s="8" t="s">
        <v>533</v>
      </c>
      <c r="C185" s="8" t="s">
        <v>534</v>
      </c>
      <c r="D185" s="8" t="str">
        <f>Q&amp;$K185&amp;Q&amp;":{"&amp;Q&amp;$B$2&amp;Q&amp;":"&amp;Q&amp;$B185&amp;Q&amp;","&amp;Q&amp;$C$2&amp;Q&amp;":"&amp;Q&amp;$C185&amp;Q&amp;","&amp;Q&amp;"sets"&amp;Q&amp;":"&amp;Q&amp;substitute(SUBSTITUTE($H185,"[",""),"]","")&amp;Q&amp;"},"</f>
        <v>"xrfc":{"label":"Fabulous","extra":"(marvelous, wonderful, incredible) ","sets":"Basic Set, Party Set"},</v>
      </c>
      <c r="E185" s="9" t="str">
        <f t="shared" si="2"/>
        <v>data:image/svg+xml,%3csvg xmlns='http://www.w3.org/2000/svg' viewBox='0 0 24 216'%3e%3ctext fill='%23fff' style='font: 900 16px sans-serif' text-anchor='end' transform='matrix(0 -1 1 0 18 5)'%3eFabulous%3c/text%3e%3c/svg%3e</v>
      </c>
      <c r="F185" s="10" t="str">
        <f t="shared" si="3"/>
        <v>https://svgtext.heliohost.us/cgi-bin/gen.perl?text=Fabulous</v>
      </c>
      <c r="G185" s="11" t="str">
        <f t="shared" si="4"/>
        <v>data:image/svg+xml,%3csvg xmlns='http://www.w3.org/2000/svg' viewBox='0 0 24 216'%3e%3ctext fill='%23fff' style='font: 900 16px sans-serif' text-anchor='end' transform='matrix(0 -1 1 0 18 5)'%3eFabulous%3c/text%3e%3c/svg%3e</v>
      </c>
      <c r="H185" s="8" t="s">
        <v>29</v>
      </c>
      <c r="I185" s="8">
        <f t="shared" ref="I185:J185" si="186">len(B185)</f>
        <v>8</v>
      </c>
      <c r="J185" s="8">
        <f t="shared" si="186"/>
        <v>35</v>
      </c>
      <c r="K185" s="8" t="s">
        <v>535</v>
      </c>
    </row>
    <row r="186">
      <c r="A186" s="7" t="b">
        <v>0</v>
      </c>
      <c r="B186" s="8" t="s">
        <v>536</v>
      </c>
      <c r="C186" s="8" t="s">
        <v>537</v>
      </c>
      <c r="D186" s="8" t="str">
        <f>Q&amp;$K186&amp;Q&amp;":{"&amp;Q&amp;$B$2&amp;Q&amp;":"&amp;Q&amp;$B186&amp;Q&amp;","&amp;Q&amp;$C$2&amp;Q&amp;":"&amp;Q&amp;$C186&amp;Q&amp;","&amp;Q&amp;"sets"&amp;Q&amp;":"&amp;Q&amp;substitute(SUBSTITUTE($H186,"[",""),"]","")&amp;Q&amp;"},"</f>
        <v>"ikts":{"label":"Fake","extra":"(unreal, counterfeit, deceptive) ","sets":"Expansion Set 2, Party Set"},</v>
      </c>
      <c r="E186" s="9" t="str">
        <f t="shared" si="2"/>
        <v>data:image/svg+xml,%3csvg xmlns='http://www.w3.org/2000/svg' viewBox='0 0 24 216'%3e%3ctext fill='%23fff' style='font: 900 16px sans-serif' text-anchor='end' transform='matrix(0 -1 1 0 18 5)'%3eFake%3c/text%3e%3c/svg%3e</v>
      </c>
      <c r="F186" s="10" t="str">
        <f t="shared" si="3"/>
        <v>https://svgtext.heliohost.us/cgi-bin/gen.perl?text=Fake</v>
      </c>
      <c r="G186" s="11" t="str">
        <f t="shared" si="4"/>
        <v>data:image/svg+xml,%3csvg xmlns='http://www.w3.org/2000/svg' viewBox='0 0 24 216'%3e%3ctext fill='%23fff' style='font: 900 16px sans-serif' text-anchor='end' transform='matrix(0 -1 1 0 18 5)'%3eFake%3c/text%3e%3c/svg%3e</v>
      </c>
      <c r="H186" s="8" t="s">
        <v>17</v>
      </c>
      <c r="I186" s="8">
        <f t="shared" ref="I186:J186" si="187">len(B186)</f>
        <v>4</v>
      </c>
      <c r="J186" s="8">
        <f t="shared" si="187"/>
        <v>33</v>
      </c>
      <c r="K186" s="8" t="s">
        <v>538</v>
      </c>
    </row>
    <row r="187">
      <c r="A187" s="7" t="b">
        <v>1</v>
      </c>
      <c r="B187" s="8" t="s">
        <v>539</v>
      </c>
      <c r="C187" s="8" t="s">
        <v>540</v>
      </c>
      <c r="D187" s="8" t="str">
        <f>Q&amp;$K187&amp;Q&amp;":{"&amp;Q&amp;$B$2&amp;Q&amp;":"&amp;Q&amp;$B187&amp;Q&amp;","&amp;Q&amp;$C$2&amp;Q&amp;":"&amp;Q&amp;$C187&amp;Q&amp;","&amp;Q&amp;"sets"&amp;Q&amp;":"&amp;Q&amp;substitute(SUBSTITUTE($H187,"[",""),"]","")&amp;Q&amp;"},"</f>
        <v>"ymub":{"label":"Famous","extra":"(well-known, celebrated, distinguished) ","sets":"Expansion Set 3, Party Expansion 1"},</v>
      </c>
      <c r="E187" s="9" t="str">
        <f t="shared" si="2"/>
        <v>data:image/svg+xml,%3csvg xmlns='http://www.w3.org/2000/svg' viewBox='0 0 24 216'%3e%3ctext fill='%23fff' style='font: 900 16px sans-serif' text-anchor='end' transform='matrix(0 -1 1 0 18 5)'%3eFamous%3c/text%3e%3c/svg%3e</v>
      </c>
      <c r="F187" s="10" t="str">
        <f t="shared" si="3"/>
        <v>https://svgtext.heliohost.us/cgi-bin/gen.perl?text=Famous</v>
      </c>
      <c r="G187" s="11" t="str">
        <f t="shared" si="4"/>
        <v>data:image/svg+xml,%3csvg xmlns='http://www.w3.org/2000/svg' viewBox='0 0 24 216'%3e%3ctext fill='%23fff' style='font: 900 16px sans-serif' text-anchor='end' transform='matrix(0 -1 1 0 18 5)'%3eFamous%3c/text%3e%3c/svg%3e</v>
      </c>
      <c r="H187" s="8" t="s">
        <v>39</v>
      </c>
      <c r="I187" s="8">
        <f t="shared" ref="I187:J187" si="188">len(B187)</f>
        <v>6</v>
      </c>
      <c r="J187" s="8">
        <f t="shared" si="188"/>
        <v>40</v>
      </c>
      <c r="K187" s="8" t="s">
        <v>541</v>
      </c>
    </row>
    <row r="188">
      <c r="A188" s="7" t="b">
        <v>0</v>
      </c>
      <c r="B188" s="8" t="s">
        <v>539</v>
      </c>
      <c r="C188" s="8" t="s">
        <v>542</v>
      </c>
      <c r="D188" s="8" t="str">
        <f>Q&amp;$K188&amp;Q&amp;":{"&amp;Q&amp;$B$2&amp;Q&amp;":"&amp;Q&amp;$B188&amp;Q&amp;","&amp;Q&amp;$C$2&amp;Q&amp;":"&amp;Q&amp;$C188&amp;Q&amp;","&amp;Q&amp;"sets"&amp;Q&amp;":"&amp;Q&amp;substitute(SUBSTITUTE($H188,"[",""),"]","")&amp;Q&amp;"},"</f>
        <v>"uvjj":{"label":"Famous","extra":"(well-known, important) ","sets":"Junior 9+ (2nd)"},</v>
      </c>
      <c r="E188" s="9" t="str">
        <f t="shared" si="2"/>
        <v>data:image/svg+xml,%3csvg xmlns='http://www.w3.org/2000/svg' viewBox='0 0 24 216'%3e%3ctext fill='%23fff' style='font: 900 16px sans-serif' text-anchor='end' transform='matrix(0 -1 1 0 18 5)'%3eFamous%3c/text%3e%3c/svg%3e</v>
      </c>
      <c r="F188" s="10" t="str">
        <f t="shared" si="3"/>
        <v>https://svgtext.heliohost.us/cgi-bin/gen.perl?text=Famous</v>
      </c>
      <c r="G188" s="11" t="str">
        <f t="shared" si="4"/>
        <v>data:image/svg+xml,%3csvg xmlns='http://www.w3.org/2000/svg' viewBox='0 0 24 216'%3e%3ctext fill='%23fff' style='font: 900 16px sans-serif' text-anchor='end' transform='matrix(0 -1 1 0 18 5)'%3eFamous%3c/text%3e%3c/svg%3e</v>
      </c>
      <c r="H188" s="8" t="s">
        <v>32</v>
      </c>
      <c r="I188" s="8">
        <f t="shared" ref="I188:J188" si="189">len(B188)</f>
        <v>6</v>
      </c>
      <c r="J188" s="8">
        <f t="shared" si="189"/>
        <v>24</v>
      </c>
      <c r="K188" s="8" t="s">
        <v>543</v>
      </c>
    </row>
    <row r="189">
      <c r="A189" s="7" t="b">
        <v>0</v>
      </c>
      <c r="B189" s="8" t="s">
        <v>544</v>
      </c>
      <c r="C189" s="8" t="s">
        <v>545</v>
      </c>
      <c r="D189" s="8" t="str">
        <f>Q&amp;$K189&amp;Q&amp;":{"&amp;Q&amp;$B$2&amp;Q&amp;":"&amp;Q&amp;$B189&amp;Q&amp;","&amp;Q&amp;$C$2&amp;Q&amp;":"&amp;Q&amp;$C189&amp;Q&amp;","&amp;Q&amp;"sets"&amp;Q&amp;":"&amp;Q&amp;substitute(SUBSTITUTE($H189,"[",""),"]","")&amp;Q&amp;"},"</f>
        <v>"ehut":{"label":"Fancy","extra":"(showy, ornate, decorated) ","sets":"Expansion Set 1, Party Set"},</v>
      </c>
      <c r="E189" s="9" t="str">
        <f t="shared" si="2"/>
        <v>data:image/svg+xml,%3csvg xmlns='http://www.w3.org/2000/svg' viewBox='0 0 24 216'%3e%3ctext fill='%23fff' style='font: 900 16px sans-serif' text-anchor='end' transform='matrix(0 -1 1 0 18 5)'%3eFancy%3c/text%3e%3c/svg%3e</v>
      </c>
      <c r="F189" s="10" t="str">
        <f t="shared" si="3"/>
        <v>https://svgtext.heliohost.us/cgi-bin/gen.perl?text=Fancy</v>
      </c>
      <c r="G189" s="11" t="str">
        <f t="shared" si="4"/>
        <v>data:image/svg+xml,%3csvg xmlns='http://www.w3.org/2000/svg' viewBox='0 0 24 216'%3e%3ctext fill='%23fff' style='font: 900 16px sans-serif' text-anchor='end' transform='matrix(0 -1 1 0 18 5)'%3eFancy%3c/text%3e%3c/svg%3e</v>
      </c>
      <c r="H189" s="8" t="s">
        <v>25</v>
      </c>
      <c r="I189" s="8">
        <f t="shared" ref="I189:J189" si="190">len(B189)</f>
        <v>5</v>
      </c>
      <c r="J189" s="8">
        <f t="shared" si="190"/>
        <v>27</v>
      </c>
      <c r="K189" s="8" t="s">
        <v>546</v>
      </c>
    </row>
    <row r="190">
      <c r="A190" s="7" t="b">
        <v>0</v>
      </c>
      <c r="B190" s="8" t="s">
        <v>544</v>
      </c>
      <c r="C190" s="8" t="s">
        <v>547</v>
      </c>
      <c r="D190" s="8" t="str">
        <f>Q&amp;$K190&amp;Q&amp;":{"&amp;Q&amp;$B$2&amp;Q&amp;":"&amp;Q&amp;$B190&amp;Q&amp;","&amp;Q&amp;$C$2&amp;Q&amp;":"&amp;Q&amp;$C190&amp;Q&amp;","&amp;Q&amp;"sets"&amp;Q&amp;":"&amp;Q&amp;substitute(SUBSTITUTE($H190,"[",""),"]","")&amp;Q&amp;"},"</f>
        <v>"gwpm":{"label":"Fancy","extra":"(decorated, elegant) ","sets":"Junior"},</v>
      </c>
      <c r="E190" s="9" t="str">
        <f t="shared" si="2"/>
        <v>data:image/svg+xml,%3csvg xmlns='http://www.w3.org/2000/svg' viewBox='0 0 24 216'%3e%3ctext fill='%23fff' style='font: 900 16px sans-serif' text-anchor='end' transform='matrix(0 -1 1 0 18 5)'%3eFancy%3c/text%3e%3c/svg%3e</v>
      </c>
      <c r="F190" s="10" t="str">
        <f t="shared" si="3"/>
        <v>https://svgtext.heliohost.us/cgi-bin/gen.perl?text=Fancy</v>
      </c>
      <c r="G190" s="11" t="str">
        <f t="shared" si="4"/>
        <v>data:image/svg+xml,%3csvg xmlns='http://www.w3.org/2000/svg' viewBox='0 0 24 216'%3e%3ctext fill='%23fff' style='font: 900 16px sans-serif' text-anchor='end' transform='matrix(0 -1 1 0 18 5)'%3eFancy%3c/text%3e%3c/svg%3e</v>
      </c>
      <c r="H190" s="8" t="s">
        <v>84</v>
      </c>
      <c r="I190" s="8">
        <f t="shared" ref="I190:J190" si="191">len(B190)</f>
        <v>5</v>
      </c>
      <c r="J190" s="8">
        <f t="shared" si="191"/>
        <v>21</v>
      </c>
      <c r="K190" s="8" t="s">
        <v>548</v>
      </c>
    </row>
    <row r="191">
      <c r="A191" s="7" t="b">
        <v>0</v>
      </c>
      <c r="B191" s="8" t="s">
        <v>549</v>
      </c>
      <c r="C191" s="8" t="s">
        <v>550</v>
      </c>
      <c r="D191" s="8" t="str">
        <f>Q&amp;$K191&amp;Q&amp;":{"&amp;Q&amp;$B$2&amp;Q&amp;":"&amp;Q&amp;$B191&amp;Q&amp;","&amp;Q&amp;$C$2&amp;Q&amp;":"&amp;Q&amp;$C191&amp;Q&amp;","&amp;Q&amp;"sets"&amp;Q&amp;":"&amp;Q&amp;substitute(SUBSTITUTE($H191,"[",""),"]","")&amp;Q&amp;"},"</f>
        <v>"jrdb":{"label":"Fantastic","extra":"(awesome, outrageous, imaginary) ","sets":"Expansion Set 1, Party Set"},</v>
      </c>
      <c r="E191" s="9" t="str">
        <f t="shared" si="2"/>
        <v>data:image/svg+xml,%3csvg xmlns='http://www.w3.org/2000/svg' viewBox='0 0 24 216'%3e%3ctext fill='%23fff' style='font: 900 16px sans-serif' text-anchor='end' transform='matrix(0 -1 1 0 18 5)'%3eFantastic%3c/text%3e%3c/svg%3e</v>
      </c>
      <c r="F191" s="10" t="str">
        <f t="shared" si="3"/>
        <v>https://svgtext.heliohost.us/cgi-bin/gen.perl?text=Fantastic</v>
      </c>
      <c r="G191" s="11" t="str">
        <f t="shared" si="4"/>
        <v>data:image/svg+xml,%3csvg xmlns='http://www.w3.org/2000/svg' viewBox='0 0 24 216'%3e%3ctext fill='%23fff' style='font: 900 16px sans-serif' text-anchor='end' transform='matrix(0 -1 1 0 18 5)'%3eFantastic%3c/text%3e%3c/svg%3e</v>
      </c>
      <c r="H191" s="8" t="s">
        <v>25</v>
      </c>
      <c r="I191" s="8">
        <f t="shared" ref="I191:J191" si="192">len(B191)</f>
        <v>9</v>
      </c>
      <c r="J191" s="8">
        <f t="shared" si="192"/>
        <v>33</v>
      </c>
      <c r="K191" s="8" t="s">
        <v>551</v>
      </c>
    </row>
    <row r="192">
      <c r="A192" s="7" t="b">
        <v>1</v>
      </c>
      <c r="B192" s="8" t="s">
        <v>552</v>
      </c>
      <c r="C192" s="8" t="s">
        <v>553</v>
      </c>
      <c r="D192" s="8" t="str">
        <f>Q&amp;$K192&amp;Q&amp;":{"&amp;Q&amp;$B$2&amp;Q&amp;":"&amp;Q&amp;$B192&amp;Q&amp;","&amp;Q&amp;$C$2&amp;Q&amp;":"&amp;Q&amp;$C192&amp;Q&amp;","&amp;Q&amp;"sets"&amp;Q&amp;":"&amp;Q&amp;substitute(SUBSTITUTE($H192,"[",""),"]","")&amp;Q&amp;"},"</f>
        <v>"yubk":{"label":"Fascinating","extra":"(interesting, attractive) ","sets":"Junior 9+ (2nd)"},</v>
      </c>
      <c r="E192" s="9" t="str">
        <f t="shared" si="2"/>
        <v>data:image/svg+xml,%3csvg xmlns='http://www.w3.org/2000/svg' viewBox='0 0 24 216'%3e%3ctext fill='%23fff' style='font: 900 16px sans-serif' text-anchor='end' transform='matrix(0 -1 1 0 18 5)'%3eFascinating%3c/text%3e%3c/svg%3e</v>
      </c>
      <c r="F192" s="10" t="str">
        <f t="shared" si="3"/>
        <v>https://svgtext.heliohost.us/cgi-bin/gen.perl?text=Fascinating</v>
      </c>
      <c r="G192" s="11" t="str">
        <f t="shared" si="4"/>
        <v>data:image/svg+xml,%3csvg xmlns='http://www.w3.org/2000/svg' viewBox='0 0 24 216'%3e%3ctext fill='%23fff' style='font: 900 16px sans-serif' text-anchor='end' transform='matrix(0 -1 1 0 18 5)'%3eFascinating%3c/text%3e%3c/svg%3e</v>
      </c>
      <c r="H192" s="8" t="s">
        <v>32</v>
      </c>
      <c r="I192" s="8">
        <f t="shared" ref="I192:J192" si="193">len(B192)</f>
        <v>11</v>
      </c>
      <c r="J192" s="8">
        <f t="shared" si="193"/>
        <v>26</v>
      </c>
      <c r="K192" s="8" t="s">
        <v>554</v>
      </c>
    </row>
    <row r="193">
      <c r="A193" s="7" t="b">
        <v>1</v>
      </c>
      <c r="B193" s="8" t="s">
        <v>555</v>
      </c>
      <c r="C193" s="8" t="s">
        <v>556</v>
      </c>
      <c r="D193" s="8" t="str">
        <f>Q&amp;$K193&amp;Q&amp;":{"&amp;Q&amp;$B$2&amp;Q&amp;":"&amp;Q&amp;$B193&amp;Q&amp;","&amp;Q&amp;$C$2&amp;Q&amp;":"&amp;Q&amp;$C193&amp;Q&amp;","&amp;Q&amp;"sets"&amp;Q&amp;":"&amp;Q&amp;substitute(SUBSTITUTE($H193,"[",""),"]","")&amp;Q&amp;"},"</f>
        <v>"lgoo":{"label":"Fashionable","extra":"(stylish, dashing, current) ","sets":"Expansion Set 3, Party Expansion 1"},</v>
      </c>
      <c r="E193" s="9" t="str">
        <f t="shared" si="2"/>
        <v>data:image/svg+xml,%3csvg xmlns='http://www.w3.org/2000/svg' viewBox='0 0 24 216'%3e%3ctext fill='%23fff' style='font: 900 16px sans-serif' text-anchor='end' transform='matrix(0 -1 1 0 18 5)'%3eFashionable%3c/text%3e%3c/svg%3e</v>
      </c>
      <c r="F193" s="10" t="str">
        <f t="shared" si="3"/>
        <v>https://svgtext.heliohost.us/cgi-bin/gen.perl?text=Fashionable</v>
      </c>
      <c r="G193" s="11" t="str">
        <f t="shared" si="4"/>
        <v>data:image/svg+xml,%3csvg xmlns='http://www.w3.org/2000/svg' viewBox='0 0 24 216'%3e%3ctext fill='%23fff' style='font: 900 16px sans-serif' text-anchor='end' transform='matrix(0 -1 1 0 18 5)'%3eFashionable%3c/text%3e%3c/svg%3e</v>
      </c>
      <c r="H193" s="8" t="s">
        <v>39</v>
      </c>
      <c r="I193" s="8">
        <f t="shared" ref="I193:J193" si="194">len(B193)</f>
        <v>11</v>
      </c>
      <c r="J193" s="8">
        <f t="shared" si="194"/>
        <v>28</v>
      </c>
      <c r="K193" s="8" t="s">
        <v>557</v>
      </c>
    </row>
    <row r="194">
      <c r="A194" s="7" t="b">
        <v>1</v>
      </c>
      <c r="B194" s="8" t="s">
        <v>558</v>
      </c>
      <c r="C194" s="8" t="s">
        <v>559</v>
      </c>
      <c r="D194" s="8" t="str">
        <f>Q&amp;$K194&amp;Q&amp;":{"&amp;Q&amp;$B$2&amp;Q&amp;":"&amp;Q&amp;$B194&amp;Q&amp;","&amp;Q&amp;$C$2&amp;Q&amp;":"&amp;Q&amp;$C194&amp;Q&amp;","&amp;Q&amp;"sets"&amp;Q&amp;":"&amp;Q&amp;substitute(SUBSTITUTE($H194,"[",""),"]","")&amp;Q&amp;"},"</f>
        <v>"kvgh":{"label":"Fast","extra":"(swift, quick, rapid) ","sets":"Expansion Set 3, Party Expansion 1"},</v>
      </c>
      <c r="E194" s="9" t="str">
        <f t="shared" si="2"/>
        <v>data:image/svg+xml,%3csvg xmlns='http://www.w3.org/2000/svg' viewBox='0 0 24 216'%3e%3ctext fill='%23fff' style='font: 900 16px sans-serif' text-anchor='end' transform='matrix(0 -1 1 0 18 5)'%3eFast%3c/text%3e%3c/svg%3e</v>
      </c>
      <c r="F194" s="10" t="str">
        <f t="shared" si="3"/>
        <v>https://svgtext.heliohost.us/cgi-bin/gen.perl?text=Fast</v>
      </c>
      <c r="G194" s="11" t="str">
        <f t="shared" si="4"/>
        <v>data:image/svg+xml,%3csvg xmlns='http://www.w3.org/2000/svg' viewBox='0 0 24 216'%3e%3ctext fill='%23fff' style='font: 900 16px sans-serif' text-anchor='end' transform='matrix(0 -1 1 0 18 5)'%3eFast%3c/text%3e%3c/svg%3e</v>
      </c>
      <c r="H194" s="8" t="s">
        <v>39</v>
      </c>
      <c r="I194" s="8">
        <f t="shared" ref="I194:J194" si="195">len(B194)</f>
        <v>4</v>
      </c>
      <c r="J194" s="8">
        <f t="shared" si="195"/>
        <v>22</v>
      </c>
      <c r="K194" s="8" t="s">
        <v>560</v>
      </c>
    </row>
    <row r="195">
      <c r="A195" s="7" t="b">
        <v>0</v>
      </c>
      <c r="B195" s="8" t="s">
        <v>558</v>
      </c>
      <c r="C195" s="8" t="s">
        <v>561</v>
      </c>
      <c r="D195" s="8" t="str">
        <f>Q&amp;$K195&amp;Q&amp;":{"&amp;Q&amp;$B$2&amp;Q&amp;":"&amp;Q&amp;$B195&amp;Q&amp;","&amp;Q&amp;$C$2&amp;Q&amp;":"&amp;Q&amp;$C195&amp;Q&amp;","&amp;Q&amp;"sets"&amp;Q&amp;":"&amp;Q&amp;substitute(SUBSTITUTE($H195,"[",""),"]","")&amp;Q&amp;"},"</f>
        <v>"scqo":{"label":"Fast","extra":"(speedy, quick) ","sets":"Junior"},</v>
      </c>
      <c r="E195" s="9" t="str">
        <f t="shared" si="2"/>
        <v>data:image/svg+xml,%3csvg xmlns='http://www.w3.org/2000/svg' viewBox='0 0 24 216'%3e%3ctext fill='%23fff' style='font: 900 16px sans-serif' text-anchor='end' transform='matrix(0 -1 1 0 18 5)'%3eFast%3c/text%3e%3c/svg%3e</v>
      </c>
      <c r="F195" s="10" t="str">
        <f t="shared" si="3"/>
        <v>https://svgtext.heliohost.us/cgi-bin/gen.perl?text=Fast</v>
      </c>
      <c r="G195" s="11" t="str">
        <f t="shared" si="4"/>
        <v>data:image/svg+xml,%3csvg xmlns='http://www.w3.org/2000/svg' viewBox='0 0 24 216'%3e%3ctext fill='%23fff' style='font: 900 16px sans-serif' text-anchor='end' transform='matrix(0 -1 1 0 18 5)'%3eFast%3c/text%3e%3c/svg%3e</v>
      </c>
      <c r="H195" s="8" t="s">
        <v>84</v>
      </c>
      <c r="I195" s="8">
        <f t="shared" ref="I195:J195" si="196">len(B195)</f>
        <v>4</v>
      </c>
      <c r="J195" s="8">
        <f t="shared" si="196"/>
        <v>16</v>
      </c>
      <c r="K195" s="8" t="s">
        <v>562</v>
      </c>
    </row>
    <row r="196">
      <c r="A196" s="7" t="b">
        <v>1</v>
      </c>
      <c r="B196" s="8" t="s">
        <v>563</v>
      </c>
      <c r="C196" s="8" t="s">
        <v>564</v>
      </c>
      <c r="D196" s="8" t="str">
        <f>Q&amp;$K196&amp;Q&amp;":{"&amp;Q&amp;$B$2&amp;Q&amp;":"&amp;Q&amp;$B196&amp;Q&amp;","&amp;Q&amp;$C$2&amp;Q&amp;":"&amp;Q&amp;$C196&amp;Q&amp;","&amp;Q&amp;"sets"&amp;Q&amp;":"&amp;Q&amp;substitute(SUBSTITUTE($H196,"[",""),"]","")&amp;Q&amp;"},"</f>
        <v>"muyf":{"label":"Fast &amp; Furious","extra":"(wild, reckless, breakneck) ","sets":"Expansion Set 4, Party Expansion 1"},</v>
      </c>
      <c r="E196" s="9" t="str">
        <f t="shared" si="2"/>
        <v>data:image/svg+xml,%3csvg xmlns='http://www.w3.org/2000/svg' viewBox='0 0 24 216'%3e%3ctext fill='%23fff' style='font: 900 16px sans-serif' text-anchor='end' transform='matrix(0 -1 1 0 18 5)'%3eFast %26amp%3B Furious%3c/text%3e%3c/svg%3e</v>
      </c>
      <c r="F196" s="10" t="str">
        <f t="shared" si="3"/>
        <v>https://svgtext.heliohost.us/cgi-bin/gen.perl?text=Fast%20%26%20Furious</v>
      </c>
      <c r="G196" s="11" t="str">
        <f t="shared" si="4"/>
        <v>data:image/svg+xml,%3csvg xmlns='http://www.w3.org/2000/svg' viewBox='0 0 24 216'%3e%3ctext fill='%23fff' style='font: 900 16px sans-serif' text-anchor='end' transform='matrix(0 -1 1 0 18 5)'%3eFast %26amp%3B Furious%3c/text%3e%3c/svg%3e</v>
      </c>
      <c r="H196" s="8" t="s">
        <v>63</v>
      </c>
      <c r="I196" s="8">
        <f t="shared" ref="I196:J196" si="197">len(B196)</f>
        <v>14</v>
      </c>
      <c r="J196" s="8">
        <f t="shared" si="197"/>
        <v>28</v>
      </c>
      <c r="K196" s="8" t="s">
        <v>565</v>
      </c>
    </row>
    <row r="197">
      <c r="A197" s="7" t="b">
        <v>1</v>
      </c>
      <c r="B197" s="8" t="s">
        <v>566</v>
      </c>
      <c r="C197" s="8" t="s">
        <v>567</v>
      </c>
      <c r="D197" s="8" t="str">
        <f>Q&amp;$K197&amp;Q&amp;":{"&amp;Q&amp;$B$2&amp;Q&amp;":"&amp;Q&amp;$B197&amp;Q&amp;","&amp;Q&amp;$C$2&amp;Q&amp;":"&amp;Q&amp;$C197&amp;Q&amp;","&amp;Q&amp;"sets"&amp;Q&amp;":"&amp;Q&amp;substitute(SUBSTITUTE($H197,"[",""),"]","")&amp;Q&amp;"},"</f>
        <v>"rdyj":{"label":"Fast &amp; Loose","extra":"(deceitful, fraudulent, reckless) ","sets":"Expansion Set 4, Party Expansion 1"},</v>
      </c>
      <c r="E197" s="9" t="str">
        <f t="shared" si="2"/>
        <v>data:image/svg+xml,%3csvg xmlns='http://www.w3.org/2000/svg' viewBox='0 0 24 216'%3e%3ctext fill='%23fff' style='font: 900 16px sans-serif' text-anchor='end' transform='matrix(0 -1 1 0 18 5)'%3eFast %26amp%3B Loose%3c/text%3e%3c/svg%3e</v>
      </c>
      <c r="F197" s="10" t="str">
        <f t="shared" si="3"/>
        <v>https://svgtext.heliohost.us/cgi-bin/gen.perl?text=Fast%20%26%20Loose</v>
      </c>
      <c r="G197" s="11" t="str">
        <f t="shared" si="4"/>
        <v>data:image/svg+xml,%3csvg xmlns='http://www.w3.org/2000/svg' viewBox='0 0 24 216'%3e%3ctext fill='%23fff' style='font: 900 16px sans-serif' text-anchor='end' transform='matrix(0 -1 1 0 18 5)'%3eFast %26amp%3B Loose%3c/text%3e%3c/svg%3e</v>
      </c>
      <c r="H197" s="8" t="s">
        <v>63</v>
      </c>
      <c r="I197" s="8">
        <f t="shared" ref="I197:J197" si="198">len(B197)</f>
        <v>12</v>
      </c>
      <c r="J197" s="8">
        <f t="shared" si="198"/>
        <v>34</v>
      </c>
      <c r="K197" s="8" t="s">
        <v>568</v>
      </c>
    </row>
    <row r="198">
      <c r="A198" s="7" t="b">
        <v>0</v>
      </c>
      <c r="B198" s="8" t="s">
        <v>569</v>
      </c>
      <c r="C198" s="8" t="s">
        <v>570</v>
      </c>
      <c r="D198" s="8" t="str">
        <f>Q&amp;$K198&amp;Q&amp;":{"&amp;Q&amp;$B$2&amp;Q&amp;":"&amp;Q&amp;$B198&amp;Q&amp;","&amp;Q&amp;$C$2&amp;Q&amp;":"&amp;Q&amp;$C198&amp;Q&amp;","&amp;Q&amp;"sets"&amp;Q&amp;":"&amp;Q&amp;substitute(SUBSTITUTE($H198,"[",""),"]","")&amp;Q&amp;"},"</f>
        <v>"edeh":{"label":"Fat","extra":"(plump, thick) ","sets":"Junior"},</v>
      </c>
      <c r="E198" s="9" t="str">
        <f t="shared" si="2"/>
        <v>data:image/svg+xml,%3csvg xmlns='http://www.w3.org/2000/svg' viewBox='0 0 24 216'%3e%3ctext fill='%23fff' style='font: 900 16px sans-serif' text-anchor='end' transform='matrix(0 -1 1 0 18 5)'%3eFat%3c/text%3e%3c/svg%3e</v>
      </c>
      <c r="F198" s="10" t="str">
        <f t="shared" si="3"/>
        <v>https://svgtext.heliohost.us/cgi-bin/gen.perl?text=Fat</v>
      </c>
      <c r="G198" s="11" t="str">
        <f t="shared" si="4"/>
        <v>data:image/svg+xml,%3csvg xmlns='http://www.w3.org/2000/svg' viewBox='0 0 24 216'%3e%3ctext fill='%23fff' style='font: 900 16px sans-serif' text-anchor='end' transform='matrix(0 -1 1 0 18 5)'%3eFat%3c/text%3e%3c/svg%3e</v>
      </c>
      <c r="H198" s="8" t="s">
        <v>84</v>
      </c>
      <c r="I198" s="8">
        <f t="shared" ref="I198:J198" si="199">len(B198)</f>
        <v>3</v>
      </c>
      <c r="J198" s="8">
        <f t="shared" si="199"/>
        <v>15</v>
      </c>
      <c r="K198" s="8" t="s">
        <v>571</v>
      </c>
    </row>
    <row r="199">
      <c r="A199" s="7" t="b">
        <v>1</v>
      </c>
      <c r="B199" s="8" t="s">
        <v>572</v>
      </c>
      <c r="C199" s="8" t="s">
        <v>573</v>
      </c>
      <c r="D199" s="8" t="str">
        <f>Q&amp;$K199&amp;Q&amp;":{"&amp;Q&amp;$B$2&amp;Q&amp;":"&amp;Q&amp;$B199&amp;Q&amp;","&amp;Q&amp;$C$2&amp;Q&amp;":"&amp;Q&amp;$C199&amp;Q&amp;","&amp;Q&amp;"sets"&amp;Q&amp;":"&amp;Q&amp;substitute(SUBSTITUTE($H199,"[",""),"]","")&amp;Q&amp;"},"</f>
        <v>"kgyn":{"label":"Fat &amp; Happy","extra":"(content, satisfied, assured) ","sets":"Expansion Set 4, Party Expansion 1"},</v>
      </c>
      <c r="E199" s="9" t="str">
        <f t="shared" si="2"/>
        <v>data:image/svg+xml,%3csvg xmlns='http://www.w3.org/2000/svg' viewBox='0 0 24 216'%3e%3ctext fill='%23fff' style='font: 900 16px sans-serif' text-anchor='end' transform='matrix(0 -1 1 0 18 5)'%3eFat %26amp%3B Happy%3c/text%3e%3c/svg%3e</v>
      </c>
      <c r="F199" s="10" t="str">
        <f t="shared" si="3"/>
        <v>https://svgtext.heliohost.us/cgi-bin/gen.perl?text=Fat%20%26%20Happy</v>
      </c>
      <c r="G199" s="11" t="str">
        <f t="shared" si="4"/>
        <v>data:image/svg+xml,%3csvg xmlns='http://www.w3.org/2000/svg' viewBox='0 0 24 216'%3e%3ctext fill='%23fff' style='font: 900 16px sans-serif' text-anchor='end' transform='matrix(0 -1 1 0 18 5)'%3eFat %26amp%3B Happy%3c/text%3e%3c/svg%3e</v>
      </c>
      <c r="H199" s="8" t="s">
        <v>63</v>
      </c>
      <c r="I199" s="8">
        <f t="shared" ref="I199:J199" si="200">len(B199)</f>
        <v>11</v>
      </c>
      <c r="J199" s="8">
        <f t="shared" si="200"/>
        <v>30</v>
      </c>
      <c r="K199" s="8" t="s">
        <v>574</v>
      </c>
    </row>
    <row r="200">
      <c r="A200" s="7" t="b">
        <v>0</v>
      </c>
      <c r="B200" s="8" t="s">
        <v>575</v>
      </c>
      <c r="C200" s="8" t="s">
        <v>576</v>
      </c>
      <c r="D200" s="8" t="str">
        <f>Q&amp;$K200&amp;Q&amp;":{"&amp;Q&amp;$B$2&amp;Q&amp;":"&amp;Q&amp;$B200&amp;Q&amp;","&amp;Q&amp;$C$2&amp;Q&amp;":"&amp;Q&amp;$C200&amp;Q&amp;","&amp;Q&amp;"sets"&amp;Q&amp;":"&amp;Q&amp;substitute(SUBSTITUTE($H200,"[",""),"]","")&amp;Q&amp;"},"</f>
        <v>"rwds":{"label":"Favorite","extra":"(preferred, desired) ","sets":"Junior 9+ (2nd)"},</v>
      </c>
      <c r="E200" s="9" t="str">
        <f t="shared" si="2"/>
        <v>data:image/svg+xml,%3csvg xmlns='http://www.w3.org/2000/svg' viewBox='0 0 24 216'%3e%3ctext fill='%23fff' style='font: 900 16px sans-serif' text-anchor='end' transform='matrix(0 -1 1 0 18 5)'%3eFavorite%3c/text%3e%3c/svg%3e</v>
      </c>
      <c r="F200" s="10" t="str">
        <f t="shared" si="3"/>
        <v>https://svgtext.heliohost.us/cgi-bin/gen.perl?text=Favorite</v>
      </c>
      <c r="G200" s="11" t="str">
        <f t="shared" si="4"/>
        <v>data:image/svg+xml,%3csvg xmlns='http://www.w3.org/2000/svg' viewBox='0 0 24 216'%3e%3ctext fill='%23fff' style='font: 900 16px sans-serif' text-anchor='end' transform='matrix(0 -1 1 0 18 5)'%3eFavorite%3c/text%3e%3c/svg%3e</v>
      </c>
      <c r="H200" s="8" t="s">
        <v>32</v>
      </c>
      <c r="I200" s="8">
        <f t="shared" ref="I200:J200" si="201">len(B200)</f>
        <v>8</v>
      </c>
      <c r="J200" s="8">
        <f t="shared" si="201"/>
        <v>21</v>
      </c>
      <c r="K200" s="8" t="s">
        <v>577</v>
      </c>
    </row>
    <row r="201">
      <c r="A201" s="7" t="b">
        <v>0</v>
      </c>
      <c r="B201" s="8" t="s">
        <v>578</v>
      </c>
      <c r="C201" s="8" t="s">
        <v>579</v>
      </c>
      <c r="D201" s="8" t="str">
        <f>Q&amp;$K201&amp;Q&amp;":{"&amp;Q&amp;$B$2&amp;Q&amp;":"&amp;Q&amp;$B201&amp;Q&amp;","&amp;Q&amp;$C$2&amp;Q&amp;":"&amp;Q&amp;$C201&amp;Q&amp;","&amp;Q&amp;"sets"&amp;Q&amp;":"&amp;Q&amp;substitute(SUBSTITUTE($H201,"[",""),"]","")&amp;Q&amp;"},"</f>
        <v>"xtso":{"label":"Fearful","extra":"(scared, worried) ","sets":"Junior 9+ (2nd)"},</v>
      </c>
      <c r="E201" s="9" t="str">
        <f t="shared" si="2"/>
        <v>data:image/svg+xml,%3csvg xmlns='http://www.w3.org/2000/svg' viewBox='0 0 24 216'%3e%3ctext fill='%23fff' style='font: 900 16px sans-serif' text-anchor='end' transform='matrix(0 -1 1 0 18 5)'%3eFearful%3c/text%3e%3c/svg%3e</v>
      </c>
      <c r="F201" s="10" t="str">
        <f t="shared" si="3"/>
        <v>https://svgtext.heliohost.us/cgi-bin/gen.perl?text=Fearful</v>
      </c>
      <c r="G201" s="11" t="str">
        <f t="shared" si="4"/>
        <v>data:image/svg+xml,%3csvg xmlns='http://www.w3.org/2000/svg' viewBox='0 0 24 216'%3e%3ctext fill='%23fff' style='font: 900 16px sans-serif' text-anchor='end' transform='matrix(0 -1 1 0 18 5)'%3eFearful%3c/text%3e%3c/svg%3e</v>
      </c>
      <c r="H201" s="8" t="s">
        <v>32</v>
      </c>
      <c r="I201" s="8">
        <f t="shared" ref="I201:J201" si="202">len(B201)</f>
        <v>7</v>
      </c>
      <c r="J201" s="8">
        <f t="shared" si="202"/>
        <v>18</v>
      </c>
      <c r="K201" s="8" t="s">
        <v>580</v>
      </c>
    </row>
    <row r="202">
      <c r="A202" s="7" t="b">
        <v>0</v>
      </c>
      <c r="B202" s="8" t="s">
        <v>581</v>
      </c>
      <c r="C202" s="8" t="s">
        <v>582</v>
      </c>
      <c r="D202" s="8" t="str">
        <f>Q&amp;$K202&amp;Q&amp;":{"&amp;Q&amp;$B$2&amp;Q&amp;":"&amp;Q&amp;$B202&amp;Q&amp;","&amp;Q&amp;$C$2&amp;Q&amp;":"&amp;Q&amp;$C202&amp;Q&amp;","&amp;Q&amp;"sets"&amp;Q&amp;":"&amp;Q&amp;substitute(SUBSTITUTE($H202,"[",""),"]","")&amp;Q&amp;"},"</f>
        <v>"npos":{"label":"Feminine","extra":"(womanly, ladylike, unmanly) ","sets":"Basic Set, Party Set"},</v>
      </c>
      <c r="E202" s="9" t="str">
        <f t="shared" si="2"/>
        <v>data:image/svg+xml,%3csvg xmlns='http://www.w3.org/2000/svg' viewBox='0 0 24 216'%3e%3ctext fill='%23fff' style='font: 900 16px sans-serif' text-anchor='end' transform='matrix(0 -1 1 0 18 5)'%3eFeminine%3c/text%3e%3c/svg%3e</v>
      </c>
      <c r="F202" s="10" t="str">
        <f t="shared" si="3"/>
        <v>https://svgtext.heliohost.us/cgi-bin/gen.perl?text=Feminine</v>
      </c>
      <c r="G202" s="11" t="str">
        <f t="shared" si="4"/>
        <v>data:image/svg+xml,%3csvg xmlns='http://www.w3.org/2000/svg' viewBox='0 0 24 216'%3e%3ctext fill='%23fff' style='font: 900 16px sans-serif' text-anchor='end' transform='matrix(0 -1 1 0 18 5)'%3eFeminine%3c/text%3e%3c/svg%3e</v>
      </c>
      <c r="H202" s="8" t="s">
        <v>29</v>
      </c>
      <c r="I202" s="8">
        <f t="shared" ref="I202:J202" si="203">len(B202)</f>
        <v>8</v>
      </c>
      <c r="J202" s="8">
        <f t="shared" si="203"/>
        <v>29</v>
      </c>
      <c r="K202" s="8" t="s">
        <v>583</v>
      </c>
    </row>
    <row r="203">
      <c r="A203" s="7" t="b">
        <v>0</v>
      </c>
      <c r="B203" s="8" t="s">
        <v>584</v>
      </c>
      <c r="C203" s="8" t="s">
        <v>585</v>
      </c>
      <c r="D203" s="8" t="str">
        <f>Q&amp;$K203&amp;Q&amp;":{"&amp;Q&amp;$B$2&amp;Q&amp;":"&amp;Q&amp;$B203&amp;Q&amp;","&amp;Q&amp;$C$2&amp;Q&amp;":"&amp;Q&amp;$C203&amp;Q&amp;","&amp;Q&amp;"sets"&amp;Q&amp;":"&amp;Q&amp;substitute(SUBSTITUTE($H203,"[",""),"]","")&amp;Q&amp;"},"</f>
        <v>"elky":{"label":"Filthy","extra":"(dirty, foul, unclean) ","sets":"Basic Set, Party Set"},</v>
      </c>
      <c r="E203" s="9" t="str">
        <f t="shared" si="2"/>
        <v>data:image/svg+xml,%3csvg xmlns='http://www.w3.org/2000/svg' viewBox='0 0 24 216'%3e%3ctext fill='%23fff' style='font: 900 16px sans-serif' text-anchor='end' transform='matrix(0 -1 1 0 18 5)'%3eFilthy%3c/text%3e%3c/svg%3e</v>
      </c>
      <c r="F203" s="10" t="str">
        <f t="shared" si="3"/>
        <v>https://svgtext.heliohost.us/cgi-bin/gen.perl?text=Filthy</v>
      </c>
      <c r="G203" s="11" t="str">
        <f t="shared" si="4"/>
        <v>data:image/svg+xml,%3csvg xmlns='http://www.w3.org/2000/svg' viewBox='0 0 24 216'%3e%3ctext fill='%23fff' style='font: 900 16px sans-serif' text-anchor='end' transform='matrix(0 -1 1 0 18 5)'%3eFilthy%3c/text%3e%3c/svg%3e</v>
      </c>
      <c r="H203" s="8" t="s">
        <v>29</v>
      </c>
      <c r="I203" s="8">
        <f t="shared" ref="I203:J203" si="204">len(B203)</f>
        <v>6</v>
      </c>
      <c r="J203" s="8">
        <f t="shared" si="204"/>
        <v>23</v>
      </c>
      <c r="K203" s="8" t="s">
        <v>586</v>
      </c>
    </row>
    <row r="204">
      <c r="A204" s="7" t="b">
        <v>0</v>
      </c>
      <c r="B204" s="8" t="s">
        <v>587</v>
      </c>
      <c r="C204" s="8" t="s">
        <v>588</v>
      </c>
      <c r="D204" s="8" t="str">
        <f>Q&amp;$K204&amp;Q&amp;":{"&amp;Q&amp;$B$2&amp;Q&amp;":"&amp;Q&amp;$B204&amp;Q&amp;","&amp;Q&amp;$C$2&amp;Q&amp;":"&amp;Q&amp;$C204&amp;Q&amp;","&amp;Q&amp;"sets"&amp;Q&amp;":"&amp;Q&amp;substitute(SUBSTITUTE($H204,"[",""),"]","")&amp;Q&amp;"},"</f>
        <v>"penr":{"label":"Fine","extra":"(worthy, delicate, all right) ","sets":"Expansion Set 2"},</v>
      </c>
      <c r="E204" s="9" t="str">
        <f t="shared" si="2"/>
        <v>data:image/svg+xml,%3csvg xmlns='http://www.w3.org/2000/svg' viewBox='0 0 24 216'%3e%3ctext fill='%23fff' style='font: 900 16px sans-serif' text-anchor='end' transform='matrix(0 -1 1 0 18 5)'%3eFine%3c/text%3e%3c/svg%3e</v>
      </c>
      <c r="F204" s="10" t="str">
        <f t="shared" si="3"/>
        <v>https://svgtext.heliohost.us/cgi-bin/gen.perl?text=Fine</v>
      </c>
      <c r="G204" s="11" t="str">
        <f t="shared" si="4"/>
        <v>data:image/svg+xml,%3csvg xmlns='http://www.w3.org/2000/svg' viewBox='0 0 24 216'%3e%3ctext fill='%23fff' style='font: 900 16px sans-serif' text-anchor='end' transform='matrix(0 -1 1 0 18 5)'%3eFine%3c/text%3e%3c/svg%3e</v>
      </c>
      <c r="H204" s="8" t="s">
        <v>21</v>
      </c>
      <c r="I204" s="8">
        <f t="shared" ref="I204:J204" si="205">len(B204)</f>
        <v>4</v>
      </c>
      <c r="J204" s="8">
        <f t="shared" si="205"/>
        <v>30</v>
      </c>
      <c r="K204" s="8" t="s">
        <v>589</v>
      </c>
    </row>
    <row r="205">
      <c r="A205" s="7" t="b">
        <v>1</v>
      </c>
      <c r="B205" s="8" t="s">
        <v>590</v>
      </c>
      <c r="C205" s="8" t="s">
        <v>591</v>
      </c>
      <c r="D205" s="8" t="str">
        <f>Q&amp;$K205&amp;Q&amp;":{"&amp;Q&amp;$B$2&amp;Q&amp;":"&amp;Q&amp;$B205&amp;Q&amp;","&amp;Q&amp;$C$2&amp;Q&amp;":"&amp;Q&amp;$C205&amp;Q&amp;","&amp;Q&amp;"sets"&amp;Q&amp;":"&amp;Q&amp;substitute(SUBSTITUTE($H205,"[",""),"]","")&amp;Q&amp;"},"</f>
        <v>"quqs":{"label":"Flaky","extra":"(foolish, eccentric, crispy) ","sets":"Expansion Set 3, Party Expansion 1"},</v>
      </c>
      <c r="E205" s="9" t="str">
        <f t="shared" si="2"/>
        <v>data:image/svg+xml,%3csvg xmlns='http://www.w3.org/2000/svg' viewBox='0 0 24 216'%3e%3ctext fill='%23fff' style='font: 900 16px sans-serif' text-anchor='end' transform='matrix(0 -1 1 0 18 5)'%3eFlaky%3c/text%3e%3c/svg%3e</v>
      </c>
      <c r="F205" s="10" t="str">
        <f t="shared" si="3"/>
        <v>https://svgtext.heliohost.us/cgi-bin/gen.perl?text=Flaky</v>
      </c>
      <c r="G205" s="11" t="str">
        <f t="shared" si="4"/>
        <v>data:image/svg+xml,%3csvg xmlns='http://www.w3.org/2000/svg' viewBox='0 0 24 216'%3e%3ctext fill='%23fff' style='font: 900 16px sans-serif' text-anchor='end' transform='matrix(0 -1 1 0 18 5)'%3eFlaky%3c/text%3e%3c/svg%3e</v>
      </c>
      <c r="H205" s="8" t="s">
        <v>39</v>
      </c>
      <c r="I205" s="8">
        <f t="shared" ref="I205:J205" si="206">len(B205)</f>
        <v>5</v>
      </c>
      <c r="J205" s="8">
        <f t="shared" si="206"/>
        <v>29</v>
      </c>
      <c r="K205" s="8" t="s">
        <v>592</v>
      </c>
    </row>
    <row r="206">
      <c r="A206" s="7" t="b">
        <v>1</v>
      </c>
      <c r="B206" s="8" t="s">
        <v>593</v>
      </c>
      <c r="C206" s="8" t="s">
        <v>594</v>
      </c>
      <c r="D206" s="8" t="str">
        <f>Q&amp;$K206&amp;Q&amp;":{"&amp;Q&amp;$B$2&amp;Q&amp;":"&amp;Q&amp;$B206&amp;Q&amp;","&amp;Q&amp;$C$2&amp;Q&amp;":"&amp;Q&amp;$C206&amp;Q&amp;","&amp;Q&amp;"sets"&amp;Q&amp;":"&amp;Q&amp;substitute(SUBSTITUTE($H206,"[",""),"]","")&amp;Q&amp;"},"</f>
        <v>"vamo":{"label":"Flamboyant","extra":"(ornate, pompous, extravagant) ","sets":"Expansion Set 3, Party Expansion 1"},</v>
      </c>
      <c r="E206" s="9" t="str">
        <f t="shared" si="2"/>
        <v>data:image/svg+xml,%3csvg xmlns='http://www.w3.org/2000/svg' viewBox='0 0 24 216'%3e%3ctext fill='%23fff' style='font: 900 16px sans-serif' text-anchor='end' transform='matrix(0 -1 1 0 18 5)'%3eFlamboyant%3c/text%3e%3c/svg%3e</v>
      </c>
      <c r="F206" s="10" t="str">
        <f t="shared" si="3"/>
        <v>https://svgtext.heliohost.us/cgi-bin/gen.perl?text=Flamboyant</v>
      </c>
      <c r="G206" s="11" t="str">
        <f t="shared" si="4"/>
        <v>data:image/svg+xml,%3csvg xmlns='http://www.w3.org/2000/svg' viewBox='0 0 24 216'%3e%3ctext fill='%23fff' style='font: 900 16px sans-serif' text-anchor='end' transform='matrix(0 -1 1 0 18 5)'%3eFlamboyant%3c/text%3e%3c/svg%3e</v>
      </c>
      <c r="H206" s="8" t="s">
        <v>39</v>
      </c>
      <c r="I206" s="8">
        <f t="shared" ref="I206:J206" si="207">len(B206)</f>
        <v>10</v>
      </c>
      <c r="J206" s="8">
        <f t="shared" si="207"/>
        <v>31</v>
      </c>
      <c r="K206" s="8" t="s">
        <v>595</v>
      </c>
    </row>
    <row r="207">
      <c r="A207" s="7" t="b">
        <v>0</v>
      </c>
      <c r="B207" s="8" t="s">
        <v>596</v>
      </c>
      <c r="C207" s="8" t="s">
        <v>597</v>
      </c>
      <c r="D207" s="8" t="str">
        <f>Q&amp;$K207&amp;Q&amp;":{"&amp;Q&amp;$B$2&amp;Q&amp;":"&amp;Q&amp;$B207&amp;Q&amp;","&amp;Q&amp;$C$2&amp;Q&amp;":"&amp;Q&amp;$C207&amp;Q&amp;","&amp;Q&amp;"sets"&amp;Q&amp;":"&amp;Q&amp;substitute(SUBSTITUTE($H207,"[",""),"]","")&amp;Q&amp;"},"</f>
        <v>"runr":{"label":"Flat","extra":"(smooth, level) ","sets":"Junior 9+ (2nd)"},</v>
      </c>
      <c r="E207" s="9" t="str">
        <f t="shared" si="2"/>
        <v>data:image/svg+xml,%3csvg xmlns='http://www.w3.org/2000/svg' viewBox='0 0 24 216'%3e%3ctext fill='%23fff' style='font: 900 16px sans-serif' text-anchor='end' transform='matrix(0 -1 1 0 18 5)'%3eFlat%3c/text%3e%3c/svg%3e</v>
      </c>
      <c r="F207" s="10" t="str">
        <f t="shared" si="3"/>
        <v>https://svgtext.heliohost.us/cgi-bin/gen.perl?text=Flat</v>
      </c>
      <c r="G207" s="11" t="str">
        <f t="shared" si="4"/>
        <v>data:image/svg+xml,%3csvg xmlns='http://www.w3.org/2000/svg' viewBox='0 0 24 216'%3e%3ctext fill='%23fff' style='font: 900 16px sans-serif' text-anchor='end' transform='matrix(0 -1 1 0 18 5)'%3eFlat%3c/text%3e%3c/svg%3e</v>
      </c>
      <c r="H207" s="8" t="s">
        <v>32</v>
      </c>
      <c r="I207" s="8">
        <f t="shared" ref="I207:J207" si="208">len(B207)</f>
        <v>4</v>
      </c>
      <c r="J207" s="8">
        <f t="shared" si="208"/>
        <v>16</v>
      </c>
      <c r="K207" s="8" t="s">
        <v>598</v>
      </c>
    </row>
    <row r="208">
      <c r="A208" s="7" t="b">
        <v>1</v>
      </c>
      <c r="B208" s="8" t="s">
        <v>599</v>
      </c>
      <c r="C208" s="8" t="s">
        <v>600</v>
      </c>
      <c r="D208" s="8" t="str">
        <f>Q&amp;$K208&amp;Q&amp;":{"&amp;Q&amp;$B$2&amp;Q&amp;":"&amp;Q&amp;$B208&amp;Q&amp;","&amp;Q&amp;$C$2&amp;Q&amp;":"&amp;Q&amp;$C208&amp;Q&amp;","&amp;Q&amp;"sets"&amp;Q&amp;":"&amp;Q&amp;substitute(SUBSTITUTE($H208,"[",""),"]","")&amp;Q&amp;"},"</f>
        <v>"ixnn":{"label":"Flavorful","extra":"(tasty, savory, pungent) ","sets":"Expansion Set 3, Party Expansion 1"},</v>
      </c>
      <c r="E208" s="9" t="str">
        <f t="shared" si="2"/>
        <v>data:image/svg+xml,%3csvg xmlns='http://www.w3.org/2000/svg' viewBox='0 0 24 216'%3e%3ctext fill='%23fff' style='font: 900 16px sans-serif' text-anchor='end' transform='matrix(0 -1 1 0 18 5)'%3eFlavorful%3c/text%3e%3c/svg%3e</v>
      </c>
      <c r="F208" s="10" t="str">
        <f t="shared" si="3"/>
        <v>https://svgtext.heliohost.us/cgi-bin/gen.perl?text=Flavorful</v>
      </c>
      <c r="G208" s="11" t="str">
        <f t="shared" si="4"/>
        <v>data:image/svg+xml,%3csvg xmlns='http://www.w3.org/2000/svg' viewBox='0 0 24 216'%3e%3ctext fill='%23fff' style='font: 900 16px sans-serif' text-anchor='end' transform='matrix(0 -1 1 0 18 5)'%3eFlavorful%3c/text%3e%3c/svg%3e</v>
      </c>
      <c r="H208" s="8" t="s">
        <v>39</v>
      </c>
      <c r="I208" s="8">
        <f t="shared" ref="I208:J208" si="209">len(B208)</f>
        <v>9</v>
      </c>
      <c r="J208" s="8">
        <f t="shared" si="209"/>
        <v>25</v>
      </c>
      <c r="K208" s="8" t="s">
        <v>601</v>
      </c>
    </row>
    <row r="209">
      <c r="A209" s="7" t="b">
        <v>0</v>
      </c>
      <c r="B209" s="8" t="s">
        <v>599</v>
      </c>
      <c r="C209" s="8" t="s">
        <v>602</v>
      </c>
      <c r="D209" s="8" t="str">
        <f>Q&amp;$K209&amp;Q&amp;":{"&amp;Q&amp;$B$2&amp;Q&amp;":"&amp;Q&amp;$B209&amp;Q&amp;","&amp;Q&amp;$C$2&amp;Q&amp;":"&amp;Q&amp;$C209&amp;Q&amp;","&amp;Q&amp;"sets"&amp;Q&amp;":"&amp;Q&amp;substitute(SUBSTITUTE($H209,"[",""),"]","")&amp;Q&amp;"},"</f>
        <v>"qikl":{"label":"Flavorful","extra":"(tasty, appetizing) ","sets":"Junior 9+ (2nd)"},</v>
      </c>
      <c r="E209" s="9" t="str">
        <f t="shared" si="2"/>
        <v>data:image/svg+xml,%3csvg xmlns='http://www.w3.org/2000/svg' viewBox='0 0 24 216'%3e%3ctext fill='%23fff' style='font: 900 16px sans-serif' text-anchor='end' transform='matrix(0 -1 1 0 18 5)'%3eFlavorful%3c/text%3e%3c/svg%3e</v>
      </c>
      <c r="F209" s="10" t="str">
        <f t="shared" si="3"/>
        <v>https://svgtext.heliohost.us/cgi-bin/gen.perl?text=Flavorful</v>
      </c>
      <c r="G209" s="11" t="str">
        <f t="shared" si="4"/>
        <v>data:image/svg+xml,%3csvg xmlns='http://www.w3.org/2000/svg' viewBox='0 0 24 216'%3e%3ctext fill='%23fff' style='font: 900 16px sans-serif' text-anchor='end' transform='matrix(0 -1 1 0 18 5)'%3eFlavorful%3c/text%3e%3c/svg%3e</v>
      </c>
      <c r="H209" s="8" t="s">
        <v>32</v>
      </c>
      <c r="I209" s="8">
        <f t="shared" ref="I209:J209" si="210">len(B209)</f>
        <v>9</v>
      </c>
      <c r="J209" s="8">
        <f t="shared" si="210"/>
        <v>20</v>
      </c>
      <c r="K209" s="8" t="s">
        <v>603</v>
      </c>
    </row>
    <row r="210">
      <c r="A210" s="7" t="b">
        <v>1</v>
      </c>
      <c r="B210" s="8" t="s">
        <v>604</v>
      </c>
      <c r="C210" s="8" t="s">
        <v>605</v>
      </c>
      <c r="D210" s="8" t="str">
        <f>Q&amp;$K210&amp;Q&amp;":{"&amp;Q&amp;$B$2&amp;Q&amp;":"&amp;Q&amp;$B210&amp;Q&amp;","&amp;Q&amp;$C$2&amp;Q&amp;":"&amp;Q&amp;$C210&amp;Q&amp;","&amp;Q&amp;"sets"&amp;Q&amp;":"&amp;Q&amp;substitute(SUBSTITUTE($H210,"[",""),"]","")&amp;Q&amp;"},"</f>
        <v>"xjhp":{"label":"Flawed","extra":"(imperfect, defective, unsound) ","sets":"Expansion Set 3, Party Expansion 1"},</v>
      </c>
      <c r="E210" s="9" t="str">
        <f t="shared" si="2"/>
        <v>data:image/svg+xml,%3csvg xmlns='http://www.w3.org/2000/svg' viewBox='0 0 24 216'%3e%3ctext fill='%23fff' style='font: 900 16px sans-serif' text-anchor='end' transform='matrix(0 -1 1 0 18 5)'%3eFlawed%3c/text%3e%3c/svg%3e</v>
      </c>
      <c r="F210" s="10" t="str">
        <f t="shared" si="3"/>
        <v>https://svgtext.heliohost.us/cgi-bin/gen.perl?text=Flawed</v>
      </c>
      <c r="G210" s="11" t="str">
        <f t="shared" si="4"/>
        <v>data:image/svg+xml,%3csvg xmlns='http://www.w3.org/2000/svg' viewBox='0 0 24 216'%3e%3ctext fill='%23fff' style='font: 900 16px sans-serif' text-anchor='end' transform='matrix(0 -1 1 0 18 5)'%3eFlawed%3c/text%3e%3c/svg%3e</v>
      </c>
      <c r="H210" s="8" t="s">
        <v>39</v>
      </c>
      <c r="I210" s="8">
        <f t="shared" ref="I210:J210" si="211">len(B210)</f>
        <v>6</v>
      </c>
      <c r="J210" s="8">
        <f t="shared" si="211"/>
        <v>32</v>
      </c>
      <c r="K210" s="8" t="s">
        <v>606</v>
      </c>
    </row>
    <row r="211">
      <c r="A211" s="7" t="b">
        <v>0</v>
      </c>
      <c r="B211" s="8" t="s">
        <v>607</v>
      </c>
      <c r="C211" s="8" t="s">
        <v>608</v>
      </c>
      <c r="D211" s="8" t="str">
        <f>Q&amp;$K211&amp;Q&amp;":{"&amp;Q&amp;$B$2&amp;Q&amp;":"&amp;Q&amp;$B211&amp;Q&amp;","&amp;Q&amp;$C$2&amp;Q&amp;":"&amp;Q&amp;$C211&amp;Q&amp;","&amp;Q&amp;"sets"&amp;Q&amp;":"&amp;Q&amp;substitute(SUBSTITUTE($H211,"[",""),"]","")&amp;Q&amp;"},"</f>
        <v>"leco":{"label":"Flirtatious","extra":"(brazen, saucy, forward) ","sets":"Basic Set, Party Set"},</v>
      </c>
      <c r="E211" s="9" t="str">
        <f t="shared" si="2"/>
        <v>data:image/svg+xml,%3csvg xmlns='http://www.w3.org/2000/svg' viewBox='0 0 24 216'%3e%3ctext fill='%23fff' style='font: 900 16px sans-serif' text-anchor='end' transform='matrix(0 -1 1 0 18 5)'%3eFlirtatious%3c/text%3e%3c/svg%3e</v>
      </c>
      <c r="F211" s="10" t="str">
        <f t="shared" si="3"/>
        <v>https://svgtext.heliohost.us/cgi-bin/gen.perl?text=Flirtatious</v>
      </c>
      <c r="G211" s="11" t="str">
        <f t="shared" si="4"/>
        <v>data:image/svg+xml,%3csvg xmlns='http://www.w3.org/2000/svg' viewBox='0 0 24 216'%3e%3ctext fill='%23fff' style='font: 900 16px sans-serif' text-anchor='end' transform='matrix(0 -1 1 0 18 5)'%3eFlirtatious%3c/text%3e%3c/svg%3e</v>
      </c>
      <c r="H211" s="8" t="s">
        <v>29</v>
      </c>
      <c r="I211" s="8">
        <f t="shared" ref="I211:J211" si="212">len(B211)</f>
        <v>11</v>
      </c>
      <c r="J211" s="8">
        <f t="shared" si="212"/>
        <v>25</v>
      </c>
      <c r="K211" s="8" t="s">
        <v>609</v>
      </c>
    </row>
    <row r="212">
      <c r="A212" s="7" t="b">
        <v>1</v>
      </c>
      <c r="B212" s="8" t="s">
        <v>610</v>
      </c>
      <c r="C212" s="8" t="s">
        <v>611</v>
      </c>
      <c r="D212" s="8" t="str">
        <f>Q&amp;$K212&amp;Q&amp;":{"&amp;Q&amp;$B$2&amp;Q&amp;":"&amp;Q&amp;$B212&amp;Q&amp;","&amp;Q&amp;$C$2&amp;Q&amp;":"&amp;Q&amp;$C212&amp;Q&amp;","&amp;Q&amp;"sets"&amp;Q&amp;":"&amp;Q&amp;substitute(SUBSTITUTE($H212,"[",""),"]","")&amp;Q&amp;"},"</f>
        <v>"gsdx":{"label":"Foot Loose &amp; Fancy Free","extra":"(lighthearted, carefree, spontaneous) ","sets":"Expansion Set 4, Party Expansion 1"},</v>
      </c>
      <c r="E212" s="9" t="str">
        <f t="shared" si="2"/>
        <v>data:image/svg+xml,%3csvg xmlns='http://www.w3.org/2000/svg' viewBox='0 0 24 216'%3e%3ctext fill='%23fff' style='font: 900 16px sans-serif' text-anchor='end' transform='matrix(0 -1 1 0 18 5)'%3eFoot Loose %26amp%3B Fancy Free%3c/text%3e%3c/svg%3e</v>
      </c>
      <c r="F212" s="10" t="str">
        <f t="shared" si="3"/>
        <v>https://svgtext.heliohost.us/cgi-bin/gen.perl?text=Foot%20Loose%20%26%20Fancy%20Free</v>
      </c>
      <c r="G212" s="11" t="str">
        <f t="shared" si="4"/>
        <v>data:image/svg+xml,%3csvg xmlns='http://www.w3.org/2000/svg' viewBox='0 0 24 216'%3e%3ctext fill='%23fff' style='font: 900 16px sans-serif' text-anchor='end' transform='matrix(0 -1 1 0 18 5)'%3eFoot Loose %26amp%3B Fancy Free%3c/text%3e%3c/svg%3e</v>
      </c>
      <c r="H212" s="8" t="s">
        <v>63</v>
      </c>
      <c r="I212" s="8">
        <f t="shared" ref="I212:J212" si="213">len(B212)</f>
        <v>23</v>
      </c>
      <c r="J212" s="8">
        <f t="shared" si="213"/>
        <v>38</v>
      </c>
      <c r="K212" s="8" t="s">
        <v>612</v>
      </c>
    </row>
    <row r="213">
      <c r="A213" s="7" t="b">
        <v>0</v>
      </c>
      <c r="B213" s="8" t="s">
        <v>613</v>
      </c>
      <c r="C213" s="8" t="s">
        <v>614</v>
      </c>
      <c r="D213" s="8" t="str">
        <f>Q&amp;$K213&amp;Q&amp;":{"&amp;Q&amp;$B$2&amp;Q&amp;":"&amp;Q&amp;$B213&amp;Q&amp;","&amp;Q&amp;$C$2&amp;Q&amp;":"&amp;Q&amp;$C213&amp;Q&amp;","&amp;Q&amp;"sets"&amp;Q&amp;":"&amp;Q&amp;substitute(SUBSTITUTE($H213,"[",""),"]","")&amp;Q&amp;"},"</f>
        <v>"hmdg":{"label":"Foreign","extra":"(alien, unfamiliar, exotic) ","sets":"Expansion Set 1, Party Set"},</v>
      </c>
      <c r="E213" s="9" t="str">
        <f t="shared" si="2"/>
        <v>data:image/svg+xml,%3csvg xmlns='http://www.w3.org/2000/svg' viewBox='0 0 24 216'%3e%3ctext fill='%23fff' style='font: 900 16px sans-serif' text-anchor='end' transform='matrix(0 -1 1 0 18 5)'%3eForeign%3c/text%3e%3c/svg%3e</v>
      </c>
      <c r="F213" s="10" t="str">
        <f t="shared" si="3"/>
        <v>https://svgtext.heliohost.us/cgi-bin/gen.perl?text=Foreign</v>
      </c>
      <c r="G213" s="11" t="str">
        <f t="shared" si="4"/>
        <v>data:image/svg+xml,%3csvg xmlns='http://www.w3.org/2000/svg' viewBox='0 0 24 216'%3e%3ctext fill='%23fff' style='font: 900 16px sans-serif' text-anchor='end' transform='matrix(0 -1 1 0 18 5)'%3eForeign%3c/text%3e%3c/svg%3e</v>
      </c>
      <c r="H213" s="8" t="s">
        <v>25</v>
      </c>
      <c r="I213" s="8">
        <f t="shared" ref="I213:J213" si="214">len(B213)</f>
        <v>7</v>
      </c>
      <c r="J213" s="8">
        <f t="shared" si="214"/>
        <v>28</v>
      </c>
      <c r="K213" s="8" t="s">
        <v>615</v>
      </c>
    </row>
    <row r="214">
      <c r="A214" s="7" t="b">
        <v>1</v>
      </c>
      <c r="B214" s="8" t="s">
        <v>616</v>
      </c>
      <c r="C214" s="8" t="s">
        <v>617</v>
      </c>
      <c r="D214" s="8" t="str">
        <f>Q&amp;$K214&amp;Q&amp;":{"&amp;Q&amp;$B$2&amp;Q&amp;":"&amp;Q&amp;$B214&amp;Q&amp;","&amp;Q&amp;$C$2&amp;Q&amp;":"&amp;Q&amp;$C214&amp;Q&amp;","&amp;Q&amp;"sets"&amp;Q&amp;":"&amp;Q&amp;substitute(SUBSTITUTE($H214,"[",""),"]","")&amp;Q&amp;"},"</f>
        <v>"mrpq":{"label":"Fragile","extra":"(delicate, frail, breakable) ","sets":"Expansion Set 3, Party Expansion 1"},</v>
      </c>
      <c r="E214" s="9" t="str">
        <f t="shared" si="2"/>
        <v>data:image/svg+xml,%3csvg xmlns='http://www.w3.org/2000/svg' viewBox='0 0 24 216'%3e%3ctext fill='%23fff' style='font: 900 16px sans-serif' text-anchor='end' transform='matrix(0 -1 1 0 18 5)'%3eFragile%3c/text%3e%3c/svg%3e</v>
      </c>
      <c r="F214" s="10" t="str">
        <f t="shared" si="3"/>
        <v>https://svgtext.heliohost.us/cgi-bin/gen.perl?text=Fragile</v>
      </c>
      <c r="G214" s="11" t="str">
        <f t="shared" si="4"/>
        <v>data:image/svg+xml,%3csvg xmlns='http://www.w3.org/2000/svg' viewBox='0 0 24 216'%3e%3ctext fill='%23fff' style='font: 900 16px sans-serif' text-anchor='end' transform='matrix(0 -1 1 0 18 5)'%3eFragile%3c/text%3e%3c/svg%3e</v>
      </c>
      <c r="H214" s="8" t="s">
        <v>39</v>
      </c>
      <c r="I214" s="8">
        <f t="shared" ref="I214:J214" si="215">len(B214)</f>
        <v>7</v>
      </c>
      <c r="J214" s="8">
        <f t="shared" si="215"/>
        <v>29</v>
      </c>
      <c r="K214" s="8" t="s">
        <v>618</v>
      </c>
    </row>
    <row r="215">
      <c r="A215" s="7" t="b">
        <v>0</v>
      </c>
      <c r="B215" s="8" t="s">
        <v>616</v>
      </c>
      <c r="C215" s="8" t="s">
        <v>619</v>
      </c>
      <c r="D215" s="8" t="str">
        <f>Q&amp;$K215&amp;Q&amp;":{"&amp;Q&amp;$B$2&amp;Q&amp;":"&amp;Q&amp;$B215&amp;Q&amp;","&amp;Q&amp;$C$2&amp;Q&amp;":"&amp;Q&amp;$C215&amp;Q&amp;","&amp;Q&amp;"sets"&amp;Q&amp;":"&amp;Q&amp;substitute(SUBSTITUTE($H215,"[",""),"]","")&amp;Q&amp;"},"</f>
        <v>"hrlz":{"label":"Fragile","extra":"(delicate, weak) ","sets":"Junior 9+ (1st) &amp; (2nd)"},</v>
      </c>
      <c r="E215" s="9" t="str">
        <f t="shared" si="2"/>
        <v>data:image/svg+xml,%3csvg xmlns='http://www.w3.org/2000/svg' viewBox='0 0 24 216'%3e%3ctext fill='%23fff' style='font: 900 16px sans-serif' text-anchor='end' transform='matrix(0 -1 1 0 18 5)'%3eFragile%3c/text%3e%3c/svg%3e</v>
      </c>
      <c r="F215" s="10" t="str">
        <f t="shared" si="3"/>
        <v>https://svgtext.heliohost.us/cgi-bin/gen.perl?text=Fragile</v>
      </c>
      <c r="G215" s="11" t="str">
        <f t="shared" si="4"/>
        <v>data:image/svg+xml,%3csvg xmlns='http://www.w3.org/2000/svg' viewBox='0 0 24 216'%3e%3ctext fill='%23fff' style='font: 900 16px sans-serif' text-anchor='end' transform='matrix(0 -1 1 0 18 5)'%3eFragile%3c/text%3e%3c/svg%3e</v>
      </c>
      <c r="H215" s="8" t="s">
        <v>42</v>
      </c>
      <c r="I215" s="8">
        <f t="shared" ref="I215:J215" si="216">len(B215)</f>
        <v>7</v>
      </c>
      <c r="J215" s="8">
        <f t="shared" si="216"/>
        <v>17</v>
      </c>
      <c r="K215" s="8" t="s">
        <v>620</v>
      </c>
    </row>
    <row r="216">
      <c r="A216" s="7" t="b">
        <v>0</v>
      </c>
      <c r="B216" s="8" t="s">
        <v>621</v>
      </c>
      <c r="C216" s="8" t="s">
        <v>622</v>
      </c>
      <c r="D216" s="8" t="str">
        <f>Q&amp;$K216&amp;Q&amp;":{"&amp;Q&amp;$B$2&amp;Q&amp;":"&amp;Q&amp;$B216&amp;Q&amp;","&amp;Q&amp;$C$2&amp;Q&amp;":"&amp;Q&amp;$C216&amp;Q&amp;","&amp;Q&amp;"sets"&amp;Q&amp;":"&amp;Q&amp;substitute(SUBSTITUTE($H216,"[",""),"]","")&amp;Q&amp;"},"</f>
        <v>"mxgo":{"label":"Fragrant","extra":"(aromatic, odorous, perfumed) ","sets":"Basic Set, Party Set"},</v>
      </c>
      <c r="E216" s="9" t="str">
        <f t="shared" si="2"/>
        <v>data:image/svg+xml,%3csvg xmlns='http://www.w3.org/2000/svg' viewBox='0 0 24 216'%3e%3ctext fill='%23fff' style='font: 900 16px sans-serif' text-anchor='end' transform='matrix(0 -1 1 0 18 5)'%3eFragrant%3c/text%3e%3c/svg%3e</v>
      </c>
      <c r="F216" s="10" t="str">
        <f t="shared" si="3"/>
        <v>https://svgtext.heliohost.us/cgi-bin/gen.perl?text=Fragrant</v>
      </c>
      <c r="G216" s="11" t="str">
        <f t="shared" si="4"/>
        <v>data:image/svg+xml,%3csvg xmlns='http://www.w3.org/2000/svg' viewBox='0 0 24 216'%3e%3ctext fill='%23fff' style='font: 900 16px sans-serif' text-anchor='end' transform='matrix(0 -1 1 0 18 5)'%3eFragrant%3c/text%3e%3c/svg%3e</v>
      </c>
      <c r="H216" s="8" t="s">
        <v>29</v>
      </c>
      <c r="I216" s="8">
        <f t="shared" ref="I216:J216" si="217">len(B216)</f>
        <v>8</v>
      </c>
      <c r="J216" s="8">
        <f t="shared" si="217"/>
        <v>30</v>
      </c>
      <c r="K216" s="8" t="s">
        <v>623</v>
      </c>
    </row>
    <row r="217">
      <c r="A217" s="7" t="b">
        <v>0</v>
      </c>
      <c r="B217" s="8" t="s">
        <v>624</v>
      </c>
      <c r="C217" s="8" t="s">
        <v>625</v>
      </c>
      <c r="D217" s="8" t="str">
        <f>Q&amp;$K217&amp;Q&amp;":{"&amp;Q&amp;$B$2&amp;Q&amp;":"&amp;Q&amp;$B217&amp;Q&amp;","&amp;Q&amp;$C$2&amp;Q&amp;":"&amp;Q&amp;$C217&amp;Q&amp;","&amp;Q&amp;"sets"&amp;Q&amp;":"&amp;Q&amp;substitute(SUBSTITUTE($H217,"[",""),"]","")&amp;Q&amp;"},"</f>
        <v>"rakq":{"label":"Frail","extra":"(fragile, weak) ","sets":"Junior 9+ (2nd)"},</v>
      </c>
      <c r="E217" s="9" t="str">
        <f t="shared" si="2"/>
        <v>data:image/svg+xml,%3csvg xmlns='http://www.w3.org/2000/svg' viewBox='0 0 24 216'%3e%3ctext fill='%23fff' style='font: 900 16px sans-serif' text-anchor='end' transform='matrix(0 -1 1 0 18 5)'%3eFrail%3c/text%3e%3c/svg%3e</v>
      </c>
      <c r="F217" s="10" t="str">
        <f t="shared" si="3"/>
        <v>https://svgtext.heliohost.us/cgi-bin/gen.perl?text=Frail</v>
      </c>
      <c r="G217" s="11" t="str">
        <f t="shared" si="4"/>
        <v>data:image/svg+xml,%3csvg xmlns='http://www.w3.org/2000/svg' viewBox='0 0 24 216'%3e%3ctext fill='%23fff' style='font: 900 16px sans-serif' text-anchor='end' transform='matrix(0 -1 1 0 18 5)'%3eFrail%3c/text%3e%3c/svg%3e</v>
      </c>
      <c r="H217" s="8" t="s">
        <v>32</v>
      </c>
      <c r="I217" s="8">
        <f t="shared" ref="I217:J217" si="218">len(B217)</f>
        <v>5</v>
      </c>
      <c r="J217" s="8">
        <f t="shared" si="218"/>
        <v>16</v>
      </c>
      <c r="K217" s="8" t="s">
        <v>626</v>
      </c>
    </row>
    <row r="218">
      <c r="A218" s="7" t="b">
        <v>0</v>
      </c>
      <c r="B218" s="8" t="s">
        <v>627</v>
      </c>
      <c r="C218" s="8" t="s">
        <v>628</v>
      </c>
      <c r="D218" s="8" t="str">
        <f>Q&amp;$K218&amp;Q&amp;":{"&amp;Q&amp;$B$2&amp;Q&amp;":"&amp;Q&amp;$B218&amp;Q&amp;","&amp;Q&amp;$C$2&amp;Q&amp;":"&amp;Q&amp;$C218&amp;Q&amp;","&amp;Q&amp;"sets"&amp;Q&amp;":"&amp;Q&amp;substitute(SUBSTITUTE($H218,"[",""),"]","")&amp;Q&amp;"},"</f>
        <v>"syov":{"label":"Frazzled","extra":"(exhausted, frayed, worn) ","sets":"Basic Set, Party Set"},</v>
      </c>
      <c r="E218" s="9" t="str">
        <f t="shared" si="2"/>
        <v>data:image/svg+xml,%3csvg xmlns='http://www.w3.org/2000/svg' viewBox='0 0 24 216'%3e%3ctext fill='%23fff' style='font: 900 16px sans-serif' text-anchor='end' transform='matrix(0 -1 1 0 18 5)'%3eFrazzled%3c/text%3e%3c/svg%3e</v>
      </c>
      <c r="F218" s="10" t="str">
        <f t="shared" si="3"/>
        <v>https://svgtext.heliohost.us/cgi-bin/gen.perl?text=Frazzled</v>
      </c>
      <c r="G218" s="11" t="str">
        <f t="shared" si="4"/>
        <v>data:image/svg+xml,%3csvg xmlns='http://www.w3.org/2000/svg' viewBox='0 0 24 216'%3e%3ctext fill='%23fff' style='font: 900 16px sans-serif' text-anchor='end' transform='matrix(0 -1 1 0 18 5)'%3eFrazzled%3c/text%3e%3c/svg%3e</v>
      </c>
      <c r="H218" s="8" t="s">
        <v>29</v>
      </c>
      <c r="I218" s="8">
        <f t="shared" ref="I218:J218" si="219">len(B218)</f>
        <v>8</v>
      </c>
      <c r="J218" s="8">
        <f t="shared" si="219"/>
        <v>26</v>
      </c>
      <c r="K218" s="8" t="s">
        <v>629</v>
      </c>
    </row>
    <row r="219">
      <c r="A219" s="7" t="b">
        <v>0</v>
      </c>
      <c r="B219" s="8" t="s">
        <v>630</v>
      </c>
      <c r="C219" s="8" t="s">
        <v>631</v>
      </c>
      <c r="D219" s="8" t="str">
        <f>Q&amp;$K219&amp;Q&amp;":{"&amp;Q&amp;$B$2&amp;Q&amp;":"&amp;Q&amp;$B219&amp;Q&amp;","&amp;Q&amp;$C$2&amp;Q&amp;":"&amp;Q&amp;$C219&amp;Q&amp;","&amp;Q&amp;"sets"&amp;Q&amp;":"&amp;Q&amp;substitute(SUBSTITUTE($H219,"[",""),"]","")&amp;Q&amp;"},"</f>
        <v>"ulaw":{"label":"Fresh","extra":"(new, original, good) ","sets":"Basic Set, Party Set"},</v>
      </c>
      <c r="E219" s="9" t="str">
        <f t="shared" si="2"/>
        <v>data:image/svg+xml,%3csvg xmlns='http://www.w3.org/2000/svg' viewBox='0 0 24 216'%3e%3ctext fill='%23fff' style='font: 900 16px sans-serif' text-anchor='end' transform='matrix(0 -1 1 0 18 5)'%3eFresh%3c/text%3e%3c/svg%3e</v>
      </c>
      <c r="F219" s="10" t="str">
        <f t="shared" si="3"/>
        <v>https://svgtext.heliohost.us/cgi-bin/gen.perl?text=Fresh</v>
      </c>
      <c r="G219" s="11" t="str">
        <f t="shared" si="4"/>
        <v>data:image/svg+xml,%3csvg xmlns='http://www.w3.org/2000/svg' viewBox='0 0 24 216'%3e%3ctext fill='%23fff' style='font: 900 16px sans-serif' text-anchor='end' transform='matrix(0 -1 1 0 18 5)'%3eFresh%3c/text%3e%3c/svg%3e</v>
      </c>
      <c r="H219" s="8" t="s">
        <v>29</v>
      </c>
      <c r="I219" s="8">
        <f t="shared" ref="I219:J219" si="220">len(B219)</f>
        <v>5</v>
      </c>
      <c r="J219" s="8">
        <f t="shared" si="220"/>
        <v>22</v>
      </c>
      <c r="K219" s="8" t="s">
        <v>632</v>
      </c>
    </row>
    <row r="220">
      <c r="A220" s="7" t="b">
        <v>0</v>
      </c>
      <c r="B220" s="8" t="s">
        <v>630</v>
      </c>
      <c r="C220" s="8" t="s">
        <v>633</v>
      </c>
      <c r="D220" s="8" t="str">
        <f>Q&amp;$K220&amp;Q&amp;":{"&amp;Q&amp;$B$2&amp;Q&amp;":"&amp;Q&amp;$B220&amp;Q&amp;","&amp;Q&amp;$C$2&amp;Q&amp;":"&amp;Q&amp;$C220&amp;Q&amp;","&amp;Q&amp;"sets"&amp;Q&amp;":"&amp;Q&amp;substitute(SUBSTITUTE($H220,"[",""),"]","")&amp;Q&amp;"},"</f>
        <v>"xaco":{"label":"Fresh","extra":"(new, clean) ","sets":"Junior 9+ (1st) &amp; (2nd)"},</v>
      </c>
      <c r="E220" s="9" t="str">
        <f t="shared" si="2"/>
        <v>data:image/svg+xml,%3csvg xmlns='http://www.w3.org/2000/svg' viewBox='0 0 24 216'%3e%3ctext fill='%23fff' style='font: 900 16px sans-serif' text-anchor='end' transform='matrix(0 -1 1 0 18 5)'%3eFresh%3c/text%3e%3c/svg%3e</v>
      </c>
      <c r="F220" s="10" t="str">
        <f t="shared" si="3"/>
        <v>https://svgtext.heliohost.us/cgi-bin/gen.perl?text=Fresh</v>
      </c>
      <c r="G220" s="11" t="str">
        <f t="shared" si="4"/>
        <v>data:image/svg+xml,%3csvg xmlns='http://www.w3.org/2000/svg' viewBox='0 0 24 216'%3e%3ctext fill='%23fff' style='font: 900 16px sans-serif' text-anchor='end' transform='matrix(0 -1 1 0 18 5)'%3eFresh%3c/text%3e%3c/svg%3e</v>
      </c>
      <c r="H220" s="8" t="s">
        <v>42</v>
      </c>
      <c r="I220" s="8">
        <f t="shared" ref="I220:J220" si="221">len(B220)</f>
        <v>5</v>
      </c>
      <c r="J220" s="8">
        <f t="shared" si="221"/>
        <v>13</v>
      </c>
      <c r="K220" s="8" t="s">
        <v>634</v>
      </c>
    </row>
    <row r="221">
      <c r="A221" s="7" t="b">
        <v>1</v>
      </c>
      <c r="B221" s="8" t="s">
        <v>635</v>
      </c>
      <c r="C221" s="8" t="s">
        <v>636</v>
      </c>
      <c r="D221" s="8" t="str">
        <f>Q&amp;$K221&amp;Q&amp;":{"&amp;Q&amp;$B$2&amp;Q&amp;":"&amp;Q&amp;$B221&amp;Q&amp;","&amp;Q&amp;$C$2&amp;Q&amp;":"&amp;Q&amp;$C221&amp;Q&amp;","&amp;Q&amp;"sets"&amp;Q&amp;":"&amp;Q&amp;substitute(SUBSTITUTE($H221,"[",""),"]","")&amp;Q&amp;"},"</f>
        <v>"pabe":{"label":"Friendly","extra":"(affectionate, comforting, welcoming) ","sets":"Expansion Set 2, Party Set"},</v>
      </c>
      <c r="E221" s="9" t="str">
        <f t="shared" si="2"/>
        <v>data:image/svg+xml,%3csvg xmlns='http://www.w3.org/2000/svg' viewBox='0 0 24 216'%3e%3ctext fill='%23fff' style='font: 900 16px sans-serif' text-anchor='end' transform='matrix(0 -1 1 0 18 5)'%3eFriendly%3c/text%3e%3c/svg%3e</v>
      </c>
      <c r="F221" s="10" t="str">
        <f t="shared" si="3"/>
        <v>https://svgtext.heliohost.us/cgi-bin/gen.perl?text=Friendly</v>
      </c>
      <c r="G221" s="11" t="str">
        <f t="shared" si="4"/>
        <v>data:image/svg+xml,%3csvg xmlns='http://www.w3.org/2000/svg' viewBox='0 0 24 216'%3e%3ctext fill='%23fff' style='font: 900 16px sans-serif' text-anchor='end' transform='matrix(0 -1 1 0 18 5)'%3eFriendly%3c/text%3e%3c/svg%3e</v>
      </c>
      <c r="H221" s="8" t="s">
        <v>17</v>
      </c>
      <c r="I221" s="8">
        <f t="shared" ref="I221:J221" si="222">len(B221)</f>
        <v>8</v>
      </c>
      <c r="J221" s="8">
        <f t="shared" si="222"/>
        <v>38</v>
      </c>
      <c r="K221" s="8" t="s">
        <v>637</v>
      </c>
    </row>
    <row r="222">
      <c r="A222" s="7" t="b">
        <v>0</v>
      </c>
      <c r="B222" s="8" t="s">
        <v>635</v>
      </c>
      <c r="C222" s="8" t="s">
        <v>638</v>
      </c>
      <c r="D222" s="8" t="str">
        <f>Q&amp;$K222&amp;Q&amp;":{"&amp;Q&amp;$B$2&amp;Q&amp;":"&amp;Q&amp;$B222&amp;Q&amp;","&amp;Q&amp;$C$2&amp;Q&amp;":"&amp;Q&amp;$C222&amp;Q&amp;","&amp;Q&amp;"sets"&amp;Q&amp;":"&amp;Q&amp;substitute(SUBSTITUTE($H222,"[",""),"]","")&amp;Q&amp;"},"</f>
        <v>"egfk":{"label":"Friendly","extra":"(kind, nice) ","sets":"Junior 9+ (1st) &amp; (2nd)"},</v>
      </c>
      <c r="E222" s="9" t="str">
        <f t="shared" si="2"/>
        <v>data:image/svg+xml,%3csvg xmlns='http://www.w3.org/2000/svg' viewBox='0 0 24 216'%3e%3ctext fill='%23fff' style='font: 900 16px sans-serif' text-anchor='end' transform='matrix(0 -1 1 0 18 5)'%3eFriendly%3c/text%3e%3c/svg%3e</v>
      </c>
      <c r="F222" s="10" t="str">
        <f t="shared" si="3"/>
        <v>https://svgtext.heliohost.us/cgi-bin/gen.perl?text=Friendly</v>
      </c>
      <c r="G222" s="11" t="str">
        <f t="shared" si="4"/>
        <v>data:image/svg+xml,%3csvg xmlns='http://www.w3.org/2000/svg' viewBox='0 0 24 216'%3e%3ctext fill='%23fff' style='font: 900 16px sans-serif' text-anchor='end' transform='matrix(0 -1 1 0 18 5)'%3eFriendly%3c/text%3e%3c/svg%3e</v>
      </c>
      <c r="H222" s="8" t="s">
        <v>42</v>
      </c>
      <c r="I222" s="8">
        <f t="shared" ref="I222:J222" si="223">len(B222)</f>
        <v>8</v>
      </c>
      <c r="J222" s="8">
        <f t="shared" si="223"/>
        <v>13</v>
      </c>
      <c r="K222" s="8" t="s">
        <v>639</v>
      </c>
    </row>
    <row r="223">
      <c r="A223" s="7" t="b">
        <v>0</v>
      </c>
      <c r="B223" s="8" t="s">
        <v>640</v>
      </c>
      <c r="C223" s="8" t="s">
        <v>641</v>
      </c>
      <c r="D223" s="8" t="str">
        <f>Q&amp;$K223&amp;Q&amp;":{"&amp;Q&amp;$B$2&amp;Q&amp;":"&amp;Q&amp;$B223&amp;Q&amp;","&amp;Q&amp;$C$2&amp;Q&amp;":"&amp;Q&amp;$C223&amp;Q&amp;","&amp;Q&amp;"sets"&amp;Q&amp;":"&amp;Q&amp;substitute(SUBSTITUTE($H223,"[",""),"]","")&amp;Q&amp;"},"</f>
        <v>"rpcr":{"label":"Frightening","extra":"(scary, horrifying, awesome) ","sets":"Basic Set, Party Set"},</v>
      </c>
      <c r="E223" s="9" t="str">
        <f t="shared" si="2"/>
        <v>data:image/svg+xml,%3csvg xmlns='http://www.w3.org/2000/svg' viewBox='0 0 24 216'%3e%3ctext fill='%23fff' style='font: 900 16px sans-serif' text-anchor='end' transform='matrix(0 -1 1 0 18 5)'%3eFrightening%3c/text%3e%3c/svg%3e</v>
      </c>
      <c r="F223" s="10" t="str">
        <f t="shared" si="3"/>
        <v>https://svgtext.heliohost.us/cgi-bin/gen.perl?text=Frightening</v>
      </c>
      <c r="G223" s="11" t="str">
        <f t="shared" si="4"/>
        <v>data:image/svg+xml,%3csvg xmlns='http://www.w3.org/2000/svg' viewBox='0 0 24 216'%3e%3ctext fill='%23fff' style='font: 900 16px sans-serif' text-anchor='end' transform='matrix(0 -1 1 0 18 5)'%3eFrightening%3c/text%3e%3c/svg%3e</v>
      </c>
      <c r="H223" s="8" t="s">
        <v>29</v>
      </c>
      <c r="I223" s="8">
        <f t="shared" ref="I223:J223" si="224">len(B223)</f>
        <v>11</v>
      </c>
      <c r="J223" s="8">
        <f t="shared" si="224"/>
        <v>29</v>
      </c>
      <c r="K223" s="8" t="s">
        <v>642</v>
      </c>
    </row>
    <row r="224">
      <c r="A224" s="7" t="b">
        <v>1</v>
      </c>
      <c r="B224" s="8" t="s">
        <v>640</v>
      </c>
      <c r="C224" s="8" t="s">
        <v>643</v>
      </c>
      <c r="D224" s="8" t="str">
        <f>Q&amp;$K224&amp;Q&amp;":{"&amp;Q&amp;$B$2&amp;Q&amp;":"&amp;Q&amp;$B224&amp;Q&amp;","&amp;Q&amp;$C$2&amp;Q&amp;":"&amp;Q&amp;$C224&amp;Q&amp;","&amp;Q&amp;"sets"&amp;Q&amp;":"&amp;Q&amp;substitute(SUBSTITUTE($H224,"[",""),"]","")&amp;Q&amp;"},"</f>
        <v>"auth":{"label":"Frightening","extra":"(scary, horrifying) ","sets":"Junior 9+ (1st) &amp; (2nd)"},</v>
      </c>
      <c r="E224" s="9" t="str">
        <f t="shared" si="2"/>
        <v>data:image/svg+xml,%3csvg xmlns='http://www.w3.org/2000/svg' viewBox='0 0 24 216'%3e%3ctext fill='%23fff' style='font: 900 16px sans-serif' text-anchor='end' transform='matrix(0 -1 1 0 18 5)'%3eFrightening%3c/text%3e%3c/svg%3e</v>
      </c>
      <c r="F224" s="10" t="str">
        <f t="shared" si="3"/>
        <v>https://svgtext.heliohost.us/cgi-bin/gen.perl?text=Frightening</v>
      </c>
      <c r="G224" s="11" t="str">
        <f t="shared" si="4"/>
        <v>data:image/svg+xml,%3csvg xmlns='http://www.w3.org/2000/svg' viewBox='0 0 24 216'%3e%3ctext fill='%23fff' style='font: 900 16px sans-serif' text-anchor='end' transform='matrix(0 -1 1 0 18 5)'%3eFrightening%3c/text%3e%3c/svg%3e</v>
      </c>
      <c r="H224" s="8" t="s">
        <v>42</v>
      </c>
      <c r="I224" s="8">
        <f t="shared" ref="I224:J224" si="225">len(B224)</f>
        <v>11</v>
      </c>
      <c r="J224" s="8">
        <f t="shared" si="225"/>
        <v>20</v>
      </c>
      <c r="K224" s="8" t="s">
        <v>644</v>
      </c>
    </row>
    <row r="225">
      <c r="A225" s="7" t="b">
        <v>0</v>
      </c>
      <c r="B225" s="8" t="s">
        <v>645</v>
      </c>
      <c r="C225" s="7" t="s">
        <v>646</v>
      </c>
      <c r="D225" s="8" t="str">
        <f>Q&amp;$K225&amp;Q&amp;":{"&amp;Q&amp;$B$2&amp;Q&amp;":"&amp;Q&amp;$B225&amp;Q&amp;","&amp;Q&amp;$C$2&amp;Q&amp;":"&amp;Q&amp;$C225&amp;Q&amp;","&amp;Q&amp;"sets"&amp;Q&amp;":"&amp;Q&amp;substitute(SUBSTITUTE($H225,"[",""),"]","")&amp;Q&amp;"},"</f>
        <v>"jnsq":{"label":"Frivolous","extra":"(trivial, silly, shallow)","sets":"Party Set"},</v>
      </c>
      <c r="E225" s="9" t="str">
        <f t="shared" si="2"/>
        <v>data:image/svg+xml,%3csvg xmlns='http://www.w3.org/2000/svg' viewBox='0 0 24 216'%3e%3ctext fill='%23fff' style='font: 900 16px sans-serif' text-anchor='end' transform='matrix(0 -1 1 0 18 5)'%3eFrivolous%3c/text%3e%3c/svg%3e</v>
      </c>
      <c r="F225" s="10" t="str">
        <f t="shared" si="3"/>
        <v>https://svgtext.heliohost.us/cgi-bin/gen.perl?text=Frivolous</v>
      </c>
      <c r="G225" s="11" t="str">
        <f t="shared" si="4"/>
        <v>data:image/svg+xml,%3csvg xmlns='http://www.w3.org/2000/svg' viewBox='0 0 24 216'%3e%3ctext fill='%23fff' style='font: 900 16px sans-serif' text-anchor='end' transform='matrix(0 -1 1 0 18 5)'%3eFrivolous%3c/text%3e%3c/svg%3e</v>
      </c>
      <c r="H225" s="12" t="s">
        <v>268</v>
      </c>
      <c r="I225" s="8">
        <f t="shared" ref="I225:J225" si="226">len(B225)</f>
        <v>9</v>
      </c>
      <c r="J225" s="8">
        <f t="shared" si="226"/>
        <v>25</v>
      </c>
      <c r="K225" s="8" t="s">
        <v>647</v>
      </c>
    </row>
    <row r="226">
      <c r="A226" s="7" t="b">
        <v>1</v>
      </c>
      <c r="B226" s="8" t="s">
        <v>648</v>
      </c>
      <c r="C226" s="8" t="s">
        <v>649</v>
      </c>
      <c r="D226" s="8" t="str">
        <f>Q&amp;$K226&amp;Q&amp;":{"&amp;Q&amp;$B$2&amp;Q&amp;":"&amp;Q&amp;$B226&amp;Q&amp;","&amp;Q&amp;$C$2&amp;Q&amp;":"&amp;Q&amp;$C226&amp;Q&amp;","&amp;Q&amp;"sets"&amp;Q&amp;":"&amp;Q&amp;substitute(SUBSTITUTE($H226,"[",""),"]","")&amp;Q&amp;"},"</f>
        <v>"yvjp":{"label":"Fun","extra":"(enjoyable, playful, amusing) ","sets":"Expansion Set 3, Party Expansion 1"},</v>
      </c>
      <c r="E226" s="9" t="str">
        <f t="shared" si="2"/>
        <v>data:image/svg+xml,%3csvg xmlns='http://www.w3.org/2000/svg' viewBox='0 0 24 216'%3e%3ctext fill='%23fff' style='font: 900 16px sans-serif' text-anchor='end' transform='matrix(0 -1 1 0 18 5)'%3eFun%3c/text%3e%3c/svg%3e</v>
      </c>
      <c r="F226" s="10" t="str">
        <f t="shared" si="3"/>
        <v>https://svgtext.heliohost.us/cgi-bin/gen.perl?text=Fun</v>
      </c>
      <c r="G226" s="11" t="str">
        <f t="shared" si="4"/>
        <v>data:image/svg+xml,%3csvg xmlns='http://www.w3.org/2000/svg' viewBox='0 0 24 216'%3e%3ctext fill='%23fff' style='font: 900 16px sans-serif' text-anchor='end' transform='matrix(0 -1 1 0 18 5)'%3eFun%3c/text%3e%3c/svg%3e</v>
      </c>
      <c r="H226" s="8" t="s">
        <v>39</v>
      </c>
      <c r="I226" s="8">
        <f t="shared" ref="I226:J226" si="227">len(B226)</f>
        <v>3</v>
      </c>
      <c r="J226" s="8">
        <f t="shared" si="227"/>
        <v>30</v>
      </c>
      <c r="K226" s="8" t="s">
        <v>650</v>
      </c>
    </row>
    <row r="227">
      <c r="A227" s="7" t="b">
        <v>0</v>
      </c>
      <c r="B227" s="8" t="s">
        <v>648</v>
      </c>
      <c r="C227" s="8" t="s">
        <v>651</v>
      </c>
      <c r="D227" s="8" t="str">
        <f>Q&amp;$K227&amp;Q&amp;":{"&amp;Q&amp;$B$2&amp;Q&amp;":"&amp;Q&amp;$B227&amp;Q&amp;","&amp;Q&amp;$C$2&amp;Q&amp;":"&amp;Q&amp;$C227&amp;Q&amp;","&amp;Q&amp;"sets"&amp;Q&amp;":"&amp;Q&amp;substitute(SUBSTITUTE($H227,"[",""),"]","")&amp;Q&amp;"},"</f>
        <v>"cnve":{"label":"Fun","extra":"(enjoyable, playful) ","sets":"Junior"},</v>
      </c>
      <c r="E227" s="9" t="str">
        <f t="shared" si="2"/>
        <v>data:image/svg+xml,%3csvg xmlns='http://www.w3.org/2000/svg' viewBox='0 0 24 216'%3e%3ctext fill='%23fff' style='font: 900 16px sans-serif' text-anchor='end' transform='matrix(0 -1 1 0 18 5)'%3eFun%3c/text%3e%3c/svg%3e</v>
      </c>
      <c r="F227" s="10" t="str">
        <f t="shared" si="3"/>
        <v>https://svgtext.heliohost.us/cgi-bin/gen.perl?text=Fun</v>
      </c>
      <c r="G227" s="11" t="str">
        <f t="shared" si="4"/>
        <v>data:image/svg+xml,%3csvg xmlns='http://www.w3.org/2000/svg' viewBox='0 0 24 216'%3e%3ctext fill='%23fff' style='font: 900 16px sans-serif' text-anchor='end' transform='matrix(0 -1 1 0 18 5)'%3eFun%3c/text%3e%3c/svg%3e</v>
      </c>
      <c r="H227" s="8" t="s">
        <v>84</v>
      </c>
      <c r="I227" s="8">
        <f t="shared" ref="I227:J227" si="228">len(B227)</f>
        <v>3</v>
      </c>
      <c r="J227" s="8">
        <f t="shared" si="228"/>
        <v>21</v>
      </c>
      <c r="K227" s="8" t="s">
        <v>652</v>
      </c>
    </row>
    <row r="228">
      <c r="A228" s="7" t="b">
        <v>0</v>
      </c>
      <c r="B228" s="8" t="s">
        <v>653</v>
      </c>
      <c r="C228" s="8" t="s">
        <v>654</v>
      </c>
      <c r="D228" s="8" t="str">
        <f>Q&amp;$K228&amp;Q&amp;":{"&amp;Q&amp;$B$2&amp;Q&amp;":"&amp;Q&amp;$B228&amp;Q&amp;","&amp;Q&amp;$C$2&amp;Q&amp;":"&amp;Q&amp;$C228&amp;Q&amp;","&amp;Q&amp;"sets"&amp;Q&amp;":"&amp;Q&amp;substitute(SUBSTITUTE($H228,"[",""),"]","")&amp;Q&amp;"},"</f>
        <v>"nlsn":{"label":"Funky","extra":"(groovy, psychedelic, hip) ","sets":"Expansion Set 1, Party Set"},</v>
      </c>
      <c r="E228" s="9" t="str">
        <f t="shared" si="2"/>
        <v>data:image/svg+xml,%3csvg xmlns='http://www.w3.org/2000/svg' viewBox='0 0 24 216'%3e%3ctext fill='%23fff' style='font: 900 16px sans-serif' text-anchor='end' transform='matrix(0 -1 1 0 18 5)'%3eFunky%3c/text%3e%3c/svg%3e</v>
      </c>
      <c r="F228" s="10" t="str">
        <f t="shared" si="3"/>
        <v>https://svgtext.heliohost.us/cgi-bin/gen.perl?text=Funky</v>
      </c>
      <c r="G228" s="11" t="str">
        <f t="shared" si="4"/>
        <v>data:image/svg+xml,%3csvg xmlns='http://www.w3.org/2000/svg' viewBox='0 0 24 216'%3e%3ctext fill='%23fff' style='font: 900 16px sans-serif' text-anchor='end' transform='matrix(0 -1 1 0 18 5)'%3eFunky%3c/text%3e%3c/svg%3e</v>
      </c>
      <c r="H228" s="8" t="s">
        <v>25</v>
      </c>
      <c r="I228" s="8">
        <f t="shared" ref="I228:J228" si="229">len(B228)</f>
        <v>5</v>
      </c>
      <c r="J228" s="8">
        <f t="shared" si="229"/>
        <v>27</v>
      </c>
      <c r="K228" s="8" t="s">
        <v>655</v>
      </c>
    </row>
    <row r="229">
      <c r="A229" s="7" t="b">
        <v>1</v>
      </c>
      <c r="B229" s="8" t="s">
        <v>656</v>
      </c>
      <c r="C229" s="8" t="s">
        <v>657</v>
      </c>
      <c r="D229" s="8" t="str">
        <f>Q&amp;$K229&amp;Q&amp;":{"&amp;Q&amp;$B$2&amp;Q&amp;":"&amp;Q&amp;$B229&amp;Q&amp;","&amp;Q&amp;$C$2&amp;Q&amp;":"&amp;Q&amp;$C229&amp;Q&amp;","&amp;Q&amp;"sets"&amp;Q&amp;":"&amp;Q&amp;substitute(SUBSTITUTE($H229,"[",""),"]","")&amp;Q&amp;"},"</f>
        <v>"hnfn":{"label":"Funny","extra":"(amusing, comic, odd) ","sets":"Expansion Set 1, Party Set"},</v>
      </c>
      <c r="E229" s="9" t="str">
        <f t="shared" si="2"/>
        <v>data:image/svg+xml,%3csvg xmlns='http://www.w3.org/2000/svg' viewBox='0 0 24 216'%3e%3ctext fill='%23fff' style='font: 900 16px sans-serif' text-anchor='end' transform='matrix(0 -1 1 0 18 5)'%3eFunny%3c/text%3e%3c/svg%3e</v>
      </c>
      <c r="F229" s="10" t="str">
        <f t="shared" si="3"/>
        <v>https://svgtext.heliohost.us/cgi-bin/gen.perl?text=Funny</v>
      </c>
      <c r="G229" s="11" t="str">
        <f t="shared" si="4"/>
        <v>data:image/svg+xml,%3csvg xmlns='http://www.w3.org/2000/svg' viewBox='0 0 24 216'%3e%3ctext fill='%23fff' style='font: 900 16px sans-serif' text-anchor='end' transform='matrix(0 -1 1 0 18 5)'%3eFunny%3c/text%3e%3c/svg%3e</v>
      </c>
      <c r="H229" s="8" t="s">
        <v>25</v>
      </c>
      <c r="I229" s="8">
        <f t="shared" ref="I229:J229" si="230">len(B229)</f>
        <v>5</v>
      </c>
      <c r="J229" s="8">
        <f t="shared" si="230"/>
        <v>22</v>
      </c>
      <c r="K229" s="8" t="s">
        <v>658</v>
      </c>
    </row>
    <row r="230">
      <c r="A230" s="7" t="b">
        <v>0</v>
      </c>
      <c r="B230" s="8" t="s">
        <v>656</v>
      </c>
      <c r="C230" s="8" t="s">
        <v>659</v>
      </c>
      <c r="D230" s="8" t="str">
        <f>Q&amp;$K230&amp;Q&amp;":{"&amp;Q&amp;$B$2&amp;Q&amp;":"&amp;Q&amp;$B230&amp;Q&amp;","&amp;Q&amp;$C$2&amp;Q&amp;":"&amp;Q&amp;$C230&amp;Q&amp;","&amp;Q&amp;"sets"&amp;Q&amp;":"&amp;Q&amp;substitute(SUBSTITUTE($H230,"[",""),"]","")&amp;Q&amp;"},"</f>
        <v>"bqup":{"label":"Funny","extra":"(silly, goofy) ","sets":"Junior"},</v>
      </c>
      <c r="E230" s="9" t="str">
        <f t="shared" si="2"/>
        <v>data:image/svg+xml,%3csvg xmlns='http://www.w3.org/2000/svg' viewBox='0 0 24 216'%3e%3ctext fill='%23fff' style='font: 900 16px sans-serif' text-anchor='end' transform='matrix(0 -1 1 0 18 5)'%3eFunny%3c/text%3e%3c/svg%3e</v>
      </c>
      <c r="F230" s="10" t="str">
        <f t="shared" si="3"/>
        <v>https://svgtext.heliohost.us/cgi-bin/gen.perl?text=Funny</v>
      </c>
      <c r="G230" s="11" t="str">
        <f t="shared" si="4"/>
        <v>data:image/svg+xml,%3csvg xmlns='http://www.w3.org/2000/svg' viewBox='0 0 24 216'%3e%3ctext fill='%23fff' style='font: 900 16px sans-serif' text-anchor='end' transform='matrix(0 -1 1 0 18 5)'%3eFunny%3c/text%3e%3c/svg%3e</v>
      </c>
      <c r="H230" s="8" t="s">
        <v>84</v>
      </c>
      <c r="I230" s="8">
        <f t="shared" ref="I230:J230" si="231">len(B230)</f>
        <v>5</v>
      </c>
      <c r="J230" s="8">
        <f t="shared" si="231"/>
        <v>15</v>
      </c>
      <c r="K230" s="8" t="s">
        <v>660</v>
      </c>
    </row>
    <row r="231">
      <c r="A231" s="7" t="b">
        <v>0</v>
      </c>
      <c r="B231" s="8" t="s">
        <v>661</v>
      </c>
      <c r="C231" s="8" t="s">
        <v>662</v>
      </c>
      <c r="D231" s="8" t="str">
        <f>Q&amp;$K231&amp;Q&amp;":{"&amp;Q&amp;$B$2&amp;Q&amp;":"&amp;Q&amp;$B231&amp;Q&amp;","&amp;Q&amp;$C$2&amp;Q&amp;":"&amp;Q&amp;$C231&amp;Q&amp;","&amp;Q&amp;"sets"&amp;Q&amp;":"&amp;Q&amp;substitute(SUBSTITUTE($H231,"[",""),"]","")&amp;Q&amp;"},"</f>
        <v>"ikzh":{"label":"Furious","extra":"(angry, raging, wild) ","sets":"Expansion Set 1, Party Set"},</v>
      </c>
      <c r="E231" s="9" t="str">
        <f t="shared" si="2"/>
        <v>data:image/svg+xml,%3csvg xmlns='http://www.w3.org/2000/svg' viewBox='0 0 24 216'%3e%3ctext fill='%23fff' style='font: 900 16px sans-serif' text-anchor='end' transform='matrix(0 -1 1 0 18 5)'%3eFurious%3c/text%3e%3c/svg%3e</v>
      </c>
      <c r="F231" s="10" t="str">
        <f t="shared" si="3"/>
        <v>https://svgtext.heliohost.us/cgi-bin/gen.perl?text=Furious</v>
      </c>
      <c r="G231" s="11" t="str">
        <f t="shared" si="4"/>
        <v>data:image/svg+xml,%3csvg xmlns='http://www.w3.org/2000/svg' viewBox='0 0 24 216'%3e%3ctext fill='%23fff' style='font: 900 16px sans-serif' text-anchor='end' transform='matrix(0 -1 1 0 18 5)'%3eFurious%3c/text%3e%3c/svg%3e</v>
      </c>
      <c r="H231" s="8" t="s">
        <v>25</v>
      </c>
      <c r="I231" s="8">
        <f t="shared" ref="I231:J231" si="232">len(B231)</f>
        <v>7</v>
      </c>
      <c r="J231" s="8">
        <f t="shared" si="232"/>
        <v>22</v>
      </c>
      <c r="K231" s="8" t="s">
        <v>663</v>
      </c>
    </row>
    <row r="232">
      <c r="A232" s="7" t="b">
        <v>0</v>
      </c>
      <c r="B232" s="8" t="s">
        <v>664</v>
      </c>
      <c r="C232" s="8" t="s">
        <v>665</v>
      </c>
      <c r="D232" s="8" t="str">
        <f>Q&amp;$K232&amp;Q&amp;":{"&amp;Q&amp;$B$2&amp;Q&amp;":"&amp;Q&amp;$B232&amp;Q&amp;","&amp;Q&amp;$C$2&amp;Q&amp;":"&amp;Q&amp;$C232&amp;Q&amp;","&amp;Q&amp;"sets"&amp;Q&amp;":"&amp;Q&amp;substitute(SUBSTITUTE($H232,"[",""),"]","")&amp;Q&amp;"},"</f>
        <v>"ksml":{"label":"Furry","extra":"(hairy, fuzzy) ","sets":"Junior 9+ (1st) &amp; (2nd)"},</v>
      </c>
      <c r="E232" s="9" t="str">
        <f t="shared" si="2"/>
        <v>data:image/svg+xml,%3csvg xmlns='http://www.w3.org/2000/svg' viewBox='0 0 24 216'%3e%3ctext fill='%23fff' style='font: 900 16px sans-serif' text-anchor='end' transform='matrix(0 -1 1 0 18 5)'%3eFurry%3c/text%3e%3c/svg%3e</v>
      </c>
      <c r="F232" s="10" t="str">
        <f t="shared" si="3"/>
        <v>https://svgtext.heliohost.us/cgi-bin/gen.perl?text=Furry</v>
      </c>
      <c r="G232" s="11" t="str">
        <f t="shared" si="4"/>
        <v>data:image/svg+xml,%3csvg xmlns='http://www.w3.org/2000/svg' viewBox='0 0 24 216'%3e%3ctext fill='%23fff' style='font: 900 16px sans-serif' text-anchor='end' transform='matrix(0 -1 1 0 18 5)'%3eFurry%3c/text%3e%3c/svg%3e</v>
      </c>
      <c r="H232" s="8" t="s">
        <v>42</v>
      </c>
      <c r="I232" s="8">
        <f t="shared" ref="I232:J232" si="233">len(B232)</f>
        <v>5</v>
      </c>
      <c r="J232" s="8">
        <f t="shared" si="233"/>
        <v>15</v>
      </c>
      <c r="K232" s="8" t="s">
        <v>666</v>
      </c>
    </row>
    <row r="233">
      <c r="A233" s="7" t="b">
        <v>0</v>
      </c>
      <c r="B233" s="8" t="s">
        <v>667</v>
      </c>
      <c r="C233" s="8" t="s">
        <v>668</v>
      </c>
      <c r="D233" s="8" t="str">
        <f>Q&amp;$K233&amp;Q&amp;":{"&amp;Q&amp;$B$2&amp;Q&amp;":"&amp;Q&amp;$B233&amp;Q&amp;","&amp;Q&amp;$C$2&amp;Q&amp;":"&amp;Q&amp;$C233&amp;Q&amp;","&amp;Q&amp;"sets"&amp;Q&amp;":"&amp;Q&amp;substitute(SUBSTITUTE($H233,"[",""),"]","")&amp;Q&amp;"},"</f>
        <v>"whaf":{"label":"Fuzzy","extra":"(downy, unclear, furry) ","sets":"Expansion Set 2, Party Set"},</v>
      </c>
      <c r="E233" s="9" t="str">
        <f t="shared" si="2"/>
        <v>data:image/svg+xml,%3csvg xmlns='http://www.w3.org/2000/svg' viewBox='0 0 24 216'%3e%3ctext fill='%23fff' style='font: 900 16px sans-serif' text-anchor='end' transform='matrix(0 -1 1 0 18 5)'%3eFuzzy%3c/text%3e%3c/svg%3e</v>
      </c>
      <c r="F233" s="10" t="str">
        <f t="shared" si="3"/>
        <v>https://svgtext.heliohost.us/cgi-bin/gen.perl?text=Fuzzy</v>
      </c>
      <c r="G233" s="11" t="str">
        <f t="shared" si="4"/>
        <v>data:image/svg+xml,%3csvg xmlns='http://www.w3.org/2000/svg' viewBox='0 0 24 216'%3e%3ctext fill='%23fff' style='font: 900 16px sans-serif' text-anchor='end' transform='matrix(0 -1 1 0 18 5)'%3eFuzzy%3c/text%3e%3c/svg%3e</v>
      </c>
      <c r="H233" s="8" t="s">
        <v>17</v>
      </c>
      <c r="I233" s="8">
        <f t="shared" ref="I233:J233" si="234">len(B233)</f>
        <v>5</v>
      </c>
      <c r="J233" s="8">
        <f t="shared" si="234"/>
        <v>24</v>
      </c>
      <c r="K233" s="8" t="s">
        <v>669</v>
      </c>
    </row>
    <row r="234">
      <c r="A234" s="7" t="b">
        <v>0</v>
      </c>
      <c r="B234" s="8" t="s">
        <v>667</v>
      </c>
      <c r="C234" s="8" t="s">
        <v>670</v>
      </c>
      <c r="D234" s="8" t="str">
        <f>Q&amp;$K234&amp;Q&amp;":{"&amp;Q&amp;$B$2&amp;Q&amp;":"&amp;Q&amp;$B234&amp;Q&amp;","&amp;Q&amp;$C$2&amp;Q&amp;":"&amp;Q&amp;$C234&amp;Q&amp;","&amp;Q&amp;"sets"&amp;Q&amp;":"&amp;Q&amp;substitute(SUBSTITUTE($H234,"[",""),"]","")&amp;Q&amp;"},"</f>
        <v>"wutc":{"label":"Fuzzy","extra":"(furry, fuzz-covered) ","sets":"Junior"},</v>
      </c>
      <c r="E234" s="9" t="str">
        <f t="shared" si="2"/>
        <v>data:image/svg+xml,%3csvg xmlns='http://www.w3.org/2000/svg' viewBox='0 0 24 216'%3e%3ctext fill='%23fff' style='font: 900 16px sans-serif' text-anchor='end' transform='matrix(0 -1 1 0 18 5)'%3eFuzzy%3c/text%3e%3c/svg%3e</v>
      </c>
      <c r="F234" s="10" t="str">
        <f t="shared" si="3"/>
        <v>https://svgtext.heliohost.us/cgi-bin/gen.perl?text=Fuzzy</v>
      </c>
      <c r="G234" s="11" t="str">
        <f t="shared" si="4"/>
        <v>data:image/svg+xml,%3csvg xmlns='http://www.w3.org/2000/svg' viewBox='0 0 24 216'%3e%3ctext fill='%23fff' style='font: 900 16px sans-serif' text-anchor='end' transform='matrix(0 -1 1 0 18 5)'%3eFuzzy%3c/text%3e%3c/svg%3e</v>
      </c>
      <c r="H234" s="8" t="s">
        <v>84</v>
      </c>
      <c r="I234" s="8">
        <f t="shared" ref="I234:J234" si="235">len(B234)</f>
        <v>5</v>
      </c>
      <c r="J234" s="8">
        <f t="shared" si="235"/>
        <v>22</v>
      </c>
      <c r="K234" s="8" t="s">
        <v>671</v>
      </c>
    </row>
    <row r="235">
      <c r="A235" s="7" t="b">
        <v>0</v>
      </c>
      <c r="B235" s="8" t="s">
        <v>672</v>
      </c>
      <c r="C235" s="8" t="s">
        <v>673</v>
      </c>
      <c r="D235" s="8" t="str">
        <f>Q&amp;$K235&amp;Q&amp;":{"&amp;Q&amp;$B$2&amp;Q&amp;":"&amp;Q&amp;$B235&amp;Q&amp;","&amp;Q&amp;$C$2&amp;Q&amp;":"&amp;Q&amp;$C235&amp;Q&amp;","&amp;Q&amp;"sets"&amp;Q&amp;":"&amp;Q&amp;substitute(SUBSTITUTE($H235,"[",""),"]","")&amp;Q&amp;"},"</f>
        <v>"lcyj":{"label":"Gentle","extra":"(tame, mild) ","sets":"Junior 9+ (1st) &amp; (2nd)"},</v>
      </c>
      <c r="E235" s="9" t="str">
        <f t="shared" si="2"/>
        <v>data:image/svg+xml,%3csvg xmlns='http://www.w3.org/2000/svg' viewBox='0 0 24 216'%3e%3ctext fill='%23fff' style='font: 900 16px sans-serif' text-anchor='end' transform='matrix(0 -1 1 0 18 5)'%3eGentle%3c/text%3e%3c/svg%3e</v>
      </c>
      <c r="F235" s="10" t="str">
        <f t="shared" si="3"/>
        <v>https://svgtext.heliohost.us/cgi-bin/gen.perl?text=Gentle</v>
      </c>
      <c r="G235" s="11" t="str">
        <f t="shared" si="4"/>
        <v>data:image/svg+xml,%3csvg xmlns='http://www.w3.org/2000/svg' viewBox='0 0 24 216'%3e%3ctext fill='%23fff' style='font: 900 16px sans-serif' text-anchor='end' transform='matrix(0 -1 1 0 18 5)'%3eGentle%3c/text%3e%3c/svg%3e</v>
      </c>
      <c r="H235" s="8" t="s">
        <v>42</v>
      </c>
      <c r="I235" s="8">
        <f t="shared" ref="I235:J235" si="236">len(B235)</f>
        <v>6</v>
      </c>
      <c r="J235" s="8">
        <f t="shared" si="236"/>
        <v>13</v>
      </c>
      <c r="K235" s="8" t="s">
        <v>674</v>
      </c>
    </row>
    <row r="236">
      <c r="A236" s="7" t="b">
        <v>1</v>
      </c>
      <c r="B236" s="8" t="s">
        <v>675</v>
      </c>
      <c r="C236" s="8" t="s">
        <v>676</v>
      </c>
      <c r="D236" s="8" t="str">
        <f>Q&amp;$K236&amp;Q&amp;":{"&amp;Q&amp;$B$2&amp;Q&amp;":"&amp;Q&amp;$B236&amp;Q&amp;","&amp;Q&amp;$C$2&amp;Q&amp;":"&amp;Q&amp;$C236&amp;Q&amp;","&amp;Q&amp;"sets"&amp;Q&amp;":"&amp;Q&amp;substitute(SUBSTITUTE($H236,"[",""),"]","")&amp;Q&amp;"},"</f>
        <v>"rpev":{"label":"Gigantic","extra":"(huge, large) ","sets":"Junior 9+ (2nd)"},</v>
      </c>
      <c r="E236" s="9" t="str">
        <f t="shared" si="2"/>
        <v>data:image/svg+xml,%3csvg xmlns='http://www.w3.org/2000/svg' viewBox='0 0 24 216'%3e%3ctext fill='%23fff' style='font: 900 16px sans-serif' text-anchor='end' transform='matrix(0 -1 1 0 18 5)'%3eGigantic%3c/text%3e%3c/svg%3e</v>
      </c>
      <c r="F236" s="10" t="str">
        <f t="shared" si="3"/>
        <v>https://svgtext.heliohost.us/cgi-bin/gen.perl?text=Gigantic</v>
      </c>
      <c r="G236" s="11" t="str">
        <f t="shared" si="4"/>
        <v>data:image/svg+xml,%3csvg xmlns='http://www.w3.org/2000/svg' viewBox='0 0 24 216'%3e%3ctext fill='%23fff' style='font: 900 16px sans-serif' text-anchor='end' transform='matrix(0 -1 1 0 18 5)'%3eGigantic%3c/text%3e%3c/svg%3e</v>
      </c>
      <c r="H236" s="8" t="s">
        <v>32</v>
      </c>
      <c r="I236" s="8">
        <f t="shared" ref="I236:J236" si="237">len(B236)</f>
        <v>8</v>
      </c>
      <c r="J236" s="8">
        <f t="shared" si="237"/>
        <v>14</v>
      </c>
      <c r="K236" s="8" t="s">
        <v>677</v>
      </c>
    </row>
    <row r="237">
      <c r="A237" s="7" t="b">
        <v>1</v>
      </c>
      <c r="B237" s="8" t="s">
        <v>678</v>
      </c>
      <c r="C237" s="8" t="s">
        <v>679</v>
      </c>
      <c r="D237" s="8" t="str">
        <f>Q&amp;$K237&amp;Q&amp;":{"&amp;Q&amp;$B$2&amp;Q&amp;":"&amp;Q&amp;$B237&amp;Q&amp;","&amp;Q&amp;$C$2&amp;Q&amp;":"&amp;Q&amp;$C237&amp;Q&amp;","&amp;Q&amp;"sets"&amp;Q&amp;":"&amp;Q&amp;substitute(SUBSTITUTE($H237,"[",""),"]","")&amp;Q&amp;"},"</f>
        <v>"ipir":{"label":"Glamorous","extra":"(beautiful, dazzling, stylish) ","sets":"Expansion Set 1, Party Set"},</v>
      </c>
      <c r="E237" s="9" t="str">
        <f t="shared" si="2"/>
        <v>data:image/svg+xml,%3csvg xmlns='http://www.w3.org/2000/svg' viewBox='0 0 24 216'%3e%3ctext fill='%23fff' style='font: 900 16px sans-serif' text-anchor='end' transform='matrix(0 -1 1 0 18 5)'%3eGlamorous%3c/text%3e%3c/svg%3e</v>
      </c>
      <c r="F237" s="10" t="str">
        <f t="shared" si="3"/>
        <v>https://svgtext.heliohost.us/cgi-bin/gen.perl?text=Glamorous</v>
      </c>
      <c r="G237" s="11" t="str">
        <f t="shared" si="4"/>
        <v>data:image/svg+xml,%3csvg xmlns='http://www.w3.org/2000/svg' viewBox='0 0 24 216'%3e%3ctext fill='%23fff' style='font: 900 16px sans-serif' text-anchor='end' transform='matrix(0 -1 1 0 18 5)'%3eGlamorous%3c/text%3e%3c/svg%3e</v>
      </c>
      <c r="H237" s="8" t="s">
        <v>25</v>
      </c>
      <c r="I237" s="8">
        <f t="shared" ref="I237:J237" si="238">len(B237)</f>
        <v>9</v>
      </c>
      <c r="J237" s="8">
        <f t="shared" si="238"/>
        <v>31</v>
      </c>
      <c r="K237" s="8" t="s">
        <v>680</v>
      </c>
    </row>
    <row r="238">
      <c r="A238" s="7" t="b">
        <v>0</v>
      </c>
      <c r="B238" s="8" t="s">
        <v>681</v>
      </c>
      <c r="C238" s="8" t="s">
        <v>682</v>
      </c>
      <c r="D238" s="8" t="str">
        <f>Q&amp;$K238&amp;Q&amp;":{"&amp;Q&amp;$B$2&amp;Q&amp;":"&amp;Q&amp;$B238&amp;Q&amp;","&amp;Q&amp;$C$2&amp;Q&amp;":"&amp;Q&amp;$C238&amp;Q&amp;","&amp;Q&amp;"sets"&amp;Q&amp;":"&amp;Q&amp;substitute(SUBSTITUTE($H238,"[",""),"]","")&amp;Q&amp;"},"</f>
        <v>"kjnn":{"label":"Glitzy","extra":"(flashy, showy, gaudy) ","sets":"Expansion Set 2, Party Set"},</v>
      </c>
      <c r="E238" s="9" t="str">
        <f t="shared" si="2"/>
        <v>data:image/svg+xml,%3csvg xmlns='http://www.w3.org/2000/svg' viewBox='0 0 24 216'%3e%3ctext fill='%23fff' style='font: 900 16px sans-serif' text-anchor='end' transform='matrix(0 -1 1 0 18 5)'%3eGlitzy%3c/text%3e%3c/svg%3e</v>
      </c>
      <c r="F238" s="10" t="str">
        <f t="shared" si="3"/>
        <v>https://svgtext.heliohost.us/cgi-bin/gen.perl?text=Glitzy</v>
      </c>
      <c r="G238" s="11" t="str">
        <f t="shared" si="4"/>
        <v>data:image/svg+xml,%3csvg xmlns='http://www.w3.org/2000/svg' viewBox='0 0 24 216'%3e%3ctext fill='%23fff' style='font: 900 16px sans-serif' text-anchor='end' transform='matrix(0 -1 1 0 18 5)'%3eGlitzy%3c/text%3e%3c/svg%3e</v>
      </c>
      <c r="H238" s="8" t="s">
        <v>17</v>
      </c>
      <c r="I238" s="8">
        <f t="shared" ref="I238:J238" si="239">len(B238)</f>
        <v>6</v>
      </c>
      <c r="J238" s="8">
        <f t="shared" si="239"/>
        <v>23</v>
      </c>
      <c r="K238" s="8" t="s">
        <v>683</v>
      </c>
    </row>
    <row r="239">
      <c r="A239" s="7" t="b">
        <v>0</v>
      </c>
      <c r="B239" s="8" t="s">
        <v>684</v>
      </c>
      <c r="C239" s="8" t="s">
        <v>685</v>
      </c>
      <c r="D239" s="8" t="str">
        <f>Q&amp;$K239&amp;Q&amp;":{"&amp;Q&amp;$B$2&amp;Q&amp;":"&amp;Q&amp;$B239&amp;Q&amp;","&amp;Q&amp;$C$2&amp;Q&amp;":"&amp;Q&amp;$C239&amp;Q&amp;","&amp;Q&amp;"sets"&amp;Q&amp;":"&amp;Q&amp;substitute(SUBSTITUTE($H239,"[",""),"]","")&amp;Q&amp;"},"</f>
        <v>"kigt":{"label":"Global","extra":"(world-wide, spherical, universal) ","sets":"Expansion Set 2, Party Set"},</v>
      </c>
      <c r="E239" s="9" t="str">
        <f t="shared" si="2"/>
        <v>data:image/svg+xml,%3csvg xmlns='http://www.w3.org/2000/svg' viewBox='0 0 24 216'%3e%3ctext fill='%23fff' style='font: 900 16px sans-serif' text-anchor='end' transform='matrix(0 -1 1 0 18 5)'%3eGlobal%3c/text%3e%3c/svg%3e</v>
      </c>
      <c r="F239" s="10" t="str">
        <f t="shared" si="3"/>
        <v>https://svgtext.heliohost.us/cgi-bin/gen.perl?text=Global</v>
      </c>
      <c r="G239" s="11" t="str">
        <f t="shared" si="4"/>
        <v>data:image/svg+xml,%3csvg xmlns='http://www.w3.org/2000/svg' viewBox='0 0 24 216'%3e%3ctext fill='%23fff' style='font: 900 16px sans-serif' text-anchor='end' transform='matrix(0 -1 1 0 18 5)'%3eGlobal%3c/text%3e%3c/svg%3e</v>
      </c>
      <c r="H239" s="8" t="s">
        <v>17</v>
      </c>
      <c r="I239" s="8">
        <f t="shared" ref="I239:J239" si="240">len(B239)</f>
        <v>6</v>
      </c>
      <c r="J239" s="8">
        <f t="shared" si="240"/>
        <v>35</v>
      </c>
      <c r="K239" s="8" t="s">
        <v>686</v>
      </c>
    </row>
    <row r="240">
      <c r="A240" s="7" t="b">
        <v>1</v>
      </c>
      <c r="B240" s="8" t="s">
        <v>687</v>
      </c>
      <c r="C240" s="8" t="s">
        <v>688</v>
      </c>
      <c r="D240" s="8" t="str">
        <f>Q&amp;$K240&amp;Q&amp;":{"&amp;Q&amp;$B$2&amp;Q&amp;":"&amp;Q&amp;$B240&amp;Q&amp;","&amp;Q&amp;$C$2&amp;Q&amp;":"&amp;Q&amp;$C240&amp;Q&amp;","&amp;Q&amp;"sets"&amp;Q&amp;":"&amp;Q&amp;substitute(SUBSTITUTE($H240,"[",""),"]","")&amp;Q&amp;"},"</f>
        <v>"bniq":{"label":"Gloomy","extra":"(dreary, depressing, sullen) ","sets":"Expansion Set 3, Party Expansion 1"},</v>
      </c>
      <c r="E240" s="9" t="str">
        <f t="shared" si="2"/>
        <v>data:image/svg+xml,%3csvg xmlns='http://www.w3.org/2000/svg' viewBox='0 0 24 216'%3e%3ctext fill='%23fff' style='font: 900 16px sans-serif' text-anchor='end' transform='matrix(0 -1 1 0 18 5)'%3eGloomy%3c/text%3e%3c/svg%3e</v>
      </c>
      <c r="F240" s="10" t="str">
        <f t="shared" si="3"/>
        <v>https://svgtext.heliohost.us/cgi-bin/gen.perl?text=Gloomy</v>
      </c>
      <c r="G240" s="11" t="str">
        <f t="shared" si="4"/>
        <v>data:image/svg+xml,%3csvg xmlns='http://www.w3.org/2000/svg' viewBox='0 0 24 216'%3e%3ctext fill='%23fff' style='font: 900 16px sans-serif' text-anchor='end' transform='matrix(0 -1 1 0 18 5)'%3eGloomy%3c/text%3e%3c/svg%3e</v>
      </c>
      <c r="H240" s="8" t="s">
        <v>39</v>
      </c>
      <c r="I240" s="8">
        <f t="shared" ref="I240:J240" si="241">len(B240)</f>
        <v>6</v>
      </c>
      <c r="J240" s="8">
        <f t="shared" si="241"/>
        <v>29</v>
      </c>
      <c r="K240" s="8" t="s">
        <v>689</v>
      </c>
    </row>
    <row r="241">
      <c r="A241" s="7" t="b">
        <v>0</v>
      </c>
      <c r="B241" s="8" t="s">
        <v>690</v>
      </c>
      <c r="C241" s="8" t="s">
        <v>691</v>
      </c>
      <c r="D241" s="8" t="str">
        <f>Q&amp;$K241&amp;Q&amp;":{"&amp;Q&amp;$B$2&amp;Q&amp;":"&amp;Q&amp;$B241&amp;Q&amp;","&amp;Q&amp;$C$2&amp;Q&amp;":"&amp;Q&amp;$C241&amp;Q&amp;","&amp;Q&amp;"sets"&amp;Q&amp;":"&amp;Q&amp;substitute(SUBSTITUTE($H241,"[",""),"]","")&amp;Q&amp;"},"</f>
        <v>"flyx":{"label":"Glorious","extra":"(magnificent, delightful, splendid) ","sets":"Expansion Set 2, Party Set"},</v>
      </c>
      <c r="E241" s="9" t="str">
        <f t="shared" si="2"/>
        <v>data:image/svg+xml,%3csvg xmlns='http://www.w3.org/2000/svg' viewBox='0 0 24 216'%3e%3ctext fill='%23fff' style='font: 900 16px sans-serif' text-anchor='end' transform='matrix(0 -1 1 0 18 5)'%3eGlorious%3c/text%3e%3c/svg%3e</v>
      </c>
      <c r="F241" s="10" t="str">
        <f t="shared" si="3"/>
        <v>https://svgtext.heliohost.us/cgi-bin/gen.perl?text=Glorious</v>
      </c>
      <c r="G241" s="11" t="str">
        <f t="shared" si="4"/>
        <v>data:image/svg+xml,%3csvg xmlns='http://www.w3.org/2000/svg' viewBox='0 0 24 216'%3e%3ctext fill='%23fff' style='font: 900 16px sans-serif' text-anchor='end' transform='matrix(0 -1 1 0 18 5)'%3eGlorious%3c/text%3e%3c/svg%3e</v>
      </c>
      <c r="H241" s="8" t="s">
        <v>17</v>
      </c>
      <c r="I241" s="8">
        <f t="shared" ref="I241:J241" si="242">len(B241)</f>
        <v>8</v>
      </c>
      <c r="J241" s="8">
        <f t="shared" si="242"/>
        <v>36</v>
      </c>
      <c r="K241" s="8" t="s">
        <v>692</v>
      </c>
    </row>
    <row r="242">
      <c r="A242" s="7" t="b">
        <v>0</v>
      </c>
      <c r="B242" s="8" t="s">
        <v>693</v>
      </c>
      <c r="C242" s="8" t="s">
        <v>694</v>
      </c>
      <c r="D242" s="8" t="str">
        <f>Q&amp;$K242&amp;Q&amp;":{"&amp;Q&amp;$B$2&amp;Q&amp;":"&amp;Q&amp;$B242&amp;Q&amp;","&amp;Q&amp;$C$2&amp;Q&amp;":"&amp;Q&amp;$C242&amp;Q&amp;","&amp;Q&amp;"sets"&amp;Q&amp;":"&amp;Q&amp;substitute(SUBSTITUTE($H242,"[",""),"]","")&amp;Q&amp;"},"</f>
        <v>"faqf":{"label":"Good","extra":"(not bad, fine) ","sets":"Junior"},</v>
      </c>
      <c r="E242" s="9" t="str">
        <f t="shared" si="2"/>
        <v>data:image/svg+xml,%3csvg xmlns='http://www.w3.org/2000/svg' viewBox='0 0 24 216'%3e%3ctext fill='%23fff' style='font: 900 16px sans-serif' text-anchor='end' transform='matrix(0 -1 1 0 18 5)'%3eGood%3c/text%3e%3c/svg%3e</v>
      </c>
      <c r="F242" s="10" t="str">
        <f t="shared" si="3"/>
        <v>https://svgtext.heliohost.us/cgi-bin/gen.perl?text=Good</v>
      </c>
      <c r="G242" s="11" t="str">
        <f t="shared" si="4"/>
        <v>data:image/svg+xml,%3csvg xmlns='http://www.w3.org/2000/svg' viewBox='0 0 24 216'%3e%3ctext fill='%23fff' style='font: 900 16px sans-serif' text-anchor='end' transform='matrix(0 -1 1 0 18 5)'%3eGood%3c/text%3e%3c/svg%3e</v>
      </c>
      <c r="H242" s="8" t="s">
        <v>84</v>
      </c>
      <c r="I242" s="8">
        <f t="shared" ref="I242:J242" si="243">len(B242)</f>
        <v>4</v>
      </c>
      <c r="J242" s="8">
        <f t="shared" si="243"/>
        <v>16</v>
      </c>
      <c r="K242" s="8" t="s">
        <v>695</v>
      </c>
    </row>
    <row r="243">
      <c r="A243" s="7" t="b">
        <v>0</v>
      </c>
      <c r="B243" s="8" t="s">
        <v>696</v>
      </c>
      <c r="C243" s="8" t="s">
        <v>697</v>
      </c>
      <c r="D243" s="8" t="str">
        <f>Q&amp;$K243&amp;Q&amp;":{"&amp;Q&amp;$B$2&amp;Q&amp;":"&amp;Q&amp;$B243&amp;Q&amp;","&amp;Q&amp;$C$2&amp;Q&amp;":"&amp;Q&amp;$C243&amp;Q&amp;","&amp;Q&amp;"sets"&amp;Q&amp;":"&amp;Q&amp;substitute(SUBSTITUTE($H243,"[",""),"]","")&amp;Q&amp;"},"</f>
        <v>"lcjx":{"label":"Goody-Goody","extra":"(sweet, well-behaved, virtuous) ","sets":"Expansion Set 2, Party Set"},</v>
      </c>
      <c r="E243" s="9" t="str">
        <f t="shared" si="2"/>
        <v>data:image/svg+xml,%3csvg xmlns='http://www.w3.org/2000/svg' viewBox='0 0 24 216'%3e%3ctext fill='%23fff' style='font: 900 16px sans-serif' text-anchor='end' transform='matrix(0 -1 1 0 18 5)'%3eGoody-Goody%3c/text%3e%3c/svg%3e</v>
      </c>
      <c r="F243" s="10" t="str">
        <f t="shared" si="3"/>
        <v>https://svgtext.heliohost.us/cgi-bin/gen.perl?text=Goody-Goody</v>
      </c>
      <c r="G243" s="11" t="str">
        <f t="shared" si="4"/>
        <v>data:image/svg+xml,%3csvg xmlns='http://www.w3.org/2000/svg' viewBox='0 0 24 216'%3e%3ctext fill='%23fff' style='font: 900 16px sans-serif' text-anchor='end' transform='matrix(0 -1 1 0 18 5)'%3eGoody-Goody%3c/text%3e%3c/svg%3e</v>
      </c>
      <c r="H243" s="8" t="s">
        <v>17</v>
      </c>
      <c r="I243" s="8">
        <f t="shared" ref="I243:J243" si="244">len(B243)</f>
        <v>11</v>
      </c>
      <c r="J243" s="8">
        <f t="shared" si="244"/>
        <v>32</v>
      </c>
      <c r="K243" s="8" t="s">
        <v>698</v>
      </c>
    </row>
    <row r="244">
      <c r="A244" s="7" t="b">
        <v>1</v>
      </c>
      <c r="B244" s="8" t="s">
        <v>699</v>
      </c>
      <c r="C244" s="8" t="s">
        <v>700</v>
      </c>
      <c r="D244" s="8" t="str">
        <f>Q&amp;$K244&amp;Q&amp;":{"&amp;Q&amp;$B$2&amp;Q&amp;":"&amp;Q&amp;$B244&amp;Q&amp;","&amp;Q&amp;$C$2&amp;Q&amp;":"&amp;Q&amp;$C244&amp;Q&amp;","&amp;Q&amp;"sets"&amp;Q&amp;":"&amp;Q&amp;substitute(SUBSTITUTE($H244,"[",""),"]","")&amp;Q&amp;"},"</f>
        <v>"essj":{"label":"Goofy","extra":"(silly, foolish, giddy) ","sets":"Expansion Set 3, Party Expansion 1"},</v>
      </c>
      <c r="E244" s="9" t="str">
        <f t="shared" si="2"/>
        <v>data:image/svg+xml,%3csvg xmlns='http://www.w3.org/2000/svg' viewBox='0 0 24 216'%3e%3ctext fill='%23fff' style='font: 900 16px sans-serif' text-anchor='end' transform='matrix(0 -1 1 0 18 5)'%3eGoofy%3c/text%3e%3c/svg%3e</v>
      </c>
      <c r="F244" s="10" t="str">
        <f t="shared" si="3"/>
        <v>https://svgtext.heliohost.us/cgi-bin/gen.perl?text=Goofy</v>
      </c>
      <c r="G244" s="11" t="str">
        <f t="shared" si="4"/>
        <v>data:image/svg+xml,%3csvg xmlns='http://www.w3.org/2000/svg' viewBox='0 0 24 216'%3e%3ctext fill='%23fff' style='font: 900 16px sans-serif' text-anchor='end' transform='matrix(0 -1 1 0 18 5)'%3eGoofy%3c/text%3e%3c/svg%3e</v>
      </c>
      <c r="H244" s="8" t="s">
        <v>39</v>
      </c>
      <c r="I244" s="8">
        <f t="shared" ref="I244:J244" si="245">len(B244)</f>
        <v>5</v>
      </c>
      <c r="J244" s="8">
        <f t="shared" si="245"/>
        <v>24</v>
      </c>
      <c r="K244" s="8" t="s">
        <v>701</v>
      </c>
    </row>
    <row r="245">
      <c r="A245" s="7" t="b">
        <v>0</v>
      </c>
      <c r="B245" s="8" t="s">
        <v>699</v>
      </c>
      <c r="C245" s="8" t="s">
        <v>702</v>
      </c>
      <c r="D245" s="8" t="str">
        <f>Q&amp;$K245&amp;Q&amp;":{"&amp;Q&amp;$B$2&amp;Q&amp;":"&amp;Q&amp;$B245&amp;Q&amp;","&amp;Q&amp;$C$2&amp;Q&amp;":"&amp;Q&amp;$C245&amp;Q&amp;","&amp;Q&amp;"sets"&amp;Q&amp;":"&amp;Q&amp;substitute(SUBSTITUTE($H245,"[",""),"]","")&amp;Q&amp;"},"</f>
        <v>"btov":{"label":"Goofy","extra":"(silly, weird) ","sets":"Junior 9+ (1st) &amp; (2nd)"},</v>
      </c>
      <c r="E245" s="9" t="str">
        <f t="shared" si="2"/>
        <v>data:image/svg+xml,%3csvg xmlns='http://www.w3.org/2000/svg' viewBox='0 0 24 216'%3e%3ctext fill='%23fff' style='font: 900 16px sans-serif' text-anchor='end' transform='matrix(0 -1 1 0 18 5)'%3eGoofy%3c/text%3e%3c/svg%3e</v>
      </c>
      <c r="F245" s="10" t="str">
        <f t="shared" si="3"/>
        <v>https://svgtext.heliohost.us/cgi-bin/gen.perl?text=Goofy</v>
      </c>
      <c r="G245" s="11" t="str">
        <f t="shared" si="4"/>
        <v>data:image/svg+xml,%3csvg xmlns='http://www.w3.org/2000/svg' viewBox='0 0 24 216'%3e%3ctext fill='%23fff' style='font: 900 16px sans-serif' text-anchor='end' transform='matrix(0 -1 1 0 18 5)'%3eGoofy%3c/text%3e%3c/svg%3e</v>
      </c>
      <c r="H245" s="8" t="s">
        <v>42</v>
      </c>
      <c r="I245" s="8">
        <f t="shared" ref="I245:J245" si="246">len(B245)</f>
        <v>5</v>
      </c>
      <c r="J245" s="8">
        <f t="shared" si="246"/>
        <v>15</v>
      </c>
      <c r="K245" s="8" t="s">
        <v>703</v>
      </c>
    </row>
    <row r="246">
      <c r="A246" s="7" t="b">
        <v>1</v>
      </c>
      <c r="B246" s="8" t="s">
        <v>704</v>
      </c>
      <c r="C246" s="8" t="s">
        <v>705</v>
      </c>
      <c r="D246" s="8" t="str">
        <f>Q&amp;$K246&amp;Q&amp;":{"&amp;Q&amp;$B$2&amp;Q&amp;":"&amp;Q&amp;$B246&amp;Q&amp;","&amp;Q&amp;$C$2&amp;Q&amp;":"&amp;Q&amp;$C246&amp;Q&amp;","&amp;Q&amp;"sets"&amp;Q&amp;":"&amp;Q&amp;substitute(SUBSTITUTE($H246,"[",""),"]","")&amp;Q&amp;"},"</f>
        <v>"qmjy":{"label":"Gorgeous","extra":"(beautiful, stunning, magnificent) ","sets":"Expansion Set 3, Party Expansion 1"},</v>
      </c>
      <c r="E246" s="9" t="str">
        <f t="shared" si="2"/>
        <v>data:image/svg+xml,%3csvg xmlns='http://www.w3.org/2000/svg' viewBox='0 0 24 216'%3e%3ctext fill='%23fff' style='font: 900 16px sans-serif' text-anchor='end' transform='matrix(0 -1 1 0 18 5)'%3eGorgeous%3c/text%3e%3c/svg%3e</v>
      </c>
      <c r="F246" s="10" t="str">
        <f t="shared" si="3"/>
        <v>https://svgtext.heliohost.us/cgi-bin/gen.perl?text=Gorgeous</v>
      </c>
      <c r="G246" s="11" t="str">
        <f t="shared" si="4"/>
        <v>data:image/svg+xml,%3csvg xmlns='http://www.w3.org/2000/svg' viewBox='0 0 24 216'%3e%3ctext fill='%23fff' style='font: 900 16px sans-serif' text-anchor='end' transform='matrix(0 -1 1 0 18 5)'%3eGorgeous%3c/text%3e%3c/svg%3e</v>
      </c>
      <c r="H246" s="8" t="s">
        <v>39</v>
      </c>
      <c r="I246" s="8">
        <f t="shared" ref="I246:J246" si="247">len(B246)</f>
        <v>8</v>
      </c>
      <c r="J246" s="8">
        <f t="shared" si="247"/>
        <v>35</v>
      </c>
      <c r="K246" s="8" t="s">
        <v>706</v>
      </c>
    </row>
    <row r="247">
      <c r="A247" s="7" t="b">
        <v>1</v>
      </c>
      <c r="B247" s="8" t="s">
        <v>704</v>
      </c>
      <c r="C247" s="8" t="s">
        <v>707</v>
      </c>
      <c r="D247" s="8" t="str">
        <f>Q&amp;$K247&amp;Q&amp;":{"&amp;Q&amp;$B$2&amp;Q&amp;":"&amp;Q&amp;$B247&amp;Q&amp;","&amp;Q&amp;$C$2&amp;Q&amp;":"&amp;Q&amp;$C247&amp;Q&amp;","&amp;Q&amp;"sets"&amp;Q&amp;":"&amp;Q&amp;substitute(SUBSTITUTE($H247,"[",""),"]","")&amp;Q&amp;"},"</f>
        <v>"dggn":{"label":"Gorgeous","extra":"(beautiful, dazzling) ","sets":"Junior 9+ (2nd)"},</v>
      </c>
      <c r="E247" s="9" t="str">
        <f t="shared" si="2"/>
        <v>data:image/svg+xml,%3csvg xmlns='http://www.w3.org/2000/svg' viewBox='0 0 24 216'%3e%3ctext fill='%23fff' style='font: 900 16px sans-serif' text-anchor='end' transform='matrix(0 -1 1 0 18 5)'%3eGorgeous%3c/text%3e%3c/svg%3e</v>
      </c>
      <c r="F247" s="10" t="str">
        <f t="shared" si="3"/>
        <v>https://svgtext.heliohost.us/cgi-bin/gen.perl?text=Gorgeous</v>
      </c>
      <c r="G247" s="11" t="str">
        <f t="shared" si="4"/>
        <v>data:image/svg+xml,%3csvg xmlns='http://www.w3.org/2000/svg' viewBox='0 0 24 216'%3e%3ctext fill='%23fff' style='font: 900 16px sans-serif' text-anchor='end' transform='matrix(0 -1 1 0 18 5)'%3eGorgeous%3c/text%3e%3c/svg%3e</v>
      </c>
      <c r="H247" s="8" t="s">
        <v>32</v>
      </c>
      <c r="I247" s="8">
        <f t="shared" ref="I247:J247" si="248">len(B247)</f>
        <v>8</v>
      </c>
      <c r="J247" s="8">
        <f t="shared" si="248"/>
        <v>22</v>
      </c>
      <c r="K247" s="8" t="s">
        <v>708</v>
      </c>
    </row>
    <row r="248">
      <c r="A248" s="7" t="b">
        <v>0</v>
      </c>
      <c r="B248" s="8" t="s">
        <v>709</v>
      </c>
      <c r="C248" s="8" t="s">
        <v>710</v>
      </c>
      <c r="D248" s="8" t="str">
        <f>Q&amp;$K248&amp;Q&amp;":{"&amp;Q&amp;$B$2&amp;Q&amp;":"&amp;Q&amp;$B248&amp;Q&amp;","&amp;Q&amp;$C$2&amp;Q&amp;":"&amp;Q&amp;$C248&amp;Q&amp;","&amp;Q&amp;"sets"&amp;Q&amp;":"&amp;Q&amp;substitute(SUBSTITUTE($H248,"[",""),"]","")&amp;Q&amp;"},"</f>
        <v>"yiio":{"label":"Graceful","extra":"(elegant, supple, limber) ","sets":"Basic Set, Party Set"},</v>
      </c>
      <c r="E248" s="9" t="str">
        <f t="shared" si="2"/>
        <v>data:image/svg+xml,%3csvg xmlns='http://www.w3.org/2000/svg' viewBox='0 0 24 216'%3e%3ctext fill='%23fff' style='font: 900 16px sans-serif' text-anchor='end' transform='matrix(0 -1 1 0 18 5)'%3eGraceful%3c/text%3e%3c/svg%3e</v>
      </c>
      <c r="F248" s="10" t="str">
        <f t="shared" si="3"/>
        <v>https://svgtext.heliohost.us/cgi-bin/gen.perl?text=Graceful</v>
      </c>
      <c r="G248" s="11" t="str">
        <f t="shared" si="4"/>
        <v>data:image/svg+xml,%3csvg xmlns='http://www.w3.org/2000/svg' viewBox='0 0 24 216'%3e%3ctext fill='%23fff' style='font: 900 16px sans-serif' text-anchor='end' transform='matrix(0 -1 1 0 18 5)'%3eGraceful%3c/text%3e%3c/svg%3e</v>
      </c>
      <c r="H248" s="8" t="s">
        <v>29</v>
      </c>
      <c r="I248" s="8">
        <f t="shared" ref="I248:J248" si="249">len(B248)</f>
        <v>8</v>
      </c>
      <c r="J248" s="8">
        <f t="shared" si="249"/>
        <v>26</v>
      </c>
      <c r="K248" s="8" t="s">
        <v>711</v>
      </c>
    </row>
    <row r="249">
      <c r="A249" s="7" t="b">
        <v>0</v>
      </c>
      <c r="B249" s="8" t="s">
        <v>709</v>
      </c>
      <c r="C249" s="8" t="s">
        <v>712</v>
      </c>
      <c r="D249" s="8" t="str">
        <f>Q&amp;$K249&amp;Q&amp;":{"&amp;Q&amp;$B$2&amp;Q&amp;":"&amp;Q&amp;$B249&amp;Q&amp;","&amp;Q&amp;$C$2&amp;Q&amp;":"&amp;Q&amp;$C249&amp;Q&amp;","&amp;Q&amp;"sets"&amp;Q&amp;":"&amp;Q&amp;substitute(SUBSTITUTE($H249,"[",""),"]","")&amp;Q&amp;"},"</f>
        <v>"ioew":{"label":"Graceful","extra":"(elegant, flowing) ","sets":"Junior 9+ (2nd)"},</v>
      </c>
      <c r="E249" s="9" t="str">
        <f t="shared" si="2"/>
        <v>data:image/svg+xml,%3csvg xmlns='http://www.w3.org/2000/svg' viewBox='0 0 24 216'%3e%3ctext fill='%23fff' style='font: 900 16px sans-serif' text-anchor='end' transform='matrix(0 -1 1 0 18 5)'%3eGraceful%3c/text%3e%3c/svg%3e</v>
      </c>
      <c r="F249" s="10" t="str">
        <f t="shared" si="3"/>
        <v>https://svgtext.heliohost.us/cgi-bin/gen.perl?text=Graceful</v>
      </c>
      <c r="G249" s="11" t="str">
        <f t="shared" si="4"/>
        <v>data:image/svg+xml,%3csvg xmlns='http://www.w3.org/2000/svg' viewBox='0 0 24 216'%3e%3ctext fill='%23fff' style='font: 900 16px sans-serif' text-anchor='end' transform='matrix(0 -1 1 0 18 5)'%3eGraceful%3c/text%3e%3c/svg%3e</v>
      </c>
      <c r="H249" s="8" t="s">
        <v>32</v>
      </c>
      <c r="I249" s="8">
        <f t="shared" ref="I249:J249" si="250">len(B249)</f>
        <v>8</v>
      </c>
      <c r="J249" s="8">
        <f t="shared" si="250"/>
        <v>19</v>
      </c>
      <c r="K249" s="8" t="s">
        <v>713</v>
      </c>
    </row>
    <row r="250">
      <c r="A250" s="7" t="b">
        <v>0</v>
      </c>
      <c r="B250" s="8" t="s">
        <v>714</v>
      </c>
      <c r="C250" s="8" t="s">
        <v>715</v>
      </c>
      <c r="D250" s="8" t="str">
        <f>Q&amp;$K250&amp;Q&amp;":{"&amp;Q&amp;$B$2&amp;Q&amp;":"&amp;Q&amp;$B250&amp;Q&amp;","&amp;Q&amp;$C$2&amp;Q&amp;":"&amp;Q&amp;$C250&amp;Q&amp;","&amp;Q&amp;"sets"&amp;Q&amp;":"&amp;Q&amp;substitute(SUBSTITUTE($H250,"[",""),"]","")&amp;Q&amp;"},"</f>
        <v>"ygjq":{"label":"Great","extra":"(very good, important) ","sets":"Junior"},</v>
      </c>
      <c r="E250" s="9" t="str">
        <f t="shared" si="2"/>
        <v>data:image/svg+xml,%3csvg xmlns='http://www.w3.org/2000/svg' viewBox='0 0 24 216'%3e%3ctext fill='%23fff' style='font: 900 16px sans-serif' text-anchor='end' transform='matrix(0 -1 1 0 18 5)'%3eGreat%3c/text%3e%3c/svg%3e</v>
      </c>
      <c r="F250" s="10" t="str">
        <f t="shared" si="3"/>
        <v>https://svgtext.heliohost.us/cgi-bin/gen.perl?text=Great</v>
      </c>
      <c r="G250" s="11" t="str">
        <f t="shared" si="4"/>
        <v>data:image/svg+xml,%3csvg xmlns='http://www.w3.org/2000/svg' viewBox='0 0 24 216'%3e%3ctext fill='%23fff' style='font: 900 16px sans-serif' text-anchor='end' transform='matrix(0 -1 1 0 18 5)'%3eGreat%3c/text%3e%3c/svg%3e</v>
      </c>
      <c r="H250" s="8" t="s">
        <v>84</v>
      </c>
      <c r="I250" s="8">
        <f t="shared" ref="I250:J250" si="251">len(B250)</f>
        <v>5</v>
      </c>
      <c r="J250" s="8">
        <f t="shared" si="251"/>
        <v>23</v>
      </c>
      <c r="K250" s="8" t="s">
        <v>716</v>
      </c>
    </row>
    <row r="251">
      <c r="A251" s="7" t="b">
        <v>1</v>
      </c>
      <c r="B251" s="8" t="s">
        <v>717</v>
      </c>
      <c r="C251" s="8" t="s">
        <v>718</v>
      </c>
      <c r="D251" s="8" t="str">
        <f>Q&amp;$K251&amp;Q&amp;":{"&amp;Q&amp;$B$2&amp;Q&amp;":"&amp;Q&amp;$B251&amp;Q&amp;","&amp;Q&amp;$C$2&amp;Q&amp;":"&amp;Q&amp;$C251&amp;Q&amp;","&amp;Q&amp;"sets"&amp;Q&amp;":"&amp;Q&amp;substitute(SUBSTITUTE($H251,"[",""),"]","")&amp;Q&amp;"},"</f>
        <v>"gtdi":{"label":"Grueling","extra":"(demanding, exhausting, strenuous) ","sets":"Expansion Set 3, Party Expansion 1"},</v>
      </c>
      <c r="E251" s="9" t="str">
        <f t="shared" si="2"/>
        <v>data:image/svg+xml,%3csvg xmlns='http://www.w3.org/2000/svg' viewBox='0 0 24 216'%3e%3ctext fill='%23fff' style='font: 900 16px sans-serif' text-anchor='end' transform='matrix(0 -1 1 0 18 5)'%3eGrueling%3c/text%3e%3c/svg%3e</v>
      </c>
      <c r="F251" s="10" t="str">
        <f t="shared" si="3"/>
        <v>https://svgtext.heliohost.us/cgi-bin/gen.perl?text=Grueling</v>
      </c>
      <c r="G251" s="11" t="str">
        <f t="shared" si="4"/>
        <v>data:image/svg+xml,%3csvg xmlns='http://www.w3.org/2000/svg' viewBox='0 0 24 216'%3e%3ctext fill='%23fff' style='font: 900 16px sans-serif' text-anchor='end' transform='matrix(0 -1 1 0 18 5)'%3eGrueling%3c/text%3e%3c/svg%3e</v>
      </c>
      <c r="H251" s="8" t="s">
        <v>39</v>
      </c>
      <c r="I251" s="8">
        <f t="shared" ref="I251:J251" si="252">len(B251)</f>
        <v>8</v>
      </c>
      <c r="J251" s="8">
        <f t="shared" si="252"/>
        <v>35</v>
      </c>
      <c r="K251" s="8" t="s">
        <v>719</v>
      </c>
    </row>
    <row r="252">
      <c r="A252" s="7" t="b">
        <v>1</v>
      </c>
      <c r="B252" s="8" t="s">
        <v>720</v>
      </c>
      <c r="C252" s="8" t="s">
        <v>721</v>
      </c>
      <c r="D252" s="8" t="str">
        <f>Q&amp;$K252&amp;Q&amp;":{"&amp;Q&amp;$B$2&amp;Q&amp;":"&amp;Q&amp;$B252&amp;Q&amp;","&amp;Q&amp;$C$2&amp;Q&amp;":"&amp;Q&amp;$C252&amp;Q&amp;","&amp;Q&amp;"sets"&amp;Q&amp;":"&amp;Q&amp;substitute(SUBSTITUTE($H252,"[",""),"]","")&amp;Q&amp;"},"</f>
        <v>"xnad":{"label":"Gruesome","extra":"(ghastly, hideous, grisly) ","sets":"Expansion Set 3, Party Expansion 1"},</v>
      </c>
      <c r="E252" s="9" t="str">
        <f t="shared" si="2"/>
        <v>data:image/svg+xml,%3csvg xmlns='http://www.w3.org/2000/svg' viewBox='0 0 24 216'%3e%3ctext fill='%23fff' style='font: 900 16px sans-serif' text-anchor='end' transform='matrix(0 -1 1 0 18 5)'%3eGruesome%3c/text%3e%3c/svg%3e</v>
      </c>
      <c r="F252" s="10" t="str">
        <f t="shared" si="3"/>
        <v>https://svgtext.heliohost.us/cgi-bin/gen.perl?text=Gruesome</v>
      </c>
      <c r="G252" s="11" t="str">
        <f t="shared" si="4"/>
        <v>data:image/svg+xml,%3csvg xmlns='http://www.w3.org/2000/svg' viewBox='0 0 24 216'%3e%3ctext fill='%23fff' style='font: 900 16px sans-serif' text-anchor='end' transform='matrix(0 -1 1 0 18 5)'%3eGruesome%3c/text%3e%3c/svg%3e</v>
      </c>
      <c r="H252" s="8" t="s">
        <v>39</v>
      </c>
      <c r="I252" s="8">
        <f t="shared" ref="I252:J252" si="253">len(B252)</f>
        <v>8</v>
      </c>
      <c r="J252" s="8">
        <f t="shared" si="253"/>
        <v>27</v>
      </c>
      <c r="K252" s="8" t="s">
        <v>722</v>
      </c>
    </row>
    <row r="253">
      <c r="A253" s="7" t="b">
        <v>1</v>
      </c>
      <c r="B253" s="8" t="s">
        <v>723</v>
      </c>
      <c r="C253" s="8" t="s">
        <v>724</v>
      </c>
      <c r="D253" s="8" t="str">
        <f>Q&amp;$K253&amp;Q&amp;":{"&amp;Q&amp;$B$2&amp;Q&amp;":"&amp;Q&amp;$B253&amp;Q&amp;","&amp;Q&amp;$C$2&amp;Q&amp;":"&amp;Q&amp;$C253&amp;Q&amp;","&amp;Q&amp;"sets"&amp;Q&amp;":"&amp;Q&amp;substitute(SUBSTITUTE($H253,"[",""),"]","")&amp;Q&amp;"},"</f>
        <v>"luoa":{"label":"Grungy","extra":"(dirty, shabby, seedy) ","sets":"Expansion Set 3, Party Expansion 1"},</v>
      </c>
      <c r="E253" s="9" t="str">
        <f t="shared" si="2"/>
        <v>data:image/svg+xml,%3csvg xmlns='http://www.w3.org/2000/svg' viewBox='0 0 24 216'%3e%3ctext fill='%23fff' style='font: 900 16px sans-serif' text-anchor='end' transform='matrix(0 -1 1 0 18 5)'%3eGrungy%3c/text%3e%3c/svg%3e</v>
      </c>
      <c r="F253" s="10" t="str">
        <f t="shared" si="3"/>
        <v>https://svgtext.heliohost.us/cgi-bin/gen.perl?text=Grungy</v>
      </c>
      <c r="G253" s="11" t="str">
        <f t="shared" si="4"/>
        <v>data:image/svg+xml,%3csvg xmlns='http://www.w3.org/2000/svg' viewBox='0 0 24 216'%3e%3ctext fill='%23fff' style='font: 900 16px sans-serif' text-anchor='end' transform='matrix(0 -1 1 0 18 5)'%3eGrungy%3c/text%3e%3c/svg%3e</v>
      </c>
      <c r="H253" s="8" t="s">
        <v>39</v>
      </c>
      <c r="I253" s="8">
        <f t="shared" ref="I253:J253" si="254">len(B253)</f>
        <v>6</v>
      </c>
      <c r="J253" s="8">
        <f t="shared" si="254"/>
        <v>23</v>
      </c>
      <c r="K253" s="8" t="s">
        <v>725</v>
      </c>
    </row>
    <row r="254">
      <c r="A254" s="7" t="b">
        <v>0</v>
      </c>
      <c r="B254" s="8" t="s">
        <v>726</v>
      </c>
      <c r="C254" s="8" t="s">
        <v>727</v>
      </c>
      <c r="D254" s="8" t="str">
        <f>Q&amp;$K254&amp;Q&amp;":{"&amp;Q&amp;$B$2&amp;Q&amp;":"&amp;Q&amp;$B254&amp;Q&amp;","&amp;Q&amp;$C$2&amp;Q&amp;":"&amp;Q&amp;$C254&amp;Q&amp;","&amp;Q&amp;"sets"&amp;Q&amp;":"&amp;Q&amp;substitute(SUBSTITUTE($H254,"[",""),"]","")&amp;Q&amp;"},"</f>
        <v>"tgqh":{"label":"Hairy","extra":"(not bald, furry) ","sets":"Junior"},</v>
      </c>
      <c r="E254" s="9" t="str">
        <f t="shared" si="2"/>
        <v>data:image/svg+xml,%3csvg xmlns='http://www.w3.org/2000/svg' viewBox='0 0 24 216'%3e%3ctext fill='%23fff' style='font: 900 16px sans-serif' text-anchor='end' transform='matrix(0 -1 1 0 18 5)'%3eHairy%3c/text%3e%3c/svg%3e</v>
      </c>
      <c r="F254" s="10" t="str">
        <f t="shared" si="3"/>
        <v>https://svgtext.heliohost.us/cgi-bin/gen.perl?text=Hairy</v>
      </c>
      <c r="G254" s="11" t="str">
        <f t="shared" si="4"/>
        <v>data:image/svg+xml,%3csvg xmlns='http://www.w3.org/2000/svg' viewBox='0 0 24 216'%3e%3ctext fill='%23fff' style='font: 900 16px sans-serif' text-anchor='end' transform='matrix(0 -1 1 0 18 5)'%3eHairy%3c/text%3e%3c/svg%3e</v>
      </c>
      <c r="H254" s="8" t="s">
        <v>84</v>
      </c>
      <c r="I254" s="8">
        <f t="shared" ref="I254:J254" si="255">len(B254)</f>
        <v>5</v>
      </c>
      <c r="J254" s="8">
        <f t="shared" si="255"/>
        <v>18</v>
      </c>
      <c r="K254" s="8" t="s">
        <v>728</v>
      </c>
    </row>
    <row r="255">
      <c r="A255" s="7" t="b">
        <v>0</v>
      </c>
      <c r="B255" s="8" t="s">
        <v>729</v>
      </c>
      <c r="C255" s="8" t="s">
        <v>730</v>
      </c>
      <c r="D255" s="8" t="str">
        <f>Q&amp;$K255&amp;Q&amp;":{"&amp;Q&amp;$B$2&amp;Q&amp;":"&amp;Q&amp;$B255&amp;Q&amp;","&amp;Q&amp;$C$2&amp;Q&amp;":"&amp;Q&amp;$C255&amp;Q&amp;","&amp;Q&amp;"sets"&amp;Q&amp;":"&amp;Q&amp;substitute(SUBSTITUTE($H255,"[",""),"]","")&amp;Q&amp;"},"</f>
        <v>"xrsx":{"label":"Hale &amp; Hearty","extra":"(healthy, vigorous, robust) ","sets":"Expansion Set 4, Party Expansion 1"},</v>
      </c>
      <c r="E255" s="9" t="str">
        <f t="shared" si="2"/>
        <v>data:image/svg+xml,%3csvg xmlns='http://www.w3.org/2000/svg' viewBox='0 0 24 216'%3e%3ctext fill='%23fff' style='font: 900 16px sans-serif' text-anchor='end' transform='matrix(0 -1 1 0 18 5)'%3eHale %26amp%3B Hearty%3c/text%3e%3c/svg%3e</v>
      </c>
      <c r="F255" s="10" t="str">
        <f t="shared" si="3"/>
        <v>https://svgtext.heliohost.us/cgi-bin/gen.perl?text=Hale%20%26%20Hearty</v>
      </c>
      <c r="G255" s="11" t="str">
        <f t="shared" si="4"/>
        <v>data:image/svg+xml,%3csvg xmlns='http://www.w3.org/2000/svg' viewBox='0 0 24 216'%3e%3ctext fill='%23fff' style='font: 900 16px sans-serif' text-anchor='end' transform='matrix(0 -1 1 0 18 5)'%3eHale %26amp%3B Hearty%3c/text%3e%3c/svg%3e</v>
      </c>
      <c r="H255" s="8" t="s">
        <v>63</v>
      </c>
      <c r="I255" s="8">
        <f t="shared" ref="I255:J255" si="256">len(B255)</f>
        <v>13</v>
      </c>
      <c r="J255" s="8">
        <f t="shared" si="256"/>
        <v>28</v>
      </c>
      <c r="K255" s="8" t="s">
        <v>731</v>
      </c>
    </row>
    <row r="256">
      <c r="A256" s="7" t="b">
        <v>0</v>
      </c>
      <c r="B256" s="8" t="s">
        <v>732</v>
      </c>
      <c r="C256" s="8" t="s">
        <v>733</v>
      </c>
      <c r="D256" s="8" t="str">
        <f>Q&amp;$K256&amp;Q&amp;":{"&amp;Q&amp;$B$2&amp;Q&amp;":"&amp;Q&amp;$B256&amp;Q&amp;","&amp;Q&amp;$C$2&amp;Q&amp;":"&amp;Q&amp;$C256&amp;Q&amp;","&amp;Q&amp;"sets"&amp;Q&amp;":"&amp;Q&amp;substitute(SUBSTITUTE($H256,"[",""),"]","")&amp;Q&amp;"},"</f>
        <v>"qovt":{"label":"Handsome","extra":"(attractive, elegant, fine) ","sets":"Basic Set, Party Set"},</v>
      </c>
      <c r="E256" s="9" t="str">
        <f t="shared" si="2"/>
        <v>data:image/svg+xml,%3csvg xmlns='http://www.w3.org/2000/svg' viewBox='0 0 24 216'%3e%3ctext fill='%23fff' style='font: 900 16px sans-serif' text-anchor='end' transform='matrix(0 -1 1 0 18 5)'%3eHandsome%3c/text%3e%3c/svg%3e</v>
      </c>
      <c r="F256" s="10" t="str">
        <f t="shared" si="3"/>
        <v>https://svgtext.heliohost.us/cgi-bin/gen.perl?text=Handsome</v>
      </c>
      <c r="G256" s="11" t="str">
        <f t="shared" si="4"/>
        <v>data:image/svg+xml,%3csvg xmlns='http://www.w3.org/2000/svg' viewBox='0 0 24 216'%3e%3ctext fill='%23fff' style='font: 900 16px sans-serif' text-anchor='end' transform='matrix(0 -1 1 0 18 5)'%3eHandsome%3c/text%3e%3c/svg%3e</v>
      </c>
      <c r="H256" s="8" t="s">
        <v>29</v>
      </c>
      <c r="I256" s="8">
        <f t="shared" ref="I256:J256" si="257">len(B256)</f>
        <v>8</v>
      </c>
      <c r="J256" s="8">
        <f t="shared" si="257"/>
        <v>28</v>
      </c>
      <c r="K256" s="8" t="s">
        <v>734</v>
      </c>
    </row>
    <row r="257">
      <c r="A257" s="7" t="b">
        <v>1</v>
      </c>
      <c r="B257" s="8" t="s">
        <v>735</v>
      </c>
      <c r="C257" s="8" t="s">
        <v>736</v>
      </c>
      <c r="D257" s="8" t="str">
        <f>Q&amp;$K257&amp;Q&amp;":{"&amp;Q&amp;$B$2&amp;Q&amp;":"&amp;Q&amp;$B257&amp;Q&amp;","&amp;Q&amp;$C$2&amp;Q&amp;":"&amp;Q&amp;$C257&amp;Q&amp;","&amp;Q&amp;"sets"&amp;Q&amp;":"&amp;Q&amp;substitute(SUBSTITUTE($H257,"[",""),"]","")&amp;Q&amp;"},"</f>
        <v>"shir":{"label":"Handy","extra":"(convenient, available, capable) ","sets":"Expansion Set 3, Party Expansion 1"},</v>
      </c>
      <c r="E257" s="9" t="str">
        <f t="shared" si="2"/>
        <v>data:image/svg+xml,%3csvg xmlns='http://www.w3.org/2000/svg' viewBox='0 0 24 216'%3e%3ctext fill='%23fff' style='font: 900 16px sans-serif' text-anchor='end' transform='matrix(0 -1 1 0 18 5)'%3eHandy%3c/text%3e%3c/svg%3e</v>
      </c>
      <c r="F257" s="10" t="str">
        <f t="shared" si="3"/>
        <v>https://svgtext.heliohost.us/cgi-bin/gen.perl?text=Handy</v>
      </c>
      <c r="G257" s="11" t="str">
        <f t="shared" si="4"/>
        <v>data:image/svg+xml,%3csvg xmlns='http://www.w3.org/2000/svg' viewBox='0 0 24 216'%3e%3ctext fill='%23fff' style='font: 900 16px sans-serif' text-anchor='end' transform='matrix(0 -1 1 0 18 5)'%3eHandy%3c/text%3e%3c/svg%3e</v>
      </c>
      <c r="H257" s="8" t="s">
        <v>39</v>
      </c>
      <c r="I257" s="8">
        <f t="shared" ref="I257:J257" si="258">len(B257)</f>
        <v>5</v>
      </c>
      <c r="J257" s="8">
        <f t="shared" si="258"/>
        <v>33</v>
      </c>
      <c r="K257" s="8" t="s">
        <v>737</v>
      </c>
    </row>
    <row r="258">
      <c r="A258" s="7" t="b">
        <v>0</v>
      </c>
      <c r="B258" s="8" t="s">
        <v>735</v>
      </c>
      <c r="C258" s="8" t="s">
        <v>738</v>
      </c>
      <c r="D258" s="8" t="str">
        <f>Q&amp;$K258&amp;Q&amp;":{"&amp;Q&amp;$B$2&amp;Q&amp;":"&amp;Q&amp;$B258&amp;Q&amp;","&amp;Q&amp;$C$2&amp;Q&amp;":"&amp;Q&amp;$C258&amp;Q&amp;","&amp;Q&amp;"sets"&amp;Q&amp;":"&amp;Q&amp;substitute(SUBSTITUTE($H258,"[",""),"]","")&amp;Q&amp;"},"</f>
        <v>"nhcb":{"label":"Handy","extra":"(useful, helpful) ","sets":"Junior 9+ (2nd)"},</v>
      </c>
      <c r="E258" s="9" t="str">
        <f t="shared" si="2"/>
        <v>data:image/svg+xml,%3csvg xmlns='http://www.w3.org/2000/svg' viewBox='0 0 24 216'%3e%3ctext fill='%23fff' style='font: 900 16px sans-serif' text-anchor='end' transform='matrix(0 -1 1 0 18 5)'%3eHandy%3c/text%3e%3c/svg%3e</v>
      </c>
      <c r="F258" s="10" t="str">
        <f t="shared" si="3"/>
        <v>https://svgtext.heliohost.us/cgi-bin/gen.perl?text=Handy</v>
      </c>
      <c r="G258" s="11" t="str">
        <f t="shared" si="4"/>
        <v>data:image/svg+xml,%3csvg xmlns='http://www.w3.org/2000/svg' viewBox='0 0 24 216'%3e%3ctext fill='%23fff' style='font: 900 16px sans-serif' text-anchor='end' transform='matrix(0 -1 1 0 18 5)'%3eHandy%3c/text%3e%3c/svg%3e</v>
      </c>
      <c r="H258" s="8" t="s">
        <v>32</v>
      </c>
      <c r="I258" s="8">
        <f t="shared" ref="I258:J258" si="259">len(B258)</f>
        <v>5</v>
      </c>
      <c r="J258" s="8">
        <f t="shared" si="259"/>
        <v>18</v>
      </c>
      <c r="K258" s="8" t="s">
        <v>739</v>
      </c>
    </row>
    <row r="259">
      <c r="A259" s="7" t="b">
        <v>0</v>
      </c>
      <c r="B259" s="8" t="s">
        <v>740</v>
      </c>
      <c r="C259" s="8" t="s">
        <v>741</v>
      </c>
      <c r="D259" s="8" t="str">
        <f>Q&amp;$K259&amp;Q&amp;":{"&amp;Q&amp;$B$2&amp;Q&amp;":"&amp;Q&amp;$B259&amp;Q&amp;","&amp;Q&amp;$C$2&amp;Q&amp;":"&amp;Q&amp;$C259&amp;Q&amp;","&amp;Q&amp;"sets"&amp;Q&amp;":"&amp;Q&amp;substitute(SUBSTITUTE($H259,"[",""),"]","")&amp;Q&amp;"},"</f>
        <v>"byxl":{"label":"Happy","extra":"(glad, jolly) ","sets":"Junior"},</v>
      </c>
      <c r="E259" s="9" t="str">
        <f t="shared" si="2"/>
        <v>data:image/svg+xml,%3csvg xmlns='http://www.w3.org/2000/svg' viewBox='0 0 24 216'%3e%3ctext fill='%23fff' style='font: 900 16px sans-serif' text-anchor='end' transform='matrix(0 -1 1 0 18 5)'%3eHappy%3c/text%3e%3c/svg%3e</v>
      </c>
      <c r="F259" s="10" t="str">
        <f t="shared" si="3"/>
        <v>https://svgtext.heliohost.us/cgi-bin/gen.perl?text=Happy</v>
      </c>
      <c r="G259" s="11" t="str">
        <f t="shared" si="4"/>
        <v>data:image/svg+xml,%3csvg xmlns='http://www.w3.org/2000/svg' viewBox='0 0 24 216'%3e%3ctext fill='%23fff' style='font: 900 16px sans-serif' text-anchor='end' transform='matrix(0 -1 1 0 18 5)'%3eHappy%3c/text%3e%3c/svg%3e</v>
      </c>
      <c r="H259" s="8" t="s">
        <v>84</v>
      </c>
      <c r="I259" s="8">
        <f t="shared" ref="I259:J259" si="260">len(B259)</f>
        <v>5</v>
      </c>
      <c r="J259" s="8">
        <f t="shared" si="260"/>
        <v>14</v>
      </c>
      <c r="K259" s="8" t="s">
        <v>742</v>
      </c>
    </row>
    <row r="260">
      <c r="A260" s="7" t="b">
        <v>0</v>
      </c>
      <c r="B260" s="8" t="s">
        <v>743</v>
      </c>
      <c r="C260" s="8" t="s">
        <v>744</v>
      </c>
      <c r="D260" s="8" t="str">
        <f>Q&amp;$K260&amp;Q&amp;":{"&amp;Q&amp;$B$2&amp;Q&amp;":"&amp;Q&amp;$B260&amp;Q&amp;","&amp;Q&amp;$C$2&amp;Q&amp;":"&amp;Q&amp;$C260&amp;Q&amp;","&amp;Q&amp;"sets"&amp;Q&amp;":"&amp;Q&amp;substitute(SUBSTITUTE($H260,"[",""),"]","")&amp;Q&amp;"},"</f>
        <v>"vmye":{"label":"Hard","extra":"(not soft, difficult) ","sets":"Junior"},</v>
      </c>
      <c r="E260" s="9" t="str">
        <f t="shared" si="2"/>
        <v>data:image/svg+xml,%3csvg xmlns='http://www.w3.org/2000/svg' viewBox='0 0 24 216'%3e%3ctext fill='%23fff' style='font: 900 16px sans-serif' text-anchor='end' transform='matrix(0 -1 1 0 18 5)'%3eHard%3c/text%3e%3c/svg%3e</v>
      </c>
      <c r="F260" s="10" t="str">
        <f t="shared" si="3"/>
        <v>https://svgtext.heliohost.us/cgi-bin/gen.perl?text=Hard</v>
      </c>
      <c r="G260" s="11" t="str">
        <f t="shared" si="4"/>
        <v>data:image/svg+xml,%3csvg xmlns='http://www.w3.org/2000/svg' viewBox='0 0 24 216'%3e%3ctext fill='%23fff' style='font: 900 16px sans-serif' text-anchor='end' transform='matrix(0 -1 1 0 18 5)'%3eHard%3c/text%3e%3c/svg%3e</v>
      </c>
      <c r="H260" s="8" t="s">
        <v>84</v>
      </c>
      <c r="I260" s="8">
        <f t="shared" ref="I260:J260" si="261">len(B260)</f>
        <v>4</v>
      </c>
      <c r="J260" s="8">
        <f t="shared" si="261"/>
        <v>22</v>
      </c>
      <c r="K260" s="8" t="s">
        <v>745</v>
      </c>
    </row>
    <row r="261">
      <c r="A261" s="7" t="b">
        <v>1</v>
      </c>
      <c r="B261" s="8" t="s">
        <v>746</v>
      </c>
      <c r="C261" s="8" t="s">
        <v>747</v>
      </c>
      <c r="D261" s="8" t="str">
        <f>Q&amp;$K261&amp;Q&amp;":{"&amp;Q&amp;$B$2&amp;Q&amp;":"&amp;Q&amp;$B261&amp;Q&amp;","&amp;Q&amp;$C$2&amp;Q&amp;":"&amp;Q&amp;$C261&amp;Q&amp;","&amp;Q&amp;"sets"&amp;Q&amp;":"&amp;Q&amp;substitute(SUBSTITUTE($H261,"[",""),"]","")&amp;Q&amp;"},"</f>
        <v>"uvpy":{"label":"Hardworking","extra":"(industrious, diligent, busy) ","sets":"Basic Set, Party Set"},</v>
      </c>
      <c r="E261" s="9" t="str">
        <f t="shared" si="2"/>
        <v>data:image/svg+xml,%3csvg xmlns='http://www.w3.org/2000/svg' viewBox='0 0 24 216'%3e%3ctext fill='%23fff' style='font: 900 16px sans-serif' text-anchor='end' transform='matrix(0 -1 1 0 18 5)'%3eHardworking%3c/text%3e%3c/svg%3e</v>
      </c>
      <c r="F261" s="10" t="str">
        <f t="shared" si="3"/>
        <v>https://svgtext.heliohost.us/cgi-bin/gen.perl?text=Hardworking</v>
      </c>
      <c r="G261" s="11" t="str">
        <f t="shared" si="4"/>
        <v>data:image/svg+xml,%3csvg xmlns='http://www.w3.org/2000/svg' viewBox='0 0 24 216'%3e%3ctext fill='%23fff' style='font: 900 16px sans-serif' text-anchor='end' transform='matrix(0 -1 1 0 18 5)'%3eHardworking%3c/text%3e%3c/svg%3e</v>
      </c>
      <c r="H261" s="8" t="s">
        <v>29</v>
      </c>
      <c r="I261" s="8">
        <f t="shared" ref="I261:J261" si="262">len(B261)</f>
        <v>11</v>
      </c>
      <c r="J261" s="8">
        <f t="shared" si="262"/>
        <v>30</v>
      </c>
      <c r="K261" s="8" t="s">
        <v>748</v>
      </c>
    </row>
    <row r="262">
      <c r="A262" s="7" t="b">
        <v>0</v>
      </c>
      <c r="B262" s="8" t="s">
        <v>746</v>
      </c>
      <c r="C262" s="8" t="s">
        <v>749</v>
      </c>
      <c r="D262" s="8" t="str">
        <f>Q&amp;$K262&amp;Q&amp;":{"&amp;Q&amp;$B$2&amp;Q&amp;":"&amp;Q&amp;$B262&amp;Q&amp;","&amp;Q&amp;$C$2&amp;Q&amp;":"&amp;Q&amp;$C262&amp;Q&amp;","&amp;Q&amp;"sets"&amp;Q&amp;":"&amp;Q&amp;substitute(SUBSTITUTE($H262,"[",""),"]","")&amp;Q&amp;"},"</f>
        <v>"rryv":{"label":"Hardworking","extra":"(industrious, careful) ","sets":"Junior 9+ (2nd)"},</v>
      </c>
      <c r="E262" s="9" t="str">
        <f t="shared" si="2"/>
        <v>data:image/svg+xml,%3csvg xmlns='http://www.w3.org/2000/svg' viewBox='0 0 24 216'%3e%3ctext fill='%23fff' style='font: 900 16px sans-serif' text-anchor='end' transform='matrix(0 -1 1 0 18 5)'%3eHardworking%3c/text%3e%3c/svg%3e</v>
      </c>
      <c r="F262" s="10" t="str">
        <f t="shared" si="3"/>
        <v>https://svgtext.heliohost.us/cgi-bin/gen.perl?text=Hardworking</v>
      </c>
      <c r="G262" s="11" t="str">
        <f t="shared" si="4"/>
        <v>data:image/svg+xml,%3csvg xmlns='http://www.w3.org/2000/svg' viewBox='0 0 24 216'%3e%3ctext fill='%23fff' style='font: 900 16px sans-serif' text-anchor='end' transform='matrix(0 -1 1 0 18 5)'%3eHardworking%3c/text%3e%3c/svg%3e</v>
      </c>
      <c r="H262" s="8" t="s">
        <v>32</v>
      </c>
      <c r="I262" s="8">
        <f t="shared" ref="I262:J262" si="263">len(B262)</f>
        <v>11</v>
      </c>
      <c r="J262" s="8">
        <f t="shared" si="263"/>
        <v>23</v>
      </c>
      <c r="K262" s="8" t="s">
        <v>750</v>
      </c>
    </row>
    <row r="263">
      <c r="A263" s="7" t="b">
        <v>0</v>
      </c>
      <c r="B263" s="8" t="s">
        <v>751</v>
      </c>
      <c r="C263" s="8" t="s">
        <v>752</v>
      </c>
      <c r="D263" s="8" t="str">
        <f>Q&amp;$K263&amp;Q&amp;":{"&amp;Q&amp;$B$2&amp;Q&amp;":"&amp;Q&amp;$B263&amp;Q&amp;","&amp;Q&amp;$C$2&amp;Q&amp;":"&amp;Q&amp;$C263&amp;Q&amp;","&amp;Q&amp;"sets"&amp;Q&amp;":"&amp;Q&amp;substitute(SUBSTITUTE($H263,"[",""),"]","")&amp;Q&amp;"},"</f>
        <v>"eebx":{"label":"Harmful","extra":"(hurtful, unhealthy, damaging) ","sets":"Expansion Set 1, Party Set"},</v>
      </c>
      <c r="E263" s="9" t="str">
        <f t="shared" si="2"/>
        <v>data:image/svg+xml,%3csvg xmlns='http://www.w3.org/2000/svg' viewBox='0 0 24 216'%3e%3ctext fill='%23fff' style='font: 900 16px sans-serif' text-anchor='end' transform='matrix(0 -1 1 0 18 5)'%3eHarmful%3c/text%3e%3c/svg%3e</v>
      </c>
      <c r="F263" s="10" t="str">
        <f t="shared" si="3"/>
        <v>https://svgtext.heliohost.us/cgi-bin/gen.perl?text=Harmful</v>
      </c>
      <c r="G263" s="11" t="str">
        <f t="shared" si="4"/>
        <v>data:image/svg+xml,%3csvg xmlns='http://www.w3.org/2000/svg' viewBox='0 0 24 216'%3e%3ctext fill='%23fff' style='font: 900 16px sans-serif' text-anchor='end' transform='matrix(0 -1 1 0 18 5)'%3eHarmful%3c/text%3e%3c/svg%3e</v>
      </c>
      <c r="H263" s="8" t="s">
        <v>25</v>
      </c>
      <c r="I263" s="8">
        <f t="shared" ref="I263:J263" si="264">len(B263)</f>
        <v>7</v>
      </c>
      <c r="J263" s="8">
        <f t="shared" si="264"/>
        <v>31</v>
      </c>
      <c r="K263" s="8" t="s">
        <v>753</v>
      </c>
    </row>
    <row r="264">
      <c r="A264" s="7" t="b">
        <v>0</v>
      </c>
      <c r="B264" s="8" t="s">
        <v>751</v>
      </c>
      <c r="C264" s="8" t="s">
        <v>754</v>
      </c>
      <c r="D264" s="8" t="str">
        <f>Q&amp;$K264&amp;Q&amp;":{"&amp;Q&amp;$B$2&amp;Q&amp;":"&amp;Q&amp;$B264&amp;Q&amp;","&amp;Q&amp;$C$2&amp;Q&amp;":"&amp;Q&amp;$C264&amp;Q&amp;","&amp;Q&amp;"sets"&amp;Q&amp;":"&amp;Q&amp;substitute(SUBSTITUTE($H264,"[",""),"]","")&amp;Q&amp;"},"</f>
        <v>"edvo":{"label":"Harmful","extra":"(hurtful, damaging) ","sets":"Junior 9+ (1st) &amp; (2nd)"},</v>
      </c>
      <c r="E264" s="9" t="str">
        <f t="shared" si="2"/>
        <v>data:image/svg+xml,%3csvg xmlns='http://www.w3.org/2000/svg' viewBox='0 0 24 216'%3e%3ctext fill='%23fff' style='font: 900 16px sans-serif' text-anchor='end' transform='matrix(0 -1 1 0 18 5)'%3eHarmful%3c/text%3e%3c/svg%3e</v>
      </c>
      <c r="F264" s="10" t="str">
        <f t="shared" si="3"/>
        <v>https://svgtext.heliohost.us/cgi-bin/gen.perl?text=Harmful</v>
      </c>
      <c r="G264" s="11" t="str">
        <f t="shared" si="4"/>
        <v>data:image/svg+xml,%3csvg xmlns='http://www.w3.org/2000/svg' viewBox='0 0 24 216'%3e%3ctext fill='%23fff' style='font: 900 16px sans-serif' text-anchor='end' transform='matrix(0 -1 1 0 18 5)'%3eHarmful%3c/text%3e%3c/svg%3e</v>
      </c>
      <c r="H264" s="8" t="s">
        <v>42</v>
      </c>
      <c r="I264" s="8">
        <f t="shared" ref="I264:J264" si="265">len(B264)</f>
        <v>7</v>
      </c>
      <c r="J264" s="8">
        <f t="shared" si="265"/>
        <v>20</v>
      </c>
      <c r="K264" s="8" t="s">
        <v>755</v>
      </c>
    </row>
    <row r="265">
      <c r="A265" s="7" t="b">
        <v>1</v>
      </c>
      <c r="B265" s="8" t="s">
        <v>756</v>
      </c>
      <c r="C265" s="8" t="s">
        <v>757</v>
      </c>
      <c r="D265" s="8" t="str">
        <f>Q&amp;$K265&amp;Q&amp;":{"&amp;Q&amp;$B$2&amp;Q&amp;":"&amp;Q&amp;$B265&amp;Q&amp;","&amp;Q&amp;$C$2&amp;Q&amp;":"&amp;Q&amp;$C265&amp;Q&amp;","&amp;Q&amp;"sets"&amp;Q&amp;":"&amp;Q&amp;substitute(SUBSTITUTE($H265,"[",""),"]","")&amp;Q&amp;"},"</f>
        <v>"yfkr":{"label":"Harsh","extra":"(severe, glaring, brutal) ","sets":"Expansion Set 3, Party Expansion 1"},</v>
      </c>
      <c r="E265" s="9" t="str">
        <f t="shared" si="2"/>
        <v>data:image/svg+xml,%3csvg xmlns='http://www.w3.org/2000/svg' viewBox='0 0 24 216'%3e%3ctext fill='%23fff' style='font: 900 16px sans-serif' text-anchor='end' transform='matrix(0 -1 1 0 18 5)'%3eHarsh%3c/text%3e%3c/svg%3e</v>
      </c>
      <c r="F265" s="10" t="str">
        <f t="shared" si="3"/>
        <v>https://svgtext.heliohost.us/cgi-bin/gen.perl?text=Harsh</v>
      </c>
      <c r="G265" s="11" t="str">
        <f t="shared" si="4"/>
        <v>data:image/svg+xml,%3csvg xmlns='http://www.w3.org/2000/svg' viewBox='0 0 24 216'%3e%3ctext fill='%23fff' style='font: 900 16px sans-serif' text-anchor='end' transform='matrix(0 -1 1 0 18 5)'%3eHarsh%3c/text%3e%3c/svg%3e</v>
      </c>
      <c r="H265" s="8" t="s">
        <v>39</v>
      </c>
      <c r="I265" s="8">
        <f t="shared" ref="I265:J265" si="266">len(B265)</f>
        <v>5</v>
      </c>
      <c r="J265" s="8">
        <f t="shared" si="266"/>
        <v>26</v>
      </c>
      <c r="K265" s="8" t="s">
        <v>758</v>
      </c>
    </row>
    <row r="266">
      <c r="A266" s="7" t="b">
        <v>0</v>
      </c>
      <c r="B266" s="8" t="s">
        <v>759</v>
      </c>
      <c r="C266" s="8" t="s">
        <v>760</v>
      </c>
      <c r="D266" s="8" t="str">
        <f>Q&amp;$K266&amp;Q&amp;":{"&amp;Q&amp;$B$2&amp;Q&amp;":"&amp;Q&amp;$B266&amp;Q&amp;","&amp;Q&amp;$C$2&amp;Q&amp;":"&amp;Q&amp;$C266&amp;Q&amp;","&amp;Q&amp;"sets"&amp;Q&amp;":"&amp;Q&amp;substitute(SUBSTITUTE($H266,"[",""),"]","")&amp;Q&amp;"},"</f>
        <v>"pyyp":{"label":"Haunting","extra":"(unforgettable, bewitching, unearthly) ","sets":"Expansion Set 2, Party Set"},</v>
      </c>
      <c r="E266" s="9" t="str">
        <f t="shared" si="2"/>
        <v>data:image/svg+xml,%3csvg xmlns='http://www.w3.org/2000/svg' viewBox='0 0 24 216'%3e%3ctext fill='%23fff' style='font: 900 16px sans-serif' text-anchor='end' transform='matrix(0 -1 1 0 18 5)'%3eHaunting%3c/text%3e%3c/svg%3e</v>
      </c>
      <c r="F266" s="10" t="str">
        <f t="shared" si="3"/>
        <v>https://svgtext.heliohost.us/cgi-bin/gen.perl?text=Haunting</v>
      </c>
      <c r="G266" s="11" t="str">
        <f t="shared" si="4"/>
        <v>data:image/svg+xml,%3csvg xmlns='http://www.w3.org/2000/svg' viewBox='0 0 24 216'%3e%3ctext fill='%23fff' style='font: 900 16px sans-serif' text-anchor='end' transform='matrix(0 -1 1 0 18 5)'%3eHaunting%3c/text%3e%3c/svg%3e</v>
      </c>
      <c r="H266" s="8" t="s">
        <v>17</v>
      </c>
      <c r="I266" s="8">
        <f t="shared" ref="I266:J266" si="267">len(B266)</f>
        <v>8</v>
      </c>
      <c r="J266" s="8">
        <f t="shared" si="267"/>
        <v>39</v>
      </c>
      <c r="K266" s="8" t="s">
        <v>761</v>
      </c>
    </row>
    <row r="267">
      <c r="A267" s="7" t="b">
        <v>1</v>
      </c>
      <c r="B267" s="8" t="s">
        <v>762</v>
      </c>
      <c r="C267" s="8" t="s">
        <v>763</v>
      </c>
      <c r="D267" s="8" t="str">
        <f>Q&amp;$K267&amp;Q&amp;":{"&amp;Q&amp;$B$2&amp;Q&amp;":"&amp;Q&amp;$B267&amp;Q&amp;","&amp;Q&amp;$C$2&amp;Q&amp;":"&amp;Q&amp;$C267&amp;Q&amp;","&amp;Q&amp;"sets"&amp;Q&amp;":"&amp;Q&amp;substitute(SUBSTITUTE($H267,"[",""),"]","")&amp;Q&amp;"},"</f>
        <v>"vqgn":{"label":"Hazardous","extra":"(risky, dangerous, perilous) ","sets":"Expansion Set 3, Party Expansion 1"},</v>
      </c>
      <c r="E267" s="9" t="str">
        <f t="shared" si="2"/>
        <v>data:image/svg+xml,%3csvg xmlns='http://www.w3.org/2000/svg' viewBox='0 0 24 216'%3e%3ctext fill='%23fff' style='font: 900 16px sans-serif' text-anchor='end' transform='matrix(0 -1 1 0 18 5)'%3eHazardous%3c/text%3e%3c/svg%3e</v>
      </c>
      <c r="F267" s="10" t="str">
        <f t="shared" si="3"/>
        <v>https://svgtext.heliohost.us/cgi-bin/gen.perl?text=Hazardous</v>
      </c>
      <c r="G267" s="11" t="str">
        <f t="shared" si="4"/>
        <v>data:image/svg+xml,%3csvg xmlns='http://www.w3.org/2000/svg' viewBox='0 0 24 216'%3e%3ctext fill='%23fff' style='font: 900 16px sans-serif' text-anchor='end' transform='matrix(0 -1 1 0 18 5)'%3eHazardous%3c/text%3e%3c/svg%3e</v>
      </c>
      <c r="H267" s="8" t="s">
        <v>39</v>
      </c>
      <c r="I267" s="8">
        <f t="shared" ref="I267:J267" si="268">len(B267)</f>
        <v>9</v>
      </c>
      <c r="J267" s="8">
        <f t="shared" si="268"/>
        <v>29</v>
      </c>
      <c r="K267" s="8" t="s">
        <v>764</v>
      </c>
    </row>
    <row r="268">
      <c r="A268" s="7" t="b">
        <v>0</v>
      </c>
      <c r="B268" s="8" t="s">
        <v>765</v>
      </c>
      <c r="C268" s="8" t="s">
        <v>766</v>
      </c>
      <c r="D268" s="8" t="str">
        <f>Q&amp;$K268&amp;Q&amp;":{"&amp;Q&amp;$B$2&amp;Q&amp;":"&amp;Q&amp;$B268&amp;Q&amp;","&amp;Q&amp;$C$2&amp;Q&amp;":"&amp;Q&amp;$C268&amp;Q&amp;","&amp;Q&amp;"sets"&amp;Q&amp;":"&amp;Q&amp;substitute(SUBSTITUTE($H268,"[",""),"]","")&amp;Q&amp;"},"</f>
        <v>"dtjr":{"label":"Healthy","extra":"(hearty, robust, wholesome) ","sets":"Expansion Set 2, Party Set"},</v>
      </c>
      <c r="E268" s="9" t="str">
        <f t="shared" si="2"/>
        <v>data:image/svg+xml,%3csvg xmlns='http://www.w3.org/2000/svg' viewBox='0 0 24 216'%3e%3ctext fill='%23fff' style='font: 900 16px sans-serif' text-anchor='end' transform='matrix(0 -1 1 0 18 5)'%3eHealthy%3c/text%3e%3c/svg%3e</v>
      </c>
      <c r="F268" s="10" t="str">
        <f t="shared" si="3"/>
        <v>https://svgtext.heliohost.us/cgi-bin/gen.perl?text=Healthy</v>
      </c>
      <c r="G268" s="11" t="str">
        <f t="shared" si="4"/>
        <v>data:image/svg+xml,%3csvg xmlns='http://www.w3.org/2000/svg' viewBox='0 0 24 216'%3e%3ctext fill='%23fff' style='font: 900 16px sans-serif' text-anchor='end' transform='matrix(0 -1 1 0 18 5)'%3eHealthy%3c/text%3e%3c/svg%3e</v>
      </c>
      <c r="H268" s="8" t="s">
        <v>17</v>
      </c>
      <c r="I268" s="8">
        <f t="shared" ref="I268:J268" si="269">len(B268)</f>
        <v>7</v>
      </c>
      <c r="J268" s="8">
        <f t="shared" si="269"/>
        <v>28</v>
      </c>
      <c r="K268" s="8" t="s">
        <v>767</v>
      </c>
    </row>
    <row r="269">
      <c r="A269" s="7" t="b">
        <v>0</v>
      </c>
      <c r="B269" s="8" t="s">
        <v>765</v>
      </c>
      <c r="C269" s="8" t="s">
        <v>768</v>
      </c>
      <c r="D269" s="8" t="str">
        <f>Q&amp;$K269&amp;Q&amp;":{"&amp;Q&amp;$B$2&amp;Q&amp;":"&amp;Q&amp;$B269&amp;Q&amp;","&amp;Q&amp;$C$2&amp;Q&amp;":"&amp;Q&amp;$C269&amp;Q&amp;","&amp;Q&amp;"sets"&amp;Q&amp;":"&amp;Q&amp;substitute(SUBSTITUTE($H269,"[",""),"]","")&amp;Q&amp;"},"</f>
        <v>"mixr":{"label":"Healthy","extra":"(not sick, well) ","sets":"Junior 9+ (1st) &amp; (2nd)"},</v>
      </c>
      <c r="E269" s="9" t="str">
        <f t="shared" si="2"/>
        <v>data:image/svg+xml,%3csvg xmlns='http://www.w3.org/2000/svg' viewBox='0 0 24 216'%3e%3ctext fill='%23fff' style='font: 900 16px sans-serif' text-anchor='end' transform='matrix(0 -1 1 0 18 5)'%3eHealthy%3c/text%3e%3c/svg%3e</v>
      </c>
      <c r="F269" s="10" t="str">
        <f t="shared" si="3"/>
        <v>https://svgtext.heliohost.us/cgi-bin/gen.perl?text=Healthy</v>
      </c>
      <c r="G269" s="11" t="str">
        <f t="shared" si="4"/>
        <v>data:image/svg+xml,%3csvg xmlns='http://www.w3.org/2000/svg' viewBox='0 0 24 216'%3e%3ctext fill='%23fff' style='font: 900 16px sans-serif' text-anchor='end' transform='matrix(0 -1 1 0 18 5)'%3eHealthy%3c/text%3e%3c/svg%3e</v>
      </c>
      <c r="H269" s="8" t="s">
        <v>42</v>
      </c>
      <c r="I269" s="8">
        <f t="shared" ref="I269:J269" si="270">len(B269)</f>
        <v>7</v>
      </c>
      <c r="J269" s="8">
        <f t="shared" si="270"/>
        <v>17</v>
      </c>
      <c r="K269" s="8" t="s">
        <v>769</v>
      </c>
    </row>
    <row r="270">
      <c r="A270" s="7" t="b">
        <v>0</v>
      </c>
      <c r="B270" s="8" t="s">
        <v>770</v>
      </c>
      <c r="C270" s="8" t="s">
        <v>771</v>
      </c>
      <c r="D270" s="8" t="str">
        <f>Q&amp;$K270&amp;Q&amp;":{"&amp;Q&amp;$B$2&amp;Q&amp;":"&amp;Q&amp;$B270&amp;Q&amp;","&amp;Q&amp;$C$2&amp;Q&amp;":"&amp;Q&amp;$C270&amp;Q&amp;","&amp;Q&amp;"sets"&amp;Q&amp;":"&amp;Q&amp;substitute(SUBSTITUTE($H270,"[",""),"]","")&amp;Q&amp;"},"</f>
        <v>"jfpo":{"label":"Heartless","extra":"(insensitive, cruel, uncaring) ","sets":"Expansion Set 1, Party Set"},</v>
      </c>
      <c r="E270" s="9" t="str">
        <f t="shared" si="2"/>
        <v>data:image/svg+xml,%3csvg xmlns='http://www.w3.org/2000/svg' viewBox='0 0 24 216'%3e%3ctext fill='%23fff' style='font: 900 16px sans-serif' text-anchor='end' transform='matrix(0 -1 1 0 18 5)'%3eHeartless%3c/text%3e%3c/svg%3e</v>
      </c>
      <c r="F270" s="10" t="str">
        <f t="shared" si="3"/>
        <v>https://svgtext.heliohost.us/cgi-bin/gen.perl?text=Heartless</v>
      </c>
      <c r="G270" s="11" t="str">
        <f t="shared" si="4"/>
        <v>data:image/svg+xml,%3csvg xmlns='http://www.w3.org/2000/svg' viewBox='0 0 24 216'%3e%3ctext fill='%23fff' style='font: 900 16px sans-serif' text-anchor='end' transform='matrix(0 -1 1 0 18 5)'%3eHeartless%3c/text%3e%3c/svg%3e</v>
      </c>
      <c r="H270" s="8" t="s">
        <v>25</v>
      </c>
      <c r="I270" s="8">
        <f t="shared" ref="I270:J270" si="271">len(B270)</f>
        <v>9</v>
      </c>
      <c r="J270" s="8">
        <f t="shared" si="271"/>
        <v>31</v>
      </c>
      <c r="K270" s="8" t="s">
        <v>772</v>
      </c>
    </row>
    <row r="271">
      <c r="A271" s="7" t="b">
        <v>0</v>
      </c>
      <c r="B271" s="8" t="s">
        <v>773</v>
      </c>
      <c r="C271" s="8" t="s">
        <v>774</v>
      </c>
      <c r="D271" s="8" t="str">
        <f>Q&amp;$K271&amp;Q&amp;":{"&amp;Q&amp;$B$2&amp;Q&amp;":"&amp;Q&amp;$B271&amp;Q&amp;","&amp;Q&amp;$C$2&amp;Q&amp;":"&amp;Q&amp;$C271&amp;Q&amp;","&amp;Q&amp;"sets"&amp;Q&amp;":"&amp;Q&amp;substitute(SUBSTITUTE($H271,"[",""),"]","")&amp;Q&amp;"},"</f>
        <v>"cyqy":{"label":"Heavy","extra":"(not light, bulky) ","sets":"Junior"},</v>
      </c>
      <c r="E271" s="9" t="str">
        <f t="shared" si="2"/>
        <v>data:image/svg+xml,%3csvg xmlns='http://www.w3.org/2000/svg' viewBox='0 0 24 216'%3e%3ctext fill='%23fff' style='font: 900 16px sans-serif' text-anchor='end' transform='matrix(0 -1 1 0 18 5)'%3eHeavy%3c/text%3e%3c/svg%3e</v>
      </c>
      <c r="F271" s="10" t="str">
        <f t="shared" si="3"/>
        <v>https://svgtext.heliohost.us/cgi-bin/gen.perl?text=Heavy</v>
      </c>
      <c r="G271" s="11" t="str">
        <f t="shared" si="4"/>
        <v>data:image/svg+xml,%3csvg xmlns='http://www.w3.org/2000/svg' viewBox='0 0 24 216'%3e%3ctext fill='%23fff' style='font: 900 16px sans-serif' text-anchor='end' transform='matrix(0 -1 1 0 18 5)'%3eHeavy%3c/text%3e%3c/svg%3e</v>
      </c>
      <c r="H271" s="8" t="s">
        <v>84</v>
      </c>
      <c r="I271" s="8">
        <f t="shared" ref="I271:J271" si="272">len(B271)</f>
        <v>5</v>
      </c>
      <c r="J271" s="8">
        <f t="shared" si="272"/>
        <v>19</v>
      </c>
      <c r="K271" s="8" t="s">
        <v>775</v>
      </c>
    </row>
    <row r="272">
      <c r="A272" s="7" t="b">
        <v>0</v>
      </c>
      <c r="B272" s="8" t="s">
        <v>776</v>
      </c>
      <c r="C272" s="8" t="s">
        <v>777</v>
      </c>
      <c r="D272" s="8" t="str">
        <f>Q&amp;$K272&amp;Q&amp;":{"&amp;Q&amp;$B$2&amp;Q&amp;":"&amp;Q&amp;$B272&amp;Q&amp;","&amp;Q&amp;$C$2&amp;Q&amp;":"&amp;Q&amp;$C272&amp;Q&amp;","&amp;Q&amp;"sets"&amp;Q&amp;":"&amp;Q&amp;substitute(SUBSTITUTE($H272,"[",""),"]","")&amp;Q&amp;"},"</f>
        <v>"suhi":{"label":"Helpful","extra":"(useful, assisting) ","sets":"Junior"},</v>
      </c>
      <c r="E272" s="9" t="str">
        <f t="shared" si="2"/>
        <v>data:image/svg+xml,%3csvg xmlns='http://www.w3.org/2000/svg' viewBox='0 0 24 216'%3e%3ctext fill='%23fff' style='font: 900 16px sans-serif' text-anchor='end' transform='matrix(0 -1 1 0 18 5)'%3eHelpful%3c/text%3e%3c/svg%3e</v>
      </c>
      <c r="F272" s="10" t="str">
        <f t="shared" si="3"/>
        <v>https://svgtext.heliohost.us/cgi-bin/gen.perl?text=Helpful</v>
      </c>
      <c r="G272" s="11" t="str">
        <f t="shared" si="4"/>
        <v>data:image/svg+xml,%3csvg xmlns='http://www.w3.org/2000/svg' viewBox='0 0 24 216'%3e%3ctext fill='%23fff' style='font: 900 16px sans-serif' text-anchor='end' transform='matrix(0 -1 1 0 18 5)'%3eHelpful%3c/text%3e%3c/svg%3e</v>
      </c>
      <c r="H272" s="8" t="s">
        <v>84</v>
      </c>
      <c r="I272" s="8">
        <f t="shared" ref="I272:J272" si="273">len(B272)</f>
        <v>7</v>
      </c>
      <c r="J272" s="8">
        <f t="shared" si="273"/>
        <v>20</v>
      </c>
      <c r="K272" s="8" t="s">
        <v>778</v>
      </c>
    </row>
    <row r="273">
      <c r="A273" s="7" t="b">
        <v>1</v>
      </c>
      <c r="B273" s="8" t="s">
        <v>779</v>
      </c>
      <c r="C273" s="8" t="s">
        <v>780</v>
      </c>
      <c r="D273" s="8" t="str">
        <f>Q&amp;$K273&amp;Q&amp;":{"&amp;Q&amp;$B$2&amp;Q&amp;":"&amp;Q&amp;$B273&amp;Q&amp;","&amp;Q&amp;$C$2&amp;Q&amp;":"&amp;Q&amp;$C273&amp;Q&amp;","&amp;Q&amp;"sets"&amp;Q&amp;":"&amp;Q&amp;substitute(SUBSTITUTE($H273,"[",""),"]","")&amp;Q&amp;"},"</f>
        <v>"ofgj":{"label":"High &amp; Dry","extra":"(abandoned, alone, helpless) ","sets":"Expansion Set 4, Party Expansion 1"},</v>
      </c>
      <c r="E273" s="9" t="str">
        <f t="shared" si="2"/>
        <v>data:image/svg+xml,%3csvg xmlns='http://www.w3.org/2000/svg' viewBox='0 0 24 216'%3e%3ctext fill='%23fff' style='font: 900 16px sans-serif' text-anchor='end' transform='matrix(0 -1 1 0 18 5)'%3eHigh %26amp%3B Dry%3c/text%3e%3c/svg%3e</v>
      </c>
      <c r="F273" s="10" t="str">
        <f t="shared" si="3"/>
        <v>https://svgtext.heliohost.us/cgi-bin/gen.perl?text=High%20%26%20Dry</v>
      </c>
      <c r="G273" s="11" t="str">
        <f t="shared" si="4"/>
        <v>data:image/svg+xml,%3csvg xmlns='http://www.w3.org/2000/svg' viewBox='0 0 24 216'%3e%3ctext fill='%23fff' style='font: 900 16px sans-serif' text-anchor='end' transform='matrix(0 -1 1 0 18 5)'%3eHigh %26amp%3B Dry%3c/text%3e%3c/svg%3e</v>
      </c>
      <c r="H273" s="8" t="s">
        <v>63</v>
      </c>
      <c r="I273" s="8">
        <f t="shared" ref="I273:J273" si="274">len(B273)</f>
        <v>10</v>
      </c>
      <c r="J273" s="8">
        <f t="shared" si="274"/>
        <v>29</v>
      </c>
      <c r="K273" s="8" t="s">
        <v>781</v>
      </c>
    </row>
    <row r="274">
      <c r="A274" s="7" t="b">
        <v>1</v>
      </c>
      <c r="B274" s="8" t="s">
        <v>782</v>
      </c>
      <c r="C274" s="8" t="s">
        <v>783</v>
      </c>
      <c r="D274" s="8" t="str">
        <f>Q&amp;$K274&amp;Q&amp;":{"&amp;Q&amp;$B$2&amp;Q&amp;":"&amp;Q&amp;$B274&amp;Q&amp;","&amp;Q&amp;$C$2&amp;Q&amp;":"&amp;Q&amp;$C274&amp;Q&amp;","&amp;Q&amp;"sets"&amp;Q&amp;":"&amp;Q&amp;substitute(SUBSTITUTE($H274,"[",""),"]","")&amp;Q&amp;"},"</f>
        <v>"yvtu":{"label":"High &amp; Low","extra":"(everywhere, universally, all over) ","sets":"Expansion Set 4, Party Expansion 1"},</v>
      </c>
      <c r="E274" s="9" t="str">
        <f t="shared" si="2"/>
        <v>data:image/svg+xml,%3csvg xmlns='http://www.w3.org/2000/svg' viewBox='0 0 24 216'%3e%3ctext fill='%23fff' style='font: 900 16px sans-serif' text-anchor='end' transform='matrix(0 -1 1 0 18 5)'%3eHigh %26amp%3B Low%3c/text%3e%3c/svg%3e</v>
      </c>
      <c r="F274" s="10" t="str">
        <f t="shared" si="3"/>
        <v>https://svgtext.heliohost.us/cgi-bin/gen.perl?text=High%20%26%20Low</v>
      </c>
      <c r="G274" s="11" t="str">
        <f t="shared" si="4"/>
        <v>data:image/svg+xml,%3csvg xmlns='http://www.w3.org/2000/svg' viewBox='0 0 24 216'%3e%3ctext fill='%23fff' style='font: 900 16px sans-serif' text-anchor='end' transform='matrix(0 -1 1 0 18 5)'%3eHigh %26amp%3B Low%3c/text%3e%3c/svg%3e</v>
      </c>
      <c r="H274" s="8" t="s">
        <v>63</v>
      </c>
      <c r="I274" s="8">
        <f t="shared" ref="I274:J274" si="275">len(B274)</f>
        <v>10</v>
      </c>
      <c r="J274" s="8">
        <f t="shared" si="275"/>
        <v>36</v>
      </c>
      <c r="K274" s="8" t="s">
        <v>784</v>
      </c>
    </row>
    <row r="275">
      <c r="A275" s="7" t="b">
        <v>1</v>
      </c>
      <c r="B275" s="8" t="s">
        <v>785</v>
      </c>
      <c r="C275" s="8" t="s">
        <v>786</v>
      </c>
      <c r="D275" s="8" t="str">
        <f>Q&amp;$K275&amp;Q&amp;":{"&amp;Q&amp;$B$2&amp;Q&amp;":"&amp;Q&amp;$B275&amp;Q&amp;","&amp;Q&amp;$C$2&amp;Q&amp;":"&amp;Q&amp;$C275&amp;Q&amp;","&amp;Q&amp;"sets"&amp;Q&amp;":"&amp;Q&amp;substitute(SUBSTITUTE($H275,"[",""),"]","")&amp;Q&amp;"},"</f>
        <v>"nqxc":{"label":"High &amp; Mighty","extra":"(arrogant, conceited, vain) ","sets":"Expansion Set 4, Party Expansion 1"},</v>
      </c>
      <c r="E275" s="9" t="str">
        <f t="shared" si="2"/>
        <v>data:image/svg+xml,%3csvg xmlns='http://www.w3.org/2000/svg' viewBox='0 0 24 216'%3e%3ctext fill='%23fff' style='font: 900 16px sans-serif' text-anchor='end' transform='matrix(0 -1 1 0 18 5)'%3eHigh %26amp%3B Mighty%3c/text%3e%3c/svg%3e</v>
      </c>
      <c r="F275" s="10" t="str">
        <f t="shared" si="3"/>
        <v>https://svgtext.heliohost.us/cgi-bin/gen.perl?text=High%20%26%20Mighty</v>
      </c>
      <c r="G275" s="11" t="str">
        <f t="shared" si="4"/>
        <v>data:image/svg+xml,%3csvg xmlns='http://www.w3.org/2000/svg' viewBox='0 0 24 216'%3e%3ctext fill='%23fff' style='font: 900 16px sans-serif' text-anchor='end' transform='matrix(0 -1 1 0 18 5)'%3eHigh %26amp%3B Mighty%3c/text%3e%3c/svg%3e</v>
      </c>
      <c r="H275" s="8" t="s">
        <v>63</v>
      </c>
      <c r="I275" s="8">
        <f t="shared" ref="I275:J275" si="276">len(B275)</f>
        <v>13</v>
      </c>
      <c r="J275" s="8">
        <f t="shared" si="276"/>
        <v>28</v>
      </c>
      <c r="K275" s="8" t="s">
        <v>787</v>
      </c>
    </row>
    <row r="276">
      <c r="A276" s="7" t="b">
        <v>0</v>
      </c>
      <c r="B276" s="8" t="s">
        <v>788</v>
      </c>
      <c r="C276" s="8" t="s">
        <v>789</v>
      </c>
      <c r="D276" s="8" t="str">
        <f>Q&amp;$K276&amp;Q&amp;":{"&amp;Q&amp;$B$2&amp;Q&amp;":"&amp;Q&amp;$B276&amp;Q&amp;","&amp;Q&amp;$C$2&amp;Q&amp;":"&amp;Q&amp;$C276&amp;Q&amp;","&amp;Q&amp;"sets"&amp;Q&amp;":"&amp;Q&amp;substitute(SUBSTITUTE($H276,"[",""),"]","")&amp;Q&amp;"},"</f>
        <v>"teji":{"label":"Hilarious","extra":"(funny, witty, amusing) ","sets":"Basic Set, Party Set"},</v>
      </c>
      <c r="E276" s="9" t="str">
        <f t="shared" si="2"/>
        <v>data:image/svg+xml,%3csvg xmlns='http://www.w3.org/2000/svg' viewBox='0 0 24 216'%3e%3ctext fill='%23fff' style='font: 900 16px sans-serif' text-anchor='end' transform='matrix(0 -1 1 0 18 5)'%3eHilarious%3c/text%3e%3c/svg%3e</v>
      </c>
      <c r="F276" s="10" t="str">
        <f t="shared" si="3"/>
        <v>https://svgtext.heliohost.us/cgi-bin/gen.perl?text=Hilarious</v>
      </c>
      <c r="G276" s="11" t="str">
        <f t="shared" si="4"/>
        <v>data:image/svg+xml,%3csvg xmlns='http://www.w3.org/2000/svg' viewBox='0 0 24 216'%3e%3ctext fill='%23fff' style='font: 900 16px sans-serif' text-anchor='end' transform='matrix(0 -1 1 0 18 5)'%3eHilarious%3c/text%3e%3c/svg%3e</v>
      </c>
      <c r="H276" s="8" t="s">
        <v>29</v>
      </c>
      <c r="I276" s="8">
        <f t="shared" ref="I276:J276" si="277">len(B276)</f>
        <v>9</v>
      </c>
      <c r="J276" s="8">
        <f t="shared" si="277"/>
        <v>24</v>
      </c>
      <c r="K276" s="8" t="s">
        <v>790</v>
      </c>
    </row>
    <row r="277">
      <c r="A277" s="7" t="b">
        <v>1</v>
      </c>
      <c r="B277" s="8" t="s">
        <v>791</v>
      </c>
      <c r="C277" s="8" t="s">
        <v>792</v>
      </c>
      <c r="D277" s="8" t="str">
        <f>Q&amp;$K277&amp;Q&amp;":{"&amp;Q&amp;$B$2&amp;Q&amp;":"&amp;Q&amp;$B277&amp;Q&amp;","&amp;Q&amp;$C$2&amp;Q&amp;":"&amp;Q&amp;$C277&amp;Q&amp;","&amp;Q&amp;"sets"&amp;Q&amp;":"&amp;Q&amp;substitute(SUBSTITUTE($H277,"[",""),"]","")&amp;Q&amp;"},"</f>
        <v>"wkty":{"label":"Hit &amp; Miss","extra":"(sporadic, unreliable, erratic) ","sets":"Expansion Set 4, Party Expansion 1"},</v>
      </c>
      <c r="E277" s="9" t="str">
        <f t="shared" si="2"/>
        <v>data:image/svg+xml,%3csvg xmlns='http://www.w3.org/2000/svg' viewBox='0 0 24 216'%3e%3ctext fill='%23fff' style='font: 900 16px sans-serif' text-anchor='end' transform='matrix(0 -1 1 0 18 5)'%3eHit %26amp%3B Miss%3c/text%3e%3c/svg%3e</v>
      </c>
      <c r="F277" s="10" t="str">
        <f t="shared" si="3"/>
        <v>https://svgtext.heliohost.us/cgi-bin/gen.perl?text=Hit%20%26%20Miss</v>
      </c>
      <c r="G277" s="11" t="str">
        <f t="shared" si="4"/>
        <v>data:image/svg+xml,%3csvg xmlns='http://www.w3.org/2000/svg' viewBox='0 0 24 216'%3e%3ctext fill='%23fff' style='font: 900 16px sans-serif' text-anchor='end' transform='matrix(0 -1 1 0 18 5)'%3eHit %26amp%3B Miss%3c/text%3e%3c/svg%3e</v>
      </c>
      <c r="H277" s="8" t="s">
        <v>63</v>
      </c>
      <c r="I277" s="8">
        <f t="shared" ref="I277:J277" si="278">len(B277)</f>
        <v>10</v>
      </c>
      <c r="J277" s="8">
        <f t="shared" si="278"/>
        <v>32</v>
      </c>
      <c r="K277" s="8" t="s">
        <v>793</v>
      </c>
    </row>
    <row r="278">
      <c r="A278" s="7" t="b">
        <v>0</v>
      </c>
      <c r="B278" s="8" t="s">
        <v>794</v>
      </c>
      <c r="C278" s="8" t="s">
        <v>795</v>
      </c>
      <c r="D278" s="8" t="str">
        <f>Q&amp;$K278&amp;Q&amp;":{"&amp;Q&amp;$B$2&amp;Q&amp;":"&amp;Q&amp;$B278&amp;Q&amp;","&amp;Q&amp;$C$2&amp;Q&amp;":"&amp;Q&amp;$C278&amp;Q&amp;","&amp;Q&amp;"sets"&amp;Q&amp;":"&amp;Q&amp;substitute(SUBSTITUTE($H278,"[",""),"]","")&amp;Q&amp;"},"</f>
        <v>"rdoy":{"label":"Honest","extra":"(trustworthy, truthful) ","sets":"Junior 9+ (1st) &amp; (2nd)"},</v>
      </c>
      <c r="E278" s="9" t="str">
        <f t="shared" si="2"/>
        <v>data:image/svg+xml,%3csvg xmlns='http://www.w3.org/2000/svg' viewBox='0 0 24 216'%3e%3ctext fill='%23fff' style='font: 900 16px sans-serif' text-anchor='end' transform='matrix(0 -1 1 0 18 5)'%3eHonest%3c/text%3e%3c/svg%3e</v>
      </c>
      <c r="F278" s="10" t="str">
        <f t="shared" si="3"/>
        <v>https://svgtext.heliohost.us/cgi-bin/gen.perl?text=Honest</v>
      </c>
      <c r="G278" s="11" t="str">
        <f t="shared" si="4"/>
        <v>data:image/svg+xml,%3csvg xmlns='http://www.w3.org/2000/svg' viewBox='0 0 24 216'%3e%3ctext fill='%23fff' style='font: 900 16px sans-serif' text-anchor='end' transform='matrix(0 -1 1 0 18 5)'%3eHonest%3c/text%3e%3c/svg%3e</v>
      </c>
      <c r="H278" s="8" t="s">
        <v>42</v>
      </c>
      <c r="I278" s="8">
        <f t="shared" ref="I278:J278" si="279">len(B278)</f>
        <v>6</v>
      </c>
      <c r="J278" s="8">
        <f t="shared" si="279"/>
        <v>24</v>
      </c>
      <c r="K278" s="8" t="s">
        <v>796</v>
      </c>
    </row>
    <row r="279">
      <c r="A279" s="7" t="b">
        <v>0</v>
      </c>
      <c r="B279" s="8" t="s">
        <v>797</v>
      </c>
      <c r="C279" s="8" t="s">
        <v>798</v>
      </c>
      <c r="D279" s="8" t="str">
        <f>Q&amp;$K279&amp;Q&amp;":{"&amp;Q&amp;$B$2&amp;Q&amp;":"&amp;Q&amp;$B279&amp;Q&amp;","&amp;Q&amp;$C$2&amp;Q&amp;":"&amp;Q&amp;$C279&amp;Q&amp;","&amp;Q&amp;"sets"&amp;Q&amp;":"&amp;Q&amp;substitute(SUBSTITUTE($H279,"[",""),"]","")&amp;Q&amp;"},"</f>
        <v>"sbxe":{"label":"Honorable","extra":"(honest, just, virtuous) ","sets":"Basic Set, Party Set"},</v>
      </c>
      <c r="E279" s="9" t="str">
        <f t="shared" si="2"/>
        <v>data:image/svg+xml,%3csvg xmlns='http://www.w3.org/2000/svg' viewBox='0 0 24 216'%3e%3ctext fill='%23fff' style='font: 900 16px sans-serif' text-anchor='end' transform='matrix(0 -1 1 0 18 5)'%3eHonorable%3c/text%3e%3c/svg%3e</v>
      </c>
      <c r="F279" s="10" t="str">
        <f t="shared" si="3"/>
        <v>https://svgtext.heliohost.us/cgi-bin/gen.perl?text=Honorable</v>
      </c>
      <c r="G279" s="11" t="str">
        <f t="shared" si="4"/>
        <v>data:image/svg+xml,%3csvg xmlns='http://www.w3.org/2000/svg' viewBox='0 0 24 216'%3e%3ctext fill='%23fff' style='font: 900 16px sans-serif' text-anchor='end' transform='matrix(0 -1 1 0 18 5)'%3eHonorable%3c/text%3e%3c/svg%3e</v>
      </c>
      <c r="H279" s="8" t="s">
        <v>29</v>
      </c>
      <c r="I279" s="8">
        <f t="shared" ref="I279:J279" si="280">len(B279)</f>
        <v>9</v>
      </c>
      <c r="J279" s="8">
        <f t="shared" si="280"/>
        <v>25</v>
      </c>
      <c r="K279" s="8" t="s">
        <v>799</v>
      </c>
    </row>
    <row r="280">
      <c r="A280" s="7" t="b">
        <v>0</v>
      </c>
      <c r="B280" s="8" t="s">
        <v>800</v>
      </c>
      <c r="C280" s="8" t="s">
        <v>801</v>
      </c>
      <c r="D280" s="8" t="str">
        <f>Q&amp;$K280&amp;Q&amp;":{"&amp;Q&amp;$B$2&amp;Q&amp;":"&amp;Q&amp;$B280&amp;Q&amp;","&amp;Q&amp;$C$2&amp;Q&amp;":"&amp;Q&amp;$C280&amp;Q&amp;","&amp;Q&amp;"sets"&amp;Q&amp;":"&amp;Q&amp;substitute(SUBSTITUTE($H280,"[",""),"]","")&amp;Q&amp;"},"</f>
        <v>"eybw":{"label":"Hopeless","extra":"(pessimistic, desperate, downhearted) ","sets":"Basic Set, Party Set"},</v>
      </c>
      <c r="E280" s="9" t="str">
        <f t="shared" si="2"/>
        <v>data:image/svg+xml,%3csvg xmlns='http://www.w3.org/2000/svg' viewBox='0 0 24 216'%3e%3ctext fill='%23fff' style='font: 900 16px sans-serif' text-anchor='end' transform='matrix(0 -1 1 0 18 5)'%3eHopeless%3c/text%3e%3c/svg%3e</v>
      </c>
      <c r="F280" s="10" t="str">
        <f t="shared" si="3"/>
        <v>https://svgtext.heliohost.us/cgi-bin/gen.perl?text=Hopeless</v>
      </c>
      <c r="G280" s="11" t="str">
        <f t="shared" si="4"/>
        <v>data:image/svg+xml,%3csvg xmlns='http://www.w3.org/2000/svg' viewBox='0 0 24 216'%3e%3ctext fill='%23fff' style='font: 900 16px sans-serif' text-anchor='end' transform='matrix(0 -1 1 0 18 5)'%3eHopeless%3c/text%3e%3c/svg%3e</v>
      </c>
      <c r="H280" s="8" t="s">
        <v>29</v>
      </c>
      <c r="I280" s="8">
        <f t="shared" ref="I280:J280" si="281">len(B280)</f>
        <v>8</v>
      </c>
      <c r="J280" s="8">
        <f t="shared" si="281"/>
        <v>38</v>
      </c>
      <c r="K280" s="8" t="s">
        <v>802</v>
      </c>
    </row>
    <row r="281">
      <c r="A281" s="7" t="b">
        <v>0</v>
      </c>
      <c r="B281" s="8" t="s">
        <v>803</v>
      </c>
      <c r="C281" s="8" t="s">
        <v>804</v>
      </c>
      <c r="D281" s="8" t="str">
        <f>Q&amp;$K281&amp;Q&amp;":{"&amp;Q&amp;$B$2&amp;Q&amp;":"&amp;Q&amp;$B281&amp;Q&amp;","&amp;Q&amp;$C$2&amp;Q&amp;":"&amp;Q&amp;$C281&amp;Q&amp;","&amp;Q&amp;"sets"&amp;Q&amp;":"&amp;Q&amp;substitute(SUBSTITUTE($H281,"[",""),"]","")&amp;Q&amp;"},"</f>
        <v>"mvli":{"label":"Horrible","extra":"(frightening, awful) ","sets":"Junior 9+ (1st) &amp; (2nd)"},</v>
      </c>
      <c r="E281" s="9" t="str">
        <f t="shared" si="2"/>
        <v>data:image/svg+xml,%3csvg xmlns='http://www.w3.org/2000/svg' viewBox='0 0 24 216'%3e%3ctext fill='%23fff' style='font: 900 16px sans-serif' text-anchor='end' transform='matrix(0 -1 1 0 18 5)'%3eHorrible%3c/text%3e%3c/svg%3e</v>
      </c>
      <c r="F281" s="10" t="str">
        <f t="shared" si="3"/>
        <v>https://svgtext.heliohost.us/cgi-bin/gen.perl?text=Horrible</v>
      </c>
      <c r="G281" s="11" t="str">
        <f t="shared" si="4"/>
        <v>data:image/svg+xml,%3csvg xmlns='http://www.w3.org/2000/svg' viewBox='0 0 24 216'%3e%3ctext fill='%23fff' style='font: 900 16px sans-serif' text-anchor='end' transform='matrix(0 -1 1 0 18 5)'%3eHorrible%3c/text%3e%3c/svg%3e</v>
      </c>
      <c r="H281" s="8" t="s">
        <v>42</v>
      </c>
      <c r="I281" s="8">
        <f t="shared" ref="I281:J281" si="282">len(B281)</f>
        <v>8</v>
      </c>
      <c r="J281" s="8">
        <f t="shared" si="282"/>
        <v>21</v>
      </c>
      <c r="K281" s="8" t="s">
        <v>805</v>
      </c>
    </row>
    <row r="282">
      <c r="A282" s="7" t="b">
        <v>0</v>
      </c>
      <c r="B282" s="8" t="s">
        <v>806</v>
      </c>
      <c r="C282" s="8" t="s">
        <v>807</v>
      </c>
      <c r="D282" s="8" t="str">
        <f>Q&amp;$K282&amp;Q&amp;":{"&amp;Q&amp;$B$2&amp;Q&amp;":"&amp;Q&amp;$B282&amp;Q&amp;","&amp;Q&amp;$C$2&amp;Q&amp;":"&amp;Q&amp;$C282&amp;Q&amp;","&amp;Q&amp;"sets"&amp;Q&amp;":"&amp;Q&amp;substitute(SUBSTITUTE($H282,"[",""),"]","")&amp;Q&amp;"},"</f>
        <v>"xpuk":{"label":"Horrifying","extra":"(offensive, abominable, disgusting) ","sets":"Basic Set, Party Set"},</v>
      </c>
      <c r="E282" s="9" t="str">
        <f t="shared" si="2"/>
        <v>data:image/svg+xml,%3csvg xmlns='http://www.w3.org/2000/svg' viewBox='0 0 24 216'%3e%3ctext fill='%23fff' style='font: 900 16px sans-serif' text-anchor='end' transform='matrix(0 -1 1 0 18 5)'%3eHorrifying%3c/text%3e%3c/svg%3e</v>
      </c>
      <c r="F282" s="10" t="str">
        <f t="shared" si="3"/>
        <v>https://svgtext.heliohost.us/cgi-bin/gen.perl?text=Horrifying</v>
      </c>
      <c r="G282" s="11" t="str">
        <f t="shared" si="4"/>
        <v>data:image/svg+xml,%3csvg xmlns='http://www.w3.org/2000/svg' viewBox='0 0 24 216'%3e%3ctext fill='%23fff' style='font: 900 16px sans-serif' text-anchor='end' transform='matrix(0 -1 1 0 18 5)'%3eHorrifying%3c/text%3e%3c/svg%3e</v>
      </c>
      <c r="H282" s="8" t="s">
        <v>29</v>
      </c>
      <c r="I282" s="8">
        <f t="shared" ref="I282:J282" si="283">len(B282)</f>
        <v>10</v>
      </c>
      <c r="J282" s="8">
        <f t="shared" si="283"/>
        <v>36</v>
      </c>
      <c r="K282" s="8" t="s">
        <v>808</v>
      </c>
    </row>
    <row r="283">
      <c r="A283" s="7" t="b">
        <v>0</v>
      </c>
      <c r="B283" s="8" t="s">
        <v>809</v>
      </c>
      <c r="C283" s="8" t="s">
        <v>810</v>
      </c>
      <c r="D283" s="8" t="str">
        <f>Q&amp;$K283&amp;Q&amp;":{"&amp;Q&amp;$B$2&amp;Q&amp;":"&amp;Q&amp;$B283&amp;Q&amp;","&amp;Q&amp;$C$2&amp;Q&amp;":"&amp;Q&amp;$C283&amp;Q&amp;","&amp;Q&amp;"sets"&amp;Q&amp;":"&amp;Q&amp;substitute(SUBSTITUTE($H283,"[",""),"]","")&amp;Q&amp;"},"</f>
        <v>"zsgg":{"label":"Hostile","extra":"(antagonistic, aggressive, warlike) ","sets":"Basic Set, Party Set"},</v>
      </c>
      <c r="E283" s="9" t="str">
        <f t="shared" si="2"/>
        <v>data:image/svg+xml,%3csvg xmlns='http://www.w3.org/2000/svg' viewBox='0 0 24 216'%3e%3ctext fill='%23fff' style='font: 900 16px sans-serif' text-anchor='end' transform='matrix(0 -1 1 0 18 5)'%3eHostile%3c/text%3e%3c/svg%3e</v>
      </c>
      <c r="F283" s="10" t="str">
        <f t="shared" si="3"/>
        <v>https://svgtext.heliohost.us/cgi-bin/gen.perl?text=Hostile</v>
      </c>
      <c r="G283" s="11" t="str">
        <f t="shared" si="4"/>
        <v>data:image/svg+xml,%3csvg xmlns='http://www.w3.org/2000/svg' viewBox='0 0 24 216'%3e%3ctext fill='%23fff' style='font: 900 16px sans-serif' text-anchor='end' transform='matrix(0 -1 1 0 18 5)'%3eHostile%3c/text%3e%3c/svg%3e</v>
      </c>
      <c r="H283" s="8" t="s">
        <v>29</v>
      </c>
      <c r="I283" s="8">
        <f t="shared" ref="I283:J283" si="284">len(B283)</f>
        <v>7</v>
      </c>
      <c r="J283" s="8">
        <f t="shared" si="284"/>
        <v>36</v>
      </c>
      <c r="K283" s="8" t="s">
        <v>811</v>
      </c>
    </row>
    <row r="284">
      <c r="A284" s="7" t="b">
        <v>1</v>
      </c>
      <c r="B284" s="8" t="s">
        <v>812</v>
      </c>
      <c r="C284" s="8" t="s">
        <v>813</v>
      </c>
      <c r="D284" s="8" t="str">
        <f>Q&amp;$K284&amp;Q&amp;":{"&amp;Q&amp;$B$2&amp;Q&amp;":"&amp;Q&amp;$B284&amp;Q&amp;","&amp;Q&amp;$C$2&amp;Q&amp;":"&amp;Q&amp;$C284&amp;Q&amp;","&amp;Q&amp;"sets"&amp;Q&amp;":"&amp;Q&amp;substitute(SUBSTITUTE($H284,"[",""),"]","")&amp;Q&amp;"},"</f>
        <v>"lrpt":{"label":"Hot","extra":"(blazing, heated, spicy) ","sets":"Expansion Set 1, Party Set"},</v>
      </c>
      <c r="E284" s="9" t="str">
        <f t="shared" si="2"/>
        <v>data:image/svg+xml,%3csvg xmlns='http://www.w3.org/2000/svg' viewBox='0 0 24 216'%3e%3ctext fill='%23fff' style='font: 900 16px sans-serif' text-anchor='end' transform='matrix(0 -1 1 0 18 5)'%3eHot%3c/text%3e%3c/svg%3e</v>
      </c>
      <c r="F284" s="10" t="str">
        <f t="shared" si="3"/>
        <v>https://svgtext.heliohost.us/cgi-bin/gen.perl?text=Hot</v>
      </c>
      <c r="G284" s="11" t="str">
        <f t="shared" si="4"/>
        <v>data:image/svg+xml,%3csvg xmlns='http://www.w3.org/2000/svg' viewBox='0 0 24 216'%3e%3ctext fill='%23fff' style='font: 900 16px sans-serif' text-anchor='end' transform='matrix(0 -1 1 0 18 5)'%3eHot%3c/text%3e%3c/svg%3e</v>
      </c>
      <c r="H284" s="8" t="s">
        <v>25</v>
      </c>
      <c r="I284" s="8">
        <f t="shared" ref="I284:J284" si="285">len(B284)</f>
        <v>3</v>
      </c>
      <c r="J284" s="8">
        <f t="shared" si="285"/>
        <v>25</v>
      </c>
      <c r="K284" s="8" t="s">
        <v>814</v>
      </c>
    </row>
    <row r="285">
      <c r="A285" s="7" t="b">
        <v>0</v>
      </c>
      <c r="B285" s="8" t="s">
        <v>812</v>
      </c>
      <c r="C285" s="8" t="s">
        <v>815</v>
      </c>
      <c r="D285" s="8" t="str">
        <f>Q&amp;$K285&amp;Q&amp;":{"&amp;Q&amp;$B$2&amp;Q&amp;":"&amp;Q&amp;$B285&amp;Q&amp;","&amp;Q&amp;$C$2&amp;Q&amp;":"&amp;Q&amp;$C285&amp;Q&amp;","&amp;Q&amp;"sets"&amp;Q&amp;":"&amp;Q&amp;substitute(SUBSTITUTE($H285,"[",""),"]","")&amp;Q&amp;"},"</f>
        <v>"vmvj":{"label":"Hot","extra":"(very warm, heated) ","sets":"Junior"},</v>
      </c>
      <c r="E285" s="9" t="str">
        <f t="shared" si="2"/>
        <v>data:image/svg+xml,%3csvg xmlns='http://www.w3.org/2000/svg' viewBox='0 0 24 216'%3e%3ctext fill='%23fff' style='font: 900 16px sans-serif' text-anchor='end' transform='matrix(0 -1 1 0 18 5)'%3eHot%3c/text%3e%3c/svg%3e</v>
      </c>
      <c r="F285" s="10" t="str">
        <f t="shared" si="3"/>
        <v>https://svgtext.heliohost.us/cgi-bin/gen.perl?text=Hot</v>
      </c>
      <c r="G285" s="11" t="str">
        <f t="shared" si="4"/>
        <v>data:image/svg+xml,%3csvg xmlns='http://www.w3.org/2000/svg' viewBox='0 0 24 216'%3e%3ctext fill='%23fff' style='font: 900 16px sans-serif' text-anchor='end' transform='matrix(0 -1 1 0 18 5)'%3eHot%3c/text%3e%3c/svg%3e</v>
      </c>
      <c r="H285" s="8" t="s">
        <v>84</v>
      </c>
      <c r="I285" s="8">
        <f t="shared" ref="I285:J285" si="286">len(B285)</f>
        <v>3</v>
      </c>
      <c r="J285" s="8">
        <f t="shared" si="286"/>
        <v>20</v>
      </c>
      <c r="K285" s="8" t="s">
        <v>816</v>
      </c>
    </row>
    <row r="286">
      <c r="A286" s="7" t="b">
        <v>1</v>
      </c>
      <c r="B286" s="8" t="s">
        <v>817</v>
      </c>
      <c r="C286" s="8" t="s">
        <v>818</v>
      </c>
      <c r="D286" s="8" t="str">
        <f>Q&amp;$K286&amp;Q&amp;":{"&amp;Q&amp;$B$2&amp;Q&amp;":"&amp;Q&amp;$B286&amp;Q&amp;","&amp;Q&amp;$C$2&amp;Q&amp;":"&amp;Q&amp;$C286&amp;Q&amp;","&amp;Q&amp;"sets"&amp;Q&amp;":"&amp;Q&amp;substitute(SUBSTITUTE($H286,"[",""),"]","")&amp;Q&amp;"},"</f>
        <v>"yshe":{"label":"Hot &amp; Bothered","extra":"(annoyed, irritated, provoked) ","sets":"Expansion Set 4, Party Expansion 1"},</v>
      </c>
      <c r="E286" s="9" t="str">
        <f t="shared" si="2"/>
        <v>data:image/svg+xml,%3csvg xmlns='http://www.w3.org/2000/svg' viewBox='0 0 24 216'%3e%3ctext fill='%23fff' style='font: 900 16px sans-serif' text-anchor='end' transform='matrix(0 -1 1 0 18 5)'%3eHot %26amp%3B Bothered%3c/text%3e%3c/svg%3e</v>
      </c>
      <c r="F286" s="10" t="str">
        <f t="shared" si="3"/>
        <v>https://svgtext.heliohost.us/cgi-bin/gen.perl?text=Hot%20%26%20Bothered</v>
      </c>
      <c r="G286" s="11" t="str">
        <f t="shared" si="4"/>
        <v>data:image/svg+xml,%3csvg xmlns='http://www.w3.org/2000/svg' viewBox='0 0 24 216'%3e%3ctext fill='%23fff' style='font: 900 16px sans-serif' text-anchor='end' transform='matrix(0 -1 1 0 18 5)'%3eHot %26amp%3B Bothered%3c/text%3e%3c/svg%3e</v>
      </c>
      <c r="H286" s="8" t="s">
        <v>63</v>
      </c>
      <c r="I286" s="8">
        <f t="shared" ref="I286:J286" si="287">len(B286)</f>
        <v>14</v>
      </c>
      <c r="J286" s="8">
        <f t="shared" si="287"/>
        <v>31</v>
      </c>
      <c r="K286" s="8" t="s">
        <v>819</v>
      </c>
    </row>
    <row r="287">
      <c r="A287" s="7" t="b">
        <v>1</v>
      </c>
      <c r="B287" s="8" t="s">
        <v>820</v>
      </c>
      <c r="C287" s="8" t="s">
        <v>821</v>
      </c>
      <c r="D287" s="8" t="str">
        <f>Q&amp;$K287&amp;Q&amp;":{"&amp;Q&amp;$B$2&amp;Q&amp;":"&amp;Q&amp;$B287&amp;Q&amp;","&amp;Q&amp;$C$2&amp;Q&amp;":"&amp;Q&amp;$C287&amp;Q&amp;","&amp;Q&amp;"sets"&amp;Q&amp;":"&amp;Q&amp;substitute(SUBSTITUTE($H287,"[",""),"]","")&amp;Q&amp;"},"</f>
        <v>"lbyw":{"label":"Hot &amp; Cold","extra":"(ambivalent, indecisive, varying) ","sets":"Expansion Set 4, Party Expansion 1"},</v>
      </c>
      <c r="E287" s="9" t="str">
        <f t="shared" si="2"/>
        <v>data:image/svg+xml,%3csvg xmlns='http://www.w3.org/2000/svg' viewBox='0 0 24 216'%3e%3ctext fill='%23fff' style='font: 900 16px sans-serif' text-anchor='end' transform='matrix(0 -1 1 0 18 5)'%3eHot %26amp%3B Cold%3c/text%3e%3c/svg%3e</v>
      </c>
      <c r="F287" s="10" t="str">
        <f t="shared" si="3"/>
        <v>https://svgtext.heliohost.us/cgi-bin/gen.perl?text=Hot%20%26%20Cold</v>
      </c>
      <c r="G287" s="11" t="str">
        <f t="shared" si="4"/>
        <v>data:image/svg+xml,%3csvg xmlns='http://www.w3.org/2000/svg' viewBox='0 0 24 216'%3e%3ctext fill='%23fff' style='font: 900 16px sans-serif' text-anchor='end' transform='matrix(0 -1 1 0 18 5)'%3eHot %26amp%3B Cold%3c/text%3e%3c/svg%3e</v>
      </c>
      <c r="H287" s="8" t="s">
        <v>63</v>
      </c>
      <c r="I287" s="8">
        <f t="shared" ref="I287:J287" si="288">len(B287)</f>
        <v>10</v>
      </c>
      <c r="J287" s="8">
        <f t="shared" si="288"/>
        <v>34</v>
      </c>
      <c r="K287" s="8" t="s">
        <v>822</v>
      </c>
    </row>
    <row r="288">
      <c r="A288" s="7" t="b">
        <v>0</v>
      </c>
      <c r="B288" s="8" t="s">
        <v>823</v>
      </c>
      <c r="C288" s="8" t="s">
        <v>824</v>
      </c>
      <c r="D288" s="8" t="str">
        <f>Q&amp;$K288&amp;Q&amp;":{"&amp;Q&amp;$B$2&amp;Q&amp;":"&amp;Q&amp;$B288&amp;Q&amp;","&amp;Q&amp;$C$2&amp;Q&amp;":"&amp;Q&amp;$C288&amp;Q&amp;","&amp;Q&amp;"sets"&amp;Q&amp;":"&amp;Q&amp;substitute(SUBSTITUTE($H288,"[",""),"]","")&amp;Q&amp;"},"</f>
        <v>"ynyg":{"label":"Hot &amp; Heavy","extra":"(passionate, momentous, serious) ","sets":"Expansion Set 4, Party Expansion 1"},</v>
      </c>
      <c r="E288" s="9" t="str">
        <f t="shared" si="2"/>
        <v>data:image/svg+xml,%3csvg xmlns='http://www.w3.org/2000/svg' viewBox='0 0 24 216'%3e%3ctext fill='%23fff' style='font: 900 16px sans-serif' text-anchor='end' transform='matrix(0 -1 1 0 18 5)'%3eHot %26amp%3B Heavy%3c/text%3e%3c/svg%3e</v>
      </c>
      <c r="F288" s="10" t="str">
        <f t="shared" si="3"/>
        <v>https://svgtext.heliohost.us/cgi-bin/gen.perl?text=Hot%20%26%20Heavy</v>
      </c>
      <c r="G288" s="11" t="str">
        <f t="shared" si="4"/>
        <v>data:image/svg+xml,%3csvg xmlns='http://www.w3.org/2000/svg' viewBox='0 0 24 216'%3e%3ctext fill='%23fff' style='font: 900 16px sans-serif' text-anchor='end' transform='matrix(0 -1 1 0 18 5)'%3eHot %26amp%3B Heavy%3c/text%3e%3c/svg%3e</v>
      </c>
      <c r="H288" s="8" t="s">
        <v>63</v>
      </c>
      <c r="I288" s="8">
        <f t="shared" ref="I288:J288" si="289">len(B288)</f>
        <v>11</v>
      </c>
      <c r="J288" s="8">
        <f t="shared" si="289"/>
        <v>33</v>
      </c>
      <c r="K288" s="8" t="s">
        <v>825</v>
      </c>
    </row>
    <row r="289">
      <c r="A289" s="7" t="b">
        <v>1</v>
      </c>
      <c r="B289" s="8" t="s">
        <v>826</v>
      </c>
      <c r="C289" s="8" t="s">
        <v>827</v>
      </c>
      <c r="D289" s="8" t="str">
        <f>Q&amp;$K289&amp;Q&amp;":{"&amp;Q&amp;$B$2&amp;Q&amp;":"&amp;Q&amp;$B289&amp;Q&amp;","&amp;Q&amp;$C$2&amp;Q&amp;":"&amp;Q&amp;$C289&amp;Q&amp;","&amp;Q&amp;"sets"&amp;Q&amp;":"&amp;Q&amp;substitute(SUBSTITUTE($H289,"[",""),"]","")&amp;Q&amp;"},"</f>
        <v>"cdla":{"label":"Hot &amp; Muggy","extra":"(sultry, humid, oppressive) ","sets":"Expansion Set 4, Party Expansion 1"},</v>
      </c>
      <c r="E289" s="9" t="str">
        <f t="shared" si="2"/>
        <v>data:image/svg+xml,%3csvg xmlns='http://www.w3.org/2000/svg' viewBox='0 0 24 216'%3e%3ctext fill='%23fff' style='font: 900 16px sans-serif' text-anchor='end' transform='matrix(0 -1 1 0 18 5)'%3eHot %26amp%3B Muggy%3c/text%3e%3c/svg%3e</v>
      </c>
      <c r="F289" s="10" t="str">
        <f t="shared" si="3"/>
        <v>https://svgtext.heliohost.us/cgi-bin/gen.perl?text=Hot%20%26%20Muggy</v>
      </c>
      <c r="G289" s="11" t="str">
        <f t="shared" si="4"/>
        <v>data:image/svg+xml,%3csvg xmlns='http://www.w3.org/2000/svg' viewBox='0 0 24 216'%3e%3ctext fill='%23fff' style='font: 900 16px sans-serif' text-anchor='end' transform='matrix(0 -1 1 0 18 5)'%3eHot %26amp%3B Muggy%3c/text%3e%3c/svg%3e</v>
      </c>
      <c r="H289" s="8" t="s">
        <v>63</v>
      </c>
      <c r="I289" s="8">
        <f t="shared" ref="I289:J289" si="290">len(B289)</f>
        <v>11</v>
      </c>
      <c r="J289" s="8">
        <f t="shared" si="290"/>
        <v>28</v>
      </c>
      <c r="K289" s="8" t="s">
        <v>828</v>
      </c>
    </row>
    <row r="290">
      <c r="A290" s="7" t="b">
        <v>1</v>
      </c>
      <c r="B290" s="8" t="s">
        <v>829</v>
      </c>
      <c r="C290" s="8" t="s">
        <v>830</v>
      </c>
      <c r="D290" s="8" t="str">
        <f>Q&amp;$K290&amp;Q&amp;":{"&amp;Q&amp;$B$2&amp;Q&amp;":"&amp;Q&amp;$B290&amp;Q&amp;","&amp;Q&amp;$C$2&amp;Q&amp;":"&amp;Q&amp;$C290&amp;Q&amp;","&amp;Q&amp;"sets"&amp;Q&amp;":"&amp;Q&amp;substitute(SUBSTITUTE($H290,"[",""),"]","")&amp;Q&amp;"},"</f>
        <v>"kpzs":{"label":"Hot &amp; Spicy","extra":"(zesty, stimulating, pungent) ","sets":"Expansion Set 4, Party Expansion 1"},</v>
      </c>
      <c r="E290" s="9" t="str">
        <f t="shared" si="2"/>
        <v>data:image/svg+xml,%3csvg xmlns='http://www.w3.org/2000/svg' viewBox='0 0 24 216'%3e%3ctext fill='%23fff' style='font: 900 16px sans-serif' text-anchor='end' transform='matrix(0 -1 1 0 18 5)'%3eHot %26amp%3B Spicy%3c/text%3e%3c/svg%3e</v>
      </c>
      <c r="F290" s="10" t="str">
        <f t="shared" si="3"/>
        <v>https://svgtext.heliohost.us/cgi-bin/gen.perl?text=Hot%20%26%20Spicy</v>
      </c>
      <c r="G290" s="11" t="str">
        <f t="shared" si="4"/>
        <v>data:image/svg+xml,%3csvg xmlns='http://www.w3.org/2000/svg' viewBox='0 0 24 216'%3e%3ctext fill='%23fff' style='font: 900 16px sans-serif' text-anchor='end' transform='matrix(0 -1 1 0 18 5)'%3eHot %26amp%3B Spicy%3c/text%3e%3c/svg%3e</v>
      </c>
      <c r="H290" s="8" t="s">
        <v>63</v>
      </c>
      <c r="I290" s="8">
        <f t="shared" ref="I290:J290" si="291">len(B290)</f>
        <v>11</v>
      </c>
      <c r="J290" s="8">
        <f t="shared" si="291"/>
        <v>30</v>
      </c>
      <c r="K290" s="8" t="s">
        <v>831</v>
      </c>
    </row>
    <row r="291">
      <c r="A291" s="7" t="b">
        <v>1</v>
      </c>
      <c r="B291" s="8" t="s">
        <v>832</v>
      </c>
      <c r="C291" s="8" t="s">
        <v>833</v>
      </c>
      <c r="D291" s="8" t="str">
        <f>Q&amp;$K291&amp;Q&amp;":{"&amp;Q&amp;$B$2&amp;Q&amp;":"&amp;Q&amp;$B291&amp;Q&amp;","&amp;Q&amp;$C$2&amp;Q&amp;":"&amp;Q&amp;$C291&amp;Q&amp;","&amp;Q&amp;"sets"&amp;Q&amp;":"&amp;Q&amp;substitute(SUBSTITUTE($H291,"[",""),"]","")&amp;Q&amp;"},"</f>
        <v>"rwxi":{"label":"Hot &amp; Sweaty","extra":"(sweltering, intense, perspiring) ","sets":"Expansion Set 4, Party Expansion 1"},</v>
      </c>
      <c r="E291" s="9" t="str">
        <f t="shared" si="2"/>
        <v>data:image/svg+xml,%3csvg xmlns='http://www.w3.org/2000/svg' viewBox='0 0 24 216'%3e%3ctext fill='%23fff' style='font: 900 16px sans-serif' text-anchor='end' transform='matrix(0 -1 1 0 18 5)'%3eHot %26amp%3B Sweaty%3c/text%3e%3c/svg%3e</v>
      </c>
      <c r="F291" s="10" t="str">
        <f t="shared" si="3"/>
        <v>https://svgtext.heliohost.us/cgi-bin/gen.perl?text=Hot%20%26%20Sweaty</v>
      </c>
      <c r="G291" s="11" t="str">
        <f t="shared" si="4"/>
        <v>data:image/svg+xml,%3csvg xmlns='http://www.w3.org/2000/svg' viewBox='0 0 24 216'%3e%3ctext fill='%23fff' style='font: 900 16px sans-serif' text-anchor='end' transform='matrix(0 -1 1 0 18 5)'%3eHot %26amp%3B Sweaty%3c/text%3e%3c/svg%3e</v>
      </c>
      <c r="H291" s="8" t="s">
        <v>63</v>
      </c>
      <c r="I291" s="8">
        <f t="shared" ref="I291:J291" si="292">len(B291)</f>
        <v>12</v>
      </c>
      <c r="J291" s="8">
        <f t="shared" si="292"/>
        <v>34</v>
      </c>
      <c r="K291" s="8" t="s">
        <v>834</v>
      </c>
    </row>
    <row r="292">
      <c r="A292" s="7" t="b">
        <v>1</v>
      </c>
      <c r="B292" s="8" t="s">
        <v>835</v>
      </c>
      <c r="C292" s="8" t="s">
        <v>836</v>
      </c>
      <c r="D292" s="8" t="str">
        <f>Q&amp;$K292&amp;Q&amp;":{"&amp;Q&amp;$B$2&amp;Q&amp;":"&amp;Q&amp;$B292&amp;Q&amp;","&amp;Q&amp;$C$2&amp;Q&amp;":"&amp;Q&amp;$C292&amp;Q&amp;","&amp;Q&amp;"sets"&amp;Q&amp;":"&amp;Q&amp;substitute(SUBSTITUTE($H292,"[",""),"]","")&amp;Q&amp;"},"</f>
        <v>"kpen":{"label":"Huge","extra":"(gigantic, immense, important) ","sets":"Expansion Set 3, Party Expansion 1"},</v>
      </c>
      <c r="E292" s="9" t="str">
        <f t="shared" si="2"/>
        <v>data:image/svg+xml,%3csvg xmlns='http://www.w3.org/2000/svg' viewBox='0 0 24 216'%3e%3ctext fill='%23fff' style='font: 900 16px sans-serif' text-anchor='end' transform='matrix(0 -1 1 0 18 5)'%3eHuge%3c/text%3e%3c/svg%3e</v>
      </c>
      <c r="F292" s="10" t="str">
        <f t="shared" si="3"/>
        <v>https://svgtext.heliohost.us/cgi-bin/gen.perl?text=Huge</v>
      </c>
      <c r="G292" s="11" t="str">
        <f t="shared" si="4"/>
        <v>data:image/svg+xml,%3csvg xmlns='http://www.w3.org/2000/svg' viewBox='0 0 24 216'%3e%3ctext fill='%23fff' style='font: 900 16px sans-serif' text-anchor='end' transform='matrix(0 -1 1 0 18 5)'%3eHuge%3c/text%3e%3c/svg%3e</v>
      </c>
      <c r="H292" s="8" t="s">
        <v>39</v>
      </c>
      <c r="I292" s="8">
        <f t="shared" ref="I292:J292" si="293">len(B292)</f>
        <v>4</v>
      </c>
      <c r="J292" s="8">
        <f t="shared" si="293"/>
        <v>31</v>
      </c>
      <c r="K292" s="8" t="s">
        <v>837</v>
      </c>
    </row>
    <row r="293">
      <c r="A293" s="7" t="b">
        <v>0</v>
      </c>
      <c r="B293" s="8" t="s">
        <v>835</v>
      </c>
      <c r="C293" s="8" t="s">
        <v>838</v>
      </c>
      <c r="D293" s="8" t="str">
        <f>Q&amp;$K293&amp;Q&amp;":{"&amp;Q&amp;$B$2&amp;Q&amp;":"&amp;Q&amp;$B293&amp;Q&amp;","&amp;Q&amp;$C$2&amp;Q&amp;":"&amp;Q&amp;$C293&amp;Q&amp;","&amp;Q&amp;"sets"&amp;Q&amp;":"&amp;Q&amp;substitute(SUBSTITUTE($H293,"[",""),"]","")&amp;Q&amp;"},"</f>
        <v>"ddbb":{"label":"Huge","extra":"(big, large) ","sets":"Junior 9+ (1st) &amp; (2nd)"},</v>
      </c>
      <c r="E293" s="9" t="str">
        <f t="shared" si="2"/>
        <v>data:image/svg+xml,%3csvg xmlns='http://www.w3.org/2000/svg' viewBox='0 0 24 216'%3e%3ctext fill='%23fff' style='font: 900 16px sans-serif' text-anchor='end' transform='matrix(0 -1 1 0 18 5)'%3eHuge%3c/text%3e%3c/svg%3e</v>
      </c>
      <c r="F293" s="10" t="str">
        <f t="shared" si="3"/>
        <v>https://svgtext.heliohost.us/cgi-bin/gen.perl?text=Huge</v>
      </c>
      <c r="G293" s="11" t="str">
        <f t="shared" si="4"/>
        <v>data:image/svg+xml,%3csvg xmlns='http://www.w3.org/2000/svg' viewBox='0 0 24 216'%3e%3ctext fill='%23fff' style='font: 900 16px sans-serif' text-anchor='end' transform='matrix(0 -1 1 0 18 5)'%3eHuge%3c/text%3e%3c/svg%3e</v>
      </c>
      <c r="H293" s="8" t="s">
        <v>42</v>
      </c>
      <c r="I293" s="8">
        <f t="shared" ref="I293:J293" si="294">len(B293)</f>
        <v>4</v>
      </c>
      <c r="J293" s="8">
        <f t="shared" si="294"/>
        <v>13</v>
      </c>
      <c r="K293" s="8" t="s">
        <v>839</v>
      </c>
    </row>
    <row r="294">
      <c r="A294" s="7" t="b">
        <v>1</v>
      </c>
      <c r="B294" s="8" t="s">
        <v>840</v>
      </c>
      <c r="C294" s="8" t="s">
        <v>841</v>
      </c>
      <c r="D294" s="8" t="str">
        <f>Q&amp;$K294&amp;Q&amp;":{"&amp;Q&amp;$B$2&amp;Q&amp;":"&amp;Q&amp;$B294&amp;Q&amp;","&amp;Q&amp;$C$2&amp;Q&amp;":"&amp;Q&amp;$C294&amp;Q&amp;","&amp;Q&amp;"sets"&amp;Q&amp;":"&amp;Q&amp;substitute(SUBSTITUTE($H294,"[",""),"]","")&amp;Q&amp;"},"</f>
        <v>"ibyj":{"label":"Humorous","extra":"(funny, amusing, comical) ","sets":"Expansion Set 3, Party Expansion 1"},</v>
      </c>
      <c r="E294" s="9" t="str">
        <f t="shared" si="2"/>
        <v>data:image/svg+xml,%3csvg xmlns='http://www.w3.org/2000/svg' viewBox='0 0 24 216'%3e%3ctext fill='%23fff' style='font: 900 16px sans-serif' text-anchor='end' transform='matrix(0 -1 1 0 18 5)'%3eHumorous%3c/text%3e%3c/svg%3e</v>
      </c>
      <c r="F294" s="10" t="str">
        <f t="shared" si="3"/>
        <v>https://svgtext.heliohost.us/cgi-bin/gen.perl?text=Humorous</v>
      </c>
      <c r="G294" s="11" t="str">
        <f t="shared" si="4"/>
        <v>data:image/svg+xml,%3csvg xmlns='http://www.w3.org/2000/svg' viewBox='0 0 24 216'%3e%3ctext fill='%23fff' style='font: 900 16px sans-serif' text-anchor='end' transform='matrix(0 -1 1 0 18 5)'%3eHumorous%3c/text%3e%3c/svg%3e</v>
      </c>
      <c r="H294" s="8" t="s">
        <v>39</v>
      </c>
      <c r="I294" s="8">
        <f t="shared" ref="I294:J294" si="295">len(B294)</f>
        <v>8</v>
      </c>
      <c r="J294" s="8">
        <f t="shared" si="295"/>
        <v>26</v>
      </c>
      <c r="K294" s="8" t="s">
        <v>842</v>
      </c>
    </row>
    <row r="295">
      <c r="A295" s="7" t="b">
        <v>1</v>
      </c>
      <c r="B295" s="8" t="s">
        <v>843</v>
      </c>
      <c r="C295" s="8" t="s">
        <v>844</v>
      </c>
      <c r="D295" s="8" t="str">
        <f>Q&amp;$K295&amp;Q&amp;":{"&amp;Q&amp;$B$2&amp;Q&amp;":"&amp;Q&amp;$B295&amp;Q&amp;","&amp;Q&amp;$C$2&amp;Q&amp;":"&amp;Q&amp;$C295&amp;Q&amp;","&amp;Q&amp;"sets"&amp;Q&amp;":"&amp;Q&amp;substitute(SUBSTITUTE($H295,"[",""),"]","")&amp;Q&amp;"},"</f>
        <v>"nxfc":{"label":"Icky","extra":"(sickening, disgusting, repulsive) ","sets":"Expansion Set 3, Party Expansion 1"},</v>
      </c>
      <c r="E295" s="9" t="str">
        <f t="shared" si="2"/>
        <v>data:image/svg+xml,%3csvg xmlns='http://www.w3.org/2000/svg' viewBox='0 0 24 216'%3e%3ctext fill='%23fff' style='font: 900 16px sans-serif' text-anchor='end' transform='matrix(0 -1 1 0 18 5)'%3eIcky%3c/text%3e%3c/svg%3e</v>
      </c>
      <c r="F295" s="10" t="str">
        <f t="shared" si="3"/>
        <v>https://svgtext.heliohost.us/cgi-bin/gen.perl?text=Icky</v>
      </c>
      <c r="G295" s="11" t="str">
        <f t="shared" si="4"/>
        <v>data:image/svg+xml,%3csvg xmlns='http://www.w3.org/2000/svg' viewBox='0 0 24 216'%3e%3ctext fill='%23fff' style='font: 900 16px sans-serif' text-anchor='end' transform='matrix(0 -1 1 0 18 5)'%3eIcky%3c/text%3e%3c/svg%3e</v>
      </c>
      <c r="H295" s="8" t="s">
        <v>39</v>
      </c>
      <c r="I295" s="8">
        <f t="shared" ref="I295:J295" si="296">len(B295)</f>
        <v>4</v>
      </c>
      <c r="J295" s="8">
        <f t="shared" si="296"/>
        <v>35</v>
      </c>
      <c r="K295" s="8" t="s">
        <v>845</v>
      </c>
    </row>
    <row r="296">
      <c r="A296" s="7" t="b">
        <v>1</v>
      </c>
      <c r="B296" s="8" t="s">
        <v>846</v>
      </c>
      <c r="C296" s="8" t="s">
        <v>847</v>
      </c>
      <c r="D296" s="8" t="str">
        <f>Q&amp;$K296&amp;Q&amp;":{"&amp;Q&amp;$B$2&amp;Q&amp;":"&amp;Q&amp;$B296&amp;Q&amp;","&amp;Q&amp;$C$2&amp;Q&amp;":"&amp;Q&amp;$C296&amp;Q&amp;","&amp;Q&amp;"sets"&amp;Q&amp;":"&amp;Q&amp;substitute(SUBSTITUTE($H296,"[",""),"]","")&amp;Q&amp;"},"</f>
        <v>"gccn":{"label":"Ideal","extra":"(perfect, flawless, model) ","sets":"Expansion Set 3, Party Expansion 1"},</v>
      </c>
      <c r="E296" s="9" t="str">
        <f t="shared" si="2"/>
        <v>data:image/svg+xml,%3csvg xmlns='http://www.w3.org/2000/svg' viewBox='0 0 24 216'%3e%3ctext fill='%23fff' style='font: 900 16px sans-serif' text-anchor='end' transform='matrix(0 -1 1 0 18 5)'%3eIdeal%3c/text%3e%3c/svg%3e</v>
      </c>
      <c r="F296" s="10" t="str">
        <f t="shared" si="3"/>
        <v>https://svgtext.heliohost.us/cgi-bin/gen.perl?text=Ideal</v>
      </c>
      <c r="G296" s="11" t="str">
        <f t="shared" si="4"/>
        <v>data:image/svg+xml,%3csvg xmlns='http://www.w3.org/2000/svg' viewBox='0 0 24 216'%3e%3ctext fill='%23fff' style='font: 900 16px sans-serif' text-anchor='end' transform='matrix(0 -1 1 0 18 5)'%3eIdeal%3c/text%3e%3c/svg%3e</v>
      </c>
      <c r="H296" s="8" t="s">
        <v>39</v>
      </c>
      <c r="I296" s="8">
        <f t="shared" ref="I296:J296" si="297">len(B296)</f>
        <v>5</v>
      </c>
      <c r="J296" s="8">
        <f t="shared" si="297"/>
        <v>27</v>
      </c>
      <c r="K296" s="8" t="s">
        <v>848</v>
      </c>
    </row>
    <row r="297">
      <c r="A297" s="7" t="b">
        <v>0</v>
      </c>
      <c r="B297" s="8" t="s">
        <v>849</v>
      </c>
      <c r="C297" s="8" t="s">
        <v>850</v>
      </c>
      <c r="D297" s="8" t="str">
        <f>Q&amp;$K297&amp;Q&amp;":{"&amp;Q&amp;$B$2&amp;Q&amp;":"&amp;Q&amp;$B297&amp;Q&amp;","&amp;Q&amp;$C$2&amp;Q&amp;":"&amp;Q&amp;$C297&amp;Q&amp;","&amp;Q&amp;"sets"&amp;Q&amp;":"&amp;Q&amp;substitute(SUBSTITUTE($H297,"[",""),"]","")&amp;Q&amp;"},"</f>
        <v>"glrc":{"label":"Idiotic","extra":"(foolish, dumb, moronic) ","sets":"Basic Set, Party Set"},</v>
      </c>
      <c r="E297" s="9" t="str">
        <f t="shared" si="2"/>
        <v>data:image/svg+xml,%3csvg xmlns='http://www.w3.org/2000/svg' viewBox='0 0 24 216'%3e%3ctext fill='%23fff' style='font: 900 16px sans-serif' text-anchor='end' transform='matrix(0 -1 1 0 18 5)'%3eIdiotic%3c/text%3e%3c/svg%3e</v>
      </c>
      <c r="F297" s="10" t="str">
        <f t="shared" si="3"/>
        <v>https://svgtext.heliohost.us/cgi-bin/gen.perl?text=Idiotic</v>
      </c>
      <c r="G297" s="11" t="str">
        <f t="shared" si="4"/>
        <v>data:image/svg+xml,%3csvg xmlns='http://www.w3.org/2000/svg' viewBox='0 0 24 216'%3e%3ctext fill='%23fff' style='font: 900 16px sans-serif' text-anchor='end' transform='matrix(0 -1 1 0 18 5)'%3eIdiotic%3c/text%3e%3c/svg%3e</v>
      </c>
      <c r="H297" s="8" t="s">
        <v>29</v>
      </c>
      <c r="I297" s="8">
        <f t="shared" ref="I297:J297" si="298">len(B297)</f>
        <v>7</v>
      </c>
      <c r="J297" s="8">
        <f t="shared" si="298"/>
        <v>25</v>
      </c>
      <c r="K297" s="8" t="s">
        <v>851</v>
      </c>
    </row>
    <row r="298">
      <c r="A298" s="7" t="b">
        <v>0</v>
      </c>
      <c r="B298" s="8" t="s">
        <v>852</v>
      </c>
      <c r="C298" s="8" t="s">
        <v>853</v>
      </c>
      <c r="D298" s="8" t="str">
        <f>Q&amp;$K298&amp;Q&amp;":{"&amp;Q&amp;$B$2&amp;Q&amp;":"&amp;Q&amp;$B298&amp;Q&amp;","&amp;Q&amp;$C$2&amp;Q&amp;":"&amp;Q&amp;$C298&amp;Q&amp;","&amp;Q&amp;"sets"&amp;Q&amp;":"&amp;Q&amp;substitute(SUBSTITUTE($H298,"[",""),"]","")&amp;Q&amp;"},"</f>
        <v>"gneg":{"label":"Important","extra":"(significant, substantial, momentous) ","sets":"Basic Set, Party Set"},</v>
      </c>
      <c r="E298" s="9" t="str">
        <f t="shared" si="2"/>
        <v>data:image/svg+xml,%3csvg xmlns='http://www.w3.org/2000/svg' viewBox='0 0 24 216'%3e%3ctext fill='%23fff' style='font: 900 16px sans-serif' text-anchor='end' transform='matrix(0 -1 1 0 18 5)'%3eImportant%3c/text%3e%3c/svg%3e</v>
      </c>
      <c r="F298" s="10" t="str">
        <f t="shared" si="3"/>
        <v>https://svgtext.heliohost.us/cgi-bin/gen.perl?text=Important</v>
      </c>
      <c r="G298" s="11" t="str">
        <f t="shared" si="4"/>
        <v>data:image/svg+xml,%3csvg xmlns='http://www.w3.org/2000/svg' viewBox='0 0 24 216'%3e%3ctext fill='%23fff' style='font: 900 16px sans-serif' text-anchor='end' transform='matrix(0 -1 1 0 18 5)'%3eImportant%3c/text%3e%3c/svg%3e</v>
      </c>
      <c r="H298" s="8" t="s">
        <v>29</v>
      </c>
      <c r="I298" s="8">
        <f t="shared" ref="I298:J298" si="299">len(B298)</f>
        <v>9</v>
      </c>
      <c r="J298" s="8">
        <f t="shared" si="299"/>
        <v>38</v>
      </c>
      <c r="K298" s="8" t="s">
        <v>854</v>
      </c>
    </row>
    <row r="299">
      <c r="A299" s="7" t="b">
        <v>0</v>
      </c>
      <c r="B299" s="8" t="s">
        <v>852</v>
      </c>
      <c r="C299" s="8" t="s">
        <v>855</v>
      </c>
      <c r="D299" s="8" t="str">
        <f>Q&amp;$K299&amp;Q&amp;":{"&amp;Q&amp;$B$2&amp;Q&amp;":"&amp;Q&amp;$B299&amp;Q&amp;","&amp;Q&amp;$C$2&amp;Q&amp;":"&amp;Q&amp;$C299&amp;Q&amp;","&amp;Q&amp;"sets"&amp;Q&amp;":"&amp;Q&amp;substitute(SUBSTITUTE($H299,"[",""),"]","")&amp;Q&amp;"},"</f>
        <v>"jwoq":{"label":"Important","extra":"(valuable, worthwhile) ","sets":"Junior"},</v>
      </c>
      <c r="E299" s="9" t="str">
        <f t="shared" si="2"/>
        <v>data:image/svg+xml,%3csvg xmlns='http://www.w3.org/2000/svg' viewBox='0 0 24 216'%3e%3ctext fill='%23fff' style='font: 900 16px sans-serif' text-anchor='end' transform='matrix(0 -1 1 0 18 5)'%3eImportant%3c/text%3e%3c/svg%3e</v>
      </c>
      <c r="F299" s="10" t="str">
        <f t="shared" si="3"/>
        <v>https://svgtext.heliohost.us/cgi-bin/gen.perl?text=Important</v>
      </c>
      <c r="G299" s="11" t="str">
        <f t="shared" si="4"/>
        <v>data:image/svg+xml,%3csvg xmlns='http://www.w3.org/2000/svg' viewBox='0 0 24 216'%3e%3ctext fill='%23fff' style='font: 900 16px sans-serif' text-anchor='end' transform='matrix(0 -1 1 0 18 5)'%3eImportant%3c/text%3e%3c/svg%3e</v>
      </c>
      <c r="H299" s="8" t="s">
        <v>84</v>
      </c>
      <c r="I299" s="8">
        <f t="shared" ref="I299:J299" si="300">len(B299)</f>
        <v>9</v>
      </c>
      <c r="J299" s="8">
        <f t="shared" si="300"/>
        <v>23</v>
      </c>
      <c r="K299" s="8" t="s">
        <v>856</v>
      </c>
    </row>
    <row r="300">
      <c r="A300" s="7" t="b">
        <v>0</v>
      </c>
      <c r="B300" s="8" t="s">
        <v>857</v>
      </c>
      <c r="C300" s="8" t="s">
        <v>858</v>
      </c>
      <c r="D300" s="8" t="str">
        <f>Q&amp;$K300&amp;Q&amp;":{"&amp;Q&amp;$B$2&amp;Q&amp;":"&amp;Q&amp;$B300&amp;Q&amp;","&amp;Q&amp;$C$2&amp;Q&amp;":"&amp;Q&amp;$C300&amp;Q&amp;","&amp;Q&amp;"sets"&amp;Q&amp;":"&amp;Q&amp;substitute(SUBSTITUTE($H300,"[",""),"]","")&amp;Q&amp;"},"</f>
        <v>"xbed":{"label":"Industrious","extra":"(diligent, busy, hard-working) ","sets":"Basic Set, Party Set"},</v>
      </c>
      <c r="E300" s="9" t="str">
        <f t="shared" si="2"/>
        <v>data:image/svg+xml,%3csvg xmlns='http://www.w3.org/2000/svg' viewBox='0 0 24 216'%3e%3ctext fill='%23fff' style='font: 900 16px sans-serif' text-anchor='end' transform='matrix(0 -1 1 0 18 5)'%3eIndustrious%3c/text%3e%3c/svg%3e</v>
      </c>
      <c r="F300" s="10" t="str">
        <f t="shared" si="3"/>
        <v>https://svgtext.heliohost.us/cgi-bin/gen.perl?text=Industrious</v>
      </c>
      <c r="G300" s="11" t="str">
        <f t="shared" si="4"/>
        <v>data:image/svg+xml,%3csvg xmlns='http://www.w3.org/2000/svg' viewBox='0 0 24 216'%3e%3ctext fill='%23fff' style='font: 900 16px sans-serif' text-anchor='end' transform='matrix(0 -1 1 0 18 5)'%3eIndustrious%3c/text%3e%3c/svg%3e</v>
      </c>
      <c r="H300" s="8" t="s">
        <v>29</v>
      </c>
      <c r="I300" s="8">
        <f t="shared" ref="I300:J300" si="301">len(B300)</f>
        <v>11</v>
      </c>
      <c r="J300" s="8">
        <f t="shared" si="301"/>
        <v>31</v>
      </c>
      <c r="K300" s="8" t="s">
        <v>859</v>
      </c>
    </row>
    <row r="301">
      <c r="A301" s="7" t="b">
        <v>0</v>
      </c>
      <c r="B301" s="8" t="s">
        <v>860</v>
      </c>
      <c r="C301" s="8" t="s">
        <v>861</v>
      </c>
      <c r="D301" s="8" t="str">
        <f>Q&amp;$K301&amp;Q&amp;":{"&amp;Q&amp;$B$2&amp;Q&amp;":"&amp;Q&amp;$B301&amp;Q&amp;","&amp;Q&amp;$C$2&amp;Q&amp;":"&amp;Q&amp;$C301&amp;Q&amp;","&amp;Q&amp;"sets"&amp;Q&amp;":"&amp;Q&amp;substitute(SUBSTITUTE($H301,"[",""),"]","")&amp;Q&amp;"},"</f>
        <v>"jelm":{"label":"Influential","extra":"(powerful, prominent, important) ","sets":"Basic Set, Party Set"},</v>
      </c>
      <c r="E301" s="9" t="str">
        <f t="shared" si="2"/>
        <v>data:image/svg+xml,%3csvg xmlns='http://www.w3.org/2000/svg' viewBox='0 0 24 216'%3e%3ctext fill='%23fff' style='font: 900 16px sans-serif' text-anchor='end' transform='matrix(0 -1 1 0 18 5)'%3eInfluential%3c/text%3e%3c/svg%3e</v>
      </c>
      <c r="F301" s="10" t="str">
        <f t="shared" si="3"/>
        <v>https://svgtext.heliohost.us/cgi-bin/gen.perl?text=Influential</v>
      </c>
      <c r="G301" s="11" t="str">
        <f t="shared" si="4"/>
        <v>data:image/svg+xml,%3csvg xmlns='http://www.w3.org/2000/svg' viewBox='0 0 24 216'%3e%3ctext fill='%23fff' style='font: 900 16px sans-serif' text-anchor='end' transform='matrix(0 -1 1 0 18 5)'%3eInfluential%3c/text%3e%3c/svg%3e</v>
      </c>
      <c r="H301" s="8" t="s">
        <v>29</v>
      </c>
      <c r="I301" s="8">
        <f t="shared" ref="I301:J301" si="302">len(B301)</f>
        <v>11</v>
      </c>
      <c r="J301" s="8">
        <f t="shared" si="302"/>
        <v>33</v>
      </c>
      <c r="K301" s="8" t="s">
        <v>862</v>
      </c>
    </row>
    <row r="302">
      <c r="A302" s="7" t="b">
        <v>0</v>
      </c>
      <c r="B302" s="8" t="s">
        <v>863</v>
      </c>
      <c r="C302" s="8" t="s">
        <v>864</v>
      </c>
      <c r="D302" s="8" t="str">
        <f>Q&amp;$K302&amp;Q&amp;":{"&amp;Q&amp;$B$2&amp;Q&amp;":"&amp;Q&amp;$B302&amp;Q&amp;","&amp;Q&amp;$C$2&amp;Q&amp;":"&amp;Q&amp;$C302&amp;Q&amp;","&amp;Q&amp;"sets"&amp;Q&amp;":"&amp;Q&amp;substitute(SUBSTITUTE($H302,"[",""),"]","")&amp;Q&amp;"},"</f>
        <v>"uqzl":{"label":"Innocent","extra":"(guiltless, pure, naive) ","sets":"Expansion Set 2, Party Set"},</v>
      </c>
      <c r="E302" s="9" t="str">
        <f t="shared" si="2"/>
        <v>data:image/svg+xml,%3csvg xmlns='http://www.w3.org/2000/svg' viewBox='0 0 24 216'%3e%3ctext fill='%23fff' style='font: 900 16px sans-serif' text-anchor='end' transform='matrix(0 -1 1 0 18 5)'%3eInnocent%3c/text%3e%3c/svg%3e</v>
      </c>
      <c r="F302" s="10" t="str">
        <f t="shared" si="3"/>
        <v>https://svgtext.heliohost.us/cgi-bin/gen.perl?text=Innocent</v>
      </c>
      <c r="G302" s="11" t="str">
        <f t="shared" si="4"/>
        <v>data:image/svg+xml,%3csvg xmlns='http://www.w3.org/2000/svg' viewBox='0 0 24 216'%3e%3ctext fill='%23fff' style='font: 900 16px sans-serif' text-anchor='end' transform='matrix(0 -1 1 0 18 5)'%3eInnocent%3c/text%3e%3c/svg%3e</v>
      </c>
      <c r="H302" s="8" t="s">
        <v>17</v>
      </c>
      <c r="I302" s="8">
        <f t="shared" ref="I302:J302" si="303">len(B302)</f>
        <v>8</v>
      </c>
      <c r="J302" s="8">
        <f t="shared" si="303"/>
        <v>25</v>
      </c>
      <c r="K302" s="8" t="s">
        <v>865</v>
      </c>
    </row>
    <row r="303">
      <c r="A303" s="7" t="b">
        <v>0</v>
      </c>
      <c r="B303" s="8" t="s">
        <v>866</v>
      </c>
      <c r="C303" s="8" t="s">
        <v>867</v>
      </c>
      <c r="D303" s="8" t="str">
        <f>Q&amp;$K303&amp;Q&amp;":{"&amp;Q&amp;$B$2&amp;Q&amp;":"&amp;Q&amp;$B303&amp;Q&amp;","&amp;Q&amp;$C$2&amp;Q&amp;":"&amp;Q&amp;$C303&amp;Q&amp;","&amp;Q&amp;"sets"&amp;Q&amp;":"&amp;Q&amp;substitute(SUBSTITUTE($H303,"[",""),"]","")&amp;Q&amp;"},"</f>
        <v>"xjpp":{"label":"Insane","extra":"(psychotic, deranged, mad) ","sets":"Expansion Set 2, Party Set"},</v>
      </c>
      <c r="E303" s="9" t="str">
        <f t="shared" si="2"/>
        <v>data:image/svg+xml,%3csvg xmlns='http://www.w3.org/2000/svg' viewBox='0 0 24 216'%3e%3ctext fill='%23fff' style='font: 900 16px sans-serif' text-anchor='end' transform='matrix(0 -1 1 0 18 5)'%3eInsane%3c/text%3e%3c/svg%3e</v>
      </c>
      <c r="F303" s="10" t="str">
        <f t="shared" si="3"/>
        <v>https://svgtext.heliohost.us/cgi-bin/gen.perl?text=Insane</v>
      </c>
      <c r="G303" s="11" t="str">
        <f t="shared" si="4"/>
        <v>data:image/svg+xml,%3csvg xmlns='http://www.w3.org/2000/svg' viewBox='0 0 24 216'%3e%3ctext fill='%23fff' style='font: 900 16px sans-serif' text-anchor='end' transform='matrix(0 -1 1 0 18 5)'%3eInsane%3c/text%3e%3c/svg%3e</v>
      </c>
      <c r="H303" s="8" t="s">
        <v>17</v>
      </c>
      <c r="I303" s="8">
        <f t="shared" ref="I303:J303" si="304">len(B303)</f>
        <v>6</v>
      </c>
      <c r="J303" s="8">
        <f t="shared" si="304"/>
        <v>27</v>
      </c>
      <c r="K303" s="8" t="s">
        <v>868</v>
      </c>
    </row>
    <row r="304">
      <c r="A304" s="7" t="b">
        <v>1</v>
      </c>
      <c r="B304" s="8" t="s">
        <v>869</v>
      </c>
      <c r="C304" s="8" t="s">
        <v>870</v>
      </c>
      <c r="D304" s="8" t="str">
        <f>Q&amp;$K304&amp;Q&amp;":{"&amp;Q&amp;$B$2&amp;Q&amp;":"&amp;Q&amp;$B304&amp;Q&amp;","&amp;Q&amp;$C$2&amp;Q&amp;":"&amp;Q&amp;$C304&amp;Q&amp;","&amp;Q&amp;"sets"&amp;Q&amp;":"&amp;Q&amp;substitute(SUBSTITUTE($H304,"[",""),"]","")&amp;Q&amp;"},"</f>
        <v>"jlfe":{"label":"Inspirational","extra":"(exhilarating, inspiring, stimulating) ","sets":"Basic Set, Party Set"},</v>
      </c>
      <c r="E304" s="9" t="str">
        <f t="shared" si="2"/>
        <v>data:image/svg+xml,%3csvg xmlns='http://www.w3.org/2000/svg' viewBox='0 0 24 216'%3e%3ctext fill='%23fff' style='font: 900 16px sans-serif' text-anchor='end' transform='matrix(0 -1 1 0 18 5)'%3eInspirational%3c/text%3e%3c/svg%3e</v>
      </c>
      <c r="F304" s="10" t="str">
        <f t="shared" si="3"/>
        <v>https://svgtext.heliohost.us/cgi-bin/gen.perl?text=Inspirational</v>
      </c>
      <c r="G304" s="11" t="str">
        <f t="shared" si="4"/>
        <v>data:image/svg+xml,%3csvg xmlns='http://www.w3.org/2000/svg' viewBox='0 0 24 216'%3e%3ctext fill='%23fff' style='font: 900 16px sans-serif' text-anchor='end' transform='matrix(0 -1 1 0 18 5)'%3eInspirational%3c/text%3e%3c/svg%3e</v>
      </c>
      <c r="H304" s="8" t="s">
        <v>29</v>
      </c>
      <c r="I304" s="8">
        <f t="shared" ref="I304:J304" si="305">len(B304)</f>
        <v>13</v>
      </c>
      <c r="J304" s="8">
        <f t="shared" si="305"/>
        <v>39</v>
      </c>
      <c r="K304" s="8" t="s">
        <v>871</v>
      </c>
    </row>
    <row r="305">
      <c r="A305" s="7" t="b">
        <v>0</v>
      </c>
      <c r="B305" s="8" t="s">
        <v>872</v>
      </c>
      <c r="C305" s="8" t="s">
        <v>873</v>
      </c>
      <c r="D305" s="8" t="str">
        <f>Q&amp;$K305&amp;Q&amp;":{"&amp;Q&amp;$B$2&amp;Q&amp;":"&amp;Q&amp;$B305&amp;Q&amp;","&amp;Q&amp;$C$2&amp;Q&amp;":"&amp;Q&amp;$C305&amp;Q&amp;","&amp;Q&amp;"sets"&amp;Q&amp;":"&amp;Q&amp;substitute(SUBSTITUTE($H305,"[",""),"]","")&amp;Q&amp;"},"</f>
        <v>"auku":{"label":"Insulting","extra":"(offending, discourteous, rude) ","sets":"Expansion Set 2, Party Set"},</v>
      </c>
      <c r="E305" s="9" t="str">
        <f t="shared" si="2"/>
        <v>data:image/svg+xml,%3csvg xmlns='http://www.w3.org/2000/svg' viewBox='0 0 24 216'%3e%3ctext fill='%23fff' style='font: 900 16px sans-serif' text-anchor='end' transform='matrix(0 -1 1 0 18 5)'%3eInsulting%3c/text%3e%3c/svg%3e</v>
      </c>
      <c r="F305" s="10" t="str">
        <f t="shared" si="3"/>
        <v>https://svgtext.heliohost.us/cgi-bin/gen.perl?text=Insulting</v>
      </c>
      <c r="G305" s="11" t="str">
        <f t="shared" si="4"/>
        <v>data:image/svg+xml,%3csvg xmlns='http://www.w3.org/2000/svg' viewBox='0 0 24 216'%3e%3ctext fill='%23fff' style='font: 900 16px sans-serif' text-anchor='end' transform='matrix(0 -1 1 0 18 5)'%3eInsulting%3c/text%3e%3c/svg%3e</v>
      </c>
      <c r="H305" s="8" t="s">
        <v>17</v>
      </c>
      <c r="I305" s="8">
        <f t="shared" ref="I305:J305" si="306">len(B305)</f>
        <v>9</v>
      </c>
      <c r="J305" s="8">
        <f t="shared" si="306"/>
        <v>32</v>
      </c>
      <c r="K305" s="8" t="s">
        <v>874</v>
      </c>
    </row>
    <row r="306">
      <c r="A306" s="7" t="b">
        <v>0</v>
      </c>
      <c r="B306" s="8" t="s">
        <v>875</v>
      </c>
      <c r="C306" s="8" t="s">
        <v>876</v>
      </c>
      <c r="D306" s="8" t="str">
        <f>Q&amp;$K306&amp;Q&amp;":{"&amp;Q&amp;$B$2&amp;Q&amp;":"&amp;Q&amp;$B306&amp;Q&amp;","&amp;Q&amp;$C$2&amp;Q&amp;":"&amp;Q&amp;$C306&amp;Q&amp;","&amp;Q&amp;"sets"&amp;Q&amp;":"&amp;Q&amp;substitute(SUBSTITUTE($H306,"[",""),"]","")&amp;Q&amp;"},"</f>
        <v>"kksh":{"label":"Intelligent","extra":"(bright, smart, brainy) ","sets":"Expansion Set 1, Party Set"},</v>
      </c>
      <c r="E306" s="9" t="str">
        <f t="shared" si="2"/>
        <v>data:image/svg+xml,%3csvg xmlns='http://www.w3.org/2000/svg' viewBox='0 0 24 216'%3e%3ctext fill='%23fff' style='font: 900 16px sans-serif' text-anchor='end' transform='matrix(0 -1 1 0 18 5)'%3eIntelligent%3c/text%3e%3c/svg%3e</v>
      </c>
      <c r="F306" s="10" t="str">
        <f t="shared" si="3"/>
        <v>https://svgtext.heliohost.us/cgi-bin/gen.perl?text=Intelligent</v>
      </c>
      <c r="G306" s="11" t="str">
        <f t="shared" si="4"/>
        <v>data:image/svg+xml,%3csvg xmlns='http://www.w3.org/2000/svg' viewBox='0 0 24 216'%3e%3ctext fill='%23fff' style='font: 900 16px sans-serif' text-anchor='end' transform='matrix(0 -1 1 0 18 5)'%3eIntelligent%3c/text%3e%3c/svg%3e</v>
      </c>
      <c r="H306" s="8" t="s">
        <v>25</v>
      </c>
      <c r="I306" s="8">
        <f t="shared" ref="I306:J306" si="307">len(B306)</f>
        <v>11</v>
      </c>
      <c r="J306" s="8">
        <f t="shared" si="307"/>
        <v>24</v>
      </c>
      <c r="K306" s="8" t="s">
        <v>877</v>
      </c>
    </row>
    <row r="307">
      <c r="A307" s="7" t="b">
        <v>0</v>
      </c>
      <c r="B307" s="8" t="s">
        <v>878</v>
      </c>
      <c r="C307" s="8" t="s">
        <v>879</v>
      </c>
      <c r="D307" s="8" t="str">
        <f>Q&amp;$K307&amp;Q&amp;":{"&amp;Q&amp;$B$2&amp;Q&amp;":"&amp;Q&amp;$B307&amp;Q&amp;","&amp;Q&amp;$C$2&amp;Q&amp;":"&amp;Q&amp;$C307&amp;Q&amp;","&amp;Q&amp;"sets"&amp;Q&amp;":"&amp;Q&amp;substitute(SUBSTITUTE($H307,"[",""),"]","")&amp;Q&amp;"},"</f>
        <v>"dwek":{"label":"Intense","extra":"(extreme, passionate, strained) ","sets":"Expansion Set 1, Party Set"},</v>
      </c>
      <c r="E307" s="9" t="str">
        <f t="shared" si="2"/>
        <v>data:image/svg+xml,%3csvg xmlns='http://www.w3.org/2000/svg' viewBox='0 0 24 216'%3e%3ctext fill='%23fff' style='font: 900 16px sans-serif' text-anchor='end' transform='matrix(0 -1 1 0 18 5)'%3eIntense%3c/text%3e%3c/svg%3e</v>
      </c>
      <c r="F307" s="10" t="str">
        <f t="shared" si="3"/>
        <v>https://svgtext.heliohost.us/cgi-bin/gen.perl?text=Intense</v>
      </c>
      <c r="G307" s="11" t="str">
        <f t="shared" si="4"/>
        <v>data:image/svg+xml,%3csvg xmlns='http://www.w3.org/2000/svg' viewBox='0 0 24 216'%3e%3ctext fill='%23fff' style='font: 900 16px sans-serif' text-anchor='end' transform='matrix(0 -1 1 0 18 5)'%3eIntense%3c/text%3e%3c/svg%3e</v>
      </c>
      <c r="H307" s="8" t="s">
        <v>25</v>
      </c>
      <c r="I307" s="8">
        <f t="shared" ref="I307:J307" si="308">len(B307)</f>
        <v>7</v>
      </c>
      <c r="J307" s="8">
        <f t="shared" si="308"/>
        <v>32</v>
      </c>
      <c r="K307" s="8" t="s">
        <v>880</v>
      </c>
    </row>
    <row r="308">
      <c r="A308" s="7" t="b">
        <v>1</v>
      </c>
      <c r="B308" s="8" t="s">
        <v>881</v>
      </c>
      <c r="C308" s="8" t="s">
        <v>882</v>
      </c>
      <c r="D308" s="8" t="str">
        <f>Q&amp;$K308&amp;Q&amp;":{"&amp;Q&amp;$B$2&amp;Q&amp;":"&amp;Q&amp;$B308&amp;Q&amp;","&amp;Q&amp;$C$2&amp;Q&amp;":"&amp;Q&amp;$C308&amp;Q&amp;","&amp;Q&amp;"sets"&amp;Q&amp;":"&amp;Q&amp;substitute(SUBSTITUTE($H308,"[",""),"]","")&amp;Q&amp;"},"</f>
        <v>"ndhj":{"label":"Interesting","extra":"(fascinating, exciting) ","sets":"Junior 9+ (2nd)"},</v>
      </c>
      <c r="E308" s="9" t="str">
        <f t="shared" si="2"/>
        <v>data:image/svg+xml,%3csvg xmlns='http://www.w3.org/2000/svg' viewBox='0 0 24 216'%3e%3ctext fill='%23fff' style='font: 900 16px sans-serif' text-anchor='end' transform='matrix(0 -1 1 0 18 5)'%3eInteresting%3c/text%3e%3c/svg%3e</v>
      </c>
      <c r="F308" s="10" t="str">
        <f t="shared" si="3"/>
        <v>https://svgtext.heliohost.us/cgi-bin/gen.perl?text=Interesting</v>
      </c>
      <c r="G308" s="11" t="str">
        <f t="shared" si="4"/>
        <v>data:image/svg+xml,%3csvg xmlns='http://www.w3.org/2000/svg' viewBox='0 0 24 216'%3e%3ctext fill='%23fff' style='font: 900 16px sans-serif' text-anchor='end' transform='matrix(0 -1 1 0 18 5)'%3eInteresting%3c/text%3e%3c/svg%3e</v>
      </c>
      <c r="H308" s="8" t="s">
        <v>32</v>
      </c>
      <c r="I308" s="8">
        <f t="shared" ref="I308:J308" si="309">len(B308)</f>
        <v>11</v>
      </c>
      <c r="J308" s="8">
        <f t="shared" si="309"/>
        <v>24</v>
      </c>
      <c r="K308" s="8" t="s">
        <v>883</v>
      </c>
    </row>
    <row r="309">
      <c r="A309" s="7" t="b">
        <v>0</v>
      </c>
      <c r="B309" s="8" t="s">
        <v>884</v>
      </c>
      <c r="C309" s="8" t="s">
        <v>885</v>
      </c>
      <c r="D309" s="8" t="str">
        <f>Q&amp;$K309&amp;Q&amp;":{"&amp;Q&amp;$B$2&amp;Q&amp;":"&amp;Q&amp;$B309&amp;Q&amp;","&amp;Q&amp;$C$2&amp;Q&amp;":"&amp;Q&amp;$C309&amp;Q&amp;","&amp;Q&amp;"sets"&amp;Q&amp;":"&amp;Q&amp;substitute(SUBSTITUTE($H309,"[",""),"]","")&amp;Q&amp;"},"</f>
        <v>"wwfv":{"label":"Irresistible","extra":"(overpowering, overwhelming, compelling) ","sets":"Expansion Set 2, Party Set"},</v>
      </c>
      <c r="E309" s="9" t="str">
        <f t="shared" si="2"/>
        <v>data:image/svg+xml,%3csvg xmlns='http://www.w3.org/2000/svg' viewBox='0 0 24 216'%3e%3ctext fill='%23fff' style='font: 900 16px sans-serif' text-anchor='end' transform='matrix(0 -1 1 0 18 5)'%3eIrresistible%3c/text%3e%3c/svg%3e</v>
      </c>
      <c r="F309" s="10" t="str">
        <f t="shared" si="3"/>
        <v>https://svgtext.heliohost.us/cgi-bin/gen.perl?text=Irresistible</v>
      </c>
      <c r="G309" s="11" t="str">
        <f t="shared" si="4"/>
        <v>data:image/svg+xml,%3csvg xmlns='http://www.w3.org/2000/svg' viewBox='0 0 24 216'%3e%3ctext fill='%23fff' style='font: 900 16px sans-serif' text-anchor='end' transform='matrix(0 -1 1 0 18 5)'%3eIrresistible%3c/text%3e%3c/svg%3e</v>
      </c>
      <c r="H309" s="8" t="s">
        <v>17</v>
      </c>
      <c r="I309" s="8">
        <f t="shared" ref="I309:J309" si="310">len(B309)</f>
        <v>12</v>
      </c>
      <c r="J309" s="8">
        <f t="shared" si="310"/>
        <v>41</v>
      </c>
      <c r="K309" s="8" t="s">
        <v>886</v>
      </c>
    </row>
    <row r="310">
      <c r="A310" s="7" t="b">
        <v>0</v>
      </c>
      <c r="B310" s="8" t="s">
        <v>887</v>
      </c>
      <c r="C310" s="8" t="s">
        <v>888</v>
      </c>
      <c r="D310" s="8" t="str">
        <f>Q&amp;$K310&amp;Q&amp;":{"&amp;Q&amp;$B$2&amp;Q&amp;":"&amp;Q&amp;$B310&amp;Q&amp;","&amp;Q&amp;$C$2&amp;Q&amp;":"&amp;Q&amp;$C310&amp;Q&amp;","&amp;Q&amp;"sets"&amp;Q&amp;":"&amp;Q&amp;substitute(SUBSTITUTE($H310,"[",""),"]","")&amp;Q&amp;"},"</f>
        <v>"dwsv":{"label":"Irritating","extra":"(annoying, troublesome, provoking) ","sets":"Expansion Set 1, Party Set"},</v>
      </c>
      <c r="E310" s="9" t="str">
        <f t="shared" si="2"/>
        <v>data:image/svg+xml,%3csvg xmlns='http://www.w3.org/2000/svg' viewBox='0 0 24 216'%3e%3ctext fill='%23fff' style='font: 900 16px sans-serif' text-anchor='end' transform='matrix(0 -1 1 0 18 5)'%3eIrritating%3c/text%3e%3c/svg%3e</v>
      </c>
      <c r="F310" s="10" t="str">
        <f t="shared" si="3"/>
        <v>https://svgtext.heliohost.us/cgi-bin/gen.perl?text=Irritating</v>
      </c>
      <c r="G310" s="11" t="str">
        <f t="shared" si="4"/>
        <v>data:image/svg+xml,%3csvg xmlns='http://www.w3.org/2000/svg' viewBox='0 0 24 216'%3e%3ctext fill='%23fff' style='font: 900 16px sans-serif' text-anchor='end' transform='matrix(0 -1 1 0 18 5)'%3eIrritating%3c/text%3e%3c/svg%3e</v>
      </c>
      <c r="H310" s="8" t="s">
        <v>25</v>
      </c>
      <c r="I310" s="8">
        <f t="shared" ref="I310:J310" si="311">len(B310)</f>
        <v>10</v>
      </c>
      <c r="J310" s="8">
        <f t="shared" si="311"/>
        <v>35</v>
      </c>
      <c r="K310" s="8" t="s">
        <v>889</v>
      </c>
    </row>
    <row r="311">
      <c r="A311" s="7" t="b">
        <v>1</v>
      </c>
      <c r="B311" s="8" t="s">
        <v>890</v>
      </c>
      <c r="C311" s="8" t="s">
        <v>891</v>
      </c>
      <c r="D311" s="8" t="str">
        <f>Q&amp;$K311&amp;Q&amp;":{"&amp;Q&amp;$B$2&amp;Q&amp;":"&amp;Q&amp;$B311&amp;Q&amp;","&amp;Q&amp;$C$2&amp;Q&amp;":"&amp;Q&amp;$C311&amp;Q&amp;","&amp;Q&amp;"sets"&amp;Q&amp;":"&amp;Q&amp;substitute(SUBSTITUTE($H311,"[",""),"]","")&amp;Q&amp;"},"</f>
        <v>"oxna":{"label":"Jolly","extra":"(cheerful, joyous, merry) ","sets":"Expansion Set 3, Party Expansion 1"},</v>
      </c>
      <c r="E311" s="9" t="str">
        <f t="shared" si="2"/>
        <v>data:image/svg+xml,%3csvg xmlns='http://www.w3.org/2000/svg' viewBox='0 0 24 216'%3e%3ctext fill='%23fff' style='font: 900 16px sans-serif' text-anchor='end' transform='matrix(0 -1 1 0 18 5)'%3eJolly%3c/text%3e%3c/svg%3e</v>
      </c>
      <c r="F311" s="10" t="str">
        <f t="shared" si="3"/>
        <v>https://svgtext.heliohost.us/cgi-bin/gen.perl?text=Jolly</v>
      </c>
      <c r="G311" s="11" t="str">
        <f t="shared" si="4"/>
        <v>data:image/svg+xml,%3csvg xmlns='http://www.w3.org/2000/svg' viewBox='0 0 24 216'%3e%3ctext fill='%23fff' style='font: 900 16px sans-serif' text-anchor='end' transform='matrix(0 -1 1 0 18 5)'%3eJolly%3c/text%3e%3c/svg%3e</v>
      </c>
      <c r="H311" s="8" t="s">
        <v>39</v>
      </c>
      <c r="I311" s="8">
        <f t="shared" ref="I311:J311" si="312">len(B311)</f>
        <v>5</v>
      </c>
      <c r="J311" s="8">
        <f t="shared" si="312"/>
        <v>26</v>
      </c>
      <c r="K311" s="8" t="s">
        <v>892</v>
      </c>
    </row>
    <row r="312">
      <c r="A312" s="7" t="b">
        <v>0</v>
      </c>
      <c r="B312" s="8" t="s">
        <v>890</v>
      </c>
      <c r="C312" s="8" t="s">
        <v>893</v>
      </c>
      <c r="D312" s="8" t="str">
        <f>Q&amp;$K312&amp;Q&amp;":{"&amp;Q&amp;$B$2&amp;Q&amp;":"&amp;Q&amp;$B312&amp;Q&amp;","&amp;Q&amp;$C$2&amp;Q&amp;":"&amp;Q&amp;$C312&amp;Q&amp;","&amp;Q&amp;"sets"&amp;Q&amp;":"&amp;Q&amp;substitute(SUBSTITUTE($H312,"[",""),"]","")&amp;Q&amp;"},"</f>
        <v>"lgqk":{"label":"Jolly","extra":"(cheerful, fun) ","sets":"Junior"},</v>
      </c>
      <c r="E312" s="9" t="str">
        <f t="shared" si="2"/>
        <v>data:image/svg+xml,%3csvg xmlns='http://www.w3.org/2000/svg' viewBox='0 0 24 216'%3e%3ctext fill='%23fff' style='font: 900 16px sans-serif' text-anchor='end' transform='matrix(0 -1 1 0 18 5)'%3eJolly%3c/text%3e%3c/svg%3e</v>
      </c>
      <c r="F312" s="10" t="str">
        <f t="shared" si="3"/>
        <v>https://svgtext.heliohost.us/cgi-bin/gen.perl?text=Jolly</v>
      </c>
      <c r="G312" s="11" t="str">
        <f t="shared" si="4"/>
        <v>data:image/svg+xml,%3csvg xmlns='http://www.w3.org/2000/svg' viewBox='0 0 24 216'%3e%3ctext fill='%23fff' style='font: 900 16px sans-serif' text-anchor='end' transform='matrix(0 -1 1 0 18 5)'%3eJolly%3c/text%3e%3c/svg%3e</v>
      </c>
      <c r="H312" s="8" t="s">
        <v>84</v>
      </c>
      <c r="I312" s="8">
        <f t="shared" ref="I312:J312" si="313">len(B312)</f>
        <v>5</v>
      </c>
      <c r="J312" s="8">
        <f t="shared" si="313"/>
        <v>16</v>
      </c>
      <c r="K312" s="8" t="s">
        <v>894</v>
      </c>
    </row>
    <row r="313">
      <c r="A313" s="7" t="b">
        <v>1</v>
      </c>
      <c r="B313" s="8" t="s">
        <v>895</v>
      </c>
      <c r="C313" s="8" t="s">
        <v>896</v>
      </c>
      <c r="D313" s="8" t="str">
        <f>Q&amp;$K313&amp;Q&amp;":{"&amp;Q&amp;$B$2&amp;Q&amp;":"&amp;Q&amp;$B313&amp;Q&amp;","&amp;Q&amp;$C$2&amp;Q&amp;":"&amp;Q&amp;$C313&amp;Q&amp;","&amp;Q&amp;"sets"&amp;Q&amp;":"&amp;Q&amp;substitute(SUBSTITUTE($H313,"[",""),"]","")&amp;Q&amp;"},"</f>
        <v>"yhhz":{"label":"Juicy","extra":"(drippy, luscious, tantalizing) ","sets":"Expansion Set 1, Party Set"},</v>
      </c>
      <c r="E313" s="9" t="str">
        <f t="shared" si="2"/>
        <v>data:image/svg+xml,%3csvg xmlns='http://www.w3.org/2000/svg' viewBox='0 0 24 216'%3e%3ctext fill='%23fff' style='font: 900 16px sans-serif' text-anchor='end' transform='matrix(0 -1 1 0 18 5)'%3eJuicy%3c/text%3e%3c/svg%3e</v>
      </c>
      <c r="F313" s="10" t="str">
        <f t="shared" si="3"/>
        <v>https://svgtext.heliohost.us/cgi-bin/gen.perl?text=Juicy</v>
      </c>
      <c r="G313" s="11" t="str">
        <f t="shared" si="4"/>
        <v>data:image/svg+xml,%3csvg xmlns='http://www.w3.org/2000/svg' viewBox='0 0 24 216'%3e%3ctext fill='%23fff' style='font: 900 16px sans-serif' text-anchor='end' transform='matrix(0 -1 1 0 18 5)'%3eJuicy%3c/text%3e%3c/svg%3e</v>
      </c>
      <c r="H313" s="8" t="s">
        <v>25</v>
      </c>
      <c r="I313" s="8">
        <f t="shared" ref="I313:J313" si="314">len(B313)</f>
        <v>5</v>
      </c>
      <c r="J313" s="8">
        <f t="shared" si="314"/>
        <v>32</v>
      </c>
      <c r="K313" s="8" t="s">
        <v>897</v>
      </c>
    </row>
    <row r="314">
      <c r="A314" s="7" t="b">
        <v>0</v>
      </c>
      <c r="B314" s="8" t="s">
        <v>895</v>
      </c>
      <c r="C314" s="8" t="s">
        <v>898</v>
      </c>
      <c r="D314" s="8" t="str">
        <f>Q&amp;$K314&amp;Q&amp;":{"&amp;Q&amp;$B$2&amp;Q&amp;":"&amp;Q&amp;$B314&amp;Q&amp;","&amp;Q&amp;$C$2&amp;Q&amp;":"&amp;Q&amp;$C314&amp;Q&amp;","&amp;Q&amp;"sets"&amp;Q&amp;":"&amp;Q&amp;substitute(SUBSTITUTE($H314,"[",""),"]","")&amp;Q&amp;"},"</f>
        <v>"xxmx":{"label":"Juicy","extra":"(wet, squishy) ","sets":"Junior"},</v>
      </c>
      <c r="E314" s="9" t="str">
        <f t="shared" si="2"/>
        <v>data:image/svg+xml,%3csvg xmlns='http://www.w3.org/2000/svg' viewBox='0 0 24 216'%3e%3ctext fill='%23fff' style='font: 900 16px sans-serif' text-anchor='end' transform='matrix(0 -1 1 0 18 5)'%3eJuicy%3c/text%3e%3c/svg%3e</v>
      </c>
      <c r="F314" s="10" t="str">
        <f t="shared" si="3"/>
        <v>https://svgtext.heliohost.us/cgi-bin/gen.perl?text=Juicy</v>
      </c>
      <c r="G314" s="11" t="str">
        <f t="shared" si="4"/>
        <v>data:image/svg+xml,%3csvg xmlns='http://www.w3.org/2000/svg' viewBox='0 0 24 216'%3e%3ctext fill='%23fff' style='font: 900 16px sans-serif' text-anchor='end' transform='matrix(0 -1 1 0 18 5)'%3eJuicy%3c/text%3e%3c/svg%3e</v>
      </c>
      <c r="H314" s="8" t="s">
        <v>84</v>
      </c>
      <c r="I314" s="8">
        <f t="shared" ref="I314:J314" si="315">len(B314)</f>
        <v>5</v>
      </c>
      <c r="J314" s="8">
        <f t="shared" si="315"/>
        <v>15</v>
      </c>
      <c r="K314" s="8" t="s">
        <v>899</v>
      </c>
    </row>
    <row r="315">
      <c r="A315" s="7" t="b">
        <v>0</v>
      </c>
      <c r="B315" s="8" t="s">
        <v>900</v>
      </c>
      <c r="C315" s="8" t="s">
        <v>901</v>
      </c>
      <c r="D315" s="8" t="str">
        <f>Q&amp;$K315&amp;Q&amp;":{"&amp;Q&amp;$B$2&amp;Q&amp;":"&amp;Q&amp;$B315&amp;Q&amp;","&amp;Q&amp;$C$2&amp;Q&amp;":"&amp;Q&amp;$C315&amp;Q&amp;","&amp;Q&amp;"sets"&amp;Q&amp;":"&amp;Q&amp;substitute(SUBSTITUTE($H315,"[",""),"]","")&amp;Q&amp;"},"</f>
        <v>"lshh":{"label":"Kind","extra":"(nice, helpful) ","sets":"Junior 9+ (1st) &amp; (2nd)"},</v>
      </c>
      <c r="E315" s="9" t="str">
        <f t="shared" si="2"/>
        <v>data:image/svg+xml,%3csvg xmlns='http://www.w3.org/2000/svg' viewBox='0 0 24 216'%3e%3ctext fill='%23fff' style='font: 900 16px sans-serif' text-anchor='end' transform='matrix(0 -1 1 0 18 5)'%3eKind%3c/text%3e%3c/svg%3e</v>
      </c>
      <c r="F315" s="10" t="str">
        <f t="shared" si="3"/>
        <v>https://svgtext.heliohost.us/cgi-bin/gen.perl?text=Kind</v>
      </c>
      <c r="G315" s="11" t="str">
        <f t="shared" si="4"/>
        <v>data:image/svg+xml,%3csvg xmlns='http://www.w3.org/2000/svg' viewBox='0 0 24 216'%3e%3ctext fill='%23fff' style='font: 900 16px sans-serif' text-anchor='end' transform='matrix(0 -1 1 0 18 5)'%3eKind%3c/text%3e%3c/svg%3e</v>
      </c>
      <c r="H315" s="8" t="s">
        <v>42</v>
      </c>
      <c r="I315" s="8">
        <f t="shared" ref="I315:J315" si="316">len(B315)</f>
        <v>4</v>
      </c>
      <c r="J315" s="8">
        <f t="shared" si="316"/>
        <v>16</v>
      </c>
      <c r="K315" s="8" t="s">
        <v>902</v>
      </c>
    </row>
    <row r="316">
      <c r="A316" s="7" t="b">
        <v>0</v>
      </c>
      <c r="B316" s="8" t="s">
        <v>903</v>
      </c>
      <c r="C316" s="8" t="s">
        <v>904</v>
      </c>
      <c r="D316" s="8" t="str">
        <f>Q&amp;$K316&amp;Q&amp;":{"&amp;Q&amp;$B$2&amp;Q&amp;":"&amp;Q&amp;$B316&amp;Q&amp;","&amp;Q&amp;$C$2&amp;Q&amp;":"&amp;Q&amp;$C316&amp;Q&amp;","&amp;Q&amp;"sets"&amp;Q&amp;":"&amp;Q&amp;substitute(SUBSTITUTE($H316,"[",""),"]","")&amp;Q&amp;"},"</f>
        <v>"bdsu":{"label":"Large","extra":"(big, not small) ","sets":"Junior"},</v>
      </c>
      <c r="E316" s="9" t="str">
        <f t="shared" si="2"/>
        <v>data:image/svg+xml,%3csvg xmlns='http://www.w3.org/2000/svg' viewBox='0 0 24 216'%3e%3ctext fill='%23fff' style='font: 900 16px sans-serif' text-anchor='end' transform='matrix(0 -1 1 0 18 5)'%3eLarge%3c/text%3e%3c/svg%3e</v>
      </c>
      <c r="F316" s="10" t="str">
        <f t="shared" si="3"/>
        <v>https://svgtext.heliohost.us/cgi-bin/gen.perl?text=Large</v>
      </c>
      <c r="G316" s="11" t="str">
        <f t="shared" si="4"/>
        <v>data:image/svg+xml,%3csvg xmlns='http://www.w3.org/2000/svg' viewBox='0 0 24 216'%3e%3ctext fill='%23fff' style='font: 900 16px sans-serif' text-anchor='end' transform='matrix(0 -1 1 0 18 5)'%3eLarge%3c/text%3e%3c/svg%3e</v>
      </c>
      <c r="H316" s="8" t="s">
        <v>84</v>
      </c>
      <c r="I316" s="8">
        <f t="shared" ref="I316:J316" si="317">len(B316)</f>
        <v>5</v>
      </c>
      <c r="J316" s="8">
        <f t="shared" si="317"/>
        <v>17</v>
      </c>
      <c r="K316" s="8" t="s">
        <v>905</v>
      </c>
    </row>
    <row r="317">
      <c r="A317" s="7" t="b">
        <v>1</v>
      </c>
      <c r="B317" s="8" t="s">
        <v>906</v>
      </c>
      <c r="C317" s="8" t="s">
        <v>907</v>
      </c>
      <c r="D317" s="8" t="str">
        <f>Q&amp;$K317&amp;Q&amp;":{"&amp;Q&amp;$B$2&amp;Q&amp;":"&amp;Q&amp;$B317&amp;Q&amp;","&amp;Q&amp;$C$2&amp;Q&amp;":"&amp;Q&amp;$C317&amp;Q&amp;","&amp;Q&amp;"sets"&amp;Q&amp;":"&amp;Q&amp;substitute(SUBSTITUTE($H317,"[",""),"]","")&amp;Q&amp;"},"</f>
        <v>"hwpv":{"label":"Lazy","extra":"(lifeless, apathetic, weary) ","sets":"Expansion Set 2, Party Set"},</v>
      </c>
      <c r="E317" s="9" t="str">
        <f t="shared" si="2"/>
        <v>data:image/svg+xml,%3csvg xmlns='http://www.w3.org/2000/svg' viewBox='0 0 24 216'%3e%3ctext fill='%23fff' style='font: 900 16px sans-serif' text-anchor='end' transform='matrix(0 -1 1 0 18 5)'%3eLazy%3c/text%3e%3c/svg%3e</v>
      </c>
      <c r="F317" s="10" t="str">
        <f t="shared" si="3"/>
        <v>https://svgtext.heliohost.us/cgi-bin/gen.perl?text=Lazy</v>
      </c>
      <c r="G317" s="11" t="str">
        <f t="shared" si="4"/>
        <v>data:image/svg+xml,%3csvg xmlns='http://www.w3.org/2000/svg' viewBox='0 0 24 216'%3e%3ctext fill='%23fff' style='font: 900 16px sans-serif' text-anchor='end' transform='matrix(0 -1 1 0 18 5)'%3eLazy%3c/text%3e%3c/svg%3e</v>
      </c>
      <c r="H317" s="8" t="s">
        <v>17</v>
      </c>
      <c r="I317" s="8">
        <f t="shared" ref="I317:J317" si="318">len(B317)</f>
        <v>4</v>
      </c>
      <c r="J317" s="8">
        <f t="shared" si="318"/>
        <v>29</v>
      </c>
      <c r="K317" s="8" t="s">
        <v>908</v>
      </c>
    </row>
    <row r="318">
      <c r="A318" s="7" t="b">
        <v>0</v>
      </c>
      <c r="B318" s="8" t="s">
        <v>906</v>
      </c>
      <c r="C318" s="8" t="s">
        <v>909</v>
      </c>
      <c r="D318" s="8" t="str">
        <f>Q&amp;$K318&amp;Q&amp;":{"&amp;Q&amp;$B$2&amp;Q&amp;":"&amp;Q&amp;$B318&amp;Q&amp;","&amp;Q&amp;$C$2&amp;Q&amp;":"&amp;Q&amp;$C318&amp;Q&amp;","&amp;Q&amp;"sets"&amp;Q&amp;":"&amp;Q&amp;substitute(SUBSTITUTE($H318,"[",""),"]","")&amp;Q&amp;"},"</f>
        <v>"iemt":{"label":"Lazy","extra":"(slow, careless) ","sets":"Junior 9+ (1st) &amp; (2nd)"},</v>
      </c>
      <c r="E318" s="9" t="str">
        <f t="shared" si="2"/>
        <v>data:image/svg+xml,%3csvg xmlns='http://www.w3.org/2000/svg' viewBox='0 0 24 216'%3e%3ctext fill='%23fff' style='font: 900 16px sans-serif' text-anchor='end' transform='matrix(0 -1 1 0 18 5)'%3eLazy%3c/text%3e%3c/svg%3e</v>
      </c>
      <c r="F318" s="10" t="str">
        <f t="shared" si="3"/>
        <v>https://svgtext.heliohost.us/cgi-bin/gen.perl?text=Lazy</v>
      </c>
      <c r="G318" s="11" t="str">
        <f t="shared" si="4"/>
        <v>data:image/svg+xml,%3csvg xmlns='http://www.w3.org/2000/svg' viewBox='0 0 24 216'%3e%3ctext fill='%23fff' style='font: 900 16px sans-serif' text-anchor='end' transform='matrix(0 -1 1 0 18 5)'%3eLazy%3c/text%3e%3c/svg%3e</v>
      </c>
      <c r="H318" s="8" t="s">
        <v>42</v>
      </c>
      <c r="I318" s="8">
        <f t="shared" ref="I318:J318" si="319">len(B318)</f>
        <v>4</v>
      </c>
      <c r="J318" s="8">
        <f t="shared" si="319"/>
        <v>17</v>
      </c>
      <c r="K318" s="8" t="s">
        <v>910</v>
      </c>
    </row>
    <row r="319">
      <c r="A319" s="7" t="b">
        <v>1</v>
      </c>
      <c r="B319" s="8" t="s">
        <v>911</v>
      </c>
      <c r="C319" s="8" t="s">
        <v>912</v>
      </c>
      <c r="D319" s="8" t="str">
        <f>Q&amp;$K319&amp;Q&amp;":{"&amp;Q&amp;$B$2&amp;Q&amp;":"&amp;Q&amp;$B319&amp;Q&amp;","&amp;Q&amp;$C$2&amp;Q&amp;":"&amp;Q&amp;$C319&amp;Q&amp;","&amp;Q&amp;"sets"&amp;Q&amp;":"&amp;Q&amp;substitute(SUBSTITUTE($H319,"[",""),"]","")&amp;Q&amp;"},"</f>
        <v>"pati":{"label":"Lean &amp; Mean","extra":"(vigorous, fit, efficient) ","sets":"Expansion Set 4, Party Expansion 1"},</v>
      </c>
      <c r="E319" s="9" t="str">
        <f t="shared" si="2"/>
        <v>data:image/svg+xml,%3csvg xmlns='http://www.w3.org/2000/svg' viewBox='0 0 24 216'%3e%3ctext fill='%23fff' style='font: 900 16px sans-serif' text-anchor='end' transform='matrix(0 -1 1 0 18 5)'%3eLean %26amp%3B Mean%3c/text%3e%3c/svg%3e</v>
      </c>
      <c r="F319" s="10" t="str">
        <f t="shared" si="3"/>
        <v>https://svgtext.heliohost.us/cgi-bin/gen.perl?text=Lean%20%26%20Mean</v>
      </c>
      <c r="G319" s="11" t="str">
        <f t="shared" si="4"/>
        <v>data:image/svg+xml,%3csvg xmlns='http://www.w3.org/2000/svg' viewBox='0 0 24 216'%3e%3ctext fill='%23fff' style='font: 900 16px sans-serif' text-anchor='end' transform='matrix(0 -1 1 0 18 5)'%3eLean %26amp%3B Mean%3c/text%3e%3c/svg%3e</v>
      </c>
      <c r="H319" s="8" t="s">
        <v>63</v>
      </c>
      <c r="I319" s="8">
        <f t="shared" ref="I319:J319" si="320">len(B319)</f>
        <v>11</v>
      </c>
      <c r="J319" s="8">
        <f t="shared" si="320"/>
        <v>27</v>
      </c>
      <c r="K319" s="8" t="s">
        <v>913</v>
      </c>
    </row>
    <row r="320">
      <c r="A320" s="7" t="b">
        <v>0</v>
      </c>
      <c r="B320" s="8" t="s">
        <v>914</v>
      </c>
      <c r="C320" s="8" t="s">
        <v>915</v>
      </c>
      <c r="D320" s="8" t="str">
        <f>Q&amp;$K320&amp;Q&amp;":{"&amp;Q&amp;$B$2&amp;Q&amp;":"&amp;Q&amp;$B320&amp;Q&amp;","&amp;Q&amp;$C$2&amp;Q&amp;":"&amp;Q&amp;$C320&amp;Q&amp;","&amp;Q&amp;"sets"&amp;Q&amp;":"&amp;Q&amp;substitute(SUBSTITUTE($H320,"[",""),"]","")&amp;Q&amp;"},"</f>
        <v>"gvix":{"label":"Legendary","extra":"(famous, distinctive, prominent) ","sets":"Expansion Set 2, Party Set"},</v>
      </c>
      <c r="E320" s="9" t="str">
        <f t="shared" si="2"/>
        <v>data:image/svg+xml,%3csvg xmlns='http://www.w3.org/2000/svg' viewBox='0 0 24 216'%3e%3ctext fill='%23fff' style='font: 900 16px sans-serif' text-anchor='end' transform='matrix(0 -1 1 0 18 5)'%3eLegendary%3c/text%3e%3c/svg%3e</v>
      </c>
      <c r="F320" s="10" t="str">
        <f t="shared" si="3"/>
        <v>https://svgtext.heliohost.us/cgi-bin/gen.perl?text=Legendary</v>
      </c>
      <c r="G320" s="11" t="str">
        <f t="shared" si="4"/>
        <v>data:image/svg+xml,%3csvg xmlns='http://www.w3.org/2000/svg' viewBox='0 0 24 216'%3e%3ctext fill='%23fff' style='font: 900 16px sans-serif' text-anchor='end' transform='matrix(0 -1 1 0 18 5)'%3eLegendary%3c/text%3e%3c/svg%3e</v>
      </c>
      <c r="H320" s="8" t="s">
        <v>17</v>
      </c>
      <c r="I320" s="8">
        <f t="shared" ref="I320:J320" si="321">len(B320)</f>
        <v>9</v>
      </c>
      <c r="J320" s="8">
        <f t="shared" si="321"/>
        <v>33</v>
      </c>
      <c r="K320" s="8" t="s">
        <v>916</v>
      </c>
    </row>
    <row r="321">
      <c r="A321" s="7" t="b">
        <v>0</v>
      </c>
      <c r="B321" s="8" t="s">
        <v>917</v>
      </c>
      <c r="C321" s="8" t="s">
        <v>918</v>
      </c>
      <c r="D321" s="8" t="str">
        <f>Q&amp;$K321&amp;Q&amp;":{"&amp;Q&amp;$B$2&amp;Q&amp;":"&amp;Q&amp;$B321&amp;Q&amp;","&amp;Q&amp;$C$2&amp;Q&amp;":"&amp;Q&amp;$C321&amp;Q&amp;","&amp;Q&amp;"sets"&amp;Q&amp;":"&amp;Q&amp;substitute(SUBSTITUTE($H321,"[",""),"]","")&amp;Q&amp;"},"</f>
        <v>"mwpr":{"label":"Lewd &amp; Lascivious","extra":"(lustful, obscene, indecent) ","sets":"Expansion Set 4, Party Expansion 1"},</v>
      </c>
      <c r="E321" s="9" t="str">
        <f t="shared" si="2"/>
        <v>data:image/svg+xml,%3csvg xmlns='http://www.w3.org/2000/svg' viewBox='0 0 24 216'%3e%3ctext fill='%23fff' style='font: 900 16px sans-serif' text-anchor='end' transform='matrix(0 -1 1 0 18 5)'%3eLewd %26amp%3B Lascivious%3c/text%3e%3c/svg%3e</v>
      </c>
      <c r="F321" s="10" t="str">
        <f t="shared" si="3"/>
        <v>https://svgtext.heliohost.us/cgi-bin/gen.perl?text=Lewd%20%26%20Lascivious</v>
      </c>
      <c r="G321" s="11" t="str">
        <f t="shared" si="4"/>
        <v>data:image/svg+xml,%3csvg xmlns='http://www.w3.org/2000/svg' viewBox='0 0 24 216'%3e%3ctext fill='%23fff' style='font: 900 16px sans-serif' text-anchor='end' transform='matrix(0 -1 1 0 18 5)'%3eLewd %26amp%3B Lascivious%3c/text%3e%3c/svg%3e</v>
      </c>
      <c r="H321" s="8" t="s">
        <v>63</v>
      </c>
      <c r="I321" s="8">
        <f t="shared" ref="I321:J321" si="322">len(B321)</f>
        <v>17</v>
      </c>
      <c r="J321" s="8">
        <f t="shared" si="322"/>
        <v>29</v>
      </c>
      <c r="K321" s="8" t="s">
        <v>919</v>
      </c>
    </row>
    <row r="322">
      <c r="A322" s="7" t="b">
        <v>0</v>
      </c>
      <c r="B322" s="8" t="s">
        <v>920</v>
      </c>
      <c r="C322" s="8" t="s">
        <v>921</v>
      </c>
      <c r="D322" s="8" t="str">
        <f>Q&amp;$K322&amp;Q&amp;":{"&amp;Q&amp;$B$2&amp;Q&amp;":"&amp;Q&amp;$B322&amp;Q&amp;","&amp;Q&amp;$C$2&amp;Q&amp;":"&amp;Q&amp;$C322&amp;Q&amp;","&amp;Q&amp;"sets"&amp;Q&amp;":"&amp;Q&amp;substitute(SUBSTITUTE($H322,"[",""),"]","")&amp;Q&amp;"},"</f>
        <v>"uwun":{"label":"Light","extra":"(not dark, not heavy) ","sets":"Junior"},</v>
      </c>
      <c r="E322" s="9" t="str">
        <f t="shared" si="2"/>
        <v>data:image/svg+xml,%3csvg xmlns='http://www.w3.org/2000/svg' viewBox='0 0 24 216'%3e%3ctext fill='%23fff' style='font: 900 16px sans-serif' text-anchor='end' transform='matrix(0 -1 1 0 18 5)'%3eLight%3c/text%3e%3c/svg%3e</v>
      </c>
      <c r="F322" s="10" t="str">
        <f t="shared" si="3"/>
        <v>https://svgtext.heliohost.us/cgi-bin/gen.perl?text=Light</v>
      </c>
      <c r="G322" s="11" t="str">
        <f t="shared" si="4"/>
        <v>data:image/svg+xml,%3csvg xmlns='http://www.w3.org/2000/svg' viewBox='0 0 24 216'%3e%3ctext fill='%23fff' style='font: 900 16px sans-serif' text-anchor='end' transform='matrix(0 -1 1 0 18 5)'%3eLight%3c/text%3e%3c/svg%3e</v>
      </c>
      <c r="H322" s="8" t="s">
        <v>84</v>
      </c>
      <c r="I322" s="8">
        <f t="shared" ref="I322:J322" si="323">len(B322)</f>
        <v>5</v>
      </c>
      <c r="J322" s="8">
        <f t="shared" si="323"/>
        <v>22</v>
      </c>
      <c r="K322" s="8" t="s">
        <v>922</v>
      </c>
    </row>
    <row r="323">
      <c r="A323" s="7" t="b">
        <v>1</v>
      </c>
      <c r="B323" s="8" t="s">
        <v>923</v>
      </c>
      <c r="C323" s="8" t="s">
        <v>924</v>
      </c>
      <c r="D323" s="8" t="str">
        <f>Q&amp;$K323&amp;Q&amp;":{"&amp;Q&amp;$B$2&amp;Q&amp;":"&amp;Q&amp;$B323&amp;Q&amp;","&amp;Q&amp;$C$2&amp;Q&amp;":"&amp;Q&amp;$C323&amp;Q&amp;","&amp;Q&amp;"sets"&amp;Q&amp;":"&amp;Q&amp;substitute(SUBSTITUTE($H323,"[",""),"]","")&amp;Q&amp;"},"</f>
        <v>"bcur":{"label":"Light &amp; Fluffy","extra":"(billowy, airy, soft) ","sets":"Expansion Set 4, Party Expansion 1"},</v>
      </c>
      <c r="E323" s="9" t="str">
        <f t="shared" si="2"/>
        <v>data:image/svg+xml,%3csvg xmlns='http://www.w3.org/2000/svg' viewBox='0 0 24 216'%3e%3ctext fill='%23fff' style='font: 900 16px sans-serif' text-anchor='end' transform='matrix(0 -1 1 0 18 5)'%3eLight %26amp%3B Fluffy%3c/text%3e%3c/svg%3e</v>
      </c>
      <c r="F323" s="10" t="str">
        <f t="shared" si="3"/>
        <v>https://svgtext.heliohost.us/cgi-bin/gen.perl?text=Light%20%26%20Fluffy</v>
      </c>
      <c r="G323" s="11" t="str">
        <f t="shared" si="4"/>
        <v>data:image/svg+xml,%3csvg xmlns='http://www.w3.org/2000/svg' viewBox='0 0 24 216'%3e%3ctext fill='%23fff' style='font: 900 16px sans-serif' text-anchor='end' transform='matrix(0 -1 1 0 18 5)'%3eLight %26amp%3B Fluffy%3c/text%3e%3c/svg%3e</v>
      </c>
      <c r="H323" s="8" t="s">
        <v>63</v>
      </c>
      <c r="I323" s="8">
        <f t="shared" ref="I323:J323" si="324">len(B323)</f>
        <v>14</v>
      </c>
      <c r="J323" s="8">
        <f t="shared" si="324"/>
        <v>22</v>
      </c>
      <c r="K323" s="8" t="s">
        <v>925</v>
      </c>
    </row>
    <row r="324">
      <c r="A324" s="7" t="b">
        <v>0</v>
      </c>
      <c r="B324" s="8" t="s">
        <v>926</v>
      </c>
      <c r="C324" s="8" t="s">
        <v>927</v>
      </c>
      <c r="D324" s="8" t="str">
        <f>Q&amp;$K324&amp;Q&amp;":{"&amp;Q&amp;$B$2&amp;Q&amp;":"&amp;Q&amp;$B324&amp;Q&amp;","&amp;Q&amp;$C$2&amp;Q&amp;":"&amp;Q&amp;$C324&amp;Q&amp;","&amp;Q&amp;"sets"&amp;Q&amp;":"&amp;Q&amp;substitute(SUBSTITUTE($H324,"[",""),"]","")&amp;Q&amp;"},"</f>
        <v>"olmt":{"label":"Little","extra":"(small, tiny) ","sets":"Junior 9+ (1st) &amp; (2nd)"},</v>
      </c>
      <c r="E324" s="9" t="str">
        <f t="shared" si="2"/>
        <v>data:image/svg+xml,%3csvg xmlns='http://www.w3.org/2000/svg' viewBox='0 0 24 216'%3e%3ctext fill='%23fff' style='font: 900 16px sans-serif' text-anchor='end' transform='matrix(0 -1 1 0 18 5)'%3eLittle%3c/text%3e%3c/svg%3e</v>
      </c>
      <c r="F324" s="10" t="str">
        <f t="shared" si="3"/>
        <v>https://svgtext.heliohost.us/cgi-bin/gen.perl?text=Little</v>
      </c>
      <c r="G324" s="11" t="str">
        <f t="shared" si="4"/>
        <v>data:image/svg+xml,%3csvg xmlns='http://www.w3.org/2000/svg' viewBox='0 0 24 216'%3e%3ctext fill='%23fff' style='font: 900 16px sans-serif' text-anchor='end' transform='matrix(0 -1 1 0 18 5)'%3eLittle%3c/text%3e%3c/svg%3e</v>
      </c>
      <c r="H324" s="8" t="s">
        <v>42</v>
      </c>
      <c r="I324" s="8">
        <f t="shared" ref="I324:J324" si="325">len(B324)</f>
        <v>6</v>
      </c>
      <c r="J324" s="8">
        <f t="shared" si="325"/>
        <v>14</v>
      </c>
      <c r="K324" s="8" t="s">
        <v>928</v>
      </c>
    </row>
    <row r="325">
      <c r="A325" s="7" t="b">
        <v>0</v>
      </c>
      <c r="B325" s="8" t="s">
        <v>929</v>
      </c>
      <c r="C325" s="8" t="s">
        <v>930</v>
      </c>
      <c r="D325" s="8" t="str">
        <f>Q&amp;$K325&amp;Q&amp;":{"&amp;Q&amp;$B$2&amp;Q&amp;":"&amp;Q&amp;$B325&amp;Q&amp;","&amp;Q&amp;$C$2&amp;Q&amp;":"&amp;Q&amp;$C325&amp;Q&amp;","&amp;Q&amp;"sets"&amp;Q&amp;":"&amp;Q&amp;substitute(SUBSTITUTE($H325,"[",""),"]","")&amp;Q&amp;"},"</f>
        <v>"sqbb":{"label":"Lively","extra":"(cheerful, active) ","sets":"Junior"},</v>
      </c>
      <c r="E325" s="9" t="str">
        <f t="shared" si="2"/>
        <v>data:image/svg+xml,%3csvg xmlns='http://www.w3.org/2000/svg' viewBox='0 0 24 216'%3e%3ctext fill='%23fff' style='font: 900 16px sans-serif' text-anchor='end' transform='matrix(0 -1 1 0 18 5)'%3eLively%3c/text%3e%3c/svg%3e</v>
      </c>
      <c r="F325" s="10" t="str">
        <f t="shared" si="3"/>
        <v>https://svgtext.heliohost.us/cgi-bin/gen.perl?text=Lively</v>
      </c>
      <c r="G325" s="11" t="str">
        <f t="shared" si="4"/>
        <v>data:image/svg+xml,%3csvg xmlns='http://www.w3.org/2000/svg' viewBox='0 0 24 216'%3e%3ctext fill='%23fff' style='font: 900 16px sans-serif' text-anchor='end' transform='matrix(0 -1 1 0 18 5)'%3eLively%3c/text%3e%3c/svg%3e</v>
      </c>
      <c r="H325" s="8" t="s">
        <v>84</v>
      </c>
      <c r="I325" s="8">
        <f t="shared" ref="I325:J325" si="326">len(B325)</f>
        <v>6</v>
      </c>
      <c r="J325" s="8">
        <f t="shared" si="326"/>
        <v>19</v>
      </c>
      <c r="K325" s="8" t="s">
        <v>931</v>
      </c>
    </row>
    <row r="326">
      <c r="A326" s="7" t="b">
        <v>0</v>
      </c>
      <c r="B326" s="8" t="s">
        <v>932</v>
      </c>
      <c r="C326" s="8" t="s">
        <v>933</v>
      </c>
      <c r="D326" s="8" t="str">
        <f>Q&amp;$K326&amp;Q&amp;":{"&amp;Q&amp;$B$2&amp;Q&amp;":"&amp;Q&amp;$B326&amp;Q&amp;","&amp;Q&amp;$C$2&amp;Q&amp;":"&amp;Q&amp;$C326&amp;Q&amp;","&amp;Q&amp;"sets"&amp;Q&amp;":"&amp;Q&amp;substitute(SUBSTITUTE($H326,"[",""),"]","")&amp;Q&amp;"},"</f>
        <v>"dosn":{"label":"Long","extra":"(not short, stretched) ","sets":"Junior 9+ (2nd)"},</v>
      </c>
      <c r="E326" s="9" t="str">
        <f t="shared" si="2"/>
        <v>data:image/svg+xml,%3csvg xmlns='http://www.w3.org/2000/svg' viewBox='0 0 24 216'%3e%3ctext fill='%23fff' style='font: 900 16px sans-serif' text-anchor='end' transform='matrix(0 -1 1 0 18 5)'%3eLong%3c/text%3e%3c/svg%3e</v>
      </c>
      <c r="F326" s="10" t="str">
        <f t="shared" si="3"/>
        <v>https://svgtext.heliohost.us/cgi-bin/gen.perl?text=Long</v>
      </c>
      <c r="G326" s="11" t="str">
        <f t="shared" si="4"/>
        <v>data:image/svg+xml,%3csvg xmlns='http://www.w3.org/2000/svg' viewBox='0 0 24 216'%3e%3ctext fill='%23fff' style='font: 900 16px sans-serif' text-anchor='end' transform='matrix(0 -1 1 0 18 5)'%3eLong%3c/text%3e%3c/svg%3e</v>
      </c>
      <c r="H326" s="8" t="s">
        <v>32</v>
      </c>
      <c r="I326" s="8">
        <f t="shared" ref="I326:J326" si="327">len(B326)</f>
        <v>4</v>
      </c>
      <c r="J326" s="8">
        <f t="shared" si="327"/>
        <v>23</v>
      </c>
      <c r="K326" s="8" t="s">
        <v>934</v>
      </c>
    </row>
    <row r="327">
      <c r="A327" s="7" t="b">
        <v>1</v>
      </c>
      <c r="B327" s="8" t="s">
        <v>935</v>
      </c>
      <c r="C327" s="8" t="s">
        <v>936</v>
      </c>
      <c r="D327" s="8" t="str">
        <f>Q&amp;$K327&amp;Q&amp;":{"&amp;Q&amp;$B$2&amp;Q&amp;":"&amp;Q&amp;$B327&amp;Q&amp;","&amp;Q&amp;$C$2&amp;Q&amp;":"&amp;Q&amp;$C327&amp;Q&amp;","&amp;Q&amp;"sets"&amp;Q&amp;":"&amp;Q&amp;substitute(SUBSTITUTE($H327,"[",""),"]","")&amp;Q&amp;"},"</f>
        <v>"zjul":{"label":"Long &amp; Lean","extra":"(slender, lanky, wiry) ","sets":"Expansion Set 4, Party Expansion 1"},</v>
      </c>
      <c r="E327" s="9" t="str">
        <f t="shared" si="2"/>
        <v>data:image/svg+xml,%3csvg xmlns='http://www.w3.org/2000/svg' viewBox='0 0 24 216'%3e%3ctext fill='%23fff' style='font: 900 16px sans-serif' text-anchor='end' transform='matrix(0 -1 1 0 18 5)'%3eLong %26amp%3B Lean%3c/text%3e%3c/svg%3e</v>
      </c>
      <c r="F327" s="10" t="str">
        <f t="shared" si="3"/>
        <v>https://svgtext.heliohost.us/cgi-bin/gen.perl?text=Long%20%26%20Lean</v>
      </c>
      <c r="G327" s="11" t="str">
        <f t="shared" si="4"/>
        <v>data:image/svg+xml,%3csvg xmlns='http://www.w3.org/2000/svg' viewBox='0 0 24 216'%3e%3ctext fill='%23fff' style='font: 900 16px sans-serif' text-anchor='end' transform='matrix(0 -1 1 0 18 5)'%3eLong %26amp%3B Lean%3c/text%3e%3c/svg%3e</v>
      </c>
      <c r="H327" s="8" t="s">
        <v>63</v>
      </c>
      <c r="I327" s="8">
        <f t="shared" ref="I327:J327" si="328">len(B327)</f>
        <v>11</v>
      </c>
      <c r="J327" s="8">
        <f t="shared" si="328"/>
        <v>23</v>
      </c>
      <c r="K327" s="8" t="s">
        <v>937</v>
      </c>
    </row>
    <row r="328">
      <c r="A328" s="7" t="b">
        <v>0</v>
      </c>
      <c r="B328" s="8" t="s">
        <v>938</v>
      </c>
      <c r="C328" s="8" t="s">
        <v>939</v>
      </c>
      <c r="D328" s="8" t="str">
        <f>Q&amp;$K328&amp;Q&amp;":{"&amp;Q&amp;$B$2&amp;Q&amp;":"&amp;Q&amp;$B328&amp;Q&amp;","&amp;Q&amp;$C$2&amp;Q&amp;":"&amp;Q&amp;$C328&amp;Q&amp;","&amp;Q&amp;"sets"&amp;Q&amp;":"&amp;Q&amp;substitute(SUBSTITUTE($H328,"[",""),"]","")&amp;Q&amp;"},"</f>
        <v>"kpbw":{"label":"Loud","extra":"(noisy, boisterous, deafening) ","sets":"Basic Set, Party Set"},</v>
      </c>
      <c r="E328" s="9" t="str">
        <f t="shared" si="2"/>
        <v>data:image/svg+xml,%3csvg xmlns='http://www.w3.org/2000/svg' viewBox='0 0 24 216'%3e%3ctext fill='%23fff' style='font: 900 16px sans-serif' text-anchor='end' transform='matrix(0 -1 1 0 18 5)'%3eLoud%3c/text%3e%3c/svg%3e</v>
      </c>
      <c r="F328" s="10" t="str">
        <f t="shared" si="3"/>
        <v>https://svgtext.heliohost.us/cgi-bin/gen.perl?text=Loud</v>
      </c>
      <c r="G328" s="11" t="str">
        <f t="shared" si="4"/>
        <v>data:image/svg+xml,%3csvg xmlns='http://www.w3.org/2000/svg' viewBox='0 0 24 216'%3e%3ctext fill='%23fff' style='font: 900 16px sans-serif' text-anchor='end' transform='matrix(0 -1 1 0 18 5)'%3eLoud%3c/text%3e%3c/svg%3e</v>
      </c>
      <c r="H328" s="8" t="s">
        <v>29</v>
      </c>
      <c r="I328" s="8">
        <f t="shared" ref="I328:J328" si="329">len(B328)</f>
        <v>4</v>
      </c>
      <c r="J328" s="8">
        <f t="shared" si="329"/>
        <v>31</v>
      </c>
      <c r="K328" s="8" t="s">
        <v>940</v>
      </c>
    </row>
    <row r="329">
      <c r="A329" s="7" t="b">
        <v>0</v>
      </c>
      <c r="B329" s="8" t="s">
        <v>938</v>
      </c>
      <c r="C329" s="8" t="s">
        <v>941</v>
      </c>
      <c r="D329" s="8" t="str">
        <f>Q&amp;$K329&amp;Q&amp;":{"&amp;Q&amp;$B$2&amp;Q&amp;":"&amp;Q&amp;$B329&amp;Q&amp;","&amp;Q&amp;$C$2&amp;Q&amp;":"&amp;Q&amp;$C329&amp;Q&amp;","&amp;Q&amp;"sets"&amp;Q&amp;":"&amp;Q&amp;substitute(SUBSTITUTE($H329,"[",""),"]","")&amp;Q&amp;"},"</f>
        <v>"nfmq":{"label":"Loud","extra":"(noisy, not quiet) ","sets":"Junior"},</v>
      </c>
      <c r="E329" s="9" t="str">
        <f t="shared" si="2"/>
        <v>data:image/svg+xml,%3csvg xmlns='http://www.w3.org/2000/svg' viewBox='0 0 24 216'%3e%3ctext fill='%23fff' style='font: 900 16px sans-serif' text-anchor='end' transform='matrix(0 -1 1 0 18 5)'%3eLoud%3c/text%3e%3c/svg%3e</v>
      </c>
      <c r="F329" s="10" t="str">
        <f t="shared" si="3"/>
        <v>https://svgtext.heliohost.us/cgi-bin/gen.perl?text=Loud</v>
      </c>
      <c r="G329" s="11" t="str">
        <f t="shared" si="4"/>
        <v>data:image/svg+xml,%3csvg xmlns='http://www.w3.org/2000/svg' viewBox='0 0 24 216'%3e%3ctext fill='%23fff' style='font: 900 16px sans-serif' text-anchor='end' transform='matrix(0 -1 1 0 18 5)'%3eLoud%3c/text%3e%3c/svg%3e</v>
      </c>
      <c r="H329" s="8" t="s">
        <v>84</v>
      </c>
      <c r="I329" s="8">
        <f t="shared" ref="I329:J329" si="330">len(B329)</f>
        <v>4</v>
      </c>
      <c r="J329" s="8">
        <f t="shared" si="330"/>
        <v>19</v>
      </c>
      <c r="K329" s="8" t="s">
        <v>942</v>
      </c>
    </row>
    <row r="330">
      <c r="A330" s="7" t="b">
        <v>1</v>
      </c>
      <c r="B330" s="8" t="s">
        <v>943</v>
      </c>
      <c r="C330" s="8" t="s">
        <v>944</v>
      </c>
      <c r="D330" s="8" t="str">
        <f>Q&amp;$K330&amp;Q&amp;":{"&amp;Q&amp;$B$2&amp;Q&amp;":"&amp;Q&amp;$B330&amp;Q&amp;","&amp;Q&amp;$C$2&amp;Q&amp;":"&amp;Q&amp;$C330&amp;Q&amp;","&amp;Q&amp;"sets"&amp;Q&amp;":"&amp;Q&amp;substitute(SUBSTITUTE($H330,"[",""),"]","")&amp;Q&amp;"},"</f>
        <v>"fxvb":{"label":"Loud &amp; Clear","extra":"(definite, explicit, unequivocal) ","sets":"Expansion Set 4, Party Expansion 1"},</v>
      </c>
      <c r="E330" s="9" t="str">
        <f t="shared" si="2"/>
        <v>data:image/svg+xml,%3csvg xmlns='http://www.w3.org/2000/svg' viewBox='0 0 24 216'%3e%3ctext fill='%23fff' style='font: 900 16px sans-serif' text-anchor='end' transform='matrix(0 -1 1 0 18 5)'%3eLoud %26amp%3B Clear%3c/text%3e%3c/svg%3e</v>
      </c>
      <c r="F330" s="10" t="str">
        <f t="shared" si="3"/>
        <v>https://svgtext.heliohost.us/cgi-bin/gen.perl?text=Loud%20%26%20Clear</v>
      </c>
      <c r="G330" s="11" t="str">
        <f t="shared" si="4"/>
        <v>data:image/svg+xml,%3csvg xmlns='http://www.w3.org/2000/svg' viewBox='0 0 24 216'%3e%3ctext fill='%23fff' style='font: 900 16px sans-serif' text-anchor='end' transform='matrix(0 -1 1 0 18 5)'%3eLoud %26amp%3B Clear%3c/text%3e%3c/svg%3e</v>
      </c>
      <c r="H330" s="8" t="s">
        <v>63</v>
      </c>
      <c r="I330" s="8">
        <f t="shared" ref="I330:J330" si="331">len(B330)</f>
        <v>12</v>
      </c>
      <c r="J330" s="8">
        <f t="shared" si="331"/>
        <v>34</v>
      </c>
      <c r="K330" s="8" t="s">
        <v>945</v>
      </c>
    </row>
    <row r="331">
      <c r="A331" s="7" t="b">
        <v>0</v>
      </c>
      <c r="B331" s="8" t="s">
        <v>946</v>
      </c>
      <c r="C331" s="8" t="s">
        <v>947</v>
      </c>
      <c r="D331" s="8" t="str">
        <f>Q&amp;$K331&amp;Q&amp;":{"&amp;Q&amp;$B$2&amp;Q&amp;":"&amp;Q&amp;$B331&amp;Q&amp;","&amp;Q&amp;$C$2&amp;Q&amp;":"&amp;Q&amp;$C331&amp;Q&amp;","&amp;Q&amp;"sets"&amp;Q&amp;":"&amp;Q&amp;substitute(SUBSTITUTE($H331,"[",""),"]","")&amp;Q&amp;"},"</f>
        <v>"fyov":{"label":"Lovable","extra":"(adorable, endearing, cuddly) ","sets":"Expansion Set 1, Party Set"},</v>
      </c>
      <c r="E331" s="9" t="str">
        <f t="shared" si="2"/>
        <v>data:image/svg+xml,%3csvg xmlns='http://www.w3.org/2000/svg' viewBox='0 0 24 216'%3e%3ctext fill='%23fff' style='font: 900 16px sans-serif' text-anchor='end' transform='matrix(0 -1 1 0 18 5)'%3eLovable%3c/text%3e%3c/svg%3e</v>
      </c>
      <c r="F331" s="10" t="str">
        <f t="shared" si="3"/>
        <v>https://svgtext.heliohost.us/cgi-bin/gen.perl?text=Lovable</v>
      </c>
      <c r="G331" s="11" t="str">
        <f t="shared" si="4"/>
        <v>data:image/svg+xml,%3csvg xmlns='http://www.w3.org/2000/svg' viewBox='0 0 24 216'%3e%3ctext fill='%23fff' style='font: 900 16px sans-serif' text-anchor='end' transform='matrix(0 -1 1 0 18 5)'%3eLovable%3c/text%3e%3c/svg%3e</v>
      </c>
      <c r="H331" s="8" t="s">
        <v>25</v>
      </c>
      <c r="I331" s="8">
        <f t="shared" ref="I331:J331" si="332">len(B331)</f>
        <v>7</v>
      </c>
      <c r="J331" s="8">
        <f t="shared" si="332"/>
        <v>30</v>
      </c>
      <c r="K331" s="8" t="s">
        <v>948</v>
      </c>
    </row>
    <row r="332">
      <c r="A332" s="7" t="b">
        <v>0</v>
      </c>
      <c r="B332" s="8" t="s">
        <v>946</v>
      </c>
      <c r="C332" s="8" t="s">
        <v>949</v>
      </c>
      <c r="D332" s="8" t="str">
        <f>Q&amp;$K332&amp;Q&amp;":{"&amp;Q&amp;$B$2&amp;Q&amp;":"&amp;Q&amp;$B332&amp;Q&amp;","&amp;Q&amp;$C$2&amp;Q&amp;":"&amp;Q&amp;$C332&amp;Q&amp;","&amp;Q&amp;"sets"&amp;Q&amp;":"&amp;Q&amp;substitute(SUBSTITUTE($H332,"[",""),"]","")&amp;Q&amp;"},"</f>
        <v>"ptph":{"label":"Lovable","extra":"(adorable, enchanting) ","sets":"Junior 9+ (2nd)"},</v>
      </c>
      <c r="E332" s="9" t="str">
        <f t="shared" si="2"/>
        <v>data:image/svg+xml,%3csvg xmlns='http://www.w3.org/2000/svg' viewBox='0 0 24 216'%3e%3ctext fill='%23fff' style='font: 900 16px sans-serif' text-anchor='end' transform='matrix(0 -1 1 0 18 5)'%3eLovable%3c/text%3e%3c/svg%3e</v>
      </c>
      <c r="F332" s="10" t="str">
        <f t="shared" si="3"/>
        <v>https://svgtext.heliohost.us/cgi-bin/gen.perl?text=Lovable</v>
      </c>
      <c r="G332" s="11" t="str">
        <f t="shared" si="4"/>
        <v>data:image/svg+xml,%3csvg xmlns='http://www.w3.org/2000/svg' viewBox='0 0 24 216'%3e%3ctext fill='%23fff' style='font: 900 16px sans-serif' text-anchor='end' transform='matrix(0 -1 1 0 18 5)'%3eLovable%3c/text%3e%3c/svg%3e</v>
      </c>
      <c r="H332" s="8" t="s">
        <v>32</v>
      </c>
      <c r="I332" s="8">
        <f t="shared" ref="I332:J332" si="333">len(B332)</f>
        <v>7</v>
      </c>
      <c r="J332" s="8">
        <f t="shared" si="333"/>
        <v>23</v>
      </c>
      <c r="K332" s="8" t="s">
        <v>950</v>
      </c>
    </row>
    <row r="333">
      <c r="A333" s="7" t="b">
        <v>0</v>
      </c>
      <c r="B333" s="8" t="s">
        <v>951</v>
      </c>
      <c r="C333" s="8" t="s">
        <v>952</v>
      </c>
      <c r="D333" s="8" t="str">
        <f>Q&amp;$K333&amp;Q&amp;":{"&amp;Q&amp;$B$2&amp;Q&amp;":"&amp;Q&amp;$B333&amp;Q&amp;","&amp;Q&amp;$C$2&amp;Q&amp;":"&amp;Q&amp;$C333&amp;Q&amp;","&amp;Q&amp;"sets"&amp;Q&amp;":"&amp;Q&amp;substitute(SUBSTITUTE($H333,"[",""),"]","")&amp;Q&amp;"},"</f>
        <v>"yvoa":{"label":"Loving","extra":"(caring, kind) ","sets":"Junior 9+ (1st) &amp; (2nd)"},</v>
      </c>
      <c r="E333" s="9" t="str">
        <f t="shared" si="2"/>
        <v>data:image/svg+xml,%3csvg xmlns='http://www.w3.org/2000/svg' viewBox='0 0 24 216'%3e%3ctext fill='%23fff' style='font: 900 16px sans-serif' text-anchor='end' transform='matrix(0 -1 1 0 18 5)'%3eLoving%3c/text%3e%3c/svg%3e</v>
      </c>
      <c r="F333" s="10" t="str">
        <f t="shared" si="3"/>
        <v>https://svgtext.heliohost.us/cgi-bin/gen.perl?text=Loving</v>
      </c>
      <c r="G333" s="11" t="str">
        <f t="shared" si="4"/>
        <v>data:image/svg+xml,%3csvg xmlns='http://www.w3.org/2000/svg' viewBox='0 0 24 216'%3e%3ctext fill='%23fff' style='font: 900 16px sans-serif' text-anchor='end' transform='matrix(0 -1 1 0 18 5)'%3eLoving%3c/text%3e%3c/svg%3e</v>
      </c>
      <c r="H333" s="8" t="s">
        <v>42</v>
      </c>
      <c r="I333" s="8">
        <f t="shared" ref="I333:J333" si="334">len(B333)</f>
        <v>6</v>
      </c>
      <c r="J333" s="8">
        <f t="shared" si="334"/>
        <v>15</v>
      </c>
      <c r="K333" s="8" t="s">
        <v>953</v>
      </c>
    </row>
    <row r="334">
      <c r="A334" s="7" t="b">
        <v>0</v>
      </c>
      <c r="B334" s="8" t="s">
        <v>954</v>
      </c>
      <c r="C334" s="8" t="s">
        <v>955</v>
      </c>
      <c r="D334" s="8" t="str">
        <f>Q&amp;$K334&amp;Q&amp;":{"&amp;Q&amp;$B$2&amp;Q&amp;":"&amp;Q&amp;$B334&amp;Q&amp;","&amp;Q&amp;$C$2&amp;Q&amp;":"&amp;Q&amp;$C334&amp;Q&amp;","&amp;Q&amp;"sets"&amp;Q&amp;":"&amp;Q&amp;substitute(SUBSTITUTE($H334,"[",""),"]","")&amp;Q&amp;"},"</f>
        <v>"zume":{"label":"Lucky","extra":"(fortunate, serendipitous, favored) ","sets":"Basic Set, Party Set"},</v>
      </c>
      <c r="E334" s="9" t="str">
        <f t="shared" si="2"/>
        <v>data:image/svg+xml,%3csvg xmlns='http://www.w3.org/2000/svg' viewBox='0 0 24 216'%3e%3ctext fill='%23fff' style='font: 900 16px sans-serif' text-anchor='end' transform='matrix(0 -1 1 0 18 5)'%3eLucky%3c/text%3e%3c/svg%3e</v>
      </c>
      <c r="F334" s="10" t="str">
        <f t="shared" si="3"/>
        <v>https://svgtext.heliohost.us/cgi-bin/gen.perl?text=Lucky</v>
      </c>
      <c r="G334" s="11" t="str">
        <f t="shared" si="4"/>
        <v>data:image/svg+xml,%3csvg xmlns='http://www.w3.org/2000/svg' viewBox='0 0 24 216'%3e%3ctext fill='%23fff' style='font: 900 16px sans-serif' text-anchor='end' transform='matrix(0 -1 1 0 18 5)'%3eLucky%3c/text%3e%3c/svg%3e</v>
      </c>
      <c r="H334" s="8" t="s">
        <v>29</v>
      </c>
      <c r="I334" s="8">
        <f t="shared" ref="I334:J334" si="335">len(B334)</f>
        <v>5</v>
      </c>
      <c r="J334" s="8">
        <f t="shared" si="335"/>
        <v>36</v>
      </c>
      <c r="K334" s="8" t="s">
        <v>956</v>
      </c>
    </row>
    <row r="335">
      <c r="A335" s="7" t="b">
        <v>0</v>
      </c>
      <c r="B335" s="8" t="s">
        <v>954</v>
      </c>
      <c r="C335" s="8" t="s">
        <v>957</v>
      </c>
      <c r="D335" s="8" t="str">
        <f>Q&amp;$K335&amp;Q&amp;":{"&amp;Q&amp;$B$2&amp;Q&amp;":"&amp;Q&amp;$B335&amp;Q&amp;","&amp;Q&amp;$C$2&amp;Q&amp;":"&amp;Q&amp;$C335&amp;Q&amp;","&amp;Q&amp;"sets"&amp;Q&amp;":"&amp;Q&amp;substitute(SUBSTITUTE($H335,"[",""),"]","")&amp;Q&amp;"},"</f>
        <v>"nshf":{"label":"Lucky","extra":"(fortunate, favored) ","sets":"Junior 9+ (1st) &amp; (2nd)"},</v>
      </c>
      <c r="E335" s="9" t="str">
        <f t="shared" si="2"/>
        <v>data:image/svg+xml,%3csvg xmlns='http://www.w3.org/2000/svg' viewBox='0 0 24 216'%3e%3ctext fill='%23fff' style='font: 900 16px sans-serif' text-anchor='end' transform='matrix(0 -1 1 0 18 5)'%3eLucky%3c/text%3e%3c/svg%3e</v>
      </c>
      <c r="F335" s="10" t="str">
        <f t="shared" si="3"/>
        <v>https://svgtext.heliohost.us/cgi-bin/gen.perl?text=Lucky</v>
      </c>
      <c r="G335" s="11" t="str">
        <f t="shared" si="4"/>
        <v>data:image/svg+xml,%3csvg xmlns='http://www.w3.org/2000/svg' viewBox='0 0 24 216'%3e%3ctext fill='%23fff' style='font: 900 16px sans-serif' text-anchor='end' transform='matrix(0 -1 1 0 18 5)'%3eLucky%3c/text%3e%3c/svg%3e</v>
      </c>
      <c r="H335" s="8" t="s">
        <v>42</v>
      </c>
      <c r="I335" s="8">
        <f t="shared" ref="I335:J335" si="336">len(B335)</f>
        <v>5</v>
      </c>
      <c r="J335" s="8">
        <f t="shared" si="336"/>
        <v>21</v>
      </c>
      <c r="K335" s="8" t="s">
        <v>958</v>
      </c>
    </row>
    <row r="336">
      <c r="A336" s="7" t="b">
        <v>0</v>
      </c>
      <c r="B336" s="8" t="s">
        <v>959</v>
      </c>
      <c r="C336" s="8" t="s">
        <v>960</v>
      </c>
      <c r="D336" s="8" t="str">
        <f>Q&amp;$K336&amp;Q&amp;":{"&amp;Q&amp;$B$2&amp;Q&amp;":"&amp;Q&amp;$B336&amp;Q&amp;","&amp;Q&amp;$C$2&amp;Q&amp;":"&amp;Q&amp;$C336&amp;Q&amp;","&amp;Q&amp;"sets"&amp;Q&amp;":"&amp;Q&amp;substitute(SUBSTITUTE($H336,"[",""),"]","")&amp;Q&amp;"},"</f>
        <v>"ujcd":{"label":"Lumpy","extra":"(bumpy, clumpy) ","sets":"Junior"},</v>
      </c>
      <c r="E336" s="9" t="str">
        <f t="shared" si="2"/>
        <v>data:image/svg+xml,%3csvg xmlns='http://www.w3.org/2000/svg' viewBox='0 0 24 216'%3e%3ctext fill='%23fff' style='font: 900 16px sans-serif' text-anchor='end' transform='matrix(0 -1 1 0 18 5)'%3eLumpy%3c/text%3e%3c/svg%3e</v>
      </c>
      <c r="F336" s="10" t="str">
        <f t="shared" si="3"/>
        <v>https://svgtext.heliohost.us/cgi-bin/gen.perl?text=Lumpy</v>
      </c>
      <c r="G336" s="11" t="str">
        <f t="shared" si="4"/>
        <v>data:image/svg+xml,%3csvg xmlns='http://www.w3.org/2000/svg' viewBox='0 0 24 216'%3e%3ctext fill='%23fff' style='font: 900 16px sans-serif' text-anchor='end' transform='matrix(0 -1 1 0 18 5)'%3eLumpy%3c/text%3e%3c/svg%3e</v>
      </c>
      <c r="H336" s="8" t="s">
        <v>84</v>
      </c>
      <c r="I336" s="8">
        <f t="shared" ref="I336:J336" si="337">len(B336)</f>
        <v>5</v>
      </c>
      <c r="J336" s="8">
        <f t="shared" si="337"/>
        <v>16</v>
      </c>
      <c r="K336" s="8" t="s">
        <v>961</v>
      </c>
    </row>
    <row r="337">
      <c r="A337" s="7" t="b">
        <v>0</v>
      </c>
      <c r="B337" s="8" t="s">
        <v>962</v>
      </c>
      <c r="C337" s="8" t="s">
        <v>963</v>
      </c>
      <c r="D337" s="8" t="str">
        <f>Q&amp;$K337&amp;Q&amp;":{"&amp;Q&amp;$B$2&amp;Q&amp;":"&amp;Q&amp;$B337&amp;Q&amp;","&amp;Q&amp;$C$2&amp;Q&amp;":"&amp;Q&amp;$C337&amp;Q&amp;","&amp;Q&amp;"sets"&amp;Q&amp;":"&amp;Q&amp;substitute(SUBSTITUTE($H337,"[",""),"]","")&amp;Q&amp;"},"</f>
        <v>"pyqr":{"label":"Luscious","extra":"(delicious, savory, juicy) ","sets":"Basic Set, Party Set"},</v>
      </c>
      <c r="E337" s="9" t="str">
        <f t="shared" si="2"/>
        <v>data:image/svg+xml,%3csvg xmlns='http://www.w3.org/2000/svg' viewBox='0 0 24 216'%3e%3ctext fill='%23fff' style='font: 900 16px sans-serif' text-anchor='end' transform='matrix(0 -1 1 0 18 5)'%3eLuscious%3c/text%3e%3c/svg%3e</v>
      </c>
      <c r="F337" s="10" t="str">
        <f t="shared" si="3"/>
        <v>https://svgtext.heliohost.us/cgi-bin/gen.perl?text=Luscious</v>
      </c>
      <c r="G337" s="11" t="str">
        <f t="shared" si="4"/>
        <v>data:image/svg+xml,%3csvg xmlns='http://www.w3.org/2000/svg' viewBox='0 0 24 216'%3e%3ctext fill='%23fff' style='font: 900 16px sans-serif' text-anchor='end' transform='matrix(0 -1 1 0 18 5)'%3eLuscious%3c/text%3e%3c/svg%3e</v>
      </c>
      <c r="H337" s="8" t="s">
        <v>29</v>
      </c>
      <c r="I337" s="8">
        <f t="shared" ref="I337:J337" si="338">len(B337)</f>
        <v>8</v>
      </c>
      <c r="J337" s="8">
        <f t="shared" si="338"/>
        <v>27</v>
      </c>
      <c r="K337" s="8" t="s">
        <v>964</v>
      </c>
    </row>
    <row r="338">
      <c r="A338" s="7" t="b">
        <v>0</v>
      </c>
      <c r="B338" s="8" t="s">
        <v>965</v>
      </c>
      <c r="C338" s="8" t="s">
        <v>966</v>
      </c>
      <c r="D338" s="8" t="str">
        <f>Q&amp;$K338&amp;Q&amp;":{"&amp;Q&amp;$B$2&amp;Q&amp;":"&amp;Q&amp;$B338&amp;Q&amp;","&amp;Q&amp;$C$2&amp;Q&amp;":"&amp;Q&amp;$C338&amp;Q&amp;","&amp;Q&amp;"sets"&amp;Q&amp;":"&amp;Q&amp;substitute(SUBSTITUTE($H338,"[",""),"]","")&amp;Q&amp;"},"</f>
        <v>"vogv":{"label":"Luxurious","extra":"(opulent, lavish, sumptuous) ","sets":"Basic Set, Party Set"},</v>
      </c>
      <c r="E338" s="9" t="str">
        <f t="shared" si="2"/>
        <v>data:image/svg+xml,%3csvg xmlns='http://www.w3.org/2000/svg' viewBox='0 0 24 216'%3e%3ctext fill='%23fff' style='font: 900 16px sans-serif' text-anchor='end' transform='matrix(0 -1 1 0 18 5)'%3eLuxurious%3c/text%3e%3c/svg%3e</v>
      </c>
      <c r="F338" s="10" t="str">
        <f t="shared" si="3"/>
        <v>https://svgtext.heliohost.us/cgi-bin/gen.perl?text=Luxurious</v>
      </c>
      <c r="G338" s="11" t="str">
        <f t="shared" si="4"/>
        <v>data:image/svg+xml,%3csvg xmlns='http://www.w3.org/2000/svg' viewBox='0 0 24 216'%3e%3ctext fill='%23fff' style='font: 900 16px sans-serif' text-anchor='end' transform='matrix(0 -1 1 0 18 5)'%3eLuxurious%3c/text%3e%3c/svg%3e</v>
      </c>
      <c r="H338" s="8" t="s">
        <v>29</v>
      </c>
      <c r="I338" s="8">
        <f t="shared" ref="I338:J338" si="339">len(B338)</f>
        <v>9</v>
      </c>
      <c r="J338" s="8">
        <f t="shared" si="339"/>
        <v>29</v>
      </c>
      <c r="K338" s="8" t="s">
        <v>967</v>
      </c>
    </row>
    <row r="339">
      <c r="A339" s="7" t="b">
        <v>1</v>
      </c>
      <c r="B339" s="8" t="s">
        <v>968</v>
      </c>
      <c r="C339" s="8" t="s">
        <v>969</v>
      </c>
      <c r="D339" s="8" t="str">
        <f>Q&amp;$K339&amp;Q&amp;":{"&amp;Q&amp;$B$2&amp;Q&amp;":"&amp;Q&amp;$B339&amp;Q&amp;","&amp;Q&amp;$C$2&amp;Q&amp;":"&amp;Q&amp;$C339&amp;Q&amp;","&amp;Q&amp;"sets"&amp;Q&amp;":"&amp;Q&amp;substitute(SUBSTITUTE($H339,"[",""),"]","")&amp;Q&amp;"},"</f>
        <v>"cnam":{"label":"Magical","extra":"(enchanting, miraculous, marvelous) ","sets":"Basic Set, Party Set"},</v>
      </c>
      <c r="E339" s="9" t="str">
        <f t="shared" si="2"/>
        <v>data:image/svg+xml,%3csvg xmlns='http://www.w3.org/2000/svg' viewBox='0 0 24 216'%3e%3ctext fill='%23fff' style='font: 900 16px sans-serif' text-anchor='end' transform='matrix(0 -1 1 0 18 5)'%3eMagical%3c/text%3e%3c/svg%3e</v>
      </c>
      <c r="F339" s="10" t="str">
        <f t="shared" si="3"/>
        <v>https://svgtext.heliohost.us/cgi-bin/gen.perl?text=Magical</v>
      </c>
      <c r="G339" s="11" t="str">
        <f t="shared" si="4"/>
        <v>data:image/svg+xml,%3csvg xmlns='http://www.w3.org/2000/svg' viewBox='0 0 24 216'%3e%3ctext fill='%23fff' style='font: 900 16px sans-serif' text-anchor='end' transform='matrix(0 -1 1 0 18 5)'%3eMagical%3c/text%3e%3c/svg%3e</v>
      </c>
      <c r="H339" s="8" t="s">
        <v>29</v>
      </c>
      <c r="I339" s="8">
        <f t="shared" ref="I339:J339" si="340">len(B339)</f>
        <v>7</v>
      </c>
      <c r="J339" s="8">
        <f t="shared" si="340"/>
        <v>36</v>
      </c>
      <c r="K339" s="8" t="s">
        <v>970</v>
      </c>
    </row>
    <row r="340">
      <c r="A340" s="7" t="b">
        <v>0</v>
      </c>
      <c r="B340" s="8" t="s">
        <v>968</v>
      </c>
      <c r="C340" s="8" t="s">
        <v>971</v>
      </c>
      <c r="D340" s="8" t="str">
        <f>Q&amp;$K340&amp;Q&amp;":{"&amp;Q&amp;$B$2&amp;Q&amp;":"&amp;Q&amp;$B340&amp;Q&amp;","&amp;Q&amp;$C$2&amp;Q&amp;":"&amp;Q&amp;$C340&amp;Q&amp;","&amp;Q&amp;"sets"&amp;Q&amp;":"&amp;Q&amp;substitute(SUBSTITUTE($H340,"[",""),"]","")&amp;Q&amp;"},"</f>
        <v>"uwxo":{"label":"Magical","extra":"(mysterious, delightful) ","sets":"Junior 9+ (2nd)"},</v>
      </c>
      <c r="E340" s="9" t="str">
        <f t="shared" si="2"/>
        <v>data:image/svg+xml,%3csvg xmlns='http://www.w3.org/2000/svg' viewBox='0 0 24 216'%3e%3ctext fill='%23fff' style='font: 900 16px sans-serif' text-anchor='end' transform='matrix(0 -1 1 0 18 5)'%3eMagical%3c/text%3e%3c/svg%3e</v>
      </c>
      <c r="F340" s="10" t="str">
        <f t="shared" si="3"/>
        <v>https://svgtext.heliohost.us/cgi-bin/gen.perl?text=Magical</v>
      </c>
      <c r="G340" s="11" t="str">
        <f t="shared" si="4"/>
        <v>data:image/svg+xml,%3csvg xmlns='http://www.w3.org/2000/svg' viewBox='0 0 24 216'%3e%3ctext fill='%23fff' style='font: 900 16px sans-serif' text-anchor='end' transform='matrix(0 -1 1 0 18 5)'%3eMagical%3c/text%3e%3c/svg%3e</v>
      </c>
      <c r="H340" s="8" t="s">
        <v>32</v>
      </c>
      <c r="I340" s="8">
        <f t="shared" ref="I340:J340" si="341">len(B340)</f>
        <v>7</v>
      </c>
      <c r="J340" s="8">
        <f t="shared" si="341"/>
        <v>25</v>
      </c>
      <c r="K340" s="8" t="s">
        <v>972</v>
      </c>
    </row>
    <row r="341">
      <c r="A341" s="7" t="b">
        <v>0</v>
      </c>
      <c r="B341" s="8" t="s">
        <v>973</v>
      </c>
      <c r="C341" s="8" t="s">
        <v>974</v>
      </c>
      <c r="D341" s="8" t="str">
        <f>Q&amp;$K341&amp;Q&amp;":{"&amp;Q&amp;$B$2&amp;Q&amp;":"&amp;Q&amp;$B341&amp;Q&amp;","&amp;Q&amp;$C$2&amp;Q&amp;":"&amp;Q&amp;$C341&amp;Q&amp;","&amp;Q&amp;"sets"&amp;Q&amp;":"&amp;Q&amp;substitute(SUBSTITUTE($H341,"[",""),"]","")&amp;Q&amp;"},"</f>
        <v>"goqa":{"label":"Manly","extra":"(masculine, virile, strong) ","sets":"Expansion Set 2, Party Set"},</v>
      </c>
      <c r="E341" s="9" t="str">
        <f t="shared" si="2"/>
        <v>data:image/svg+xml,%3csvg xmlns='http://www.w3.org/2000/svg' viewBox='0 0 24 216'%3e%3ctext fill='%23fff' style='font: 900 16px sans-serif' text-anchor='end' transform='matrix(0 -1 1 0 18 5)'%3eManly%3c/text%3e%3c/svg%3e</v>
      </c>
      <c r="F341" s="10" t="str">
        <f t="shared" si="3"/>
        <v>https://svgtext.heliohost.us/cgi-bin/gen.perl?text=Manly</v>
      </c>
      <c r="G341" s="11" t="str">
        <f t="shared" si="4"/>
        <v>data:image/svg+xml,%3csvg xmlns='http://www.w3.org/2000/svg' viewBox='0 0 24 216'%3e%3ctext fill='%23fff' style='font: 900 16px sans-serif' text-anchor='end' transform='matrix(0 -1 1 0 18 5)'%3eManly%3c/text%3e%3c/svg%3e</v>
      </c>
      <c r="H341" s="8" t="s">
        <v>17</v>
      </c>
      <c r="I341" s="8">
        <f t="shared" ref="I341:J341" si="342">len(B341)</f>
        <v>5</v>
      </c>
      <c r="J341" s="8">
        <f t="shared" si="342"/>
        <v>28</v>
      </c>
      <c r="K341" s="8" t="s">
        <v>975</v>
      </c>
    </row>
    <row r="342">
      <c r="A342" s="7" t="b">
        <v>0</v>
      </c>
      <c r="B342" s="8" t="s">
        <v>976</v>
      </c>
      <c r="C342" s="8" t="s">
        <v>977</v>
      </c>
      <c r="D342" s="8" t="str">
        <f>Q&amp;$K342&amp;Q&amp;":{"&amp;Q&amp;$B$2&amp;Q&amp;":"&amp;Q&amp;$B342&amp;Q&amp;","&amp;Q&amp;$C$2&amp;Q&amp;":"&amp;Q&amp;$C342&amp;Q&amp;","&amp;Q&amp;"sets"&amp;Q&amp;":"&amp;Q&amp;substitute(SUBSTITUTE($H342,"[",""),"]","")&amp;Q&amp;"},"</f>
        <v>"whfi":{"label":"Masculine","extra":"(male, manly, virile) ","sets":"Basic Set, Party Set"},</v>
      </c>
      <c r="E342" s="9" t="str">
        <f t="shared" si="2"/>
        <v>data:image/svg+xml,%3csvg xmlns='http://www.w3.org/2000/svg' viewBox='0 0 24 216'%3e%3ctext fill='%23fff' style='font: 900 16px sans-serif' text-anchor='end' transform='matrix(0 -1 1 0 18 5)'%3eMasculine%3c/text%3e%3c/svg%3e</v>
      </c>
      <c r="F342" s="10" t="str">
        <f t="shared" si="3"/>
        <v>https://svgtext.heliohost.us/cgi-bin/gen.perl?text=Masculine</v>
      </c>
      <c r="G342" s="11" t="str">
        <f t="shared" si="4"/>
        <v>data:image/svg+xml,%3csvg xmlns='http://www.w3.org/2000/svg' viewBox='0 0 24 216'%3e%3ctext fill='%23fff' style='font: 900 16px sans-serif' text-anchor='end' transform='matrix(0 -1 1 0 18 5)'%3eMasculine%3c/text%3e%3c/svg%3e</v>
      </c>
      <c r="H342" s="8" t="s">
        <v>29</v>
      </c>
      <c r="I342" s="8">
        <f t="shared" ref="I342:J342" si="343">len(B342)</f>
        <v>9</v>
      </c>
      <c r="J342" s="8">
        <f t="shared" si="343"/>
        <v>22</v>
      </c>
      <c r="K342" s="8" t="s">
        <v>978</v>
      </c>
    </row>
    <row r="343">
      <c r="A343" s="7" t="b">
        <v>1</v>
      </c>
      <c r="B343" s="8" t="s">
        <v>979</v>
      </c>
      <c r="C343" s="8" t="s">
        <v>980</v>
      </c>
      <c r="D343" s="8" t="str">
        <f>Q&amp;$K343&amp;Q&amp;":{"&amp;Q&amp;$B$2&amp;Q&amp;":"&amp;Q&amp;$B343&amp;Q&amp;","&amp;Q&amp;$C$2&amp;Q&amp;":"&amp;Q&amp;$C343&amp;Q&amp;","&amp;Q&amp;"sets"&amp;Q&amp;":"&amp;Q&amp;substitute(SUBSTITUTE($H343,"[",""),"]","")&amp;Q&amp;"},"</f>
        <v>"tsto":{"label":"Mean","extra":"(malicious, ill-tempered, petty) ","sets":"Expansion Set 3, Party Expansion 1"},</v>
      </c>
      <c r="E343" s="9" t="str">
        <f t="shared" si="2"/>
        <v>data:image/svg+xml,%3csvg xmlns='http://www.w3.org/2000/svg' viewBox='0 0 24 216'%3e%3ctext fill='%23fff' style='font: 900 16px sans-serif' text-anchor='end' transform='matrix(0 -1 1 0 18 5)'%3eMean%3c/text%3e%3c/svg%3e</v>
      </c>
      <c r="F343" s="10" t="str">
        <f t="shared" si="3"/>
        <v>https://svgtext.heliohost.us/cgi-bin/gen.perl?text=Mean</v>
      </c>
      <c r="G343" s="11" t="str">
        <f t="shared" si="4"/>
        <v>data:image/svg+xml,%3csvg xmlns='http://www.w3.org/2000/svg' viewBox='0 0 24 216'%3e%3ctext fill='%23fff' style='font: 900 16px sans-serif' text-anchor='end' transform='matrix(0 -1 1 0 18 5)'%3eMean%3c/text%3e%3c/svg%3e</v>
      </c>
      <c r="H343" s="8" t="s">
        <v>39</v>
      </c>
      <c r="I343" s="8">
        <f t="shared" ref="I343:J343" si="344">len(B343)</f>
        <v>4</v>
      </c>
      <c r="J343" s="8">
        <f t="shared" si="344"/>
        <v>33</v>
      </c>
      <c r="K343" s="8" t="s">
        <v>981</v>
      </c>
    </row>
    <row r="344">
      <c r="A344" s="7" t="b">
        <v>0</v>
      </c>
      <c r="B344" s="8" t="s">
        <v>979</v>
      </c>
      <c r="C344" s="8" t="s">
        <v>982</v>
      </c>
      <c r="D344" s="8" t="str">
        <f>Q&amp;$K344&amp;Q&amp;":{"&amp;Q&amp;$B$2&amp;Q&amp;":"&amp;Q&amp;$B344&amp;Q&amp;","&amp;Q&amp;$C$2&amp;Q&amp;":"&amp;Q&amp;$C344&amp;Q&amp;","&amp;Q&amp;"sets"&amp;Q&amp;":"&amp;Q&amp;substitute(SUBSTITUTE($H344,"[",""),"]","")&amp;Q&amp;"},"</f>
        <v>"eytm":{"label":"Mean","extra":"(unkind, nasty) ","sets":"Junior"},</v>
      </c>
      <c r="E344" s="9" t="str">
        <f t="shared" si="2"/>
        <v>data:image/svg+xml,%3csvg xmlns='http://www.w3.org/2000/svg' viewBox='0 0 24 216'%3e%3ctext fill='%23fff' style='font: 900 16px sans-serif' text-anchor='end' transform='matrix(0 -1 1 0 18 5)'%3eMean%3c/text%3e%3c/svg%3e</v>
      </c>
      <c r="F344" s="10" t="str">
        <f t="shared" si="3"/>
        <v>https://svgtext.heliohost.us/cgi-bin/gen.perl?text=Mean</v>
      </c>
      <c r="G344" s="11" t="str">
        <f t="shared" si="4"/>
        <v>data:image/svg+xml,%3csvg xmlns='http://www.w3.org/2000/svg' viewBox='0 0 24 216'%3e%3ctext fill='%23fff' style='font: 900 16px sans-serif' text-anchor='end' transform='matrix(0 -1 1 0 18 5)'%3eMean%3c/text%3e%3c/svg%3e</v>
      </c>
      <c r="H344" s="8" t="s">
        <v>84</v>
      </c>
      <c r="I344" s="8">
        <f t="shared" ref="I344:J344" si="345">len(B344)</f>
        <v>4</v>
      </c>
      <c r="J344" s="8">
        <f t="shared" si="345"/>
        <v>16</v>
      </c>
      <c r="K344" s="8" t="s">
        <v>983</v>
      </c>
    </row>
    <row r="345">
      <c r="A345" s="7" t="b">
        <v>0</v>
      </c>
      <c r="B345" s="8" t="s">
        <v>984</v>
      </c>
      <c r="C345" s="8" t="s">
        <v>985</v>
      </c>
      <c r="D345" s="8" t="str">
        <f>Q&amp;$K345&amp;Q&amp;":{"&amp;Q&amp;$B$2&amp;Q&amp;":"&amp;Q&amp;$B345&amp;Q&amp;","&amp;Q&amp;$C$2&amp;Q&amp;":"&amp;Q&amp;$C345&amp;Q&amp;","&amp;Q&amp;"sets"&amp;Q&amp;":"&amp;Q&amp;substitute(SUBSTITUTE($H345,"[",""),"]","")&amp;Q&amp;"},"</f>
        <v>"vhzn":{"label":"Meek","extra":"(shy, mild, timid) ","sets":"Expansion Set 2, Party Set"},</v>
      </c>
      <c r="E345" s="9" t="str">
        <f t="shared" si="2"/>
        <v>data:image/svg+xml,%3csvg xmlns='http://www.w3.org/2000/svg' viewBox='0 0 24 216'%3e%3ctext fill='%23fff' style='font: 900 16px sans-serif' text-anchor='end' transform='matrix(0 -1 1 0 18 5)'%3eMeek%3c/text%3e%3c/svg%3e</v>
      </c>
      <c r="F345" s="10" t="str">
        <f t="shared" si="3"/>
        <v>https://svgtext.heliohost.us/cgi-bin/gen.perl?text=Meek</v>
      </c>
      <c r="G345" s="11" t="str">
        <f t="shared" si="4"/>
        <v>data:image/svg+xml,%3csvg xmlns='http://www.w3.org/2000/svg' viewBox='0 0 24 216'%3e%3ctext fill='%23fff' style='font: 900 16px sans-serif' text-anchor='end' transform='matrix(0 -1 1 0 18 5)'%3eMeek%3c/text%3e%3c/svg%3e</v>
      </c>
      <c r="H345" s="8" t="s">
        <v>17</v>
      </c>
      <c r="I345" s="8">
        <f t="shared" ref="I345:J345" si="346">len(B345)</f>
        <v>4</v>
      </c>
      <c r="J345" s="8">
        <f t="shared" si="346"/>
        <v>19</v>
      </c>
      <c r="K345" s="8" t="s">
        <v>986</v>
      </c>
    </row>
    <row r="346">
      <c r="A346" s="7" t="b">
        <v>1</v>
      </c>
      <c r="B346" s="8" t="s">
        <v>987</v>
      </c>
      <c r="C346" s="8" t="s">
        <v>988</v>
      </c>
      <c r="D346" s="8" t="str">
        <f>Q&amp;$K346&amp;Q&amp;":{"&amp;Q&amp;$B$2&amp;Q&amp;":"&amp;Q&amp;$B346&amp;Q&amp;","&amp;Q&amp;$C$2&amp;Q&amp;":"&amp;Q&amp;$C346&amp;Q&amp;","&amp;Q&amp;"sets"&amp;Q&amp;":"&amp;Q&amp;substitute(SUBSTITUTE($H346,"[",""),"]","")&amp;Q&amp;"},"</f>
        <v>"vmbs":{"label":"Meek &amp; Mild","extra":"(timid, docile, gentle) ","sets":"Expansion Set 4, Party Expansion 1"},</v>
      </c>
      <c r="E346" s="9" t="str">
        <f t="shared" si="2"/>
        <v>data:image/svg+xml,%3csvg xmlns='http://www.w3.org/2000/svg' viewBox='0 0 24 216'%3e%3ctext fill='%23fff' style='font: 900 16px sans-serif' text-anchor='end' transform='matrix(0 -1 1 0 18 5)'%3eMeek %26amp%3B Mild%3c/text%3e%3c/svg%3e</v>
      </c>
      <c r="F346" s="10" t="str">
        <f t="shared" si="3"/>
        <v>https://svgtext.heliohost.us/cgi-bin/gen.perl?text=Meek%20%26%20Mild</v>
      </c>
      <c r="G346" s="11" t="str">
        <f t="shared" si="4"/>
        <v>data:image/svg+xml,%3csvg xmlns='http://www.w3.org/2000/svg' viewBox='0 0 24 216'%3e%3ctext fill='%23fff' style='font: 900 16px sans-serif' text-anchor='end' transform='matrix(0 -1 1 0 18 5)'%3eMeek %26amp%3B Mild%3c/text%3e%3c/svg%3e</v>
      </c>
      <c r="H346" s="8" t="s">
        <v>63</v>
      </c>
      <c r="I346" s="8">
        <f t="shared" ref="I346:J346" si="347">len(B346)</f>
        <v>11</v>
      </c>
      <c r="J346" s="8">
        <f t="shared" si="347"/>
        <v>24</v>
      </c>
      <c r="K346" s="8" t="s">
        <v>989</v>
      </c>
    </row>
    <row r="347">
      <c r="A347" s="7" t="b">
        <v>0</v>
      </c>
      <c r="B347" s="8" t="s">
        <v>990</v>
      </c>
      <c r="C347" s="7" t="s">
        <v>991</v>
      </c>
      <c r="D347" s="8" t="str">
        <f>Q&amp;$K347&amp;Q&amp;":{"&amp;Q&amp;$B$2&amp;Q&amp;":"&amp;Q&amp;$B347&amp;Q&amp;","&amp;Q&amp;$C$2&amp;Q&amp;":"&amp;Q&amp;$C347&amp;Q&amp;","&amp;Q&amp;"sets"&amp;Q&amp;":"&amp;Q&amp;substitute(SUBSTITUTE($H347,"[",""),"]","")&amp;Q&amp;"},"</f>
        <v>"vcwm":{"label":"Melodramatic","extra":"(theatrical, sensational, showy)","sets":"Party Set"},</v>
      </c>
      <c r="E347" s="9" t="str">
        <f t="shared" si="2"/>
        <v>data:image/svg+xml,%3csvg xmlns='http://www.w3.org/2000/svg' viewBox='0 0 24 216'%3e%3ctext fill='%23fff' style='font: 900 16px sans-serif' text-anchor='end' transform='matrix(0 -1 1 0 18 5)'%3eMelodramatic%3c/text%3e%3c/svg%3e</v>
      </c>
      <c r="F347" s="10" t="str">
        <f t="shared" si="3"/>
        <v>https://svgtext.heliohost.us/cgi-bin/gen.perl?text=Melodramatic</v>
      </c>
      <c r="G347" s="11" t="str">
        <f t="shared" si="4"/>
        <v>data:image/svg+xml,%3csvg xmlns='http://www.w3.org/2000/svg' viewBox='0 0 24 216'%3e%3ctext fill='%23fff' style='font: 900 16px sans-serif' text-anchor='end' transform='matrix(0 -1 1 0 18 5)'%3eMelodramatic%3c/text%3e%3c/svg%3e</v>
      </c>
      <c r="H347" s="12" t="s">
        <v>268</v>
      </c>
      <c r="I347" s="8">
        <f t="shared" ref="I347:J347" si="348">len(B347)</f>
        <v>12</v>
      </c>
      <c r="J347" s="8">
        <f t="shared" si="348"/>
        <v>32</v>
      </c>
      <c r="K347" s="8" t="s">
        <v>992</v>
      </c>
    </row>
    <row r="348">
      <c r="A348" s="7" t="b">
        <v>1</v>
      </c>
      <c r="B348" s="8" t="s">
        <v>993</v>
      </c>
      <c r="C348" s="8" t="s">
        <v>994</v>
      </c>
      <c r="D348" s="8" t="str">
        <f>Q&amp;$K348&amp;Q&amp;":{"&amp;Q&amp;$B$2&amp;Q&amp;":"&amp;Q&amp;$B348&amp;Q&amp;","&amp;Q&amp;$C$2&amp;Q&amp;":"&amp;Q&amp;$C348&amp;Q&amp;","&amp;Q&amp;"sets"&amp;Q&amp;":"&amp;Q&amp;substitute(SUBSTITUTE($H348,"[",""),"]","")&amp;Q&amp;"},"</f>
        <v>"mgxj":{"label":"Mesmerizing","extra":"(fascinating, hypnotizing, charming) ","sets":"Expansion Set 3, Party Expansion 1"},</v>
      </c>
      <c r="E348" s="9" t="str">
        <f t="shared" si="2"/>
        <v>data:image/svg+xml,%3csvg xmlns='http://www.w3.org/2000/svg' viewBox='0 0 24 216'%3e%3ctext fill='%23fff' style='font: 900 16px sans-serif' text-anchor='end' transform='matrix(0 -1 1 0 18 5)'%3eMesmerizing%3c/text%3e%3c/svg%3e</v>
      </c>
      <c r="F348" s="10" t="str">
        <f t="shared" si="3"/>
        <v>https://svgtext.heliohost.us/cgi-bin/gen.perl?text=Mesmerizing</v>
      </c>
      <c r="G348" s="11" t="str">
        <f t="shared" si="4"/>
        <v>data:image/svg+xml,%3csvg xmlns='http://www.w3.org/2000/svg' viewBox='0 0 24 216'%3e%3ctext fill='%23fff' style='font: 900 16px sans-serif' text-anchor='end' transform='matrix(0 -1 1 0 18 5)'%3eMesmerizing%3c/text%3e%3c/svg%3e</v>
      </c>
      <c r="H348" s="8" t="s">
        <v>39</v>
      </c>
      <c r="I348" s="8">
        <f t="shared" ref="I348:J348" si="349">len(B348)</f>
        <v>11</v>
      </c>
      <c r="J348" s="8">
        <f t="shared" si="349"/>
        <v>37</v>
      </c>
      <c r="K348" s="8" t="s">
        <v>995</v>
      </c>
    </row>
    <row r="349">
      <c r="A349" s="7" t="b">
        <v>1</v>
      </c>
      <c r="B349" s="8" t="s">
        <v>996</v>
      </c>
      <c r="C349" s="8" t="s">
        <v>997</v>
      </c>
      <c r="D349" s="8" t="str">
        <f>Q&amp;$K349&amp;Q&amp;":{"&amp;Q&amp;$B$2&amp;Q&amp;":"&amp;Q&amp;$B349&amp;Q&amp;","&amp;Q&amp;$C$2&amp;Q&amp;":"&amp;Q&amp;$C349&amp;Q&amp;","&amp;Q&amp;"sets"&amp;Q&amp;":"&amp;Q&amp;substitute(SUBSTITUTE($H349,"[",""),"]","")&amp;Q&amp;"},"</f>
        <v>"qyxx":{"label":"Messy","extra":"(sloppy, disorderly, unclean) ","sets":"Expansion Set 3, Party Expansion 1"},</v>
      </c>
      <c r="E349" s="9" t="str">
        <f t="shared" si="2"/>
        <v>data:image/svg+xml,%3csvg xmlns='http://www.w3.org/2000/svg' viewBox='0 0 24 216'%3e%3ctext fill='%23fff' style='font: 900 16px sans-serif' text-anchor='end' transform='matrix(0 -1 1 0 18 5)'%3eMessy%3c/text%3e%3c/svg%3e</v>
      </c>
      <c r="F349" s="10" t="str">
        <f t="shared" si="3"/>
        <v>https://svgtext.heliohost.us/cgi-bin/gen.perl?text=Messy</v>
      </c>
      <c r="G349" s="11" t="str">
        <f t="shared" si="4"/>
        <v>data:image/svg+xml,%3csvg xmlns='http://www.w3.org/2000/svg' viewBox='0 0 24 216'%3e%3ctext fill='%23fff' style='font: 900 16px sans-serif' text-anchor='end' transform='matrix(0 -1 1 0 18 5)'%3eMessy%3c/text%3e%3c/svg%3e</v>
      </c>
      <c r="H349" s="8" t="s">
        <v>39</v>
      </c>
      <c r="I349" s="8">
        <f t="shared" ref="I349:J349" si="350">len(B349)</f>
        <v>5</v>
      </c>
      <c r="J349" s="8">
        <f t="shared" si="350"/>
        <v>30</v>
      </c>
      <c r="K349" s="8" t="s">
        <v>998</v>
      </c>
    </row>
    <row r="350">
      <c r="A350" s="7" t="b">
        <v>0</v>
      </c>
      <c r="B350" s="8" t="s">
        <v>996</v>
      </c>
      <c r="C350" s="8" t="s">
        <v>999</v>
      </c>
      <c r="D350" s="8" t="str">
        <f>Q&amp;$K350&amp;Q&amp;":{"&amp;Q&amp;$B$2&amp;Q&amp;":"&amp;Q&amp;$B350&amp;Q&amp;","&amp;Q&amp;$C$2&amp;Q&amp;":"&amp;Q&amp;$C350&amp;Q&amp;","&amp;Q&amp;"sets"&amp;Q&amp;":"&amp;Q&amp;substitute(SUBSTITUTE($H350,"[",""),"]","")&amp;Q&amp;"},"</f>
        <v>"ansp":{"label":"Messy","extra":"(sloppy, dirty) ","sets":"Junior 9+ (1st) &amp; (2nd)"},</v>
      </c>
      <c r="E350" s="9" t="str">
        <f t="shared" si="2"/>
        <v>data:image/svg+xml,%3csvg xmlns='http://www.w3.org/2000/svg' viewBox='0 0 24 216'%3e%3ctext fill='%23fff' style='font: 900 16px sans-serif' text-anchor='end' transform='matrix(0 -1 1 0 18 5)'%3eMessy%3c/text%3e%3c/svg%3e</v>
      </c>
      <c r="F350" s="10" t="str">
        <f t="shared" si="3"/>
        <v>https://svgtext.heliohost.us/cgi-bin/gen.perl?text=Messy</v>
      </c>
      <c r="G350" s="11" t="str">
        <f t="shared" si="4"/>
        <v>data:image/svg+xml,%3csvg xmlns='http://www.w3.org/2000/svg' viewBox='0 0 24 216'%3e%3ctext fill='%23fff' style='font: 900 16px sans-serif' text-anchor='end' transform='matrix(0 -1 1 0 18 5)'%3eMessy%3c/text%3e%3c/svg%3e</v>
      </c>
      <c r="H350" s="8" t="s">
        <v>42</v>
      </c>
      <c r="I350" s="8">
        <f t="shared" ref="I350:J350" si="351">len(B350)</f>
        <v>5</v>
      </c>
      <c r="J350" s="8">
        <f t="shared" si="351"/>
        <v>16</v>
      </c>
      <c r="K350" s="8" t="s">
        <v>1000</v>
      </c>
    </row>
    <row r="351">
      <c r="A351" s="7" t="b">
        <v>0</v>
      </c>
      <c r="B351" s="8" t="s">
        <v>1001</v>
      </c>
      <c r="C351" s="8" t="s">
        <v>1002</v>
      </c>
      <c r="D351" s="8" t="str">
        <f>Q&amp;$K351&amp;Q&amp;":{"&amp;Q&amp;$B$2&amp;Q&amp;":"&amp;Q&amp;$B351&amp;Q&amp;","&amp;Q&amp;$C$2&amp;Q&amp;":"&amp;Q&amp;$C351&amp;Q&amp;","&amp;Q&amp;"sets"&amp;Q&amp;":"&amp;Q&amp;substitute(SUBSTITUTE($H351,"[",""),"]","")&amp;Q&amp;"},"</f>
        <v>"myuv":{"label":"Mischievous","extra":"(naughty, prankish, sly) ","sets":"Basic Set, Party Set"},</v>
      </c>
      <c r="E351" s="9" t="str">
        <f t="shared" si="2"/>
        <v>data:image/svg+xml,%3csvg xmlns='http://www.w3.org/2000/svg' viewBox='0 0 24 216'%3e%3ctext fill='%23fff' style='font: 900 16px sans-serif' text-anchor='end' transform='matrix(0 -1 1 0 18 5)'%3eMischievous%3c/text%3e%3c/svg%3e</v>
      </c>
      <c r="F351" s="10" t="str">
        <f t="shared" si="3"/>
        <v>https://svgtext.heliohost.us/cgi-bin/gen.perl?text=Mischievous</v>
      </c>
      <c r="G351" s="11" t="str">
        <f t="shared" si="4"/>
        <v>data:image/svg+xml,%3csvg xmlns='http://www.w3.org/2000/svg' viewBox='0 0 24 216'%3e%3ctext fill='%23fff' style='font: 900 16px sans-serif' text-anchor='end' transform='matrix(0 -1 1 0 18 5)'%3eMischievous%3c/text%3e%3c/svg%3e</v>
      </c>
      <c r="H351" s="8" t="s">
        <v>29</v>
      </c>
      <c r="I351" s="8">
        <f t="shared" ref="I351:J351" si="352">len(B351)</f>
        <v>11</v>
      </c>
      <c r="J351" s="8">
        <f t="shared" si="352"/>
        <v>25</v>
      </c>
      <c r="K351" s="8" t="s">
        <v>1003</v>
      </c>
    </row>
    <row r="352">
      <c r="A352" s="7" t="b">
        <v>0</v>
      </c>
      <c r="B352" s="8" t="s">
        <v>1004</v>
      </c>
      <c r="C352" s="8" t="s">
        <v>1005</v>
      </c>
      <c r="D352" s="8" t="str">
        <f>Q&amp;$K352&amp;Q&amp;":{"&amp;Q&amp;$B$2&amp;Q&amp;":"&amp;Q&amp;$B352&amp;Q&amp;","&amp;Q&amp;$C$2&amp;Q&amp;":"&amp;Q&amp;$C352&amp;Q&amp;","&amp;Q&amp;"sets"&amp;Q&amp;":"&amp;Q&amp;substitute(SUBSTITUTE($H352,"[",""),"]","")&amp;Q&amp;"},"</f>
        <v>"ahvs":{"label":"Miserable","extra":"(wretched, pitiful, forlorn) ","sets":"Expansion Set 2, Party Set"},</v>
      </c>
      <c r="E352" s="9" t="str">
        <f t="shared" si="2"/>
        <v>data:image/svg+xml,%3csvg xmlns='http://www.w3.org/2000/svg' viewBox='0 0 24 216'%3e%3ctext fill='%23fff' style='font: 900 16px sans-serif' text-anchor='end' transform='matrix(0 -1 1 0 18 5)'%3eMiserable%3c/text%3e%3c/svg%3e</v>
      </c>
      <c r="F352" s="10" t="str">
        <f t="shared" si="3"/>
        <v>https://svgtext.heliohost.us/cgi-bin/gen.perl?text=Miserable</v>
      </c>
      <c r="G352" s="11" t="str">
        <f t="shared" si="4"/>
        <v>data:image/svg+xml,%3csvg xmlns='http://www.w3.org/2000/svg' viewBox='0 0 24 216'%3e%3ctext fill='%23fff' style='font: 900 16px sans-serif' text-anchor='end' transform='matrix(0 -1 1 0 18 5)'%3eMiserable%3c/text%3e%3c/svg%3e</v>
      </c>
      <c r="H352" s="8" t="s">
        <v>17</v>
      </c>
      <c r="I352" s="8">
        <f t="shared" ref="I352:J352" si="353">len(B352)</f>
        <v>9</v>
      </c>
      <c r="J352" s="8">
        <f t="shared" si="353"/>
        <v>29</v>
      </c>
      <c r="K352" s="8" t="s">
        <v>1006</v>
      </c>
    </row>
    <row r="353">
      <c r="A353" s="7" t="b">
        <v>1</v>
      </c>
      <c r="B353" s="8" t="s">
        <v>1004</v>
      </c>
      <c r="C353" s="8" t="s">
        <v>1007</v>
      </c>
      <c r="D353" s="8" t="str">
        <f>Q&amp;$K353&amp;Q&amp;":{"&amp;Q&amp;$B$2&amp;Q&amp;":"&amp;Q&amp;$B353&amp;Q&amp;","&amp;Q&amp;$C$2&amp;Q&amp;":"&amp;Q&amp;$C353&amp;Q&amp;","&amp;Q&amp;"sets"&amp;Q&amp;":"&amp;Q&amp;substitute(SUBSTITUTE($H353,"[",""),"]","")&amp;Q&amp;"},"</f>
        <v>"louq":{"label":"Miserable","extra":"(unhappy, sorrowful) ","sets":"Junior 9+ (2nd)"},</v>
      </c>
      <c r="E353" s="9" t="str">
        <f t="shared" si="2"/>
        <v>data:image/svg+xml,%3csvg xmlns='http://www.w3.org/2000/svg' viewBox='0 0 24 216'%3e%3ctext fill='%23fff' style='font: 900 16px sans-serif' text-anchor='end' transform='matrix(0 -1 1 0 18 5)'%3eMiserable%3c/text%3e%3c/svg%3e</v>
      </c>
      <c r="F353" s="10" t="str">
        <f t="shared" si="3"/>
        <v>https://svgtext.heliohost.us/cgi-bin/gen.perl?text=Miserable</v>
      </c>
      <c r="G353" s="11" t="str">
        <f t="shared" si="4"/>
        <v>data:image/svg+xml,%3csvg xmlns='http://www.w3.org/2000/svg' viewBox='0 0 24 216'%3e%3ctext fill='%23fff' style='font: 900 16px sans-serif' text-anchor='end' transform='matrix(0 -1 1 0 18 5)'%3eMiserable%3c/text%3e%3c/svg%3e</v>
      </c>
      <c r="H353" s="8" t="s">
        <v>32</v>
      </c>
      <c r="I353" s="8">
        <f t="shared" ref="I353:J353" si="354">len(B353)</f>
        <v>9</v>
      </c>
      <c r="J353" s="8">
        <f t="shared" si="354"/>
        <v>21</v>
      </c>
      <c r="K353" s="8" t="s">
        <v>1008</v>
      </c>
    </row>
    <row r="354">
      <c r="A354" s="7" t="b">
        <v>0</v>
      </c>
      <c r="B354" s="8" t="s">
        <v>1009</v>
      </c>
      <c r="C354" s="8" t="s">
        <v>1010</v>
      </c>
      <c r="D354" s="8" t="str">
        <f>Q&amp;$K354&amp;Q&amp;":{"&amp;Q&amp;$B$2&amp;Q&amp;":"&amp;Q&amp;$B354&amp;Q&amp;","&amp;Q&amp;$C$2&amp;Q&amp;":"&amp;Q&amp;$C354&amp;Q&amp;","&amp;Q&amp;"sets"&amp;Q&amp;":"&amp;Q&amp;substitute(SUBSTITUTE($H354,"[",""),"]","")&amp;Q&amp;"},"</f>
        <v>"oxog":{"label":"Misunderstood","extra":"(not grasped, not learned, not absorbed) ","sets":"Basic Set, Party Set"},</v>
      </c>
      <c r="E354" s="9" t="str">
        <f t="shared" si="2"/>
        <v>data:image/svg+xml,%3csvg xmlns='http://www.w3.org/2000/svg' viewBox='0 0 24 216'%3e%3ctext fill='%23fff' style='font: 900 16px sans-serif' text-anchor='end' transform='matrix(0 -1 1 0 18 5)'%3eMisunderstood%3c/text%3e%3c/svg%3e</v>
      </c>
      <c r="F354" s="10" t="str">
        <f t="shared" si="3"/>
        <v>https://svgtext.heliohost.us/cgi-bin/gen.perl?text=Misunderstood</v>
      </c>
      <c r="G354" s="11" t="str">
        <f t="shared" si="4"/>
        <v>data:image/svg+xml,%3csvg xmlns='http://www.w3.org/2000/svg' viewBox='0 0 24 216'%3e%3ctext fill='%23fff' style='font: 900 16px sans-serif' text-anchor='end' transform='matrix(0 -1 1 0 18 5)'%3eMisunderstood%3c/text%3e%3c/svg%3e</v>
      </c>
      <c r="H354" s="8" t="s">
        <v>29</v>
      </c>
      <c r="I354" s="8">
        <f t="shared" ref="I354:J354" si="355">len(B354)</f>
        <v>13</v>
      </c>
      <c r="J354" s="8">
        <f t="shared" si="355"/>
        <v>41</v>
      </c>
      <c r="K354" s="8" t="s">
        <v>1011</v>
      </c>
    </row>
    <row r="355">
      <c r="A355" s="7" t="b">
        <v>1</v>
      </c>
      <c r="B355" s="8" t="s">
        <v>1012</v>
      </c>
      <c r="C355" s="8" t="s">
        <v>1013</v>
      </c>
      <c r="D355" s="8" t="str">
        <f>Q&amp;$K355&amp;Q&amp;":{"&amp;Q&amp;$B$2&amp;Q&amp;":"&amp;Q&amp;$B355&amp;Q&amp;","&amp;Q&amp;$C$2&amp;Q&amp;":"&amp;Q&amp;$C355&amp;Q&amp;","&amp;Q&amp;"sets"&amp;Q&amp;":"&amp;Q&amp;substitute(SUBSTITUTE($H355,"[",""),"]","")&amp;Q&amp;"},"</f>
        <v>"dnoh":{"label":"Modern","extra":"(contemporary, fashionable, trendy) ","sets":"Expansion Set 3, Party Expansion 1"},</v>
      </c>
      <c r="E355" s="9" t="str">
        <f t="shared" si="2"/>
        <v>data:image/svg+xml,%3csvg xmlns='http://www.w3.org/2000/svg' viewBox='0 0 24 216'%3e%3ctext fill='%23fff' style='font: 900 16px sans-serif' text-anchor='end' transform='matrix(0 -1 1 0 18 5)'%3eModern%3c/text%3e%3c/svg%3e</v>
      </c>
      <c r="F355" s="10" t="str">
        <f t="shared" si="3"/>
        <v>https://svgtext.heliohost.us/cgi-bin/gen.perl?text=Modern</v>
      </c>
      <c r="G355" s="11" t="str">
        <f t="shared" si="4"/>
        <v>data:image/svg+xml,%3csvg xmlns='http://www.w3.org/2000/svg' viewBox='0 0 24 216'%3e%3ctext fill='%23fff' style='font: 900 16px sans-serif' text-anchor='end' transform='matrix(0 -1 1 0 18 5)'%3eModern%3c/text%3e%3c/svg%3e</v>
      </c>
      <c r="H355" s="8" t="s">
        <v>39</v>
      </c>
      <c r="I355" s="8">
        <f t="shared" ref="I355:J355" si="356">len(B355)</f>
        <v>6</v>
      </c>
      <c r="J355" s="8">
        <f t="shared" si="356"/>
        <v>36</v>
      </c>
      <c r="K355" s="8" t="s">
        <v>1014</v>
      </c>
    </row>
    <row r="356">
      <c r="A356" s="7" t="b">
        <v>0</v>
      </c>
      <c r="B356" s="8" t="s">
        <v>1015</v>
      </c>
      <c r="C356" s="8" t="s">
        <v>1016</v>
      </c>
      <c r="D356" s="8" t="str">
        <f>Q&amp;$K356&amp;Q&amp;":{"&amp;Q&amp;$B$2&amp;Q&amp;":"&amp;Q&amp;$B356&amp;Q&amp;","&amp;Q&amp;$C$2&amp;Q&amp;":"&amp;Q&amp;$C356&amp;Q&amp;","&amp;Q&amp;"sets"&amp;Q&amp;":"&amp;Q&amp;substitute(SUBSTITUTE($H356,"[",""),"]","")&amp;Q&amp;"},"</f>
        <v>"wgaz":{"label":"Mushy","extra":"(soft, squishy) ","sets":"Junior 9+ (1st) &amp; (2nd)"},</v>
      </c>
      <c r="E356" s="9" t="str">
        <f t="shared" si="2"/>
        <v>data:image/svg+xml,%3csvg xmlns='http://www.w3.org/2000/svg' viewBox='0 0 24 216'%3e%3ctext fill='%23fff' style='font: 900 16px sans-serif' text-anchor='end' transform='matrix(0 -1 1 0 18 5)'%3eMushy%3c/text%3e%3c/svg%3e</v>
      </c>
      <c r="F356" s="10" t="str">
        <f t="shared" si="3"/>
        <v>https://svgtext.heliohost.us/cgi-bin/gen.perl?text=Mushy</v>
      </c>
      <c r="G356" s="11" t="str">
        <f t="shared" si="4"/>
        <v>data:image/svg+xml,%3csvg xmlns='http://www.w3.org/2000/svg' viewBox='0 0 24 216'%3e%3ctext fill='%23fff' style='font: 900 16px sans-serif' text-anchor='end' transform='matrix(0 -1 1 0 18 5)'%3eMushy%3c/text%3e%3c/svg%3e</v>
      </c>
      <c r="H356" s="8" t="s">
        <v>42</v>
      </c>
      <c r="I356" s="8">
        <f t="shared" ref="I356:J356" si="357">len(B356)</f>
        <v>5</v>
      </c>
      <c r="J356" s="8">
        <f t="shared" si="357"/>
        <v>16</v>
      </c>
      <c r="K356" s="8" t="s">
        <v>1017</v>
      </c>
    </row>
    <row r="357">
      <c r="A357" s="7" t="b">
        <v>1</v>
      </c>
      <c r="B357" s="8" t="s">
        <v>1018</v>
      </c>
      <c r="C357" s="8" t="s">
        <v>1019</v>
      </c>
      <c r="D357" s="8" t="str">
        <f>Q&amp;$K357&amp;Q&amp;":{"&amp;Q&amp;$B$2&amp;Q&amp;":"&amp;Q&amp;$B357&amp;Q&amp;","&amp;Q&amp;$C$2&amp;Q&amp;":"&amp;Q&amp;$C357&amp;Q&amp;","&amp;Q&amp;"sets"&amp;Q&amp;":"&amp;Q&amp;substitute(SUBSTITUTE($H357,"[",""),"]","")&amp;Q&amp;"},"</f>
        <v>"sbrf":{"label":"Mysterious","extra":"(secretive, puzzling, strange) ","sets":"Expansion Set 1, Party Set"},</v>
      </c>
      <c r="E357" s="9" t="str">
        <f t="shared" si="2"/>
        <v>data:image/svg+xml,%3csvg xmlns='http://www.w3.org/2000/svg' viewBox='0 0 24 216'%3e%3ctext fill='%23fff' style='font: 900 16px sans-serif' text-anchor='end' transform='matrix(0 -1 1 0 18 5)'%3eMysterious%3c/text%3e%3c/svg%3e</v>
      </c>
      <c r="F357" s="10" t="str">
        <f t="shared" si="3"/>
        <v>https://svgtext.heliohost.us/cgi-bin/gen.perl?text=Mysterious</v>
      </c>
      <c r="G357" s="11" t="str">
        <f t="shared" si="4"/>
        <v>data:image/svg+xml,%3csvg xmlns='http://www.w3.org/2000/svg' viewBox='0 0 24 216'%3e%3ctext fill='%23fff' style='font: 900 16px sans-serif' text-anchor='end' transform='matrix(0 -1 1 0 18 5)'%3eMysterious%3c/text%3e%3c/svg%3e</v>
      </c>
      <c r="H357" s="8" t="s">
        <v>25</v>
      </c>
      <c r="I357" s="8">
        <f t="shared" ref="I357:J357" si="358">len(B357)</f>
        <v>10</v>
      </c>
      <c r="J357" s="8">
        <f t="shared" si="358"/>
        <v>31</v>
      </c>
      <c r="K357" s="8" t="s">
        <v>1020</v>
      </c>
    </row>
    <row r="358">
      <c r="A358" s="7" t="b">
        <v>0</v>
      </c>
      <c r="B358" s="8" t="s">
        <v>1018</v>
      </c>
      <c r="C358" s="8" t="s">
        <v>1021</v>
      </c>
      <c r="D358" s="8" t="str">
        <f>Q&amp;$K358&amp;Q&amp;":{"&amp;Q&amp;$B$2&amp;Q&amp;":"&amp;Q&amp;$B358&amp;Q&amp;","&amp;Q&amp;$C$2&amp;Q&amp;":"&amp;Q&amp;$C358&amp;Q&amp;","&amp;Q&amp;"sets"&amp;Q&amp;":"&amp;Q&amp;substitute(SUBSTITUTE($H358,"[",""),"]","")&amp;Q&amp;"},"</f>
        <v>"atjp":{"label":"Mysterious","extra":"(strange, secretive) ","sets":"Junior 9+ (2nd)"},</v>
      </c>
      <c r="E358" s="9" t="str">
        <f t="shared" si="2"/>
        <v>data:image/svg+xml,%3csvg xmlns='http://www.w3.org/2000/svg' viewBox='0 0 24 216'%3e%3ctext fill='%23fff' style='font: 900 16px sans-serif' text-anchor='end' transform='matrix(0 -1 1 0 18 5)'%3eMysterious%3c/text%3e%3c/svg%3e</v>
      </c>
      <c r="F358" s="10" t="str">
        <f t="shared" si="3"/>
        <v>https://svgtext.heliohost.us/cgi-bin/gen.perl?text=Mysterious</v>
      </c>
      <c r="G358" s="11" t="str">
        <f t="shared" si="4"/>
        <v>data:image/svg+xml,%3csvg xmlns='http://www.w3.org/2000/svg' viewBox='0 0 24 216'%3e%3ctext fill='%23fff' style='font: 900 16px sans-serif' text-anchor='end' transform='matrix(0 -1 1 0 18 5)'%3eMysterious%3c/text%3e%3c/svg%3e</v>
      </c>
      <c r="H358" s="8" t="s">
        <v>32</v>
      </c>
      <c r="I358" s="8">
        <f t="shared" ref="I358:J358" si="359">len(B358)</f>
        <v>10</v>
      </c>
      <c r="J358" s="8">
        <f t="shared" si="359"/>
        <v>21</v>
      </c>
      <c r="K358" s="8" t="s">
        <v>1022</v>
      </c>
    </row>
    <row r="359">
      <c r="A359" s="7" t="b">
        <v>0</v>
      </c>
      <c r="B359" s="8" t="s">
        <v>1023</v>
      </c>
      <c r="C359" s="8" t="s">
        <v>1024</v>
      </c>
      <c r="D359" s="8" t="str">
        <f>Q&amp;$K359&amp;Q&amp;":{"&amp;Q&amp;$B$2&amp;Q&amp;":"&amp;Q&amp;$B359&amp;Q&amp;","&amp;Q&amp;$C$2&amp;Q&amp;":"&amp;Q&amp;$C359&amp;Q&amp;","&amp;Q&amp;"sets"&amp;Q&amp;":"&amp;Q&amp;substitute(SUBSTITUTE($H359,"[",""),"]","")&amp;Q&amp;"},"</f>
        <v>"lpeq":{"label":"Mystical","extra":"(spiritual, secretive, esoteric) ","sets":"Expansion Set 2, Party Set"},</v>
      </c>
      <c r="E359" s="9" t="str">
        <f t="shared" si="2"/>
        <v>data:image/svg+xml,%3csvg xmlns='http://www.w3.org/2000/svg' viewBox='0 0 24 216'%3e%3ctext fill='%23fff' style='font: 900 16px sans-serif' text-anchor='end' transform='matrix(0 -1 1 0 18 5)'%3eMystical%3c/text%3e%3c/svg%3e</v>
      </c>
      <c r="F359" s="10" t="str">
        <f t="shared" si="3"/>
        <v>https://svgtext.heliohost.us/cgi-bin/gen.perl?text=Mystical</v>
      </c>
      <c r="G359" s="11" t="str">
        <f t="shared" si="4"/>
        <v>data:image/svg+xml,%3csvg xmlns='http://www.w3.org/2000/svg' viewBox='0 0 24 216'%3e%3ctext fill='%23fff' style='font: 900 16px sans-serif' text-anchor='end' transform='matrix(0 -1 1 0 18 5)'%3eMystical%3c/text%3e%3c/svg%3e</v>
      </c>
      <c r="H359" s="8" t="s">
        <v>17</v>
      </c>
      <c r="I359" s="8">
        <f t="shared" ref="I359:J359" si="360">len(B359)</f>
        <v>8</v>
      </c>
      <c r="J359" s="8">
        <f t="shared" si="360"/>
        <v>33</v>
      </c>
      <c r="K359" s="8" t="s">
        <v>1025</v>
      </c>
    </row>
    <row r="360">
      <c r="A360" s="7" t="b">
        <v>0</v>
      </c>
      <c r="B360" s="8" t="s">
        <v>1026</v>
      </c>
      <c r="C360" s="8" t="s">
        <v>1027</v>
      </c>
      <c r="D360" s="8" t="str">
        <f>Q&amp;$K360&amp;Q&amp;":{"&amp;Q&amp;$B$2&amp;Q&amp;":"&amp;Q&amp;$B360&amp;Q&amp;","&amp;Q&amp;$C$2&amp;Q&amp;":"&amp;Q&amp;$C360&amp;Q&amp;","&amp;Q&amp;"sets"&amp;Q&amp;":"&amp;Q&amp;substitute(SUBSTITUTE($H360,"[",""),"]","")&amp;Q&amp;"},"</f>
        <v>"unnf":{"label":"Naive","extra":"(unsophisticated, childlike, simple) ","sets":"Expansion Set 1, Party Set"},</v>
      </c>
      <c r="E360" s="9" t="str">
        <f t="shared" si="2"/>
        <v>data:image/svg+xml,%3csvg xmlns='http://www.w3.org/2000/svg' viewBox='0 0 24 216'%3e%3ctext fill='%23fff' style='font: 900 16px sans-serif' text-anchor='end' transform='matrix(0 -1 1 0 18 5)'%3eNaive%3c/text%3e%3c/svg%3e</v>
      </c>
      <c r="F360" s="10" t="str">
        <f t="shared" si="3"/>
        <v>https://svgtext.heliohost.us/cgi-bin/gen.perl?text=Naive</v>
      </c>
      <c r="G360" s="11" t="str">
        <f t="shared" si="4"/>
        <v>data:image/svg+xml,%3csvg xmlns='http://www.w3.org/2000/svg' viewBox='0 0 24 216'%3e%3ctext fill='%23fff' style='font: 900 16px sans-serif' text-anchor='end' transform='matrix(0 -1 1 0 18 5)'%3eNaive%3c/text%3e%3c/svg%3e</v>
      </c>
      <c r="H360" s="8" t="s">
        <v>25</v>
      </c>
      <c r="I360" s="8">
        <f t="shared" ref="I360:J360" si="361">len(B360)</f>
        <v>5</v>
      </c>
      <c r="J360" s="8">
        <f t="shared" si="361"/>
        <v>37</v>
      </c>
      <c r="K360" s="8" t="s">
        <v>1028</v>
      </c>
    </row>
    <row r="361">
      <c r="A361" s="7" t="b">
        <v>0</v>
      </c>
      <c r="B361" s="8" t="s">
        <v>1029</v>
      </c>
      <c r="C361" s="8" t="s">
        <v>1030</v>
      </c>
      <c r="D361" s="8" t="str">
        <f>Q&amp;$K361&amp;Q&amp;":{"&amp;Q&amp;$B$2&amp;Q&amp;":"&amp;Q&amp;$B361&amp;Q&amp;","&amp;Q&amp;$C$2&amp;Q&amp;":"&amp;Q&amp;$C361&amp;Q&amp;","&amp;Q&amp;"sets"&amp;Q&amp;":"&amp;Q&amp;substitute(SUBSTITUTE($H361,"[",""),"]","")&amp;Q&amp;"},"</f>
        <v>"lfcq":{"label":"Nasty","extra":"(mean, inclement, offensive) ","sets":"Basic Set, Party Set"},</v>
      </c>
      <c r="E361" s="9" t="str">
        <f t="shared" si="2"/>
        <v>data:image/svg+xml,%3csvg xmlns='http://www.w3.org/2000/svg' viewBox='0 0 24 216'%3e%3ctext fill='%23fff' style='font: 900 16px sans-serif' text-anchor='end' transform='matrix(0 -1 1 0 18 5)'%3eNasty%3c/text%3e%3c/svg%3e</v>
      </c>
      <c r="F361" s="10" t="str">
        <f t="shared" si="3"/>
        <v>https://svgtext.heliohost.us/cgi-bin/gen.perl?text=Nasty</v>
      </c>
      <c r="G361" s="11" t="str">
        <f t="shared" si="4"/>
        <v>data:image/svg+xml,%3csvg xmlns='http://www.w3.org/2000/svg' viewBox='0 0 24 216'%3e%3ctext fill='%23fff' style='font: 900 16px sans-serif' text-anchor='end' transform='matrix(0 -1 1 0 18 5)'%3eNasty%3c/text%3e%3c/svg%3e</v>
      </c>
      <c r="H361" s="8" t="s">
        <v>29</v>
      </c>
      <c r="I361" s="8">
        <f t="shared" ref="I361:J361" si="362">len(B361)</f>
        <v>5</v>
      </c>
      <c r="J361" s="8">
        <f t="shared" si="362"/>
        <v>29</v>
      </c>
      <c r="K361" s="8" t="s">
        <v>1031</v>
      </c>
    </row>
    <row r="362">
      <c r="A362" s="7" t="b">
        <v>0</v>
      </c>
      <c r="B362" s="8" t="s">
        <v>1029</v>
      </c>
      <c r="C362" s="8" t="s">
        <v>1032</v>
      </c>
      <c r="D362" s="8" t="str">
        <f>Q&amp;$K362&amp;Q&amp;":{"&amp;Q&amp;$B$2&amp;Q&amp;":"&amp;Q&amp;$B362&amp;Q&amp;","&amp;Q&amp;$C$2&amp;Q&amp;":"&amp;Q&amp;$C362&amp;Q&amp;","&amp;Q&amp;"sets"&amp;Q&amp;":"&amp;Q&amp;substitute(SUBSTITUTE($H362,"[",""),"]","")&amp;Q&amp;"},"</f>
        <v>"ynac":{"label":"Nasty","extra":"(mean, wicked) ","sets":"Junior 9+ (2nd)"},</v>
      </c>
      <c r="E362" s="9" t="str">
        <f t="shared" si="2"/>
        <v>data:image/svg+xml,%3csvg xmlns='http://www.w3.org/2000/svg' viewBox='0 0 24 216'%3e%3ctext fill='%23fff' style='font: 900 16px sans-serif' text-anchor='end' transform='matrix(0 -1 1 0 18 5)'%3eNasty%3c/text%3e%3c/svg%3e</v>
      </c>
      <c r="F362" s="10" t="str">
        <f t="shared" si="3"/>
        <v>https://svgtext.heliohost.us/cgi-bin/gen.perl?text=Nasty</v>
      </c>
      <c r="G362" s="11" t="str">
        <f t="shared" si="4"/>
        <v>data:image/svg+xml,%3csvg xmlns='http://www.w3.org/2000/svg' viewBox='0 0 24 216'%3e%3ctext fill='%23fff' style='font: 900 16px sans-serif' text-anchor='end' transform='matrix(0 -1 1 0 18 5)'%3eNasty%3c/text%3e%3c/svg%3e</v>
      </c>
      <c r="H362" s="8" t="s">
        <v>32</v>
      </c>
      <c r="I362" s="8">
        <f t="shared" ref="I362:J362" si="363">len(B362)</f>
        <v>5</v>
      </c>
      <c r="J362" s="8">
        <f t="shared" si="363"/>
        <v>15</v>
      </c>
      <c r="K362" s="8" t="s">
        <v>1033</v>
      </c>
    </row>
    <row r="363">
      <c r="A363" s="7" t="b">
        <v>1</v>
      </c>
      <c r="B363" s="8" t="s">
        <v>1034</v>
      </c>
      <c r="C363" s="8" t="s">
        <v>1035</v>
      </c>
      <c r="D363" s="8" t="str">
        <f>Q&amp;$K363&amp;Q&amp;":{"&amp;Q&amp;$B$2&amp;Q&amp;":"&amp;Q&amp;$B363&amp;Q&amp;","&amp;Q&amp;$C$2&amp;Q&amp;":"&amp;Q&amp;$C363&amp;Q&amp;","&amp;Q&amp;"sets"&amp;Q&amp;":"&amp;Q&amp;substitute(SUBSTITUTE($H363,"[",""),"]","")&amp;Q&amp;"},"</f>
        <v>"tqgn":{"label":"Natural","extra":"(pure, simple, unadorned) ","sets":"Expansion Set 1, Party Set"},</v>
      </c>
      <c r="E363" s="9" t="str">
        <f t="shared" si="2"/>
        <v>data:image/svg+xml,%3csvg xmlns='http://www.w3.org/2000/svg' viewBox='0 0 24 216'%3e%3ctext fill='%23fff' style='font: 900 16px sans-serif' text-anchor='end' transform='matrix(0 -1 1 0 18 5)'%3eNatural%3c/text%3e%3c/svg%3e</v>
      </c>
      <c r="F363" s="10" t="str">
        <f t="shared" si="3"/>
        <v>https://svgtext.heliohost.us/cgi-bin/gen.perl?text=Natural</v>
      </c>
      <c r="G363" s="11" t="str">
        <f t="shared" si="4"/>
        <v>data:image/svg+xml,%3csvg xmlns='http://www.w3.org/2000/svg' viewBox='0 0 24 216'%3e%3ctext fill='%23fff' style='font: 900 16px sans-serif' text-anchor='end' transform='matrix(0 -1 1 0 18 5)'%3eNatural%3c/text%3e%3c/svg%3e</v>
      </c>
      <c r="H363" s="8" t="s">
        <v>25</v>
      </c>
      <c r="I363" s="8">
        <f t="shared" ref="I363:J363" si="364">len(B363)</f>
        <v>7</v>
      </c>
      <c r="J363" s="8">
        <f t="shared" si="364"/>
        <v>26</v>
      </c>
      <c r="K363" s="8" t="s">
        <v>1036</v>
      </c>
    </row>
    <row r="364">
      <c r="A364" s="7" t="b">
        <v>0</v>
      </c>
      <c r="B364" s="8" t="s">
        <v>1034</v>
      </c>
      <c r="C364" s="8" t="s">
        <v>1037</v>
      </c>
      <c r="D364" s="8" t="str">
        <f>Q&amp;$K364&amp;Q&amp;":{"&amp;Q&amp;$B$2&amp;Q&amp;":"&amp;Q&amp;$B364&amp;Q&amp;","&amp;Q&amp;$C$2&amp;Q&amp;":"&amp;Q&amp;$C364&amp;Q&amp;","&amp;Q&amp;"sets"&amp;Q&amp;":"&amp;Q&amp;substitute(SUBSTITUTE($H364,"[",""),"]","")&amp;Q&amp;"},"</f>
        <v>"ilwk":{"label":"Natural","extra":"(normal, pure) ","sets":"Junior 9+ (2nd)"},</v>
      </c>
      <c r="E364" s="9" t="str">
        <f t="shared" si="2"/>
        <v>data:image/svg+xml,%3csvg xmlns='http://www.w3.org/2000/svg' viewBox='0 0 24 216'%3e%3ctext fill='%23fff' style='font: 900 16px sans-serif' text-anchor='end' transform='matrix(0 -1 1 0 18 5)'%3eNatural%3c/text%3e%3c/svg%3e</v>
      </c>
      <c r="F364" s="10" t="str">
        <f t="shared" si="3"/>
        <v>https://svgtext.heliohost.us/cgi-bin/gen.perl?text=Natural</v>
      </c>
      <c r="G364" s="11" t="str">
        <f t="shared" si="4"/>
        <v>data:image/svg+xml,%3csvg xmlns='http://www.w3.org/2000/svg' viewBox='0 0 24 216'%3e%3ctext fill='%23fff' style='font: 900 16px sans-serif' text-anchor='end' transform='matrix(0 -1 1 0 18 5)'%3eNatural%3c/text%3e%3c/svg%3e</v>
      </c>
      <c r="H364" s="8" t="s">
        <v>32</v>
      </c>
      <c r="I364" s="8">
        <f t="shared" ref="I364:J364" si="365">len(B364)</f>
        <v>7</v>
      </c>
      <c r="J364" s="8">
        <f t="shared" si="365"/>
        <v>15</v>
      </c>
      <c r="K364" s="8" t="s">
        <v>1038</v>
      </c>
    </row>
    <row r="365">
      <c r="A365" s="7" t="b">
        <v>1</v>
      </c>
      <c r="B365" s="8" t="s">
        <v>1039</v>
      </c>
      <c r="C365" s="8" t="s">
        <v>1040</v>
      </c>
      <c r="D365" s="8" t="str">
        <f>Q&amp;$K365&amp;Q&amp;":{"&amp;Q&amp;$B$2&amp;Q&amp;":"&amp;Q&amp;$B365&amp;Q&amp;","&amp;Q&amp;$C$2&amp;Q&amp;":"&amp;Q&amp;$C365&amp;Q&amp;","&amp;Q&amp;"sets"&amp;Q&amp;":"&amp;Q&amp;substitute(SUBSTITUTE($H365,"[",""),"]","")&amp;Q&amp;"},"</f>
        <v>"guaj":{"label":"Naughty &amp; Nice","extra":"(impish, mischievous, playful) ","sets":"Expansion Set 4, Party Expansion 1"},</v>
      </c>
      <c r="E365" s="9" t="str">
        <f t="shared" si="2"/>
        <v>data:image/svg+xml,%3csvg xmlns='http://www.w3.org/2000/svg' viewBox='0 0 24 216'%3e%3ctext fill='%23fff' style='font: 900 16px sans-serif' text-anchor='end' transform='matrix(0 -1 1 0 18 5)'%3eNaughty %26amp%3B Nice%3c/text%3e%3c/svg%3e</v>
      </c>
      <c r="F365" s="10" t="str">
        <f t="shared" si="3"/>
        <v>https://svgtext.heliohost.us/cgi-bin/gen.perl?text=Naughty%20%26%20Nice</v>
      </c>
      <c r="G365" s="11" t="str">
        <f t="shared" si="4"/>
        <v>data:image/svg+xml,%3csvg xmlns='http://www.w3.org/2000/svg' viewBox='0 0 24 216'%3e%3ctext fill='%23fff' style='font: 900 16px sans-serif' text-anchor='end' transform='matrix(0 -1 1 0 18 5)'%3eNaughty %26amp%3B Nice%3c/text%3e%3c/svg%3e</v>
      </c>
      <c r="H365" s="8" t="s">
        <v>63</v>
      </c>
      <c r="I365" s="8">
        <f t="shared" ref="I365:J365" si="366">len(B365)</f>
        <v>14</v>
      </c>
      <c r="J365" s="8">
        <f t="shared" si="366"/>
        <v>31</v>
      </c>
      <c r="K365" s="8" t="s">
        <v>1041</v>
      </c>
    </row>
    <row r="366">
      <c r="A366" s="7" t="b">
        <v>0</v>
      </c>
      <c r="B366" s="8" t="s">
        <v>1042</v>
      </c>
      <c r="C366" s="8" t="s">
        <v>1043</v>
      </c>
      <c r="D366" s="8" t="str">
        <f>Q&amp;$K366&amp;Q&amp;":{"&amp;Q&amp;$B$2&amp;Q&amp;":"&amp;Q&amp;$B366&amp;Q&amp;","&amp;Q&amp;$C$2&amp;Q&amp;":"&amp;Q&amp;$C366&amp;Q&amp;","&amp;Q&amp;"sets"&amp;Q&amp;":"&amp;Q&amp;substitute(SUBSTITUTE($H366,"[",""),"]","")&amp;Q&amp;"},"</f>
        <v>"fumw":{"label":"Neat","extra":"(tidy, orderly, cool) ","sets":"Expansion Set 2, Party Set"},</v>
      </c>
      <c r="E366" s="9" t="str">
        <f t="shared" si="2"/>
        <v>data:image/svg+xml,%3csvg xmlns='http://www.w3.org/2000/svg' viewBox='0 0 24 216'%3e%3ctext fill='%23fff' style='font: 900 16px sans-serif' text-anchor='end' transform='matrix(0 -1 1 0 18 5)'%3eNeat%3c/text%3e%3c/svg%3e</v>
      </c>
      <c r="F366" s="10" t="str">
        <f t="shared" si="3"/>
        <v>https://svgtext.heliohost.us/cgi-bin/gen.perl?text=Neat</v>
      </c>
      <c r="G366" s="11" t="str">
        <f t="shared" si="4"/>
        <v>data:image/svg+xml,%3csvg xmlns='http://www.w3.org/2000/svg' viewBox='0 0 24 216'%3e%3ctext fill='%23fff' style='font: 900 16px sans-serif' text-anchor='end' transform='matrix(0 -1 1 0 18 5)'%3eNeat%3c/text%3e%3c/svg%3e</v>
      </c>
      <c r="H366" s="8" t="s">
        <v>17</v>
      </c>
      <c r="I366" s="8">
        <f t="shared" ref="I366:J366" si="367">len(B366)</f>
        <v>4</v>
      </c>
      <c r="J366" s="8">
        <f t="shared" si="367"/>
        <v>22</v>
      </c>
      <c r="K366" s="8" t="s">
        <v>1044</v>
      </c>
    </row>
    <row r="367">
      <c r="A367" s="7" t="b">
        <v>0</v>
      </c>
      <c r="B367" s="8" t="s">
        <v>1042</v>
      </c>
      <c r="C367" s="8" t="s">
        <v>1045</v>
      </c>
      <c r="D367" s="8" t="str">
        <f>Q&amp;$K367&amp;Q&amp;":{"&amp;Q&amp;$B$2&amp;Q&amp;":"&amp;Q&amp;$B367&amp;Q&amp;","&amp;Q&amp;$C$2&amp;Q&amp;":"&amp;Q&amp;$C367&amp;Q&amp;","&amp;Q&amp;"sets"&amp;Q&amp;":"&amp;Q&amp;substitute(SUBSTITUTE($H367,"[",""),"]","")&amp;Q&amp;"},"</f>
        <v>"wwhr":{"label":"Neat","extra":"(clean, orderly) ","sets":"Junior 9+ (1st) &amp; (2nd)"},</v>
      </c>
      <c r="E367" s="9" t="str">
        <f t="shared" si="2"/>
        <v>data:image/svg+xml,%3csvg xmlns='http://www.w3.org/2000/svg' viewBox='0 0 24 216'%3e%3ctext fill='%23fff' style='font: 900 16px sans-serif' text-anchor='end' transform='matrix(0 -1 1 0 18 5)'%3eNeat%3c/text%3e%3c/svg%3e</v>
      </c>
      <c r="F367" s="10" t="str">
        <f t="shared" si="3"/>
        <v>https://svgtext.heliohost.us/cgi-bin/gen.perl?text=Neat</v>
      </c>
      <c r="G367" s="11" t="str">
        <f t="shared" si="4"/>
        <v>data:image/svg+xml,%3csvg xmlns='http://www.w3.org/2000/svg' viewBox='0 0 24 216'%3e%3ctext fill='%23fff' style='font: 900 16px sans-serif' text-anchor='end' transform='matrix(0 -1 1 0 18 5)'%3eNeat%3c/text%3e%3c/svg%3e</v>
      </c>
      <c r="H367" s="8" t="s">
        <v>42</v>
      </c>
      <c r="I367" s="8">
        <f t="shared" ref="I367:J367" si="368">len(B367)</f>
        <v>4</v>
      </c>
      <c r="J367" s="8">
        <f t="shared" si="368"/>
        <v>17</v>
      </c>
      <c r="K367" s="8" t="s">
        <v>1046</v>
      </c>
    </row>
    <row r="368">
      <c r="A368" s="7" t="b">
        <v>1</v>
      </c>
      <c r="B368" s="8" t="s">
        <v>1047</v>
      </c>
      <c r="C368" s="8" t="s">
        <v>1048</v>
      </c>
      <c r="D368" s="8" t="str">
        <f>Q&amp;$K368&amp;Q&amp;":{"&amp;Q&amp;$B$2&amp;Q&amp;":"&amp;Q&amp;$B368&amp;Q&amp;","&amp;Q&amp;$C$2&amp;Q&amp;":"&amp;Q&amp;$C368&amp;Q&amp;","&amp;Q&amp;"sets"&amp;Q&amp;":"&amp;Q&amp;substitute(SUBSTITUTE($H368,"[",""),"]","")&amp;Q&amp;"},"</f>
        <v>"kmbk":{"label":"Neat &amp; Clean","extra":"(spotless, tidy, shipshape) ","sets":"Expansion Set 4, Party Expansion 1"},</v>
      </c>
      <c r="E368" s="9" t="str">
        <f t="shared" si="2"/>
        <v>data:image/svg+xml,%3csvg xmlns='http://www.w3.org/2000/svg' viewBox='0 0 24 216'%3e%3ctext fill='%23fff' style='font: 900 16px sans-serif' text-anchor='end' transform='matrix(0 -1 1 0 18 5)'%3eNeat %26amp%3B Clean%3c/text%3e%3c/svg%3e</v>
      </c>
      <c r="F368" s="10" t="str">
        <f t="shared" si="3"/>
        <v>https://svgtext.heliohost.us/cgi-bin/gen.perl?text=Neat%20%26%20Clean</v>
      </c>
      <c r="G368" s="11" t="str">
        <f t="shared" si="4"/>
        <v>data:image/svg+xml,%3csvg xmlns='http://www.w3.org/2000/svg' viewBox='0 0 24 216'%3e%3ctext fill='%23fff' style='font: 900 16px sans-serif' text-anchor='end' transform='matrix(0 -1 1 0 18 5)'%3eNeat %26amp%3B Clean%3c/text%3e%3c/svg%3e</v>
      </c>
      <c r="H368" s="8" t="s">
        <v>63</v>
      </c>
      <c r="I368" s="8">
        <f t="shared" ref="I368:J368" si="369">len(B368)</f>
        <v>12</v>
      </c>
      <c r="J368" s="8">
        <f t="shared" si="369"/>
        <v>28</v>
      </c>
      <c r="K368" s="8" t="s">
        <v>1049</v>
      </c>
    </row>
    <row r="369">
      <c r="A369" s="7" t="b">
        <v>0</v>
      </c>
      <c r="B369" s="8" t="s">
        <v>1050</v>
      </c>
      <c r="C369" s="8" t="s">
        <v>1051</v>
      </c>
      <c r="D369" s="8" t="str">
        <f>Q&amp;$K369&amp;Q&amp;":{"&amp;Q&amp;$B$2&amp;Q&amp;":"&amp;Q&amp;$B369&amp;Q&amp;","&amp;Q&amp;$C$2&amp;Q&amp;":"&amp;Q&amp;$C369&amp;Q&amp;","&amp;Q&amp;"sets"&amp;Q&amp;":"&amp;Q&amp;substitute(SUBSTITUTE($H369,"[",""),"]","")&amp;Q&amp;"},"</f>
        <v>"necr":{"label":"Neglected","extra":"(ignored, disregarded, rejected) ","sets":"Expansion Set 2, Party Set"},</v>
      </c>
      <c r="E369" s="9" t="str">
        <f t="shared" si="2"/>
        <v>data:image/svg+xml,%3csvg xmlns='http://www.w3.org/2000/svg' viewBox='0 0 24 216'%3e%3ctext fill='%23fff' style='font: 900 16px sans-serif' text-anchor='end' transform='matrix(0 -1 1 0 18 5)'%3eNeglected%3c/text%3e%3c/svg%3e</v>
      </c>
      <c r="F369" s="10" t="str">
        <f t="shared" si="3"/>
        <v>https://svgtext.heliohost.us/cgi-bin/gen.perl?text=Neglected</v>
      </c>
      <c r="G369" s="11" t="str">
        <f t="shared" si="4"/>
        <v>data:image/svg+xml,%3csvg xmlns='http://www.w3.org/2000/svg' viewBox='0 0 24 216'%3e%3ctext fill='%23fff' style='font: 900 16px sans-serif' text-anchor='end' transform='matrix(0 -1 1 0 18 5)'%3eNeglected%3c/text%3e%3c/svg%3e</v>
      </c>
      <c r="H369" s="8" t="s">
        <v>17</v>
      </c>
      <c r="I369" s="8">
        <f t="shared" ref="I369:J369" si="370">len(B369)</f>
        <v>9</v>
      </c>
      <c r="J369" s="8">
        <f t="shared" si="370"/>
        <v>33</v>
      </c>
      <c r="K369" s="8" t="s">
        <v>1052</v>
      </c>
    </row>
    <row r="370">
      <c r="A370" s="7" t="b">
        <v>0</v>
      </c>
      <c r="B370" s="8" t="s">
        <v>1053</v>
      </c>
      <c r="C370" s="8" t="s">
        <v>1054</v>
      </c>
      <c r="D370" s="8" t="str">
        <f>Q&amp;$K370&amp;Q&amp;":{"&amp;Q&amp;$B$2&amp;Q&amp;":"&amp;Q&amp;$B370&amp;Q&amp;","&amp;Q&amp;$C$2&amp;Q&amp;":"&amp;Q&amp;$C370&amp;Q&amp;","&amp;Q&amp;"sets"&amp;Q&amp;":"&amp;Q&amp;substitute(SUBSTITUTE($H370,"[",""),"]","")&amp;Q&amp;"},"</f>
        <v>"xjxb":{"label":"Nerdy","extra":"(unhip, uncool, dorky) ","sets":"Basic Set, Party Set"},</v>
      </c>
      <c r="E370" s="9" t="str">
        <f t="shared" si="2"/>
        <v>data:image/svg+xml,%3csvg xmlns='http://www.w3.org/2000/svg' viewBox='0 0 24 216'%3e%3ctext fill='%23fff' style='font: 900 16px sans-serif' text-anchor='end' transform='matrix(0 -1 1 0 18 5)'%3eNerdy%3c/text%3e%3c/svg%3e</v>
      </c>
      <c r="F370" s="10" t="str">
        <f t="shared" si="3"/>
        <v>https://svgtext.heliohost.us/cgi-bin/gen.perl?text=Nerdy</v>
      </c>
      <c r="G370" s="11" t="str">
        <f t="shared" si="4"/>
        <v>data:image/svg+xml,%3csvg xmlns='http://www.w3.org/2000/svg' viewBox='0 0 24 216'%3e%3ctext fill='%23fff' style='font: 900 16px sans-serif' text-anchor='end' transform='matrix(0 -1 1 0 18 5)'%3eNerdy%3c/text%3e%3c/svg%3e</v>
      </c>
      <c r="H370" s="8" t="s">
        <v>29</v>
      </c>
      <c r="I370" s="8">
        <f t="shared" ref="I370:J370" si="371">len(B370)</f>
        <v>5</v>
      </c>
      <c r="J370" s="8">
        <f t="shared" si="371"/>
        <v>23</v>
      </c>
      <c r="K370" s="8" t="s">
        <v>1055</v>
      </c>
    </row>
    <row r="371">
      <c r="A371" s="7" t="b">
        <v>0</v>
      </c>
      <c r="B371" s="8" t="s">
        <v>1056</v>
      </c>
      <c r="C371" s="8" t="s">
        <v>1057</v>
      </c>
      <c r="D371" s="8" t="str">
        <f>Q&amp;$K371&amp;Q&amp;":{"&amp;Q&amp;$B$2&amp;Q&amp;":"&amp;Q&amp;$B371&amp;Q&amp;","&amp;Q&amp;$C$2&amp;Q&amp;":"&amp;Q&amp;$C371&amp;Q&amp;","&amp;Q&amp;"sets"&amp;Q&amp;":"&amp;Q&amp;substitute(SUBSTITUTE($H371,"[",""),"]","")&amp;Q&amp;"},"</f>
        <v>"xbvk":{"label":"New","extra":"(fresh, modern) ","sets":"Junior"},</v>
      </c>
      <c r="E371" s="9" t="str">
        <f t="shared" si="2"/>
        <v>data:image/svg+xml,%3csvg xmlns='http://www.w3.org/2000/svg' viewBox='0 0 24 216'%3e%3ctext fill='%23fff' style='font: 900 16px sans-serif' text-anchor='end' transform='matrix(0 -1 1 0 18 5)'%3eNew%3c/text%3e%3c/svg%3e</v>
      </c>
      <c r="F371" s="10" t="str">
        <f t="shared" si="3"/>
        <v>https://svgtext.heliohost.us/cgi-bin/gen.perl?text=New</v>
      </c>
      <c r="G371" s="11" t="str">
        <f t="shared" si="4"/>
        <v>data:image/svg+xml,%3csvg xmlns='http://www.w3.org/2000/svg' viewBox='0 0 24 216'%3e%3ctext fill='%23fff' style='font: 900 16px sans-serif' text-anchor='end' transform='matrix(0 -1 1 0 18 5)'%3eNew%3c/text%3e%3c/svg%3e</v>
      </c>
      <c r="H371" s="8" t="s">
        <v>84</v>
      </c>
      <c r="I371" s="8">
        <f t="shared" ref="I371:J371" si="372">len(B371)</f>
        <v>3</v>
      </c>
      <c r="J371" s="8">
        <f t="shared" si="372"/>
        <v>16</v>
      </c>
      <c r="K371" s="8" t="s">
        <v>1058</v>
      </c>
    </row>
    <row r="372">
      <c r="A372" s="7" t="b">
        <v>1</v>
      </c>
      <c r="B372" s="8" t="s">
        <v>1059</v>
      </c>
      <c r="C372" s="8" t="s">
        <v>1060</v>
      </c>
      <c r="D372" s="8" t="str">
        <f>Q&amp;$K372&amp;Q&amp;":{"&amp;Q&amp;$B$2&amp;Q&amp;":"&amp;Q&amp;$B372&amp;Q&amp;","&amp;Q&amp;$C$2&amp;Q&amp;":"&amp;Q&amp;$C372&amp;Q&amp;","&amp;Q&amp;"sets"&amp;Q&amp;":"&amp;Q&amp;substitute(SUBSTITUTE($H372,"[",""),"]","")&amp;Q&amp;"},"</f>
        <v>"tadj":{"label":"New &amp; Improved","extra":"(upgraded, enhanced, revised) ","sets":"Expansion Set 4, Party Expansion 1"},</v>
      </c>
      <c r="E372" s="9" t="str">
        <f t="shared" si="2"/>
        <v>data:image/svg+xml,%3csvg xmlns='http://www.w3.org/2000/svg' viewBox='0 0 24 216'%3e%3ctext fill='%23fff' style='font: 900 16px sans-serif' text-anchor='end' transform='matrix(0 -1 1 0 18 5)'%3eNew %26amp%3B Improved%3c/text%3e%3c/svg%3e</v>
      </c>
      <c r="F372" s="10" t="str">
        <f t="shared" si="3"/>
        <v>https://svgtext.heliohost.us/cgi-bin/gen.perl?text=New%20%26%20Improved</v>
      </c>
      <c r="G372" s="11" t="str">
        <f t="shared" si="4"/>
        <v>data:image/svg+xml,%3csvg xmlns='http://www.w3.org/2000/svg' viewBox='0 0 24 216'%3e%3ctext fill='%23fff' style='font: 900 16px sans-serif' text-anchor='end' transform='matrix(0 -1 1 0 18 5)'%3eNew %26amp%3B Improved%3c/text%3e%3c/svg%3e</v>
      </c>
      <c r="H372" s="8" t="s">
        <v>63</v>
      </c>
      <c r="I372" s="8">
        <f t="shared" ref="I372:J372" si="373">len(B372)</f>
        <v>14</v>
      </c>
      <c r="J372" s="8">
        <f t="shared" si="373"/>
        <v>30</v>
      </c>
      <c r="K372" s="8" t="s">
        <v>1061</v>
      </c>
    </row>
    <row r="373">
      <c r="A373" s="7" t="b">
        <v>0</v>
      </c>
      <c r="B373" s="8" t="s">
        <v>1062</v>
      </c>
      <c r="C373" s="8" t="s">
        <v>1063</v>
      </c>
      <c r="D373" s="8" t="str">
        <f>Q&amp;$K373&amp;Q&amp;":{"&amp;Q&amp;$B$2&amp;Q&amp;":"&amp;Q&amp;$B373&amp;Q&amp;","&amp;Q&amp;$C$2&amp;Q&amp;":"&amp;Q&amp;$C373&amp;Q&amp;","&amp;Q&amp;"sets"&amp;Q&amp;":"&amp;Q&amp;substitute(SUBSTITUTE($H373,"[",""),"]","")&amp;Q&amp;"},"</f>
        <v>"eptq":{"label":"Nice","extra":"(pleasant, kind) ","sets":"Junior"},</v>
      </c>
      <c r="E373" s="9" t="str">
        <f t="shared" si="2"/>
        <v>data:image/svg+xml,%3csvg xmlns='http://www.w3.org/2000/svg' viewBox='0 0 24 216'%3e%3ctext fill='%23fff' style='font: 900 16px sans-serif' text-anchor='end' transform='matrix(0 -1 1 0 18 5)'%3eNice%3c/text%3e%3c/svg%3e</v>
      </c>
      <c r="F373" s="10" t="str">
        <f t="shared" si="3"/>
        <v>https://svgtext.heliohost.us/cgi-bin/gen.perl?text=Nice</v>
      </c>
      <c r="G373" s="11" t="str">
        <f t="shared" si="4"/>
        <v>data:image/svg+xml,%3csvg xmlns='http://www.w3.org/2000/svg' viewBox='0 0 24 216'%3e%3ctext fill='%23fff' style='font: 900 16px sans-serif' text-anchor='end' transform='matrix(0 -1 1 0 18 5)'%3eNice%3c/text%3e%3c/svg%3e</v>
      </c>
      <c r="H373" s="8" t="s">
        <v>84</v>
      </c>
      <c r="I373" s="8">
        <f t="shared" ref="I373:J373" si="374">len(B373)</f>
        <v>4</v>
      </c>
      <c r="J373" s="8">
        <f t="shared" si="374"/>
        <v>17</v>
      </c>
      <c r="K373" s="8" t="s">
        <v>1064</v>
      </c>
    </row>
    <row r="374">
      <c r="A374" s="7" t="b">
        <v>0</v>
      </c>
      <c r="B374" s="8" t="s">
        <v>1065</v>
      </c>
      <c r="C374" s="8" t="s">
        <v>1066</v>
      </c>
      <c r="D374" s="8" t="str">
        <f>Q&amp;$K374&amp;Q&amp;":{"&amp;Q&amp;$B$2&amp;Q&amp;":"&amp;Q&amp;$B374&amp;Q&amp;","&amp;Q&amp;$C$2&amp;Q&amp;":"&amp;Q&amp;$C374&amp;Q&amp;","&amp;Q&amp;"sets"&amp;Q&amp;":"&amp;Q&amp;substitute(SUBSTITUTE($H374,"[",""),"]","")&amp;Q&amp;"},"</f>
        <v>"ffhp":{"label":"Noisy","extra":"(loud, not quiet) ","sets":"Junior"},</v>
      </c>
      <c r="E374" s="9" t="str">
        <f t="shared" si="2"/>
        <v>data:image/svg+xml,%3csvg xmlns='http://www.w3.org/2000/svg' viewBox='0 0 24 216'%3e%3ctext fill='%23fff' style='font: 900 16px sans-serif' text-anchor='end' transform='matrix(0 -1 1 0 18 5)'%3eNoisy%3c/text%3e%3c/svg%3e</v>
      </c>
      <c r="F374" s="10" t="str">
        <f t="shared" si="3"/>
        <v>https://svgtext.heliohost.us/cgi-bin/gen.perl?text=Noisy</v>
      </c>
      <c r="G374" s="11" t="str">
        <f t="shared" si="4"/>
        <v>data:image/svg+xml,%3csvg xmlns='http://www.w3.org/2000/svg' viewBox='0 0 24 216'%3e%3ctext fill='%23fff' style='font: 900 16px sans-serif' text-anchor='end' transform='matrix(0 -1 1 0 18 5)'%3eNoisy%3c/text%3e%3c/svg%3e</v>
      </c>
      <c r="H374" s="8" t="s">
        <v>84</v>
      </c>
      <c r="I374" s="8">
        <f t="shared" ref="I374:J374" si="375">len(B374)</f>
        <v>5</v>
      </c>
      <c r="J374" s="8">
        <f t="shared" si="375"/>
        <v>18</v>
      </c>
      <c r="K374" s="8" t="s">
        <v>1067</v>
      </c>
    </row>
    <row r="375">
      <c r="A375" s="7" t="b">
        <v>1</v>
      </c>
      <c r="B375" s="8" t="s">
        <v>1068</v>
      </c>
      <c r="C375" s="8" t="s">
        <v>1069</v>
      </c>
      <c r="D375" s="8" t="str">
        <f>Q&amp;$K375&amp;Q&amp;":{"&amp;Q&amp;$B$2&amp;Q&amp;":"&amp;Q&amp;$B375&amp;Q&amp;","&amp;Q&amp;$C$2&amp;Q&amp;":"&amp;Q&amp;$C375&amp;Q&amp;","&amp;Q&amp;"sets"&amp;Q&amp;":"&amp;Q&amp;substitute(SUBSTITUTE($H375,"[",""),"]","")&amp;Q&amp;"},"</f>
        <v>"babv":{"label":"Normal","extra":"(usual, common, ordinary) ","sets":"Basic Set, Party Set"},</v>
      </c>
      <c r="E375" s="9" t="str">
        <f t="shared" si="2"/>
        <v>data:image/svg+xml,%3csvg xmlns='http://www.w3.org/2000/svg' viewBox='0 0 24 216'%3e%3ctext fill='%23fff' style='font: 900 16px sans-serif' text-anchor='end' transform='matrix(0 -1 1 0 18 5)'%3eNormal%3c/text%3e%3c/svg%3e</v>
      </c>
      <c r="F375" s="10" t="str">
        <f t="shared" si="3"/>
        <v>https://svgtext.heliohost.us/cgi-bin/gen.perl?text=Normal</v>
      </c>
      <c r="G375" s="11" t="str">
        <f t="shared" si="4"/>
        <v>data:image/svg+xml,%3csvg xmlns='http://www.w3.org/2000/svg' viewBox='0 0 24 216'%3e%3ctext fill='%23fff' style='font: 900 16px sans-serif' text-anchor='end' transform='matrix(0 -1 1 0 18 5)'%3eNormal%3c/text%3e%3c/svg%3e</v>
      </c>
      <c r="H375" s="8" t="s">
        <v>29</v>
      </c>
      <c r="I375" s="8">
        <f t="shared" ref="I375:J375" si="376">len(B375)</f>
        <v>6</v>
      </c>
      <c r="J375" s="8">
        <f t="shared" si="376"/>
        <v>26</v>
      </c>
      <c r="K375" s="8" t="s">
        <v>1070</v>
      </c>
    </row>
    <row r="376">
      <c r="A376" s="7" t="b">
        <v>1</v>
      </c>
      <c r="B376" s="8" t="s">
        <v>1071</v>
      </c>
      <c r="C376" s="8" t="s">
        <v>1072</v>
      </c>
      <c r="D376" s="8" t="str">
        <f>Q&amp;$K376&amp;Q&amp;":{"&amp;Q&amp;$B$2&amp;Q&amp;":"&amp;Q&amp;$B376&amp;Q&amp;","&amp;Q&amp;$C$2&amp;Q&amp;":"&amp;Q&amp;$C376&amp;Q&amp;","&amp;Q&amp;"sets"&amp;Q&amp;":"&amp;Q&amp;substitute(SUBSTITUTE($H376,"[",""),"]","")&amp;Q&amp;"},"</f>
        <v>"nhoe":{"label":"Nutty","extra":"(kooky, foolish, nutlike) ","sets":"Expansion Set 3, Party Expansion 1"},</v>
      </c>
      <c r="E376" s="9" t="str">
        <f t="shared" si="2"/>
        <v>data:image/svg+xml,%3csvg xmlns='http://www.w3.org/2000/svg' viewBox='0 0 24 216'%3e%3ctext fill='%23fff' style='font: 900 16px sans-serif' text-anchor='end' transform='matrix(0 -1 1 0 18 5)'%3eNutty%3c/text%3e%3c/svg%3e</v>
      </c>
      <c r="F376" s="10" t="str">
        <f t="shared" si="3"/>
        <v>https://svgtext.heliohost.us/cgi-bin/gen.perl?text=Nutty</v>
      </c>
      <c r="G376" s="11" t="str">
        <f t="shared" si="4"/>
        <v>data:image/svg+xml,%3csvg xmlns='http://www.w3.org/2000/svg' viewBox='0 0 24 216'%3e%3ctext fill='%23fff' style='font: 900 16px sans-serif' text-anchor='end' transform='matrix(0 -1 1 0 18 5)'%3eNutty%3c/text%3e%3c/svg%3e</v>
      </c>
      <c r="H376" s="8" t="s">
        <v>39</v>
      </c>
      <c r="I376" s="8">
        <f t="shared" ref="I376:J376" si="377">len(B376)</f>
        <v>5</v>
      </c>
      <c r="J376" s="8">
        <f t="shared" si="377"/>
        <v>26</v>
      </c>
      <c r="K376" s="8" t="s">
        <v>1073</v>
      </c>
    </row>
    <row r="377">
      <c r="A377" s="7" t="b">
        <v>0</v>
      </c>
      <c r="B377" s="8" t="s">
        <v>1074</v>
      </c>
      <c r="C377" s="8" t="s">
        <v>1075</v>
      </c>
      <c r="D377" s="8" t="str">
        <f>Q&amp;$K377&amp;Q&amp;":{"&amp;Q&amp;$B$2&amp;Q&amp;":"&amp;Q&amp;$B377&amp;Q&amp;","&amp;Q&amp;$C$2&amp;Q&amp;":"&amp;Q&amp;$C377&amp;Q&amp;","&amp;Q&amp;"sets"&amp;Q&amp;":"&amp;Q&amp;substitute(SUBSTITUTE($H377,"[",""),"]","")&amp;Q&amp;"},"</f>
        <v>"kdcd":{"label":"Obnoxious","extra":"(offensive, repulsive, annoying) ","sets":"Basic Set, Party Set"},</v>
      </c>
      <c r="E377" s="9" t="str">
        <f t="shared" si="2"/>
        <v>data:image/svg+xml,%3csvg xmlns='http://www.w3.org/2000/svg' viewBox='0 0 24 216'%3e%3ctext fill='%23fff' style='font: 900 16px sans-serif' text-anchor='end' transform='matrix(0 -1 1 0 18 5)'%3eObnoxious%3c/text%3e%3c/svg%3e</v>
      </c>
      <c r="F377" s="10" t="str">
        <f t="shared" si="3"/>
        <v>https://svgtext.heliohost.us/cgi-bin/gen.perl?text=Obnoxious</v>
      </c>
      <c r="G377" s="11" t="str">
        <f t="shared" si="4"/>
        <v>data:image/svg+xml,%3csvg xmlns='http://www.w3.org/2000/svg' viewBox='0 0 24 216'%3e%3ctext fill='%23fff' style='font: 900 16px sans-serif' text-anchor='end' transform='matrix(0 -1 1 0 18 5)'%3eObnoxious%3c/text%3e%3c/svg%3e</v>
      </c>
      <c r="H377" s="8" t="s">
        <v>29</v>
      </c>
      <c r="I377" s="8">
        <f t="shared" ref="I377:J377" si="378">len(B377)</f>
        <v>9</v>
      </c>
      <c r="J377" s="8">
        <f t="shared" si="378"/>
        <v>33</v>
      </c>
      <c r="K377" s="8" t="s">
        <v>1076</v>
      </c>
    </row>
    <row r="378">
      <c r="A378" s="7" t="b">
        <v>1</v>
      </c>
      <c r="B378" s="8" t="s">
        <v>1077</v>
      </c>
      <c r="C378" s="8" t="s">
        <v>1078</v>
      </c>
      <c r="D378" s="8" t="str">
        <f>Q&amp;$K378&amp;Q&amp;":{"&amp;Q&amp;$B$2&amp;Q&amp;":"&amp;Q&amp;$B378&amp;Q&amp;","&amp;Q&amp;$C$2&amp;Q&amp;":"&amp;Q&amp;$C378&amp;Q&amp;","&amp;Q&amp;"sets"&amp;Q&amp;":"&amp;Q&amp;substitute(SUBSTITUTE($H378,"[",""),"]","")&amp;Q&amp;"},"</f>
        <v>"yzcv":{"label":"Obscene","extra":"(offensive, indecent, lewd) ","sets":"Expansion Set 3, Party Expansion 1"},</v>
      </c>
      <c r="E378" s="9" t="str">
        <f t="shared" si="2"/>
        <v>data:image/svg+xml,%3csvg xmlns='http://www.w3.org/2000/svg' viewBox='0 0 24 216'%3e%3ctext fill='%23fff' style='font: 900 16px sans-serif' text-anchor='end' transform='matrix(0 -1 1 0 18 5)'%3eObscene%3c/text%3e%3c/svg%3e</v>
      </c>
      <c r="F378" s="10" t="str">
        <f t="shared" si="3"/>
        <v>https://svgtext.heliohost.us/cgi-bin/gen.perl?text=Obscene</v>
      </c>
      <c r="G378" s="11" t="str">
        <f t="shared" si="4"/>
        <v>data:image/svg+xml,%3csvg xmlns='http://www.w3.org/2000/svg' viewBox='0 0 24 216'%3e%3ctext fill='%23fff' style='font: 900 16px sans-serif' text-anchor='end' transform='matrix(0 -1 1 0 18 5)'%3eObscene%3c/text%3e%3c/svg%3e</v>
      </c>
      <c r="H378" s="8" t="s">
        <v>39</v>
      </c>
      <c r="I378" s="8">
        <f t="shared" ref="I378:J378" si="379">len(B378)</f>
        <v>7</v>
      </c>
      <c r="J378" s="8">
        <f t="shared" si="379"/>
        <v>28</v>
      </c>
      <c r="K378" s="8" t="s">
        <v>1079</v>
      </c>
    </row>
    <row r="379">
      <c r="A379" s="7" t="b">
        <v>1</v>
      </c>
      <c r="B379" s="8" t="s">
        <v>1080</v>
      </c>
      <c r="C379" s="8" t="s">
        <v>1081</v>
      </c>
      <c r="D379" s="8" t="str">
        <f>Q&amp;$K379&amp;Q&amp;":{"&amp;Q&amp;$B$2&amp;Q&amp;":"&amp;Q&amp;$B379&amp;Q&amp;","&amp;Q&amp;$C$2&amp;Q&amp;":"&amp;Q&amp;$C379&amp;Q&amp;","&amp;Q&amp;"sets"&amp;Q&amp;":"&amp;Q&amp;substitute(SUBSTITUTE($H379,"[",""),"]","")&amp;Q&amp;"},"</f>
        <v>"edot":{"label":"Odd","extra":"(different, eccentric, bizarre) ","sets":"Basic Set, Party Set"},</v>
      </c>
      <c r="E379" s="9" t="str">
        <f t="shared" si="2"/>
        <v>data:image/svg+xml,%3csvg xmlns='http://www.w3.org/2000/svg' viewBox='0 0 24 216'%3e%3ctext fill='%23fff' style='font: 900 16px sans-serif' text-anchor='end' transform='matrix(0 -1 1 0 18 5)'%3eOdd%3c/text%3e%3c/svg%3e</v>
      </c>
      <c r="F379" s="10" t="str">
        <f t="shared" si="3"/>
        <v>https://svgtext.heliohost.us/cgi-bin/gen.perl?text=Odd</v>
      </c>
      <c r="G379" s="11" t="str">
        <f t="shared" si="4"/>
        <v>data:image/svg+xml,%3csvg xmlns='http://www.w3.org/2000/svg' viewBox='0 0 24 216'%3e%3ctext fill='%23fff' style='font: 900 16px sans-serif' text-anchor='end' transform='matrix(0 -1 1 0 18 5)'%3eOdd%3c/text%3e%3c/svg%3e</v>
      </c>
      <c r="H379" s="8" t="s">
        <v>29</v>
      </c>
      <c r="I379" s="8">
        <f t="shared" ref="I379:J379" si="380">len(B379)</f>
        <v>3</v>
      </c>
      <c r="J379" s="8">
        <f t="shared" si="380"/>
        <v>32</v>
      </c>
      <c r="K379" s="8" t="s">
        <v>1082</v>
      </c>
    </row>
    <row r="380">
      <c r="A380" s="7" t="b">
        <v>0</v>
      </c>
      <c r="B380" s="8" t="s">
        <v>1080</v>
      </c>
      <c r="C380" s="8" t="s">
        <v>1083</v>
      </c>
      <c r="D380" s="8" t="str">
        <f>Q&amp;$K380&amp;Q&amp;":{"&amp;Q&amp;$B$2&amp;Q&amp;":"&amp;Q&amp;$B380&amp;Q&amp;","&amp;Q&amp;$C$2&amp;Q&amp;":"&amp;Q&amp;$C380&amp;Q&amp;","&amp;Q&amp;"sets"&amp;Q&amp;":"&amp;Q&amp;substitute(SUBSTITUTE($H380,"[",""),"]","")&amp;Q&amp;"},"</f>
        <v>"mued":{"label":"Odd","extra":"(unusual, strange) ","sets":"Junior 9+ (1st) &amp; (2nd)"},</v>
      </c>
      <c r="E380" s="9" t="str">
        <f t="shared" si="2"/>
        <v>data:image/svg+xml,%3csvg xmlns='http://www.w3.org/2000/svg' viewBox='0 0 24 216'%3e%3ctext fill='%23fff' style='font: 900 16px sans-serif' text-anchor='end' transform='matrix(0 -1 1 0 18 5)'%3eOdd%3c/text%3e%3c/svg%3e</v>
      </c>
      <c r="F380" s="10" t="str">
        <f t="shared" si="3"/>
        <v>https://svgtext.heliohost.us/cgi-bin/gen.perl?text=Odd</v>
      </c>
      <c r="G380" s="11" t="str">
        <f t="shared" si="4"/>
        <v>data:image/svg+xml,%3csvg xmlns='http://www.w3.org/2000/svg' viewBox='0 0 24 216'%3e%3ctext fill='%23fff' style='font: 900 16px sans-serif' text-anchor='end' transform='matrix(0 -1 1 0 18 5)'%3eOdd%3c/text%3e%3c/svg%3e</v>
      </c>
      <c r="H380" s="8" t="s">
        <v>42</v>
      </c>
      <c r="I380" s="8">
        <f t="shared" ref="I380:J380" si="381">len(B380)</f>
        <v>3</v>
      </c>
      <c r="J380" s="8">
        <f t="shared" si="381"/>
        <v>19</v>
      </c>
      <c r="K380" s="8" t="s">
        <v>1084</v>
      </c>
    </row>
    <row r="381">
      <c r="A381" s="7" t="b">
        <v>0</v>
      </c>
      <c r="B381" s="8" t="s">
        <v>1085</v>
      </c>
      <c r="C381" s="8" t="s">
        <v>1086</v>
      </c>
      <c r="D381" s="8" t="str">
        <f>Q&amp;$K381&amp;Q&amp;":{"&amp;Q&amp;$B$2&amp;Q&amp;":"&amp;Q&amp;$B381&amp;Q&amp;","&amp;Q&amp;$C$2&amp;Q&amp;":"&amp;Q&amp;$C381&amp;Q&amp;","&amp;Q&amp;"sets"&amp;Q&amp;":"&amp;Q&amp;substitute(SUBSTITUTE($H381,"[",""),"]","")&amp;Q&amp;"},"</f>
        <v>"crgq":{"label":"Offensive","extra":"(insulting, vulgar, attacking) ","sets":"Basic Set, Party Set"},</v>
      </c>
      <c r="E381" s="9" t="str">
        <f t="shared" si="2"/>
        <v>data:image/svg+xml,%3csvg xmlns='http://www.w3.org/2000/svg' viewBox='0 0 24 216'%3e%3ctext fill='%23fff' style='font: 900 16px sans-serif' text-anchor='end' transform='matrix(0 -1 1 0 18 5)'%3eOffensive%3c/text%3e%3c/svg%3e</v>
      </c>
      <c r="F381" s="10" t="str">
        <f t="shared" si="3"/>
        <v>https://svgtext.heliohost.us/cgi-bin/gen.perl?text=Offensive</v>
      </c>
      <c r="G381" s="11" t="str">
        <f t="shared" si="4"/>
        <v>data:image/svg+xml,%3csvg xmlns='http://www.w3.org/2000/svg' viewBox='0 0 24 216'%3e%3ctext fill='%23fff' style='font: 900 16px sans-serif' text-anchor='end' transform='matrix(0 -1 1 0 18 5)'%3eOffensive%3c/text%3e%3c/svg%3e</v>
      </c>
      <c r="H381" s="8" t="s">
        <v>29</v>
      </c>
      <c r="I381" s="8">
        <f t="shared" ref="I381:J381" si="382">len(B381)</f>
        <v>9</v>
      </c>
      <c r="J381" s="8">
        <f t="shared" si="382"/>
        <v>31</v>
      </c>
      <c r="K381" s="8" t="s">
        <v>1087</v>
      </c>
    </row>
    <row r="382">
      <c r="A382" s="7" t="b">
        <v>1</v>
      </c>
      <c r="B382" s="8" t="s">
        <v>1088</v>
      </c>
      <c r="C382" s="8" t="s">
        <v>1089</v>
      </c>
      <c r="D382" s="8" t="str">
        <f>Q&amp;$K382&amp;Q&amp;":{"&amp;Q&amp;$B$2&amp;Q&amp;":"&amp;Q&amp;$B382&amp;Q&amp;","&amp;Q&amp;$C$2&amp;Q&amp;":"&amp;Q&amp;$C382&amp;Q&amp;","&amp;Q&amp;"sets"&amp;Q&amp;":"&amp;Q&amp;substitute(SUBSTITUTE($H382,"[",""),"]","")&amp;Q&amp;"},"</f>
        <v>"tnqv":{"label":"Old","extra":"(aged, elderly, antiquated) ","sets":"Expansion Set 3, Party Expansion 1"},</v>
      </c>
      <c r="E382" s="9" t="str">
        <f t="shared" si="2"/>
        <v>data:image/svg+xml,%3csvg xmlns='http://www.w3.org/2000/svg' viewBox='0 0 24 216'%3e%3ctext fill='%23fff' style='font: 900 16px sans-serif' text-anchor='end' transform='matrix(0 -1 1 0 18 5)'%3eOld%3c/text%3e%3c/svg%3e</v>
      </c>
      <c r="F382" s="10" t="str">
        <f t="shared" si="3"/>
        <v>https://svgtext.heliohost.us/cgi-bin/gen.perl?text=Old</v>
      </c>
      <c r="G382" s="11" t="str">
        <f t="shared" si="4"/>
        <v>data:image/svg+xml,%3csvg xmlns='http://www.w3.org/2000/svg' viewBox='0 0 24 216'%3e%3ctext fill='%23fff' style='font: 900 16px sans-serif' text-anchor='end' transform='matrix(0 -1 1 0 18 5)'%3eOld%3c/text%3e%3c/svg%3e</v>
      </c>
      <c r="H382" s="8" t="s">
        <v>39</v>
      </c>
      <c r="I382" s="8">
        <f t="shared" ref="I382:J382" si="383">len(B382)</f>
        <v>3</v>
      </c>
      <c r="J382" s="8">
        <f t="shared" si="383"/>
        <v>28</v>
      </c>
      <c r="K382" s="8" t="s">
        <v>1090</v>
      </c>
    </row>
    <row r="383">
      <c r="A383" s="7" t="b">
        <v>0</v>
      </c>
      <c r="B383" s="8" t="s">
        <v>1088</v>
      </c>
      <c r="C383" s="8" t="s">
        <v>1091</v>
      </c>
      <c r="D383" s="8" t="str">
        <f>Q&amp;$K383&amp;Q&amp;":{"&amp;Q&amp;$B$2&amp;Q&amp;":"&amp;Q&amp;$B383&amp;Q&amp;","&amp;Q&amp;$C$2&amp;Q&amp;":"&amp;Q&amp;$C383&amp;Q&amp;","&amp;Q&amp;"sets"&amp;Q&amp;":"&amp;Q&amp;substitute(SUBSTITUTE($H383,"[",""),"]","")&amp;Q&amp;"},"</f>
        <v>"hkws":{"label":"Old","extra":"(not new, used) ","sets":"Junior"},</v>
      </c>
      <c r="E383" s="9" t="str">
        <f t="shared" si="2"/>
        <v>data:image/svg+xml,%3csvg xmlns='http://www.w3.org/2000/svg' viewBox='0 0 24 216'%3e%3ctext fill='%23fff' style='font: 900 16px sans-serif' text-anchor='end' transform='matrix(0 -1 1 0 18 5)'%3eOld%3c/text%3e%3c/svg%3e</v>
      </c>
      <c r="F383" s="10" t="str">
        <f t="shared" si="3"/>
        <v>https://svgtext.heliohost.us/cgi-bin/gen.perl?text=Old</v>
      </c>
      <c r="G383" s="11" t="str">
        <f t="shared" si="4"/>
        <v>data:image/svg+xml,%3csvg xmlns='http://www.w3.org/2000/svg' viewBox='0 0 24 216'%3e%3ctext fill='%23fff' style='font: 900 16px sans-serif' text-anchor='end' transform='matrix(0 -1 1 0 18 5)'%3eOld%3c/text%3e%3c/svg%3e</v>
      </c>
      <c r="H383" s="8" t="s">
        <v>84</v>
      </c>
      <c r="I383" s="8">
        <f t="shared" ref="I383:J383" si="384">len(B383)</f>
        <v>3</v>
      </c>
      <c r="J383" s="8">
        <f t="shared" si="384"/>
        <v>16</v>
      </c>
      <c r="K383" s="8" t="s">
        <v>1092</v>
      </c>
    </row>
    <row r="384">
      <c r="A384" s="7" t="b">
        <v>1</v>
      </c>
      <c r="B384" s="8" t="s">
        <v>1093</v>
      </c>
      <c r="C384" s="8" t="s">
        <v>1094</v>
      </c>
      <c r="D384" s="8" t="str">
        <f>Q&amp;$K384&amp;Q&amp;":{"&amp;Q&amp;$B$2&amp;Q&amp;":"&amp;Q&amp;$B384&amp;Q&amp;","&amp;Q&amp;$C$2&amp;Q&amp;":"&amp;Q&amp;$C384&amp;Q&amp;","&amp;Q&amp;"sets"&amp;Q&amp;":"&amp;Q&amp;substitute(SUBSTITUTE($H384,"[",""),"]","")&amp;Q&amp;"},"</f>
        <v>"vjfj":{"label":"Old &amp; Cranky","extra":"(crabby, cantankerous, aged) ","sets":"Expansion Set 4, Party Expansion 1"},</v>
      </c>
      <c r="E384" s="9" t="str">
        <f t="shared" si="2"/>
        <v>data:image/svg+xml,%3csvg xmlns='http://www.w3.org/2000/svg' viewBox='0 0 24 216'%3e%3ctext fill='%23fff' style='font: 900 16px sans-serif' text-anchor='end' transform='matrix(0 -1 1 0 18 5)'%3eOld %26amp%3B Cranky%3c/text%3e%3c/svg%3e</v>
      </c>
      <c r="F384" s="10" t="str">
        <f t="shared" si="3"/>
        <v>https://svgtext.heliohost.us/cgi-bin/gen.perl?text=Old%20%26%20Cranky</v>
      </c>
      <c r="G384" s="11" t="str">
        <f t="shared" si="4"/>
        <v>data:image/svg+xml,%3csvg xmlns='http://www.w3.org/2000/svg' viewBox='0 0 24 216'%3e%3ctext fill='%23fff' style='font: 900 16px sans-serif' text-anchor='end' transform='matrix(0 -1 1 0 18 5)'%3eOld %26amp%3B Cranky%3c/text%3e%3c/svg%3e</v>
      </c>
      <c r="H384" s="8" t="s">
        <v>63</v>
      </c>
      <c r="I384" s="8">
        <f t="shared" ref="I384:J384" si="385">len(B384)</f>
        <v>12</v>
      </c>
      <c r="J384" s="8">
        <f t="shared" si="385"/>
        <v>29</v>
      </c>
      <c r="K384" s="8" t="s">
        <v>1095</v>
      </c>
    </row>
    <row r="385">
      <c r="A385" s="7" t="b">
        <v>1</v>
      </c>
      <c r="B385" s="8" t="s">
        <v>1096</v>
      </c>
      <c r="C385" s="8" t="s">
        <v>1097</v>
      </c>
      <c r="D385" s="8" t="str">
        <f>Q&amp;$K385&amp;Q&amp;":{"&amp;Q&amp;$B$2&amp;Q&amp;":"&amp;Q&amp;$B385&amp;Q&amp;","&amp;Q&amp;$C$2&amp;Q&amp;":"&amp;Q&amp;$C385&amp;Q&amp;","&amp;Q&amp;"sets"&amp;Q&amp;":"&amp;Q&amp;substitute(SUBSTITUTE($H385,"[",""),"]","")&amp;Q&amp;"},"</f>
        <v>"xioq":{"label":"Old &amp; Wise","extra":"(experienced, judicious, shrewd) ","sets":"Expansion Set 4, Party Expansion 1"},</v>
      </c>
      <c r="E385" s="9" t="str">
        <f t="shared" si="2"/>
        <v>data:image/svg+xml,%3csvg xmlns='http://www.w3.org/2000/svg' viewBox='0 0 24 216'%3e%3ctext fill='%23fff' style='font: 900 16px sans-serif' text-anchor='end' transform='matrix(0 -1 1 0 18 5)'%3eOld %26amp%3B Wise%3c/text%3e%3c/svg%3e</v>
      </c>
      <c r="F385" s="10" t="str">
        <f t="shared" si="3"/>
        <v>https://svgtext.heliohost.us/cgi-bin/gen.perl?text=Old%20%26%20Wise</v>
      </c>
      <c r="G385" s="11" t="str">
        <f t="shared" si="4"/>
        <v>data:image/svg+xml,%3csvg xmlns='http://www.w3.org/2000/svg' viewBox='0 0 24 216'%3e%3ctext fill='%23fff' style='font: 900 16px sans-serif' text-anchor='end' transform='matrix(0 -1 1 0 18 5)'%3eOld %26amp%3B Wise%3c/text%3e%3c/svg%3e</v>
      </c>
      <c r="H385" s="8" t="s">
        <v>63</v>
      </c>
      <c r="I385" s="8">
        <f t="shared" ref="I385:J385" si="386">len(B385)</f>
        <v>10</v>
      </c>
      <c r="J385" s="8">
        <f t="shared" si="386"/>
        <v>33</v>
      </c>
      <c r="K385" s="8" t="s">
        <v>1098</v>
      </c>
    </row>
    <row r="386">
      <c r="A386" s="7" t="b">
        <v>1</v>
      </c>
      <c r="B386" s="8" t="s">
        <v>1099</v>
      </c>
      <c r="C386" s="8" t="s">
        <v>1100</v>
      </c>
      <c r="D386" s="8" t="str">
        <f>Q&amp;$K386&amp;Q&amp;":{"&amp;Q&amp;$B$2&amp;Q&amp;":"&amp;Q&amp;$B386&amp;Q&amp;","&amp;Q&amp;$C$2&amp;Q&amp;":"&amp;Q&amp;$C386&amp;Q&amp;","&amp;Q&amp;"sets"&amp;Q&amp;":"&amp;Q&amp;substitute(SUBSTITUTE($H386,"[",""),"]","")&amp;Q&amp;"},"</f>
        <v>"hgpl":{"label":"On The Up &amp; Up","extra":"(trustworthy, irreproachable, honest) ","sets":"Expansion Set 4, Party Expansion 1"},</v>
      </c>
      <c r="E386" s="9" t="str">
        <f t="shared" si="2"/>
        <v>data:image/svg+xml,%3csvg xmlns='http://www.w3.org/2000/svg' viewBox='0 0 24 216'%3e%3ctext fill='%23fff' style='font: 900 16px sans-serif' text-anchor='end' transform='matrix(0 -1 1 0 18 5)'%3eOn The Up %26amp%3B Up%3c/text%3e%3c/svg%3e</v>
      </c>
      <c r="F386" s="10" t="str">
        <f t="shared" si="3"/>
        <v>https://svgtext.heliohost.us/cgi-bin/gen.perl?text=On%20The%20Up%20%26%20Up</v>
      </c>
      <c r="G386" s="11" t="str">
        <f t="shared" si="4"/>
        <v>data:image/svg+xml,%3csvg xmlns='http://www.w3.org/2000/svg' viewBox='0 0 24 216'%3e%3ctext fill='%23fff' style='font: 900 16px sans-serif' text-anchor='end' transform='matrix(0 -1 1 0 18 5)'%3eOn The Up %26amp%3B Up%3c/text%3e%3c/svg%3e</v>
      </c>
      <c r="H386" s="8" t="s">
        <v>63</v>
      </c>
      <c r="I386" s="8">
        <f t="shared" ref="I386:J386" si="387">len(B386)</f>
        <v>14</v>
      </c>
      <c r="J386" s="8">
        <f t="shared" si="387"/>
        <v>38</v>
      </c>
      <c r="K386" s="8" t="s">
        <v>1101</v>
      </c>
    </row>
    <row r="387">
      <c r="A387" s="7" t="b">
        <v>0</v>
      </c>
      <c r="B387" s="8" t="s">
        <v>1102</v>
      </c>
      <c r="C387" s="8" t="s">
        <v>1103</v>
      </c>
      <c r="D387" s="8" t="str">
        <f>Q&amp;$K387&amp;Q&amp;":{"&amp;Q&amp;$B$2&amp;Q&amp;":"&amp;Q&amp;$B387&amp;Q&amp;","&amp;Q&amp;$C$2&amp;Q&amp;":"&amp;Q&amp;$C387&amp;Q&amp;","&amp;Q&amp;"sets"&amp;Q&amp;":"&amp;Q&amp;substitute(SUBSTITUTE($H387,"[",""),"]","")&amp;Q&amp;"},"</f>
        <v>"bkhq":{"label":"Orderly","extra":"(methodical, formal, systematic) ","sets":"Expansion Set 2"},</v>
      </c>
      <c r="E387" s="9" t="str">
        <f t="shared" si="2"/>
        <v>data:image/svg+xml,%3csvg xmlns='http://www.w3.org/2000/svg' viewBox='0 0 24 216'%3e%3ctext fill='%23fff' style='font: 900 16px sans-serif' text-anchor='end' transform='matrix(0 -1 1 0 18 5)'%3eOrderly%3c/text%3e%3c/svg%3e</v>
      </c>
      <c r="F387" s="10" t="str">
        <f t="shared" si="3"/>
        <v>https://svgtext.heliohost.us/cgi-bin/gen.perl?text=Orderly</v>
      </c>
      <c r="G387" s="11" t="str">
        <f t="shared" si="4"/>
        <v>data:image/svg+xml,%3csvg xmlns='http://www.w3.org/2000/svg' viewBox='0 0 24 216'%3e%3ctext fill='%23fff' style='font: 900 16px sans-serif' text-anchor='end' transform='matrix(0 -1 1 0 18 5)'%3eOrderly%3c/text%3e%3c/svg%3e</v>
      </c>
      <c r="H387" s="8" t="s">
        <v>21</v>
      </c>
      <c r="I387" s="8">
        <f t="shared" ref="I387:J387" si="388">len(B387)</f>
        <v>7</v>
      </c>
      <c r="J387" s="8">
        <f t="shared" si="388"/>
        <v>33</v>
      </c>
      <c r="K387" s="8" t="s">
        <v>1104</v>
      </c>
    </row>
    <row r="388">
      <c r="A388" s="7" t="b">
        <v>0</v>
      </c>
      <c r="B388" s="8" t="s">
        <v>1105</v>
      </c>
      <c r="C388" s="8" t="s">
        <v>1106</v>
      </c>
      <c r="D388" s="8" t="str">
        <f>Q&amp;$K388&amp;Q&amp;":{"&amp;Q&amp;$B$2&amp;Q&amp;":"&amp;Q&amp;$B388&amp;Q&amp;","&amp;Q&amp;$C$2&amp;Q&amp;":"&amp;Q&amp;$C388&amp;Q&amp;","&amp;Q&amp;"sets"&amp;Q&amp;":"&amp;Q&amp;substitute(SUBSTITUTE($H388,"[",""),"]","")&amp;Q&amp;"},"</f>
        <v>"ieoi":{"label":"Ordinary","extra":"(usual, common, plain) ","sets":"Basic Set (2001 Printing Forward), Party Set"},</v>
      </c>
      <c r="E388" s="9" t="str">
        <f t="shared" si="2"/>
        <v>data:image/svg+xml,%3csvg xmlns='http://www.w3.org/2000/svg' viewBox='0 0 24 216'%3e%3ctext fill='%23fff' style='font: 900 16px sans-serif' text-anchor='end' transform='matrix(0 -1 1 0 18 5)'%3eOrdinary%3c/text%3e%3c/svg%3e</v>
      </c>
      <c r="F388" s="10" t="str">
        <f t="shared" si="3"/>
        <v>https://svgtext.heliohost.us/cgi-bin/gen.perl?text=Ordinary</v>
      </c>
      <c r="G388" s="11" t="str">
        <f t="shared" si="4"/>
        <v>data:image/svg+xml,%3csvg xmlns='http://www.w3.org/2000/svg' viewBox='0 0 24 216'%3e%3ctext fill='%23fff' style='font: 900 16px sans-serif' text-anchor='end' transform='matrix(0 -1 1 0 18 5)'%3eOrdinary%3c/text%3e%3c/svg%3e</v>
      </c>
      <c r="H388" s="8" t="s">
        <v>1107</v>
      </c>
      <c r="I388" s="8">
        <f t="shared" ref="I388:J388" si="389">len(B388)</f>
        <v>8</v>
      </c>
      <c r="J388" s="8">
        <f t="shared" si="389"/>
        <v>23</v>
      </c>
      <c r="K388" s="8" t="s">
        <v>1108</v>
      </c>
    </row>
    <row r="389">
      <c r="A389" s="7" t="b">
        <v>1</v>
      </c>
      <c r="B389" s="8" t="s">
        <v>1105</v>
      </c>
      <c r="C389" s="8" t="s">
        <v>1109</v>
      </c>
      <c r="D389" s="8" t="str">
        <f>Q&amp;$K389&amp;Q&amp;":{"&amp;Q&amp;$B$2&amp;Q&amp;":"&amp;Q&amp;$B389&amp;Q&amp;","&amp;Q&amp;$C$2&amp;Q&amp;":"&amp;Q&amp;$C389&amp;Q&amp;","&amp;Q&amp;"sets"&amp;Q&amp;":"&amp;Q&amp;substitute(SUBSTITUTE($H389,"[",""),"]","")&amp;Q&amp;"},"</f>
        <v>"tdpq":{"label":"Ordinary","extra":"(normal, common) ","sets":"Junior 9+ (2nd)"},</v>
      </c>
      <c r="E389" s="9" t="str">
        <f t="shared" si="2"/>
        <v>data:image/svg+xml,%3csvg xmlns='http://www.w3.org/2000/svg' viewBox='0 0 24 216'%3e%3ctext fill='%23fff' style='font: 900 16px sans-serif' text-anchor='end' transform='matrix(0 -1 1 0 18 5)'%3eOrdinary%3c/text%3e%3c/svg%3e</v>
      </c>
      <c r="F389" s="10" t="str">
        <f t="shared" si="3"/>
        <v>https://svgtext.heliohost.us/cgi-bin/gen.perl?text=Ordinary</v>
      </c>
      <c r="G389" s="11" t="str">
        <f t="shared" si="4"/>
        <v>data:image/svg+xml,%3csvg xmlns='http://www.w3.org/2000/svg' viewBox='0 0 24 216'%3e%3ctext fill='%23fff' style='font: 900 16px sans-serif' text-anchor='end' transform='matrix(0 -1 1 0 18 5)'%3eOrdinary%3c/text%3e%3c/svg%3e</v>
      </c>
      <c r="H389" s="8" t="s">
        <v>32</v>
      </c>
      <c r="I389" s="8">
        <f t="shared" ref="I389:J389" si="390">len(B389)</f>
        <v>8</v>
      </c>
      <c r="J389" s="8">
        <f t="shared" si="390"/>
        <v>17</v>
      </c>
      <c r="K389" s="8" t="s">
        <v>1110</v>
      </c>
    </row>
    <row r="390">
      <c r="A390" s="7" t="b">
        <v>0</v>
      </c>
      <c r="B390" s="8" t="s">
        <v>1111</v>
      </c>
      <c r="C390" s="8" t="s">
        <v>1112</v>
      </c>
      <c r="D390" s="8" t="str">
        <f>Q&amp;$K390&amp;Q&amp;":{"&amp;Q&amp;$B$2&amp;Q&amp;":"&amp;Q&amp;$B390&amp;Q&amp;","&amp;Q&amp;$C$2&amp;Q&amp;":"&amp;Q&amp;$C390&amp;Q&amp;","&amp;Q&amp;"sets"&amp;Q&amp;":"&amp;Q&amp;substitute(SUBSTITUTE($H390,"[",""),"]","")&amp;Q&amp;"},"</f>
        <v>"uemx":{"label":"Organic","extra":"(natural, clean, biological) ","sets":"Expansion Set 2, Party Set"},</v>
      </c>
      <c r="E390" s="9" t="str">
        <f t="shared" si="2"/>
        <v>data:image/svg+xml,%3csvg xmlns='http://www.w3.org/2000/svg' viewBox='0 0 24 216'%3e%3ctext fill='%23fff' style='font: 900 16px sans-serif' text-anchor='end' transform='matrix(0 -1 1 0 18 5)'%3eOrganic%3c/text%3e%3c/svg%3e</v>
      </c>
      <c r="F390" s="10" t="str">
        <f t="shared" si="3"/>
        <v>https://svgtext.heliohost.us/cgi-bin/gen.perl?text=Organic</v>
      </c>
      <c r="G390" s="11" t="str">
        <f t="shared" si="4"/>
        <v>data:image/svg+xml,%3csvg xmlns='http://www.w3.org/2000/svg' viewBox='0 0 24 216'%3e%3ctext fill='%23fff' style='font: 900 16px sans-serif' text-anchor='end' transform='matrix(0 -1 1 0 18 5)'%3eOrganic%3c/text%3e%3c/svg%3e</v>
      </c>
      <c r="H390" s="8" t="s">
        <v>17</v>
      </c>
      <c r="I390" s="8">
        <f t="shared" ref="I390:J390" si="391">len(B390)</f>
        <v>7</v>
      </c>
      <c r="J390" s="8">
        <f t="shared" si="391"/>
        <v>29</v>
      </c>
      <c r="K390" s="8" t="s">
        <v>1113</v>
      </c>
    </row>
    <row r="391">
      <c r="A391" s="7" t="b">
        <v>0</v>
      </c>
      <c r="B391" s="8" t="s">
        <v>1114</v>
      </c>
      <c r="C391" s="8" t="s">
        <v>1115</v>
      </c>
      <c r="D391" s="8" t="str">
        <f>Q&amp;$K391&amp;Q&amp;":{"&amp;Q&amp;$B$2&amp;Q&amp;":"&amp;Q&amp;$B391&amp;Q&amp;","&amp;Q&amp;$C$2&amp;Q&amp;":"&amp;Q&amp;$C391&amp;Q&amp;","&amp;Q&amp;"sets"&amp;Q&amp;":"&amp;Q&amp;substitute(SUBSTITUTE($H391,"[",""),"]","")&amp;Q&amp;"},"</f>
        <v>"tcxk":{"label":"Outrageous","extra":"(shocking, scandalous, disgraceful) ","sets":"Basic Set, Party Set"},</v>
      </c>
      <c r="E391" s="9" t="str">
        <f t="shared" si="2"/>
        <v>data:image/svg+xml,%3csvg xmlns='http://www.w3.org/2000/svg' viewBox='0 0 24 216'%3e%3ctext fill='%23fff' style='font: 900 16px sans-serif' text-anchor='end' transform='matrix(0 -1 1 0 18 5)'%3eOutrageous%3c/text%3e%3c/svg%3e</v>
      </c>
      <c r="F391" s="10" t="str">
        <f t="shared" si="3"/>
        <v>https://svgtext.heliohost.us/cgi-bin/gen.perl?text=Outrageous</v>
      </c>
      <c r="G391" s="11" t="str">
        <f t="shared" si="4"/>
        <v>data:image/svg+xml,%3csvg xmlns='http://www.w3.org/2000/svg' viewBox='0 0 24 216'%3e%3ctext fill='%23fff' style='font: 900 16px sans-serif' text-anchor='end' transform='matrix(0 -1 1 0 18 5)'%3eOutrageous%3c/text%3e%3c/svg%3e</v>
      </c>
      <c r="H391" s="8" t="s">
        <v>29</v>
      </c>
      <c r="I391" s="8">
        <f t="shared" ref="I391:J391" si="392">len(B391)</f>
        <v>10</v>
      </c>
      <c r="J391" s="8">
        <f t="shared" si="392"/>
        <v>36</v>
      </c>
      <c r="K391" s="8" t="s">
        <v>1116</v>
      </c>
    </row>
    <row r="392">
      <c r="A392" s="7" t="b">
        <v>0</v>
      </c>
      <c r="B392" s="8" t="s">
        <v>1117</v>
      </c>
      <c r="C392" s="8" t="s">
        <v>1118</v>
      </c>
      <c r="D392" s="8" t="str">
        <f>Q&amp;$K392&amp;Q&amp;":{"&amp;Q&amp;$B$2&amp;Q&amp;":"&amp;Q&amp;$B392&amp;Q&amp;","&amp;Q&amp;$C$2&amp;Q&amp;":"&amp;Q&amp;$C392&amp;Q&amp;","&amp;Q&amp;"sets"&amp;Q&amp;":"&amp;Q&amp;substitute(SUBSTITUTE($H392,"[",""),"]","")&amp;Q&amp;"},"</f>
        <v>"bqec":{"label":"Overwhelming","extra":"(exhaustive, breathtaking, monumental) ","sets":"Expansion Set 1, Party Set"},</v>
      </c>
      <c r="E392" s="9" t="str">
        <f t="shared" si="2"/>
        <v>data:image/svg+xml,%3csvg xmlns='http://www.w3.org/2000/svg' viewBox='0 0 24 216'%3e%3ctext fill='%23fff' style='font: 900 16px sans-serif' text-anchor='end' transform='matrix(0 -1 1 0 18 5)'%3eOverwhelming%3c/text%3e%3c/svg%3e</v>
      </c>
      <c r="F392" s="10" t="str">
        <f t="shared" si="3"/>
        <v>https://svgtext.heliohost.us/cgi-bin/gen.perl?text=Overwhelming</v>
      </c>
      <c r="G392" s="11" t="str">
        <f t="shared" si="4"/>
        <v>data:image/svg+xml,%3csvg xmlns='http://www.w3.org/2000/svg' viewBox='0 0 24 216'%3e%3ctext fill='%23fff' style='font: 900 16px sans-serif' text-anchor='end' transform='matrix(0 -1 1 0 18 5)'%3eOverwhelming%3c/text%3e%3c/svg%3e</v>
      </c>
      <c r="H392" s="8" t="s">
        <v>25</v>
      </c>
      <c r="I392" s="8">
        <f t="shared" ref="I392:J392" si="393">len(B392)</f>
        <v>12</v>
      </c>
      <c r="J392" s="8">
        <f t="shared" si="393"/>
        <v>39</v>
      </c>
      <c r="K392" s="8" t="s">
        <v>1119</v>
      </c>
    </row>
    <row r="393">
      <c r="A393" s="7" t="b">
        <v>1</v>
      </c>
      <c r="B393" s="8" t="s">
        <v>1120</v>
      </c>
      <c r="C393" s="8" t="s">
        <v>1121</v>
      </c>
      <c r="D393" s="8" t="str">
        <f>Q&amp;$K393&amp;Q&amp;":{"&amp;Q&amp;$B$2&amp;Q&amp;":"&amp;Q&amp;$B393&amp;Q&amp;","&amp;Q&amp;$C$2&amp;Q&amp;":"&amp;Q&amp;$C393&amp;Q&amp;","&amp;Q&amp;"sets"&amp;Q&amp;":"&amp;Q&amp;substitute(SUBSTITUTE($H393,"[",""),"]","")&amp;Q&amp;"},"</f>
        <v>"dpmm":{"label":"Painful","extra":"(hurtful, agonizing, unbearable) ","sets":"Expansion Set 1, Party Set"},</v>
      </c>
      <c r="E393" s="9" t="str">
        <f t="shared" si="2"/>
        <v>data:image/svg+xml,%3csvg xmlns='http://www.w3.org/2000/svg' viewBox='0 0 24 216'%3e%3ctext fill='%23fff' style='font: 900 16px sans-serif' text-anchor='end' transform='matrix(0 -1 1 0 18 5)'%3ePainful%3c/text%3e%3c/svg%3e</v>
      </c>
      <c r="F393" s="10" t="str">
        <f t="shared" si="3"/>
        <v>https://svgtext.heliohost.us/cgi-bin/gen.perl?text=Painful</v>
      </c>
      <c r="G393" s="11" t="str">
        <f t="shared" si="4"/>
        <v>data:image/svg+xml,%3csvg xmlns='http://www.w3.org/2000/svg' viewBox='0 0 24 216'%3e%3ctext fill='%23fff' style='font: 900 16px sans-serif' text-anchor='end' transform='matrix(0 -1 1 0 18 5)'%3ePainful%3c/text%3e%3c/svg%3e</v>
      </c>
      <c r="H393" s="8" t="s">
        <v>25</v>
      </c>
      <c r="I393" s="8">
        <f t="shared" ref="I393:J393" si="394">len(B393)</f>
        <v>7</v>
      </c>
      <c r="J393" s="8">
        <f t="shared" si="394"/>
        <v>33</v>
      </c>
      <c r="K393" s="8" t="s">
        <v>1122</v>
      </c>
    </row>
    <row r="394">
      <c r="A394" s="7" t="b">
        <v>0</v>
      </c>
      <c r="B394" s="8" t="s">
        <v>1120</v>
      </c>
      <c r="C394" s="8" t="s">
        <v>1123</v>
      </c>
      <c r="D394" s="8" t="str">
        <f>Q&amp;$K394&amp;Q&amp;":{"&amp;Q&amp;$B$2&amp;Q&amp;":"&amp;Q&amp;$B394&amp;Q&amp;","&amp;Q&amp;$C$2&amp;Q&amp;":"&amp;Q&amp;$C394&amp;Q&amp;","&amp;Q&amp;"sets"&amp;Q&amp;":"&amp;Q&amp;substitute(SUBSTITUTE($H394,"[",""),"]","")&amp;Q&amp;"},"</f>
        <v>"zsfq":{"label":"Painful","extra":"(hurting, sore) ","sets":"Junior 9+ (1st) &amp; (2nd)"},</v>
      </c>
      <c r="E394" s="9" t="str">
        <f t="shared" si="2"/>
        <v>data:image/svg+xml,%3csvg xmlns='http://www.w3.org/2000/svg' viewBox='0 0 24 216'%3e%3ctext fill='%23fff' style='font: 900 16px sans-serif' text-anchor='end' transform='matrix(0 -1 1 0 18 5)'%3ePainful%3c/text%3e%3c/svg%3e</v>
      </c>
      <c r="F394" s="10" t="str">
        <f t="shared" si="3"/>
        <v>https://svgtext.heliohost.us/cgi-bin/gen.perl?text=Painful</v>
      </c>
      <c r="G394" s="11" t="str">
        <f t="shared" si="4"/>
        <v>data:image/svg+xml,%3csvg xmlns='http://www.w3.org/2000/svg' viewBox='0 0 24 216'%3e%3ctext fill='%23fff' style='font: 900 16px sans-serif' text-anchor='end' transform='matrix(0 -1 1 0 18 5)'%3ePainful%3c/text%3e%3c/svg%3e</v>
      </c>
      <c r="H394" s="8" t="s">
        <v>42</v>
      </c>
      <c r="I394" s="8">
        <f t="shared" ref="I394:J394" si="395">len(B394)</f>
        <v>7</v>
      </c>
      <c r="J394" s="8">
        <f t="shared" si="395"/>
        <v>16</v>
      </c>
      <c r="K394" s="8" t="s">
        <v>1124</v>
      </c>
    </row>
    <row r="395">
      <c r="A395" s="7" t="b">
        <v>0</v>
      </c>
      <c r="B395" s="8" t="s">
        <v>1125</v>
      </c>
      <c r="C395" s="8" t="s">
        <v>1126</v>
      </c>
      <c r="D395" s="8" t="str">
        <f>Q&amp;$K395&amp;Q&amp;":{"&amp;Q&amp;$B$2&amp;Q&amp;":"&amp;Q&amp;$B395&amp;Q&amp;","&amp;Q&amp;$C$2&amp;Q&amp;":"&amp;Q&amp;$C395&amp;Q&amp;","&amp;Q&amp;"sets"&amp;Q&amp;":"&amp;Q&amp;substitute(SUBSTITUTE($H395,"[",""),"]","")&amp;Q&amp;"},"</f>
        <v>"vcuf":{"label":"Pale","extra":"(faded, colorless) ","sets":"Junior 9+ (2nd)"},</v>
      </c>
      <c r="E395" s="9" t="str">
        <f t="shared" si="2"/>
        <v>data:image/svg+xml,%3csvg xmlns='http://www.w3.org/2000/svg' viewBox='0 0 24 216'%3e%3ctext fill='%23fff' style='font: 900 16px sans-serif' text-anchor='end' transform='matrix(0 -1 1 0 18 5)'%3ePale%3c/text%3e%3c/svg%3e</v>
      </c>
      <c r="F395" s="10" t="str">
        <f t="shared" si="3"/>
        <v>https://svgtext.heliohost.us/cgi-bin/gen.perl?text=Pale</v>
      </c>
      <c r="G395" s="11" t="str">
        <f t="shared" si="4"/>
        <v>data:image/svg+xml,%3csvg xmlns='http://www.w3.org/2000/svg' viewBox='0 0 24 216'%3e%3ctext fill='%23fff' style='font: 900 16px sans-serif' text-anchor='end' transform='matrix(0 -1 1 0 18 5)'%3ePale%3c/text%3e%3c/svg%3e</v>
      </c>
      <c r="H395" s="8" t="s">
        <v>32</v>
      </c>
      <c r="I395" s="8">
        <f t="shared" ref="I395:J395" si="396">len(B395)</f>
        <v>4</v>
      </c>
      <c r="J395" s="8">
        <f t="shared" si="396"/>
        <v>19</v>
      </c>
      <c r="K395" s="8" t="s">
        <v>1127</v>
      </c>
    </row>
    <row r="396">
      <c r="A396" s="7" t="b">
        <v>0</v>
      </c>
      <c r="B396" s="8" t="s">
        <v>1128</v>
      </c>
      <c r="C396" s="8" t="s">
        <v>1129</v>
      </c>
      <c r="D396" s="8" t="str">
        <f>Q&amp;$K396&amp;Q&amp;":{"&amp;Q&amp;$B$2&amp;Q&amp;":"&amp;Q&amp;$B396&amp;Q&amp;","&amp;Q&amp;$C$2&amp;Q&amp;":"&amp;Q&amp;$C396&amp;Q&amp;","&amp;Q&amp;"sets"&amp;Q&amp;":"&amp;Q&amp;substitute(SUBSTITUTE($H396,"[",""),"]","")&amp;Q&amp;"},"</f>
        <v>"rlex":{"label":"Pathetic","extra":"(pitiful, distressing, heart-rending) ","sets":"Expansion Set 2, Party Set"},</v>
      </c>
      <c r="E396" s="9" t="str">
        <f t="shared" si="2"/>
        <v>data:image/svg+xml,%3csvg xmlns='http://www.w3.org/2000/svg' viewBox='0 0 24 216'%3e%3ctext fill='%23fff' style='font: 900 16px sans-serif' text-anchor='end' transform='matrix(0 -1 1 0 18 5)'%3ePathetic%3c/text%3e%3c/svg%3e</v>
      </c>
      <c r="F396" s="10" t="str">
        <f t="shared" si="3"/>
        <v>https://svgtext.heliohost.us/cgi-bin/gen.perl?text=Pathetic</v>
      </c>
      <c r="G396" s="11" t="str">
        <f t="shared" si="4"/>
        <v>data:image/svg+xml,%3csvg xmlns='http://www.w3.org/2000/svg' viewBox='0 0 24 216'%3e%3ctext fill='%23fff' style='font: 900 16px sans-serif' text-anchor='end' transform='matrix(0 -1 1 0 18 5)'%3ePathetic%3c/text%3e%3c/svg%3e</v>
      </c>
      <c r="H396" s="8" t="s">
        <v>17</v>
      </c>
      <c r="I396" s="8">
        <f t="shared" ref="I396:J396" si="397">len(B396)</f>
        <v>8</v>
      </c>
      <c r="J396" s="8">
        <f t="shared" si="397"/>
        <v>38</v>
      </c>
      <c r="K396" s="8" t="s">
        <v>1130</v>
      </c>
    </row>
    <row r="397">
      <c r="A397" s="7" t="b">
        <v>1</v>
      </c>
      <c r="B397" s="8" t="s">
        <v>1131</v>
      </c>
      <c r="C397" s="8" t="s">
        <v>1132</v>
      </c>
      <c r="D397" s="8" t="str">
        <f>Q&amp;$K397&amp;Q&amp;":{"&amp;Q&amp;$B$2&amp;Q&amp;":"&amp;Q&amp;$B397&amp;Q&amp;","&amp;Q&amp;$C$2&amp;Q&amp;":"&amp;Q&amp;$C397&amp;Q&amp;","&amp;Q&amp;"sets"&amp;Q&amp;":"&amp;Q&amp;substitute(SUBSTITUTE($H397,"[",""),"]","")&amp;Q&amp;"},"</f>
        <v>"vugw":{"label":"Patriotic","extra":"(nationalistic, loyal, public-spirited) ","sets":"Basic Set, Party Set"},</v>
      </c>
      <c r="E397" s="9" t="str">
        <f t="shared" si="2"/>
        <v>data:image/svg+xml,%3csvg xmlns='http://www.w3.org/2000/svg' viewBox='0 0 24 216'%3e%3ctext fill='%23fff' style='font: 900 16px sans-serif' text-anchor='end' transform='matrix(0 -1 1 0 18 5)'%3ePatriotic%3c/text%3e%3c/svg%3e</v>
      </c>
      <c r="F397" s="10" t="str">
        <f t="shared" si="3"/>
        <v>https://svgtext.heliohost.us/cgi-bin/gen.perl?text=Patriotic</v>
      </c>
      <c r="G397" s="11" t="str">
        <f t="shared" si="4"/>
        <v>data:image/svg+xml,%3csvg xmlns='http://www.w3.org/2000/svg' viewBox='0 0 24 216'%3e%3ctext fill='%23fff' style='font: 900 16px sans-serif' text-anchor='end' transform='matrix(0 -1 1 0 18 5)'%3ePatriotic%3c/text%3e%3c/svg%3e</v>
      </c>
      <c r="H397" s="8" t="s">
        <v>29</v>
      </c>
      <c r="I397" s="8">
        <f t="shared" ref="I397:J397" si="398">len(B397)</f>
        <v>9</v>
      </c>
      <c r="J397" s="8">
        <f t="shared" si="398"/>
        <v>40</v>
      </c>
      <c r="K397" s="8" t="s">
        <v>1133</v>
      </c>
    </row>
    <row r="398">
      <c r="A398" s="7" t="b">
        <v>1</v>
      </c>
      <c r="B398" s="8" t="s">
        <v>1134</v>
      </c>
      <c r="C398" s="8" t="s">
        <v>1135</v>
      </c>
      <c r="D398" s="8" t="str">
        <f>Q&amp;$K398&amp;Q&amp;":{"&amp;Q&amp;$B$2&amp;Q&amp;":"&amp;Q&amp;$B398&amp;Q&amp;","&amp;Q&amp;$C$2&amp;Q&amp;":"&amp;Q&amp;$C398&amp;Q&amp;","&amp;Q&amp;"sets"&amp;Q&amp;":"&amp;Q&amp;substitute(SUBSTITUTE($H398,"[",""),"]","")&amp;Q&amp;"},"</f>
        <v>"xbdc":{"label":"Peaceful","extra":"(serene, restful, calm) ","sets":"Expansion Set 1, Party Set"},</v>
      </c>
      <c r="E398" s="9" t="str">
        <f t="shared" si="2"/>
        <v>data:image/svg+xml,%3csvg xmlns='http://www.w3.org/2000/svg' viewBox='0 0 24 216'%3e%3ctext fill='%23fff' style='font: 900 16px sans-serif' text-anchor='end' transform='matrix(0 -1 1 0 18 5)'%3ePeaceful%3c/text%3e%3c/svg%3e</v>
      </c>
      <c r="F398" s="10" t="str">
        <f t="shared" si="3"/>
        <v>https://svgtext.heliohost.us/cgi-bin/gen.perl?text=Peaceful</v>
      </c>
      <c r="G398" s="11" t="str">
        <f t="shared" si="4"/>
        <v>data:image/svg+xml,%3csvg xmlns='http://www.w3.org/2000/svg' viewBox='0 0 24 216'%3e%3ctext fill='%23fff' style='font: 900 16px sans-serif' text-anchor='end' transform='matrix(0 -1 1 0 18 5)'%3ePeaceful%3c/text%3e%3c/svg%3e</v>
      </c>
      <c r="H398" s="8" t="s">
        <v>25</v>
      </c>
      <c r="I398" s="8">
        <f t="shared" ref="I398:J398" si="399">len(B398)</f>
        <v>8</v>
      </c>
      <c r="J398" s="8">
        <f t="shared" si="399"/>
        <v>24</v>
      </c>
      <c r="K398" s="8" t="s">
        <v>1136</v>
      </c>
    </row>
    <row r="399">
      <c r="A399" s="7" t="b">
        <v>0</v>
      </c>
      <c r="B399" s="8" t="s">
        <v>1134</v>
      </c>
      <c r="C399" s="8" t="s">
        <v>1137</v>
      </c>
      <c r="D399" s="8" t="str">
        <f>Q&amp;$K399&amp;Q&amp;":{"&amp;Q&amp;$B$2&amp;Q&amp;":"&amp;Q&amp;$B399&amp;Q&amp;","&amp;Q&amp;$C$2&amp;Q&amp;":"&amp;Q&amp;$C399&amp;Q&amp;","&amp;Q&amp;"sets"&amp;Q&amp;":"&amp;Q&amp;substitute(SUBSTITUTE($H399,"[",""),"]","")&amp;Q&amp;"},"</f>
        <v>"khqb":{"label":"Peaceful","extra":"(calm, quiet) ","sets":"Junior 9+ (1st) &amp; (2nd)"},</v>
      </c>
      <c r="E399" s="9" t="str">
        <f t="shared" si="2"/>
        <v>data:image/svg+xml,%3csvg xmlns='http://www.w3.org/2000/svg' viewBox='0 0 24 216'%3e%3ctext fill='%23fff' style='font: 900 16px sans-serif' text-anchor='end' transform='matrix(0 -1 1 0 18 5)'%3ePeaceful%3c/text%3e%3c/svg%3e</v>
      </c>
      <c r="F399" s="10" t="str">
        <f t="shared" si="3"/>
        <v>https://svgtext.heliohost.us/cgi-bin/gen.perl?text=Peaceful</v>
      </c>
      <c r="G399" s="11" t="str">
        <f t="shared" si="4"/>
        <v>data:image/svg+xml,%3csvg xmlns='http://www.w3.org/2000/svg' viewBox='0 0 24 216'%3e%3ctext fill='%23fff' style='font: 900 16px sans-serif' text-anchor='end' transform='matrix(0 -1 1 0 18 5)'%3ePeaceful%3c/text%3e%3c/svg%3e</v>
      </c>
      <c r="H399" s="8" t="s">
        <v>42</v>
      </c>
      <c r="I399" s="8">
        <f t="shared" ref="I399:J399" si="400">len(B399)</f>
        <v>8</v>
      </c>
      <c r="J399" s="8">
        <f t="shared" si="400"/>
        <v>14</v>
      </c>
      <c r="K399" s="8" t="s">
        <v>1138</v>
      </c>
    </row>
    <row r="400">
      <c r="A400" s="7" t="b">
        <v>0</v>
      </c>
      <c r="B400" s="8" t="s">
        <v>1139</v>
      </c>
      <c r="C400" s="8" t="s">
        <v>1140</v>
      </c>
      <c r="D400" s="8" t="str">
        <f>Q&amp;$K400&amp;Q&amp;":{"&amp;Q&amp;$B$2&amp;Q&amp;":"&amp;Q&amp;$B400&amp;Q&amp;","&amp;Q&amp;$C$2&amp;Q&amp;":"&amp;Q&amp;$C400&amp;Q&amp;","&amp;Q&amp;"sets"&amp;Q&amp;":"&amp;Q&amp;substitute(SUBSTITUTE($H400,"[",""),"]","")&amp;Q&amp;"},"</f>
        <v>"gzlo":{"label":"Perfect","extra":"(faultless, consummate, exact) ","sets":"Basic Set, Party Set"},</v>
      </c>
      <c r="E400" s="9" t="str">
        <f t="shared" si="2"/>
        <v>data:image/svg+xml,%3csvg xmlns='http://www.w3.org/2000/svg' viewBox='0 0 24 216'%3e%3ctext fill='%23fff' style='font: 900 16px sans-serif' text-anchor='end' transform='matrix(0 -1 1 0 18 5)'%3ePerfect%3c/text%3e%3c/svg%3e</v>
      </c>
      <c r="F400" s="10" t="str">
        <f t="shared" si="3"/>
        <v>https://svgtext.heliohost.us/cgi-bin/gen.perl?text=Perfect</v>
      </c>
      <c r="G400" s="11" t="str">
        <f t="shared" si="4"/>
        <v>data:image/svg+xml,%3csvg xmlns='http://www.w3.org/2000/svg' viewBox='0 0 24 216'%3e%3ctext fill='%23fff' style='font: 900 16px sans-serif' text-anchor='end' transform='matrix(0 -1 1 0 18 5)'%3ePerfect%3c/text%3e%3c/svg%3e</v>
      </c>
      <c r="H400" s="8" t="s">
        <v>29</v>
      </c>
      <c r="I400" s="8">
        <f t="shared" ref="I400:J400" si="401">len(B400)</f>
        <v>7</v>
      </c>
      <c r="J400" s="8">
        <f t="shared" si="401"/>
        <v>31</v>
      </c>
      <c r="K400" s="8" t="s">
        <v>1141</v>
      </c>
    </row>
    <row r="401">
      <c r="A401" s="7" t="b">
        <v>1</v>
      </c>
      <c r="B401" s="8" t="s">
        <v>1139</v>
      </c>
      <c r="C401" s="8" t="s">
        <v>1142</v>
      </c>
      <c r="D401" s="8" t="str">
        <f>Q&amp;$K401&amp;Q&amp;":{"&amp;Q&amp;$B$2&amp;Q&amp;":"&amp;Q&amp;$B401&amp;Q&amp;","&amp;Q&amp;$C$2&amp;Q&amp;":"&amp;Q&amp;$C401&amp;Q&amp;","&amp;Q&amp;"sets"&amp;Q&amp;":"&amp;Q&amp;substitute(SUBSTITUTE($H401,"[",""),"]","")&amp;Q&amp;"},"</f>
        <v>"uotu":{"label":"Perfect","extra":"(ideal, wonderful) ","sets":"Junior 9+ (2nd)"},</v>
      </c>
      <c r="E401" s="9" t="str">
        <f t="shared" si="2"/>
        <v>data:image/svg+xml,%3csvg xmlns='http://www.w3.org/2000/svg' viewBox='0 0 24 216'%3e%3ctext fill='%23fff' style='font: 900 16px sans-serif' text-anchor='end' transform='matrix(0 -1 1 0 18 5)'%3ePerfect%3c/text%3e%3c/svg%3e</v>
      </c>
      <c r="F401" s="10" t="str">
        <f t="shared" si="3"/>
        <v>https://svgtext.heliohost.us/cgi-bin/gen.perl?text=Perfect</v>
      </c>
      <c r="G401" s="11" t="str">
        <f t="shared" si="4"/>
        <v>data:image/svg+xml,%3csvg xmlns='http://www.w3.org/2000/svg' viewBox='0 0 24 216'%3e%3ctext fill='%23fff' style='font: 900 16px sans-serif' text-anchor='end' transform='matrix(0 -1 1 0 18 5)'%3ePerfect%3c/text%3e%3c/svg%3e</v>
      </c>
      <c r="H401" s="8" t="s">
        <v>32</v>
      </c>
      <c r="I401" s="8">
        <f t="shared" ref="I401:J401" si="402">len(B401)</f>
        <v>7</v>
      </c>
      <c r="J401" s="8">
        <f t="shared" si="402"/>
        <v>19</v>
      </c>
      <c r="K401" s="8" t="s">
        <v>1143</v>
      </c>
    </row>
    <row r="402">
      <c r="A402" s="7" t="b">
        <v>1</v>
      </c>
      <c r="B402" s="8" t="s">
        <v>1144</v>
      </c>
      <c r="C402" s="8" t="s">
        <v>1145</v>
      </c>
      <c r="D402" s="8" t="str">
        <f>Q&amp;$K402&amp;Q&amp;":{"&amp;Q&amp;$B$2&amp;Q&amp;":"&amp;Q&amp;$B402&amp;Q&amp;","&amp;Q&amp;$C$2&amp;Q&amp;":"&amp;Q&amp;$C402&amp;Q&amp;","&amp;Q&amp;"sets"&amp;Q&amp;":"&amp;Q&amp;substitute(SUBSTITUTE($H402,"[",""),"]","")&amp;Q&amp;"},"</f>
        <v>"lzbv":{"label":"Perverse","extra":"(stubborn, obstinate, improper) ","sets":"Expansion Set 3, Party Expansion 1"},</v>
      </c>
      <c r="E402" s="9" t="str">
        <f t="shared" si="2"/>
        <v>data:image/svg+xml,%3csvg xmlns='http://www.w3.org/2000/svg' viewBox='0 0 24 216'%3e%3ctext fill='%23fff' style='font: 900 16px sans-serif' text-anchor='end' transform='matrix(0 -1 1 0 18 5)'%3ePerverse%3c/text%3e%3c/svg%3e</v>
      </c>
      <c r="F402" s="10" t="str">
        <f t="shared" si="3"/>
        <v>https://svgtext.heliohost.us/cgi-bin/gen.perl?text=Perverse</v>
      </c>
      <c r="G402" s="11" t="str">
        <f t="shared" si="4"/>
        <v>data:image/svg+xml,%3csvg xmlns='http://www.w3.org/2000/svg' viewBox='0 0 24 216'%3e%3ctext fill='%23fff' style='font: 900 16px sans-serif' text-anchor='end' transform='matrix(0 -1 1 0 18 5)'%3ePerverse%3c/text%3e%3c/svg%3e</v>
      </c>
      <c r="H402" s="8" t="s">
        <v>39</v>
      </c>
      <c r="I402" s="8">
        <f t="shared" ref="I402:J402" si="403">len(B402)</f>
        <v>8</v>
      </c>
      <c r="J402" s="8">
        <f t="shared" si="403"/>
        <v>32</v>
      </c>
      <c r="K402" s="8" t="s">
        <v>1146</v>
      </c>
    </row>
    <row r="403">
      <c r="A403" s="7" t="b">
        <v>0</v>
      </c>
      <c r="B403" s="8" t="s">
        <v>1147</v>
      </c>
      <c r="C403" s="8" t="s">
        <v>1148</v>
      </c>
      <c r="D403" s="8" t="str">
        <f>Q&amp;$K403&amp;Q&amp;":{"&amp;Q&amp;$B$2&amp;Q&amp;":"&amp;Q&amp;$B403&amp;Q&amp;","&amp;Q&amp;$C$2&amp;Q&amp;":"&amp;Q&amp;$C403&amp;Q&amp;","&amp;Q&amp;"sets"&amp;Q&amp;":"&amp;Q&amp;substitute(SUBSTITUTE($H403,"[",""),"]","")&amp;Q&amp;"},"</f>
        <v>"oqpp":{"label":"Philosophical","extra":"(thoughtful, contemplative, wise) ","sets":"Expansion Set 1, Party Set"},</v>
      </c>
      <c r="E403" s="9" t="str">
        <f t="shared" si="2"/>
        <v>data:image/svg+xml,%3csvg xmlns='http://www.w3.org/2000/svg' viewBox='0 0 24 216'%3e%3ctext fill='%23fff' style='font: 900 16px sans-serif' text-anchor='end' transform='matrix(0 -1 1 0 18 5)'%3ePhilosophical%3c/text%3e%3c/svg%3e</v>
      </c>
      <c r="F403" s="10" t="str">
        <f t="shared" si="3"/>
        <v>https://svgtext.heliohost.us/cgi-bin/gen.perl?text=Philosophical</v>
      </c>
      <c r="G403" s="11" t="str">
        <f t="shared" si="4"/>
        <v>data:image/svg+xml,%3csvg xmlns='http://www.w3.org/2000/svg' viewBox='0 0 24 216'%3e%3ctext fill='%23fff' style='font: 900 16px sans-serif' text-anchor='end' transform='matrix(0 -1 1 0 18 5)'%3ePhilosophical%3c/text%3e%3c/svg%3e</v>
      </c>
      <c r="H403" s="8" t="s">
        <v>25</v>
      </c>
      <c r="I403" s="8">
        <f t="shared" ref="I403:J403" si="404">len(B403)</f>
        <v>13</v>
      </c>
      <c r="J403" s="8">
        <f t="shared" si="404"/>
        <v>34</v>
      </c>
      <c r="K403" s="8" t="s">
        <v>1149</v>
      </c>
    </row>
    <row r="404">
      <c r="A404" s="7" t="b">
        <v>0</v>
      </c>
      <c r="B404" s="8" t="s">
        <v>1150</v>
      </c>
      <c r="C404" s="8" t="s">
        <v>1151</v>
      </c>
      <c r="D404" s="8" t="str">
        <f>Q&amp;$K404&amp;Q&amp;":{"&amp;Q&amp;$B$2&amp;Q&amp;":"&amp;Q&amp;$B404&amp;Q&amp;","&amp;Q&amp;$C$2&amp;Q&amp;":"&amp;Q&amp;$C404&amp;Q&amp;","&amp;Q&amp;"sets"&amp;Q&amp;":"&amp;Q&amp;substitute(SUBSTITUTE($H404,"[",""),"]","")&amp;Q&amp;"},"</f>
        <v>"ikaq":{"label":"Phony","extra":"(false, artificial, imitation) ","sets":"Basic Set, Party Set"},</v>
      </c>
      <c r="E404" s="9" t="str">
        <f t="shared" si="2"/>
        <v>data:image/svg+xml,%3csvg xmlns='http://www.w3.org/2000/svg' viewBox='0 0 24 216'%3e%3ctext fill='%23fff' style='font: 900 16px sans-serif' text-anchor='end' transform='matrix(0 -1 1 0 18 5)'%3ePhony%3c/text%3e%3c/svg%3e</v>
      </c>
      <c r="F404" s="10" t="str">
        <f t="shared" si="3"/>
        <v>https://svgtext.heliohost.us/cgi-bin/gen.perl?text=Phony</v>
      </c>
      <c r="G404" s="11" t="str">
        <f t="shared" si="4"/>
        <v>data:image/svg+xml,%3csvg xmlns='http://www.w3.org/2000/svg' viewBox='0 0 24 216'%3e%3ctext fill='%23fff' style='font: 900 16px sans-serif' text-anchor='end' transform='matrix(0 -1 1 0 18 5)'%3ePhony%3c/text%3e%3c/svg%3e</v>
      </c>
      <c r="H404" s="8" t="s">
        <v>29</v>
      </c>
      <c r="I404" s="8">
        <f t="shared" ref="I404:J404" si="405">len(B404)</f>
        <v>5</v>
      </c>
      <c r="J404" s="8">
        <f t="shared" si="405"/>
        <v>31</v>
      </c>
      <c r="K404" s="8" t="s">
        <v>1152</v>
      </c>
    </row>
    <row r="405">
      <c r="A405" s="7" t="b">
        <v>1</v>
      </c>
      <c r="B405" s="8" t="s">
        <v>1153</v>
      </c>
      <c r="C405" s="8" t="s">
        <v>1154</v>
      </c>
      <c r="D405" s="8" t="str">
        <f>Q&amp;$K405&amp;Q&amp;":{"&amp;Q&amp;$B$2&amp;Q&amp;":"&amp;Q&amp;$B405&amp;Q&amp;","&amp;Q&amp;$C$2&amp;Q&amp;":"&amp;Q&amp;$C405&amp;Q&amp;","&amp;Q&amp;"sets"&amp;Q&amp;":"&amp;Q&amp;substitute(SUBSTITUTE($H405,"[",""),"]","")&amp;Q&amp;"},"</f>
        <v>"yvkf":{"label":"Plain","extra":"(simple, evident, ordinary) ","sets":"Basic Set (1999 Printing Only)"},</v>
      </c>
      <c r="E405" s="9" t="str">
        <f t="shared" si="2"/>
        <v>data:image/svg+xml,%3csvg xmlns='http://www.w3.org/2000/svg' viewBox='0 0 24 216'%3e%3ctext fill='%23fff' style='font: 900 16px sans-serif' text-anchor='end' transform='matrix(0 -1 1 0 18 5)'%3ePlain%3c/text%3e%3c/svg%3e</v>
      </c>
      <c r="F405" s="10" t="str">
        <f t="shared" si="3"/>
        <v>https://svgtext.heliohost.us/cgi-bin/gen.perl?text=Plain</v>
      </c>
      <c r="G405" s="11" t="str">
        <f t="shared" si="4"/>
        <v>data:image/svg+xml,%3csvg xmlns='http://www.w3.org/2000/svg' viewBox='0 0 24 216'%3e%3ctext fill='%23fff' style='font: 900 16px sans-serif' text-anchor='end' transform='matrix(0 -1 1 0 18 5)'%3ePlain%3c/text%3e%3c/svg%3e</v>
      </c>
      <c r="H405" s="8" t="s">
        <v>1155</v>
      </c>
      <c r="I405" s="8">
        <f t="shared" ref="I405:J405" si="406">len(B405)</f>
        <v>5</v>
      </c>
      <c r="J405" s="8">
        <f t="shared" si="406"/>
        <v>28</v>
      </c>
      <c r="K405" s="8" t="s">
        <v>1156</v>
      </c>
    </row>
    <row r="406">
      <c r="A406" s="7" t="b">
        <v>0</v>
      </c>
      <c r="B406" s="8" t="s">
        <v>1153</v>
      </c>
      <c r="C406" s="8" t="s">
        <v>1157</v>
      </c>
      <c r="D406" s="8" t="str">
        <f>Q&amp;$K406&amp;Q&amp;":{"&amp;Q&amp;$B$2&amp;Q&amp;":"&amp;Q&amp;$B406&amp;Q&amp;","&amp;Q&amp;$C$2&amp;Q&amp;":"&amp;Q&amp;$C406&amp;Q&amp;","&amp;Q&amp;"sets"&amp;Q&amp;":"&amp;Q&amp;substitute(SUBSTITUTE($H406,"[",""),"]","")&amp;Q&amp;"},"</f>
        <v>"tvch":{"label":"Plain","extra":"(simple, dull) ","sets":"Junior 9+ (1st) &amp; (2nd)"},</v>
      </c>
      <c r="E406" s="9" t="str">
        <f t="shared" si="2"/>
        <v>data:image/svg+xml,%3csvg xmlns='http://www.w3.org/2000/svg' viewBox='0 0 24 216'%3e%3ctext fill='%23fff' style='font: 900 16px sans-serif' text-anchor='end' transform='matrix(0 -1 1 0 18 5)'%3ePlain%3c/text%3e%3c/svg%3e</v>
      </c>
      <c r="F406" s="10" t="str">
        <f t="shared" si="3"/>
        <v>https://svgtext.heliohost.us/cgi-bin/gen.perl?text=Plain</v>
      </c>
      <c r="G406" s="11" t="str">
        <f t="shared" si="4"/>
        <v>data:image/svg+xml,%3csvg xmlns='http://www.w3.org/2000/svg' viewBox='0 0 24 216'%3e%3ctext fill='%23fff' style='font: 900 16px sans-serif' text-anchor='end' transform='matrix(0 -1 1 0 18 5)'%3ePlain%3c/text%3e%3c/svg%3e</v>
      </c>
      <c r="H406" s="8" t="s">
        <v>42</v>
      </c>
      <c r="I406" s="8">
        <f t="shared" ref="I406:J406" si="407">len(B406)</f>
        <v>5</v>
      </c>
      <c r="J406" s="8">
        <f t="shared" si="407"/>
        <v>15</v>
      </c>
      <c r="K406" s="8" t="s">
        <v>1158</v>
      </c>
    </row>
    <row r="407">
      <c r="A407" s="7" t="b">
        <v>1</v>
      </c>
      <c r="B407" s="8" t="s">
        <v>1159</v>
      </c>
      <c r="C407" s="8" t="s">
        <v>1160</v>
      </c>
      <c r="D407" s="8" t="str">
        <f>Q&amp;$K407&amp;Q&amp;":{"&amp;Q&amp;$B$2&amp;Q&amp;":"&amp;Q&amp;$B407&amp;Q&amp;","&amp;Q&amp;$C$2&amp;Q&amp;":"&amp;Q&amp;$C407&amp;Q&amp;","&amp;Q&amp;"sets"&amp;Q&amp;":"&amp;Q&amp;substitute(SUBSTITUTE($H407,"[",""),"]","")&amp;Q&amp;"},"</f>
        <v>"vjik":{"label":"Plain &amp; Simple","extra":"(unadorned, uncomplicated, clear) ","sets":"Expansion Set 4, Party Expansion 1"},</v>
      </c>
      <c r="E407" s="9" t="str">
        <f t="shared" si="2"/>
        <v>data:image/svg+xml,%3csvg xmlns='http://www.w3.org/2000/svg' viewBox='0 0 24 216'%3e%3ctext fill='%23fff' style='font: 900 16px sans-serif' text-anchor='end' transform='matrix(0 -1 1 0 18 5)'%3ePlain %26amp%3B Simple%3c/text%3e%3c/svg%3e</v>
      </c>
      <c r="F407" s="10" t="str">
        <f t="shared" si="3"/>
        <v>https://svgtext.heliohost.us/cgi-bin/gen.perl?text=Plain%20%26%20Simple</v>
      </c>
      <c r="G407" s="11" t="str">
        <f t="shared" si="4"/>
        <v>data:image/svg+xml,%3csvg xmlns='http://www.w3.org/2000/svg' viewBox='0 0 24 216'%3e%3ctext fill='%23fff' style='font: 900 16px sans-serif' text-anchor='end' transform='matrix(0 -1 1 0 18 5)'%3ePlain %26amp%3B Simple%3c/text%3e%3c/svg%3e</v>
      </c>
      <c r="H407" s="8" t="s">
        <v>63</v>
      </c>
      <c r="I407" s="8">
        <f t="shared" ref="I407:J407" si="408">len(B407)</f>
        <v>14</v>
      </c>
      <c r="J407" s="8">
        <f t="shared" si="408"/>
        <v>34</v>
      </c>
      <c r="K407" s="8" t="s">
        <v>1161</v>
      </c>
    </row>
    <row r="408">
      <c r="A408" s="7" t="b">
        <v>0</v>
      </c>
      <c r="B408" s="8" t="s">
        <v>1162</v>
      </c>
      <c r="C408" s="8" t="s">
        <v>1163</v>
      </c>
      <c r="D408" s="8" t="str">
        <f>Q&amp;$K408&amp;Q&amp;":{"&amp;Q&amp;$B$2&amp;Q&amp;":"&amp;Q&amp;$B408&amp;Q&amp;","&amp;Q&amp;$C$2&amp;Q&amp;":"&amp;Q&amp;$C408&amp;Q&amp;","&amp;Q&amp;"sets"&amp;Q&amp;":"&amp;Q&amp;substitute(SUBSTITUTE($H408,"[",""),"]","")&amp;Q&amp;"},"</f>
        <v>"rvpw":{"label":"Playful","extra":"(fun, frisky, entertaining) ","sets":"Expansion Set 1, Party Set"},</v>
      </c>
      <c r="E408" s="9" t="str">
        <f t="shared" si="2"/>
        <v>data:image/svg+xml,%3csvg xmlns='http://www.w3.org/2000/svg' viewBox='0 0 24 216'%3e%3ctext fill='%23fff' style='font: 900 16px sans-serif' text-anchor='end' transform='matrix(0 -1 1 0 18 5)'%3ePlayful%3c/text%3e%3c/svg%3e</v>
      </c>
      <c r="F408" s="10" t="str">
        <f t="shared" si="3"/>
        <v>https://svgtext.heliohost.us/cgi-bin/gen.perl?text=Playful</v>
      </c>
      <c r="G408" s="11" t="str">
        <f t="shared" si="4"/>
        <v>data:image/svg+xml,%3csvg xmlns='http://www.w3.org/2000/svg' viewBox='0 0 24 216'%3e%3ctext fill='%23fff' style='font: 900 16px sans-serif' text-anchor='end' transform='matrix(0 -1 1 0 18 5)'%3ePlayful%3c/text%3e%3c/svg%3e</v>
      </c>
      <c r="H408" s="8" t="s">
        <v>25</v>
      </c>
      <c r="I408" s="8">
        <f t="shared" ref="I408:J408" si="409">len(B408)</f>
        <v>7</v>
      </c>
      <c r="J408" s="8">
        <f t="shared" si="409"/>
        <v>28</v>
      </c>
      <c r="K408" s="8" t="s">
        <v>1164</v>
      </c>
    </row>
    <row r="409">
      <c r="A409" s="7" t="b">
        <v>0</v>
      </c>
      <c r="B409" s="8" t="s">
        <v>1162</v>
      </c>
      <c r="C409" s="8" t="s">
        <v>1165</v>
      </c>
      <c r="D409" s="8" t="str">
        <f>Q&amp;$K409&amp;Q&amp;":{"&amp;Q&amp;$B$2&amp;Q&amp;":"&amp;Q&amp;$B409&amp;Q&amp;","&amp;Q&amp;$C$2&amp;Q&amp;":"&amp;Q&amp;$C409&amp;Q&amp;","&amp;Q&amp;"sets"&amp;Q&amp;":"&amp;Q&amp;substitute(SUBSTITUTE($H409,"[",""),"]","")&amp;Q&amp;"},"</f>
        <v>"byhn":{"label":"Playful","extra":"(fun, cheerful) ","sets":"Junior 9+ (1st) &amp; (2nd)"},</v>
      </c>
      <c r="E409" s="9" t="str">
        <f t="shared" si="2"/>
        <v>data:image/svg+xml,%3csvg xmlns='http://www.w3.org/2000/svg' viewBox='0 0 24 216'%3e%3ctext fill='%23fff' style='font: 900 16px sans-serif' text-anchor='end' transform='matrix(0 -1 1 0 18 5)'%3ePlayful%3c/text%3e%3c/svg%3e</v>
      </c>
      <c r="F409" s="10" t="str">
        <f t="shared" si="3"/>
        <v>https://svgtext.heliohost.us/cgi-bin/gen.perl?text=Playful</v>
      </c>
      <c r="G409" s="11" t="str">
        <f t="shared" si="4"/>
        <v>data:image/svg+xml,%3csvg xmlns='http://www.w3.org/2000/svg' viewBox='0 0 24 216'%3e%3ctext fill='%23fff' style='font: 900 16px sans-serif' text-anchor='end' transform='matrix(0 -1 1 0 18 5)'%3ePlayful%3c/text%3e%3c/svg%3e</v>
      </c>
      <c r="H409" s="8" t="s">
        <v>42</v>
      </c>
      <c r="I409" s="8">
        <f t="shared" ref="I409:J409" si="410">len(B409)</f>
        <v>7</v>
      </c>
      <c r="J409" s="8">
        <f t="shared" si="410"/>
        <v>16</v>
      </c>
      <c r="K409" s="8" t="s">
        <v>1166</v>
      </c>
    </row>
    <row r="410">
      <c r="A410" s="7" t="b">
        <v>1</v>
      </c>
      <c r="B410" s="8" t="s">
        <v>1167</v>
      </c>
      <c r="C410" s="8" t="s">
        <v>1168</v>
      </c>
      <c r="D410" s="8" t="str">
        <f>Q&amp;$K410&amp;Q&amp;":{"&amp;Q&amp;$B$2&amp;Q&amp;":"&amp;Q&amp;$B410&amp;Q&amp;","&amp;Q&amp;$C$2&amp;Q&amp;":"&amp;Q&amp;$C410&amp;Q&amp;","&amp;Q&amp;"sets"&amp;Q&amp;":"&amp;Q&amp;substitute(SUBSTITUTE($H410,"[",""),"]","")&amp;Q&amp;"},"</f>
        <v>"crhw":{"label":"Pleasant","extra":"(enjoyable, nice) ","sets":"Junior 9+ (2nd)"},</v>
      </c>
      <c r="E410" s="9" t="str">
        <f t="shared" si="2"/>
        <v>data:image/svg+xml,%3csvg xmlns='http://www.w3.org/2000/svg' viewBox='0 0 24 216'%3e%3ctext fill='%23fff' style='font: 900 16px sans-serif' text-anchor='end' transform='matrix(0 -1 1 0 18 5)'%3ePleasant%3c/text%3e%3c/svg%3e</v>
      </c>
      <c r="F410" s="10" t="str">
        <f t="shared" si="3"/>
        <v>https://svgtext.heliohost.us/cgi-bin/gen.perl?text=Pleasant</v>
      </c>
      <c r="G410" s="11" t="str">
        <f t="shared" si="4"/>
        <v>data:image/svg+xml,%3csvg xmlns='http://www.w3.org/2000/svg' viewBox='0 0 24 216'%3e%3ctext fill='%23fff' style='font: 900 16px sans-serif' text-anchor='end' transform='matrix(0 -1 1 0 18 5)'%3ePleasant%3c/text%3e%3c/svg%3e</v>
      </c>
      <c r="H410" s="8" t="s">
        <v>32</v>
      </c>
      <c r="I410" s="8">
        <f t="shared" ref="I410:J410" si="411">len(B410)</f>
        <v>8</v>
      </c>
      <c r="J410" s="8">
        <f t="shared" si="411"/>
        <v>18</v>
      </c>
      <c r="K410" s="8" t="s">
        <v>1169</v>
      </c>
    </row>
    <row r="411">
      <c r="A411" s="7" t="b">
        <v>1</v>
      </c>
      <c r="B411" s="8" t="s">
        <v>1170</v>
      </c>
      <c r="C411" s="8" t="s">
        <v>1171</v>
      </c>
      <c r="D411" s="8" t="str">
        <f>Q&amp;$K411&amp;Q&amp;":{"&amp;Q&amp;$B$2&amp;Q&amp;":"&amp;Q&amp;$B411&amp;Q&amp;","&amp;Q&amp;$C$2&amp;Q&amp;":"&amp;Q&amp;$C411&amp;Q&amp;","&amp;Q&amp;"sets"&amp;Q&amp;":"&amp;Q&amp;substitute(SUBSTITUTE($H411,"[",""),"]","")&amp;Q&amp;"},"</f>
        <v>"ddmm":{"label":"Plug &amp; Play","extra":"(effortless, automatic, self-operating) ","sets":"Expansion Set 4, Party Expansion 1"},</v>
      </c>
      <c r="E411" s="9" t="str">
        <f t="shared" si="2"/>
        <v>data:image/svg+xml,%3csvg xmlns='http://www.w3.org/2000/svg' viewBox='0 0 24 216'%3e%3ctext fill='%23fff' style='font: 900 16px sans-serif' text-anchor='end' transform='matrix(0 -1 1 0 18 5)'%3ePlug %26amp%3B Play%3c/text%3e%3c/svg%3e</v>
      </c>
      <c r="F411" s="10" t="str">
        <f t="shared" si="3"/>
        <v>https://svgtext.heliohost.us/cgi-bin/gen.perl?text=Plug%20%26%20Play</v>
      </c>
      <c r="G411" s="11" t="str">
        <f t="shared" si="4"/>
        <v>data:image/svg+xml,%3csvg xmlns='http://www.w3.org/2000/svg' viewBox='0 0 24 216'%3e%3ctext fill='%23fff' style='font: 900 16px sans-serif' text-anchor='end' transform='matrix(0 -1 1 0 18 5)'%3ePlug %26amp%3B Play%3c/text%3e%3c/svg%3e</v>
      </c>
      <c r="H411" s="8" t="s">
        <v>63</v>
      </c>
      <c r="I411" s="8">
        <f t="shared" ref="I411:J411" si="412">len(B411)</f>
        <v>11</v>
      </c>
      <c r="J411" s="8">
        <f t="shared" si="412"/>
        <v>40</v>
      </c>
      <c r="K411" s="8" t="s">
        <v>1172</v>
      </c>
    </row>
    <row r="412">
      <c r="A412" s="7" t="b">
        <v>1</v>
      </c>
      <c r="B412" s="8" t="s">
        <v>1173</v>
      </c>
      <c r="C412" s="8" t="s">
        <v>1174</v>
      </c>
      <c r="D412" s="8" t="str">
        <f>Q&amp;$K412&amp;Q&amp;":{"&amp;Q&amp;$B$2&amp;Q&amp;":"&amp;Q&amp;$B412&amp;Q&amp;","&amp;Q&amp;$C$2&amp;Q&amp;":"&amp;Q&amp;$C412&amp;Q&amp;","&amp;Q&amp;"sets"&amp;Q&amp;":"&amp;Q&amp;substitute(SUBSTITUTE($H412,"[",""),"]","")&amp;Q&amp;"},"</f>
        <v>"wdem":{"label":"Plump &amp; Tender","extra":"(ripe, chubby, fleshy) ","sets":"Expansion Set 4, Party Expansion 1"},</v>
      </c>
      <c r="E412" s="9" t="str">
        <f t="shared" si="2"/>
        <v>data:image/svg+xml,%3csvg xmlns='http://www.w3.org/2000/svg' viewBox='0 0 24 216'%3e%3ctext fill='%23fff' style='font: 900 16px sans-serif' text-anchor='end' transform='matrix(0 -1 1 0 18 5)'%3ePlump %26amp%3B Tender%3c/text%3e%3c/svg%3e</v>
      </c>
      <c r="F412" s="10" t="str">
        <f t="shared" si="3"/>
        <v>https://svgtext.heliohost.us/cgi-bin/gen.perl?text=Plump%20%26%20Tender</v>
      </c>
      <c r="G412" s="11" t="str">
        <f t="shared" si="4"/>
        <v>data:image/svg+xml,%3csvg xmlns='http://www.w3.org/2000/svg' viewBox='0 0 24 216'%3e%3ctext fill='%23fff' style='font: 900 16px sans-serif' text-anchor='end' transform='matrix(0 -1 1 0 18 5)'%3ePlump %26amp%3B Tender%3c/text%3e%3c/svg%3e</v>
      </c>
      <c r="H412" s="8" t="s">
        <v>63</v>
      </c>
      <c r="I412" s="8">
        <f t="shared" ref="I412:J412" si="413">len(B412)</f>
        <v>14</v>
      </c>
      <c r="J412" s="8">
        <f t="shared" si="413"/>
        <v>23</v>
      </c>
      <c r="K412" s="8" t="s">
        <v>1175</v>
      </c>
    </row>
    <row r="413">
      <c r="A413" s="7" t="b">
        <v>0</v>
      </c>
      <c r="B413" s="8" t="s">
        <v>1176</v>
      </c>
      <c r="C413" s="8" t="s">
        <v>1177</v>
      </c>
      <c r="D413" s="8" t="str">
        <f>Q&amp;$K413&amp;Q&amp;":{"&amp;Q&amp;$B$2&amp;Q&amp;":"&amp;Q&amp;$B413&amp;Q&amp;","&amp;Q&amp;$C$2&amp;Q&amp;":"&amp;Q&amp;$C413&amp;Q&amp;","&amp;Q&amp;"sets"&amp;Q&amp;":"&amp;Q&amp;substitute(SUBSTITUTE($H413,"[",""),"]","")&amp;Q&amp;"},"</f>
        <v>"cdhu":{"label":"Polite","extra":"(respectful, well-mannered) ","sets":"Junior 9+ (2nd)"},</v>
      </c>
      <c r="E413" s="9" t="str">
        <f t="shared" si="2"/>
        <v>data:image/svg+xml,%3csvg xmlns='http://www.w3.org/2000/svg' viewBox='0 0 24 216'%3e%3ctext fill='%23fff' style='font: 900 16px sans-serif' text-anchor='end' transform='matrix(0 -1 1 0 18 5)'%3ePolite%3c/text%3e%3c/svg%3e</v>
      </c>
      <c r="F413" s="10" t="str">
        <f t="shared" si="3"/>
        <v>https://svgtext.heliohost.us/cgi-bin/gen.perl?text=Polite</v>
      </c>
      <c r="G413" s="11" t="str">
        <f t="shared" si="4"/>
        <v>data:image/svg+xml,%3csvg xmlns='http://www.w3.org/2000/svg' viewBox='0 0 24 216'%3e%3ctext fill='%23fff' style='font: 900 16px sans-serif' text-anchor='end' transform='matrix(0 -1 1 0 18 5)'%3ePolite%3c/text%3e%3c/svg%3e</v>
      </c>
      <c r="H413" s="8" t="s">
        <v>32</v>
      </c>
      <c r="I413" s="8">
        <f t="shared" ref="I413:J413" si="414">len(B413)</f>
        <v>6</v>
      </c>
      <c r="J413" s="8">
        <f t="shared" si="414"/>
        <v>28</v>
      </c>
      <c r="K413" s="8" t="s">
        <v>1178</v>
      </c>
    </row>
    <row r="414">
      <c r="A414" s="7" t="b">
        <v>0</v>
      </c>
      <c r="B414" s="8" t="s">
        <v>1179</v>
      </c>
      <c r="C414" s="8" t="s">
        <v>1180</v>
      </c>
      <c r="D414" s="8" t="str">
        <f>Q&amp;$K414&amp;Q&amp;":{"&amp;Q&amp;$B$2&amp;Q&amp;":"&amp;Q&amp;$B414&amp;Q&amp;","&amp;Q&amp;$C$2&amp;Q&amp;":"&amp;Q&amp;$C414&amp;Q&amp;","&amp;Q&amp;"sets"&amp;Q&amp;":"&amp;Q&amp;substitute(SUBSTITUTE($H414,"[",""),"]","")&amp;Q&amp;"},"</f>
        <v>"xibk":{"label":"Poor","extra":"(not rich, unfortunate) ","sets":"Junior 9+ (2nd)"},</v>
      </c>
      <c r="E414" s="9" t="str">
        <f t="shared" si="2"/>
        <v>data:image/svg+xml,%3csvg xmlns='http://www.w3.org/2000/svg' viewBox='0 0 24 216'%3e%3ctext fill='%23fff' style='font: 900 16px sans-serif' text-anchor='end' transform='matrix(0 -1 1 0 18 5)'%3ePoor%3c/text%3e%3c/svg%3e</v>
      </c>
      <c r="F414" s="10" t="str">
        <f t="shared" si="3"/>
        <v>https://svgtext.heliohost.us/cgi-bin/gen.perl?text=Poor</v>
      </c>
      <c r="G414" s="11" t="str">
        <f t="shared" si="4"/>
        <v>data:image/svg+xml,%3csvg xmlns='http://www.w3.org/2000/svg' viewBox='0 0 24 216'%3e%3ctext fill='%23fff' style='font: 900 16px sans-serif' text-anchor='end' transform='matrix(0 -1 1 0 18 5)'%3ePoor%3c/text%3e%3c/svg%3e</v>
      </c>
      <c r="H414" s="8" t="s">
        <v>32</v>
      </c>
      <c r="I414" s="8">
        <f t="shared" ref="I414:J414" si="415">len(B414)</f>
        <v>4</v>
      </c>
      <c r="J414" s="8">
        <f t="shared" si="415"/>
        <v>24</v>
      </c>
      <c r="K414" s="8" t="s">
        <v>1181</v>
      </c>
    </row>
    <row r="415">
      <c r="A415" s="7" t="b">
        <v>0</v>
      </c>
      <c r="B415" s="8" t="s">
        <v>1182</v>
      </c>
      <c r="C415" s="8" t="s">
        <v>1183</v>
      </c>
      <c r="D415" s="8" t="str">
        <f>Q&amp;$K415&amp;Q&amp;":{"&amp;Q&amp;$B$2&amp;Q&amp;":"&amp;Q&amp;$B415&amp;Q&amp;","&amp;Q&amp;$C$2&amp;Q&amp;":"&amp;Q&amp;$C415&amp;Q&amp;","&amp;Q&amp;"sets"&amp;Q&amp;":"&amp;Q&amp;substitute(SUBSTITUTE($H415,"[",""),"]","")&amp;Q&amp;"},"</f>
        <v>"wamd":{"label":"Popular","extra":"(well-liked, accepted, preferred) ","sets":"Expansion Set 2, Party Set"},</v>
      </c>
      <c r="E415" s="9" t="str">
        <f t="shared" si="2"/>
        <v>data:image/svg+xml,%3csvg xmlns='http://www.w3.org/2000/svg' viewBox='0 0 24 216'%3e%3ctext fill='%23fff' style='font: 900 16px sans-serif' text-anchor='end' transform='matrix(0 -1 1 0 18 5)'%3ePopular%3c/text%3e%3c/svg%3e</v>
      </c>
      <c r="F415" s="10" t="str">
        <f t="shared" si="3"/>
        <v>https://svgtext.heliohost.us/cgi-bin/gen.perl?text=Popular</v>
      </c>
      <c r="G415" s="11" t="str">
        <f t="shared" si="4"/>
        <v>data:image/svg+xml,%3csvg xmlns='http://www.w3.org/2000/svg' viewBox='0 0 24 216'%3e%3ctext fill='%23fff' style='font: 900 16px sans-serif' text-anchor='end' transform='matrix(0 -1 1 0 18 5)'%3ePopular%3c/text%3e%3c/svg%3e</v>
      </c>
      <c r="H415" s="8" t="s">
        <v>17</v>
      </c>
      <c r="I415" s="8">
        <f t="shared" ref="I415:J415" si="416">len(B415)</f>
        <v>7</v>
      </c>
      <c r="J415" s="8">
        <f t="shared" si="416"/>
        <v>34</v>
      </c>
      <c r="K415" s="8" t="s">
        <v>1184</v>
      </c>
    </row>
    <row r="416">
      <c r="A416" s="7" t="b">
        <v>1</v>
      </c>
      <c r="B416" s="8" t="s">
        <v>1185</v>
      </c>
      <c r="C416" s="8" t="s">
        <v>1186</v>
      </c>
      <c r="D416" s="8" t="str">
        <f>Q&amp;$K416&amp;Q&amp;":{"&amp;Q&amp;$B$2&amp;Q&amp;":"&amp;Q&amp;$B416&amp;Q&amp;","&amp;Q&amp;$C$2&amp;Q&amp;":"&amp;Q&amp;$C416&amp;Q&amp;","&amp;Q&amp;"sets"&amp;Q&amp;":"&amp;Q&amp;substitute(SUBSTITUTE($H416,"[",""),"]","")&amp;Q&amp;"},"</f>
        <v>"ndrl":{"label":"Powerful","extra":"(strong, forceful, robust) ","sets":"Basic Set, Party Set"},</v>
      </c>
      <c r="E416" s="9" t="str">
        <f t="shared" si="2"/>
        <v>data:image/svg+xml,%3csvg xmlns='http://www.w3.org/2000/svg' viewBox='0 0 24 216'%3e%3ctext fill='%23fff' style='font: 900 16px sans-serif' text-anchor='end' transform='matrix(0 -1 1 0 18 5)'%3ePowerful%3c/text%3e%3c/svg%3e</v>
      </c>
      <c r="F416" s="10" t="str">
        <f t="shared" si="3"/>
        <v>https://svgtext.heliohost.us/cgi-bin/gen.perl?text=Powerful</v>
      </c>
      <c r="G416" s="11" t="str">
        <f t="shared" si="4"/>
        <v>data:image/svg+xml,%3csvg xmlns='http://www.w3.org/2000/svg' viewBox='0 0 24 216'%3e%3ctext fill='%23fff' style='font: 900 16px sans-serif' text-anchor='end' transform='matrix(0 -1 1 0 18 5)'%3ePowerful%3c/text%3e%3c/svg%3e</v>
      </c>
      <c r="H416" s="8" t="s">
        <v>29</v>
      </c>
      <c r="I416" s="8">
        <f t="shared" ref="I416:J416" si="417">len(B416)</f>
        <v>8</v>
      </c>
      <c r="J416" s="8">
        <f t="shared" si="417"/>
        <v>27</v>
      </c>
      <c r="K416" s="8" t="s">
        <v>1187</v>
      </c>
    </row>
    <row r="417">
      <c r="A417" s="7" t="b">
        <v>0</v>
      </c>
      <c r="B417" s="8" t="s">
        <v>1185</v>
      </c>
      <c r="C417" s="8" t="s">
        <v>1188</v>
      </c>
      <c r="D417" s="8" t="str">
        <f>Q&amp;$K417&amp;Q&amp;":{"&amp;Q&amp;$B$2&amp;Q&amp;":"&amp;Q&amp;$B417&amp;Q&amp;","&amp;Q&amp;$C$2&amp;Q&amp;":"&amp;Q&amp;$C417&amp;Q&amp;","&amp;Q&amp;"sets"&amp;Q&amp;":"&amp;Q&amp;substitute(SUBSTITUTE($H417,"[",""),"]","")&amp;Q&amp;"},"</f>
        <v>"jouh":{"label":"Powerful","extra":"(strong, forceful) ","sets":"Junior 9+ (1st) &amp; (2nd)"},</v>
      </c>
      <c r="E417" s="9" t="str">
        <f t="shared" si="2"/>
        <v>data:image/svg+xml,%3csvg xmlns='http://www.w3.org/2000/svg' viewBox='0 0 24 216'%3e%3ctext fill='%23fff' style='font: 900 16px sans-serif' text-anchor='end' transform='matrix(0 -1 1 0 18 5)'%3ePowerful%3c/text%3e%3c/svg%3e</v>
      </c>
      <c r="F417" s="10" t="str">
        <f t="shared" si="3"/>
        <v>https://svgtext.heliohost.us/cgi-bin/gen.perl?text=Powerful</v>
      </c>
      <c r="G417" s="11" t="str">
        <f t="shared" si="4"/>
        <v>data:image/svg+xml,%3csvg xmlns='http://www.w3.org/2000/svg' viewBox='0 0 24 216'%3e%3ctext fill='%23fff' style='font: 900 16px sans-serif' text-anchor='end' transform='matrix(0 -1 1 0 18 5)'%3ePowerful%3c/text%3e%3c/svg%3e</v>
      </c>
      <c r="H417" s="8" t="s">
        <v>42</v>
      </c>
      <c r="I417" s="8">
        <f t="shared" ref="I417:J417" si="418">len(B417)</f>
        <v>8</v>
      </c>
      <c r="J417" s="8">
        <f t="shared" si="418"/>
        <v>19</v>
      </c>
      <c r="K417" s="8" t="s">
        <v>1189</v>
      </c>
    </row>
    <row r="418">
      <c r="A418" s="7" t="b">
        <v>1</v>
      </c>
      <c r="B418" s="8" t="s">
        <v>1190</v>
      </c>
      <c r="C418" s="8" t="s">
        <v>738</v>
      </c>
      <c r="D418" s="8" t="str">
        <f>Q&amp;$K418&amp;Q&amp;":{"&amp;Q&amp;$B$2&amp;Q&amp;":"&amp;Q&amp;$B418&amp;Q&amp;","&amp;Q&amp;$C$2&amp;Q&amp;":"&amp;Q&amp;$C418&amp;Q&amp;","&amp;Q&amp;"sets"&amp;Q&amp;":"&amp;Q&amp;substitute(SUBSTITUTE($H418,"[",""),"]","")&amp;Q&amp;"},"</f>
        <v>"hbjp":{"label":"Practical","extra":"(useful, helpful) ","sets":"Junior 9+ (2nd)"},</v>
      </c>
      <c r="E418" s="9" t="str">
        <f t="shared" si="2"/>
        <v>data:image/svg+xml,%3csvg xmlns='http://www.w3.org/2000/svg' viewBox='0 0 24 216'%3e%3ctext fill='%23fff' style='font: 900 16px sans-serif' text-anchor='end' transform='matrix(0 -1 1 0 18 5)'%3ePractical%3c/text%3e%3c/svg%3e</v>
      </c>
      <c r="F418" s="10" t="str">
        <f t="shared" si="3"/>
        <v>https://svgtext.heliohost.us/cgi-bin/gen.perl?text=Practical</v>
      </c>
      <c r="G418" s="11" t="str">
        <f t="shared" si="4"/>
        <v>data:image/svg+xml,%3csvg xmlns='http://www.w3.org/2000/svg' viewBox='0 0 24 216'%3e%3ctext fill='%23fff' style='font: 900 16px sans-serif' text-anchor='end' transform='matrix(0 -1 1 0 18 5)'%3ePractical%3c/text%3e%3c/svg%3e</v>
      </c>
      <c r="H418" s="8" t="s">
        <v>32</v>
      </c>
      <c r="I418" s="8">
        <f t="shared" ref="I418:J418" si="419">len(B418)</f>
        <v>9</v>
      </c>
      <c r="J418" s="8">
        <f t="shared" si="419"/>
        <v>18</v>
      </c>
      <c r="K418" s="8" t="s">
        <v>1191</v>
      </c>
    </row>
    <row r="419">
      <c r="A419" s="7" t="b">
        <v>0</v>
      </c>
      <c r="B419" s="8" t="s">
        <v>1192</v>
      </c>
      <c r="C419" s="8" t="s">
        <v>1193</v>
      </c>
      <c r="D419" s="8" t="str">
        <f>Q&amp;$K419&amp;Q&amp;":{"&amp;Q&amp;$B$2&amp;Q&amp;":"&amp;Q&amp;$B419&amp;Q&amp;","&amp;Q&amp;$C$2&amp;Q&amp;":"&amp;Q&amp;$C419&amp;Q&amp;","&amp;Q&amp;"sets"&amp;Q&amp;":"&amp;Q&amp;substitute(SUBSTITUTE($H419,"[",""),"]","")&amp;Q&amp;"},"</f>
        <v>"wgbi":{"label":"Pretty","extra":"(lovely, attractive, good-looking) ","sets":"Expansion Set 3, Party Expansion 1"},</v>
      </c>
      <c r="E419" s="9" t="str">
        <f t="shared" si="2"/>
        <v>data:image/svg+xml,%3csvg xmlns='http://www.w3.org/2000/svg' viewBox='0 0 24 216'%3e%3ctext fill='%23fff' style='font: 900 16px sans-serif' text-anchor='end' transform='matrix(0 -1 1 0 18 5)'%3ePretty%3c/text%3e%3c/svg%3e</v>
      </c>
      <c r="F419" s="10" t="str">
        <f t="shared" si="3"/>
        <v>https://svgtext.heliohost.us/cgi-bin/gen.perl?text=Pretty</v>
      </c>
      <c r="G419" s="11" t="str">
        <f t="shared" si="4"/>
        <v>data:image/svg+xml,%3csvg xmlns='http://www.w3.org/2000/svg' viewBox='0 0 24 216'%3e%3ctext fill='%23fff' style='font: 900 16px sans-serif' text-anchor='end' transform='matrix(0 -1 1 0 18 5)'%3ePretty%3c/text%3e%3c/svg%3e</v>
      </c>
      <c r="H419" s="8" t="s">
        <v>39</v>
      </c>
      <c r="I419" s="8">
        <f t="shared" ref="I419:J419" si="420">len(B419)</f>
        <v>6</v>
      </c>
      <c r="J419" s="8">
        <f t="shared" si="420"/>
        <v>35</v>
      </c>
      <c r="K419" s="8" t="s">
        <v>1194</v>
      </c>
    </row>
    <row r="420">
      <c r="A420" s="7" t="b">
        <v>0</v>
      </c>
      <c r="B420" s="8" t="s">
        <v>1192</v>
      </c>
      <c r="C420" s="8" t="s">
        <v>1195</v>
      </c>
      <c r="D420" s="8" t="str">
        <f>Q&amp;$K420&amp;Q&amp;":{"&amp;Q&amp;$B$2&amp;Q&amp;":"&amp;Q&amp;$B420&amp;Q&amp;","&amp;Q&amp;$C$2&amp;Q&amp;":"&amp;Q&amp;$C420&amp;Q&amp;","&amp;Q&amp;"sets"&amp;Q&amp;":"&amp;Q&amp;substitute(SUBSTITUTE($H420,"[",""),"]","")&amp;Q&amp;"},"</f>
        <v>"bbtq":{"label":"Pretty","extra":"(good-looking, pleasing) ","sets":"Junior"},</v>
      </c>
      <c r="E420" s="9" t="str">
        <f t="shared" si="2"/>
        <v>data:image/svg+xml,%3csvg xmlns='http://www.w3.org/2000/svg' viewBox='0 0 24 216'%3e%3ctext fill='%23fff' style='font: 900 16px sans-serif' text-anchor='end' transform='matrix(0 -1 1 0 18 5)'%3ePretty%3c/text%3e%3c/svg%3e</v>
      </c>
      <c r="F420" s="10" t="str">
        <f t="shared" si="3"/>
        <v>https://svgtext.heliohost.us/cgi-bin/gen.perl?text=Pretty</v>
      </c>
      <c r="G420" s="11" t="str">
        <f t="shared" si="4"/>
        <v>data:image/svg+xml,%3csvg xmlns='http://www.w3.org/2000/svg' viewBox='0 0 24 216'%3e%3ctext fill='%23fff' style='font: 900 16px sans-serif' text-anchor='end' transform='matrix(0 -1 1 0 18 5)'%3ePretty%3c/text%3e%3c/svg%3e</v>
      </c>
      <c r="H420" s="8" t="s">
        <v>84</v>
      </c>
      <c r="I420" s="8">
        <f t="shared" ref="I420:J420" si="421">len(B420)</f>
        <v>6</v>
      </c>
      <c r="J420" s="8">
        <f t="shared" si="421"/>
        <v>25</v>
      </c>
      <c r="K420" s="8" t="s">
        <v>1196</v>
      </c>
    </row>
    <row r="421">
      <c r="A421" s="7" t="b">
        <v>1</v>
      </c>
      <c r="B421" s="8" t="s">
        <v>1197</v>
      </c>
      <c r="C421" s="8" t="s">
        <v>1198</v>
      </c>
      <c r="D421" s="8" t="str">
        <f>Q&amp;$K421&amp;Q&amp;":{"&amp;Q&amp;$B$2&amp;Q&amp;":"&amp;Q&amp;$B421&amp;Q&amp;","&amp;Q&amp;$C$2&amp;Q&amp;":"&amp;Q&amp;$C421&amp;Q&amp;","&amp;Q&amp;"sets"&amp;Q&amp;":"&amp;Q&amp;substitute(SUBSTITUTE($H421,"[",""),"]","")&amp;Q&amp;"},"</f>
        <v>"bfdn":{"label":"Prim &amp; Proper","extra":"(reserved, modest, prudish) ","sets":"Expansion Set 4, Party Expansion 1"},</v>
      </c>
      <c r="E421" s="9" t="str">
        <f t="shared" si="2"/>
        <v>data:image/svg+xml,%3csvg xmlns='http://www.w3.org/2000/svg' viewBox='0 0 24 216'%3e%3ctext fill='%23fff' style='font: 900 16px sans-serif' text-anchor='end' transform='matrix(0 -1 1 0 18 5)'%3ePrim %26amp%3B Proper%3c/text%3e%3c/svg%3e</v>
      </c>
      <c r="F421" s="10" t="str">
        <f t="shared" si="3"/>
        <v>https://svgtext.heliohost.us/cgi-bin/gen.perl?text=Prim%20%26%20Proper</v>
      </c>
      <c r="G421" s="11" t="str">
        <f t="shared" si="4"/>
        <v>data:image/svg+xml,%3csvg xmlns='http://www.w3.org/2000/svg' viewBox='0 0 24 216'%3e%3ctext fill='%23fff' style='font: 900 16px sans-serif' text-anchor='end' transform='matrix(0 -1 1 0 18 5)'%3ePrim %26amp%3B Proper%3c/text%3e%3c/svg%3e</v>
      </c>
      <c r="H421" s="8" t="s">
        <v>63</v>
      </c>
      <c r="I421" s="8">
        <f t="shared" ref="I421:J421" si="422">len(B421)</f>
        <v>13</v>
      </c>
      <c r="J421" s="8">
        <f t="shared" si="422"/>
        <v>28</v>
      </c>
      <c r="K421" s="8" t="s">
        <v>1199</v>
      </c>
    </row>
    <row r="422">
      <c r="A422" s="7" t="b">
        <v>0</v>
      </c>
      <c r="B422" s="8" t="s">
        <v>1200</v>
      </c>
      <c r="C422" s="8" t="s">
        <v>1201</v>
      </c>
      <c r="D422" s="8" t="str">
        <f>Q&amp;$K422&amp;Q&amp;":{"&amp;Q&amp;$B$2&amp;Q&amp;":"&amp;Q&amp;$B422&amp;Q&amp;","&amp;Q&amp;$C$2&amp;Q&amp;":"&amp;Q&amp;$C422&amp;Q&amp;","&amp;Q&amp;"sets"&amp;Q&amp;":"&amp;Q&amp;substitute(SUBSTITUTE($H422,"[",""),"]","")&amp;Q&amp;"},"</f>
        <v>"fxbt":{"label":"Primitive","extra":"(prehistoric, primal, uncivilized) ","sets":"Basic Set, Party Set"},</v>
      </c>
      <c r="E422" s="9" t="str">
        <f t="shared" si="2"/>
        <v>data:image/svg+xml,%3csvg xmlns='http://www.w3.org/2000/svg' viewBox='0 0 24 216'%3e%3ctext fill='%23fff' style='font: 900 16px sans-serif' text-anchor='end' transform='matrix(0 -1 1 0 18 5)'%3ePrimitive%3c/text%3e%3c/svg%3e</v>
      </c>
      <c r="F422" s="10" t="str">
        <f t="shared" si="3"/>
        <v>https://svgtext.heliohost.us/cgi-bin/gen.perl?text=Primitive</v>
      </c>
      <c r="G422" s="11" t="str">
        <f t="shared" si="4"/>
        <v>data:image/svg+xml,%3csvg xmlns='http://www.w3.org/2000/svg' viewBox='0 0 24 216'%3e%3ctext fill='%23fff' style='font: 900 16px sans-serif' text-anchor='end' transform='matrix(0 -1 1 0 18 5)'%3ePrimitive%3c/text%3e%3c/svg%3e</v>
      </c>
      <c r="H422" s="8" t="s">
        <v>29</v>
      </c>
      <c r="I422" s="8">
        <f t="shared" ref="I422:J422" si="423">len(B422)</f>
        <v>9</v>
      </c>
      <c r="J422" s="8">
        <f t="shared" si="423"/>
        <v>35</v>
      </c>
      <c r="K422" s="8" t="s">
        <v>1202</v>
      </c>
    </row>
    <row r="423">
      <c r="A423" s="7" t="b">
        <v>0</v>
      </c>
      <c r="B423" s="8" t="s">
        <v>1203</v>
      </c>
      <c r="C423" s="8" t="s">
        <v>1204</v>
      </c>
      <c r="D423" s="8" t="str">
        <f>Q&amp;$K423&amp;Q&amp;":{"&amp;Q&amp;$B$2&amp;Q&amp;":"&amp;Q&amp;$B423&amp;Q&amp;","&amp;Q&amp;$C$2&amp;Q&amp;":"&amp;Q&amp;$C423&amp;Q&amp;","&amp;Q&amp;"sets"&amp;Q&amp;":"&amp;Q&amp;substitute(SUBSTITUTE($H423,"[",""),"]","")&amp;Q&amp;"},"</f>
        <v>"equi":{"label":"Principled","extra":"(conscientious, ethical, scrupulous) ","sets":"Basic Set, Party Set"},</v>
      </c>
      <c r="E423" s="9" t="str">
        <f t="shared" si="2"/>
        <v>data:image/svg+xml,%3csvg xmlns='http://www.w3.org/2000/svg' viewBox='0 0 24 216'%3e%3ctext fill='%23fff' style='font: 900 16px sans-serif' text-anchor='end' transform='matrix(0 -1 1 0 18 5)'%3ePrincipled%3c/text%3e%3c/svg%3e</v>
      </c>
      <c r="F423" s="10" t="str">
        <f t="shared" si="3"/>
        <v>https://svgtext.heliohost.us/cgi-bin/gen.perl?text=Principled</v>
      </c>
      <c r="G423" s="11" t="str">
        <f t="shared" si="4"/>
        <v>data:image/svg+xml,%3csvg xmlns='http://www.w3.org/2000/svg' viewBox='0 0 24 216'%3e%3ctext fill='%23fff' style='font: 900 16px sans-serif' text-anchor='end' transform='matrix(0 -1 1 0 18 5)'%3ePrincipled%3c/text%3e%3c/svg%3e</v>
      </c>
      <c r="H423" s="8" t="s">
        <v>29</v>
      </c>
      <c r="I423" s="8">
        <f t="shared" ref="I423:J423" si="424">len(B423)</f>
        <v>10</v>
      </c>
      <c r="J423" s="8">
        <f t="shared" si="424"/>
        <v>37</v>
      </c>
      <c r="K423" s="8" t="s">
        <v>1205</v>
      </c>
    </row>
    <row r="424">
      <c r="A424" s="7" t="b">
        <v>1</v>
      </c>
      <c r="B424" s="8" t="s">
        <v>1206</v>
      </c>
      <c r="C424" s="8" t="s">
        <v>1207</v>
      </c>
      <c r="D424" s="8" t="str">
        <f>Q&amp;$K424&amp;Q&amp;":{"&amp;Q&amp;$B$2&amp;Q&amp;":"&amp;Q&amp;$B424&amp;Q&amp;","&amp;Q&amp;$C$2&amp;Q&amp;":"&amp;Q&amp;$C424&amp;Q&amp;","&amp;Q&amp;"sets"&amp;Q&amp;":"&amp;Q&amp;substitute(SUBSTITUTE($H424,"[",""),"]","")&amp;Q&amp;"},"</f>
        <v>"cpqe":{"label":"Profound","extra":"(deep, wise, thoughtful) ","sets":"Basic Set, Party Set"},</v>
      </c>
      <c r="E424" s="9" t="str">
        <f t="shared" si="2"/>
        <v>data:image/svg+xml,%3csvg xmlns='http://www.w3.org/2000/svg' viewBox='0 0 24 216'%3e%3ctext fill='%23fff' style='font: 900 16px sans-serif' text-anchor='end' transform='matrix(0 -1 1 0 18 5)'%3eProfound%3c/text%3e%3c/svg%3e</v>
      </c>
      <c r="F424" s="10" t="str">
        <f t="shared" si="3"/>
        <v>https://svgtext.heliohost.us/cgi-bin/gen.perl?text=Profound</v>
      </c>
      <c r="G424" s="11" t="str">
        <f t="shared" si="4"/>
        <v>data:image/svg+xml,%3csvg xmlns='http://www.w3.org/2000/svg' viewBox='0 0 24 216'%3e%3ctext fill='%23fff' style='font: 900 16px sans-serif' text-anchor='end' transform='matrix(0 -1 1 0 18 5)'%3eProfound%3c/text%3e%3c/svg%3e</v>
      </c>
      <c r="H424" s="8" t="s">
        <v>29</v>
      </c>
      <c r="I424" s="8">
        <f t="shared" ref="I424:J424" si="425">len(B424)</f>
        <v>8</v>
      </c>
      <c r="J424" s="8">
        <f t="shared" si="425"/>
        <v>25</v>
      </c>
      <c r="K424" s="8" t="s">
        <v>1208</v>
      </c>
    </row>
    <row r="425">
      <c r="A425" s="7" t="b">
        <v>0</v>
      </c>
      <c r="B425" s="8" t="s">
        <v>1209</v>
      </c>
      <c r="C425" s="8" t="s">
        <v>1210</v>
      </c>
      <c r="D425" s="8" t="str">
        <f>Q&amp;$K425&amp;Q&amp;":{"&amp;Q&amp;$B$2&amp;Q&amp;":"&amp;Q&amp;$B425&amp;Q&amp;","&amp;Q&amp;$C$2&amp;Q&amp;":"&amp;Q&amp;$C425&amp;Q&amp;","&amp;Q&amp;"sets"&amp;Q&amp;":"&amp;Q&amp;substitute(SUBSTITUTE($H425,"[",""),"]","")&amp;Q&amp;"},"</f>
        <v>"nyjp":{"label":"Proud","extra":"(dignified, satisfied) ","sets":"Junior 9+ (1st) &amp; (2nd)"},</v>
      </c>
      <c r="E425" s="9" t="str">
        <f t="shared" si="2"/>
        <v>data:image/svg+xml,%3csvg xmlns='http://www.w3.org/2000/svg' viewBox='0 0 24 216'%3e%3ctext fill='%23fff' style='font: 900 16px sans-serif' text-anchor='end' transform='matrix(0 -1 1 0 18 5)'%3eProud%3c/text%3e%3c/svg%3e</v>
      </c>
      <c r="F425" s="10" t="str">
        <f t="shared" si="3"/>
        <v>https://svgtext.heliohost.us/cgi-bin/gen.perl?text=Proud</v>
      </c>
      <c r="G425" s="11" t="str">
        <f t="shared" si="4"/>
        <v>data:image/svg+xml,%3csvg xmlns='http://www.w3.org/2000/svg' viewBox='0 0 24 216'%3e%3ctext fill='%23fff' style='font: 900 16px sans-serif' text-anchor='end' transform='matrix(0 -1 1 0 18 5)'%3eProud%3c/text%3e%3c/svg%3e</v>
      </c>
      <c r="H425" s="8" t="s">
        <v>42</v>
      </c>
      <c r="I425" s="8">
        <f t="shared" ref="I425:J425" si="426">len(B425)</f>
        <v>5</v>
      </c>
      <c r="J425" s="8">
        <f t="shared" si="426"/>
        <v>23</v>
      </c>
      <c r="K425" s="8" t="s">
        <v>1211</v>
      </c>
    </row>
    <row r="426">
      <c r="A426" s="7" t="b">
        <v>0</v>
      </c>
      <c r="B426" s="8" t="s">
        <v>1212</v>
      </c>
      <c r="C426" s="8" t="s">
        <v>1213</v>
      </c>
      <c r="D426" s="8" t="str">
        <f>Q&amp;$K426&amp;Q&amp;":{"&amp;Q&amp;$B$2&amp;Q&amp;":"&amp;Q&amp;$B426&amp;Q&amp;","&amp;Q&amp;$C$2&amp;Q&amp;":"&amp;Q&amp;$C426&amp;Q&amp;","&amp;Q&amp;"sets"&amp;Q&amp;":"&amp;Q&amp;substitute(SUBSTITUTE($H426,"[",""),"]","")&amp;Q&amp;"},"</f>
        <v>"rukb":{"label":"Puffy","extra":"(swollen, billowy, bloated) ","sets":"Expansion Set 2, Party Set"},</v>
      </c>
      <c r="E426" s="9" t="str">
        <f t="shared" si="2"/>
        <v>data:image/svg+xml,%3csvg xmlns='http://www.w3.org/2000/svg' viewBox='0 0 24 216'%3e%3ctext fill='%23fff' style='font: 900 16px sans-serif' text-anchor='end' transform='matrix(0 -1 1 0 18 5)'%3ePuffy%3c/text%3e%3c/svg%3e</v>
      </c>
      <c r="F426" s="10" t="str">
        <f t="shared" si="3"/>
        <v>https://svgtext.heliohost.us/cgi-bin/gen.perl?text=Puffy</v>
      </c>
      <c r="G426" s="11" t="str">
        <f t="shared" si="4"/>
        <v>data:image/svg+xml,%3csvg xmlns='http://www.w3.org/2000/svg' viewBox='0 0 24 216'%3e%3ctext fill='%23fff' style='font: 900 16px sans-serif' text-anchor='end' transform='matrix(0 -1 1 0 18 5)'%3ePuffy%3c/text%3e%3c/svg%3e</v>
      </c>
      <c r="H426" s="8" t="s">
        <v>17</v>
      </c>
      <c r="I426" s="8">
        <f t="shared" ref="I426:J426" si="427">len(B426)</f>
        <v>5</v>
      </c>
      <c r="J426" s="8">
        <f t="shared" si="427"/>
        <v>28</v>
      </c>
      <c r="K426" s="8" t="s">
        <v>1214</v>
      </c>
    </row>
    <row r="427">
      <c r="A427" s="7" t="b">
        <v>0</v>
      </c>
      <c r="B427" s="8" t="s">
        <v>1215</v>
      </c>
      <c r="C427" s="8" t="s">
        <v>1216</v>
      </c>
      <c r="D427" s="8" t="str">
        <f>Q&amp;$K427&amp;Q&amp;":{"&amp;Q&amp;$B$2&amp;Q&amp;":"&amp;Q&amp;$B427&amp;Q&amp;","&amp;Q&amp;$C$2&amp;Q&amp;":"&amp;Q&amp;$C427&amp;Q&amp;","&amp;Q&amp;"sets"&amp;Q&amp;":"&amp;Q&amp;substitute(SUBSTITUTE($H427,"[",""),"]","")&amp;Q&amp;"},"</f>
        <v>"lytm":{"label":"Pure","extra":"(innocent, unadulterated, chaste) ","sets":"Basic Set, Party Set"},</v>
      </c>
      <c r="E427" s="9" t="str">
        <f t="shared" si="2"/>
        <v>data:image/svg+xml,%3csvg xmlns='http://www.w3.org/2000/svg' viewBox='0 0 24 216'%3e%3ctext fill='%23fff' style='font: 900 16px sans-serif' text-anchor='end' transform='matrix(0 -1 1 0 18 5)'%3ePure%3c/text%3e%3c/svg%3e</v>
      </c>
      <c r="F427" s="10" t="str">
        <f t="shared" si="3"/>
        <v>https://svgtext.heliohost.us/cgi-bin/gen.perl?text=Pure</v>
      </c>
      <c r="G427" s="11" t="str">
        <f t="shared" si="4"/>
        <v>data:image/svg+xml,%3csvg xmlns='http://www.w3.org/2000/svg' viewBox='0 0 24 216'%3e%3ctext fill='%23fff' style='font: 900 16px sans-serif' text-anchor='end' transform='matrix(0 -1 1 0 18 5)'%3ePure%3c/text%3e%3c/svg%3e</v>
      </c>
      <c r="H427" s="8" t="s">
        <v>29</v>
      </c>
      <c r="I427" s="8">
        <f t="shared" ref="I427:J427" si="428">len(B427)</f>
        <v>4</v>
      </c>
      <c r="J427" s="8">
        <f t="shared" si="428"/>
        <v>34</v>
      </c>
      <c r="K427" s="8" t="s">
        <v>1217</v>
      </c>
    </row>
    <row r="428">
      <c r="A428" s="7" t="b">
        <v>0</v>
      </c>
      <c r="B428" s="8" t="s">
        <v>1218</v>
      </c>
      <c r="C428" s="8" t="s">
        <v>1219</v>
      </c>
      <c r="D428" s="8" t="str">
        <f>Q&amp;$K428&amp;Q&amp;":{"&amp;Q&amp;$B$2&amp;Q&amp;":"&amp;Q&amp;$B428&amp;Q&amp;","&amp;Q&amp;$C$2&amp;Q&amp;":"&amp;Q&amp;$C428&amp;Q&amp;","&amp;Q&amp;"sets"&amp;Q&amp;":"&amp;Q&amp;substitute(SUBSTITUTE($H428,"[",""),"]","")&amp;Q&amp;"},"</f>
        <v>"xhsk":{"label":"Quick","extra":"(fast, speedy) ","sets":"Junior 9+ (1st) &amp; (2nd)"},</v>
      </c>
      <c r="E428" s="9" t="str">
        <f t="shared" si="2"/>
        <v>data:image/svg+xml,%3csvg xmlns='http://www.w3.org/2000/svg' viewBox='0 0 24 216'%3e%3ctext fill='%23fff' style='font: 900 16px sans-serif' text-anchor='end' transform='matrix(0 -1 1 0 18 5)'%3eQuick%3c/text%3e%3c/svg%3e</v>
      </c>
      <c r="F428" s="10" t="str">
        <f t="shared" si="3"/>
        <v>https://svgtext.heliohost.us/cgi-bin/gen.perl?text=Quick</v>
      </c>
      <c r="G428" s="11" t="str">
        <f t="shared" si="4"/>
        <v>data:image/svg+xml,%3csvg xmlns='http://www.w3.org/2000/svg' viewBox='0 0 24 216'%3e%3ctext fill='%23fff' style='font: 900 16px sans-serif' text-anchor='end' transform='matrix(0 -1 1 0 18 5)'%3eQuick%3c/text%3e%3c/svg%3e</v>
      </c>
      <c r="H428" s="8" t="s">
        <v>42</v>
      </c>
      <c r="I428" s="8">
        <f t="shared" ref="I428:J428" si="429">len(B428)</f>
        <v>5</v>
      </c>
      <c r="J428" s="8">
        <f t="shared" si="429"/>
        <v>15</v>
      </c>
      <c r="K428" s="8" t="s">
        <v>1220</v>
      </c>
    </row>
    <row r="429">
      <c r="A429" s="7" t="b">
        <v>1</v>
      </c>
      <c r="B429" s="8" t="s">
        <v>1221</v>
      </c>
      <c r="C429" s="8" t="s">
        <v>1222</v>
      </c>
      <c r="D429" s="8" t="str">
        <f>Q&amp;$K429&amp;Q&amp;":{"&amp;Q&amp;$B$2&amp;Q&amp;":"&amp;Q&amp;$B429&amp;Q&amp;","&amp;Q&amp;$C$2&amp;Q&amp;":"&amp;Q&amp;$C429&amp;Q&amp;","&amp;Q&amp;"sets"&amp;Q&amp;":"&amp;Q&amp;substitute(SUBSTITUTE($H429,"[",""),"]","")&amp;Q&amp;"},"</f>
        <v>"hkoc":{"label":"Quick &amp; Dirty","extra":"(cheap, shoddy, inferior) ","sets":"Expansion Set 4, Party Expansion 1"},</v>
      </c>
      <c r="E429" s="9" t="str">
        <f t="shared" si="2"/>
        <v>data:image/svg+xml,%3csvg xmlns='http://www.w3.org/2000/svg' viewBox='0 0 24 216'%3e%3ctext fill='%23fff' style='font: 900 16px sans-serif' text-anchor='end' transform='matrix(0 -1 1 0 18 5)'%3eQuick %26amp%3B Dirty%3c/text%3e%3c/svg%3e</v>
      </c>
      <c r="F429" s="10" t="str">
        <f t="shared" si="3"/>
        <v>https://svgtext.heliohost.us/cgi-bin/gen.perl?text=Quick%20%26%20Dirty</v>
      </c>
      <c r="G429" s="11" t="str">
        <f t="shared" si="4"/>
        <v>data:image/svg+xml,%3csvg xmlns='http://www.w3.org/2000/svg' viewBox='0 0 24 216'%3e%3ctext fill='%23fff' style='font: 900 16px sans-serif' text-anchor='end' transform='matrix(0 -1 1 0 18 5)'%3eQuick %26amp%3B Dirty%3c/text%3e%3c/svg%3e</v>
      </c>
      <c r="H429" s="8" t="s">
        <v>63</v>
      </c>
      <c r="I429" s="8">
        <f t="shared" ref="I429:J429" si="430">len(B429)</f>
        <v>13</v>
      </c>
      <c r="J429" s="8">
        <f t="shared" si="430"/>
        <v>26</v>
      </c>
      <c r="K429" s="8" t="s">
        <v>1223</v>
      </c>
    </row>
    <row r="430">
      <c r="A430" s="7" t="b">
        <v>1</v>
      </c>
      <c r="B430" s="8" t="s">
        <v>1224</v>
      </c>
      <c r="C430" s="8" t="s">
        <v>1225</v>
      </c>
      <c r="D430" s="8" t="str">
        <f>Q&amp;$K430&amp;Q&amp;":{"&amp;Q&amp;$B$2&amp;Q&amp;":"&amp;Q&amp;$B430&amp;Q&amp;","&amp;Q&amp;$C$2&amp;Q&amp;":"&amp;Q&amp;$C430&amp;Q&amp;","&amp;Q&amp;"sets"&amp;Q&amp;":"&amp;Q&amp;substitute(SUBSTITUTE($H430,"[",""),"]","")&amp;Q&amp;"},"</f>
        <v>"rucl":{"label":"Quiet","extra":"(peaceful, silent, calm) ","sets":"Expansion Set 2, Party Set"},</v>
      </c>
      <c r="E430" s="9" t="str">
        <f t="shared" si="2"/>
        <v>data:image/svg+xml,%3csvg xmlns='http://www.w3.org/2000/svg' viewBox='0 0 24 216'%3e%3ctext fill='%23fff' style='font: 900 16px sans-serif' text-anchor='end' transform='matrix(0 -1 1 0 18 5)'%3eQuiet%3c/text%3e%3c/svg%3e</v>
      </c>
      <c r="F430" s="10" t="str">
        <f t="shared" si="3"/>
        <v>https://svgtext.heliohost.us/cgi-bin/gen.perl?text=Quiet</v>
      </c>
      <c r="G430" s="11" t="str">
        <f t="shared" si="4"/>
        <v>data:image/svg+xml,%3csvg xmlns='http://www.w3.org/2000/svg' viewBox='0 0 24 216'%3e%3ctext fill='%23fff' style='font: 900 16px sans-serif' text-anchor='end' transform='matrix(0 -1 1 0 18 5)'%3eQuiet%3c/text%3e%3c/svg%3e</v>
      </c>
      <c r="H430" s="8" t="s">
        <v>17</v>
      </c>
      <c r="I430" s="8">
        <f t="shared" ref="I430:J430" si="431">len(B430)</f>
        <v>5</v>
      </c>
      <c r="J430" s="8">
        <f t="shared" si="431"/>
        <v>25</v>
      </c>
      <c r="K430" s="8" t="s">
        <v>1226</v>
      </c>
    </row>
    <row r="431">
      <c r="A431" s="7" t="b">
        <v>0</v>
      </c>
      <c r="B431" s="8" t="s">
        <v>1224</v>
      </c>
      <c r="C431" s="8" t="s">
        <v>1227</v>
      </c>
      <c r="D431" s="8" t="str">
        <f>Q&amp;$K431&amp;Q&amp;":{"&amp;Q&amp;$B$2&amp;Q&amp;":"&amp;Q&amp;$B431&amp;Q&amp;","&amp;Q&amp;$C$2&amp;Q&amp;":"&amp;Q&amp;$C431&amp;Q&amp;","&amp;Q&amp;"sets"&amp;Q&amp;":"&amp;Q&amp;substitute(SUBSTITUTE($H431,"[",""),"]","")&amp;Q&amp;"},"</f>
        <v>"xztq":{"label":"Quiet","extra":"(silent, noiseless) ","sets":"Junior"},</v>
      </c>
      <c r="E431" s="9" t="str">
        <f t="shared" si="2"/>
        <v>data:image/svg+xml,%3csvg xmlns='http://www.w3.org/2000/svg' viewBox='0 0 24 216'%3e%3ctext fill='%23fff' style='font: 900 16px sans-serif' text-anchor='end' transform='matrix(0 -1 1 0 18 5)'%3eQuiet%3c/text%3e%3c/svg%3e</v>
      </c>
      <c r="F431" s="10" t="str">
        <f t="shared" si="3"/>
        <v>https://svgtext.heliohost.us/cgi-bin/gen.perl?text=Quiet</v>
      </c>
      <c r="G431" s="11" t="str">
        <f t="shared" si="4"/>
        <v>data:image/svg+xml,%3csvg xmlns='http://www.w3.org/2000/svg' viewBox='0 0 24 216'%3e%3ctext fill='%23fff' style='font: 900 16px sans-serif' text-anchor='end' transform='matrix(0 -1 1 0 18 5)'%3eQuiet%3c/text%3e%3c/svg%3e</v>
      </c>
      <c r="H431" s="8" t="s">
        <v>84</v>
      </c>
      <c r="I431" s="8">
        <f t="shared" ref="I431:J431" si="432">len(B431)</f>
        <v>5</v>
      </c>
      <c r="J431" s="8">
        <f t="shared" si="432"/>
        <v>20</v>
      </c>
      <c r="K431" s="8" t="s">
        <v>1228</v>
      </c>
    </row>
    <row r="432">
      <c r="A432" s="7" t="b">
        <v>0</v>
      </c>
      <c r="B432" s="8" t="s">
        <v>1229</v>
      </c>
      <c r="C432" s="8" t="s">
        <v>1230</v>
      </c>
      <c r="D432" s="8" t="str">
        <f>Q&amp;$K432&amp;Q&amp;":{"&amp;Q&amp;$B$2&amp;Q&amp;":"&amp;Q&amp;$B432&amp;Q&amp;","&amp;Q&amp;$C$2&amp;Q&amp;":"&amp;Q&amp;$C432&amp;Q&amp;","&amp;Q&amp;"sets"&amp;Q&amp;":"&amp;Q&amp;substitute(SUBSTITUTE($H432,"[",""),"]","")&amp;Q&amp;"},"</f>
        <v>"eevk":{"label":"Radiant","extra":"(shining, glowing, sparkling) ","sets":"Expansion Set 1, Party Set"},</v>
      </c>
      <c r="E432" s="9" t="str">
        <f t="shared" si="2"/>
        <v>data:image/svg+xml,%3csvg xmlns='http://www.w3.org/2000/svg' viewBox='0 0 24 216'%3e%3ctext fill='%23fff' style='font: 900 16px sans-serif' text-anchor='end' transform='matrix(0 -1 1 0 18 5)'%3eRadiant%3c/text%3e%3c/svg%3e</v>
      </c>
      <c r="F432" s="10" t="str">
        <f t="shared" si="3"/>
        <v>https://svgtext.heliohost.us/cgi-bin/gen.perl?text=Radiant</v>
      </c>
      <c r="G432" s="11" t="str">
        <f t="shared" si="4"/>
        <v>data:image/svg+xml,%3csvg xmlns='http://www.w3.org/2000/svg' viewBox='0 0 24 216'%3e%3ctext fill='%23fff' style='font: 900 16px sans-serif' text-anchor='end' transform='matrix(0 -1 1 0 18 5)'%3eRadiant%3c/text%3e%3c/svg%3e</v>
      </c>
      <c r="H432" s="8" t="s">
        <v>25</v>
      </c>
      <c r="I432" s="8">
        <f t="shared" ref="I432:J432" si="433">len(B432)</f>
        <v>7</v>
      </c>
      <c r="J432" s="8">
        <f t="shared" si="433"/>
        <v>30</v>
      </c>
      <c r="K432" s="8" t="s">
        <v>1231</v>
      </c>
    </row>
    <row r="433">
      <c r="A433" s="7" t="b">
        <v>0</v>
      </c>
      <c r="B433" s="8" t="s">
        <v>1232</v>
      </c>
      <c r="C433" s="8" t="s">
        <v>1233</v>
      </c>
      <c r="D433" s="8" t="str">
        <f>Q&amp;$K433&amp;Q&amp;":{"&amp;Q&amp;$B$2&amp;Q&amp;":"&amp;Q&amp;$B433&amp;Q&amp;","&amp;Q&amp;$C$2&amp;Q&amp;":"&amp;Q&amp;$C433&amp;Q&amp;","&amp;Q&amp;"sets"&amp;Q&amp;":"&amp;Q&amp;substitute(SUBSTITUTE($H433,"[",""),"]","")&amp;Q&amp;"},"</f>
        <v>"maum":{"label":"Radical","extra":"(unconventional, revolutionary, extreme) ","sets":"Basic Set, Party Set"},</v>
      </c>
      <c r="E433" s="9" t="str">
        <f t="shared" si="2"/>
        <v>data:image/svg+xml,%3csvg xmlns='http://www.w3.org/2000/svg' viewBox='0 0 24 216'%3e%3ctext fill='%23fff' style='font: 900 16px sans-serif' text-anchor='end' transform='matrix(0 -1 1 0 18 5)'%3eRadical%3c/text%3e%3c/svg%3e</v>
      </c>
      <c r="F433" s="10" t="str">
        <f t="shared" si="3"/>
        <v>https://svgtext.heliohost.us/cgi-bin/gen.perl?text=Radical</v>
      </c>
      <c r="G433" s="11" t="str">
        <f t="shared" si="4"/>
        <v>data:image/svg+xml,%3csvg xmlns='http://www.w3.org/2000/svg' viewBox='0 0 24 216'%3e%3ctext fill='%23fff' style='font: 900 16px sans-serif' text-anchor='end' transform='matrix(0 -1 1 0 18 5)'%3eRadical%3c/text%3e%3c/svg%3e</v>
      </c>
      <c r="H433" s="8" t="s">
        <v>29</v>
      </c>
      <c r="I433" s="8">
        <f t="shared" ref="I433:J433" si="434">len(B433)</f>
        <v>7</v>
      </c>
      <c r="J433" s="8">
        <f t="shared" si="434"/>
        <v>41</v>
      </c>
      <c r="K433" s="8" t="s">
        <v>1234</v>
      </c>
    </row>
    <row r="434">
      <c r="A434" s="7" t="b">
        <v>0</v>
      </c>
      <c r="B434" s="8" t="s">
        <v>1235</v>
      </c>
      <c r="C434" s="8" t="s">
        <v>1236</v>
      </c>
      <c r="D434" s="8" t="str">
        <f>Q&amp;$K434&amp;Q&amp;":{"&amp;Q&amp;$B$2&amp;Q&amp;":"&amp;Q&amp;$B434&amp;Q&amp;","&amp;Q&amp;$C$2&amp;Q&amp;":"&amp;Q&amp;$C434&amp;Q&amp;","&amp;Q&amp;"sets"&amp;Q&amp;":"&amp;Q&amp;substitute(SUBSTITUTE($H434,"[",""),"]","")&amp;Q&amp;"},"</f>
        <v>"oyol":{"label":"Rare","extra":"(scarce, unusual, half-cooked) ","sets":"Expansion Set 1, Party Set"},</v>
      </c>
      <c r="E434" s="9" t="str">
        <f t="shared" si="2"/>
        <v>data:image/svg+xml,%3csvg xmlns='http://www.w3.org/2000/svg' viewBox='0 0 24 216'%3e%3ctext fill='%23fff' style='font: 900 16px sans-serif' text-anchor='end' transform='matrix(0 -1 1 0 18 5)'%3eRare%3c/text%3e%3c/svg%3e</v>
      </c>
      <c r="F434" s="10" t="str">
        <f t="shared" si="3"/>
        <v>https://svgtext.heliohost.us/cgi-bin/gen.perl?text=Rare</v>
      </c>
      <c r="G434" s="11" t="str">
        <f t="shared" si="4"/>
        <v>data:image/svg+xml,%3csvg xmlns='http://www.w3.org/2000/svg' viewBox='0 0 24 216'%3e%3ctext fill='%23fff' style='font: 900 16px sans-serif' text-anchor='end' transform='matrix(0 -1 1 0 18 5)'%3eRare%3c/text%3e%3c/svg%3e</v>
      </c>
      <c r="H434" s="8" t="s">
        <v>25</v>
      </c>
      <c r="I434" s="8">
        <f t="shared" ref="I434:J434" si="435">len(B434)</f>
        <v>4</v>
      </c>
      <c r="J434" s="8">
        <f t="shared" si="435"/>
        <v>31</v>
      </c>
      <c r="K434" s="8" t="s">
        <v>1237</v>
      </c>
    </row>
    <row r="435">
      <c r="A435" s="7" t="b">
        <v>1</v>
      </c>
      <c r="B435" s="8" t="s">
        <v>1238</v>
      </c>
      <c r="C435" s="8" t="s">
        <v>1239</v>
      </c>
      <c r="D435" s="8" t="str">
        <f>Q&amp;$K435&amp;Q&amp;":{"&amp;Q&amp;$B$2&amp;Q&amp;":"&amp;Q&amp;$B435&amp;Q&amp;","&amp;Q&amp;$C$2&amp;Q&amp;":"&amp;Q&amp;$C435&amp;Q&amp;","&amp;Q&amp;"sets"&amp;Q&amp;":"&amp;Q&amp;substitute(SUBSTITUTE($H435,"[",""),"]","")&amp;Q&amp;"},"</f>
        <v>"mitw":{"label":"Raw","extra":"(crude, uncooked, harsh) ","sets":"Expansion Set 3, Party Expansion 1"},</v>
      </c>
      <c r="E435" s="9" t="str">
        <f t="shared" si="2"/>
        <v>data:image/svg+xml,%3csvg xmlns='http://www.w3.org/2000/svg' viewBox='0 0 24 216'%3e%3ctext fill='%23fff' style='font: 900 16px sans-serif' text-anchor='end' transform='matrix(0 -1 1 0 18 5)'%3eRaw%3c/text%3e%3c/svg%3e</v>
      </c>
      <c r="F435" s="10" t="str">
        <f t="shared" si="3"/>
        <v>https://svgtext.heliohost.us/cgi-bin/gen.perl?text=Raw</v>
      </c>
      <c r="G435" s="11" t="str">
        <f t="shared" si="4"/>
        <v>data:image/svg+xml,%3csvg xmlns='http://www.w3.org/2000/svg' viewBox='0 0 24 216'%3e%3ctext fill='%23fff' style='font: 900 16px sans-serif' text-anchor='end' transform='matrix(0 -1 1 0 18 5)'%3eRaw%3c/text%3e%3c/svg%3e</v>
      </c>
      <c r="H435" s="8" t="s">
        <v>39</v>
      </c>
      <c r="I435" s="8">
        <f t="shared" ref="I435:J435" si="436">len(B435)</f>
        <v>3</v>
      </c>
      <c r="J435" s="8">
        <f t="shared" si="436"/>
        <v>25</v>
      </c>
      <c r="K435" s="8" t="s">
        <v>1240</v>
      </c>
    </row>
    <row r="436">
      <c r="A436" s="7" t="b">
        <v>0</v>
      </c>
      <c r="B436" s="8" t="s">
        <v>1241</v>
      </c>
      <c r="C436" s="8" t="s">
        <v>1242</v>
      </c>
      <c r="D436" s="8" t="str">
        <f>Q&amp;$K436&amp;Q&amp;":{"&amp;Q&amp;$B$2&amp;Q&amp;":"&amp;Q&amp;$B436&amp;Q&amp;","&amp;Q&amp;$C$2&amp;Q&amp;":"&amp;Q&amp;$C436&amp;Q&amp;","&amp;Q&amp;"sets"&amp;Q&amp;":"&amp;Q&amp;substitute(SUBSTITUTE($H436,"[",""),"]","")&amp;Q&amp;"},"</f>
        <v>"gebs":{"label":"Realistic","extra":"(authentic, lifelike, reasonable) ","sets":"Expansion Set 1, Party Set"},</v>
      </c>
      <c r="E436" s="9" t="str">
        <f t="shared" si="2"/>
        <v>data:image/svg+xml,%3csvg xmlns='http://www.w3.org/2000/svg' viewBox='0 0 24 216'%3e%3ctext fill='%23fff' style='font: 900 16px sans-serif' text-anchor='end' transform='matrix(0 -1 1 0 18 5)'%3eRealistic%3c/text%3e%3c/svg%3e</v>
      </c>
      <c r="F436" s="10" t="str">
        <f t="shared" si="3"/>
        <v>https://svgtext.heliohost.us/cgi-bin/gen.perl?text=Realistic</v>
      </c>
      <c r="G436" s="11" t="str">
        <f t="shared" si="4"/>
        <v>data:image/svg+xml,%3csvg xmlns='http://www.w3.org/2000/svg' viewBox='0 0 24 216'%3e%3ctext fill='%23fff' style='font: 900 16px sans-serif' text-anchor='end' transform='matrix(0 -1 1 0 18 5)'%3eRealistic%3c/text%3e%3c/svg%3e</v>
      </c>
      <c r="H436" s="8" t="s">
        <v>25</v>
      </c>
      <c r="I436" s="8">
        <f t="shared" ref="I436:J436" si="437">len(B436)</f>
        <v>9</v>
      </c>
      <c r="J436" s="8">
        <f t="shared" si="437"/>
        <v>34</v>
      </c>
      <c r="K436" s="8" t="s">
        <v>1243</v>
      </c>
    </row>
    <row r="437">
      <c r="A437" s="7" t="b">
        <v>0</v>
      </c>
      <c r="B437" s="8" t="s">
        <v>1244</v>
      </c>
      <c r="C437" s="8" t="s">
        <v>1245</v>
      </c>
      <c r="D437" s="8" t="str">
        <f>Q&amp;$K437&amp;Q&amp;":{"&amp;Q&amp;$B$2&amp;Q&amp;":"&amp;Q&amp;$B437&amp;Q&amp;","&amp;Q&amp;$C$2&amp;Q&amp;":"&amp;Q&amp;$C437&amp;Q&amp;","&amp;Q&amp;"sets"&amp;Q&amp;":"&amp;Q&amp;substitute(SUBSTITUTE($H437,"[",""),"]","")&amp;Q&amp;"},"</f>
        <v>"acoq":{"label":"Refined","extra":"(well-bred, purified, cultivated) ","sets":"Expansion Set 2, Party Set"},</v>
      </c>
      <c r="E437" s="9" t="str">
        <f t="shared" si="2"/>
        <v>data:image/svg+xml,%3csvg xmlns='http://www.w3.org/2000/svg' viewBox='0 0 24 216'%3e%3ctext fill='%23fff' style='font: 900 16px sans-serif' text-anchor='end' transform='matrix(0 -1 1 0 18 5)'%3eRefined%3c/text%3e%3c/svg%3e</v>
      </c>
      <c r="F437" s="10" t="str">
        <f t="shared" si="3"/>
        <v>https://svgtext.heliohost.us/cgi-bin/gen.perl?text=Refined</v>
      </c>
      <c r="G437" s="11" t="str">
        <f t="shared" si="4"/>
        <v>data:image/svg+xml,%3csvg xmlns='http://www.w3.org/2000/svg' viewBox='0 0 24 216'%3e%3ctext fill='%23fff' style='font: 900 16px sans-serif' text-anchor='end' transform='matrix(0 -1 1 0 18 5)'%3eRefined%3c/text%3e%3c/svg%3e</v>
      </c>
      <c r="H437" s="8" t="s">
        <v>17</v>
      </c>
      <c r="I437" s="8">
        <f t="shared" ref="I437:J437" si="438">len(B437)</f>
        <v>7</v>
      </c>
      <c r="J437" s="8">
        <f t="shared" si="438"/>
        <v>34</v>
      </c>
      <c r="K437" s="8" t="s">
        <v>1246</v>
      </c>
    </row>
    <row r="438">
      <c r="A438" s="7" t="b">
        <v>0</v>
      </c>
      <c r="B438" s="8" t="s">
        <v>1247</v>
      </c>
      <c r="C438" s="8" t="s">
        <v>1248</v>
      </c>
      <c r="D438" s="8" t="str">
        <f>Q&amp;$K438&amp;Q&amp;":{"&amp;Q&amp;$B$2&amp;Q&amp;":"&amp;Q&amp;$B438&amp;Q&amp;","&amp;Q&amp;$C$2&amp;Q&amp;":"&amp;Q&amp;$C438&amp;Q&amp;","&amp;Q&amp;"sets"&amp;Q&amp;":"&amp;Q&amp;substitute(SUBSTITUTE($H438,"[",""),"]","")&amp;Q&amp;"},"</f>
        <v>"mtpn":{"label":"Refreshing","extra":"(brisk, invigorating, rejuvenating) ","sets":"Expansion Set 1, Party Set"},</v>
      </c>
      <c r="E438" s="9" t="str">
        <f t="shared" si="2"/>
        <v>data:image/svg+xml,%3csvg xmlns='http://www.w3.org/2000/svg' viewBox='0 0 24 216'%3e%3ctext fill='%23fff' style='font: 900 16px sans-serif' text-anchor='end' transform='matrix(0 -1 1 0 18 5)'%3eRefreshing%3c/text%3e%3c/svg%3e</v>
      </c>
      <c r="F438" s="10" t="str">
        <f t="shared" si="3"/>
        <v>https://svgtext.heliohost.us/cgi-bin/gen.perl?text=Refreshing</v>
      </c>
      <c r="G438" s="11" t="str">
        <f t="shared" si="4"/>
        <v>data:image/svg+xml,%3csvg xmlns='http://www.w3.org/2000/svg' viewBox='0 0 24 216'%3e%3ctext fill='%23fff' style='font: 900 16px sans-serif' text-anchor='end' transform='matrix(0 -1 1 0 18 5)'%3eRefreshing%3c/text%3e%3c/svg%3e</v>
      </c>
      <c r="H438" s="8" t="s">
        <v>25</v>
      </c>
      <c r="I438" s="8">
        <f t="shared" ref="I438:J438" si="439">len(B438)</f>
        <v>10</v>
      </c>
      <c r="J438" s="8">
        <f t="shared" si="439"/>
        <v>36</v>
      </c>
      <c r="K438" s="8" t="s">
        <v>1249</v>
      </c>
    </row>
    <row r="439">
      <c r="A439" s="7" t="b">
        <v>1</v>
      </c>
      <c r="B439" s="8" t="s">
        <v>1250</v>
      </c>
      <c r="C439" s="8" t="s">
        <v>1251</v>
      </c>
      <c r="D439" s="8" t="str">
        <f>Q&amp;$K439&amp;Q&amp;":{"&amp;Q&amp;$B$2&amp;Q&amp;":"&amp;Q&amp;$B439&amp;Q&amp;","&amp;Q&amp;$C$2&amp;Q&amp;":"&amp;Q&amp;$C439&amp;Q&amp;","&amp;Q&amp;"sets"&amp;Q&amp;":"&amp;Q&amp;substitute(SUBSTITUTE($H439,"[",""),"]","")&amp;Q&amp;"},"</f>
        <v>"fdjj":{"label":"Relaxed","extra":"(calm, not tense) ","sets":"Junior 9+ (1st) &amp; (2nd)"},</v>
      </c>
      <c r="E439" s="9" t="str">
        <f t="shared" si="2"/>
        <v>data:image/svg+xml,%3csvg xmlns='http://www.w3.org/2000/svg' viewBox='0 0 24 216'%3e%3ctext fill='%23fff' style='font: 900 16px sans-serif' text-anchor='end' transform='matrix(0 -1 1 0 18 5)'%3eRelaxed%3c/text%3e%3c/svg%3e</v>
      </c>
      <c r="F439" s="10" t="str">
        <f t="shared" si="3"/>
        <v>https://svgtext.heliohost.us/cgi-bin/gen.perl?text=Relaxed</v>
      </c>
      <c r="G439" s="11" t="str">
        <f t="shared" si="4"/>
        <v>data:image/svg+xml,%3csvg xmlns='http://www.w3.org/2000/svg' viewBox='0 0 24 216'%3e%3ctext fill='%23fff' style='font: 900 16px sans-serif' text-anchor='end' transform='matrix(0 -1 1 0 18 5)'%3eRelaxed%3c/text%3e%3c/svg%3e</v>
      </c>
      <c r="H439" s="8" t="s">
        <v>42</v>
      </c>
      <c r="I439" s="8">
        <f t="shared" ref="I439:J439" si="440">len(B439)</f>
        <v>7</v>
      </c>
      <c r="J439" s="8">
        <f t="shared" si="440"/>
        <v>18</v>
      </c>
      <c r="K439" s="8" t="s">
        <v>1252</v>
      </c>
    </row>
    <row r="440">
      <c r="A440" s="7" t="b">
        <v>0</v>
      </c>
      <c r="B440" s="8" t="s">
        <v>1253</v>
      </c>
      <c r="C440" s="8" t="s">
        <v>1254</v>
      </c>
      <c r="D440" s="8" t="str">
        <f>Q&amp;$K440&amp;Q&amp;":{"&amp;Q&amp;$B$2&amp;Q&amp;":"&amp;Q&amp;$B440&amp;Q&amp;","&amp;Q&amp;$C$2&amp;Q&amp;":"&amp;Q&amp;$C440&amp;Q&amp;","&amp;Q&amp;"sets"&amp;Q&amp;":"&amp;Q&amp;substitute(SUBSTITUTE($H440,"[",""),"]","")&amp;Q&amp;"},"</f>
        <v>"uour":{"label":"Relaxing","extra":"(restful, calming, peaceful) ","sets":"Expansion Set 2, Party Set"},</v>
      </c>
      <c r="E440" s="9" t="str">
        <f t="shared" si="2"/>
        <v>data:image/svg+xml,%3csvg xmlns='http://www.w3.org/2000/svg' viewBox='0 0 24 216'%3e%3ctext fill='%23fff' style='font: 900 16px sans-serif' text-anchor='end' transform='matrix(0 -1 1 0 18 5)'%3eRelaxing%3c/text%3e%3c/svg%3e</v>
      </c>
      <c r="F440" s="10" t="str">
        <f t="shared" si="3"/>
        <v>https://svgtext.heliohost.us/cgi-bin/gen.perl?text=Relaxing</v>
      </c>
      <c r="G440" s="11" t="str">
        <f t="shared" si="4"/>
        <v>data:image/svg+xml,%3csvg xmlns='http://www.w3.org/2000/svg' viewBox='0 0 24 216'%3e%3ctext fill='%23fff' style='font: 900 16px sans-serif' text-anchor='end' transform='matrix(0 -1 1 0 18 5)'%3eRelaxing%3c/text%3e%3c/svg%3e</v>
      </c>
      <c r="H440" s="8" t="s">
        <v>17</v>
      </c>
      <c r="I440" s="8">
        <f t="shared" ref="I440:J440" si="441">len(B440)</f>
        <v>8</v>
      </c>
      <c r="J440" s="8">
        <f t="shared" si="441"/>
        <v>29</v>
      </c>
      <c r="K440" s="8" t="s">
        <v>1255</v>
      </c>
    </row>
    <row r="441">
      <c r="A441" s="7" t="b">
        <v>0</v>
      </c>
      <c r="B441" s="8" t="s">
        <v>1256</v>
      </c>
      <c r="C441" s="8" t="s">
        <v>1257</v>
      </c>
      <c r="D441" s="8" t="str">
        <f>Q&amp;$K441&amp;Q&amp;":{"&amp;Q&amp;$B$2&amp;Q&amp;":"&amp;Q&amp;$B441&amp;Q&amp;","&amp;Q&amp;$C$2&amp;Q&amp;":"&amp;Q&amp;$C441&amp;Q&amp;","&amp;Q&amp;"sets"&amp;Q&amp;":"&amp;Q&amp;substitute(SUBSTITUTE($H441,"[",""),"]","")&amp;Q&amp;"},"</f>
        <v>"nbpe":{"label":"Repulsive","extra":"(disgusting, offensive, foul) ","sets":"Expansion Set 2, Party Set"},</v>
      </c>
      <c r="E441" s="9" t="str">
        <f t="shared" si="2"/>
        <v>data:image/svg+xml,%3csvg xmlns='http://www.w3.org/2000/svg' viewBox='0 0 24 216'%3e%3ctext fill='%23fff' style='font: 900 16px sans-serif' text-anchor='end' transform='matrix(0 -1 1 0 18 5)'%3eRepulsive%3c/text%3e%3c/svg%3e</v>
      </c>
      <c r="F441" s="10" t="str">
        <f t="shared" si="3"/>
        <v>https://svgtext.heliohost.us/cgi-bin/gen.perl?text=Repulsive</v>
      </c>
      <c r="G441" s="11" t="str">
        <f t="shared" si="4"/>
        <v>data:image/svg+xml,%3csvg xmlns='http://www.w3.org/2000/svg' viewBox='0 0 24 216'%3e%3ctext fill='%23fff' style='font: 900 16px sans-serif' text-anchor='end' transform='matrix(0 -1 1 0 18 5)'%3eRepulsive%3c/text%3e%3c/svg%3e</v>
      </c>
      <c r="H441" s="8" t="s">
        <v>17</v>
      </c>
      <c r="I441" s="8">
        <f t="shared" ref="I441:J441" si="442">len(B441)</f>
        <v>9</v>
      </c>
      <c r="J441" s="8">
        <f t="shared" si="442"/>
        <v>30</v>
      </c>
      <c r="K441" s="8" t="s">
        <v>1258</v>
      </c>
    </row>
    <row r="442">
      <c r="A442" s="7" t="b">
        <v>1</v>
      </c>
      <c r="B442" s="8" t="s">
        <v>1259</v>
      </c>
      <c r="C442" s="8" t="s">
        <v>1260</v>
      </c>
      <c r="D442" s="8" t="str">
        <f>Q&amp;$K442&amp;Q&amp;":{"&amp;Q&amp;$B$2&amp;Q&amp;":"&amp;Q&amp;$B442&amp;Q&amp;","&amp;Q&amp;$C$2&amp;Q&amp;":"&amp;Q&amp;$C442&amp;Q&amp;","&amp;Q&amp;"sets"&amp;Q&amp;":"&amp;Q&amp;substitute(SUBSTITUTE($H442,"[",""),"]","")&amp;Q&amp;"},"</f>
        <v>"offe":{"label":"Respectable","extra":"(worthy, honorable, decent) ","sets":"Expansion Set 3, Party Expansion 1"},</v>
      </c>
      <c r="E442" s="9" t="str">
        <f t="shared" si="2"/>
        <v>data:image/svg+xml,%3csvg xmlns='http://www.w3.org/2000/svg' viewBox='0 0 24 216'%3e%3ctext fill='%23fff' style='font: 900 16px sans-serif' text-anchor='end' transform='matrix(0 -1 1 0 18 5)'%3eRespectable%3c/text%3e%3c/svg%3e</v>
      </c>
      <c r="F442" s="10" t="str">
        <f t="shared" si="3"/>
        <v>https://svgtext.heliohost.us/cgi-bin/gen.perl?text=Respectable</v>
      </c>
      <c r="G442" s="11" t="str">
        <f t="shared" si="4"/>
        <v>data:image/svg+xml,%3csvg xmlns='http://www.w3.org/2000/svg' viewBox='0 0 24 216'%3e%3ctext fill='%23fff' style='font: 900 16px sans-serif' text-anchor='end' transform='matrix(0 -1 1 0 18 5)'%3eRespectable%3c/text%3e%3c/svg%3e</v>
      </c>
      <c r="H442" s="8" t="s">
        <v>39</v>
      </c>
      <c r="I442" s="8">
        <f t="shared" ref="I442:J442" si="443">len(B442)</f>
        <v>11</v>
      </c>
      <c r="J442" s="8">
        <f t="shared" si="443"/>
        <v>28</v>
      </c>
      <c r="K442" s="8" t="s">
        <v>1261</v>
      </c>
    </row>
    <row r="443">
      <c r="A443" s="7" t="b">
        <v>0</v>
      </c>
      <c r="B443" s="8" t="s">
        <v>1262</v>
      </c>
      <c r="C443" s="8" t="s">
        <v>1263</v>
      </c>
      <c r="D443" s="8" t="str">
        <f>Q&amp;$K443&amp;Q&amp;":{"&amp;Q&amp;$B$2&amp;Q&amp;":"&amp;Q&amp;$B443&amp;Q&amp;","&amp;Q&amp;$C$2&amp;Q&amp;":"&amp;Q&amp;$C443&amp;Q&amp;","&amp;Q&amp;"sets"&amp;Q&amp;":"&amp;Q&amp;substitute(SUBSTITUTE($H443,"[",""),"]","")&amp;Q&amp;"},"</f>
        <v>"glts":{"label":"Responsible","extra":"(accountable, obligated, mature) ","sets":"Basic Set, Party Set"},</v>
      </c>
      <c r="E443" s="9" t="str">
        <f t="shared" si="2"/>
        <v>data:image/svg+xml,%3csvg xmlns='http://www.w3.org/2000/svg' viewBox='0 0 24 216'%3e%3ctext fill='%23fff' style='font: 900 16px sans-serif' text-anchor='end' transform='matrix(0 -1 1 0 18 5)'%3eResponsible%3c/text%3e%3c/svg%3e</v>
      </c>
      <c r="F443" s="10" t="str">
        <f t="shared" si="3"/>
        <v>https://svgtext.heliohost.us/cgi-bin/gen.perl?text=Responsible</v>
      </c>
      <c r="G443" s="11" t="str">
        <f t="shared" si="4"/>
        <v>data:image/svg+xml,%3csvg xmlns='http://www.w3.org/2000/svg' viewBox='0 0 24 216'%3e%3ctext fill='%23fff' style='font: 900 16px sans-serif' text-anchor='end' transform='matrix(0 -1 1 0 18 5)'%3eResponsible%3c/text%3e%3c/svg%3e</v>
      </c>
      <c r="H443" s="8" t="s">
        <v>29</v>
      </c>
      <c r="I443" s="8">
        <f t="shared" ref="I443:J443" si="444">len(B443)</f>
        <v>11</v>
      </c>
      <c r="J443" s="8">
        <f t="shared" si="444"/>
        <v>33</v>
      </c>
      <c r="K443" s="8" t="s">
        <v>1264</v>
      </c>
    </row>
    <row r="444">
      <c r="A444" s="7" t="b">
        <v>0</v>
      </c>
      <c r="B444" s="8" t="s">
        <v>1265</v>
      </c>
      <c r="C444" s="8" t="s">
        <v>1266</v>
      </c>
      <c r="D444" s="8" t="str">
        <f>Q&amp;$K444&amp;Q&amp;":{"&amp;Q&amp;$B$2&amp;Q&amp;":"&amp;Q&amp;$B444&amp;Q&amp;","&amp;Q&amp;$C$2&amp;Q&amp;":"&amp;Q&amp;$C444&amp;Q&amp;","&amp;Q&amp;"sets"&amp;Q&amp;":"&amp;Q&amp;substitute(SUBSTITUTE($H444,"[",""),"]","")&amp;Q&amp;"},"</f>
        <v>"lczn":{"label":"Revolutionary","extra":"(innovative, rebellious, radical) ","sets":"Expansion Set 1, Party Set"},</v>
      </c>
      <c r="E444" s="9" t="str">
        <f t="shared" si="2"/>
        <v>data:image/svg+xml,%3csvg xmlns='http://www.w3.org/2000/svg' viewBox='0 0 24 216'%3e%3ctext fill='%23fff' style='font: 900 16px sans-serif' text-anchor='end' transform='matrix(0 -1 1 0 18 5)'%3eRevolutionary%3c/text%3e%3c/svg%3e</v>
      </c>
      <c r="F444" s="10" t="str">
        <f t="shared" si="3"/>
        <v>https://svgtext.heliohost.us/cgi-bin/gen.perl?text=Revolutionary</v>
      </c>
      <c r="G444" s="11" t="str">
        <f t="shared" si="4"/>
        <v>data:image/svg+xml,%3csvg xmlns='http://www.w3.org/2000/svg' viewBox='0 0 24 216'%3e%3ctext fill='%23fff' style='font: 900 16px sans-serif' text-anchor='end' transform='matrix(0 -1 1 0 18 5)'%3eRevolutionary%3c/text%3e%3c/svg%3e</v>
      </c>
      <c r="H444" s="8" t="s">
        <v>25</v>
      </c>
      <c r="I444" s="8">
        <f t="shared" ref="I444:J444" si="445">len(B444)</f>
        <v>13</v>
      </c>
      <c r="J444" s="8">
        <f t="shared" si="445"/>
        <v>34</v>
      </c>
      <c r="K444" s="8" t="s">
        <v>1267</v>
      </c>
    </row>
    <row r="445">
      <c r="A445" s="7" t="b">
        <v>0</v>
      </c>
      <c r="B445" s="8" t="s">
        <v>1268</v>
      </c>
      <c r="C445" s="8" t="s">
        <v>1269</v>
      </c>
      <c r="D445" s="8" t="str">
        <f>Q&amp;$K445&amp;Q&amp;":{"&amp;Q&amp;$B$2&amp;Q&amp;":"&amp;Q&amp;$B445&amp;Q&amp;","&amp;Q&amp;$C$2&amp;Q&amp;":"&amp;Q&amp;$C445&amp;Q&amp;","&amp;Q&amp;"sets"&amp;Q&amp;":"&amp;Q&amp;substitute(SUBSTITUTE($H445,"[",""),"]","")&amp;Q&amp;"},"</f>
        <v>"lihx":{"label":"Rich","extra":"(wealthy, affluent, moneyed) ","sets":"Basic Set, Party Set"},</v>
      </c>
      <c r="E445" s="9" t="str">
        <f t="shared" si="2"/>
        <v>data:image/svg+xml,%3csvg xmlns='http://www.w3.org/2000/svg' viewBox='0 0 24 216'%3e%3ctext fill='%23fff' style='font: 900 16px sans-serif' text-anchor='end' transform='matrix(0 -1 1 0 18 5)'%3eRich%3c/text%3e%3c/svg%3e</v>
      </c>
      <c r="F445" s="10" t="str">
        <f t="shared" si="3"/>
        <v>https://svgtext.heliohost.us/cgi-bin/gen.perl?text=Rich</v>
      </c>
      <c r="G445" s="11" t="str">
        <f t="shared" si="4"/>
        <v>data:image/svg+xml,%3csvg xmlns='http://www.w3.org/2000/svg' viewBox='0 0 24 216'%3e%3ctext fill='%23fff' style='font: 900 16px sans-serif' text-anchor='end' transform='matrix(0 -1 1 0 18 5)'%3eRich%3c/text%3e%3c/svg%3e</v>
      </c>
      <c r="H445" s="8" t="s">
        <v>29</v>
      </c>
      <c r="I445" s="8">
        <f t="shared" ref="I445:J445" si="446">len(B445)</f>
        <v>4</v>
      </c>
      <c r="J445" s="8">
        <f t="shared" si="446"/>
        <v>29</v>
      </c>
      <c r="K445" s="8" t="s">
        <v>1270</v>
      </c>
    </row>
    <row r="446">
      <c r="A446" s="7" t="b">
        <v>0</v>
      </c>
      <c r="B446" s="8" t="s">
        <v>1268</v>
      </c>
      <c r="C446" s="8" t="s">
        <v>1271</v>
      </c>
      <c r="D446" s="8" t="str">
        <f>Q&amp;$K446&amp;Q&amp;":{"&amp;Q&amp;$B$2&amp;Q&amp;":"&amp;Q&amp;$B446&amp;Q&amp;","&amp;Q&amp;$C$2&amp;Q&amp;":"&amp;Q&amp;$C446&amp;Q&amp;","&amp;Q&amp;"sets"&amp;Q&amp;":"&amp;Q&amp;substitute(SUBSTITUTE($H446,"[",""),"]","")&amp;Q&amp;"},"</f>
        <v>"ortz":{"label":"Rich","extra":"(wealthy, not poor) ","sets":"Junior 9+ (2nd)"},</v>
      </c>
      <c r="E446" s="9" t="str">
        <f t="shared" si="2"/>
        <v>data:image/svg+xml,%3csvg xmlns='http://www.w3.org/2000/svg' viewBox='0 0 24 216'%3e%3ctext fill='%23fff' style='font: 900 16px sans-serif' text-anchor='end' transform='matrix(0 -1 1 0 18 5)'%3eRich%3c/text%3e%3c/svg%3e</v>
      </c>
      <c r="F446" s="10" t="str">
        <f t="shared" si="3"/>
        <v>https://svgtext.heliohost.us/cgi-bin/gen.perl?text=Rich</v>
      </c>
      <c r="G446" s="11" t="str">
        <f t="shared" si="4"/>
        <v>data:image/svg+xml,%3csvg xmlns='http://www.w3.org/2000/svg' viewBox='0 0 24 216'%3e%3ctext fill='%23fff' style='font: 900 16px sans-serif' text-anchor='end' transform='matrix(0 -1 1 0 18 5)'%3eRich%3c/text%3e%3c/svg%3e</v>
      </c>
      <c r="H446" s="8" t="s">
        <v>32</v>
      </c>
      <c r="I446" s="8">
        <f t="shared" ref="I446:J446" si="447">len(B446)</f>
        <v>4</v>
      </c>
      <c r="J446" s="8">
        <f t="shared" si="447"/>
        <v>20</v>
      </c>
      <c r="K446" s="8" t="s">
        <v>1272</v>
      </c>
    </row>
    <row r="447">
      <c r="A447" s="7" t="b">
        <v>0</v>
      </c>
      <c r="B447" s="8" t="s">
        <v>1273</v>
      </c>
      <c r="C447" s="8" t="s">
        <v>1274</v>
      </c>
      <c r="D447" s="8" t="str">
        <f>Q&amp;$K447&amp;Q&amp;":{"&amp;Q&amp;$B$2&amp;Q&amp;":"&amp;Q&amp;$B447&amp;Q&amp;","&amp;Q&amp;$C$2&amp;Q&amp;":"&amp;Q&amp;$C447&amp;Q&amp;","&amp;Q&amp;"sets"&amp;Q&amp;":"&amp;Q&amp;substitute(SUBSTITUTE($H447,"[",""),"]","")&amp;Q&amp;"},"</f>
        <v>"emfv":{"label":"Ridiculous","extra":"(preposterous, absurd, ludicrous) ","sets":"Basic Set, Party Set"},</v>
      </c>
      <c r="E447" s="9" t="str">
        <f t="shared" si="2"/>
        <v>data:image/svg+xml,%3csvg xmlns='http://www.w3.org/2000/svg' viewBox='0 0 24 216'%3e%3ctext fill='%23fff' style='font: 900 16px sans-serif' text-anchor='end' transform='matrix(0 -1 1 0 18 5)'%3eRidiculous%3c/text%3e%3c/svg%3e</v>
      </c>
      <c r="F447" s="10" t="str">
        <f t="shared" si="3"/>
        <v>https://svgtext.heliohost.us/cgi-bin/gen.perl?text=Ridiculous</v>
      </c>
      <c r="G447" s="11" t="str">
        <f t="shared" si="4"/>
        <v>data:image/svg+xml,%3csvg xmlns='http://www.w3.org/2000/svg' viewBox='0 0 24 216'%3e%3ctext fill='%23fff' style='font: 900 16px sans-serif' text-anchor='end' transform='matrix(0 -1 1 0 18 5)'%3eRidiculous%3c/text%3e%3c/svg%3e</v>
      </c>
      <c r="H447" s="8" t="s">
        <v>29</v>
      </c>
      <c r="I447" s="8">
        <f t="shared" ref="I447:J447" si="448">len(B447)</f>
        <v>10</v>
      </c>
      <c r="J447" s="8">
        <f t="shared" si="448"/>
        <v>34</v>
      </c>
      <c r="K447" s="8" t="s">
        <v>1275</v>
      </c>
    </row>
    <row r="448">
      <c r="A448" s="7" t="b">
        <v>0</v>
      </c>
      <c r="B448" s="8" t="s">
        <v>1276</v>
      </c>
      <c r="C448" s="8" t="s">
        <v>1277</v>
      </c>
      <c r="D448" s="8" t="str">
        <f>Q&amp;$K448&amp;Q&amp;":{"&amp;Q&amp;$B$2&amp;Q&amp;":"&amp;Q&amp;$B448&amp;Q&amp;","&amp;Q&amp;$C$2&amp;Q&amp;":"&amp;Q&amp;$C448&amp;Q&amp;","&amp;Q&amp;"sets"&amp;Q&amp;":"&amp;Q&amp;substitute(SUBSTITUTE($H448,"[",""),"]","")&amp;Q&amp;"},"</f>
        <v>"dihh":{"label":"Risky","extra":"(hazardous, daring, speculative) ","sets":"Expansion Set 1, Party Set"},</v>
      </c>
      <c r="E448" s="9" t="str">
        <f t="shared" si="2"/>
        <v>data:image/svg+xml,%3csvg xmlns='http://www.w3.org/2000/svg' viewBox='0 0 24 216'%3e%3ctext fill='%23fff' style='font: 900 16px sans-serif' text-anchor='end' transform='matrix(0 -1 1 0 18 5)'%3eRisky%3c/text%3e%3c/svg%3e</v>
      </c>
      <c r="F448" s="10" t="str">
        <f t="shared" si="3"/>
        <v>https://svgtext.heliohost.us/cgi-bin/gen.perl?text=Risky</v>
      </c>
      <c r="G448" s="11" t="str">
        <f t="shared" si="4"/>
        <v>data:image/svg+xml,%3csvg xmlns='http://www.w3.org/2000/svg' viewBox='0 0 24 216'%3e%3ctext fill='%23fff' style='font: 900 16px sans-serif' text-anchor='end' transform='matrix(0 -1 1 0 18 5)'%3eRisky%3c/text%3e%3c/svg%3e</v>
      </c>
      <c r="H448" s="8" t="s">
        <v>25</v>
      </c>
      <c r="I448" s="8">
        <f t="shared" ref="I448:J448" si="449">len(B448)</f>
        <v>5</v>
      </c>
      <c r="J448" s="8">
        <f t="shared" si="449"/>
        <v>33</v>
      </c>
      <c r="K448" s="8" t="s">
        <v>1278</v>
      </c>
    </row>
    <row r="449">
      <c r="A449" s="7" t="b">
        <v>1</v>
      </c>
      <c r="B449" s="8" t="s">
        <v>1279</v>
      </c>
      <c r="C449" s="8" t="s">
        <v>1280</v>
      </c>
      <c r="D449" s="8" t="str">
        <f>Q&amp;$K449&amp;Q&amp;":{"&amp;Q&amp;$B$2&amp;Q&amp;":"&amp;Q&amp;$B449&amp;Q&amp;","&amp;Q&amp;$C$2&amp;Q&amp;":"&amp;Q&amp;$C449&amp;Q&amp;","&amp;Q&amp;"sets"&amp;Q&amp;":"&amp;Q&amp;substitute(SUBSTITUTE($H449,"[",""),"]","")&amp;Q&amp;"},"</f>
        <v>"quyx":{"label":"Rough","extra":"(scratchy, uneven, jagged) ","sets":"Basic Set, Party Set"},</v>
      </c>
      <c r="E449" s="9" t="str">
        <f t="shared" si="2"/>
        <v>data:image/svg+xml,%3csvg xmlns='http://www.w3.org/2000/svg' viewBox='0 0 24 216'%3e%3ctext fill='%23fff' style='font: 900 16px sans-serif' text-anchor='end' transform='matrix(0 -1 1 0 18 5)'%3eRough%3c/text%3e%3c/svg%3e</v>
      </c>
      <c r="F449" s="10" t="str">
        <f t="shared" si="3"/>
        <v>https://svgtext.heliohost.us/cgi-bin/gen.perl?text=Rough</v>
      </c>
      <c r="G449" s="11" t="str">
        <f t="shared" si="4"/>
        <v>data:image/svg+xml,%3csvg xmlns='http://www.w3.org/2000/svg' viewBox='0 0 24 216'%3e%3ctext fill='%23fff' style='font: 900 16px sans-serif' text-anchor='end' transform='matrix(0 -1 1 0 18 5)'%3eRough%3c/text%3e%3c/svg%3e</v>
      </c>
      <c r="H449" s="8" t="s">
        <v>29</v>
      </c>
      <c r="I449" s="8">
        <f t="shared" ref="I449:J449" si="450">len(B449)</f>
        <v>5</v>
      </c>
      <c r="J449" s="8">
        <f t="shared" si="450"/>
        <v>27</v>
      </c>
      <c r="K449" s="8" t="s">
        <v>1281</v>
      </c>
    </row>
    <row r="450">
      <c r="A450" s="7" t="b">
        <v>0</v>
      </c>
      <c r="B450" s="8" t="s">
        <v>1279</v>
      </c>
      <c r="C450" s="8" t="s">
        <v>1282</v>
      </c>
      <c r="D450" s="8" t="str">
        <f>Q&amp;$K450&amp;Q&amp;":{"&amp;Q&amp;$B$2&amp;Q&amp;":"&amp;Q&amp;$B450&amp;Q&amp;","&amp;Q&amp;$C$2&amp;Q&amp;":"&amp;Q&amp;$C450&amp;Q&amp;","&amp;Q&amp;"sets"&amp;Q&amp;":"&amp;Q&amp;substitute(SUBSTITUTE($H450,"[",""),"]","")&amp;Q&amp;"},"</f>
        <v>"qisb":{"label":"Rough","extra":"(not smooth, not gentle) ","sets":"Junior"},</v>
      </c>
      <c r="E450" s="9" t="str">
        <f t="shared" si="2"/>
        <v>data:image/svg+xml,%3csvg xmlns='http://www.w3.org/2000/svg' viewBox='0 0 24 216'%3e%3ctext fill='%23fff' style='font: 900 16px sans-serif' text-anchor='end' transform='matrix(0 -1 1 0 18 5)'%3eRough%3c/text%3e%3c/svg%3e</v>
      </c>
      <c r="F450" s="10" t="str">
        <f t="shared" si="3"/>
        <v>https://svgtext.heliohost.us/cgi-bin/gen.perl?text=Rough</v>
      </c>
      <c r="G450" s="11" t="str">
        <f t="shared" si="4"/>
        <v>data:image/svg+xml,%3csvg xmlns='http://www.w3.org/2000/svg' viewBox='0 0 24 216'%3e%3ctext fill='%23fff' style='font: 900 16px sans-serif' text-anchor='end' transform='matrix(0 -1 1 0 18 5)'%3eRough%3c/text%3e%3c/svg%3e</v>
      </c>
      <c r="H450" s="8" t="s">
        <v>84</v>
      </c>
      <c r="I450" s="8">
        <f t="shared" ref="I450:J450" si="451">len(B450)</f>
        <v>5</v>
      </c>
      <c r="J450" s="8">
        <f t="shared" si="451"/>
        <v>25</v>
      </c>
      <c r="K450" s="8" t="s">
        <v>1283</v>
      </c>
    </row>
    <row r="451">
      <c r="A451" s="7" t="b">
        <v>1</v>
      </c>
      <c r="B451" s="8" t="s">
        <v>1284</v>
      </c>
      <c r="C451" s="8" t="s">
        <v>1285</v>
      </c>
      <c r="D451" s="8" t="str">
        <f>Q&amp;$K451&amp;Q&amp;":{"&amp;Q&amp;$B$2&amp;Q&amp;":"&amp;Q&amp;$B451&amp;Q&amp;","&amp;Q&amp;$C$2&amp;Q&amp;":"&amp;Q&amp;$C451&amp;Q&amp;","&amp;Q&amp;"sets"&amp;Q&amp;":"&amp;Q&amp;substitute(SUBSTITUTE($H451,"[",""),"]","")&amp;Q&amp;"},"</f>
        <v>"tsas":{"label":"Rough &amp; Ready","extra":"(crude, makeshift, prepared) ","sets":"Expansion Set 4, Party Expansion 1"},</v>
      </c>
      <c r="E451" s="9" t="str">
        <f t="shared" si="2"/>
        <v>data:image/svg+xml,%3csvg xmlns='http://www.w3.org/2000/svg' viewBox='0 0 24 216'%3e%3ctext fill='%23fff' style='font: 900 16px sans-serif' text-anchor='end' transform='matrix(0 -1 1 0 18 5)'%3eRough %26amp%3B Ready%3c/text%3e%3c/svg%3e</v>
      </c>
      <c r="F451" s="10" t="str">
        <f t="shared" si="3"/>
        <v>https://svgtext.heliohost.us/cgi-bin/gen.perl?text=Rough%20%26%20Ready</v>
      </c>
      <c r="G451" s="11" t="str">
        <f t="shared" si="4"/>
        <v>data:image/svg+xml,%3csvg xmlns='http://www.w3.org/2000/svg' viewBox='0 0 24 216'%3e%3ctext fill='%23fff' style='font: 900 16px sans-serif' text-anchor='end' transform='matrix(0 -1 1 0 18 5)'%3eRough %26amp%3B Ready%3c/text%3e%3c/svg%3e</v>
      </c>
      <c r="H451" s="8" t="s">
        <v>63</v>
      </c>
      <c r="I451" s="8">
        <f t="shared" ref="I451:J451" si="452">len(B451)</f>
        <v>13</v>
      </c>
      <c r="J451" s="8">
        <f t="shared" si="452"/>
        <v>29</v>
      </c>
      <c r="K451" s="8" t="s">
        <v>1286</v>
      </c>
    </row>
    <row r="452">
      <c r="A452" s="7" t="b">
        <v>0</v>
      </c>
      <c r="B452" s="8" t="s">
        <v>1287</v>
      </c>
      <c r="C452" s="8" t="s">
        <v>1288</v>
      </c>
      <c r="D452" s="8" t="str">
        <f>Q&amp;$K452&amp;Q&amp;":{"&amp;Q&amp;$B$2&amp;Q&amp;":"&amp;Q&amp;$B452&amp;Q&amp;","&amp;Q&amp;$C$2&amp;Q&amp;":"&amp;Q&amp;$C452&amp;Q&amp;","&amp;Q&amp;"sets"&amp;Q&amp;":"&amp;Q&amp;substitute(SUBSTITUTE($H452,"[",""),"]","")&amp;Q&amp;"},"</f>
        <v>"qnev":{"label":"Round","extra":"(circular, ring shaped) ","sets":"Junior 9+ (1st) &amp; (2nd)"},</v>
      </c>
      <c r="E452" s="9" t="str">
        <f t="shared" si="2"/>
        <v>data:image/svg+xml,%3csvg xmlns='http://www.w3.org/2000/svg' viewBox='0 0 24 216'%3e%3ctext fill='%23fff' style='font: 900 16px sans-serif' text-anchor='end' transform='matrix(0 -1 1 0 18 5)'%3eRound%3c/text%3e%3c/svg%3e</v>
      </c>
      <c r="F452" s="10" t="str">
        <f t="shared" si="3"/>
        <v>https://svgtext.heliohost.us/cgi-bin/gen.perl?text=Round</v>
      </c>
      <c r="G452" s="11" t="str">
        <f t="shared" si="4"/>
        <v>data:image/svg+xml,%3csvg xmlns='http://www.w3.org/2000/svg' viewBox='0 0 24 216'%3e%3ctext fill='%23fff' style='font: 900 16px sans-serif' text-anchor='end' transform='matrix(0 -1 1 0 18 5)'%3eRound%3c/text%3e%3c/svg%3e</v>
      </c>
      <c r="H452" s="8" t="s">
        <v>42</v>
      </c>
      <c r="I452" s="8">
        <f t="shared" ref="I452:J452" si="453">len(B452)</f>
        <v>5</v>
      </c>
      <c r="J452" s="8">
        <f t="shared" si="453"/>
        <v>24</v>
      </c>
      <c r="K452" s="8" t="s">
        <v>1289</v>
      </c>
    </row>
    <row r="453">
      <c r="A453" s="7" t="b">
        <v>0</v>
      </c>
      <c r="B453" s="8" t="s">
        <v>1290</v>
      </c>
      <c r="C453" s="8" t="s">
        <v>1291</v>
      </c>
      <c r="D453" s="8" t="str">
        <f>Q&amp;$K453&amp;Q&amp;":{"&amp;Q&amp;$B$2&amp;Q&amp;":"&amp;Q&amp;$B453&amp;Q&amp;","&amp;Q&amp;$C$2&amp;Q&amp;":"&amp;Q&amp;$C453&amp;Q&amp;","&amp;Q&amp;"sets"&amp;Q&amp;":"&amp;Q&amp;substitute(SUBSTITUTE($H453,"[",""),"]","")&amp;Q&amp;"},"</f>
        <v>"jsbx":{"label":"Sad","extra":"(unhappy, gloomy) ","sets":"Junior 9+ (1st) &amp; (2nd)"},</v>
      </c>
      <c r="E453" s="9" t="str">
        <f t="shared" si="2"/>
        <v>data:image/svg+xml,%3csvg xmlns='http://www.w3.org/2000/svg' viewBox='0 0 24 216'%3e%3ctext fill='%23fff' style='font: 900 16px sans-serif' text-anchor='end' transform='matrix(0 -1 1 0 18 5)'%3eSad%3c/text%3e%3c/svg%3e</v>
      </c>
      <c r="F453" s="10" t="str">
        <f t="shared" si="3"/>
        <v>https://svgtext.heliohost.us/cgi-bin/gen.perl?text=Sad</v>
      </c>
      <c r="G453" s="11" t="str">
        <f t="shared" si="4"/>
        <v>data:image/svg+xml,%3csvg xmlns='http://www.w3.org/2000/svg' viewBox='0 0 24 216'%3e%3ctext fill='%23fff' style='font: 900 16px sans-serif' text-anchor='end' transform='matrix(0 -1 1 0 18 5)'%3eSad%3c/text%3e%3c/svg%3e</v>
      </c>
      <c r="H453" s="8" t="s">
        <v>42</v>
      </c>
      <c r="I453" s="8">
        <f t="shared" ref="I453:J453" si="454">len(B453)</f>
        <v>3</v>
      </c>
      <c r="J453" s="8">
        <f t="shared" si="454"/>
        <v>18</v>
      </c>
      <c r="K453" s="8" t="s">
        <v>1292</v>
      </c>
    </row>
    <row r="454">
      <c r="A454" s="7" t="b">
        <v>0</v>
      </c>
      <c r="B454" s="8" t="s">
        <v>1293</v>
      </c>
      <c r="C454" s="8" t="s">
        <v>1294</v>
      </c>
      <c r="D454" s="8" t="str">
        <f>Q&amp;$K454&amp;Q&amp;":{"&amp;Q&amp;$B$2&amp;Q&amp;":"&amp;Q&amp;$B454&amp;Q&amp;","&amp;Q&amp;$C$2&amp;Q&amp;":"&amp;Q&amp;$C454&amp;Q&amp;","&amp;Q&amp;"sets"&amp;Q&amp;":"&amp;Q&amp;substitute(SUBSTITUTE($H454,"[",""),"]","")&amp;Q&amp;"},"</f>
        <v>"tgjh":{"label":"Saintly","extra":"(virtuous, angelic, divine) ","sets":"Basic Set, Party Set"},</v>
      </c>
      <c r="E454" s="9" t="str">
        <f t="shared" si="2"/>
        <v>data:image/svg+xml,%3csvg xmlns='http://www.w3.org/2000/svg' viewBox='0 0 24 216'%3e%3ctext fill='%23fff' style='font: 900 16px sans-serif' text-anchor='end' transform='matrix(0 -1 1 0 18 5)'%3eSaintly%3c/text%3e%3c/svg%3e</v>
      </c>
      <c r="F454" s="10" t="str">
        <f t="shared" si="3"/>
        <v>https://svgtext.heliohost.us/cgi-bin/gen.perl?text=Saintly</v>
      </c>
      <c r="G454" s="11" t="str">
        <f t="shared" si="4"/>
        <v>data:image/svg+xml,%3csvg xmlns='http://www.w3.org/2000/svg' viewBox='0 0 24 216'%3e%3ctext fill='%23fff' style='font: 900 16px sans-serif' text-anchor='end' transform='matrix(0 -1 1 0 18 5)'%3eSaintly%3c/text%3e%3c/svg%3e</v>
      </c>
      <c r="H454" s="8" t="s">
        <v>29</v>
      </c>
      <c r="I454" s="8">
        <f t="shared" ref="I454:J454" si="455">len(B454)</f>
        <v>7</v>
      </c>
      <c r="J454" s="8">
        <f t="shared" si="455"/>
        <v>28</v>
      </c>
      <c r="K454" s="8" t="s">
        <v>1295</v>
      </c>
    </row>
    <row r="455">
      <c r="A455" s="7" t="b">
        <v>0</v>
      </c>
      <c r="B455" s="8" t="s">
        <v>1296</v>
      </c>
      <c r="C455" s="8" t="s">
        <v>1297</v>
      </c>
      <c r="D455" s="8" t="str">
        <f>Q&amp;$K455&amp;Q&amp;":{"&amp;Q&amp;$B$2&amp;Q&amp;":"&amp;Q&amp;$B455&amp;Q&amp;","&amp;Q&amp;$C$2&amp;Q&amp;":"&amp;Q&amp;$C455&amp;Q&amp;","&amp;Q&amp;"sets"&amp;Q&amp;":"&amp;Q&amp;substitute(SUBSTITUTE($H455,"[",""),"]","")&amp;Q&amp;"},"</f>
        <v>"tkre":{"label":"Sappy","extra":"(gooey, mushy, romantic) ","sets":"Basic Set, Party Set"},</v>
      </c>
      <c r="E455" s="9" t="str">
        <f t="shared" si="2"/>
        <v>data:image/svg+xml,%3csvg xmlns='http://www.w3.org/2000/svg' viewBox='0 0 24 216'%3e%3ctext fill='%23fff' style='font: 900 16px sans-serif' text-anchor='end' transform='matrix(0 -1 1 0 18 5)'%3eSappy%3c/text%3e%3c/svg%3e</v>
      </c>
      <c r="F455" s="10" t="str">
        <f t="shared" si="3"/>
        <v>https://svgtext.heliohost.us/cgi-bin/gen.perl?text=Sappy</v>
      </c>
      <c r="G455" s="11" t="str">
        <f t="shared" si="4"/>
        <v>data:image/svg+xml,%3csvg xmlns='http://www.w3.org/2000/svg' viewBox='0 0 24 216'%3e%3ctext fill='%23fff' style='font: 900 16px sans-serif' text-anchor='end' transform='matrix(0 -1 1 0 18 5)'%3eSappy%3c/text%3e%3c/svg%3e</v>
      </c>
      <c r="H455" s="8" t="s">
        <v>29</v>
      </c>
      <c r="I455" s="8">
        <f t="shared" ref="I455:J455" si="456">len(B455)</f>
        <v>5</v>
      </c>
      <c r="J455" s="8">
        <f t="shared" si="456"/>
        <v>25</v>
      </c>
      <c r="K455" s="8" t="s">
        <v>1298</v>
      </c>
    </row>
    <row r="456">
      <c r="A456" s="7" t="b">
        <v>1</v>
      </c>
      <c r="B456" s="8" t="s">
        <v>1299</v>
      </c>
      <c r="C456" s="8" t="s">
        <v>1300</v>
      </c>
      <c r="D456" s="8" t="str">
        <f>Q&amp;$K456&amp;Q&amp;":{"&amp;Q&amp;$B$2&amp;Q&amp;":"&amp;Q&amp;$B456&amp;Q&amp;","&amp;Q&amp;$C$2&amp;Q&amp;":"&amp;Q&amp;$C456&amp;Q&amp;","&amp;Q&amp;"sets"&amp;Q&amp;":"&amp;Q&amp;substitute(SUBSTITUTE($H456,"[",""),"]","")&amp;Q&amp;"},"</f>
        <v>"jyoc":{"label":"Scary","extra":"(frightening, absurd, ugly) ","sets":"Basic Set, Party Set"},</v>
      </c>
      <c r="E456" s="9" t="str">
        <f t="shared" si="2"/>
        <v>data:image/svg+xml,%3csvg xmlns='http://www.w3.org/2000/svg' viewBox='0 0 24 216'%3e%3ctext fill='%23fff' style='font: 900 16px sans-serif' text-anchor='end' transform='matrix(0 -1 1 0 18 5)'%3eScary%3c/text%3e%3c/svg%3e</v>
      </c>
      <c r="F456" s="10" t="str">
        <f t="shared" si="3"/>
        <v>https://svgtext.heliohost.us/cgi-bin/gen.perl?text=Scary</v>
      </c>
      <c r="G456" s="11" t="str">
        <f t="shared" si="4"/>
        <v>data:image/svg+xml,%3csvg xmlns='http://www.w3.org/2000/svg' viewBox='0 0 24 216'%3e%3ctext fill='%23fff' style='font: 900 16px sans-serif' text-anchor='end' transform='matrix(0 -1 1 0 18 5)'%3eScary%3c/text%3e%3c/svg%3e</v>
      </c>
      <c r="H456" s="8" t="s">
        <v>29</v>
      </c>
      <c r="I456" s="8">
        <f t="shared" ref="I456:J456" si="457">len(B456)</f>
        <v>5</v>
      </c>
      <c r="J456" s="8">
        <f t="shared" si="457"/>
        <v>28</v>
      </c>
      <c r="K456" s="8" t="s">
        <v>1301</v>
      </c>
    </row>
    <row r="457">
      <c r="A457" s="7" t="b">
        <v>0</v>
      </c>
      <c r="B457" s="8" t="s">
        <v>1299</v>
      </c>
      <c r="C457" s="8" t="s">
        <v>1302</v>
      </c>
      <c r="D457" s="8" t="str">
        <f>Q&amp;$K457&amp;Q&amp;":{"&amp;Q&amp;$B$2&amp;Q&amp;":"&amp;Q&amp;$B457&amp;Q&amp;","&amp;Q&amp;$C$2&amp;Q&amp;":"&amp;Q&amp;$C457&amp;Q&amp;","&amp;Q&amp;"sets"&amp;Q&amp;":"&amp;Q&amp;substitute(SUBSTITUTE($H457,"[",""),"]","")&amp;Q&amp;"},"</f>
        <v>"jhfl":{"label":"Scary","extra":"(frightening, spooky) ","sets":"Junior 9+ (1st) &amp; (2nd)"},</v>
      </c>
      <c r="E457" s="9" t="str">
        <f t="shared" si="2"/>
        <v>data:image/svg+xml,%3csvg xmlns='http://www.w3.org/2000/svg' viewBox='0 0 24 216'%3e%3ctext fill='%23fff' style='font: 900 16px sans-serif' text-anchor='end' transform='matrix(0 -1 1 0 18 5)'%3eScary%3c/text%3e%3c/svg%3e</v>
      </c>
      <c r="F457" s="10" t="str">
        <f t="shared" si="3"/>
        <v>https://svgtext.heliohost.us/cgi-bin/gen.perl?text=Scary</v>
      </c>
      <c r="G457" s="11" t="str">
        <f t="shared" si="4"/>
        <v>data:image/svg+xml,%3csvg xmlns='http://www.w3.org/2000/svg' viewBox='0 0 24 216'%3e%3ctext fill='%23fff' style='font: 900 16px sans-serif' text-anchor='end' transform='matrix(0 -1 1 0 18 5)'%3eScary%3c/text%3e%3c/svg%3e</v>
      </c>
      <c r="H457" s="8" t="s">
        <v>42</v>
      </c>
      <c r="I457" s="8">
        <f t="shared" ref="I457:J457" si="458">len(B457)</f>
        <v>5</v>
      </c>
      <c r="J457" s="8">
        <f t="shared" si="458"/>
        <v>22</v>
      </c>
      <c r="K457" s="8" t="s">
        <v>1303</v>
      </c>
    </row>
    <row r="458">
      <c r="A458" s="7" t="b">
        <v>0</v>
      </c>
      <c r="B458" s="8" t="s">
        <v>1304</v>
      </c>
      <c r="C458" s="8" t="s">
        <v>1305</v>
      </c>
      <c r="D458" s="8" t="str">
        <f>Q&amp;$K458&amp;Q&amp;":{"&amp;Q&amp;$B$2&amp;Q&amp;":"&amp;Q&amp;$B458&amp;Q&amp;","&amp;Q&amp;$C$2&amp;Q&amp;":"&amp;Q&amp;$C458&amp;Q&amp;","&amp;Q&amp;"sets"&amp;Q&amp;":"&amp;Q&amp;substitute(SUBSTITUTE($H458,"[",""),"]","")&amp;Q&amp;"},"</f>
        <v>"lbcr":{"label":"Scenic","extra":"(picturesque, dramatic, panoramic) ","sets":"Expansion Set 1, Party Set"},</v>
      </c>
      <c r="E458" s="9" t="str">
        <f t="shared" si="2"/>
        <v>data:image/svg+xml,%3csvg xmlns='http://www.w3.org/2000/svg' viewBox='0 0 24 216'%3e%3ctext fill='%23fff' style='font: 900 16px sans-serif' text-anchor='end' transform='matrix(0 -1 1 0 18 5)'%3eScenic%3c/text%3e%3c/svg%3e</v>
      </c>
      <c r="F458" s="10" t="str">
        <f t="shared" si="3"/>
        <v>https://svgtext.heliohost.us/cgi-bin/gen.perl?text=Scenic</v>
      </c>
      <c r="G458" s="11" t="str">
        <f t="shared" si="4"/>
        <v>data:image/svg+xml,%3csvg xmlns='http://www.w3.org/2000/svg' viewBox='0 0 24 216'%3e%3ctext fill='%23fff' style='font: 900 16px sans-serif' text-anchor='end' transform='matrix(0 -1 1 0 18 5)'%3eScenic%3c/text%3e%3c/svg%3e</v>
      </c>
      <c r="H458" s="8" t="s">
        <v>25</v>
      </c>
      <c r="I458" s="8">
        <f t="shared" ref="I458:J458" si="459">len(B458)</f>
        <v>6</v>
      </c>
      <c r="J458" s="8">
        <f t="shared" si="459"/>
        <v>35</v>
      </c>
      <c r="K458" s="8" t="s">
        <v>1306</v>
      </c>
    </row>
    <row r="459">
      <c r="A459" s="7" t="b">
        <v>1</v>
      </c>
      <c r="B459" s="8" t="s">
        <v>1307</v>
      </c>
      <c r="C459" s="8" t="s">
        <v>1308</v>
      </c>
      <c r="D459" s="8" t="str">
        <f>Q&amp;$K459&amp;Q&amp;":{"&amp;Q&amp;$B$2&amp;Q&amp;":"&amp;Q&amp;$B459&amp;Q&amp;","&amp;Q&amp;$C$2&amp;Q&amp;":"&amp;Q&amp;$C459&amp;Q&amp;","&amp;Q&amp;"sets"&amp;Q&amp;":"&amp;Q&amp;substitute(SUBSTITUTE($H459,"[",""),"]","")&amp;Q&amp;"},"</f>
        <v>"tmwd":{"label":"Scented","extra":"(perfumed, fragrant) ","sets":"Junior 9+ (2nd)"},</v>
      </c>
      <c r="E459" s="9" t="str">
        <f t="shared" si="2"/>
        <v>data:image/svg+xml,%3csvg xmlns='http://www.w3.org/2000/svg' viewBox='0 0 24 216'%3e%3ctext fill='%23fff' style='font: 900 16px sans-serif' text-anchor='end' transform='matrix(0 -1 1 0 18 5)'%3eScented%3c/text%3e%3c/svg%3e</v>
      </c>
      <c r="F459" s="10" t="str">
        <f t="shared" si="3"/>
        <v>https://svgtext.heliohost.us/cgi-bin/gen.perl?text=Scented</v>
      </c>
      <c r="G459" s="11" t="str">
        <f t="shared" si="4"/>
        <v>data:image/svg+xml,%3csvg xmlns='http://www.w3.org/2000/svg' viewBox='0 0 24 216'%3e%3ctext fill='%23fff' style='font: 900 16px sans-serif' text-anchor='end' transform='matrix(0 -1 1 0 18 5)'%3eScented%3c/text%3e%3c/svg%3e</v>
      </c>
      <c r="H459" s="8" t="s">
        <v>32</v>
      </c>
      <c r="I459" s="8">
        <f t="shared" ref="I459:J459" si="460">len(B459)</f>
        <v>7</v>
      </c>
      <c r="J459" s="8">
        <f t="shared" si="460"/>
        <v>21</v>
      </c>
      <c r="K459" s="8" t="s">
        <v>1309</v>
      </c>
    </row>
    <row r="460">
      <c r="A460" s="7" t="b">
        <v>1</v>
      </c>
      <c r="B460" s="8" t="s">
        <v>1310</v>
      </c>
      <c r="C460" s="8" t="s">
        <v>1311</v>
      </c>
      <c r="D460" s="8" t="str">
        <f>Q&amp;$K460&amp;Q&amp;":{"&amp;Q&amp;$B$2&amp;Q&amp;":"&amp;Q&amp;$B460&amp;Q&amp;","&amp;Q&amp;$C$2&amp;Q&amp;":"&amp;Q&amp;$C460&amp;Q&amp;","&amp;Q&amp;"sets"&amp;Q&amp;":"&amp;Q&amp;substitute(SUBSTITUTE($H460,"[",""),"]","")&amp;Q&amp;"},"</f>
        <v>"rlxq":{"label":"Secretive","extra":"(concealed, covert, veiled) ","sets":"Expansion Set 3, Party Expansion 1"},</v>
      </c>
      <c r="E460" s="9" t="str">
        <f t="shared" si="2"/>
        <v>data:image/svg+xml,%3csvg xmlns='http://www.w3.org/2000/svg' viewBox='0 0 24 216'%3e%3ctext fill='%23fff' style='font: 900 16px sans-serif' text-anchor='end' transform='matrix(0 -1 1 0 18 5)'%3eSecretive%3c/text%3e%3c/svg%3e</v>
      </c>
      <c r="F460" s="10" t="str">
        <f t="shared" si="3"/>
        <v>https://svgtext.heliohost.us/cgi-bin/gen.perl?text=Secretive</v>
      </c>
      <c r="G460" s="11" t="str">
        <f t="shared" si="4"/>
        <v>data:image/svg+xml,%3csvg xmlns='http://www.w3.org/2000/svg' viewBox='0 0 24 216'%3e%3ctext fill='%23fff' style='font: 900 16px sans-serif' text-anchor='end' transform='matrix(0 -1 1 0 18 5)'%3eSecretive%3c/text%3e%3c/svg%3e</v>
      </c>
      <c r="H460" s="8" t="s">
        <v>39</v>
      </c>
      <c r="I460" s="8">
        <f t="shared" ref="I460:J460" si="461">len(B460)</f>
        <v>9</v>
      </c>
      <c r="J460" s="8">
        <f t="shared" si="461"/>
        <v>28</v>
      </c>
      <c r="K460" s="8" t="s">
        <v>1312</v>
      </c>
    </row>
    <row r="461">
      <c r="A461" s="7" t="b">
        <v>0</v>
      </c>
      <c r="B461" s="8" t="s">
        <v>1313</v>
      </c>
      <c r="C461" s="8" t="s">
        <v>1314</v>
      </c>
      <c r="D461" s="8" t="str">
        <f>Q&amp;$K461&amp;Q&amp;":{"&amp;Q&amp;$B$2&amp;Q&amp;":"&amp;Q&amp;$B461&amp;Q&amp;","&amp;Q&amp;$C$2&amp;Q&amp;":"&amp;Q&amp;$C461&amp;Q&amp;","&amp;Q&amp;"sets"&amp;Q&amp;":"&amp;Q&amp;substitute(SUBSTITUTE($H461,"[",""),"]","")&amp;Q&amp;"},"</f>
        <v>"ymdq":{"label":"Selfish","extra":"(stingy, greedy, miserly) ","sets":"Basic Set, Party Set"},</v>
      </c>
      <c r="E461" s="9" t="str">
        <f t="shared" si="2"/>
        <v>data:image/svg+xml,%3csvg xmlns='http://www.w3.org/2000/svg' viewBox='0 0 24 216'%3e%3ctext fill='%23fff' style='font: 900 16px sans-serif' text-anchor='end' transform='matrix(0 -1 1 0 18 5)'%3eSelfish%3c/text%3e%3c/svg%3e</v>
      </c>
      <c r="F461" s="10" t="str">
        <f t="shared" si="3"/>
        <v>https://svgtext.heliohost.us/cgi-bin/gen.perl?text=Selfish</v>
      </c>
      <c r="G461" s="11" t="str">
        <f t="shared" si="4"/>
        <v>data:image/svg+xml,%3csvg xmlns='http://www.w3.org/2000/svg' viewBox='0 0 24 216'%3e%3ctext fill='%23fff' style='font: 900 16px sans-serif' text-anchor='end' transform='matrix(0 -1 1 0 18 5)'%3eSelfish%3c/text%3e%3c/svg%3e</v>
      </c>
      <c r="H461" s="8" t="s">
        <v>29</v>
      </c>
      <c r="I461" s="8">
        <f t="shared" ref="I461:J461" si="462">len(B461)</f>
        <v>7</v>
      </c>
      <c r="J461" s="8">
        <f t="shared" si="462"/>
        <v>26</v>
      </c>
      <c r="K461" s="8" t="s">
        <v>1315</v>
      </c>
    </row>
    <row r="462">
      <c r="A462" s="7" t="b">
        <v>1</v>
      </c>
      <c r="B462" s="8" t="s">
        <v>1316</v>
      </c>
      <c r="C462" s="8" t="s">
        <v>1317</v>
      </c>
      <c r="D462" s="8" t="str">
        <f>Q&amp;$K462&amp;Q&amp;":{"&amp;Q&amp;$B$2&amp;Q&amp;":"&amp;Q&amp;$B462&amp;Q&amp;","&amp;Q&amp;$C$2&amp;Q&amp;":"&amp;Q&amp;$C462&amp;Q&amp;","&amp;Q&amp;"sets"&amp;Q&amp;":"&amp;Q&amp;substitute(SUBSTITUTE($H462,"[",""),"]","")&amp;Q&amp;"},"</f>
        <v>"eqru":{"label":"Sensational","extra":"(thrilling, startling, melodramatic) ","sets":"Expansion Set 3, Party Expansion 1"},</v>
      </c>
      <c r="E462" s="9" t="str">
        <f t="shared" si="2"/>
        <v>data:image/svg+xml,%3csvg xmlns='http://www.w3.org/2000/svg' viewBox='0 0 24 216'%3e%3ctext fill='%23fff' style='font: 900 16px sans-serif' text-anchor='end' transform='matrix(0 -1 1 0 18 5)'%3eSensational%3c/text%3e%3c/svg%3e</v>
      </c>
      <c r="F462" s="10" t="str">
        <f t="shared" si="3"/>
        <v>https://svgtext.heliohost.us/cgi-bin/gen.perl?text=Sensational</v>
      </c>
      <c r="G462" s="11" t="str">
        <f t="shared" si="4"/>
        <v>data:image/svg+xml,%3csvg xmlns='http://www.w3.org/2000/svg' viewBox='0 0 24 216'%3e%3ctext fill='%23fff' style='font: 900 16px sans-serif' text-anchor='end' transform='matrix(0 -1 1 0 18 5)'%3eSensational%3c/text%3e%3c/svg%3e</v>
      </c>
      <c r="H462" s="8" t="s">
        <v>39</v>
      </c>
      <c r="I462" s="8">
        <f t="shared" ref="I462:J462" si="463">len(B462)</f>
        <v>11</v>
      </c>
      <c r="J462" s="8">
        <f t="shared" si="463"/>
        <v>37</v>
      </c>
      <c r="K462" s="8" t="s">
        <v>1318</v>
      </c>
    </row>
    <row r="463">
      <c r="A463" s="7" t="b">
        <v>0</v>
      </c>
      <c r="B463" s="8" t="s">
        <v>1319</v>
      </c>
      <c r="C463" s="8" t="s">
        <v>1320</v>
      </c>
      <c r="D463" s="8" t="str">
        <f>Q&amp;$K463&amp;Q&amp;":{"&amp;Q&amp;$B$2&amp;Q&amp;":"&amp;Q&amp;$B463&amp;Q&amp;","&amp;Q&amp;$C$2&amp;Q&amp;":"&amp;Q&amp;$C463&amp;Q&amp;","&amp;Q&amp;"sets"&amp;Q&amp;":"&amp;Q&amp;substitute(SUBSTITUTE($H463,"[",""),"]","")&amp;Q&amp;"},"</f>
        <v>"ornc":{"label":"Senseless","extra":"(meaningless, absurd, foolish) ","sets":"Expansion Set 2, Party Set"},</v>
      </c>
      <c r="E463" s="9" t="str">
        <f t="shared" si="2"/>
        <v>data:image/svg+xml,%3csvg xmlns='http://www.w3.org/2000/svg' viewBox='0 0 24 216'%3e%3ctext fill='%23fff' style='font: 900 16px sans-serif' text-anchor='end' transform='matrix(0 -1 1 0 18 5)'%3eSenseless%3c/text%3e%3c/svg%3e</v>
      </c>
      <c r="F463" s="10" t="str">
        <f t="shared" si="3"/>
        <v>https://svgtext.heliohost.us/cgi-bin/gen.perl?text=Senseless</v>
      </c>
      <c r="G463" s="11" t="str">
        <f t="shared" si="4"/>
        <v>data:image/svg+xml,%3csvg xmlns='http://www.w3.org/2000/svg' viewBox='0 0 24 216'%3e%3ctext fill='%23fff' style='font: 900 16px sans-serif' text-anchor='end' transform='matrix(0 -1 1 0 18 5)'%3eSenseless%3c/text%3e%3c/svg%3e</v>
      </c>
      <c r="H463" s="8" t="s">
        <v>17</v>
      </c>
      <c r="I463" s="8">
        <f t="shared" ref="I463:J463" si="464">len(B463)</f>
        <v>9</v>
      </c>
      <c r="J463" s="8">
        <f t="shared" si="464"/>
        <v>31</v>
      </c>
      <c r="K463" s="8" t="s">
        <v>1321</v>
      </c>
    </row>
    <row r="464">
      <c r="A464" s="7" t="b">
        <v>0</v>
      </c>
      <c r="B464" s="8" t="s">
        <v>1322</v>
      </c>
      <c r="C464" s="8" t="s">
        <v>1323</v>
      </c>
      <c r="D464" s="8" t="str">
        <f>Q&amp;$K464&amp;Q&amp;":{"&amp;Q&amp;$B$2&amp;Q&amp;":"&amp;Q&amp;$B464&amp;Q&amp;","&amp;Q&amp;$C$2&amp;Q&amp;":"&amp;Q&amp;$C464&amp;Q&amp;","&amp;Q&amp;"sets"&amp;Q&amp;":"&amp;Q&amp;substitute(SUBSTITUTE($H464,"[",""),"]","")&amp;Q&amp;"},"</f>
        <v>"omyz":{"label":"Sensitive","extra":"(susceptible, sympathetic, tender) ","sets":"Basic Set, Party Set"},</v>
      </c>
      <c r="E464" s="9" t="str">
        <f t="shared" si="2"/>
        <v>data:image/svg+xml,%3csvg xmlns='http://www.w3.org/2000/svg' viewBox='0 0 24 216'%3e%3ctext fill='%23fff' style='font: 900 16px sans-serif' text-anchor='end' transform='matrix(0 -1 1 0 18 5)'%3eSensitive%3c/text%3e%3c/svg%3e</v>
      </c>
      <c r="F464" s="10" t="str">
        <f t="shared" si="3"/>
        <v>https://svgtext.heliohost.us/cgi-bin/gen.perl?text=Sensitive</v>
      </c>
      <c r="G464" s="11" t="str">
        <f t="shared" si="4"/>
        <v>data:image/svg+xml,%3csvg xmlns='http://www.w3.org/2000/svg' viewBox='0 0 24 216'%3e%3ctext fill='%23fff' style='font: 900 16px sans-serif' text-anchor='end' transform='matrix(0 -1 1 0 18 5)'%3eSensitive%3c/text%3e%3c/svg%3e</v>
      </c>
      <c r="H464" s="8" t="s">
        <v>29</v>
      </c>
      <c r="I464" s="8">
        <f t="shared" ref="I464:J464" si="465">len(B464)</f>
        <v>9</v>
      </c>
      <c r="J464" s="8">
        <f t="shared" si="465"/>
        <v>35</v>
      </c>
      <c r="K464" s="8" t="s">
        <v>1324</v>
      </c>
    </row>
    <row r="465">
      <c r="A465" s="7" t="b">
        <v>0</v>
      </c>
      <c r="B465" s="8" t="s">
        <v>1325</v>
      </c>
      <c r="C465" s="8" t="s">
        <v>1326</v>
      </c>
      <c r="D465" s="8" t="str">
        <f>Q&amp;$K465&amp;Q&amp;":{"&amp;Q&amp;$B$2&amp;Q&amp;":"&amp;Q&amp;$B465&amp;Q&amp;","&amp;Q&amp;$C$2&amp;Q&amp;":"&amp;Q&amp;$C465&amp;Q&amp;","&amp;Q&amp;"sets"&amp;Q&amp;":"&amp;Q&amp;substitute(SUBSTITUTE($H465,"[",""),"]","")&amp;Q&amp;"},"</f>
        <v>"nzej":{"label":"Sensual","extra":"(tactile, pleasing, sexual) ","sets":"Basic Set, Party Set"},</v>
      </c>
      <c r="E465" s="9" t="str">
        <f t="shared" si="2"/>
        <v>data:image/svg+xml,%3csvg xmlns='http://www.w3.org/2000/svg' viewBox='0 0 24 216'%3e%3ctext fill='%23fff' style='font: 900 16px sans-serif' text-anchor='end' transform='matrix(0 -1 1 0 18 5)'%3eSensual%3c/text%3e%3c/svg%3e</v>
      </c>
      <c r="F465" s="10" t="str">
        <f t="shared" si="3"/>
        <v>https://svgtext.heliohost.us/cgi-bin/gen.perl?text=Sensual</v>
      </c>
      <c r="G465" s="11" t="str">
        <f t="shared" si="4"/>
        <v>data:image/svg+xml,%3csvg xmlns='http://www.w3.org/2000/svg' viewBox='0 0 24 216'%3e%3ctext fill='%23fff' style='font: 900 16px sans-serif' text-anchor='end' transform='matrix(0 -1 1 0 18 5)'%3eSensual%3c/text%3e%3c/svg%3e</v>
      </c>
      <c r="H465" s="8" t="s">
        <v>29</v>
      </c>
      <c r="I465" s="8">
        <f t="shared" ref="I465:J465" si="466">len(B465)</f>
        <v>7</v>
      </c>
      <c r="J465" s="8">
        <f t="shared" si="466"/>
        <v>28</v>
      </c>
      <c r="K465" s="8" t="s">
        <v>1327</v>
      </c>
    </row>
    <row r="466">
      <c r="A466" s="7" t="b">
        <v>1</v>
      </c>
      <c r="B466" s="8" t="s">
        <v>1328</v>
      </c>
      <c r="C466" s="8" t="s">
        <v>1329</v>
      </c>
      <c r="D466" s="8" t="str">
        <f>Q&amp;$K466&amp;Q&amp;":{"&amp;Q&amp;$B$2&amp;Q&amp;":"&amp;Q&amp;$B466&amp;Q&amp;","&amp;Q&amp;$C$2&amp;Q&amp;":"&amp;Q&amp;$C466&amp;Q&amp;","&amp;Q&amp;"sets"&amp;Q&amp;":"&amp;Q&amp;substitute(SUBSTITUTE($H466,"[",""),"]","")&amp;Q&amp;"},"</f>
        <v>"nxjm":{"label":"Serious","extra":"(important, thoughtful) ","sets":"Junior 9+ (1st) &amp; (2nd)"},</v>
      </c>
      <c r="E466" s="9" t="str">
        <f t="shared" si="2"/>
        <v>data:image/svg+xml,%3csvg xmlns='http://www.w3.org/2000/svg' viewBox='0 0 24 216'%3e%3ctext fill='%23fff' style='font: 900 16px sans-serif' text-anchor='end' transform='matrix(0 -1 1 0 18 5)'%3eSerious%3c/text%3e%3c/svg%3e</v>
      </c>
      <c r="F466" s="10" t="str">
        <f t="shared" si="3"/>
        <v>https://svgtext.heliohost.us/cgi-bin/gen.perl?text=Serious</v>
      </c>
      <c r="G466" s="11" t="str">
        <f t="shared" si="4"/>
        <v>data:image/svg+xml,%3csvg xmlns='http://www.w3.org/2000/svg' viewBox='0 0 24 216'%3e%3ctext fill='%23fff' style='font: 900 16px sans-serif' text-anchor='end' transform='matrix(0 -1 1 0 18 5)'%3eSerious%3c/text%3e%3c/svg%3e</v>
      </c>
      <c r="H466" s="8" t="s">
        <v>42</v>
      </c>
      <c r="I466" s="8">
        <f t="shared" ref="I466:J466" si="467">len(B466)</f>
        <v>7</v>
      </c>
      <c r="J466" s="8">
        <f t="shared" si="467"/>
        <v>24</v>
      </c>
      <c r="K466" s="8" t="s">
        <v>1330</v>
      </c>
    </row>
    <row r="467">
      <c r="A467" s="7" t="b">
        <v>0</v>
      </c>
      <c r="B467" s="8" t="s">
        <v>1331</v>
      </c>
      <c r="C467" s="8" t="s">
        <v>1332</v>
      </c>
      <c r="D467" s="8" t="str">
        <f>Q&amp;$K467&amp;Q&amp;":{"&amp;Q&amp;$B$2&amp;Q&amp;":"&amp;Q&amp;$B467&amp;Q&amp;","&amp;Q&amp;$C$2&amp;Q&amp;":"&amp;Q&amp;$C467&amp;Q&amp;","&amp;Q&amp;"sets"&amp;Q&amp;":"&amp;Q&amp;substitute(SUBSTITUTE($H467,"[",""),"]","")&amp;Q&amp;"},"</f>
        <v>"rukl":{"label":"Sexy","extra":"(arousing, appealing, seductive) ","sets":"Basic Set, Party Set"},</v>
      </c>
      <c r="E467" s="9" t="str">
        <f t="shared" si="2"/>
        <v>data:image/svg+xml,%3csvg xmlns='http://www.w3.org/2000/svg' viewBox='0 0 24 216'%3e%3ctext fill='%23fff' style='font: 900 16px sans-serif' text-anchor='end' transform='matrix(0 -1 1 0 18 5)'%3eSexy%3c/text%3e%3c/svg%3e</v>
      </c>
      <c r="F467" s="10" t="str">
        <f t="shared" si="3"/>
        <v>https://svgtext.heliohost.us/cgi-bin/gen.perl?text=Sexy</v>
      </c>
      <c r="G467" s="11" t="str">
        <f t="shared" si="4"/>
        <v>data:image/svg+xml,%3csvg xmlns='http://www.w3.org/2000/svg' viewBox='0 0 24 216'%3e%3ctext fill='%23fff' style='font: 900 16px sans-serif' text-anchor='end' transform='matrix(0 -1 1 0 18 5)'%3eSexy%3c/text%3e%3c/svg%3e</v>
      </c>
      <c r="H467" s="8" t="s">
        <v>29</v>
      </c>
      <c r="I467" s="8">
        <f t="shared" ref="I467:J467" si="468">len(B467)</f>
        <v>4</v>
      </c>
      <c r="J467" s="8">
        <f t="shared" si="468"/>
        <v>33</v>
      </c>
      <c r="K467" s="8" t="s">
        <v>1333</v>
      </c>
    </row>
    <row r="468">
      <c r="A468" s="7" t="b">
        <v>0</v>
      </c>
      <c r="B468" s="8" t="s">
        <v>1334</v>
      </c>
      <c r="C468" s="8" t="s">
        <v>1335</v>
      </c>
      <c r="D468" s="8" t="str">
        <f>Q&amp;$K468&amp;Q&amp;":{"&amp;Q&amp;$B$2&amp;Q&amp;":"&amp;Q&amp;$B468&amp;Q&amp;","&amp;Q&amp;$C$2&amp;Q&amp;":"&amp;Q&amp;$C468&amp;Q&amp;","&amp;Q&amp;"sets"&amp;Q&amp;":"&amp;Q&amp;substitute(SUBSTITUTE($H468,"[",""),"]","")&amp;Q&amp;"},"</f>
        <v>"asyg":{"label":"Shaggy","extra":"(bushy, stringy) ","sets":"Junior"},</v>
      </c>
      <c r="E468" s="9" t="str">
        <f t="shared" si="2"/>
        <v>data:image/svg+xml,%3csvg xmlns='http://www.w3.org/2000/svg' viewBox='0 0 24 216'%3e%3ctext fill='%23fff' style='font: 900 16px sans-serif' text-anchor='end' transform='matrix(0 -1 1 0 18 5)'%3eShaggy%3c/text%3e%3c/svg%3e</v>
      </c>
      <c r="F468" s="10" t="str">
        <f t="shared" si="3"/>
        <v>https://svgtext.heliohost.us/cgi-bin/gen.perl?text=Shaggy</v>
      </c>
      <c r="G468" s="11" t="str">
        <f t="shared" si="4"/>
        <v>data:image/svg+xml,%3csvg xmlns='http://www.w3.org/2000/svg' viewBox='0 0 24 216'%3e%3ctext fill='%23fff' style='font: 900 16px sans-serif' text-anchor='end' transform='matrix(0 -1 1 0 18 5)'%3eShaggy%3c/text%3e%3c/svg%3e</v>
      </c>
      <c r="H468" s="8" t="s">
        <v>84</v>
      </c>
      <c r="I468" s="8">
        <f t="shared" ref="I468:J468" si="469">len(B468)</f>
        <v>6</v>
      </c>
      <c r="J468" s="8">
        <f t="shared" si="469"/>
        <v>17</v>
      </c>
      <c r="K468" s="8" t="s">
        <v>1336</v>
      </c>
    </row>
    <row r="469">
      <c r="A469" s="7" t="b">
        <v>0</v>
      </c>
      <c r="B469" s="8" t="s">
        <v>1337</v>
      </c>
      <c r="C469" s="8" t="s">
        <v>1338</v>
      </c>
      <c r="D469" s="8" t="str">
        <f>Q&amp;$K469&amp;Q&amp;":{"&amp;Q&amp;$B$2&amp;Q&amp;":"&amp;Q&amp;$B469&amp;Q&amp;","&amp;Q&amp;$C$2&amp;Q&amp;":"&amp;Q&amp;$C469&amp;Q&amp;","&amp;Q&amp;"sets"&amp;Q&amp;":"&amp;Q&amp;substitute(SUBSTITUTE($H469,"[",""),"]","")&amp;Q&amp;"},"</f>
        <v>"vvhl":{"label":"Shallow","extra":"(superficial, trivial, not deep) ","sets":"Expansion Set 2, Party Set"},</v>
      </c>
      <c r="E469" s="9" t="str">
        <f t="shared" si="2"/>
        <v>data:image/svg+xml,%3csvg xmlns='http://www.w3.org/2000/svg' viewBox='0 0 24 216'%3e%3ctext fill='%23fff' style='font: 900 16px sans-serif' text-anchor='end' transform='matrix(0 -1 1 0 18 5)'%3eShallow%3c/text%3e%3c/svg%3e</v>
      </c>
      <c r="F469" s="10" t="str">
        <f t="shared" si="3"/>
        <v>https://svgtext.heliohost.us/cgi-bin/gen.perl?text=Shallow</v>
      </c>
      <c r="G469" s="11" t="str">
        <f t="shared" si="4"/>
        <v>data:image/svg+xml,%3csvg xmlns='http://www.w3.org/2000/svg' viewBox='0 0 24 216'%3e%3ctext fill='%23fff' style='font: 900 16px sans-serif' text-anchor='end' transform='matrix(0 -1 1 0 18 5)'%3eShallow%3c/text%3e%3c/svg%3e</v>
      </c>
      <c r="H469" s="8" t="s">
        <v>17</v>
      </c>
      <c r="I469" s="8">
        <f t="shared" ref="I469:J469" si="470">len(B469)</f>
        <v>7</v>
      </c>
      <c r="J469" s="8">
        <f t="shared" si="470"/>
        <v>33</v>
      </c>
      <c r="K469" s="8" t="s">
        <v>1339</v>
      </c>
    </row>
    <row r="470">
      <c r="A470" s="7" t="b">
        <v>1</v>
      </c>
      <c r="B470" s="8" t="s">
        <v>1340</v>
      </c>
      <c r="C470" s="8" t="s">
        <v>1341</v>
      </c>
      <c r="D470" s="8" t="str">
        <f>Q&amp;$K470&amp;Q&amp;":{"&amp;Q&amp;$B$2&amp;Q&amp;":"&amp;Q&amp;$B470&amp;Q&amp;","&amp;Q&amp;$C$2&amp;Q&amp;":"&amp;Q&amp;$C470&amp;Q&amp;","&amp;Q&amp;"sets"&amp;Q&amp;":"&amp;Q&amp;substitute(SUBSTITUTE($H470,"[",""),"]","")&amp;Q&amp;"},"</f>
        <v>"uwtx":{"label":"Sharp","extra":"(pointed, keen, acute) ","sets":"Expansion Set 2, Party Set"},</v>
      </c>
      <c r="E470" s="9" t="str">
        <f t="shared" si="2"/>
        <v>data:image/svg+xml,%3csvg xmlns='http://www.w3.org/2000/svg' viewBox='0 0 24 216'%3e%3ctext fill='%23fff' style='font: 900 16px sans-serif' text-anchor='end' transform='matrix(0 -1 1 0 18 5)'%3eSharp%3c/text%3e%3c/svg%3e</v>
      </c>
      <c r="F470" s="10" t="str">
        <f t="shared" si="3"/>
        <v>https://svgtext.heliohost.us/cgi-bin/gen.perl?text=Sharp</v>
      </c>
      <c r="G470" s="11" t="str">
        <f t="shared" si="4"/>
        <v>data:image/svg+xml,%3csvg xmlns='http://www.w3.org/2000/svg' viewBox='0 0 24 216'%3e%3ctext fill='%23fff' style='font: 900 16px sans-serif' text-anchor='end' transform='matrix(0 -1 1 0 18 5)'%3eSharp%3c/text%3e%3c/svg%3e</v>
      </c>
      <c r="H470" s="8" t="s">
        <v>17</v>
      </c>
      <c r="I470" s="8">
        <f t="shared" ref="I470:J470" si="471">len(B470)</f>
        <v>5</v>
      </c>
      <c r="J470" s="8">
        <f t="shared" si="471"/>
        <v>23</v>
      </c>
      <c r="K470" s="8" t="s">
        <v>1342</v>
      </c>
    </row>
    <row r="471">
      <c r="A471" s="7" t="b">
        <v>0</v>
      </c>
      <c r="B471" s="8" t="s">
        <v>1340</v>
      </c>
      <c r="C471" s="8" t="s">
        <v>1343</v>
      </c>
      <c r="D471" s="8" t="str">
        <f>Q&amp;$K471&amp;Q&amp;":{"&amp;Q&amp;$B$2&amp;Q&amp;":"&amp;Q&amp;$B471&amp;Q&amp;","&amp;Q&amp;$C$2&amp;Q&amp;":"&amp;Q&amp;$C471&amp;Q&amp;","&amp;Q&amp;"sets"&amp;Q&amp;":"&amp;Q&amp;substitute(SUBSTITUTE($H471,"[",""),"]","")&amp;Q&amp;"},"</f>
        <v>"uomg":{"label":"Sharp","extra":"(pointed, not rounded) ","sets":"Junior"},</v>
      </c>
      <c r="E471" s="9" t="str">
        <f t="shared" si="2"/>
        <v>data:image/svg+xml,%3csvg xmlns='http://www.w3.org/2000/svg' viewBox='0 0 24 216'%3e%3ctext fill='%23fff' style='font: 900 16px sans-serif' text-anchor='end' transform='matrix(0 -1 1 0 18 5)'%3eSharp%3c/text%3e%3c/svg%3e</v>
      </c>
      <c r="F471" s="10" t="str">
        <f t="shared" si="3"/>
        <v>https://svgtext.heliohost.us/cgi-bin/gen.perl?text=Sharp</v>
      </c>
      <c r="G471" s="11" t="str">
        <f t="shared" si="4"/>
        <v>data:image/svg+xml,%3csvg xmlns='http://www.w3.org/2000/svg' viewBox='0 0 24 216'%3e%3ctext fill='%23fff' style='font: 900 16px sans-serif' text-anchor='end' transform='matrix(0 -1 1 0 18 5)'%3eSharp%3c/text%3e%3c/svg%3e</v>
      </c>
      <c r="H471" s="8" t="s">
        <v>84</v>
      </c>
      <c r="I471" s="8">
        <f t="shared" ref="I471:J471" si="472">len(B471)</f>
        <v>5</v>
      </c>
      <c r="J471" s="8">
        <f t="shared" si="472"/>
        <v>23</v>
      </c>
      <c r="K471" s="8" t="s">
        <v>1344</v>
      </c>
    </row>
    <row r="472">
      <c r="A472" s="7" t="b">
        <v>0</v>
      </c>
      <c r="B472" s="8" t="s">
        <v>1345</v>
      </c>
      <c r="C472" s="8" t="s">
        <v>1346</v>
      </c>
      <c r="D472" s="8" t="str">
        <f>Q&amp;$K472&amp;Q&amp;":{"&amp;Q&amp;$B$2&amp;Q&amp;":"&amp;Q&amp;$B472&amp;Q&amp;","&amp;Q&amp;$C$2&amp;Q&amp;":"&amp;Q&amp;$C472&amp;Q&amp;","&amp;Q&amp;"sets"&amp;Q&amp;":"&amp;Q&amp;substitute(SUBSTITUTE($H472,"[",""),"]","")&amp;Q&amp;"},"</f>
        <v>"vwqf":{"label":"Shiny","extra":"(reflective, gleaming, polished) ","sets":"Expansion Set 1, Party Set"},</v>
      </c>
      <c r="E472" s="9" t="str">
        <f t="shared" si="2"/>
        <v>data:image/svg+xml,%3csvg xmlns='http://www.w3.org/2000/svg' viewBox='0 0 24 216'%3e%3ctext fill='%23fff' style='font: 900 16px sans-serif' text-anchor='end' transform='matrix(0 -1 1 0 18 5)'%3eShiny%3c/text%3e%3c/svg%3e</v>
      </c>
      <c r="F472" s="10" t="str">
        <f t="shared" si="3"/>
        <v>https://svgtext.heliohost.us/cgi-bin/gen.perl?text=Shiny</v>
      </c>
      <c r="G472" s="11" t="str">
        <f t="shared" si="4"/>
        <v>data:image/svg+xml,%3csvg xmlns='http://www.w3.org/2000/svg' viewBox='0 0 24 216'%3e%3ctext fill='%23fff' style='font: 900 16px sans-serif' text-anchor='end' transform='matrix(0 -1 1 0 18 5)'%3eShiny%3c/text%3e%3c/svg%3e</v>
      </c>
      <c r="H472" s="8" t="s">
        <v>25</v>
      </c>
      <c r="I472" s="8">
        <f t="shared" ref="I472:J472" si="473">len(B472)</f>
        <v>5</v>
      </c>
      <c r="J472" s="8">
        <f t="shared" si="473"/>
        <v>33</v>
      </c>
      <c r="K472" s="8" t="s">
        <v>1347</v>
      </c>
    </row>
    <row r="473">
      <c r="A473" s="7" t="b">
        <v>0</v>
      </c>
      <c r="B473" s="8" t="s">
        <v>1345</v>
      </c>
      <c r="C473" s="8" t="s">
        <v>1348</v>
      </c>
      <c r="D473" s="8" t="str">
        <f>Q&amp;$K473&amp;Q&amp;":{"&amp;Q&amp;$B$2&amp;Q&amp;":"&amp;Q&amp;$B473&amp;Q&amp;","&amp;Q&amp;$C$2&amp;Q&amp;":"&amp;Q&amp;$C473&amp;Q&amp;","&amp;Q&amp;"sets"&amp;Q&amp;":"&amp;Q&amp;substitute(SUBSTITUTE($H473,"[",""),"]","")&amp;Q&amp;"},"</f>
        <v>"pkew":{"label":"Shiny","extra":"(bright, glossy) ","sets":"Junior"},</v>
      </c>
      <c r="E473" s="9" t="str">
        <f t="shared" si="2"/>
        <v>data:image/svg+xml,%3csvg xmlns='http://www.w3.org/2000/svg' viewBox='0 0 24 216'%3e%3ctext fill='%23fff' style='font: 900 16px sans-serif' text-anchor='end' transform='matrix(0 -1 1 0 18 5)'%3eShiny%3c/text%3e%3c/svg%3e</v>
      </c>
      <c r="F473" s="10" t="str">
        <f t="shared" si="3"/>
        <v>https://svgtext.heliohost.us/cgi-bin/gen.perl?text=Shiny</v>
      </c>
      <c r="G473" s="11" t="str">
        <f t="shared" si="4"/>
        <v>data:image/svg+xml,%3csvg xmlns='http://www.w3.org/2000/svg' viewBox='0 0 24 216'%3e%3ctext fill='%23fff' style='font: 900 16px sans-serif' text-anchor='end' transform='matrix(0 -1 1 0 18 5)'%3eShiny%3c/text%3e%3c/svg%3e</v>
      </c>
      <c r="H473" s="8" t="s">
        <v>84</v>
      </c>
      <c r="I473" s="8">
        <f t="shared" ref="I473:J473" si="474">len(B473)</f>
        <v>5</v>
      </c>
      <c r="J473" s="8">
        <f t="shared" si="474"/>
        <v>17</v>
      </c>
      <c r="K473" s="8" t="s">
        <v>1349</v>
      </c>
    </row>
    <row r="474">
      <c r="A474" s="7" t="b">
        <v>0</v>
      </c>
      <c r="B474" s="8" t="s">
        <v>1350</v>
      </c>
      <c r="C474" s="8" t="s">
        <v>1351</v>
      </c>
      <c r="D474" s="8" t="str">
        <f>Q&amp;$K474&amp;Q&amp;":{"&amp;Q&amp;$B$2&amp;Q&amp;":"&amp;Q&amp;$B474&amp;Q&amp;","&amp;Q&amp;$C$2&amp;Q&amp;":"&amp;Q&amp;$C474&amp;Q&amp;","&amp;Q&amp;"sets"&amp;Q&amp;":"&amp;Q&amp;substitute(SUBSTITUTE($H474,"[",""),"]","")&amp;Q&amp;"},"</f>
        <v>"crno":{"label":"Shocking","extra":"(frightening, electrifying, startling) ","sets":"Expansion Set 1, Party Set"},</v>
      </c>
      <c r="E474" s="9" t="str">
        <f t="shared" si="2"/>
        <v>data:image/svg+xml,%3csvg xmlns='http://www.w3.org/2000/svg' viewBox='0 0 24 216'%3e%3ctext fill='%23fff' style='font: 900 16px sans-serif' text-anchor='end' transform='matrix(0 -1 1 0 18 5)'%3eShocking%3c/text%3e%3c/svg%3e</v>
      </c>
      <c r="F474" s="10" t="str">
        <f t="shared" si="3"/>
        <v>https://svgtext.heliohost.us/cgi-bin/gen.perl?text=Shocking</v>
      </c>
      <c r="G474" s="11" t="str">
        <f t="shared" si="4"/>
        <v>data:image/svg+xml,%3csvg xmlns='http://www.w3.org/2000/svg' viewBox='0 0 24 216'%3e%3ctext fill='%23fff' style='font: 900 16px sans-serif' text-anchor='end' transform='matrix(0 -1 1 0 18 5)'%3eShocking%3c/text%3e%3c/svg%3e</v>
      </c>
      <c r="H474" s="8" t="s">
        <v>25</v>
      </c>
      <c r="I474" s="8">
        <f t="shared" ref="I474:J474" si="475">len(B474)</f>
        <v>8</v>
      </c>
      <c r="J474" s="8">
        <f t="shared" si="475"/>
        <v>39</v>
      </c>
      <c r="K474" s="8" t="s">
        <v>1352</v>
      </c>
    </row>
    <row r="475">
      <c r="A475" s="7" t="b">
        <v>0</v>
      </c>
      <c r="B475" s="8" t="s">
        <v>1353</v>
      </c>
      <c r="C475" s="8" t="s">
        <v>1354</v>
      </c>
      <c r="D475" s="8" t="str">
        <f>Q&amp;$K475&amp;Q&amp;":{"&amp;Q&amp;$B$2&amp;Q&amp;":"&amp;Q&amp;$B475&amp;Q&amp;","&amp;Q&amp;$C$2&amp;Q&amp;":"&amp;Q&amp;$C475&amp;Q&amp;","&amp;Q&amp;"sets"&amp;Q&amp;":"&amp;Q&amp;substitute(SUBSTITUTE($H475,"[",""),"]","")&amp;Q&amp;"},"</f>
        <v>"tidf":{"label":"Short","extra":"(not long, not tall) ","sets":"Junior"},</v>
      </c>
      <c r="E475" s="9" t="str">
        <f t="shared" si="2"/>
        <v>data:image/svg+xml,%3csvg xmlns='http://www.w3.org/2000/svg' viewBox='0 0 24 216'%3e%3ctext fill='%23fff' style='font: 900 16px sans-serif' text-anchor='end' transform='matrix(0 -1 1 0 18 5)'%3eShort%3c/text%3e%3c/svg%3e</v>
      </c>
      <c r="F475" s="10" t="str">
        <f t="shared" si="3"/>
        <v>https://svgtext.heliohost.us/cgi-bin/gen.perl?text=Short</v>
      </c>
      <c r="G475" s="11" t="str">
        <f t="shared" si="4"/>
        <v>data:image/svg+xml,%3csvg xmlns='http://www.w3.org/2000/svg' viewBox='0 0 24 216'%3e%3ctext fill='%23fff' style='font: 900 16px sans-serif' text-anchor='end' transform='matrix(0 -1 1 0 18 5)'%3eShort%3c/text%3e%3c/svg%3e</v>
      </c>
      <c r="H475" s="8" t="s">
        <v>84</v>
      </c>
      <c r="I475" s="8">
        <f t="shared" ref="I475:J475" si="476">len(B475)</f>
        <v>5</v>
      </c>
      <c r="J475" s="8">
        <f t="shared" si="476"/>
        <v>21</v>
      </c>
      <c r="K475" s="8" t="s">
        <v>1355</v>
      </c>
    </row>
    <row r="476">
      <c r="A476" s="7" t="b">
        <v>1</v>
      </c>
      <c r="B476" s="8" t="s">
        <v>1356</v>
      </c>
      <c r="C476" s="8" t="s">
        <v>1357</v>
      </c>
      <c r="D476" s="8" t="str">
        <f>Q&amp;$K476&amp;Q&amp;":{"&amp;Q&amp;$B$2&amp;Q&amp;":"&amp;Q&amp;$B476&amp;Q&amp;","&amp;Q&amp;$C$2&amp;Q&amp;":"&amp;Q&amp;$C476&amp;Q&amp;","&amp;Q&amp;"sets"&amp;Q&amp;":"&amp;Q&amp;substitute(SUBSTITUTE($H476,"[",""),"]","")&amp;Q&amp;"},"</f>
        <v>"dbmy":{"label":"Short &amp; Stout","extra":"(plump, portly, tubby) ","sets":"Expansion Set 4, Party Expansion 1"},</v>
      </c>
      <c r="E476" s="9" t="str">
        <f t="shared" si="2"/>
        <v>data:image/svg+xml,%3csvg xmlns='http://www.w3.org/2000/svg' viewBox='0 0 24 216'%3e%3ctext fill='%23fff' style='font: 900 16px sans-serif' text-anchor='end' transform='matrix(0 -1 1 0 18 5)'%3eShort %26amp%3B Stout%3c/text%3e%3c/svg%3e</v>
      </c>
      <c r="F476" s="10" t="str">
        <f t="shared" si="3"/>
        <v>https://svgtext.heliohost.us/cgi-bin/gen.perl?text=Short%20%26%20Stout</v>
      </c>
      <c r="G476" s="11" t="str">
        <f t="shared" si="4"/>
        <v>data:image/svg+xml,%3csvg xmlns='http://www.w3.org/2000/svg' viewBox='0 0 24 216'%3e%3ctext fill='%23fff' style='font: 900 16px sans-serif' text-anchor='end' transform='matrix(0 -1 1 0 18 5)'%3eShort %26amp%3B Stout%3c/text%3e%3c/svg%3e</v>
      </c>
      <c r="H476" s="8" t="s">
        <v>63</v>
      </c>
      <c r="I476" s="8">
        <f t="shared" ref="I476:J476" si="477">len(B476)</f>
        <v>13</v>
      </c>
      <c r="J476" s="8">
        <f t="shared" si="477"/>
        <v>23</v>
      </c>
      <c r="K476" s="8" t="s">
        <v>1358</v>
      </c>
    </row>
    <row r="477">
      <c r="A477" s="7" t="b">
        <v>1</v>
      </c>
      <c r="B477" s="8" t="s">
        <v>1359</v>
      </c>
      <c r="C477" s="8" t="s">
        <v>1360</v>
      </c>
      <c r="D477" s="8" t="str">
        <f>Q&amp;$K477&amp;Q&amp;":{"&amp;Q&amp;$B$2&amp;Q&amp;":"&amp;Q&amp;$B477&amp;Q&amp;","&amp;Q&amp;$C$2&amp;Q&amp;":"&amp;Q&amp;$C477&amp;Q&amp;","&amp;Q&amp;"sets"&amp;Q&amp;":"&amp;Q&amp;substitute(SUBSTITUTE($H477,"[",""),"]","")&amp;Q&amp;"},"</f>
        <v>"jlpd":{"label":"Short &amp; Sweet","extra":"(precise, clear-cut, succinct) ","sets":"Expansion Set 4, Party Expansion 1"},</v>
      </c>
      <c r="E477" s="9" t="str">
        <f t="shared" si="2"/>
        <v>data:image/svg+xml,%3csvg xmlns='http://www.w3.org/2000/svg' viewBox='0 0 24 216'%3e%3ctext fill='%23fff' style='font: 900 16px sans-serif' text-anchor='end' transform='matrix(0 -1 1 0 18 5)'%3eShort %26amp%3B Sweet%3c/text%3e%3c/svg%3e</v>
      </c>
      <c r="F477" s="10" t="str">
        <f t="shared" si="3"/>
        <v>https://svgtext.heliohost.us/cgi-bin/gen.perl?text=Short%20%26%20Sweet</v>
      </c>
      <c r="G477" s="11" t="str">
        <f t="shared" si="4"/>
        <v>data:image/svg+xml,%3csvg xmlns='http://www.w3.org/2000/svg' viewBox='0 0 24 216'%3e%3ctext fill='%23fff' style='font: 900 16px sans-serif' text-anchor='end' transform='matrix(0 -1 1 0 18 5)'%3eShort %26amp%3B Sweet%3c/text%3e%3c/svg%3e</v>
      </c>
      <c r="H477" s="8" t="s">
        <v>63</v>
      </c>
      <c r="I477" s="8">
        <f t="shared" ref="I477:J477" si="478">len(B477)</f>
        <v>13</v>
      </c>
      <c r="J477" s="8">
        <f t="shared" si="478"/>
        <v>31</v>
      </c>
      <c r="K477" s="8" t="s">
        <v>1361</v>
      </c>
    </row>
    <row r="478">
      <c r="A478" s="7" t="b">
        <v>0</v>
      </c>
      <c r="B478" s="8" t="s">
        <v>1362</v>
      </c>
      <c r="C478" s="8" t="s">
        <v>1363</v>
      </c>
      <c r="D478" s="8" t="str">
        <f>Q&amp;$K478&amp;Q&amp;":{"&amp;Q&amp;$B$2&amp;Q&amp;":"&amp;Q&amp;$B478&amp;Q&amp;","&amp;Q&amp;$C$2&amp;Q&amp;":"&amp;Q&amp;$C478&amp;Q&amp;","&amp;Q&amp;"sets"&amp;Q&amp;":"&amp;Q&amp;substitute(SUBSTITUTE($H478,"[",""),"]","")&amp;Q&amp;"},"</f>
        <v>"fbuy":{"label":"Shy","extra":"(bashful, timid, cautious) ","sets":"Expansion Set 1, Party Set"},</v>
      </c>
      <c r="E478" s="9" t="str">
        <f t="shared" si="2"/>
        <v>data:image/svg+xml,%3csvg xmlns='http://www.w3.org/2000/svg' viewBox='0 0 24 216'%3e%3ctext fill='%23fff' style='font: 900 16px sans-serif' text-anchor='end' transform='matrix(0 -1 1 0 18 5)'%3eShy%3c/text%3e%3c/svg%3e</v>
      </c>
      <c r="F478" s="10" t="str">
        <f t="shared" si="3"/>
        <v>https://svgtext.heliohost.us/cgi-bin/gen.perl?text=Shy</v>
      </c>
      <c r="G478" s="11" t="str">
        <f t="shared" si="4"/>
        <v>data:image/svg+xml,%3csvg xmlns='http://www.w3.org/2000/svg' viewBox='0 0 24 216'%3e%3ctext fill='%23fff' style='font: 900 16px sans-serif' text-anchor='end' transform='matrix(0 -1 1 0 18 5)'%3eShy%3c/text%3e%3c/svg%3e</v>
      </c>
      <c r="H478" s="8" t="s">
        <v>25</v>
      </c>
      <c r="I478" s="8">
        <f t="shared" ref="I478:J478" si="479">len(B478)</f>
        <v>3</v>
      </c>
      <c r="J478" s="8">
        <f t="shared" si="479"/>
        <v>27</v>
      </c>
      <c r="K478" s="8" t="s">
        <v>1364</v>
      </c>
    </row>
    <row r="479">
      <c r="A479" s="7" t="b">
        <v>0</v>
      </c>
      <c r="B479" s="8" t="s">
        <v>1362</v>
      </c>
      <c r="C479" s="8" t="s">
        <v>1365</v>
      </c>
      <c r="D479" s="8" t="str">
        <f>Q&amp;$K479&amp;Q&amp;":{"&amp;Q&amp;$B$2&amp;Q&amp;":"&amp;Q&amp;$B479&amp;Q&amp;","&amp;Q&amp;$C$2&amp;Q&amp;":"&amp;Q&amp;$C479&amp;Q&amp;","&amp;Q&amp;"sets"&amp;Q&amp;":"&amp;Q&amp;substitute(SUBSTITUTE($H479,"[",""),"]","")&amp;Q&amp;"},"</f>
        <v>"xsll":{"label":"Shy","extra":"(bashful, timid) ","sets":"Junior 9+ (2nd)"},</v>
      </c>
      <c r="E479" s="9" t="str">
        <f t="shared" si="2"/>
        <v>data:image/svg+xml,%3csvg xmlns='http://www.w3.org/2000/svg' viewBox='0 0 24 216'%3e%3ctext fill='%23fff' style='font: 900 16px sans-serif' text-anchor='end' transform='matrix(0 -1 1 0 18 5)'%3eShy%3c/text%3e%3c/svg%3e</v>
      </c>
      <c r="F479" s="10" t="str">
        <f t="shared" si="3"/>
        <v>https://svgtext.heliohost.us/cgi-bin/gen.perl?text=Shy</v>
      </c>
      <c r="G479" s="11" t="str">
        <f t="shared" si="4"/>
        <v>data:image/svg+xml,%3csvg xmlns='http://www.w3.org/2000/svg' viewBox='0 0 24 216'%3e%3ctext fill='%23fff' style='font: 900 16px sans-serif' text-anchor='end' transform='matrix(0 -1 1 0 18 5)'%3eShy%3c/text%3e%3c/svg%3e</v>
      </c>
      <c r="H479" s="8" t="s">
        <v>32</v>
      </c>
      <c r="I479" s="8">
        <f t="shared" ref="I479:J479" si="480">len(B479)</f>
        <v>3</v>
      </c>
      <c r="J479" s="8">
        <f t="shared" si="480"/>
        <v>17</v>
      </c>
      <c r="K479" s="8" t="s">
        <v>1366</v>
      </c>
    </row>
    <row r="480">
      <c r="A480" s="7" t="b">
        <v>1</v>
      </c>
      <c r="B480" s="8" t="s">
        <v>1367</v>
      </c>
      <c r="C480" s="8" t="s">
        <v>1368</v>
      </c>
      <c r="D480" s="8" t="str">
        <f>Q&amp;$K480&amp;Q&amp;":{"&amp;Q&amp;$B$2&amp;Q&amp;":"&amp;Q&amp;$B480&amp;Q&amp;","&amp;Q&amp;$C$2&amp;Q&amp;":"&amp;Q&amp;$C480&amp;Q&amp;","&amp;Q&amp;"sets"&amp;Q&amp;":"&amp;Q&amp;substitute(SUBSTITUTE($H480,"[",""),"]","")&amp;Q&amp;"},"</f>
        <v>"risy":{"label":"Sick &amp; Tired","extra":"(worn out, exhausted, exasperated) ","sets":"Expansion Set 4, Party Expansion 1"},</v>
      </c>
      <c r="E480" s="9" t="str">
        <f t="shared" si="2"/>
        <v>data:image/svg+xml,%3csvg xmlns='http://www.w3.org/2000/svg' viewBox='0 0 24 216'%3e%3ctext fill='%23fff' style='font: 900 16px sans-serif' text-anchor='end' transform='matrix(0 -1 1 0 18 5)'%3eSick %26amp%3B Tired%3c/text%3e%3c/svg%3e</v>
      </c>
      <c r="F480" s="10" t="str">
        <f t="shared" si="3"/>
        <v>https://svgtext.heliohost.us/cgi-bin/gen.perl?text=Sick%20%26%20Tired</v>
      </c>
      <c r="G480" s="11" t="str">
        <f t="shared" si="4"/>
        <v>data:image/svg+xml,%3csvg xmlns='http://www.w3.org/2000/svg' viewBox='0 0 24 216'%3e%3ctext fill='%23fff' style='font: 900 16px sans-serif' text-anchor='end' transform='matrix(0 -1 1 0 18 5)'%3eSick %26amp%3B Tired%3c/text%3e%3c/svg%3e</v>
      </c>
      <c r="H480" s="8" t="s">
        <v>63</v>
      </c>
      <c r="I480" s="8">
        <f t="shared" ref="I480:J480" si="481">len(B480)</f>
        <v>12</v>
      </c>
      <c r="J480" s="8">
        <f t="shared" si="481"/>
        <v>35</v>
      </c>
      <c r="K480" s="8" t="s">
        <v>1369</v>
      </c>
    </row>
    <row r="481">
      <c r="A481" s="7" t="b">
        <v>1</v>
      </c>
      <c r="B481" s="8" t="s">
        <v>1370</v>
      </c>
      <c r="C481" s="8" t="s">
        <v>1371</v>
      </c>
      <c r="D481" s="8" t="str">
        <f>Q&amp;$K481&amp;Q&amp;":{"&amp;Q&amp;$B$2&amp;Q&amp;":"&amp;Q&amp;$B481&amp;Q&amp;","&amp;Q&amp;$C$2&amp;Q&amp;":"&amp;Q&amp;$C481&amp;Q&amp;","&amp;Q&amp;"sets"&amp;Q&amp;":"&amp;Q&amp;substitute(SUBSTITUTE($H481,"[",""),"]","")&amp;Q&amp;"},"</f>
        <v>"buyt":{"label":"Sick &amp; Twisted","extra":"(depraved, wicked, lascivious) ","sets":"Expansion Set 4, Party Expansion 1"},</v>
      </c>
      <c r="E481" s="9" t="str">
        <f t="shared" si="2"/>
        <v>data:image/svg+xml,%3csvg xmlns='http://www.w3.org/2000/svg' viewBox='0 0 24 216'%3e%3ctext fill='%23fff' style='font: 900 16px sans-serif' text-anchor='end' transform='matrix(0 -1 1 0 18 5)'%3eSick %26amp%3B Twisted%3c/text%3e%3c/svg%3e</v>
      </c>
      <c r="F481" s="10" t="str">
        <f t="shared" si="3"/>
        <v>https://svgtext.heliohost.us/cgi-bin/gen.perl?text=Sick%20%26%20Twisted</v>
      </c>
      <c r="G481" s="11" t="str">
        <f t="shared" si="4"/>
        <v>data:image/svg+xml,%3csvg xmlns='http://www.w3.org/2000/svg' viewBox='0 0 24 216'%3e%3ctext fill='%23fff' style='font: 900 16px sans-serif' text-anchor='end' transform='matrix(0 -1 1 0 18 5)'%3eSick %26amp%3B Twisted%3c/text%3e%3c/svg%3e</v>
      </c>
      <c r="H481" s="8" t="s">
        <v>63</v>
      </c>
      <c r="I481" s="8">
        <f t="shared" ref="I481:J481" si="482">len(B481)</f>
        <v>14</v>
      </c>
      <c r="J481" s="8">
        <f t="shared" si="482"/>
        <v>31</v>
      </c>
      <c r="K481" s="8" t="s">
        <v>1372</v>
      </c>
    </row>
    <row r="482">
      <c r="A482" s="7" t="b">
        <v>1</v>
      </c>
      <c r="B482" s="8" t="s">
        <v>1373</v>
      </c>
      <c r="C482" s="8" t="s">
        <v>1374</v>
      </c>
      <c r="D482" s="8" t="str">
        <f>Q&amp;$K482&amp;Q&amp;":{"&amp;Q&amp;$B$2&amp;Q&amp;":"&amp;Q&amp;$B482&amp;Q&amp;","&amp;Q&amp;$C$2&amp;Q&amp;":"&amp;Q&amp;$C482&amp;Q&amp;","&amp;Q&amp;"sets"&amp;Q&amp;":"&amp;Q&amp;substitute(SUBSTITUTE($H482,"[",""),"]","")&amp;Q&amp;"},"</f>
        <v>"frrx":{"label":"Sickening","extra":"(nauseating, disgusting, revolting) ","sets":"Expansion Set 3, Party Expansion 1"},</v>
      </c>
      <c r="E482" s="9" t="str">
        <f t="shared" si="2"/>
        <v>data:image/svg+xml,%3csvg xmlns='http://www.w3.org/2000/svg' viewBox='0 0 24 216'%3e%3ctext fill='%23fff' style='font: 900 16px sans-serif' text-anchor='end' transform='matrix(0 -1 1 0 18 5)'%3eSickening%3c/text%3e%3c/svg%3e</v>
      </c>
      <c r="F482" s="10" t="str">
        <f t="shared" si="3"/>
        <v>https://svgtext.heliohost.us/cgi-bin/gen.perl?text=Sickening</v>
      </c>
      <c r="G482" s="11" t="str">
        <f t="shared" si="4"/>
        <v>data:image/svg+xml,%3csvg xmlns='http://www.w3.org/2000/svg' viewBox='0 0 24 216'%3e%3ctext fill='%23fff' style='font: 900 16px sans-serif' text-anchor='end' transform='matrix(0 -1 1 0 18 5)'%3eSickening%3c/text%3e%3c/svg%3e</v>
      </c>
      <c r="H482" s="8" t="s">
        <v>39</v>
      </c>
      <c r="I482" s="8">
        <f t="shared" ref="I482:J482" si="483">len(B482)</f>
        <v>9</v>
      </c>
      <c r="J482" s="8">
        <f t="shared" si="483"/>
        <v>36</v>
      </c>
      <c r="K482" s="8" t="s">
        <v>1375</v>
      </c>
    </row>
    <row r="483">
      <c r="A483" s="7" t="b">
        <v>1</v>
      </c>
      <c r="B483" s="8" t="s">
        <v>1373</v>
      </c>
      <c r="C483" s="8" t="s">
        <v>1376</v>
      </c>
      <c r="D483" s="8" t="str">
        <f>Q&amp;$K483&amp;Q&amp;":{"&amp;Q&amp;$B$2&amp;Q&amp;":"&amp;Q&amp;$B483&amp;Q&amp;","&amp;Q&amp;$C$2&amp;Q&amp;":"&amp;Q&amp;$C483&amp;Q&amp;","&amp;Q&amp;"sets"&amp;Q&amp;":"&amp;Q&amp;substitute(SUBSTITUTE($H483,"[",""),"]","")&amp;Q&amp;"},"</f>
        <v>"tuid":{"label":"Sickening","extra":"(disgusting, horrible) ","sets":"Junior 9+ (2nd)"},</v>
      </c>
      <c r="E483" s="9" t="str">
        <f t="shared" si="2"/>
        <v>data:image/svg+xml,%3csvg xmlns='http://www.w3.org/2000/svg' viewBox='0 0 24 216'%3e%3ctext fill='%23fff' style='font: 900 16px sans-serif' text-anchor='end' transform='matrix(0 -1 1 0 18 5)'%3eSickening%3c/text%3e%3c/svg%3e</v>
      </c>
      <c r="F483" s="10" t="str">
        <f t="shared" si="3"/>
        <v>https://svgtext.heliohost.us/cgi-bin/gen.perl?text=Sickening</v>
      </c>
      <c r="G483" s="11" t="str">
        <f t="shared" si="4"/>
        <v>data:image/svg+xml,%3csvg xmlns='http://www.w3.org/2000/svg' viewBox='0 0 24 216'%3e%3ctext fill='%23fff' style='font: 900 16px sans-serif' text-anchor='end' transform='matrix(0 -1 1 0 18 5)'%3eSickening%3c/text%3e%3c/svg%3e</v>
      </c>
      <c r="H483" s="8" t="s">
        <v>32</v>
      </c>
      <c r="I483" s="8">
        <f t="shared" ref="I483:J483" si="484">len(B483)</f>
        <v>9</v>
      </c>
      <c r="J483" s="8">
        <f t="shared" si="484"/>
        <v>23</v>
      </c>
      <c r="K483" s="8" t="s">
        <v>1377</v>
      </c>
    </row>
    <row r="484">
      <c r="A484" s="7" t="b">
        <v>0</v>
      </c>
      <c r="B484" s="8" t="s">
        <v>1378</v>
      </c>
      <c r="C484" s="8" t="s">
        <v>1379</v>
      </c>
      <c r="D484" s="8" t="str">
        <f>Q&amp;$K484&amp;Q&amp;":{"&amp;Q&amp;$B$2&amp;Q&amp;":"&amp;Q&amp;$B484&amp;Q&amp;","&amp;Q&amp;$C$2&amp;Q&amp;":"&amp;Q&amp;$C484&amp;Q&amp;","&amp;Q&amp;"sets"&amp;Q&amp;":"&amp;Q&amp;substitute(SUBSTITUTE($H484,"[",""),"]","")&amp;Q&amp;"},"</f>
        <v>"ubat":{"label":"Silent","extra":"(quiet, still) ","sets":"Junior 9+ (1st) &amp; (2nd)"},</v>
      </c>
      <c r="E484" s="9" t="str">
        <f t="shared" si="2"/>
        <v>data:image/svg+xml,%3csvg xmlns='http://www.w3.org/2000/svg' viewBox='0 0 24 216'%3e%3ctext fill='%23fff' style='font: 900 16px sans-serif' text-anchor='end' transform='matrix(0 -1 1 0 18 5)'%3eSilent%3c/text%3e%3c/svg%3e</v>
      </c>
      <c r="F484" s="10" t="str">
        <f t="shared" si="3"/>
        <v>https://svgtext.heliohost.us/cgi-bin/gen.perl?text=Silent</v>
      </c>
      <c r="G484" s="11" t="str">
        <f t="shared" si="4"/>
        <v>data:image/svg+xml,%3csvg xmlns='http://www.w3.org/2000/svg' viewBox='0 0 24 216'%3e%3ctext fill='%23fff' style='font: 900 16px sans-serif' text-anchor='end' transform='matrix(0 -1 1 0 18 5)'%3eSilent%3c/text%3e%3c/svg%3e</v>
      </c>
      <c r="H484" s="8" t="s">
        <v>42</v>
      </c>
      <c r="I484" s="8">
        <f t="shared" ref="I484:J484" si="485">len(B484)</f>
        <v>6</v>
      </c>
      <c r="J484" s="8">
        <f t="shared" si="485"/>
        <v>15</v>
      </c>
      <c r="K484" s="8" t="s">
        <v>1380</v>
      </c>
    </row>
    <row r="485">
      <c r="A485" s="7" t="b">
        <v>0</v>
      </c>
      <c r="B485" s="8" t="s">
        <v>1381</v>
      </c>
      <c r="C485" s="8" t="s">
        <v>1382</v>
      </c>
      <c r="D485" s="8" t="str">
        <f>Q&amp;$K485&amp;Q&amp;":{"&amp;Q&amp;$B$2&amp;Q&amp;":"&amp;Q&amp;$B485&amp;Q&amp;","&amp;Q&amp;$C$2&amp;Q&amp;":"&amp;Q&amp;$C485&amp;Q&amp;","&amp;Q&amp;"sets"&amp;Q&amp;":"&amp;Q&amp;substitute(SUBSTITUTE($H485,"[",""),"]","")&amp;Q&amp;"},"</f>
        <v>"fnwu":{"label":"Silky","extra":"(smooth, soft) ","sets":"Junior 9+ (1st) &amp; (2nd)"},</v>
      </c>
      <c r="E485" s="9" t="str">
        <f t="shared" si="2"/>
        <v>data:image/svg+xml,%3csvg xmlns='http://www.w3.org/2000/svg' viewBox='0 0 24 216'%3e%3ctext fill='%23fff' style='font: 900 16px sans-serif' text-anchor='end' transform='matrix(0 -1 1 0 18 5)'%3eSilky%3c/text%3e%3c/svg%3e</v>
      </c>
      <c r="F485" s="10" t="str">
        <f t="shared" si="3"/>
        <v>https://svgtext.heliohost.us/cgi-bin/gen.perl?text=Silky</v>
      </c>
      <c r="G485" s="11" t="str">
        <f t="shared" si="4"/>
        <v>data:image/svg+xml,%3csvg xmlns='http://www.w3.org/2000/svg' viewBox='0 0 24 216'%3e%3ctext fill='%23fff' style='font: 900 16px sans-serif' text-anchor='end' transform='matrix(0 -1 1 0 18 5)'%3eSilky%3c/text%3e%3c/svg%3e</v>
      </c>
      <c r="H485" s="8" t="s">
        <v>42</v>
      </c>
      <c r="I485" s="8">
        <f t="shared" ref="I485:J485" si="486">len(B485)</f>
        <v>5</v>
      </c>
      <c r="J485" s="8">
        <f t="shared" si="486"/>
        <v>15</v>
      </c>
      <c r="K485" s="8" t="s">
        <v>1383</v>
      </c>
    </row>
    <row r="486">
      <c r="A486" s="7" t="b">
        <v>0</v>
      </c>
      <c r="B486" s="8" t="s">
        <v>1384</v>
      </c>
      <c r="C486" s="8" t="s">
        <v>1385</v>
      </c>
      <c r="D486" s="8" t="str">
        <f>Q&amp;$K486&amp;Q&amp;":{"&amp;Q&amp;$B$2&amp;Q&amp;":"&amp;Q&amp;$B486&amp;Q&amp;","&amp;Q&amp;$C$2&amp;Q&amp;":"&amp;Q&amp;$C486&amp;Q&amp;","&amp;Q&amp;"sets"&amp;Q&amp;":"&amp;Q&amp;substitute(SUBSTITUTE($H486,"[",""),"]","")&amp;Q&amp;"},"</f>
        <v>"vyeu":{"label":"Silly","extra":"(goofy, absurd, nonsensical) ","sets":"Expansion Set 1, Party Set"},</v>
      </c>
      <c r="E486" s="9" t="str">
        <f t="shared" si="2"/>
        <v>data:image/svg+xml,%3csvg xmlns='http://www.w3.org/2000/svg' viewBox='0 0 24 216'%3e%3ctext fill='%23fff' style='font: 900 16px sans-serif' text-anchor='end' transform='matrix(0 -1 1 0 18 5)'%3eSilly%3c/text%3e%3c/svg%3e</v>
      </c>
      <c r="F486" s="10" t="str">
        <f t="shared" si="3"/>
        <v>https://svgtext.heliohost.us/cgi-bin/gen.perl?text=Silly</v>
      </c>
      <c r="G486" s="11" t="str">
        <f t="shared" si="4"/>
        <v>data:image/svg+xml,%3csvg xmlns='http://www.w3.org/2000/svg' viewBox='0 0 24 216'%3e%3ctext fill='%23fff' style='font: 900 16px sans-serif' text-anchor='end' transform='matrix(0 -1 1 0 18 5)'%3eSilly%3c/text%3e%3c/svg%3e</v>
      </c>
      <c r="H486" s="8" t="s">
        <v>25</v>
      </c>
      <c r="I486" s="8">
        <f t="shared" ref="I486:J486" si="487">len(B486)</f>
        <v>5</v>
      </c>
      <c r="J486" s="8">
        <f t="shared" si="487"/>
        <v>29</v>
      </c>
      <c r="K486" s="8" t="s">
        <v>1386</v>
      </c>
    </row>
    <row r="487">
      <c r="A487" s="7" t="b">
        <v>0</v>
      </c>
      <c r="B487" s="8" t="s">
        <v>1384</v>
      </c>
      <c r="C487" s="8" t="s">
        <v>1387</v>
      </c>
      <c r="D487" s="8" t="str">
        <f>Q&amp;$K487&amp;Q&amp;":{"&amp;Q&amp;$B$2&amp;Q&amp;":"&amp;Q&amp;$B487&amp;Q&amp;","&amp;Q&amp;$C$2&amp;Q&amp;":"&amp;Q&amp;$C487&amp;Q&amp;","&amp;Q&amp;"sets"&amp;Q&amp;":"&amp;Q&amp;substitute(SUBSTITUTE($H487,"[",""),"]","")&amp;Q&amp;"},"</f>
        <v>"bapo":{"label":"Silly","extra":"(foolish, goofy) ","sets":"Junior"},</v>
      </c>
      <c r="E487" s="9" t="str">
        <f t="shared" si="2"/>
        <v>data:image/svg+xml,%3csvg xmlns='http://www.w3.org/2000/svg' viewBox='0 0 24 216'%3e%3ctext fill='%23fff' style='font: 900 16px sans-serif' text-anchor='end' transform='matrix(0 -1 1 0 18 5)'%3eSilly%3c/text%3e%3c/svg%3e</v>
      </c>
      <c r="F487" s="10" t="str">
        <f t="shared" si="3"/>
        <v>https://svgtext.heliohost.us/cgi-bin/gen.perl?text=Silly</v>
      </c>
      <c r="G487" s="11" t="str">
        <f t="shared" si="4"/>
        <v>data:image/svg+xml,%3csvg xmlns='http://www.w3.org/2000/svg' viewBox='0 0 24 216'%3e%3ctext fill='%23fff' style='font: 900 16px sans-serif' text-anchor='end' transform='matrix(0 -1 1 0 18 5)'%3eSilly%3c/text%3e%3c/svg%3e</v>
      </c>
      <c r="H487" s="8" t="s">
        <v>84</v>
      </c>
      <c r="I487" s="8">
        <f t="shared" ref="I487:J487" si="488">len(B487)</f>
        <v>5</v>
      </c>
      <c r="J487" s="8">
        <f t="shared" si="488"/>
        <v>17</v>
      </c>
      <c r="K487" s="8" t="s">
        <v>1388</v>
      </c>
    </row>
    <row r="488">
      <c r="A488" s="7" t="b">
        <v>0</v>
      </c>
      <c r="B488" s="8" t="s">
        <v>1389</v>
      </c>
      <c r="C488" s="8" t="s">
        <v>1390</v>
      </c>
      <c r="D488" s="8" t="str">
        <f>Q&amp;$K488&amp;Q&amp;":{"&amp;Q&amp;$B$2&amp;Q&amp;":"&amp;Q&amp;$B488&amp;Q&amp;","&amp;Q&amp;$C$2&amp;Q&amp;":"&amp;Q&amp;$C488&amp;Q&amp;","&amp;Q&amp;"sets"&amp;Q&amp;":"&amp;Q&amp;substitute(SUBSTITUTE($H488,"[",""),"]","")&amp;Q&amp;"},"</f>
        <v>"tfkq":{"label":"Simple","extra":"(plain, easy) ","sets":"Junior 9+ (1st) &amp; (2nd)"},</v>
      </c>
      <c r="E488" s="9" t="str">
        <f t="shared" si="2"/>
        <v>data:image/svg+xml,%3csvg xmlns='http://www.w3.org/2000/svg' viewBox='0 0 24 216'%3e%3ctext fill='%23fff' style='font: 900 16px sans-serif' text-anchor='end' transform='matrix(0 -1 1 0 18 5)'%3eSimple%3c/text%3e%3c/svg%3e</v>
      </c>
      <c r="F488" s="10" t="str">
        <f t="shared" si="3"/>
        <v>https://svgtext.heliohost.us/cgi-bin/gen.perl?text=Simple</v>
      </c>
      <c r="G488" s="11" t="str">
        <f t="shared" si="4"/>
        <v>data:image/svg+xml,%3csvg xmlns='http://www.w3.org/2000/svg' viewBox='0 0 24 216'%3e%3ctext fill='%23fff' style='font: 900 16px sans-serif' text-anchor='end' transform='matrix(0 -1 1 0 18 5)'%3eSimple%3c/text%3e%3c/svg%3e</v>
      </c>
      <c r="H488" s="8" t="s">
        <v>42</v>
      </c>
      <c r="I488" s="8">
        <f t="shared" ref="I488:J488" si="489">len(B488)</f>
        <v>6</v>
      </c>
      <c r="J488" s="8">
        <f t="shared" si="489"/>
        <v>14</v>
      </c>
      <c r="K488" s="8" t="s">
        <v>1391</v>
      </c>
    </row>
    <row r="489">
      <c r="A489" s="7" t="b">
        <v>0</v>
      </c>
      <c r="B489" s="8" t="s">
        <v>1392</v>
      </c>
      <c r="C489" s="8" t="s">
        <v>1393</v>
      </c>
      <c r="D489" s="8" t="str">
        <f>Q&amp;$K489&amp;Q&amp;":{"&amp;Q&amp;$B$2&amp;Q&amp;":"&amp;Q&amp;$B489&amp;Q&amp;","&amp;Q&amp;$C$2&amp;Q&amp;":"&amp;Q&amp;$C489&amp;Q&amp;","&amp;Q&amp;"sets"&amp;Q&amp;":"&amp;Q&amp;substitute(SUBSTITUTE($H489,"[",""),"]","")&amp;Q&amp;"},"</f>
        <v>"wyfq":{"label":"Skillful","extra":"(expert, talented) ","sets":"Junior 9+ (1st) &amp; (2nd)"},</v>
      </c>
      <c r="E489" s="9" t="str">
        <f t="shared" si="2"/>
        <v>data:image/svg+xml,%3csvg xmlns='http://www.w3.org/2000/svg' viewBox='0 0 24 216'%3e%3ctext fill='%23fff' style='font: 900 16px sans-serif' text-anchor='end' transform='matrix(0 -1 1 0 18 5)'%3eSkillful%3c/text%3e%3c/svg%3e</v>
      </c>
      <c r="F489" s="10" t="str">
        <f t="shared" si="3"/>
        <v>https://svgtext.heliohost.us/cgi-bin/gen.perl?text=Skillful</v>
      </c>
      <c r="G489" s="11" t="str">
        <f t="shared" si="4"/>
        <v>data:image/svg+xml,%3csvg xmlns='http://www.w3.org/2000/svg' viewBox='0 0 24 216'%3e%3ctext fill='%23fff' style='font: 900 16px sans-serif' text-anchor='end' transform='matrix(0 -1 1 0 18 5)'%3eSkillful%3c/text%3e%3c/svg%3e</v>
      </c>
      <c r="H489" s="8" t="s">
        <v>42</v>
      </c>
      <c r="I489" s="8">
        <f t="shared" ref="I489:J489" si="490">len(B489)</f>
        <v>8</v>
      </c>
      <c r="J489" s="8">
        <f t="shared" si="490"/>
        <v>19</v>
      </c>
      <c r="K489" s="8" t="s">
        <v>1394</v>
      </c>
    </row>
    <row r="490">
      <c r="A490" s="7" t="b">
        <v>0</v>
      </c>
      <c r="B490" s="8" t="s">
        <v>1395</v>
      </c>
      <c r="C490" s="8" t="s">
        <v>1396</v>
      </c>
      <c r="D490" s="8" t="str">
        <f>Q&amp;$K490&amp;Q&amp;":{"&amp;Q&amp;$B$2&amp;Q&amp;":"&amp;Q&amp;$B490&amp;Q&amp;","&amp;Q&amp;$C$2&amp;Q&amp;":"&amp;Q&amp;$C490&amp;Q&amp;","&amp;Q&amp;"sets"&amp;Q&amp;":"&amp;Q&amp;substitute(SUBSTITUTE($H490,"[",""),"]","")&amp;Q&amp;"},"</f>
        <v>"srhd":{"label":"Skinny","extra":"(thin, lean) ","sets":"Junior"},</v>
      </c>
      <c r="E490" s="9" t="str">
        <f t="shared" si="2"/>
        <v>data:image/svg+xml,%3csvg xmlns='http://www.w3.org/2000/svg' viewBox='0 0 24 216'%3e%3ctext fill='%23fff' style='font: 900 16px sans-serif' text-anchor='end' transform='matrix(0 -1 1 0 18 5)'%3eSkinny%3c/text%3e%3c/svg%3e</v>
      </c>
      <c r="F490" s="10" t="str">
        <f t="shared" si="3"/>
        <v>https://svgtext.heliohost.us/cgi-bin/gen.perl?text=Skinny</v>
      </c>
      <c r="G490" s="11" t="str">
        <f t="shared" si="4"/>
        <v>data:image/svg+xml,%3csvg xmlns='http://www.w3.org/2000/svg' viewBox='0 0 24 216'%3e%3ctext fill='%23fff' style='font: 900 16px sans-serif' text-anchor='end' transform='matrix(0 -1 1 0 18 5)'%3eSkinny%3c/text%3e%3c/svg%3e</v>
      </c>
      <c r="H490" s="8" t="s">
        <v>84</v>
      </c>
      <c r="I490" s="8">
        <f t="shared" ref="I490:J490" si="491">len(B490)</f>
        <v>6</v>
      </c>
      <c r="J490" s="8">
        <f t="shared" si="491"/>
        <v>13</v>
      </c>
      <c r="K490" s="8" t="s">
        <v>1397</v>
      </c>
    </row>
    <row r="491">
      <c r="A491" s="7" t="b">
        <v>1</v>
      </c>
      <c r="B491" s="8" t="s">
        <v>1398</v>
      </c>
      <c r="C491" s="8" t="s">
        <v>1399</v>
      </c>
      <c r="D491" s="8" t="str">
        <f>Q&amp;$K491&amp;Q&amp;":{"&amp;Q&amp;$B$2&amp;Q&amp;":"&amp;Q&amp;$B491&amp;Q&amp;","&amp;Q&amp;$C$2&amp;Q&amp;":"&amp;Q&amp;$C491&amp;Q&amp;","&amp;Q&amp;"sets"&amp;Q&amp;":"&amp;Q&amp;substitute(SUBSTITUTE($H491,"[",""),"]","")&amp;Q&amp;"},"</f>
        <v>"kjha":{"label":"Slender","extra":"(slim, small) ","sets":"Junior 9+ (2nd)"},</v>
      </c>
      <c r="E491" s="9" t="str">
        <f t="shared" si="2"/>
        <v>data:image/svg+xml,%3csvg xmlns='http://www.w3.org/2000/svg' viewBox='0 0 24 216'%3e%3ctext fill='%23fff' style='font: 900 16px sans-serif' text-anchor='end' transform='matrix(0 -1 1 0 18 5)'%3eSlender%3c/text%3e%3c/svg%3e</v>
      </c>
      <c r="F491" s="10" t="str">
        <f t="shared" si="3"/>
        <v>https://svgtext.heliohost.us/cgi-bin/gen.perl?text=Slender</v>
      </c>
      <c r="G491" s="11" t="str">
        <f t="shared" si="4"/>
        <v>data:image/svg+xml,%3csvg xmlns='http://www.w3.org/2000/svg' viewBox='0 0 24 216'%3e%3ctext fill='%23fff' style='font: 900 16px sans-serif' text-anchor='end' transform='matrix(0 -1 1 0 18 5)'%3eSlender%3c/text%3e%3c/svg%3e</v>
      </c>
      <c r="H491" s="8" t="s">
        <v>32</v>
      </c>
      <c r="I491" s="8">
        <f t="shared" ref="I491:J491" si="492">len(B491)</f>
        <v>7</v>
      </c>
      <c r="J491" s="8">
        <f t="shared" si="492"/>
        <v>14</v>
      </c>
      <c r="K491" s="8" t="s">
        <v>1400</v>
      </c>
    </row>
    <row r="492">
      <c r="A492" s="7" t="b">
        <v>0</v>
      </c>
      <c r="B492" s="8" t="s">
        <v>1401</v>
      </c>
      <c r="C492" s="8" t="s">
        <v>1402</v>
      </c>
      <c r="D492" s="8" t="str">
        <f>Q&amp;$K492&amp;Q&amp;":{"&amp;Q&amp;$B$2&amp;Q&amp;":"&amp;Q&amp;$B492&amp;Q&amp;","&amp;Q&amp;$C$2&amp;Q&amp;":"&amp;Q&amp;$C492&amp;Q&amp;","&amp;Q&amp;"sets"&amp;Q&amp;":"&amp;Q&amp;substitute(SUBSTITUTE($H492,"[",""),"]","")&amp;Q&amp;"},"</f>
        <v>"ildo":{"label":"Slimy","extra":"(slippery, gooey) ","sets":"Junior 9+ (1st) &amp; (2nd)"},</v>
      </c>
      <c r="E492" s="9" t="str">
        <f t="shared" si="2"/>
        <v>data:image/svg+xml,%3csvg xmlns='http://www.w3.org/2000/svg' viewBox='0 0 24 216'%3e%3ctext fill='%23fff' style='font: 900 16px sans-serif' text-anchor='end' transform='matrix(0 -1 1 0 18 5)'%3eSlimy%3c/text%3e%3c/svg%3e</v>
      </c>
      <c r="F492" s="10" t="str">
        <f t="shared" si="3"/>
        <v>https://svgtext.heliohost.us/cgi-bin/gen.perl?text=Slimy</v>
      </c>
      <c r="G492" s="11" t="str">
        <f t="shared" si="4"/>
        <v>data:image/svg+xml,%3csvg xmlns='http://www.w3.org/2000/svg' viewBox='0 0 24 216'%3e%3ctext fill='%23fff' style='font: 900 16px sans-serif' text-anchor='end' transform='matrix(0 -1 1 0 18 5)'%3eSlimy%3c/text%3e%3c/svg%3e</v>
      </c>
      <c r="H492" s="8" t="s">
        <v>42</v>
      </c>
      <c r="I492" s="8">
        <f t="shared" ref="I492:J492" si="493">len(B492)</f>
        <v>5</v>
      </c>
      <c r="J492" s="8">
        <f t="shared" si="493"/>
        <v>18</v>
      </c>
      <c r="K492" s="8" t="s">
        <v>1403</v>
      </c>
    </row>
    <row r="493">
      <c r="A493" s="7" t="b">
        <v>0</v>
      </c>
      <c r="B493" s="8" t="s">
        <v>1404</v>
      </c>
      <c r="C493" s="8" t="s">
        <v>1405</v>
      </c>
      <c r="D493" s="8" t="str">
        <f>Q&amp;$K493&amp;Q&amp;":{"&amp;Q&amp;$B$2&amp;Q&amp;":"&amp;Q&amp;$B493&amp;Q&amp;","&amp;Q&amp;$C$2&amp;Q&amp;":"&amp;Q&amp;$C493&amp;Q&amp;","&amp;Q&amp;"sets"&amp;Q&amp;":"&amp;Q&amp;substitute(SUBSTITUTE($H493,"[",""),"]","")&amp;Q&amp;"},"</f>
        <v>"cram":{"label":"Slippery","extra":"(slick, sliding) ","sets":"Junior"},</v>
      </c>
      <c r="E493" s="9" t="str">
        <f t="shared" si="2"/>
        <v>data:image/svg+xml,%3csvg xmlns='http://www.w3.org/2000/svg' viewBox='0 0 24 216'%3e%3ctext fill='%23fff' style='font: 900 16px sans-serif' text-anchor='end' transform='matrix(0 -1 1 0 18 5)'%3eSlippery%3c/text%3e%3c/svg%3e</v>
      </c>
      <c r="F493" s="10" t="str">
        <f t="shared" si="3"/>
        <v>https://svgtext.heliohost.us/cgi-bin/gen.perl?text=Slippery</v>
      </c>
      <c r="G493" s="11" t="str">
        <f t="shared" si="4"/>
        <v>data:image/svg+xml,%3csvg xmlns='http://www.w3.org/2000/svg' viewBox='0 0 24 216'%3e%3ctext fill='%23fff' style='font: 900 16px sans-serif' text-anchor='end' transform='matrix(0 -1 1 0 18 5)'%3eSlippery%3c/text%3e%3c/svg%3e</v>
      </c>
      <c r="H493" s="8" t="s">
        <v>84</v>
      </c>
      <c r="I493" s="8">
        <f t="shared" ref="I493:J493" si="494">len(B493)</f>
        <v>8</v>
      </c>
      <c r="J493" s="8">
        <f t="shared" si="494"/>
        <v>17</v>
      </c>
      <c r="K493" s="8" t="s">
        <v>1406</v>
      </c>
    </row>
    <row r="494">
      <c r="A494" s="7" t="b">
        <v>0</v>
      </c>
      <c r="B494" s="8" t="s">
        <v>1407</v>
      </c>
      <c r="C494" s="8" t="s">
        <v>1408</v>
      </c>
      <c r="D494" s="8" t="str">
        <f>Q&amp;$K494&amp;Q&amp;":{"&amp;Q&amp;$B$2&amp;Q&amp;":"&amp;Q&amp;$B494&amp;Q&amp;","&amp;Q&amp;$C$2&amp;Q&amp;":"&amp;Q&amp;$C494&amp;Q&amp;","&amp;Q&amp;"sets"&amp;Q&amp;":"&amp;Q&amp;substitute(SUBSTITUTE($H494,"[",""),"]","")&amp;Q&amp;"},"</f>
        <v>"ebvj":{"label":"Sloppy","extra":"(messy, careless) ","sets":"Junior"},</v>
      </c>
      <c r="E494" s="9" t="str">
        <f t="shared" si="2"/>
        <v>data:image/svg+xml,%3csvg xmlns='http://www.w3.org/2000/svg' viewBox='0 0 24 216'%3e%3ctext fill='%23fff' style='font: 900 16px sans-serif' text-anchor='end' transform='matrix(0 -1 1 0 18 5)'%3eSloppy%3c/text%3e%3c/svg%3e</v>
      </c>
      <c r="F494" s="10" t="str">
        <f t="shared" si="3"/>
        <v>https://svgtext.heliohost.us/cgi-bin/gen.perl?text=Sloppy</v>
      </c>
      <c r="G494" s="11" t="str">
        <f t="shared" si="4"/>
        <v>data:image/svg+xml,%3csvg xmlns='http://www.w3.org/2000/svg' viewBox='0 0 24 216'%3e%3ctext fill='%23fff' style='font: 900 16px sans-serif' text-anchor='end' transform='matrix(0 -1 1 0 18 5)'%3eSloppy%3c/text%3e%3c/svg%3e</v>
      </c>
      <c r="H494" s="8" t="s">
        <v>84</v>
      </c>
      <c r="I494" s="8">
        <f t="shared" ref="I494:J494" si="495">len(B494)</f>
        <v>6</v>
      </c>
      <c r="J494" s="8">
        <f t="shared" si="495"/>
        <v>18</v>
      </c>
      <c r="K494" s="8" t="s">
        <v>1409</v>
      </c>
    </row>
    <row r="495">
      <c r="A495" s="7" t="b">
        <v>0</v>
      </c>
      <c r="B495" s="8" t="s">
        <v>1410</v>
      </c>
      <c r="C495" s="8" t="s">
        <v>1411</v>
      </c>
      <c r="D495" s="8" t="str">
        <f>Q&amp;$K495&amp;Q&amp;":{"&amp;Q&amp;$B$2&amp;Q&amp;":"&amp;Q&amp;$B495&amp;Q&amp;","&amp;Q&amp;$C$2&amp;Q&amp;":"&amp;Q&amp;$C495&amp;Q&amp;","&amp;Q&amp;"sets"&amp;Q&amp;":"&amp;Q&amp;substitute(SUBSTITUTE($H495,"[",""),"]","")&amp;Q&amp;"},"</f>
        <v>"xsdf":{"label":"Slow","extra":"(not fast, pokey) ","sets":"Junior"},</v>
      </c>
      <c r="E495" s="9" t="str">
        <f t="shared" si="2"/>
        <v>data:image/svg+xml,%3csvg xmlns='http://www.w3.org/2000/svg' viewBox='0 0 24 216'%3e%3ctext fill='%23fff' style='font: 900 16px sans-serif' text-anchor='end' transform='matrix(0 -1 1 0 18 5)'%3eSlow%3c/text%3e%3c/svg%3e</v>
      </c>
      <c r="F495" s="10" t="str">
        <f t="shared" si="3"/>
        <v>https://svgtext.heliohost.us/cgi-bin/gen.perl?text=Slow</v>
      </c>
      <c r="G495" s="11" t="str">
        <f t="shared" si="4"/>
        <v>data:image/svg+xml,%3csvg xmlns='http://www.w3.org/2000/svg' viewBox='0 0 24 216'%3e%3ctext fill='%23fff' style='font: 900 16px sans-serif' text-anchor='end' transform='matrix(0 -1 1 0 18 5)'%3eSlow%3c/text%3e%3c/svg%3e</v>
      </c>
      <c r="H495" s="8" t="s">
        <v>84</v>
      </c>
      <c r="I495" s="8">
        <f t="shared" ref="I495:J495" si="496">len(B495)</f>
        <v>4</v>
      </c>
      <c r="J495" s="8">
        <f t="shared" si="496"/>
        <v>18</v>
      </c>
      <c r="K495" s="8" t="s">
        <v>1412</v>
      </c>
    </row>
    <row r="496">
      <c r="A496" s="7" t="b">
        <v>1</v>
      </c>
      <c r="B496" s="8" t="s">
        <v>1413</v>
      </c>
      <c r="C496" s="8" t="s">
        <v>1414</v>
      </c>
      <c r="D496" s="8" t="str">
        <f>Q&amp;$K496&amp;Q&amp;":{"&amp;Q&amp;$B$2&amp;Q&amp;":"&amp;Q&amp;$B496&amp;Q&amp;","&amp;Q&amp;$C$2&amp;Q&amp;":"&amp;Q&amp;$C496&amp;Q&amp;","&amp;Q&amp;"sets"&amp;Q&amp;":"&amp;Q&amp;substitute(SUBSTITUTE($H496,"[",""),"]","")&amp;Q&amp;"},"</f>
        <v>"nmrt":{"label":"Slow &amp; Steady","extra":"(reliable, deliberate, ponderous) ","sets":"Expansion Set 4, Party Expansion 1"},</v>
      </c>
      <c r="E496" s="9" t="str">
        <f t="shared" si="2"/>
        <v>data:image/svg+xml,%3csvg xmlns='http://www.w3.org/2000/svg' viewBox='0 0 24 216'%3e%3ctext fill='%23fff' style='font: 900 16px sans-serif' text-anchor='end' transform='matrix(0 -1 1 0 18 5)'%3eSlow %26amp%3B Steady%3c/text%3e%3c/svg%3e</v>
      </c>
      <c r="F496" s="10" t="str">
        <f t="shared" si="3"/>
        <v>https://svgtext.heliohost.us/cgi-bin/gen.perl?text=Slow%20%26%20Steady</v>
      </c>
      <c r="G496" s="11" t="str">
        <f t="shared" si="4"/>
        <v>data:image/svg+xml,%3csvg xmlns='http://www.w3.org/2000/svg' viewBox='0 0 24 216'%3e%3ctext fill='%23fff' style='font: 900 16px sans-serif' text-anchor='end' transform='matrix(0 -1 1 0 18 5)'%3eSlow %26amp%3B Steady%3c/text%3e%3c/svg%3e</v>
      </c>
      <c r="H496" s="8" t="s">
        <v>63</v>
      </c>
      <c r="I496" s="8">
        <f t="shared" ref="I496:J496" si="497">len(B496)</f>
        <v>13</v>
      </c>
      <c r="J496" s="8">
        <f t="shared" si="497"/>
        <v>34</v>
      </c>
      <c r="K496" s="8" t="s">
        <v>1415</v>
      </c>
    </row>
    <row r="497">
      <c r="A497" s="7" t="b">
        <v>1</v>
      </c>
      <c r="B497" s="8" t="s">
        <v>1416</v>
      </c>
      <c r="C497" s="8" t="s">
        <v>1417</v>
      </c>
      <c r="D497" s="8" t="str">
        <f>Q&amp;$K497&amp;Q&amp;":{"&amp;Q&amp;$B$2&amp;Q&amp;":"&amp;Q&amp;$B497&amp;Q&amp;","&amp;Q&amp;$C$2&amp;Q&amp;":"&amp;Q&amp;$C497&amp;Q&amp;","&amp;Q&amp;"sets"&amp;Q&amp;":"&amp;Q&amp;substitute(SUBSTITUTE($H497,"[",""),"]","")&amp;Q&amp;"},"</f>
        <v>"vrxl":{"label":"Sluggish","extra":"(inactive, lazy, slothful) ","sets":"Expansion Set 3, Party Expansion 1"},</v>
      </c>
      <c r="E497" s="9" t="str">
        <f t="shared" si="2"/>
        <v>data:image/svg+xml,%3csvg xmlns='http://www.w3.org/2000/svg' viewBox='0 0 24 216'%3e%3ctext fill='%23fff' style='font: 900 16px sans-serif' text-anchor='end' transform='matrix(0 -1 1 0 18 5)'%3eSluggish%3c/text%3e%3c/svg%3e</v>
      </c>
      <c r="F497" s="10" t="str">
        <f t="shared" si="3"/>
        <v>https://svgtext.heliohost.us/cgi-bin/gen.perl?text=Sluggish</v>
      </c>
      <c r="G497" s="11" t="str">
        <f t="shared" si="4"/>
        <v>data:image/svg+xml,%3csvg xmlns='http://www.w3.org/2000/svg' viewBox='0 0 24 216'%3e%3ctext fill='%23fff' style='font: 900 16px sans-serif' text-anchor='end' transform='matrix(0 -1 1 0 18 5)'%3eSluggish%3c/text%3e%3c/svg%3e</v>
      </c>
      <c r="H497" s="8" t="s">
        <v>39</v>
      </c>
      <c r="I497" s="8">
        <f t="shared" ref="I497:J497" si="498">len(B497)</f>
        <v>8</v>
      </c>
      <c r="J497" s="8">
        <f t="shared" si="498"/>
        <v>27</v>
      </c>
      <c r="K497" s="8" t="s">
        <v>1418</v>
      </c>
    </row>
    <row r="498">
      <c r="A498" s="7" t="b">
        <v>0</v>
      </c>
      <c r="B498" s="8" t="s">
        <v>1419</v>
      </c>
      <c r="C498" s="8" t="s">
        <v>1420</v>
      </c>
      <c r="D498" s="8" t="str">
        <f>Q&amp;$K498&amp;Q&amp;":{"&amp;Q&amp;$B$2&amp;Q&amp;":"&amp;Q&amp;$B498&amp;Q&amp;","&amp;Q&amp;$C$2&amp;Q&amp;":"&amp;Q&amp;$C498&amp;Q&amp;","&amp;Q&amp;"sets"&amp;Q&amp;":"&amp;Q&amp;substitute(SUBSTITUTE($H498,"[",""),"]","")&amp;Q&amp;"},"</f>
        <v>"vtwy":{"label":"Small","extra":"(little, not large) ","sets":"Junior"},</v>
      </c>
      <c r="E498" s="9" t="str">
        <f t="shared" si="2"/>
        <v>data:image/svg+xml,%3csvg xmlns='http://www.w3.org/2000/svg' viewBox='0 0 24 216'%3e%3ctext fill='%23fff' style='font: 900 16px sans-serif' text-anchor='end' transform='matrix(0 -1 1 0 18 5)'%3eSmall%3c/text%3e%3c/svg%3e</v>
      </c>
      <c r="F498" s="10" t="str">
        <f t="shared" si="3"/>
        <v>https://svgtext.heliohost.us/cgi-bin/gen.perl?text=Small</v>
      </c>
      <c r="G498" s="11" t="str">
        <f t="shared" si="4"/>
        <v>data:image/svg+xml,%3csvg xmlns='http://www.w3.org/2000/svg' viewBox='0 0 24 216'%3e%3ctext fill='%23fff' style='font: 900 16px sans-serif' text-anchor='end' transform='matrix(0 -1 1 0 18 5)'%3eSmall%3c/text%3e%3c/svg%3e</v>
      </c>
      <c r="H498" s="8" t="s">
        <v>84</v>
      </c>
      <c r="I498" s="8">
        <f t="shared" ref="I498:J498" si="499">len(B498)</f>
        <v>5</v>
      </c>
      <c r="J498" s="8">
        <f t="shared" si="499"/>
        <v>20</v>
      </c>
      <c r="K498" s="8" t="s">
        <v>1421</v>
      </c>
    </row>
    <row r="499">
      <c r="A499" s="7" t="b">
        <v>0</v>
      </c>
      <c r="B499" s="8" t="s">
        <v>1422</v>
      </c>
      <c r="C499" s="8" t="s">
        <v>1423</v>
      </c>
      <c r="D499" s="8" t="str">
        <f>Q&amp;$K499&amp;Q&amp;":{"&amp;Q&amp;$B$2&amp;Q&amp;":"&amp;Q&amp;$B499&amp;Q&amp;","&amp;Q&amp;$C$2&amp;Q&amp;":"&amp;Q&amp;$C499&amp;Q&amp;","&amp;Q&amp;"sets"&amp;Q&amp;":"&amp;Q&amp;substitute(SUBSTITUTE($H499,"[",""),"]","")&amp;Q&amp;"},"</f>
        <v>"qnbw":{"label":"Smart","extra":"(intelligent, stylish, witty) ","sets":"Expansion Set 2, Party Set"},</v>
      </c>
      <c r="E499" s="9" t="str">
        <f t="shared" si="2"/>
        <v>data:image/svg+xml,%3csvg xmlns='http://www.w3.org/2000/svg' viewBox='0 0 24 216'%3e%3ctext fill='%23fff' style='font: 900 16px sans-serif' text-anchor='end' transform='matrix(0 -1 1 0 18 5)'%3eSmart%3c/text%3e%3c/svg%3e</v>
      </c>
      <c r="F499" s="10" t="str">
        <f t="shared" si="3"/>
        <v>https://svgtext.heliohost.us/cgi-bin/gen.perl?text=Smart</v>
      </c>
      <c r="G499" s="11" t="str">
        <f t="shared" si="4"/>
        <v>data:image/svg+xml,%3csvg xmlns='http://www.w3.org/2000/svg' viewBox='0 0 24 216'%3e%3ctext fill='%23fff' style='font: 900 16px sans-serif' text-anchor='end' transform='matrix(0 -1 1 0 18 5)'%3eSmart%3c/text%3e%3c/svg%3e</v>
      </c>
      <c r="H499" s="8" t="s">
        <v>17</v>
      </c>
      <c r="I499" s="8">
        <f t="shared" ref="I499:J499" si="500">len(B499)</f>
        <v>5</v>
      </c>
      <c r="J499" s="8">
        <f t="shared" si="500"/>
        <v>30</v>
      </c>
      <c r="K499" s="8" t="s">
        <v>1424</v>
      </c>
    </row>
    <row r="500">
      <c r="A500" s="7" t="b">
        <v>0</v>
      </c>
      <c r="B500" s="8" t="s">
        <v>1422</v>
      </c>
      <c r="C500" s="8" t="s">
        <v>1425</v>
      </c>
      <c r="D500" s="8" t="str">
        <f>Q&amp;$K500&amp;Q&amp;":{"&amp;Q&amp;$B$2&amp;Q&amp;":"&amp;Q&amp;$B500&amp;Q&amp;","&amp;Q&amp;$C$2&amp;Q&amp;":"&amp;Q&amp;$C500&amp;Q&amp;","&amp;Q&amp;"sets"&amp;Q&amp;":"&amp;Q&amp;substitute(SUBSTITUTE($H500,"[",""),"]","")&amp;Q&amp;"},"</f>
        <v>"zswk":{"label":"Smart","extra":"(intelligent, clever) ","sets":"Junior 9+ (1st) &amp; (2nd)"},</v>
      </c>
      <c r="E500" s="9" t="str">
        <f t="shared" si="2"/>
        <v>data:image/svg+xml,%3csvg xmlns='http://www.w3.org/2000/svg' viewBox='0 0 24 216'%3e%3ctext fill='%23fff' style='font: 900 16px sans-serif' text-anchor='end' transform='matrix(0 -1 1 0 18 5)'%3eSmart%3c/text%3e%3c/svg%3e</v>
      </c>
      <c r="F500" s="10" t="str">
        <f t="shared" si="3"/>
        <v>https://svgtext.heliohost.us/cgi-bin/gen.perl?text=Smart</v>
      </c>
      <c r="G500" s="11" t="str">
        <f t="shared" si="4"/>
        <v>data:image/svg+xml,%3csvg xmlns='http://www.w3.org/2000/svg' viewBox='0 0 24 216'%3e%3ctext fill='%23fff' style='font: 900 16px sans-serif' text-anchor='end' transform='matrix(0 -1 1 0 18 5)'%3eSmart%3c/text%3e%3c/svg%3e</v>
      </c>
      <c r="H500" s="8" t="s">
        <v>42</v>
      </c>
      <c r="I500" s="8">
        <f t="shared" ref="I500:J500" si="501">len(B500)</f>
        <v>5</v>
      </c>
      <c r="J500" s="8">
        <f t="shared" si="501"/>
        <v>22</v>
      </c>
      <c r="K500" s="8" t="s">
        <v>1426</v>
      </c>
    </row>
    <row r="501">
      <c r="A501" s="7" t="b">
        <v>0</v>
      </c>
      <c r="B501" s="8" t="s">
        <v>1427</v>
      </c>
      <c r="C501" s="8" t="s">
        <v>1428</v>
      </c>
      <c r="D501" s="8" t="str">
        <f>Q&amp;$K501&amp;Q&amp;":{"&amp;Q&amp;$B$2&amp;Q&amp;":"&amp;Q&amp;$B501&amp;Q&amp;","&amp;Q&amp;$C$2&amp;Q&amp;":"&amp;Q&amp;$C501&amp;Q&amp;","&amp;Q&amp;"sets"&amp;Q&amp;":"&amp;Q&amp;substitute(SUBSTITUTE($H501,"[",""),"]","")&amp;Q&amp;"},"</f>
        <v>"zlpl":{"label":"Smelly","extra":"(stinky, odorous, rank) ","sets":"Expansion Set 2, Party Set"},</v>
      </c>
      <c r="E501" s="9" t="str">
        <f t="shared" si="2"/>
        <v>data:image/svg+xml,%3csvg xmlns='http://www.w3.org/2000/svg' viewBox='0 0 24 216'%3e%3ctext fill='%23fff' style='font: 900 16px sans-serif' text-anchor='end' transform='matrix(0 -1 1 0 18 5)'%3eSmelly%3c/text%3e%3c/svg%3e</v>
      </c>
      <c r="F501" s="10" t="str">
        <f t="shared" si="3"/>
        <v>https://svgtext.heliohost.us/cgi-bin/gen.perl?text=Smelly</v>
      </c>
      <c r="G501" s="11" t="str">
        <f t="shared" si="4"/>
        <v>data:image/svg+xml,%3csvg xmlns='http://www.w3.org/2000/svg' viewBox='0 0 24 216'%3e%3ctext fill='%23fff' style='font: 900 16px sans-serif' text-anchor='end' transform='matrix(0 -1 1 0 18 5)'%3eSmelly%3c/text%3e%3c/svg%3e</v>
      </c>
      <c r="H501" s="8" t="s">
        <v>17</v>
      </c>
      <c r="I501" s="8">
        <f t="shared" ref="I501:J501" si="502">len(B501)</f>
        <v>6</v>
      </c>
      <c r="J501" s="8">
        <f t="shared" si="502"/>
        <v>24</v>
      </c>
      <c r="K501" s="8" t="s">
        <v>1429</v>
      </c>
    </row>
    <row r="502">
      <c r="A502" s="7" t="b">
        <v>0</v>
      </c>
      <c r="B502" s="8" t="s">
        <v>1427</v>
      </c>
      <c r="C502" s="8" t="s">
        <v>1430</v>
      </c>
      <c r="D502" s="8" t="str">
        <f>Q&amp;$K502&amp;Q&amp;":{"&amp;Q&amp;$B$2&amp;Q&amp;":"&amp;Q&amp;$B502&amp;Q&amp;","&amp;Q&amp;$C$2&amp;Q&amp;":"&amp;Q&amp;$C502&amp;Q&amp;","&amp;Q&amp;"sets"&amp;Q&amp;":"&amp;Q&amp;substitute(SUBSTITUTE($H502,"[",""),"]","")&amp;Q&amp;"},"</f>
        <v>"jlio":{"label":"Smelly","extra":"(stinky, bad odor) ","sets":"Junior 9+ (1st) &amp; (2nd)"},</v>
      </c>
      <c r="E502" s="9" t="str">
        <f t="shared" si="2"/>
        <v>data:image/svg+xml,%3csvg xmlns='http://www.w3.org/2000/svg' viewBox='0 0 24 216'%3e%3ctext fill='%23fff' style='font: 900 16px sans-serif' text-anchor='end' transform='matrix(0 -1 1 0 18 5)'%3eSmelly%3c/text%3e%3c/svg%3e</v>
      </c>
      <c r="F502" s="10" t="str">
        <f t="shared" si="3"/>
        <v>https://svgtext.heliohost.us/cgi-bin/gen.perl?text=Smelly</v>
      </c>
      <c r="G502" s="11" t="str">
        <f t="shared" si="4"/>
        <v>data:image/svg+xml,%3csvg xmlns='http://www.w3.org/2000/svg' viewBox='0 0 24 216'%3e%3ctext fill='%23fff' style='font: 900 16px sans-serif' text-anchor='end' transform='matrix(0 -1 1 0 18 5)'%3eSmelly%3c/text%3e%3c/svg%3e</v>
      </c>
      <c r="H502" s="8" t="s">
        <v>42</v>
      </c>
      <c r="I502" s="8">
        <f t="shared" ref="I502:J502" si="503">len(B502)</f>
        <v>6</v>
      </c>
      <c r="J502" s="8">
        <f t="shared" si="503"/>
        <v>19</v>
      </c>
      <c r="K502" s="8" t="s">
        <v>1431</v>
      </c>
    </row>
    <row r="503">
      <c r="A503" s="7" t="b">
        <v>1</v>
      </c>
      <c r="B503" s="8" t="s">
        <v>1432</v>
      </c>
      <c r="C503" s="8" t="s">
        <v>1433</v>
      </c>
      <c r="D503" s="8" t="str">
        <f>Q&amp;$K503&amp;Q&amp;":{"&amp;Q&amp;$B$2&amp;Q&amp;":"&amp;Q&amp;$B503&amp;Q&amp;","&amp;Q&amp;$C$2&amp;Q&amp;":"&amp;Q&amp;$C503&amp;Q&amp;","&amp;Q&amp;"sets"&amp;Q&amp;":"&amp;Q&amp;substitute(SUBSTITUTE($H503,"[",""),"]","")&amp;Q&amp;"},"</f>
        <v>"ytqd":{"label":"Smooth","extra":"(even, level, flat) ","sets":"Basic Set, Party Set"},</v>
      </c>
      <c r="E503" s="9" t="str">
        <f t="shared" si="2"/>
        <v>data:image/svg+xml,%3csvg xmlns='http://www.w3.org/2000/svg' viewBox='0 0 24 216'%3e%3ctext fill='%23fff' style='font: 900 16px sans-serif' text-anchor='end' transform='matrix(0 -1 1 0 18 5)'%3eSmooth%3c/text%3e%3c/svg%3e</v>
      </c>
      <c r="F503" s="10" t="str">
        <f t="shared" si="3"/>
        <v>https://svgtext.heliohost.us/cgi-bin/gen.perl?text=Smooth</v>
      </c>
      <c r="G503" s="11" t="str">
        <f t="shared" si="4"/>
        <v>data:image/svg+xml,%3csvg xmlns='http://www.w3.org/2000/svg' viewBox='0 0 24 216'%3e%3ctext fill='%23fff' style='font: 900 16px sans-serif' text-anchor='end' transform='matrix(0 -1 1 0 18 5)'%3eSmooth%3c/text%3e%3c/svg%3e</v>
      </c>
      <c r="H503" s="8" t="s">
        <v>29</v>
      </c>
      <c r="I503" s="8">
        <f t="shared" ref="I503:J503" si="504">len(B503)</f>
        <v>6</v>
      </c>
      <c r="J503" s="8">
        <f t="shared" si="504"/>
        <v>20</v>
      </c>
      <c r="K503" s="8" t="s">
        <v>1434</v>
      </c>
    </row>
    <row r="504">
      <c r="A504" s="7" t="b">
        <v>0</v>
      </c>
      <c r="B504" s="8" t="s">
        <v>1432</v>
      </c>
      <c r="C504" s="8" t="s">
        <v>1435</v>
      </c>
      <c r="D504" s="8" t="str">
        <f>Q&amp;$K504&amp;Q&amp;":{"&amp;Q&amp;$B$2&amp;Q&amp;":"&amp;Q&amp;$B504&amp;Q&amp;","&amp;Q&amp;$C$2&amp;Q&amp;":"&amp;Q&amp;$C504&amp;Q&amp;","&amp;Q&amp;"sets"&amp;Q&amp;":"&amp;Q&amp;substitute(SUBSTITUTE($H504,"[",""),"]","")&amp;Q&amp;"},"</f>
        <v>"tozm":{"label":"Smooth","extra":"(not bumpy, flat) ","sets":"Junior"},</v>
      </c>
      <c r="E504" s="9" t="str">
        <f t="shared" si="2"/>
        <v>data:image/svg+xml,%3csvg xmlns='http://www.w3.org/2000/svg' viewBox='0 0 24 216'%3e%3ctext fill='%23fff' style='font: 900 16px sans-serif' text-anchor='end' transform='matrix(0 -1 1 0 18 5)'%3eSmooth%3c/text%3e%3c/svg%3e</v>
      </c>
      <c r="F504" s="10" t="str">
        <f t="shared" si="3"/>
        <v>https://svgtext.heliohost.us/cgi-bin/gen.perl?text=Smooth</v>
      </c>
      <c r="G504" s="11" t="str">
        <f t="shared" si="4"/>
        <v>data:image/svg+xml,%3csvg xmlns='http://www.w3.org/2000/svg' viewBox='0 0 24 216'%3e%3ctext fill='%23fff' style='font: 900 16px sans-serif' text-anchor='end' transform='matrix(0 -1 1 0 18 5)'%3eSmooth%3c/text%3e%3c/svg%3e</v>
      </c>
      <c r="H504" s="8" t="s">
        <v>84</v>
      </c>
      <c r="I504" s="8">
        <f t="shared" ref="I504:J504" si="505">len(B504)</f>
        <v>6</v>
      </c>
      <c r="J504" s="8">
        <f t="shared" si="505"/>
        <v>18</v>
      </c>
      <c r="K504" s="8" t="s">
        <v>1436</v>
      </c>
    </row>
    <row r="505">
      <c r="A505" s="7" t="b">
        <v>1</v>
      </c>
      <c r="B505" s="8" t="s">
        <v>1437</v>
      </c>
      <c r="C505" s="8" t="s">
        <v>1438</v>
      </c>
      <c r="D505" s="8" t="str">
        <f>Q&amp;$K505&amp;Q&amp;":{"&amp;Q&amp;$B$2&amp;Q&amp;":"&amp;Q&amp;$B505&amp;Q&amp;","&amp;Q&amp;$C$2&amp;Q&amp;":"&amp;Q&amp;$C505&amp;Q&amp;","&amp;Q&amp;"sets"&amp;Q&amp;":"&amp;Q&amp;substitute(SUBSTITUTE($H505,"[",""),"]","")&amp;Q&amp;"},"</f>
        <v>"ldkf":{"label":"Smooth &amp; Creamy","extra":"(silky, velvety, rich) ","sets":"Expansion Set 4, Party Expansion 1"},</v>
      </c>
      <c r="E505" s="9" t="str">
        <f t="shared" si="2"/>
        <v>data:image/svg+xml,%3csvg xmlns='http://www.w3.org/2000/svg' viewBox='0 0 24 216'%3e%3ctext fill='%23fff' style='font: 900 16px sans-serif' text-anchor='end' transform='matrix(0 -1 1 0 18 5)'%3eSmooth %26amp%3B Creamy%3c/text%3e%3c/svg%3e</v>
      </c>
      <c r="F505" s="10" t="str">
        <f t="shared" si="3"/>
        <v>https://svgtext.heliohost.us/cgi-bin/gen.perl?text=Smooth%20%26%20Creamy</v>
      </c>
      <c r="G505" s="11" t="str">
        <f t="shared" si="4"/>
        <v>data:image/svg+xml,%3csvg xmlns='http://www.w3.org/2000/svg' viewBox='0 0 24 216'%3e%3ctext fill='%23fff' style='font: 900 16px sans-serif' text-anchor='end' transform='matrix(0 -1 1 0 18 5)'%3eSmooth %26amp%3B Creamy%3c/text%3e%3c/svg%3e</v>
      </c>
      <c r="H505" s="8" t="s">
        <v>63</v>
      </c>
      <c r="I505" s="8">
        <f t="shared" ref="I505:J505" si="506">len(B505)</f>
        <v>15</v>
      </c>
      <c r="J505" s="8">
        <f t="shared" si="506"/>
        <v>23</v>
      </c>
      <c r="K505" s="8" t="s">
        <v>1439</v>
      </c>
    </row>
    <row r="506">
      <c r="A506" s="7" t="b">
        <v>0</v>
      </c>
      <c r="B506" s="8" t="s">
        <v>1440</v>
      </c>
      <c r="C506" s="8" t="s">
        <v>1441</v>
      </c>
      <c r="D506" s="8" t="str">
        <f>Q&amp;$K506&amp;Q&amp;":{"&amp;Q&amp;$B$2&amp;Q&amp;":"&amp;Q&amp;$B506&amp;Q&amp;","&amp;Q&amp;$C$2&amp;Q&amp;":"&amp;Q&amp;$C506&amp;Q&amp;","&amp;Q&amp;"sets"&amp;Q&amp;":"&amp;Q&amp;substitute(SUBSTITUTE($H506,"[",""),"]","")&amp;Q&amp;"},"</f>
        <v>"ztvm":{"label":"Snappy","extra":"(stylish, trendy, fast) ","sets":"Expansion Set 2, Party Set"},</v>
      </c>
      <c r="E506" s="9" t="str">
        <f t="shared" si="2"/>
        <v>data:image/svg+xml,%3csvg xmlns='http://www.w3.org/2000/svg' viewBox='0 0 24 216'%3e%3ctext fill='%23fff' style='font: 900 16px sans-serif' text-anchor='end' transform='matrix(0 -1 1 0 18 5)'%3eSnappy%3c/text%3e%3c/svg%3e</v>
      </c>
      <c r="F506" s="10" t="str">
        <f t="shared" si="3"/>
        <v>https://svgtext.heliohost.us/cgi-bin/gen.perl?text=Snappy</v>
      </c>
      <c r="G506" s="11" t="str">
        <f t="shared" si="4"/>
        <v>data:image/svg+xml,%3csvg xmlns='http://www.w3.org/2000/svg' viewBox='0 0 24 216'%3e%3ctext fill='%23fff' style='font: 900 16px sans-serif' text-anchor='end' transform='matrix(0 -1 1 0 18 5)'%3eSnappy%3c/text%3e%3c/svg%3e</v>
      </c>
      <c r="H506" s="8" t="s">
        <v>17</v>
      </c>
      <c r="I506" s="8">
        <f t="shared" ref="I506:J506" si="507">len(B506)</f>
        <v>6</v>
      </c>
      <c r="J506" s="8">
        <f t="shared" si="507"/>
        <v>24</v>
      </c>
      <c r="K506" s="8" t="s">
        <v>1442</v>
      </c>
    </row>
    <row r="507">
      <c r="A507" s="7" t="b">
        <v>1</v>
      </c>
      <c r="B507" s="8" t="s">
        <v>1443</v>
      </c>
      <c r="C507" s="8" t="s">
        <v>1444</v>
      </c>
      <c r="D507" s="8" t="str">
        <f>Q&amp;$K507&amp;Q&amp;":{"&amp;Q&amp;$B$2&amp;Q&amp;":"&amp;Q&amp;$B507&amp;Q&amp;","&amp;Q&amp;$C$2&amp;Q&amp;":"&amp;Q&amp;$C507&amp;Q&amp;","&amp;Q&amp;"sets"&amp;Q&amp;":"&amp;Q&amp;substitute(SUBSTITUTE($H507,"[",""),"]","")&amp;Q&amp;"},"</f>
        <v>"uegh":{"label":"Sneaky","extra":"(tricky, mean) ","sets":"Junior 9+ (2nd)"},</v>
      </c>
      <c r="E507" s="9" t="str">
        <f t="shared" si="2"/>
        <v>data:image/svg+xml,%3csvg xmlns='http://www.w3.org/2000/svg' viewBox='0 0 24 216'%3e%3ctext fill='%23fff' style='font: 900 16px sans-serif' text-anchor='end' transform='matrix(0 -1 1 0 18 5)'%3eSneaky%3c/text%3e%3c/svg%3e</v>
      </c>
      <c r="F507" s="10" t="str">
        <f t="shared" si="3"/>
        <v>https://svgtext.heliohost.us/cgi-bin/gen.perl?text=Sneaky</v>
      </c>
      <c r="G507" s="11" t="str">
        <f t="shared" si="4"/>
        <v>data:image/svg+xml,%3csvg xmlns='http://www.w3.org/2000/svg' viewBox='0 0 24 216'%3e%3ctext fill='%23fff' style='font: 900 16px sans-serif' text-anchor='end' transform='matrix(0 -1 1 0 18 5)'%3eSneaky%3c/text%3e%3c/svg%3e</v>
      </c>
      <c r="H507" s="8" t="s">
        <v>32</v>
      </c>
      <c r="I507" s="8">
        <f t="shared" ref="I507:J507" si="508">len(B507)</f>
        <v>6</v>
      </c>
      <c r="J507" s="8">
        <f t="shared" si="508"/>
        <v>15</v>
      </c>
      <c r="K507" s="8" t="s">
        <v>1445</v>
      </c>
    </row>
    <row r="508">
      <c r="A508" s="7" t="b">
        <v>0</v>
      </c>
      <c r="B508" s="8" t="s">
        <v>1446</v>
      </c>
      <c r="C508" s="8" t="s">
        <v>1447</v>
      </c>
      <c r="D508" s="8" t="str">
        <f>Q&amp;$K508&amp;Q&amp;":{"&amp;Q&amp;$B$2&amp;Q&amp;":"&amp;Q&amp;$B508&amp;Q&amp;","&amp;Q&amp;$C$2&amp;Q&amp;":"&amp;Q&amp;$C508&amp;Q&amp;","&amp;Q&amp;"sets"&amp;Q&amp;":"&amp;Q&amp;substitute(SUBSTITUTE($H508,"[",""),"]","")&amp;Q&amp;"},"</f>
        <v>"uxwd":{"label":"Soft","extra":"(malleable, pliable, mushy) ","sets":"Basic Set, Party Set"},</v>
      </c>
      <c r="E508" s="9" t="str">
        <f t="shared" si="2"/>
        <v>data:image/svg+xml,%3csvg xmlns='http://www.w3.org/2000/svg' viewBox='0 0 24 216'%3e%3ctext fill='%23fff' style='font: 900 16px sans-serif' text-anchor='end' transform='matrix(0 -1 1 0 18 5)'%3eSoft%3c/text%3e%3c/svg%3e</v>
      </c>
      <c r="F508" s="10" t="str">
        <f t="shared" si="3"/>
        <v>https://svgtext.heliohost.us/cgi-bin/gen.perl?text=Soft</v>
      </c>
      <c r="G508" s="11" t="str">
        <f t="shared" si="4"/>
        <v>data:image/svg+xml,%3csvg xmlns='http://www.w3.org/2000/svg' viewBox='0 0 24 216'%3e%3ctext fill='%23fff' style='font: 900 16px sans-serif' text-anchor='end' transform='matrix(0 -1 1 0 18 5)'%3eSoft%3c/text%3e%3c/svg%3e</v>
      </c>
      <c r="H508" s="8" t="s">
        <v>29</v>
      </c>
      <c r="I508" s="8">
        <f t="shared" ref="I508:J508" si="509">len(B508)</f>
        <v>4</v>
      </c>
      <c r="J508" s="8">
        <f t="shared" si="509"/>
        <v>28</v>
      </c>
      <c r="K508" s="8" t="s">
        <v>1448</v>
      </c>
    </row>
    <row r="509">
      <c r="A509" s="7" t="b">
        <v>0</v>
      </c>
      <c r="B509" s="8" t="s">
        <v>1446</v>
      </c>
      <c r="C509" s="8" t="s">
        <v>1449</v>
      </c>
      <c r="D509" s="8" t="str">
        <f>Q&amp;$K509&amp;Q&amp;":{"&amp;Q&amp;$B$2&amp;Q&amp;":"&amp;Q&amp;$B509&amp;Q&amp;","&amp;Q&amp;$C$2&amp;Q&amp;":"&amp;Q&amp;$C509&amp;Q&amp;","&amp;Q&amp;"sets"&amp;Q&amp;":"&amp;Q&amp;substitute(SUBSTITUTE($H509,"[",""),"]","")&amp;Q&amp;"},"</f>
        <v>"hscj":{"label":"Soft","extra":"(not hard, tender) ","sets":"Junior"},</v>
      </c>
      <c r="E509" s="9" t="str">
        <f t="shared" si="2"/>
        <v>data:image/svg+xml,%3csvg xmlns='http://www.w3.org/2000/svg' viewBox='0 0 24 216'%3e%3ctext fill='%23fff' style='font: 900 16px sans-serif' text-anchor='end' transform='matrix(0 -1 1 0 18 5)'%3eSoft%3c/text%3e%3c/svg%3e</v>
      </c>
      <c r="F509" s="10" t="str">
        <f t="shared" si="3"/>
        <v>https://svgtext.heliohost.us/cgi-bin/gen.perl?text=Soft</v>
      </c>
      <c r="G509" s="11" t="str">
        <f t="shared" si="4"/>
        <v>data:image/svg+xml,%3csvg xmlns='http://www.w3.org/2000/svg' viewBox='0 0 24 216'%3e%3ctext fill='%23fff' style='font: 900 16px sans-serif' text-anchor='end' transform='matrix(0 -1 1 0 18 5)'%3eSoft%3c/text%3e%3c/svg%3e</v>
      </c>
      <c r="H509" s="8" t="s">
        <v>84</v>
      </c>
      <c r="I509" s="8">
        <f t="shared" ref="I509:J509" si="510">len(B509)</f>
        <v>4</v>
      </c>
      <c r="J509" s="8">
        <f t="shared" si="510"/>
        <v>19</v>
      </c>
      <c r="K509" s="8" t="s">
        <v>1450</v>
      </c>
    </row>
    <row r="510">
      <c r="A510" s="7" t="b">
        <v>1</v>
      </c>
      <c r="B510" s="8" t="s">
        <v>1451</v>
      </c>
      <c r="C510" s="8" t="s">
        <v>1452</v>
      </c>
      <c r="D510" s="8" t="str">
        <f>Q&amp;$K510&amp;Q&amp;":{"&amp;Q&amp;$B$2&amp;Q&amp;":"&amp;Q&amp;$B510&amp;Q&amp;","&amp;Q&amp;$C$2&amp;Q&amp;":"&amp;Q&amp;$C510&amp;Q&amp;","&amp;Q&amp;"sets"&amp;Q&amp;":"&amp;Q&amp;substitute(SUBSTITUTE($H510,"[",""),"]","")&amp;Q&amp;"},"</f>
        <v>"ckjk":{"label":"Sophisticated","extra":"(urbane, cosmopolitan, complex) ","sets":"Expansion Set 3, Party Expansion 1"},</v>
      </c>
      <c r="E510" s="9" t="str">
        <f t="shared" si="2"/>
        <v>data:image/svg+xml,%3csvg xmlns='http://www.w3.org/2000/svg' viewBox='0 0 24 216'%3e%3ctext fill='%23fff' style='font: 900 16px sans-serif' text-anchor='end' transform='matrix(0 -1 1 0 18 5)'%3eSophisticated%3c/text%3e%3c/svg%3e</v>
      </c>
      <c r="F510" s="10" t="str">
        <f t="shared" si="3"/>
        <v>https://svgtext.heliohost.us/cgi-bin/gen.perl?text=Sophisticated</v>
      </c>
      <c r="G510" s="11" t="str">
        <f t="shared" si="4"/>
        <v>data:image/svg+xml,%3csvg xmlns='http://www.w3.org/2000/svg' viewBox='0 0 24 216'%3e%3ctext fill='%23fff' style='font: 900 16px sans-serif' text-anchor='end' transform='matrix(0 -1 1 0 18 5)'%3eSophisticated%3c/text%3e%3c/svg%3e</v>
      </c>
      <c r="H510" s="8" t="s">
        <v>39</v>
      </c>
      <c r="I510" s="8">
        <f t="shared" ref="I510:J510" si="511">len(B510)</f>
        <v>13</v>
      </c>
      <c r="J510" s="8">
        <f t="shared" si="511"/>
        <v>32</v>
      </c>
      <c r="K510" s="8" t="s">
        <v>1453</v>
      </c>
    </row>
    <row r="511">
      <c r="A511" s="7" t="b">
        <v>0</v>
      </c>
      <c r="B511" s="8" t="s">
        <v>1454</v>
      </c>
      <c r="C511" s="8" t="s">
        <v>1455</v>
      </c>
      <c r="D511" s="8" t="str">
        <f>Q&amp;$K511&amp;Q&amp;":{"&amp;Q&amp;$B$2&amp;Q&amp;":"&amp;Q&amp;$B511&amp;Q&amp;","&amp;Q&amp;$C$2&amp;Q&amp;":"&amp;Q&amp;$C511&amp;Q&amp;","&amp;Q&amp;"sets"&amp;Q&amp;":"&amp;Q&amp;substitute(SUBSTITUTE($H511,"[",""),"]","")&amp;Q&amp;"},"</f>
        <v>"stlj":{"label":"Sour","extra":"(bitter, tart) ","sets":"Junior"},</v>
      </c>
      <c r="E511" s="9" t="str">
        <f t="shared" si="2"/>
        <v>data:image/svg+xml,%3csvg xmlns='http://www.w3.org/2000/svg' viewBox='0 0 24 216'%3e%3ctext fill='%23fff' style='font: 900 16px sans-serif' text-anchor='end' transform='matrix(0 -1 1 0 18 5)'%3eSour%3c/text%3e%3c/svg%3e</v>
      </c>
      <c r="F511" s="10" t="str">
        <f t="shared" si="3"/>
        <v>https://svgtext.heliohost.us/cgi-bin/gen.perl?text=Sour</v>
      </c>
      <c r="G511" s="11" t="str">
        <f t="shared" si="4"/>
        <v>data:image/svg+xml,%3csvg xmlns='http://www.w3.org/2000/svg' viewBox='0 0 24 216'%3e%3ctext fill='%23fff' style='font: 900 16px sans-serif' text-anchor='end' transform='matrix(0 -1 1 0 18 5)'%3eSour%3c/text%3e%3c/svg%3e</v>
      </c>
      <c r="H511" s="8" t="s">
        <v>84</v>
      </c>
      <c r="I511" s="8">
        <f t="shared" ref="I511:J511" si="512">len(B511)</f>
        <v>4</v>
      </c>
      <c r="J511" s="8">
        <f t="shared" si="512"/>
        <v>15</v>
      </c>
      <c r="K511" s="8" t="s">
        <v>1456</v>
      </c>
    </row>
    <row r="512">
      <c r="A512" s="7" t="b">
        <v>1</v>
      </c>
      <c r="B512" s="8" t="s">
        <v>1457</v>
      </c>
      <c r="C512" s="8" t="s">
        <v>1458</v>
      </c>
      <c r="D512" s="8" t="str">
        <f>Q&amp;$K512&amp;Q&amp;":{"&amp;Q&amp;$B$2&amp;Q&amp;":"&amp;Q&amp;$B512&amp;Q&amp;","&amp;Q&amp;$C$2&amp;Q&amp;":"&amp;Q&amp;$C512&amp;Q&amp;","&amp;Q&amp;"sets"&amp;Q&amp;":"&amp;Q&amp;substitute(SUBSTITUTE($H512,"[",""),"]","")&amp;Q&amp;"},"</f>
        <v>"pgjl":{"label":"Special","extra":"(distinctive, unique, original) ","sets":"Expansion Set 3, Party Expansion 1"},</v>
      </c>
      <c r="E512" s="9" t="str">
        <f t="shared" si="2"/>
        <v>data:image/svg+xml,%3csvg xmlns='http://www.w3.org/2000/svg' viewBox='0 0 24 216'%3e%3ctext fill='%23fff' style='font: 900 16px sans-serif' text-anchor='end' transform='matrix(0 -1 1 0 18 5)'%3eSpecial%3c/text%3e%3c/svg%3e</v>
      </c>
      <c r="F512" s="10" t="str">
        <f t="shared" si="3"/>
        <v>https://svgtext.heliohost.us/cgi-bin/gen.perl?text=Special</v>
      </c>
      <c r="G512" s="11" t="str">
        <f t="shared" si="4"/>
        <v>data:image/svg+xml,%3csvg xmlns='http://www.w3.org/2000/svg' viewBox='0 0 24 216'%3e%3ctext fill='%23fff' style='font: 900 16px sans-serif' text-anchor='end' transform='matrix(0 -1 1 0 18 5)'%3eSpecial%3c/text%3e%3c/svg%3e</v>
      </c>
      <c r="H512" s="8" t="s">
        <v>39</v>
      </c>
      <c r="I512" s="8">
        <f t="shared" ref="I512:J512" si="513">len(B512)</f>
        <v>7</v>
      </c>
      <c r="J512" s="8">
        <f t="shared" si="513"/>
        <v>32</v>
      </c>
      <c r="K512" s="8" t="s">
        <v>1459</v>
      </c>
    </row>
    <row r="513">
      <c r="A513" s="7" t="b">
        <v>0</v>
      </c>
      <c r="B513" s="8" t="s">
        <v>1457</v>
      </c>
      <c r="C513" s="8" t="s">
        <v>1460</v>
      </c>
      <c r="D513" s="8" t="str">
        <f>Q&amp;$K513&amp;Q&amp;":{"&amp;Q&amp;$B$2&amp;Q&amp;":"&amp;Q&amp;$B513&amp;Q&amp;","&amp;Q&amp;$C$2&amp;Q&amp;":"&amp;Q&amp;$C513&amp;Q&amp;","&amp;Q&amp;"sets"&amp;Q&amp;":"&amp;Q&amp;substitute(SUBSTITUTE($H513,"[",""),"]","")&amp;Q&amp;"},"</f>
        <v>"jkdw":{"label":"Special","extra":"(individual, unique) ","sets":"Junior 9+ (2nd)"},</v>
      </c>
      <c r="E513" s="9" t="str">
        <f t="shared" si="2"/>
        <v>data:image/svg+xml,%3csvg xmlns='http://www.w3.org/2000/svg' viewBox='0 0 24 216'%3e%3ctext fill='%23fff' style='font: 900 16px sans-serif' text-anchor='end' transform='matrix(0 -1 1 0 18 5)'%3eSpecial%3c/text%3e%3c/svg%3e</v>
      </c>
      <c r="F513" s="10" t="str">
        <f t="shared" si="3"/>
        <v>https://svgtext.heliohost.us/cgi-bin/gen.perl?text=Special</v>
      </c>
      <c r="G513" s="11" t="str">
        <f t="shared" si="4"/>
        <v>data:image/svg+xml,%3csvg xmlns='http://www.w3.org/2000/svg' viewBox='0 0 24 216'%3e%3ctext fill='%23fff' style='font: 900 16px sans-serif' text-anchor='end' transform='matrix(0 -1 1 0 18 5)'%3eSpecial%3c/text%3e%3c/svg%3e</v>
      </c>
      <c r="H513" s="8" t="s">
        <v>32</v>
      </c>
      <c r="I513" s="8">
        <f t="shared" ref="I513:J513" si="514">len(B513)</f>
        <v>7</v>
      </c>
      <c r="J513" s="8">
        <f t="shared" si="514"/>
        <v>21</v>
      </c>
      <c r="K513" s="8" t="s">
        <v>1461</v>
      </c>
    </row>
    <row r="514">
      <c r="A514" s="7" t="b">
        <v>0</v>
      </c>
      <c r="B514" s="8" t="s">
        <v>1462</v>
      </c>
      <c r="C514" s="8" t="s">
        <v>1463</v>
      </c>
      <c r="D514" s="8" t="str">
        <f>Q&amp;$K514&amp;Q&amp;":{"&amp;Q&amp;$B$2&amp;Q&amp;":"&amp;Q&amp;$B514&amp;Q&amp;","&amp;Q&amp;$C$2&amp;Q&amp;":"&amp;Q&amp;$C514&amp;Q&amp;","&amp;Q&amp;"sets"&amp;Q&amp;":"&amp;Q&amp;substitute(SUBSTITUTE($H514,"[",""),"]","")&amp;Q&amp;"},"</f>
        <v>"lnmi":{"label":"Speedy","extra":"(quick, rapid, fast) ","sets":"Basic Set, Party Set"},</v>
      </c>
      <c r="E514" s="9" t="str">
        <f t="shared" si="2"/>
        <v>data:image/svg+xml,%3csvg xmlns='http://www.w3.org/2000/svg' viewBox='0 0 24 216'%3e%3ctext fill='%23fff' style='font: 900 16px sans-serif' text-anchor='end' transform='matrix(0 -1 1 0 18 5)'%3eSpeedy%3c/text%3e%3c/svg%3e</v>
      </c>
      <c r="F514" s="10" t="str">
        <f t="shared" si="3"/>
        <v>https://svgtext.heliohost.us/cgi-bin/gen.perl?text=Speedy</v>
      </c>
      <c r="G514" s="11" t="str">
        <f t="shared" si="4"/>
        <v>data:image/svg+xml,%3csvg xmlns='http://www.w3.org/2000/svg' viewBox='0 0 24 216'%3e%3ctext fill='%23fff' style='font: 900 16px sans-serif' text-anchor='end' transform='matrix(0 -1 1 0 18 5)'%3eSpeedy%3c/text%3e%3c/svg%3e</v>
      </c>
      <c r="H514" s="8" t="s">
        <v>29</v>
      </c>
      <c r="I514" s="8">
        <f t="shared" ref="I514:J514" si="515">len(B514)</f>
        <v>6</v>
      </c>
      <c r="J514" s="8">
        <f t="shared" si="515"/>
        <v>21</v>
      </c>
      <c r="K514" s="8" t="s">
        <v>1464</v>
      </c>
    </row>
    <row r="515">
      <c r="A515" s="7" t="b">
        <v>0</v>
      </c>
      <c r="B515" s="8" t="s">
        <v>1462</v>
      </c>
      <c r="C515" s="8" t="s">
        <v>1465</v>
      </c>
      <c r="D515" s="8" t="str">
        <f>Q&amp;$K515&amp;Q&amp;":{"&amp;Q&amp;$B$2&amp;Q&amp;":"&amp;Q&amp;$B515&amp;Q&amp;","&amp;Q&amp;$C$2&amp;Q&amp;":"&amp;Q&amp;$C515&amp;Q&amp;","&amp;Q&amp;"sets"&amp;Q&amp;":"&amp;Q&amp;substitute(SUBSTITUTE($H515,"[",""),"]","")&amp;Q&amp;"},"</f>
        <v>"brep":{"label":"Speedy","extra":"(quick, fast) ","sets":"Junior 9+ (2nd)"},</v>
      </c>
      <c r="E515" s="9" t="str">
        <f t="shared" si="2"/>
        <v>data:image/svg+xml,%3csvg xmlns='http://www.w3.org/2000/svg' viewBox='0 0 24 216'%3e%3ctext fill='%23fff' style='font: 900 16px sans-serif' text-anchor='end' transform='matrix(0 -1 1 0 18 5)'%3eSpeedy%3c/text%3e%3c/svg%3e</v>
      </c>
      <c r="F515" s="10" t="str">
        <f t="shared" si="3"/>
        <v>https://svgtext.heliohost.us/cgi-bin/gen.perl?text=Speedy</v>
      </c>
      <c r="G515" s="11" t="str">
        <f t="shared" si="4"/>
        <v>data:image/svg+xml,%3csvg xmlns='http://www.w3.org/2000/svg' viewBox='0 0 24 216'%3e%3ctext fill='%23fff' style='font: 900 16px sans-serif' text-anchor='end' transform='matrix(0 -1 1 0 18 5)'%3eSpeedy%3c/text%3e%3c/svg%3e</v>
      </c>
      <c r="H515" s="8" t="s">
        <v>32</v>
      </c>
      <c r="I515" s="8">
        <f t="shared" ref="I515:J515" si="516">len(B515)</f>
        <v>6</v>
      </c>
      <c r="J515" s="8">
        <f t="shared" si="516"/>
        <v>14</v>
      </c>
      <c r="K515" s="8" t="s">
        <v>1466</v>
      </c>
    </row>
    <row r="516">
      <c r="A516" s="7" t="b">
        <v>1</v>
      </c>
      <c r="B516" s="8" t="s">
        <v>1467</v>
      </c>
      <c r="C516" s="8" t="s">
        <v>1468</v>
      </c>
      <c r="D516" s="8" t="str">
        <f>Q&amp;$K516&amp;Q&amp;":{"&amp;Q&amp;$B$2&amp;Q&amp;":"&amp;Q&amp;$B516&amp;Q&amp;","&amp;Q&amp;$C$2&amp;Q&amp;":"&amp;Q&amp;$C516&amp;Q&amp;","&amp;Q&amp;"sets"&amp;Q&amp;":"&amp;Q&amp;substitute(SUBSTITUTE($H516,"[",""),"]","")&amp;Q&amp;"},"</f>
        <v>"stkb":{"label":"Spic &amp; Span","extra":"(spotless, tidy, clean) ","sets":"Expansion Set 4, Party Expansion 1"},</v>
      </c>
      <c r="E516" s="9" t="str">
        <f t="shared" si="2"/>
        <v>data:image/svg+xml,%3csvg xmlns='http://www.w3.org/2000/svg' viewBox='0 0 24 216'%3e%3ctext fill='%23fff' style='font: 900 16px sans-serif' text-anchor='end' transform='matrix(0 -1 1 0 18 5)'%3eSpic %26amp%3B Span%3c/text%3e%3c/svg%3e</v>
      </c>
      <c r="F516" s="10" t="str">
        <f t="shared" si="3"/>
        <v>https://svgtext.heliohost.us/cgi-bin/gen.perl?text=Spic%20%26%20Span</v>
      </c>
      <c r="G516" s="11" t="str">
        <f t="shared" si="4"/>
        <v>data:image/svg+xml,%3csvg xmlns='http://www.w3.org/2000/svg' viewBox='0 0 24 216'%3e%3ctext fill='%23fff' style='font: 900 16px sans-serif' text-anchor='end' transform='matrix(0 -1 1 0 18 5)'%3eSpic %26amp%3B Span%3c/text%3e%3c/svg%3e</v>
      </c>
      <c r="H516" s="8" t="s">
        <v>63</v>
      </c>
      <c r="I516" s="8">
        <f t="shared" ref="I516:J516" si="517">len(B516)</f>
        <v>11</v>
      </c>
      <c r="J516" s="8">
        <f t="shared" si="517"/>
        <v>24</v>
      </c>
      <c r="K516" s="8" t="s">
        <v>1469</v>
      </c>
    </row>
    <row r="517">
      <c r="A517" s="7" t="b">
        <v>0</v>
      </c>
      <c r="B517" s="8" t="s">
        <v>1470</v>
      </c>
      <c r="C517" s="8" t="s">
        <v>1471</v>
      </c>
      <c r="D517" s="8" t="str">
        <f>Q&amp;$K517&amp;Q&amp;":{"&amp;Q&amp;$B$2&amp;Q&amp;":"&amp;Q&amp;$B517&amp;Q&amp;","&amp;Q&amp;$C$2&amp;Q&amp;":"&amp;Q&amp;$C517&amp;Q&amp;","&amp;Q&amp;"sets"&amp;Q&amp;":"&amp;Q&amp;substitute(SUBSTITUTE($H517,"[",""),"]","")&amp;Q&amp;"},"</f>
        <v>"lsqf":{"label":"Spicy","extra":"(flavorable, tangy, hot) ","sets":"Expansion Set 1, Party Set"},</v>
      </c>
      <c r="E517" s="9" t="str">
        <f t="shared" si="2"/>
        <v>data:image/svg+xml,%3csvg xmlns='http://www.w3.org/2000/svg' viewBox='0 0 24 216'%3e%3ctext fill='%23fff' style='font: 900 16px sans-serif' text-anchor='end' transform='matrix(0 -1 1 0 18 5)'%3eSpicy%3c/text%3e%3c/svg%3e</v>
      </c>
      <c r="F517" s="10" t="str">
        <f t="shared" si="3"/>
        <v>https://svgtext.heliohost.us/cgi-bin/gen.perl?text=Spicy</v>
      </c>
      <c r="G517" s="11" t="str">
        <f t="shared" si="4"/>
        <v>data:image/svg+xml,%3csvg xmlns='http://www.w3.org/2000/svg' viewBox='0 0 24 216'%3e%3ctext fill='%23fff' style='font: 900 16px sans-serif' text-anchor='end' transform='matrix(0 -1 1 0 18 5)'%3eSpicy%3c/text%3e%3c/svg%3e</v>
      </c>
      <c r="H517" s="8" t="s">
        <v>25</v>
      </c>
      <c r="I517" s="8">
        <f t="shared" ref="I517:J517" si="518">len(B517)</f>
        <v>5</v>
      </c>
      <c r="J517" s="8">
        <f t="shared" si="518"/>
        <v>25</v>
      </c>
      <c r="K517" s="8" t="s">
        <v>1472</v>
      </c>
    </row>
    <row r="518">
      <c r="A518" s="7" t="b">
        <v>0</v>
      </c>
      <c r="B518" s="8" t="s">
        <v>1473</v>
      </c>
      <c r="C518" s="8" t="s">
        <v>1474</v>
      </c>
      <c r="D518" s="8" t="str">
        <f>Q&amp;$K518&amp;Q&amp;":{"&amp;Q&amp;$B$2&amp;Q&amp;":"&amp;Q&amp;$B518&amp;Q&amp;","&amp;Q&amp;$C$2&amp;Q&amp;":"&amp;Q&amp;$C518&amp;Q&amp;","&amp;Q&amp;"sets"&amp;Q&amp;":"&amp;Q&amp;substitute(SUBSTITUTE($H518,"[",""),"]","")&amp;Q&amp;"},"</f>
        <v>"sxmm":{"label":"Spiritual","extra":"(religious, inspired, supernatural) ","sets":"Expansion Set 1, Party Set"},</v>
      </c>
      <c r="E518" s="9" t="str">
        <f t="shared" si="2"/>
        <v>data:image/svg+xml,%3csvg xmlns='http://www.w3.org/2000/svg' viewBox='0 0 24 216'%3e%3ctext fill='%23fff' style='font: 900 16px sans-serif' text-anchor='end' transform='matrix(0 -1 1 0 18 5)'%3eSpiritual%3c/text%3e%3c/svg%3e</v>
      </c>
      <c r="F518" s="10" t="str">
        <f t="shared" si="3"/>
        <v>https://svgtext.heliohost.us/cgi-bin/gen.perl?text=Spiritual</v>
      </c>
      <c r="G518" s="11" t="str">
        <f t="shared" si="4"/>
        <v>data:image/svg+xml,%3csvg xmlns='http://www.w3.org/2000/svg' viewBox='0 0 24 216'%3e%3ctext fill='%23fff' style='font: 900 16px sans-serif' text-anchor='end' transform='matrix(0 -1 1 0 18 5)'%3eSpiritual%3c/text%3e%3c/svg%3e</v>
      </c>
      <c r="H518" s="8" t="s">
        <v>25</v>
      </c>
      <c r="I518" s="8">
        <f t="shared" ref="I518:J518" si="519">len(B518)</f>
        <v>9</v>
      </c>
      <c r="J518" s="8">
        <f t="shared" si="519"/>
        <v>36</v>
      </c>
      <c r="K518" s="8" t="s">
        <v>1475</v>
      </c>
    </row>
    <row r="519">
      <c r="A519" s="7" t="b">
        <v>0</v>
      </c>
      <c r="B519" s="8" t="s">
        <v>1476</v>
      </c>
      <c r="C519" s="8" t="s">
        <v>1477</v>
      </c>
      <c r="D519" s="8" t="str">
        <f>Q&amp;$K519&amp;Q&amp;":{"&amp;Q&amp;$B$2&amp;Q&amp;":"&amp;Q&amp;$B519&amp;Q&amp;","&amp;Q&amp;$C$2&amp;Q&amp;":"&amp;Q&amp;$C519&amp;Q&amp;","&amp;Q&amp;"sets"&amp;Q&amp;":"&amp;Q&amp;substitute(SUBSTITUTE($H519,"[",""),"]","")&amp;Q&amp;"},"</f>
        <v>"miuh":{"label":"Spooky","extra":"(scary, weird, ghostly) ","sets":"Expansion Set 1, Party Set"},</v>
      </c>
      <c r="E519" s="9" t="str">
        <f t="shared" si="2"/>
        <v>data:image/svg+xml,%3csvg xmlns='http://www.w3.org/2000/svg' viewBox='0 0 24 216'%3e%3ctext fill='%23fff' style='font: 900 16px sans-serif' text-anchor='end' transform='matrix(0 -1 1 0 18 5)'%3eSpooky%3c/text%3e%3c/svg%3e</v>
      </c>
      <c r="F519" s="10" t="str">
        <f t="shared" si="3"/>
        <v>https://svgtext.heliohost.us/cgi-bin/gen.perl?text=Spooky</v>
      </c>
      <c r="G519" s="11" t="str">
        <f t="shared" si="4"/>
        <v>data:image/svg+xml,%3csvg xmlns='http://www.w3.org/2000/svg' viewBox='0 0 24 216'%3e%3ctext fill='%23fff' style='font: 900 16px sans-serif' text-anchor='end' transform='matrix(0 -1 1 0 18 5)'%3eSpooky%3c/text%3e%3c/svg%3e</v>
      </c>
      <c r="H519" s="8" t="s">
        <v>25</v>
      </c>
      <c r="I519" s="8">
        <f t="shared" ref="I519:J519" si="520">len(B519)</f>
        <v>6</v>
      </c>
      <c r="J519" s="8">
        <f t="shared" si="520"/>
        <v>24</v>
      </c>
      <c r="K519" s="8" t="s">
        <v>1478</v>
      </c>
    </row>
    <row r="520">
      <c r="A520" s="7" t="b">
        <v>0</v>
      </c>
      <c r="B520" s="8" t="s">
        <v>1476</v>
      </c>
      <c r="C520" s="8" t="s">
        <v>1479</v>
      </c>
      <c r="D520" s="8" t="str">
        <f>Q&amp;$K520&amp;Q&amp;":{"&amp;Q&amp;$B$2&amp;Q&amp;":"&amp;Q&amp;$B520&amp;Q&amp;","&amp;Q&amp;$C$2&amp;Q&amp;":"&amp;Q&amp;$C520&amp;Q&amp;","&amp;Q&amp;"sets"&amp;Q&amp;":"&amp;Q&amp;substitute(SUBSTITUTE($H520,"[",""),"]","")&amp;Q&amp;"},"</f>
        <v>"nqro":{"label":"Spooky","extra":"(scary, frightening) ","sets":"Junior"},</v>
      </c>
      <c r="E520" s="9" t="str">
        <f t="shared" si="2"/>
        <v>data:image/svg+xml,%3csvg xmlns='http://www.w3.org/2000/svg' viewBox='0 0 24 216'%3e%3ctext fill='%23fff' style='font: 900 16px sans-serif' text-anchor='end' transform='matrix(0 -1 1 0 18 5)'%3eSpooky%3c/text%3e%3c/svg%3e</v>
      </c>
      <c r="F520" s="10" t="str">
        <f t="shared" si="3"/>
        <v>https://svgtext.heliohost.us/cgi-bin/gen.perl?text=Spooky</v>
      </c>
      <c r="G520" s="11" t="str">
        <f t="shared" si="4"/>
        <v>data:image/svg+xml,%3csvg xmlns='http://www.w3.org/2000/svg' viewBox='0 0 24 216'%3e%3ctext fill='%23fff' style='font: 900 16px sans-serif' text-anchor='end' transform='matrix(0 -1 1 0 18 5)'%3eSpooky%3c/text%3e%3c/svg%3e</v>
      </c>
      <c r="H520" s="8" t="s">
        <v>84</v>
      </c>
      <c r="I520" s="8">
        <f t="shared" ref="I520:J520" si="521">len(B520)</f>
        <v>6</v>
      </c>
      <c r="J520" s="8">
        <f t="shared" si="521"/>
        <v>21</v>
      </c>
      <c r="K520" s="8" t="s">
        <v>1480</v>
      </c>
    </row>
    <row r="521">
      <c r="A521" s="7" t="b">
        <v>0</v>
      </c>
      <c r="B521" s="8" t="s">
        <v>1481</v>
      </c>
      <c r="C521" s="8" t="s">
        <v>1482</v>
      </c>
      <c r="D521" s="8" t="str">
        <f>Q&amp;$K521&amp;Q&amp;":{"&amp;Q&amp;$B$2&amp;Q&amp;":"&amp;Q&amp;$B521&amp;Q&amp;","&amp;Q&amp;$C$2&amp;Q&amp;":"&amp;Q&amp;$C521&amp;Q&amp;","&amp;Q&amp;"sets"&amp;Q&amp;":"&amp;Q&amp;substitute(SUBSTITUTE($H521,"[",""),"]","")&amp;Q&amp;"},"</f>
        <v>"ewfu":{"label":"Sporty","extra":"(athletic, active) ","sets":"Junior 9+ (2nd)"},</v>
      </c>
      <c r="E521" s="9" t="str">
        <f t="shared" si="2"/>
        <v>data:image/svg+xml,%3csvg xmlns='http://www.w3.org/2000/svg' viewBox='0 0 24 216'%3e%3ctext fill='%23fff' style='font: 900 16px sans-serif' text-anchor='end' transform='matrix(0 -1 1 0 18 5)'%3eSporty%3c/text%3e%3c/svg%3e</v>
      </c>
      <c r="F521" s="10" t="str">
        <f t="shared" si="3"/>
        <v>https://svgtext.heliohost.us/cgi-bin/gen.perl?text=Sporty</v>
      </c>
      <c r="G521" s="11" t="str">
        <f t="shared" si="4"/>
        <v>data:image/svg+xml,%3csvg xmlns='http://www.w3.org/2000/svg' viewBox='0 0 24 216'%3e%3ctext fill='%23fff' style='font: 900 16px sans-serif' text-anchor='end' transform='matrix(0 -1 1 0 18 5)'%3eSporty%3c/text%3e%3c/svg%3e</v>
      </c>
      <c r="H521" s="8" t="s">
        <v>32</v>
      </c>
      <c r="I521" s="8">
        <f t="shared" ref="I521:J521" si="522">len(B521)</f>
        <v>6</v>
      </c>
      <c r="J521" s="8">
        <f t="shared" si="522"/>
        <v>19</v>
      </c>
      <c r="K521" s="8" t="s">
        <v>1483</v>
      </c>
    </row>
    <row r="522">
      <c r="A522" s="7" t="b">
        <v>1</v>
      </c>
      <c r="B522" s="8" t="s">
        <v>1484</v>
      </c>
      <c r="C522" s="8" t="s">
        <v>1485</v>
      </c>
      <c r="D522" s="8" t="str">
        <f>Q&amp;$K522&amp;Q&amp;":{"&amp;Q&amp;$B$2&amp;Q&amp;":"&amp;Q&amp;$B522&amp;Q&amp;","&amp;Q&amp;$C$2&amp;Q&amp;":"&amp;Q&amp;$C522&amp;Q&amp;","&amp;Q&amp;"sets"&amp;Q&amp;":"&amp;Q&amp;substitute(SUBSTITUTE($H522,"[",""),"]","")&amp;Q&amp;"},"</f>
        <v>"uxnb":{"label":"Spotless","extra":"(clean, pure) ","sets":"Junior 9+ (2nd)"},</v>
      </c>
      <c r="E522" s="9" t="str">
        <f t="shared" si="2"/>
        <v>data:image/svg+xml,%3csvg xmlns='http://www.w3.org/2000/svg' viewBox='0 0 24 216'%3e%3ctext fill='%23fff' style='font: 900 16px sans-serif' text-anchor='end' transform='matrix(0 -1 1 0 18 5)'%3eSpotless%3c/text%3e%3c/svg%3e</v>
      </c>
      <c r="F522" s="10" t="str">
        <f t="shared" si="3"/>
        <v>https://svgtext.heliohost.us/cgi-bin/gen.perl?text=Spotless</v>
      </c>
      <c r="G522" s="11" t="str">
        <f t="shared" si="4"/>
        <v>data:image/svg+xml,%3csvg xmlns='http://www.w3.org/2000/svg' viewBox='0 0 24 216'%3e%3ctext fill='%23fff' style='font: 900 16px sans-serif' text-anchor='end' transform='matrix(0 -1 1 0 18 5)'%3eSpotless%3c/text%3e%3c/svg%3e</v>
      </c>
      <c r="H522" s="8" t="s">
        <v>32</v>
      </c>
      <c r="I522" s="8">
        <f t="shared" ref="I522:J522" si="523">len(B522)</f>
        <v>8</v>
      </c>
      <c r="J522" s="8">
        <f t="shared" si="523"/>
        <v>14</v>
      </c>
      <c r="K522" s="8" t="s">
        <v>1486</v>
      </c>
    </row>
    <row r="523">
      <c r="A523" s="7" t="b">
        <v>0</v>
      </c>
      <c r="B523" s="8" t="s">
        <v>1487</v>
      </c>
      <c r="C523" s="8" t="s">
        <v>1488</v>
      </c>
      <c r="D523" s="8" t="str">
        <f>Q&amp;$K523&amp;Q&amp;":{"&amp;Q&amp;$B$2&amp;Q&amp;":"&amp;Q&amp;$B523&amp;Q&amp;","&amp;Q&amp;$C$2&amp;Q&amp;":"&amp;Q&amp;$C523&amp;Q&amp;","&amp;Q&amp;"sets"&amp;Q&amp;":"&amp;Q&amp;substitute(SUBSTITUTE($H523,"[",""),"]","")&amp;Q&amp;"},"</f>
        <v>"crhf":{"label":"Spunky","extra":"(perky, lively, spirited) ","sets":"Expansion Set 1, Party Set"},</v>
      </c>
      <c r="E523" s="9" t="str">
        <f t="shared" si="2"/>
        <v>data:image/svg+xml,%3csvg xmlns='http://www.w3.org/2000/svg' viewBox='0 0 24 216'%3e%3ctext fill='%23fff' style='font: 900 16px sans-serif' text-anchor='end' transform='matrix(0 -1 1 0 18 5)'%3eSpunky%3c/text%3e%3c/svg%3e</v>
      </c>
      <c r="F523" s="10" t="str">
        <f t="shared" si="3"/>
        <v>https://svgtext.heliohost.us/cgi-bin/gen.perl?text=Spunky</v>
      </c>
      <c r="G523" s="11" t="str">
        <f t="shared" si="4"/>
        <v>data:image/svg+xml,%3csvg xmlns='http://www.w3.org/2000/svg' viewBox='0 0 24 216'%3e%3ctext fill='%23fff' style='font: 900 16px sans-serif' text-anchor='end' transform='matrix(0 -1 1 0 18 5)'%3eSpunky%3c/text%3e%3c/svg%3e</v>
      </c>
      <c r="H523" s="8" t="s">
        <v>25</v>
      </c>
      <c r="I523" s="8">
        <f t="shared" ref="I523:J523" si="524">len(B523)</f>
        <v>6</v>
      </c>
      <c r="J523" s="8">
        <f t="shared" si="524"/>
        <v>26</v>
      </c>
      <c r="K523" s="8" t="s">
        <v>1489</v>
      </c>
    </row>
    <row r="524">
      <c r="A524" s="7" t="b">
        <v>0</v>
      </c>
      <c r="B524" s="8" t="s">
        <v>1490</v>
      </c>
      <c r="C524" s="8" t="s">
        <v>1491</v>
      </c>
      <c r="D524" s="8" t="str">
        <f>Q&amp;$K524&amp;Q&amp;":{"&amp;Q&amp;$B$2&amp;Q&amp;":"&amp;Q&amp;$B524&amp;Q&amp;","&amp;Q&amp;$C$2&amp;Q&amp;":"&amp;Q&amp;$C524&amp;Q&amp;","&amp;Q&amp;"sets"&amp;Q&amp;":"&amp;Q&amp;substitute(SUBSTITUTE($H524,"[",""),"]","")&amp;Q&amp;"},"</f>
        <v>"ruug":{"label":"Square","extra":"(rectangular, uncool, dull) ","sets":"Expansion Set 1"},</v>
      </c>
      <c r="E524" s="9" t="str">
        <f t="shared" si="2"/>
        <v>data:image/svg+xml,%3csvg xmlns='http://www.w3.org/2000/svg' viewBox='0 0 24 216'%3e%3ctext fill='%23fff' style='font: 900 16px sans-serif' text-anchor='end' transform='matrix(0 -1 1 0 18 5)'%3eSquare%3c/text%3e%3c/svg%3e</v>
      </c>
      <c r="F524" s="10" t="str">
        <f t="shared" si="3"/>
        <v>https://svgtext.heliohost.us/cgi-bin/gen.perl?text=Square</v>
      </c>
      <c r="G524" s="11" t="str">
        <f t="shared" si="4"/>
        <v>data:image/svg+xml,%3csvg xmlns='http://www.w3.org/2000/svg' viewBox='0 0 24 216'%3e%3ctext fill='%23fff' style='font: 900 16px sans-serif' text-anchor='end' transform='matrix(0 -1 1 0 18 5)'%3eSquare%3c/text%3e%3c/svg%3e</v>
      </c>
      <c r="H524" s="8" t="s">
        <v>206</v>
      </c>
      <c r="I524" s="8">
        <f t="shared" ref="I524:J524" si="525">len(B524)</f>
        <v>6</v>
      </c>
      <c r="J524" s="8">
        <f t="shared" si="525"/>
        <v>28</v>
      </c>
      <c r="K524" s="8" t="s">
        <v>1492</v>
      </c>
    </row>
    <row r="525">
      <c r="A525" s="7" t="b">
        <v>0</v>
      </c>
      <c r="B525" s="8" t="s">
        <v>1493</v>
      </c>
      <c r="C525" s="8" t="s">
        <v>1494</v>
      </c>
      <c r="D525" s="8" t="str">
        <f>Q&amp;$K525&amp;Q&amp;":{"&amp;Q&amp;$B$2&amp;Q&amp;":"&amp;Q&amp;$B525&amp;Q&amp;","&amp;Q&amp;$C$2&amp;Q&amp;":"&amp;Q&amp;$C525&amp;Q&amp;","&amp;Q&amp;"sets"&amp;Q&amp;":"&amp;Q&amp;substitute(SUBSTITUTE($H525,"[",""),"]","")&amp;Q&amp;"},"</f>
        <v>"qcar":{"label":"Squeaky Clean","extra":"(pure, immaculate, unapproachable) ","sets":"Expansion Set 1, Party Set"},</v>
      </c>
      <c r="E525" s="9" t="str">
        <f t="shared" si="2"/>
        <v>data:image/svg+xml,%3csvg xmlns='http://www.w3.org/2000/svg' viewBox='0 0 24 216'%3e%3ctext fill='%23fff' style='font: 900 16px sans-serif' text-anchor='end' transform='matrix(0 -1 1 0 18 5)'%3eSqueaky Clean%3c/text%3e%3c/svg%3e</v>
      </c>
      <c r="F525" s="10" t="str">
        <f t="shared" si="3"/>
        <v>https://svgtext.heliohost.us/cgi-bin/gen.perl?text=Squeaky%20Clean</v>
      </c>
      <c r="G525" s="11" t="str">
        <f t="shared" si="4"/>
        <v>data:image/svg+xml,%3csvg xmlns='http://www.w3.org/2000/svg' viewBox='0 0 24 216'%3e%3ctext fill='%23fff' style='font: 900 16px sans-serif' text-anchor='end' transform='matrix(0 -1 1 0 18 5)'%3eSqueaky Clean%3c/text%3e%3c/svg%3e</v>
      </c>
      <c r="H525" s="8" t="s">
        <v>25</v>
      </c>
      <c r="I525" s="8">
        <f t="shared" ref="I525:J525" si="526">len(B525)</f>
        <v>13</v>
      </c>
      <c r="J525" s="8">
        <f t="shared" si="526"/>
        <v>35</v>
      </c>
      <c r="K525" s="8" t="s">
        <v>1495</v>
      </c>
    </row>
    <row r="526">
      <c r="A526" s="7" t="b">
        <v>0</v>
      </c>
      <c r="B526" s="8" t="s">
        <v>1496</v>
      </c>
      <c r="C526" s="8" t="s">
        <v>1497</v>
      </c>
      <c r="D526" s="8" t="str">
        <f>Q&amp;$K526&amp;Q&amp;":{"&amp;Q&amp;$B$2&amp;Q&amp;":"&amp;Q&amp;$B526&amp;Q&amp;","&amp;Q&amp;$C$2&amp;Q&amp;":"&amp;Q&amp;$C526&amp;Q&amp;","&amp;Q&amp;"sets"&amp;Q&amp;":"&amp;Q&amp;substitute(SUBSTITUTE($H526,"[",""),"]","")&amp;Q&amp;"},"</f>
        <v>"nrfl":{"label":"Stereotyped","extra":"(pigeonholed, caricatured, characterized) ","sets":"Basic Set, Party Set"},</v>
      </c>
      <c r="E526" s="9" t="str">
        <f t="shared" si="2"/>
        <v>data:image/svg+xml,%3csvg xmlns='http://www.w3.org/2000/svg' viewBox='0 0 24 216'%3e%3ctext fill='%23fff' style='font: 900 16px sans-serif' text-anchor='end' transform='matrix(0 -1 1 0 18 5)'%3eStereotyped%3c/text%3e%3c/svg%3e</v>
      </c>
      <c r="F526" s="10" t="str">
        <f t="shared" si="3"/>
        <v>https://svgtext.heliohost.us/cgi-bin/gen.perl?text=Stereotyped</v>
      </c>
      <c r="G526" s="11" t="str">
        <f t="shared" si="4"/>
        <v>data:image/svg+xml,%3csvg xmlns='http://www.w3.org/2000/svg' viewBox='0 0 24 216'%3e%3ctext fill='%23fff' style='font: 900 16px sans-serif' text-anchor='end' transform='matrix(0 -1 1 0 18 5)'%3eStereotyped%3c/text%3e%3c/svg%3e</v>
      </c>
      <c r="H526" s="8" t="s">
        <v>29</v>
      </c>
      <c r="I526" s="8">
        <f t="shared" ref="I526:J526" si="527">len(B526)</f>
        <v>11</v>
      </c>
      <c r="J526" s="8">
        <f t="shared" si="527"/>
        <v>42</v>
      </c>
      <c r="K526" s="8" t="s">
        <v>1498</v>
      </c>
    </row>
    <row r="527">
      <c r="A527" s="7" t="b">
        <v>0</v>
      </c>
      <c r="B527" s="8" t="s">
        <v>1499</v>
      </c>
      <c r="C527" s="8" t="s">
        <v>1500</v>
      </c>
      <c r="D527" s="8" t="str">
        <f>Q&amp;$K527&amp;Q&amp;":{"&amp;Q&amp;$B$2&amp;Q&amp;":"&amp;Q&amp;$B527&amp;Q&amp;","&amp;Q&amp;$C$2&amp;Q&amp;":"&amp;Q&amp;$C527&amp;Q&amp;","&amp;Q&amp;"sets"&amp;Q&amp;":"&amp;Q&amp;substitute(SUBSTITUTE($H527,"[",""),"]","")&amp;Q&amp;"},"</f>
        <v>"yyge":{"label":"Sticky","extra":"(gummy, pasty) ","sets":"Junior 9+ (2nd)"},</v>
      </c>
      <c r="E527" s="9" t="str">
        <f t="shared" si="2"/>
        <v>data:image/svg+xml,%3csvg xmlns='http://www.w3.org/2000/svg' viewBox='0 0 24 216'%3e%3ctext fill='%23fff' style='font: 900 16px sans-serif' text-anchor='end' transform='matrix(0 -1 1 0 18 5)'%3eSticky%3c/text%3e%3c/svg%3e</v>
      </c>
      <c r="F527" s="10" t="str">
        <f t="shared" si="3"/>
        <v>https://svgtext.heliohost.us/cgi-bin/gen.perl?text=Sticky</v>
      </c>
      <c r="G527" s="11" t="str">
        <f t="shared" si="4"/>
        <v>data:image/svg+xml,%3csvg xmlns='http://www.w3.org/2000/svg' viewBox='0 0 24 216'%3e%3ctext fill='%23fff' style='font: 900 16px sans-serif' text-anchor='end' transform='matrix(0 -1 1 0 18 5)'%3eSticky%3c/text%3e%3c/svg%3e</v>
      </c>
      <c r="H527" s="8" t="s">
        <v>32</v>
      </c>
      <c r="I527" s="8">
        <f t="shared" ref="I527:J527" si="528">len(B527)</f>
        <v>6</v>
      </c>
      <c r="J527" s="8">
        <f t="shared" si="528"/>
        <v>15</v>
      </c>
      <c r="K527" s="8" t="s">
        <v>1501</v>
      </c>
    </row>
    <row r="528">
      <c r="A528" s="7" t="b">
        <v>0</v>
      </c>
      <c r="B528" s="8" t="s">
        <v>1502</v>
      </c>
      <c r="C528" s="8" t="s">
        <v>1503</v>
      </c>
      <c r="D528" s="8" t="str">
        <f>Q&amp;$K528&amp;Q&amp;":{"&amp;Q&amp;$B$2&amp;Q&amp;":"&amp;Q&amp;$B528&amp;Q&amp;","&amp;Q&amp;$C$2&amp;Q&amp;":"&amp;Q&amp;$C528&amp;Q&amp;","&amp;Q&amp;"sets"&amp;Q&amp;":"&amp;Q&amp;substitute(SUBSTITUTE($H528,"[",""),"]","")&amp;Q&amp;"},"</f>
        <v>"wxdi":{"label":"Stinky","extra":"(smelly, bad odor) ","sets":"Junior"},</v>
      </c>
      <c r="E528" s="9" t="str">
        <f t="shared" si="2"/>
        <v>data:image/svg+xml,%3csvg xmlns='http://www.w3.org/2000/svg' viewBox='0 0 24 216'%3e%3ctext fill='%23fff' style='font: 900 16px sans-serif' text-anchor='end' transform='matrix(0 -1 1 0 18 5)'%3eStinky%3c/text%3e%3c/svg%3e</v>
      </c>
      <c r="F528" s="10" t="str">
        <f t="shared" si="3"/>
        <v>https://svgtext.heliohost.us/cgi-bin/gen.perl?text=Stinky</v>
      </c>
      <c r="G528" s="11" t="str">
        <f t="shared" si="4"/>
        <v>data:image/svg+xml,%3csvg xmlns='http://www.w3.org/2000/svg' viewBox='0 0 24 216'%3e%3ctext fill='%23fff' style='font: 900 16px sans-serif' text-anchor='end' transform='matrix(0 -1 1 0 18 5)'%3eStinky%3c/text%3e%3c/svg%3e</v>
      </c>
      <c r="H528" s="8" t="s">
        <v>84</v>
      </c>
      <c r="I528" s="8">
        <f t="shared" ref="I528:J528" si="529">len(B528)</f>
        <v>6</v>
      </c>
      <c r="J528" s="8">
        <f t="shared" si="529"/>
        <v>19</v>
      </c>
      <c r="K528" s="8" t="s">
        <v>1504</v>
      </c>
    </row>
    <row r="529">
      <c r="A529" s="7" t="b">
        <v>0</v>
      </c>
      <c r="B529" s="8" t="s">
        <v>1505</v>
      </c>
      <c r="C529" s="8" t="s">
        <v>1506</v>
      </c>
      <c r="D529" s="8" t="str">
        <f>Q&amp;$K529&amp;Q&amp;":{"&amp;Q&amp;$B$2&amp;Q&amp;":"&amp;Q&amp;$B529&amp;Q&amp;","&amp;Q&amp;$C$2&amp;Q&amp;":"&amp;Q&amp;$C529&amp;Q&amp;","&amp;Q&amp;"sets"&amp;Q&amp;":"&amp;Q&amp;substitute(SUBSTITUTE($H529,"[",""),"]","")&amp;Q&amp;"},"</f>
        <v>"izbb":{"label":"Straight","extra":"(not curved, direct) ","sets":"Junior 9+ (2nd)"},</v>
      </c>
      <c r="E529" s="9" t="str">
        <f t="shared" si="2"/>
        <v>data:image/svg+xml,%3csvg xmlns='http://www.w3.org/2000/svg' viewBox='0 0 24 216'%3e%3ctext fill='%23fff' style='font: 900 16px sans-serif' text-anchor='end' transform='matrix(0 -1 1 0 18 5)'%3eStraight%3c/text%3e%3c/svg%3e</v>
      </c>
      <c r="F529" s="10" t="str">
        <f t="shared" si="3"/>
        <v>https://svgtext.heliohost.us/cgi-bin/gen.perl?text=Straight</v>
      </c>
      <c r="G529" s="11" t="str">
        <f t="shared" si="4"/>
        <v>data:image/svg+xml,%3csvg xmlns='http://www.w3.org/2000/svg' viewBox='0 0 24 216'%3e%3ctext fill='%23fff' style='font: 900 16px sans-serif' text-anchor='end' transform='matrix(0 -1 1 0 18 5)'%3eStraight%3c/text%3e%3c/svg%3e</v>
      </c>
      <c r="H529" s="8" t="s">
        <v>32</v>
      </c>
      <c r="I529" s="8">
        <f t="shared" ref="I529:J529" si="530">len(B529)</f>
        <v>8</v>
      </c>
      <c r="J529" s="8">
        <f t="shared" si="530"/>
        <v>21</v>
      </c>
      <c r="K529" s="8" t="s">
        <v>1507</v>
      </c>
    </row>
    <row r="530">
      <c r="A530" s="7" t="b">
        <v>0</v>
      </c>
      <c r="B530" s="8" t="s">
        <v>1508</v>
      </c>
      <c r="C530" s="8" t="s">
        <v>1509</v>
      </c>
      <c r="D530" s="8" t="str">
        <f>Q&amp;$K530&amp;Q&amp;":{"&amp;Q&amp;$B$2&amp;Q&amp;":"&amp;Q&amp;$B530&amp;Q&amp;","&amp;Q&amp;$C$2&amp;Q&amp;":"&amp;Q&amp;$C530&amp;Q&amp;","&amp;Q&amp;"sets"&amp;Q&amp;":"&amp;Q&amp;substitute(SUBSTITUTE($H530,"[",""),"]","")&amp;Q&amp;"},"</f>
        <v>"kpnf":{"label":"Strange","extra":"(odd, unusual) ","sets":"Junior"},</v>
      </c>
      <c r="E530" s="9" t="str">
        <f t="shared" si="2"/>
        <v>data:image/svg+xml,%3csvg xmlns='http://www.w3.org/2000/svg' viewBox='0 0 24 216'%3e%3ctext fill='%23fff' style='font: 900 16px sans-serif' text-anchor='end' transform='matrix(0 -1 1 0 18 5)'%3eStrange%3c/text%3e%3c/svg%3e</v>
      </c>
      <c r="F530" s="10" t="str">
        <f t="shared" si="3"/>
        <v>https://svgtext.heliohost.us/cgi-bin/gen.perl?text=Strange</v>
      </c>
      <c r="G530" s="11" t="str">
        <f t="shared" si="4"/>
        <v>data:image/svg+xml,%3csvg xmlns='http://www.w3.org/2000/svg' viewBox='0 0 24 216'%3e%3ctext fill='%23fff' style='font: 900 16px sans-serif' text-anchor='end' transform='matrix(0 -1 1 0 18 5)'%3eStrange%3c/text%3e%3c/svg%3e</v>
      </c>
      <c r="H530" s="8" t="s">
        <v>84</v>
      </c>
      <c r="I530" s="8">
        <f t="shared" ref="I530:J530" si="531">len(B530)</f>
        <v>7</v>
      </c>
      <c r="J530" s="8">
        <f t="shared" si="531"/>
        <v>15</v>
      </c>
      <c r="K530" s="8" t="s">
        <v>1510</v>
      </c>
    </row>
    <row r="531">
      <c r="A531" s="7" t="b">
        <v>0</v>
      </c>
      <c r="B531" s="8" t="s">
        <v>1511</v>
      </c>
      <c r="C531" s="8" t="s">
        <v>1512</v>
      </c>
      <c r="D531" s="8" t="str">
        <f>Q&amp;$K531&amp;Q&amp;":{"&amp;Q&amp;$B$2&amp;Q&amp;":"&amp;Q&amp;$B531&amp;Q&amp;","&amp;Q&amp;$C$2&amp;Q&amp;":"&amp;Q&amp;$C531&amp;Q&amp;","&amp;Q&amp;"sets"&amp;Q&amp;":"&amp;Q&amp;substitute(SUBSTITUTE($H531,"[",""),"]","")&amp;Q&amp;"},"</f>
        <v>"krtf":{"label":"Strong","extra":"(powerful, forceful) ","sets":"Junior"},</v>
      </c>
      <c r="E531" s="9" t="str">
        <f t="shared" si="2"/>
        <v>data:image/svg+xml,%3csvg xmlns='http://www.w3.org/2000/svg' viewBox='0 0 24 216'%3e%3ctext fill='%23fff' style='font: 900 16px sans-serif' text-anchor='end' transform='matrix(0 -1 1 0 18 5)'%3eStrong%3c/text%3e%3c/svg%3e</v>
      </c>
      <c r="F531" s="10" t="str">
        <f t="shared" si="3"/>
        <v>https://svgtext.heliohost.us/cgi-bin/gen.perl?text=Strong</v>
      </c>
      <c r="G531" s="11" t="str">
        <f t="shared" si="4"/>
        <v>data:image/svg+xml,%3csvg xmlns='http://www.w3.org/2000/svg' viewBox='0 0 24 216'%3e%3ctext fill='%23fff' style='font: 900 16px sans-serif' text-anchor='end' transform='matrix(0 -1 1 0 18 5)'%3eStrong%3c/text%3e%3c/svg%3e</v>
      </c>
      <c r="H531" s="8" t="s">
        <v>84</v>
      </c>
      <c r="I531" s="8">
        <f t="shared" ref="I531:J531" si="532">len(B531)</f>
        <v>6</v>
      </c>
      <c r="J531" s="8">
        <f t="shared" si="532"/>
        <v>21</v>
      </c>
      <c r="K531" s="8" t="s">
        <v>1513</v>
      </c>
    </row>
    <row r="532">
      <c r="A532" s="7" t="b">
        <v>0</v>
      </c>
      <c r="B532" s="8" t="s">
        <v>1514</v>
      </c>
      <c r="C532" s="8" t="s">
        <v>1515</v>
      </c>
      <c r="D532" s="8" t="str">
        <f>Q&amp;$K532&amp;Q&amp;":{"&amp;Q&amp;$B$2&amp;Q&amp;":"&amp;Q&amp;$B532&amp;Q&amp;","&amp;Q&amp;$C$2&amp;Q&amp;":"&amp;Q&amp;$C532&amp;Q&amp;","&amp;Q&amp;"sets"&amp;Q&amp;":"&amp;Q&amp;substitute(SUBSTITUTE($H532,"[",""),"]","")&amp;Q&amp;"},"</f>
        <v>"hdds":{"label":"Stunning","extra":"(astonishing, staggering, astounding) ","sets":"Basic Set, Party Set"},</v>
      </c>
      <c r="E532" s="9" t="str">
        <f t="shared" si="2"/>
        <v>data:image/svg+xml,%3csvg xmlns='http://www.w3.org/2000/svg' viewBox='0 0 24 216'%3e%3ctext fill='%23fff' style='font: 900 16px sans-serif' text-anchor='end' transform='matrix(0 -1 1 0 18 5)'%3eStunning%3c/text%3e%3c/svg%3e</v>
      </c>
      <c r="F532" s="10" t="str">
        <f t="shared" si="3"/>
        <v>https://svgtext.heliohost.us/cgi-bin/gen.perl?text=Stunning</v>
      </c>
      <c r="G532" s="11" t="str">
        <f t="shared" si="4"/>
        <v>data:image/svg+xml,%3csvg xmlns='http://www.w3.org/2000/svg' viewBox='0 0 24 216'%3e%3ctext fill='%23fff' style='font: 900 16px sans-serif' text-anchor='end' transform='matrix(0 -1 1 0 18 5)'%3eStunning%3c/text%3e%3c/svg%3e</v>
      </c>
      <c r="H532" s="8" t="s">
        <v>29</v>
      </c>
      <c r="I532" s="8">
        <f t="shared" ref="I532:J532" si="533">len(B532)</f>
        <v>8</v>
      </c>
      <c r="J532" s="8">
        <f t="shared" si="533"/>
        <v>38</v>
      </c>
      <c r="K532" s="8" t="s">
        <v>1516</v>
      </c>
    </row>
    <row r="533">
      <c r="A533" s="7" t="b">
        <v>1</v>
      </c>
      <c r="B533" s="8" t="s">
        <v>1517</v>
      </c>
      <c r="C533" s="8" t="s">
        <v>1518</v>
      </c>
      <c r="D533" s="8" t="str">
        <f>Q&amp;$K533&amp;Q&amp;":{"&amp;Q&amp;$B$2&amp;Q&amp;":"&amp;Q&amp;$B533&amp;Q&amp;","&amp;Q&amp;$C$2&amp;Q&amp;":"&amp;Q&amp;$C533&amp;Q&amp;","&amp;Q&amp;"sets"&amp;Q&amp;":"&amp;Q&amp;substitute(SUBSTITUTE($H533,"[",""),"]","")&amp;Q&amp;"},"</f>
        <v>"ccvx":{"label":"Stupid","extra":"(ignorant, unintelligent, inane) ","sets":"Expansion Set 3, Party Expansion 1"},</v>
      </c>
      <c r="E533" s="9" t="str">
        <f t="shared" si="2"/>
        <v>data:image/svg+xml,%3csvg xmlns='http://www.w3.org/2000/svg' viewBox='0 0 24 216'%3e%3ctext fill='%23fff' style='font: 900 16px sans-serif' text-anchor='end' transform='matrix(0 -1 1 0 18 5)'%3eStupid%3c/text%3e%3c/svg%3e</v>
      </c>
      <c r="F533" s="10" t="str">
        <f t="shared" si="3"/>
        <v>https://svgtext.heliohost.us/cgi-bin/gen.perl?text=Stupid</v>
      </c>
      <c r="G533" s="11" t="str">
        <f t="shared" si="4"/>
        <v>data:image/svg+xml,%3csvg xmlns='http://www.w3.org/2000/svg' viewBox='0 0 24 216'%3e%3ctext fill='%23fff' style='font: 900 16px sans-serif' text-anchor='end' transform='matrix(0 -1 1 0 18 5)'%3eStupid%3c/text%3e%3c/svg%3e</v>
      </c>
      <c r="H533" s="8" t="s">
        <v>39</v>
      </c>
      <c r="I533" s="8">
        <f t="shared" ref="I533:J533" si="534">len(B533)</f>
        <v>6</v>
      </c>
      <c r="J533" s="8">
        <f t="shared" si="534"/>
        <v>33</v>
      </c>
      <c r="K533" s="8" t="s">
        <v>1519</v>
      </c>
    </row>
    <row r="534">
      <c r="A534" s="7" t="b">
        <v>0</v>
      </c>
      <c r="B534" s="8" t="s">
        <v>1520</v>
      </c>
      <c r="C534" s="8" t="s">
        <v>1521</v>
      </c>
      <c r="D534" s="8" t="str">
        <f>Q&amp;$K534&amp;Q&amp;":{"&amp;Q&amp;$B$2&amp;Q&amp;":"&amp;Q&amp;$B534&amp;Q&amp;","&amp;Q&amp;$C$2&amp;Q&amp;":"&amp;Q&amp;$C534&amp;Q&amp;","&amp;Q&amp;"sets"&amp;Q&amp;":"&amp;Q&amp;substitute(SUBSTITUTE($H534,"[",""),"]","")&amp;Q&amp;"},"</f>
        <v>"gywb":{"label":"Sultry","extra":"(sweltering, humid, sensual) ","sets":"Expansion Set 2, Party Set"},</v>
      </c>
      <c r="E534" s="9" t="str">
        <f t="shared" si="2"/>
        <v>data:image/svg+xml,%3csvg xmlns='http://www.w3.org/2000/svg' viewBox='0 0 24 216'%3e%3ctext fill='%23fff' style='font: 900 16px sans-serif' text-anchor='end' transform='matrix(0 -1 1 0 18 5)'%3eSultry%3c/text%3e%3c/svg%3e</v>
      </c>
      <c r="F534" s="10" t="str">
        <f t="shared" si="3"/>
        <v>https://svgtext.heliohost.us/cgi-bin/gen.perl?text=Sultry</v>
      </c>
      <c r="G534" s="11" t="str">
        <f t="shared" si="4"/>
        <v>data:image/svg+xml,%3csvg xmlns='http://www.w3.org/2000/svg' viewBox='0 0 24 216'%3e%3ctext fill='%23fff' style='font: 900 16px sans-serif' text-anchor='end' transform='matrix(0 -1 1 0 18 5)'%3eSultry%3c/text%3e%3c/svg%3e</v>
      </c>
      <c r="H534" s="8" t="s">
        <v>17</v>
      </c>
      <c r="I534" s="8">
        <f t="shared" ref="I534:J534" si="535">len(B534)</f>
        <v>6</v>
      </c>
      <c r="J534" s="8">
        <f t="shared" si="535"/>
        <v>29</v>
      </c>
      <c r="K534" s="8" t="s">
        <v>1522</v>
      </c>
    </row>
    <row r="535">
      <c r="A535" s="7" t="b">
        <v>1</v>
      </c>
      <c r="B535" s="8" t="s">
        <v>1523</v>
      </c>
      <c r="C535" s="8" t="s">
        <v>1524</v>
      </c>
      <c r="D535" s="8" t="str">
        <f>Q&amp;$K535&amp;Q&amp;":{"&amp;Q&amp;$B$2&amp;Q&amp;":"&amp;Q&amp;$B535&amp;Q&amp;","&amp;Q&amp;$C$2&amp;Q&amp;":"&amp;Q&amp;$C535&amp;Q&amp;","&amp;Q&amp;"sets"&amp;Q&amp;":"&amp;Q&amp;substitute(SUBSTITUTE($H535,"[",""),"]","")&amp;Q&amp;"},"</f>
        <v>"rtno":{"label":"Surprising","extra":"(unexpected, amazing) ","sets":"Junior 9+ (2nd)"},</v>
      </c>
      <c r="E535" s="9" t="str">
        <f t="shared" si="2"/>
        <v>data:image/svg+xml,%3csvg xmlns='http://www.w3.org/2000/svg' viewBox='0 0 24 216'%3e%3ctext fill='%23fff' style='font: 900 16px sans-serif' text-anchor='end' transform='matrix(0 -1 1 0 18 5)'%3eSurprising%3c/text%3e%3c/svg%3e</v>
      </c>
      <c r="F535" s="10" t="str">
        <f t="shared" si="3"/>
        <v>https://svgtext.heliohost.us/cgi-bin/gen.perl?text=Surprising</v>
      </c>
      <c r="G535" s="11" t="str">
        <f t="shared" si="4"/>
        <v>data:image/svg+xml,%3csvg xmlns='http://www.w3.org/2000/svg' viewBox='0 0 24 216'%3e%3ctext fill='%23fff' style='font: 900 16px sans-serif' text-anchor='end' transform='matrix(0 -1 1 0 18 5)'%3eSurprising%3c/text%3e%3c/svg%3e</v>
      </c>
      <c r="H535" s="8" t="s">
        <v>32</v>
      </c>
      <c r="I535" s="8">
        <f t="shared" ref="I535:J535" si="536">len(B535)</f>
        <v>10</v>
      </c>
      <c r="J535" s="8">
        <f t="shared" si="536"/>
        <v>22</v>
      </c>
      <c r="K535" s="8" t="s">
        <v>1525</v>
      </c>
    </row>
    <row r="536">
      <c r="A536" s="7" t="b">
        <v>0</v>
      </c>
      <c r="B536" s="8" t="s">
        <v>1526</v>
      </c>
      <c r="C536" s="8" t="s">
        <v>1527</v>
      </c>
      <c r="D536" s="8" t="str">
        <f>Q&amp;$K536&amp;Q&amp;":{"&amp;Q&amp;$B$2&amp;Q&amp;":"&amp;Q&amp;$B536&amp;Q&amp;","&amp;Q&amp;$C$2&amp;Q&amp;":"&amp;Q&amp;$C536&amp;Q&amp;","&amp;Q&amp;"sets"&amp;Q&amp;":"&amp;Q&amp;substitute(SUBSTITUTE($H536,"[",""),"]","")&amp;Q&amp;"},"</f>
        <v>"lvef":{"label":"Sweet","extra":"(sugary, caring, good) ","sets":"Basic Set, Party Set"},</v>
      </c>
      <c r="E536" s="9" t="str">
        <f t="shared" si="2"/>
        <v>data:image/svg+xml,%3csvg xmlns='http://www.w3.org/2000/svg' viewBox='0 0 24 216'%3e%3ctext fill='%23fff' style='font: 900 16px sans-serif' text-anchor='end' transform='matrix(0 -1 1 0 18 5)'%3eSweet%3c/text%3e%3c/svg%3e</v>
      </c>
      <c r="F536" s="10" t="str">
        <f t="shared" si="3"/>
        <v>https://svgtext.heliohost.us/cgi-bin/gen.perl?text=Sweet</v>
      </c>
      <c r="G536" s="11" t="str">
        <f t="shared" si="4"/>
        <v>data:image/svg+xml,%3csvg xmlns='http://www.w3.org/2000/svg' viewBox='0 0 24 216'%3e%3ctext fill='%23fff' style='font: 900 16px sans-serif' text-anchor='end' transform='matrix(0 -1 1 0 18 5)'%3eSweet%3c/text%3e%3c/svg%3e</v>
      </c>
      <c r="H536" s="8" t="s">
        <v>29</v>
      </c>
      <c r="I536" s="8">
        <f t="shared" ref="I536:J536" si="537">len(B536)</f>
        <v>5</v>
      </c>
      <c r="J536" s="8">
        <f t="shared" si="537"/>
        <v>23</v>
      </c>
      <c r="K536" s="8" t="s">
        <v>1528</v>
      </c>
    </row>
    <row r="537">
      <c r="A537" s="7" t="b">
        <v>1</v>
      </c>
      <c r="B537" s="8" t="s">
        <v>1526</v>
      </c>
      <c r="C537" s="8" t="s">
        <v>1529</v>
      </c>
      <c r="D537" s="8" t="str">
        <f>Q&amp;$K537&amp;Q&amp;":{"&amp;Q&amp;$B$2&amp;Q&amp;":"&amp;Q&amp;$B537&amp;Q&amp;","&amp;Q&amp;$C$2&amp;Q&amp;":"&amp;Q&amp;$C537&amp;Q&amp;","&amp;Q&amp;"sets"&amp;Q&amp;":"&amp;Q&amp;substitute(SUBSTITUTE($H537,"[",""),"]","")&amp;Q&amp;"},"</f>
        <v>"hbxd":{"label":"Sweet","extra":"(sugary, nice) ","sets":"Junior"},</v>
      </c>
      <c r="E537" s="9" t="str">
        <f t="shared" si="2"/>
        <v>data:image/svg+xml,%3csvg xmlns='http://www.w3.org/2000/svg' viewBox='0 0 24 216'%3e%3ctext fill='%23fff' style='font: 900 16px sans-serif' text-anchor='end' transform='matrix(0 -1 1 0 18 5)'%3eSweet%3c/text%3e%3c/svg%3e</v>
      </c>
      <c r="F537" s="10" t="str">
        <f t="shared" si="3"/>
        <v>https://svgtext.heliohost.us/cgi-bin/gen.perl?text=Sweet</v>
      </c>
      <c r="G537" s="11" t="str">
        <f t="shared" si="4"/>
        <v>data:image/svg+xml,%3csvg xmlns='http://www.w3.org/2000/svg' viewBox='0 0 24 216'%3e%3ctext fill='%23fff' style='font: 900 16px sans-serif' text-anchor='end' transform='matrix(0 -1 1 0 18 5)'%3eSweet%3c/text%3e%3c/svg%3e</v>
      </c>
      <c r="H537" s="8" t="s">
        <v>84</v>
      </c>
      <c r="I537" s="8">
        <f t="shared" ref="I537:J537" si="538">len(B537)</f>
        <v>5</v>
      </c>
      <c r="J537" s="8">
        <f t="shared" si="538"/>
        <v>15</v>
      </c>
      <c r="K537" s="8" t="s">
        <v>1530</v>
      </c>
    </row>
    <row r="538">
      <c r="A538" s="7" t="b">
        <v>0</v>
      </c>
      <c r="B538" s="8" t="s">
        <v>1531</v>
      </c>
      <c r="C538" s="8" t="s">
        <v>1532</v>
      </c>
      <c r="D538" s="8" t="str">
        <f>Q&amp;$K538&amp;Q&amp;":{"&amp;Q&amp;$B$2&amp;Q&amp;":"&amp;Q&amp;$B538&amp;Q&amp;","&amp;Q&amp;$C$2&amp;Q&amp;":"&amp;Q&amp;$C538&amp;Q&amp;","&amp;Q&amp;"sets"&amp;Q&amp;":"&amp;Q&amp;substitute(SUBSTITUTE($H538,"[",""),"]","")&amp;Q&amp;"},"</f>
        <v>"zlvb":{"label":"Swift","extra":"(quick, speedy, expeditious) ","sets":"Basic Set, Party Set"},</v>
      </c>
      <c r="E538" s="9" t="str">
        <f t="shared" si="2"/>
        <v>data:image/svg+xml,%3csvg xmlns='http://www.w3.org/2000/svg' viewBox='0 0 24 216'%3e%3ctext fill='%23fff' style='font: 900 16px sans-serif' text-anchor='end' transform='matrix(0 -1 1 0 18 5)'%3eSwift%3c/text%3e%3c/svg%3e</v>
      </c>
      <c r="F538" s="10" t="str">
        <f t="shared" si="3"/>
        <v>https://svgtext.heliohost.us/cgi-bin/gen.perl?text=Swift</v>
      </c>
      <c r="G538" s="11" t="str">
        <f t="shared" si="4"/>
        <v>data:image/svg+xml,%3csvg xmlns='http://www.w3.org/2000/svg' viewBox='0 0 24 216'%3e%3ctext fill='%23fff' style='font: 900 16px sans-serif' text-anchor='end' transform='matrix(0 -1 1 0 18 5)'%3eSwift%3c/text%3e%3c/svg%3e</v>
      </c>
      <c r="H538" s="8" t="s">
        <v>29</v>
      </c>
      <c r="I538" s="8">
        <f t="shared" ref="I538:J538" si="539">len(B538)</f>
        <v>5</v>
      </c>
      <c r="J538" s="8">
        <f t="shared" si="539"/>
        <v>29</v>
      </c>
      <c r="K538" s="8" t="s">
        <v>1533</v>
      </c>
    </row>
    <row r="539">
      <c r="A539" s="7" t="b">
        <v>0</v>
      </c>
      <c r="B539" s="8" t="s">
        <v>1534</v>
      </c>
      <c r="C539" s="8" t="s">
        <v>1535</v>
      </c>
      <c r="D539" s="8" t="str">
        <f>Q&amp;$K539&amp;Q&amp;":{"&amp;Q&amp;$B$2&amp;Q&amp;":"&amp;Q&amp;$B539&amp;Q&amp;","&amp;Q&amp;$C$2&amp;Q&amp;":"&amp;Q&amp;$C539&amp;Q&amp;","&amp;Q&amp;"sets"&amp;Q&amp;":"&amp;Q&amp;substitute(SUBSTITUTE($H539,"[",""),"]","")&amp;Q&amp;"},"</f>
        <v>"cekw":{"label":"Swift &amp; Sure","extra":"(steady, prompt, definite) ","sets":"Expansion Set 4, Party Expansion 1"},</v>
      </c>
      <c r="E539" s="9" t="str">
        <f t="shared" si="2"/>
        <v>data:image/svg+xml,%3csvg xmlns='http://www.w3.org/2000/svg' viewBox='0 0 24 216'%3e%3ctext fill='%23fff' style='font: 900 16px sans-serif' text-anchor='end' transform='matrix(0 -1 1 0 18 5)'%3eSwift %26amp%3B Sure%3c/text%3e%3c/svg%3e</v>
      </c>
      <c r="F539" s="10" t="str">
        <f t="shared" si="3"/>
        <v>https://svgtext.heliohost.us/cgi-bin/gen.perl?text=Swift%20%26%20Sure</v>
      </c>
      <c r="G539" s="11" t="str">
        <f t="shared" si="4"/>
        <v>data:image/svg+xml,%3csvg xmlns='http://www.w3.org/2000/svg' viewBox='0 0 24 216'%3e%3ctext fill='%23fff' style='font: 900 16px sans-serif' text-anchor='end' transform='matrix(0 -1 1 0 18 5)'%3eSwift %26amp%3B Sure%3c/text%3e%3c/svg%3e</v>
      </c>
      <c r="H539" s="8" t="s">
        <v>63</v>
      </c>
      <c r="I539" s="8">
        <f t="shared" ref="I539:J539" si="540">len(B539)</f>
        <v>12</v>
      </c>
      <c r="J539" s="8">
        <f t="shared" si="540"/>
        <v>27</v>
      </c>
      <c r="K539" s="8" t="s">
        <v>1536</v>
      </c>
    </row>
    <row r="540">
      <c r="A540" s="7" t="b">
        <v>0</v>
      </c>
      <c r="B540" s="8" t="s">
        <v>1537</v>
      </c>
      <c r="C540" s="8" t="s">
        <v>1538</v>
      </c>
      <c r="D540" s="8" t="str">
        <f>Q&amp;$K540&amp;Q&amp;":{"&amp;Q&amp;$B$2&amp;Q&amp;":"&amp;Q&amp;$B540&amp;Q&amp;","&amp;Q&amp;$C$2&amp;Q&amp;":"&amp;Q&amp;$C540&amp;Q&amp;","&amp;Q&amp;"sets"&amp;Q&amp;":"&amp;Q&amp;substitute(SUBSTITUTE($H540,"[",""),"]","")&amp;Q&amp;"},"</f>
        <v>"necc":{"label":"Talented","extra":"(gifted, clever, skillful) ","sets":"Basic Set, Party Set"},</v>
      </c>
      <c r="E540" s="9" t="str">
        <f t="shared" si="2"/>
        <v>data:image/svg+xml,%3csvg xmlns='http://www.w3.org/2000/svg' viewBox='0 0 24 216'%3e%3ctext fill='%23fff' style='font: 900 16px sans-serif' text-anchor='end' transform='matrix(0 -1 1 0 18 5)'%3eTalented%3c/text%3e%3c/svg%3e</v>
      </c>
      <c r="F540" s="10" t="str">
        <f t="shared" si="3"/>
        <v>https://svgtext.heliohost.us/cgi-bin/gen.perl?text=Talented</v>
      </c>
      <c r="G540" s="11" t="str">
        <f t="shared" si="4"/>
        <v>data:image/svg+xml,%3csvg xmlns='http://www.w3.org/2000/svg' viewBox='0 0 24 216'%3e%3ctext fill='%23fff' style='font: 900 16px sans-serif' text-anchor='end' transform='matrix(0 -1 1 0 18 5)'%3eTalented%3c/text%3e%3c/svg%3e</v>
      </c>
      <c r="H540" s="8" t="s">
        <v>29</v>
      </c>
      <c r="I540" s="8">
        <f t="shared" ref="I540:J540" si="541">len(B540)</f>
        <v>8</v>
      </c>
      <c r="J540" s="8">
        <f t="shared" si="541"/>
        <v>27</v>
      </c>
      <c r="K540" s="8" t="s">
        <v>1539</v>
      </c>
    </row>
    <row r="541">
      <c r="A541" s="7" t="b">
        <v>1</v>
      </c>
      <c r="B541" s="8" t="s">
        <v>1537</v>
      </c>
      <c r="C541" s="8" t="s">
        <v>1540</v>
      </c>
      <c r="D541" s="8" t="str">
        <f>Q&amp;$K541&amp;Q&amp;":{"&amp;Q&amp;$B$2&amp;Q&amp;":"&amp;Q&amp;$B541&amp;Q&amp;","&amp;Q&amp;$C$2&amp;Q&amp;":"&amp;Q&amp;$C541&amp;Q&amp;","&amp;Q&amp;"sets"&amp;Q&amp;":"&amp;Q&amp;substitute(SUBSTITUTE($H541,"[",""),"]","")&amp;Q&amp;"},"</f>
        <v>"bkwd":{"label":"Talented","extra":"(skillful, gifted) ","sets":"Junior 9+ (1st) &amp; (2nd)"},</v>
      </c>
      <c r="E541" s="9" t="str">
        <f t="shared" si="2"/>
        <v>data:image/svg+xml,%3csvg xmlns='http://www.w3.org/2000/svg' viewBox='0 0 24 216'%3e%3ctext fill='%23fff' style='font: 900 16px sans-serif' text-anchor='end' transform='matrix(0 -1 1 0 18 5)'%3eTalented%3c/text%3e%3c/svg%3e</v>
      </c>
      <c r="F541" s="10" t="str">
        <f t="shared" si="3"/>
        <v>https://svgtext.heliohost.us/cgi-bin/gen.perl?text=Talented</v>
      </c>
      <c r="G541" s="11" t="str">
        <f t="shared" si="4"/>
        <v>data:image/svg+xml,%3csvg xmlns='http://www.w3.org/2000/svg' viewBox='0 0 24 216'%3e%3ctext fill='%23fff' style='font: 900 16px sans-serif' text-anchor='end' transform='matrix(0 -1 1 0 18 5)'%3eTalented%3c/text%3e%3c/svg%3e</v>
      </c>
      <c r="H541" s="8" t="s">
        <v>42</v>
      </c>
      <c r="I541" s="8">
        <f t="shared" ref="I541:J541" si="542">len(B541)</f>
        <v>8</v>
      </c>
      <c r="J541" s="8">
        <f t="shared" si="542"/>
        <v>19</v>
      </c>
      <c r="K541" s="8" t="s">
        <v>1541</v>
      </c>
    </row>
    <row r="542">
      <c r="A542" s="7" t="b">
        <v>0</v>
      </c>
      <c r="B542" s="8" t="s">
        <v>1542</v>
      </c>
      <c r="C542" s="8" t="s">
        <v>1543</v>
      </c>
      <c r="D542" s="8" t="str">
        <f>Q&amp;$K542&amp;Q&amp;":{"&amp;Q&amp;$B$2&amp;Q&amp;":"&amp;Q&amp;$B542&amp;Q&amp;","&amp;Q&amp;$C$2&amp;Q&amp;":"&amp;Q&amp;$C542&amp;Q&amp;","&amp;Q&amp;"sets"&amp;Q&amp;":"&amp;Q&amp;substitute(SUBSTITUTE($H542,"[",""),"]","")&amp;Q&amp;"},"</f>
        <v>"bgrf":{"label":"Tall","extra":"(not short, not low) ","sets":"Junior"},</v>
      </c>
      <c r="E542" s="9" t="str">
        <f t="shared" si="2"/>
        <v>data:image/svg+xml,%3csvg xmlns='http://www.w3.org/2000/svg' viewBox='0 0 24 216'%3e%3ctext fill='%23fff' style='font: 900 16px sans-serif' text-anchor='end' transform='matrix(0 -1 1 0 18 5)'%3eTall%3c/text%3e%3c/svg%3e</v>
      </c>
      <c r="F542" s="10" t="str">
        <f t="shared" si="3"/>
        <v>https://svgtext.heliohost.us/cgi-bin/gen.perl?text=Tall</v>
      </c>
      <c r="G542" s="11" t="str">
        <f t="shared" si="4"/>
        <v>data:image/svg+xml,%3csvg xmlns='http://www.w3.org/2000/svg' viewBox='0 0 24 216'%3e%3ctext fill='%23fff' style='font: 900 16px sans-serif' text-anchor='end' transform='matrix(0 -1 1 0 18 5)'%3eTall%3c/text%3e%3c/svg%3e</v>
      </c>
      <c r="H542" s="8" t="s">
        <v>84</v>
      </c>
      <c r="I542" s="8">
        <f t="shared" ref="I542:J542" si="543">len(B542)</f>
        <v>4</v>
      </c>
      <c r="J542" s="8">
        <f t="shared" si="543"/>
        <v>21</v>
      </c>
      <c r="K542" s="8" t="s">
        <v>1544</v>
      </c>
    </row>
    <row r="543">
      <c r="A543" s="7" t="b">
        <v>0</v>
      </c>
      <c r="B543" s="8" t="s">
        <v>1545</v>
      </c>
      <c r="C543" s="8" t="s">
        <v>1546</v>
      </c>
      <c r="D543" s="8" t="str">
        <f>Q&amp;$K543&amp;Q&amp;":{"&amp;Q&amp;$B$2&amp;Q&amp;":"&amp;Q&amp;$B543&amp;Q&amp;","&amp;Q&amp;$C$2&amp;Q&amp;":"&amp;Q&amp;$C543&amp;Q&amp;","&amp;Q&amp;"sets"&amp;Q&amp;":"&amp;Q&amp;substitute(SUBSTITUTE($H543,"[",""),"]","")&amp;Q&amp;"},"</f>
        <v>"fpnr":{"label":"Tame","extra":"(subdued, gentle, trained) ","sets":"Expansion Set 2, Party Set"},</v>
      </c>
      <c r="E543" s="9" t="str">
        <f t="shared" si="2"/>
        <v>data:image/svg+xml,%3csvg xmlns='http://www.w3.org/2000/svg' viewBox='0 0 24 216'%3e%3ctext fill='%23fff' style='font: 900 16px sans-serif' text-anchor='end' transform='matrix(0 -1 1 0 18 5)'%3eTame%3c/text%3e%3c/svg%3e</v>
      </c>
      <c r="F543" s="10" t="str">
        <f t="shared" si="3"/>
        <v>https://svgtext.heliohost.us/cgi-bin/gen.perl?text=Tame</v>
      </c>
      <c r="G543" s="11" t="str">
        <f t="shared" si="4"/>
        <v>data:image/svg+xml,%3csvg xmlns='http://www.w3.org/2000/svg' viewBox='0 0 24 216'%3e%3ctext fill='%23fff' style='font: 900 16px sans-serif' text-anchor='end' transform='matrix(0 -1 1 0 18 5)'%3eTame%3c/text%3e%3c/svg%3e</v>
      </c>
      <c r="H543" s="8" t="s">
        <v>17</v>
      </c>
      <c r="I543" s="8">
        <f t="shared" ref="I543:J543" si="544">len(B543)</f>
        <v>4</v>
      </c>
      <c r="J543" s="8">
        <f t="shared" si="544"/>
        <v>27</v>
      </c>
      <c r="K543" s="8" t="s">
        <v>1547</v>
      </c>
    </row>
    <row r="544">
      <c r="A544" s="7" t="b">
        <v>0</v>
      </c>
      <c r="B544" s="8" t="s">
        <v>1545</v>
      </c>
      <c r="C544" s="8" t="s">
        <v>1548</v>
      </c>
      <c r="D544" s="8" t="str">
        <f>Q&amp;$K544&amp;Q&amp;":{"&amp;Q&amp;$B$2&amp;Q&amp;":"&amp;Q&amp;$B544&amp;Q&amp;","&amp;Q&amp;$C$2&amp;Q&amp;":"&amp;Q&amp;$C544&amp;Q&amp;","&amp;Q&amp;"sets"&amp;Q&amp;":"&amp;Q&amp;substitute(SUBSTITUTE($H544,"[",""),"]","")&amp;Q&amp;"},"</f>
        <v>"jrik":{"label":"Tame","extra":"(not wild, mild) ","sets":"Junior 9+ (1st) &amp; (2nd)"},</v>
      </c>
      <c r="E544" s="9" t="str">
        <f t="shared" si="2"/>
        <v>data:image/svg+xml,%3csvg xmlns='http://www.w3.org/2000/svg' viewBox='0 0 24 216'%3e%3ctext fill='%23fff' style='font: 900 16px sans-serif' text-anchor='end' transform='matrix(0 -1 1 0 18 5)'%3eTame%3c/text%3e%3c/svg%3e</v>
      </c>
      <c r="F544" s="10" t="str">
        <f t="shared" si="3"/>
        <v>https://svgtext.heliohost.us/cgi-bin/gen.perl?text=Tame</v>
      </c>
      <c r="G544" s="11" t="str">
        <f t="shared" si="4"/>
        <v>data:image/svg+xml,%3csvg xmlns='http://www.w3.org/2000/svg' viewBox='0 0 24 216'%3e%3ctext fill='%23fff' style='font: 900 16px sans-serif' text-anchor='end' transform='matrix(0 -1 1 0 18 5)'%3eTame%3c/text%3e%3c/svg%3e</v>
      </c>
      <c r="H544" s="8" t="s">
        <v>42</v>
      </c>
      <c r="I544" s="8">
        <f t="shared" ref="I544:J544" si="545">len(B544)</f>
        <v>4</v>
      </c>
      <c r="J544" s="8">
        <f t="shared" si="545"/>
        <v>17</v>
      </c>
      <c r="K544" s="8" t="s">
        <v>1549</v>
      </c>
    </row>
    <row r="545">
      <c r="A545" s="7" t="b">
        <v>1</v>
      </c>
      <c r="B545" s="8" t="s">
        <v>1550</v>
      </c>
      <c r="C545" s="8" t="s">
        <v>1551</v>
      </c>
      <c r="D545" s="8" t="str">
        <f>Q&amp;$K545&amp;Q&amp;":{"&amp;Q&amp;$B$2&amp;Q&amp;":"&amp;Q&amp;$B545&amp;Q&amp;","&amp;Q&amp;$C$2&amp;Q&amp;":"&amp;Q&amp;$C545&amp;Q&amp;","&amp;Q&amp;"sets"&amp;Q&amp;":"&amp;Q&amp;substitute(SUBSTITUTE($H545,"[",""),"]","")&amp;Q&amp;"},"</f>
        <v>"vtgd":{"label":"Tasty","extra":"(flavorful, savory, appetizing) ","sets":"Expansion Set 3, Party Expansion 1"},</v>
      </c>
      <c r="E545" s="9" t="str">
        <f t="shared" si="2"/>
        <v>data:image/svg+xml,%3csvg xmlns='http://www.w3.org/2000/svg' viewBox='0 0 24 216'%3e%3ctext fill='%23fff' style='font: 900 16px sans-serif' text-anchor='end' transform='matrix(0 -1 1 0 18 5)'%3eTasty%3c/text%3e%3c/svg%3e</v>
      </c>
      <c r="F545" s="10" t="str">
        <f t="shared" si="3"/>
        <v>https://svgtext.heliohost.us/cgi-bin/gen.perl?text=Tasty</v>
      </c>
      <c r="G545" s="11" t="str">
        <f t="shared" si="4"/>
        <v>data:image/svg+xml,%3csvg xmlns='http://www.w3.org/2000/svg' viewBox='0 0 24 216'%3e%3ctext fill='%23fff' style='font: 900 16px sans-serif' text-anchor='end' transform='matrix(0 -1 1 0 18 5)'%3eTasty%3c/text%3e%3c/svg%3e</v>
      </c>
      <c r="H545" s="8" t="s">
        <v>39</v>
      </c>
      <c r="I545" s="8">
        <f t="shared" ref="I545:J545" si="546">len(B545)</f>
        <v>5</v>
      </c>
      <c r="J545" s="8">
        <f t="shared" si="546"/>
        <v>32</v>
      </c>
      <c r="K545" s="8" t="s">
        <v>1552</v>
      </c>
    </row>
    <row r="546">
      <c r="A546" s="7" t="b">
        <v>0</v>
      </c>
      <c r="B546" s="8" t="s">
        <v>1550</v>
      </c>
      <c r="C546" s="8" t="s">
        <v>1553</v>
      </c>
      <c r="D546" s="8" t="str">
        <f>Q&amp;$K546&amp;Q&amp;":{"&amp;Q&amp;$B$2&amp;Q&amp;":"&amp;Q&amp;$B546&amp;Q&amp;","&amp;Q&amp;$C$2&amp;Q&amp;":"&amp;Q&amp;$C546&amp;Q&amp;","&amp;Q&amp;"sets"&amp;Q&amp;":"&amp;Q&amp;substitute(SUBSTITUTE($H546,"[",""),"]","")&amp;Q&amp;"},"</f>
        <v>"qxtb":{"label":"Tasty","extra":"(flavorful, yummy) ","sets":"Junior"},</v>
      </c>
      <c r="E546" s="9" t="str">
        <f t="shared" si="2"/>
        <v>data:image/svg+xml,%3csvg xmlns='http://www.w3.org/2000/svg' viewBox='0 0 24 216'%3e%3ctext fill='%23fff' style='font: 900 16px sans-serif' text-anchor='end' transform='matrix(0 -1 1 0 18 5)'%3eTasty%3c/text%3e%3c/svg%3e</v>
      </c>
      <c r="F546" s="10" t="str">
        <f t="shared" si="3"/>
        <v>https://svgtext.heliohost.us/cgi-bin/gen.perl?text=Tasty</v>
      </c>
      <c r="G546" s="11" t="str">
        <f t="shared" si="4"/>
        <v>data:image/svg+xml,%3csvg xmlns='http://www.w3.org/2000/svg' viewBox='0 0 24 216'%3e%3ctext fill='%23fff' style='font: 900 16px sans-serif' text-anchor='end' transform='matrix(0 -1 1 0 18 5)'%3eTasty%3c/text%3e%3c/svg%3e</v>
      </c>
      <c r="H546" s="8" t="s">
        <v>84</v>
      </c>
      <c r="I546" s="8">
        <f t="shared" ref="I546:J546" si="547">len(B546)</f>
        <v>5</v>
      </c>
      <c r="J546" s="8">
        <f t="shared" si="547"/>
        <v>19</v>
      </c>
      <c r="K546" s="8" t="s">
        <v>1554</v>
      </c>
    </row>
    <row r="547">
      <c r="A547" s="7" t="b">
        <v>0</v>
      </c>
      <c r="B547" s="8" t="s">
        <v>1555</v>
      </c>
      <c r="C547" s="8" t="s">
        <v>1556</v>
      </c>
      <c r="D547" s="8" t="str">
        <f>Q&amp;$K547&amp;Q&amp;":{"&amp;Q&amp;$B$2&amp;Q&amp;":"&amp;Q&amp;$B547&amp;Q&amp;","&amp;Q&amp;$C$2&amp;Q&amp;":"&amp;Q&amp;$C547&amp;Q&amp;","&amp;Q&amp;"sets"&amp;Q&amp;":"&amp;Q&amp;substitute(SUBSTITUTE($H547,"[",""),"]","")&amp;Q&amp;"},"</f>
        <v>"sutg":{"label":"Technological","extra":"(scientific, futuristic, mechanical) ","sets":"Expansion Set 1, Party Set"},</v>
      </c>
      <c r="E547" s="9" t="str">
        <f t="shared" si="2"/>
        <v>data:image/svg+xml,%3csvg xmlns='http://www.w3.org/2000/svg' viewBox='0 0 24 216'%3e%3ctext fill='%23fff' style='font: 900 16px sans-serif' text-anchor='end' transform='matrix(0 -1 1 0 18 5)'%3eTechnological%3c/text%3e%3c/svg%3e</v>
      </c>
      <c r="F547" s="10" t="str">
        <f t="shared" si="3"/>
        <v>https://svgtext.heliohost.us/cgi-bin/gen.perl?text=Technological</v>
      </c>
      <c r="G547" s="11" t="str">
        <f t="shared" si="4"/>
        <v>data:image/svg+xml,%3csvg xmlns='http://www.w3.org/2000/svg' viewBox='0 0 24 216'%3e%3ctext fill='%23fff' style='font: 900 16px sans-serif' text-anchor='end' transform='matrix(0 -1 1 0 18 5)'%3eTechnological%3c/text%3e%3c/svg%3e</v>
      </c>
      <c r="H547" s="8" t="s">
        <v>25</v>
      </c>
      <c r="I547" s="8">
        <f t="shared" ref="I547:J547" si="548">len(B547)</f>
        <v>13</v>
      </c>
      <c r="J547" s="8">
        <f t="shared" si="548"/>
        <v>37</v>
      </c>
      <c r="K547" s="8" t="s">
        <v>1557</v>
      </c>
    </row>
    <row r="548">
      <c r="A548" s="7" t="b">
        <v>0</v>
      </c>
      <c r="B548" s="8" t="s">
        <v>1558</v>
      </c>
      <c r="C548" s="8" t="s">
        <v>1559</v>
      </c>
      <c r="D548" s="8" t="str">
        <f>Q&amp;$K548&amp;Q&amp;":{"&amp;Q&amp;$B$2&amp;Q&amp;":"&amp;Q&amp;$B548&amp;Q&amp;","&amp;Q&amp;$C$2&amp;Q&amp;":"&amp;Q&amp;$C548&amp;Q&amp;","&amp;Q&amp;"sets"&amp;Q&amp;":"&amp;Q&amp;substitute(SUBSTITUTE($H548,"[",""),"]","")&amp;Q&amp;"},"</f>
        <v>"urhi":{"label":"Temperamental","extra":"(moody, irritable, short-tempered) ","sets":"Basic Set, Party Set"},</v>
      </c>
      <c r="E548" s="9" t="str">
        <f t="shared" si="2"/>
        <v>data:image/svg+xml,%3csvg xmlns='http://www.w3.org/2000/svg' viewBox='0 0 24 216'%3e%3ctext fill='%23fff' style='font: 900 16px sans-serif' text-anchor='end' transform='matrix(0 -1 1 0 18 5)'%3eTemperamental%3c/text%3e%3c/svg%3e</v>
      </c>
      <c r="F548" s="10" t="str">
        <f t="shared" si="3"/>
        <v>https://svgtext.heliohost.us/cgi-bin/gen.perl?text=Temperamental</v>
      </c>
      <c r="G548" s="11" t="str">
        <f t="shared" si="4"/>
        <v>data:image/svg+xml,%3csvg xmlns='http://www.w3.org/2000/svg' viewBox='0 0 24 216'%3e%3ctext fill='%23fff' style='font: 900 16px sans-serif' text-anchor='end' transform='matrix(0 -1 1 0 18 5)'%3eTemperamental%3c/text%3e%3c/svg%3e</v>
      </c>
      <c r="H548" s="8" t="s">
        <v>29</v>
      </c>
      <c r="I548" s="8">
        <f t="shared" ref="I548:J548" si="549">len(B548)</f>
        <v>13</v>
      </c>
      <c r="J548" s="8">
        <f t="shared" si="549"/>
        <v>35</v>
      </c>
      <c r="K548" s="8" t="s">
        <v>1560</v>
      </c>
    </row>
    <row r="549">
      <c r="A549" s="7" t="b">
        <v>1</v>
      </c>
      <c r="B549" s="8" t="s">
        <v>1561</v>
      </c>
      <c r="C549" s="8" t="s">
        <v>1562</v>
      </c>
      <c r="D549" s="8" t="str">
        <f>Q&amp;$K549&amp;Q&amp;":{"&amp;Q&amp;$B$2&amp;Q&amp;":"&amp;Q&amp;$B549&amp;Q&amp;","&amp;Q&amp;$C$2&amp;Q&amp;":"&amp;Q&amp;$C549&amp;Q&amp;","&amp;Q&amp;"sets"&amp;Q&amp;":"&amp;Q&amp;substitute(SUBSTITUTE($H549,"[",""),"]","")&amp;Q&amp;"},"</f>
        <v>"quby":{"label":"Tempting","extra":"(seductive, enticing, alluring) ","sets":"Expansion Set 3, Party Expansion 1"},</v>
      </c>
      <c r="E549" s="9" t="str">
        <f t="shared" si="2"/>
        <v>data:image/svg+xml,%3csvg xmlns='http://www.w3.org/2000/svg' viewBox='0 0 24 216'%3e%3ctext fill='%23fff' style='font: 900 16px sans-serif' text-anchor='end' transform='matrix(0 -1 1 0 18 5)'%3eTempting%3c/text%3e%3c/svg%3e</v>
      </c>
      <c r="F549" s="10" t="str">
        <f t="shared" si="3"/>
        <v>https://svgtext.heliohost.us/cgi-bin/gen.perl?text=Tempting</v>
      </c>
      <c r="G549" s="11" t="str">
        <f t="shared" si="4"/>
        <v>data:image/svg+xml,%3csvg xmlns='http://www.w3.org/2000/svg' viewBox='0 0 24 216'%3e%3ctext fill='%23fff' style='font: 900 16px sans-serif' text-anchor='end' transform='matrix(0 -1 1 0 18 5)'%3eTempting%3c/text%3e%3c/svg%3e</v>
      </c>
      <c r="H549" s="8" t="s">
        <v>39</v>
      </c>
      <c r="I549" s="8">
        <f t="shared" ref="I549:J549" si="550">len(B549)</f>
        <v>8</v>
      </c>
      <c r="J549" s="8">
        <f t="shared" si="550"/>
        <v>32</v>
      </c>
      <c r="K549" s="8" t="s">
        <v>1563</v>
      </c>
    </row>
    <row r="550">
      <c r="A550" s="7" t="b">
        <v>1</v>
      </c>
      <c r="B550" s="8" t="s">
        <v>1564</v>
      </c>
      <c r="C550" s="8" t="s">
        <v>1565</v>
      </c>
      <c r="D550" s="8" t="str">
        <f>Q&amp;$K550&amp;Q&amp;":{"&amp;Q&amp;$B$2&amp;Q&amp;":"&amp;Q&amp;$B550&amp;Q&amp;","&amp;Q&amp;$C$2&amp;Q&amp;":"&amp;Q&amp;$C550&amp;Q&amp;","&amp;Q&amp;"sets"&amp;Q&amp;":"&amp;Q&amp;substitute(SUBSTITUTE($H550,"[",""),"]","")&amp;Q&amp;"},"</f>
        <v>"osum":{"label":"Tender","extra":"(soft, compassionate, fragile) ","sets":"Expansion Set 3, Party Expansion 1"},</v>
      </c>
      <c r="E550" s="9" t="str">
        <f t="shared" si="2"/>
        <v>data:image/svg+xml,%3csvg xmlns='http://www.w3.org/2000/svg' viewBox='0 0 24 216'%3e%3ctext fill='%23fff' style='font: 900 16px sans-serif' text-anchor='end' transform='matrix(0 -1 1 0 18 5)'%3eTender%3c/text%3e%3c/svg%3e</v>
      </c>
      <c r="F550" s="10" t="str">
        <f t="shared" si="3"/>
        <v>https://svgtext.heliohost.us/cgi-bin/gen.perl?text=Tender</v>
      </c>
      <c r="G550" s="11" t="str">
        <f t="shared" si="4"/>
        <v>data:image/svg+xml,%3csvg xmlns='http://www.w3.org/2000/svg' viewBox='0 0 24 216'%3e%3ctext fill='%23fff' style='font: 900 16px sans-serif' text-anchor='end' transform='matrix(0 -1 1 0 18 5)'%3eTender%3c/text%3e%3c/svg%3e</v>
      </c>
      <c r="H550" s="8" t="s">
        <v>39</v>
      </c>
      <c r="I550" s="8">
        <f t="shared" ref="I550:J550" si="551">len(B550)</f>
        <v>6</v>
      </c>
      <c r="J550" s="8">
        <f t="shared" si="551"/>
        <v>31</v>
      </c>
      <c r="K550" s="8" t="s">
        <v>1566</v>
      </c>
    </row>
    <row r="551">
      <c r="A551" s="7" t="b">
        <v>1</v>
      </c>
      <c r="B551" s="8" t="s">
        <v>1567</v>
      </c>
      <c r="C551" s="8" t="s">
        <v>1568</v>
      </c>
      <c r="D551" s="8" t="str">
        <f>Q&amp;$K551&amp;Q&amp;":{"&amp;Q&amp;$B$2&amp;Q&amp;":"&amp;Q&amp;$B551&amp;Q&amp;","&amp;Q&amp;$C$2&amp;Q&amp;":"&amp;Q&amp;$C551&amp;Q&amp;","&amp;Q&amp;"sets"&amp;Q&amp;":"&amp;Q&amp;substitute(SUBSTITUTE($H551,"[",""),"]","")&amp;Q&amp;"},"</f>
        <v>"sroa":{"label":"Terrible","extra":"(awful, dreadful) ","sets":"Junior 9+ (2nd)"},</v>
      </c>
      <c r="E551" s="9" t="str">
        <f t="shared" si="2"/>
        <v>data:image/svg+xml,%3csvg xmlns='http://www.w3.org/2000/svg' viewBox='0 0 24 216'%3e%3ctext fill='%23fff' style='font: 900 16px sans-serif' text-anchor='end' transform='matrix(0 -1 1 0 18 5)'%3eTerrible%3c/text%3e%3c/svg%3e</v>
      </c>
      <c r="F551" s="10" t="str">
        <f t="shared" si="3"/>
        <v>https://svgtext.heliohost.us/cgi-bin/gen.perl?text=Terrible</v>
      </c>
      <c r="G551" s="11" t="str">
        <f t="shared" si="4"/>
        <v>data:image/svg+xml,%3csvg xmlns='http://www.w3.org/2000/svg' viewBox='0 0 24 216'%3e%3ctext fill='%23fff' style='font: 900 16px sans-serif' text-anchor='end' transform='matrix(0 -1 1 0 18 5)'%3eTerrible%3c/text%3e%3c/svg%3e</v>
      </c>
      <c r="H551" s="8" t="s">
        <v>32</v>
      </c>
      <c r="I551" s="8">
        <f t="shared" ref="I551:J551" si="552">len(B551)</f>
        <v>8</v>
      </c>
      <c r="J551" s="8">
        <f t="shared" si="552"/>
        <v>18</v>
      </c>
      <c r="K551" s="8" t="s">
        <v>1569</v>
      </c>
    </row>
    <row r="552">
      <c r="A552" s="7" t="b">
        <v>1</v>
      </c>
      <c r="B552" s="8" t="s">
        <v>1570</v>
      </c>
      <c r="C552" s="8" t="s">
        <v>1571</v>
      </c>
      <c r="D552" s="8" t="str">
        <f>Q&amp;$K552&amp;Q&amp;":{"&amp;Q&amp;$B$2&amp;Q&amp;":"&amp;Q&amp;$B552&amp;Q&amp;","&amp;Q&amp;$C$2&amp;Q&amp;":"&amp;Q&amp;$C552&amp;Q&amp;","&amp;Q&amp;"sets"&amp;Q&amp;":"&amp;Q&amp;substitute(SUBSTITUTE($H552,"[",""),"]","")&amp;Q&amp;"},"</f>
        <v>"kotq":{"label":"Terrific","extra":"(sensational, fabulous, severe) ","sets":"Expansion Set 3, Party Expansion 1"},</v>
      </c>
      <c r="E552" s="9" t="str">
        <f t="shared" si="2"/>
        <v>data:image/svg+xml,%3csvg xmlns='http://www.w3.org/2000/svg' viewBox='0 0 24 216'%3e%3ctext fill='%23fff' style='font: 900 16px sans-serif' text-anchor='end' transform='matrix(0 -1 1 0 18 5)'%3eTerrific%3c/text%3e%3c/svg%3e</v>
      </c>
      <c r="F552" s="10" t="str">
        <f t="shared" si="3"/>
        <v>https://svgtext.heliohost.us/cgi-bin/gen.perl?text=Terrific</v>
      </c>
      <c r="G552" s="11" t="str">
        <f t="shared" si="4"/>
        <v>data:image/svg+xml,%3csvg xmlns='http://www.w3.org/2000/svg' viewBox='0 0 24 216'%3e%3ctext fill='%23fff' style='font: 900 16px sans-serif' text-anchor='end' transform='matrix(0 -1 1 0 18 5)'%3eTerrific%3c/text%3e%3c/svg%3e</v>
      </c>
      <c r="H552" s="8" t="s">
        <v>39</v>
      </c>
      <c r="I552" s="8">
        <f t="shared" ref="I552:J552" si="553">len(B552)</f>
        <v>8</v>
      </c>
      <c r="J552" s="8">
        <f t="shared" si="553"/>
        <v>32</v>
      </c>
      <c r="K552" s="8" t="s">
        <v>1572</v>
      </c>
    </row>
    <row r="553">
      <c r="A553" s="7" t="b">
        <v>0</v>
      </c>
      <c r="B553" s="8" t="s">
        <v>1573</v>
      </c>
      <c r="C553" s="8" t="s">
        <v>1574</v>
      </c>
      <c r="D553" s="8" t="str">
        <f>Q&amp;$K553&amp;Q&amp;":{"&amp;Q&amp;$B$2&amp;Q&amp;":"&amp;Q&amp;$B553&amp;Q&amp;","&amp;Q&amp;$C$2&amp;Q&amp;":"&amp;Q&amp;$C553&amp;Q&amp;","&amp;Q&amp;"sets"&amp;Q&amp;":"&amp;Q&amp;substitute(SUBSTITUTE($H553,"[",""),"]","")&amp;Q&amp;"},"</f>
        <v>"aivr":{"label":"Thick","extra":"(wide, solid) ","sets":"Junior 9+ (2nd)"},</v>
      </c>
      <c r="E553" s="9" t="str">
        <f t="shared" si="2"/>
        <v>data:image/svg+xml,%3csvg xmlns='http://www.w3.org/2000/svg' viewBox='0 0 24 216'%3e%3ctext fill='%23fff' style='font: 900 16px sans-serif' text-anchor='end' transform='matrix(0 -1 1 0 18 5)'%3eThick%3c/text%3e%3c/svg%3e</v>
      </c>
      <c r="F553" s="10" t="str">
        <f t="shared" si="3"/>
        <v>https://svgtext.heliohost.us/cgi-bin/gen.perl?text=Thick</v>
      </c>
      <c r="G553" s="11" t="str">
        <f t="shared" si="4"/>
        <v>data:image/svg+xml,%3csvg xmlns='http://www.w3.org/2000/svg' viewBox='0 0 24 216'%3e%3ctext fill='%23fff' style='font: 900 16px sans-serif' text-anchor='end' transform='matrix(0 -1 1 0 18 5)'%3eThick%3c/text%3e%3c/svg%3e</v>
      </c>
      <c r="H553" s="8" t="s">
        <v>32</v>
      </c>
      <c r="I553" s="8">
        <f t="shared" ref="I553:J553" si="554">len(B553)</f>
        <v>5</v>
      </c>
      <c r="J553" s="8">
        <f t="shared" si="554"/>
        <v>14</v>
      </c>
      <c r="K553" s="8" t="s">
        <v>1575</v>
      </c>
    </row>
    <row r="554">
      <c r="A554" s="7" t="b">
        <v>0</v>
      </c>
      <c r="B554" s="8" t="s">
        <v>1576</v>
      </c>
      <c r="C554" s="8" t="s">
        <v>1577</v>
      </c>
      <c r="D554" s="8" t="str">
        <f>Q&amp;$K554&amp;Q&amp;":{"&amp;Q&amp;$B$2&amp;Q&amp;":"&amp;Q&amp;$B554&amp;Q&amp;","&amp;Q&amp;$C$2&amp;Q&amp;":"&amp;Q&amp;$C554&amp;Q&amp;","&amp;Q&amp;"sets"&amp;Q&amp;":"&amp;Q&amp;substitute(SUBSTITUTE($H554,"[",""),"]","")&amp;Q&amp;"},"</f>
        <v>"dxte":{"label":"Thick &amp; Chunky","extra":"(bulky, heavy, lumpy) ","sets":"Expansion Set 4, Party Expansion 1"},</v>
      </c>
      <c r="E554" s="9" t="str">
        <f t="shared" si="2"/>
        <v>data:image/svg+xml,%3csvg xmlns='http://www.w3.org/2000/svg' viewBox='0 0 24 216'%3e%3ctext fill='%23fff' style='font: 900 16px sans-serif' text-anchor='end' transform='matrix(0 -1 1 0 18 5)'%3eThick %26amp%3B Chunky%3c/text%3e%3c/svg%3e</v>
      </c>
      <c r="F554" s="10" t="str">
        <f t="shared" si="3"/>
        <v>https://svgtext.heliohost.us/cgi-bin/gen.perl?text=Thick%20%26%20Chunky</v>
      </c>
      <c r="G554" s="11" t="str">
        <f t="shared" si="4"/>
        <v>data:image/svg+xml,%3csvg xmlns='http://www.w3.org/2000/svg' viewBox='0 0 24 216'%3e%3ctext fill='%23fff' style='font: 900 16px sans-serif' text-anchor='end' transform='matrix(0 -1 1 0 18 5)'%3eThick %26amp%3B Chunky%3c/text%3e%3c/svg%3e</v>
      </c>
      <c r="H554" s="8" t="s">
        <v>63</v>
      </c>
      <c r="I554" s="8">
        <f t="shared" ref="I554:J554" si="555">len(B554)</f>
        <v>14</v>
      </c>
      <c r="J554" s="8">
        <f t="shared" si="555"/>
        <v>22</v>
      </c>
      <c r="K554" s="8" t="s">
        <v>1578</v>
      </c>
    </row>
    <row r="555">
      <c r="A555" s="7" t="b">
        <v>0</v>
      </c>
      <c r="B555" s="8" t="s">
        <v>1579</v>
      </c>
      <c r="C555" s="8" t="s">
        <v>1580</v>
      </c>
      <c r="D555" s="8" t="str">
        <f>Q&amp;$K555&amp;Q&amp;":{"&amp;Q&amp;$B$2&amp;Q&amp;":"&amp;Q&amp;$B555&amp;Q&amp;","&amp;Q&amp;$C$2&amp;Q&amp;":"&amp;Q&amp;$C555&amp;Q&amp;","&amp;Q&amp;"sets"&amp;Q&amp;":"&amp;Q&amp;substitute(SUBSTITUTE($H555,"[",""),"]","")&amp;Q&amp;"},"</f>
        <v>"ydnv":{"label":"Thin","extra":"(skinny, narrow) ","sets":"Junior 9+ (1st) &amp; (2nd)"},</v>
      </c>
      <c r="E555" s="9" t="str">
        <f t="shared" si="2"/>
        <v>data:image/svg+xml,%3csvg xmlns='http://www.w3.org/2000/svg' viewBox='0 0 24 216'%3e%3ctext fill='%23fff' style='font: 900 16px sans-serif' text-anchor='end' transform='matrix(0 -1 1 0 18 5)'%3eThin%3c/text%3e%3c/svg%3e</v>
      </c>
      <c r="F555" s="10" t="str">
        <f t="shared" si="3"/>
        <v>https://svgtext.heliohost.us/cgi-bin/gen.perl?text=Thin</v>
      </c>
      <c r="G555" s="11" t="str">
        <f t="shared" si="4"/>
        <v>data:image/svg+xml,%3csvg xmlns='http://www.w3.org/2000/svg' viewBox='0 0 24 216'%3e%3ctext fill='%23fff' style='font: 900 16px sans-serif' text-anchor='end' transform='matrix(0 -1 1 0 18 5)'%3eThin%3c/text%3e%3c/svg%3e</v>
      </c>
      <c r="H555" s="8" t="s">
        <v>42</v>
      </c>
      <c r="I555" s="8">
        <f t="shared" ref="I555:J555" si="556">len(B555)</f>
        <v>4</v>
      </c>
      <c r="J555" s="8">
        <f t="shared" si="556"/>
        <v>17</v>
      </c>
      <c r="K555" s="8" t="s">
        <v>1581</v>
      </c>
    </row>
    <row r="556">
      <c r="A556" s="7" t="b">
        <v>1</v>
      </c>
      <c r="B556" s="8" t="s">
        <v>1582</v>
      </c>
      <c r="C556" s="8" t="s">
        <v>1583</v>
      </c>
      <c r="D556" s="8" t="str">
        <f>Q&amp;$K556&amp;Q&amp;":{"&amp;Q&amp;$B$2&amp;Q&amp;":"&amp;Q&amp;$B556&amp;Q&amp;","&amp;Q&amp;$C$2&amp;Q&amp;":"&amp;Q&amp;$C556&amp;Q&amp;","&amp;Q&amp;"sets"&amp;Q&amp;":"&amp;Q&amp;substitute(SUBSTITUTE($H556,"[",""),"]","")&amp;Q&amp;"},"</f>
        <v>"ddmx":{"label":"Thoughtful","extra":"(caring, unselfish) ","sets":"Junior 9+ (2nd)"},</v>
      </c>
      <c r="E556" s="9" t="str">
        <f t="shared" si="2"/>
        <v>data:image/svg+xml,%3csvg xmlns='http://www.w3.org/2000/svg' viewBox='0 0 24 216'%3e%3ctext fill='%23fff' style='font: 900 16px sans-serif' text-anchor='end' transform='matrix(0 -1 1 0 18 5)'%3eThoughtful%3c/text%3e%3c/svg%3e</v>
      </c>
      <c r="F556" s="10" t="str">
        <f t="shared" si="3"/>
        <v>https://svgtext.heliohost.us/cgi-bin/gen.perl?text=Thoughtful</v>
      </c>
      <c r="G556" s="11" t="str">
        <f t="shared" si="4"/>
        <v>data:image/svg+xml,%3csvg xmlns='http://www.w3.org/2000/svg' viewBox='0 0 24 216'%3e%3ctext fill='%23fff' style='font: 900 16px sans-serif' text-anchor='end' transform='matrix(0 -1 1 0 18 5)'%3eThoughtful%3c/text%3e%3c/svg%3e</v>
      </c>
      <c r="H556" s="8" t="s">
        <v>32</v>
      </c>
      <c r="I556" s="8">
        <f t="shared" ref="I556:J556" si="557">len(B556)</f>
        <v>10</v>
      </c>
      <c r="J556" s="8">
        <f t="shared" si="557"/>
        <v>20</v>
      </c>
      <c r="K556" s="8" t="s">
        <v>1584</v>
      </c>
    </row>
    <row r="557">
      <c r="A557" s="7" t="b">
        <v>0</v>
      </c>
      <c r="B557" s="8" t="s">
        <v>1585</v>
      </c>
      <c r="C557" s="8" t="s">
        <v>1586</v>
      </c>
      <c r="D557" s="8" t="str">
        <f>Q&amp;$K557&amp;Q&amp;":{"&amp;Q&amp;$B$2&amp;Q&amp;":"&amp;Q&amp;$B557&amp;Q&amp;","&amp;Q&amp;$C$2&amp;Q&amp;":"&amp;Q&amp;$C557&amp;Q&amp;","&amp;Q&amp;"sets"&amp;Q&amp;":"&amp;Q&amp;substitute(SUBSTITUTE($H557,"[",""),"]","")&amp;Q&amp;"},"</f>
        <v>"miwp":{"label":"Timeless","extra":"(classic, ageless, well-established) ","sets":"Basic Set, Party Set"},</v>
      </c>
      <c r="E557" s="9" t="str">
        <f t="shared" si="2"/>
        <v>data:image/svg+xml,%3csvg xmlns='http://www.w3.org/2000/svg' viewBox='0 0 24 216'%3e%3ctext fill='%23fff' style='font: 900 16px sans-serif' text-anchor='end' transform='matrix(0 -1 1 0 18 5)'%3eTimeless%3c/text%3e%3c/svg%3e</v>
      </c>
      <c r="F557" s="10" t="str">
        <f t="shared" si="3"/>
        <v>https://svgtext.heliohost.us/cgi-bin/gen.perl?text=Timeless</v>
      </c>
      <c r="G557" s="11" t="str">
        <f t="shared" si="4"/>
        <v>data:image/svg+xml,%3csvg xmlns='http://www.w3.org/2000/svg' viewBox='0 0 24 216'%3e%3ctext fill='%23fff' style='font: 900 16px sans-serif' text-anchor='end' transform='matrix(0 -1 1 0 18 5)'%3eTimeless%3c/text%3e%3c/svg%3e</v>
      </c>
      <c r="H557" s="8" t="s">
        <v>29</v>
      </c>
      <c r="I557" s="8">
        <f t="shared" ref="I557:J557" si="558">len(B557)</f>
        <v>8</v>
      </c>
      <c r="J557" s="8">
        <f t="shared" si="558"/>
        <v>37</v>
      </c>
      <c r="K557" s="8" t="s">
        <v>1587</v>
      </c>
    </row>
    <row r="558">
      <c r="A558" s="7" t="b">
        <v>0</v>
      </c>
      <c r="B558" s="8" t="s">
        <v>1588</v>
      </c>
      <c r="C558" s="8" t="s">
        <v>1589</v>
      </c>
      <c r="D558" s="8" t="str">
        <f>Q&amp;$K558&amp;Q&amp;":{"&amp;Q&amp;$B$2&amp;Q&amp;":"&amp;Q&amp;$B558&amp;Q&amp;","&amp;Q&amp;$C$2&amp;Q&amp;":"&amp;Q&amp;$C558&amp;Q&amp;","&amp;Q&amp;"sets"&amp;Q&amp;":"&amp;Q&amp;substitute(SUBSTITUTE($H558,"[",""),"]","")&amp;Q&amp;"},"</f>
        <v>"ggxo":{"label":"Tiny","extra":"(little, very small) ","sets":"Junior"},</v>
      </c>
      <c r="E558" s="9" t="str">
        <f t="shared" si="2"/>
        <v>data:image/svg+xml,%3csvg xmlns='http://www.w3.org/2000/svg' viewBox='0 0 24 216'%3e%3ctext fill='%23fff' style='font: 900 16px sans-serif' text-anchor='end' transform='matrix(0 -1 1 0 18 5)'%3eTiny%3c/text%3e%3c/svg%3e</v>
      </c>
      <c r="F558" s="10" t="str">
        <f t="shared" si="3"/>
        <v>https://svgtext.heliohost.us/cgi-bin/gen.perl?text=Tiny</v>
      </c>
      <c r="G558" s="11" t="str">
        <f t="shared" si="4"/>
        <v>data:image/svg+xml,%3csvg xmlns='http://www.w3.org/2000/svg' viewBox='0 0 24 216'%3e%3ctext fill='%23fff' style='font: 900 16px sans-serif' text-anchor='end' transform='matrix(0 -1 1 0 18 5)'%3eTiny%3c/text%3e%3c/svg%3e</v>
      </c>
      <c r="H558" s="8" t="s">
        <v>84</v>
      </c>
      <c r="I558" s="8">
        <f t="shared" ref="I558:J558" si="559">len(B558)</f>
        <v>4</v>
      </c>
      <c r="J558" s="8">
        <f t="shared" si="559"/>
        <v>21</v>
      </c>
      <c r="K558" s="8" t="s">
        <v>1590</v>
      </c>
    </row>
    <row r="559">
      <c r="A559" s="7" t="b">
        <v>1</v>
      </c>
      <c r="B559" s="8" t="s">
        <v>1591</v>
      </c>
      <c r="C559" s="8" t="s">
        <v>1592</v>
      </c>
      <c r="D559" s="8" t="str">
        <f>Q&amp;$K559&amp;Q&amp;":{"&amp;Q&amp;$B$2&amp;Q&amp;":"&amp;Q&amp;$B559&amp;Q&amp;","&amp;Q&amp;$C$2&amp;Q&amp;":"&amp;Q&amp;$C559&amp;Q&amp;","&amp;Q&amp;"sets"&amp;Q&amp;":"&amp;Q&amp;substitute(SUBSTITUTE($H559,"[",""),"]","")&amp;Q&amp;"},"</f>
        <v>"aawi":{"label":"Tormenting","extra":"(torturing, harassing, agonizing) ","sets":"Expansion Set 3, Party Expansion 1"},</v>
      </c>
      <c r="E559" s="9" t="str">
        <f t="shared" si="2"/>
        <v>data:image/svg+xml,%3csvg xmlns='http://www.w3.org/2000/svg' viewBox='0 0 24 216'%3e%3ctext fill='%23fff' style='font: 900 16px sans-serif' text-anchor='end' transform='matrix(0 -1 1 0 18 5)'%3eTormenting%3c/text%3e%3c/svg%3e</v>
      </c>
      <c r="F559" s="10" t="str">
        <f t="shared" si="3"/>
        <v>https://svgtext.heliohost.us/cgi-bin/gen.perl?text=Tormenting</v>
      </c>
      <c r="G559" s="11" t="str">
        <f t="shared" si="4"/>
        <v>data:image/svg+xml,%3csvg xmlns='http://www.w3.org/2000/svg' viewBox='0 0 24 216'%3e%3ctext fill='%23fff' style='font: 900 16px sans-serif' text-anchor='end' transform='matrix(0 -1 1 0 18 5)'%3eTormenting%3c/text%3e%3c/svg%3e</v>
      </c>
      <c r="H559" s="8" t="s">
        <v>39</v>
      </c>
      <c r="I559" s="8">
        <f t="shared" ref="I559:J559" si="560">len(B559)</f>
        <v>10</v>
      </c>
      <c r="J559" s="8">
        <f t="shared" si="560"/>
        <v>34</v>
      </c>
      <c r="K559" s="8" t="s">
        <v>1593</v>
      </c>
    </row>
    <row r="560">
      <c r="A560" s="7" t="b">
        <v>0</v>
      </c>
      <c r="B560" s="8" t="s">
        <v>1594</v>
      </c>
      <c r="C560" s="8" t="s">
        <v>1595</v>
      </c>
      <c r="D560" s="8" t="str">
        <f>Q&amp;$K560&amp;Q&amp;":{"&amp;Q&amp;$B$2&amp;Q&amp;":"&amp;Q&amp;$B560&amp;Q&amp;","&amp;Q&amp;$C$2&amp;Q&amp;":"&amp;Q&amp;$C560&amp;Q&amp;","&amp;Q&amp;"sets"&amp;Q&amp;":"&amp;Q&amp;substitute(SUBSTITUTE($H560,"[",""),"]","")&amp;Q&amp;"},"</f>
        <v>"crps":{"label":"Torn &amp; Tattered","extra":"(shabby, ragged, grungy) ","sets":"Expansion Set 4, Party Expansion 1"},</v>
      </c>
      <c r="E560" s="9" t="str">
        <f t="shared" si="2"/>
        <v>data:image/svg+xml,%3csvg xmlns='http://www.w3.org/2000/svg' viewBox='0 0 24 216'%3e%3ctext fill='%23fff' style='font: 900 16px sans-serif' text-anchor='end' transform='matrix(0 -1 1 0 18 5)'%3eTorn %26amp%3B Tattered%3c/text%3e%3c/svg%3e</v>
      </c>
      <c r="F560" s="10" t="str">
        <f t="shared" si="3"/>
        <v>https://svgtext.heliohost.us/cgi-bin/gen.perl?text=Torn%20%26%20Tattered</v>
      </c>
      <c r="G560" s="11" t="str">
        <f t="shared" si="4"/>
        <v>data:image/svg+xml,%3csvg xmlns='http://www.w3.org/2000/svg' viewBox='0 0 24 216'%3e%3ctext fill='%23fff' style='font: 900 16px sans-serif' text-anchor='end' transform='matrix(0 -1 1 0 18 5)'%3eTorn %26amp%3B Tattered%3c/text%3e%3c/svg%3e</v>
      </c>
      <c r="H560" s="8" t="s">
        <v>63</v>
      </c>
      <c r="I560" s="8">
        <f t="shared" ref="I560:J560" si="561">len(B560)</f>
        <v>15</v>
      </c>
      <c r="J560" s="8">
        <f t="shared" si="561"/>
        <v>25</v>
      </c>
      <c r="K560" s="8" t="s">
        <v>1596</v>
      </c>
    </row>
    <row r="561">
      <c r="A561" s="7" t="b">
        <v>1</v>
      </c>
      <c r="B561" s="8" t="s">
        <v>1597</v>
      </c>
      <c r="C561" s="8" t="s">
        <v>1598</v>
      </c>
      <c r="D561" s="8" t="str">
        <f>Q&amp;$K561&amp;Q&amp;":{"&amp;Q&amp;$B$2&amp;Q&amp;":"&amp;Q&amp;$B561&amp;Q&amp;","&amp;Q&amp;$C$2&amp;Q&amp;":"&amp;Q&amp;$C561&amp;Q&amp;","&amp;Q&amp;"sets"&amp;Q&amp;":"&amp;Q&amp;substitute(SUBSTITUTE($H561,"[",""),"]","")&amp;Q&amp;"},"</f>
        <v>"vllu":{"label":"Touch &amp; Go","extra":"(indecisive, uncertain, insecure) ","sets":"Expansion Set 4, Party Expansion 1"},</v>
      </c>
      <c r="E561" s="9" t="str">
        <f t="shared" si="2"/>
        <v>data:image/svg+xml,%3csvg xmlns='http://www.w3.org/2000/svg' viewBox='0 0 24 216'%3e%3ctext fill='%23fff' style='font: 900 16px sans-serif' text-anchor='end' transform='matrix(0 -1 1 0 18 5)'%3eTouch %26amp%3B Go%3c/text%3e%3c/svg%3e</v>
      </c>
      <c r="F561" s="10" t="str">
        <f t="shared" si="3"/>
        <v>https://svgtext.heliohost.us/cgi-bin/gen.perl?text=Touch%20%26%20Go</v>
      </c>
      <c r="G561" s="11" t="str">
        <f t="shared" si="4"/>
        <v>data:image/svg+xml,%3csvg xmlns='http://www.w3.org/2000/svg' viewBox='0 0 24 216'%3e%3ctext fill='%23fff' style='font: 900 16px sans-serif' text-anchor='end' transform='matrix(0 -1 1 0 18 5)'%3eTouch %26amp%3B Go%3c/text%3e%3c/svg%3e</v>
      </c>
      <c r="H561" s="8" t="s">
        <v>63</v>
      </c>
      <c r="I561" s="8">
        <f t="shared" ref="I561:J561" si="562">len(B561)</f>
        <v>10</v>
      </c>
      <c r="J561" s="8">
        <f t="shared" si="562"/>
        <v>34</v>
      </c>
      <c r="K561" s="8" t="s">
        <v>1599</v>
      </c>
    </row>
    <row r="562">
      <c r="A562" s="7" t="b">
        <v>0</v>
      </c>
      <c r="B562" s="8" t="s">
        <v>1600</v>
      </c>
      <c r="C562" s="8" t="s">
        <v>1601</v>
      </c>
      <c r="D562" s="8" t="str">
        <f>Q&amp;$K562&amp;Q&amp;":{"&amp;Q&amp;$B$2&amp;Q&amp;":"&amp;Q&amp;$B562&amp;Q&amp;","&amp;Q&amp;$C$2&amp;Q&amp;":"&amp;Q&amp;$C562&amp;Q&amp;","&amp;Q&amp;"sets"&amp;Q&amp;":"&amp;Q&amp;substitute(SUBSTITUTE($H562,"[",""),"]","")&amp;Q&amp;"},"</f>
        <v>"esfv":{"label":"Touchy-Feely","extra":"(affectionate, tactile, huggy) ","sets":"Basic Set, Party Set"},</v>
      </c>
      <c r="E562" s="9" t="str">
        <f t="shared" si="2"/>
        <v>data:image/svg+xml,%3csvg xmlns='http://www.w3.org/2000/svg' viewBox='0 0 24 216'%3e%3ctext fill='%23fff' style='font: 900 16px sans-serif' text-anchor='end' transform='matrix(0 -1 1 0 18 5)'%3eTouchy-Feely%3c/text%3e%3c/svg%3e</v>
      </c>
      <c r="F562" s="10" t="str">
        <f t="shared" si="3"/>
        <v>https://svgtext.heliohost.us/cgi-bin/gen.perl?text=Touchy-Feely</v>
      </c>
      <c r="G562" s="11" t="str">
        <f t="shared" si="4"/>
        <v>data:image/svg+xml,%3csvg xmlns='http://www.w3.org/2000/svg' viewBox='0 0 24 216'%3e%3ctext fill='%23fff' style='font: 900 16px sans-serif' text-anchor='end' transform='matrix(0 -1 1 0 18 5)'%3eTouchy-Feely%3c/text%3e%3c/svg%3e</v>
      </c>
      <c r="H562" s="8" t="s">
        <v>29</v>
      </c>
      <c r="I562" s="8">
        <f t="shared" ref="I562:J562" si="563">len(B562)</f>
        <v>12</v>
      </c>
      <c r="J562" s="8">
        <f t="shared" si="563"/>
        <v>31</v>
      </c>
      <c r="K562" s="8" t="s">
        <v>1602</v>
      </c>
    </row>
    <row r="563">
      <c r="A563" s="7" t="b">
        <v>0</v>
      </c>
      <c r="B563" s="8" t="s">
        <v>1603</v>
      </c>
      <c r="C563" s="8" t="s">
        <v>1604</v>
      </c>
      <c r="D563" s="8" t="str">
        <f>Q&amp;$K563&amp;Q&amp;":{"&amp;Q&amp;$B$2&amp;Q&amp;":"&amp;Q&amp;$B563&amp;Q&amp;","&amp;Q&amp;$C$2&amp;Q&amp;":"&amp;Q&amp;$C563&amp;Q&amp;","&amp;Q&amp;"sets"&amp;Q&amp;":"&amp;Q&amp;substitute(SUBSTITUTE($H563,"[",""),"]","")&amp;Q&amp;"},"</f>
        <v>"mfer":{"label":"Tough","extra":"(strong, firm, difficult) ","sets":"Expansion Set 1, Party Set"},</v>
      </c>
      <c r="E563" s="9" t="str">
        <f t="shared" si="2"/>
        <v>data:image/svg+xml,%3csvg xmlns='http://www.w3.org/2000/svg' viewBox='0 0 24 216'%3e%3ctext fill='%23fff' style='font: 900 16px sans-serif' text-anchor='end' transform='matrix(0 -1 1 0 18 5)'%3eTough%3c/text%3e%3c/svg%3e</v>
      </c>
      <c r="F563" s="10" t="str">
        <f t="shared" si="3"/>
        <v>https://svgtext.heliohost.us/cgi-bin/gen.perl?text=Tough</v>
      </c>
      <c r="G563" s="11" t="str">
        <f t="shared" si="4"/>
        <v>data:image/svg+xml,%3csvg xmlns='http://www.w3.org/2000/svg' viewBox='0 0 24 216'%3e%3ctext fill='%23fff' style='font: 900 16px sans-serif' text-anchor='end' transform='matrix(0 -1 1 0 18 5)'%3eTough%3c/text%3e%3c/svg%3e</v>
      </c>
      <c r="H563" s="8" t="s">
        <v>25</v>
      </c>
      <c r="I563" s="8">
        <f t="shared" ref="I563:J563" si="564">len(B563)</f>
        <v>5</v>
      </c>
      <c r="J563" s="8">
        <f t="shared" si="564"/>
        <v>26</v>
      </c>
      <c r="K563" s="8" t="s">
        <v>1605</v>
      </c>
    </row>
    <row r="564">
      <c r="A564" s="7" t="b">
        <v>0</v>
      </c>
      <c r="B564" s="8" t="s">
        <v>1603</v>
      </c>
      <c r="C564" s="8" t="s">
        <v>1606</v>
      </c>
      <c r="D564" s="8" t="str">
        <f>Q&amp;$K564&amp;Q&amp;":{"&amp;Q&amp;$B$2&amp;Q&amp;":"&amp;Q&amp;$B564&amp;Q&amp;","&amp;Q&amp;$C$2&amp;Q&amp;":"&amp;Q&amp;$C564&amp;Q&amp;","&amp;Q&amp;"sets"&amp;Q&amp;":"&amp;Q&amp;substitute(SUBSTITUTE($H564,"[",""),"]","")&amp;Q&amp;"},"</f>
        <v>"wfkd":{"label":"Tough","extra":"(strong, hard) ","sets":"Junior 9+ (1st) &amp; (2nd)"},</v>
      </c>
      <c r="E564" s="9" t="str">
        <f t="shared" si="2"/>
        <v>data:image/svg+xml,%3csvg xmlns='http://www.w3.org/2000/svg' viewBox='0 0 24 216'%3e%3ctext fill='%23fff' style='font: 900 16px sans-serif' text-anchor='end' transform='matrix(0 -1 1 0 18 5)'%3eTough%3c/text%3e%3c/svg%3e</v>
      </c>
      <c r="F564" s="10" t="str">
        <f t="shared" si="3"/>
        <v>https://svgtext.heliohost.us/cgi-bin/gen.perl?text=Tough</v>
      </c>
      <c r="G564" s="11" t="str">
        <f t="shared" si="4"/>
        <v>data:image/svg+xml,%3csvg xmlns='http://www.w3.org/2000/svg' viewBox='0 0 24 216'%3e%3ctext fill='%23fff' style='font: 900 16px sans-serif' text-anchor='end' transform='matrix(0 -1 1 0 18 5)'%3eTough%3c/text%3e%3c/svg%3e</v>
      </c>
      <c r="H564" s="8" t="s">
        <v>42</v>
      </c>
      <c r="I564" s="8">
        <f t="shared" ref="I564:J564" si="565">len(B564)</f>
        <v>5</v>
      </c>
      <c r="J564" s="8">
        <f t="shared" si="565"/>
        <v>15</v>
      </c>
      <c r="K564" s="8" t="s">
        <v>1607</v>
      </c>
    </row>
    <row r="565">
      <c r="A565" s="7" t="b">
        <v>1</v>
      </c>
      <c r="B565" s="8" t="s">
        <v>1608</v>
      </c>
      <c r="C565" s="8" t="s">
        <v>1609</v>
      </c>
      <c r="D565" s="8" t="str">
        <f>Q&amp;$K565&amp;Q&amp;":{"&amp;Q&amp;$B$2&amp;Q&amp;":"&amp;Q&amp;$B565&amp;Q&amp;","&amp;Q&amp;$C$2&amp;Q&amp;":"&amp;Q&amp;$C565&amp;Q&amp;","&amp;Q&amp;"sets"&amp;Q&amp;":"&amp;Q&amp;substitute(SUBSTITUTE($H565,"[",""),"]","")&amp;Q&amp;"},"</f>
        <v>"ushq":{"label":"Trashy","extra":"(shameless, nasty, indecent) ","sets":"Expansion Set 3, Party Expansion 1"},</v>
      </c>
      <c r="E565" s="9" t="str">
        <f t="shared" si="2"/>
        <v>data:image/svg+xml,%3csvg xmlns='http://www.w3.org/2000/svg' viewBox='0 0 24 216'%3e%3ctext fill='%23fff' style='font: 900 16px sans-serif' text-anchor='end' transform='matrix(0 -1 1 0 18 5)'%3eTrashy%3c/text%3e%3c/svg%3e</v>
      </c>
      <c r="F565" s="10" t="str">
        <f t="shared" si="3"/>
        <v>https://svgtext.heliohost.us/cgi-bin/gen.perl?text=Trashy</v>
      </c>
      <c r="G565" s="11" t="str">
        <f t="shared" si="4"/>
        <v>data:image/svg+xml,%3csvg xmlns='http://www.w3.org/2000/svg' viewBox='0 0 24 216'%3e%3ctext fill='%23fff' style='font: 900 16px sans-serif' text-anchor='end' transform='matrix(0 -1 1 0 18 5)'%3eTrashy%3c/text%3e%3c/svg%3e</v>
      </c>
      <c r="H565" s="8" t="s">
        <v>39</v>
      </c>
      <c r="I565" s="8">
        <f t="shared" ref="I565:J565" si="566">len(B565)</f>
        <v>6</v>
      </c>
      <c r="J565" s="8">
        <f t="shared" si="566"/>
        <v>29</v>
      </c>
      <c r="K565" s="8" t="s">
        <v>1610</v>
      </c>
    </row>
    <row r="566">
      <c r="A566" s="7" t="b">
        <v>1</v>
      </c>
      <c r="B566" s="8" t="s">
        <v>1611</v>
      </c>
      <c r="C566" s="8" t="s">
        <v>1612</v>
      </c>
      <c r="D566" s="8" t="str">
        <f>Q&amp;$K566&amp;Q&amp;":{"&amp;Q&amp;$B$2&amp;Q&amp;":"&amp;Q&amp;$B566&amp;Q&amp;","&amp;Q&amp;$C$2&amp;Q&amp;":"&amp;Q&amp;$C566&amp;Q&amp;","&amp;Q&amp;"sets"&amp;Q&amp;":"&amp;Q&amp;substitute(SUBSTITUTE($H566,"[",""),"]","")&amp;Q&amp;"},"</f>
        <v>"wjzj":{"label":"Tried &amp; True","extra":"(tested, proven, trustworthy) ","sets":"Expansion Set 4, Party Expansion 1"},</v>
      </c>
      <c r="E566" s="9" t="str">
        <f t="shared" si="2"/>
        <v>data:image/svg+xml,%3csvg xmlns='http://www.w3.org/2000/svg' viewBox='0 0 24 216'%3e%3ctext fill='%23fff' style='font: 900 16px sans-serif' text-anchor='end' transform='matrix(0 -1 1 0 18 5)'%3eTried %26amp%3B True%3c/text%3e%3c/svg%3e</v>
      </c>
      <c r="F566" s="10" t="str">
        <f t="shared" si="3"/>
        <v>https://svgtext.heliohost.us/cgi-bin/gen.perl?text=Tried%20%26%20True</v>
      </c>
      <c r="G566" s="11" t="str">
        <f t="shared" si="4"/>
        <v>data:image/svg+xml,%3csvg xmlns='http://www.w3.org/2000/svg' viewBox='0 0 24 216'%3e%3ctext fill='%23fff' style='font: 900 16px sans-serif' text-anchor='end' transform='matrix(0 -1 1 0 18 5)'%3eTried %26amp%3B True%3c/text%3e%3c/svg%3e</v>
      </c>
      <c r="H566" s="8" t="s">
        <v>63</v>
      </c>
      <c r="I566" s="8">
        <f t="shared" ref="I566:J566" si="567">len(B566)</f>
        <v>12</v>
      </c>
      <c r="J566" s="8">
        <f t="shared" si="567"/>
        <v>30</v>
      </c>
      <c r="K566" s="8" t="s">
        <v>1613</v>
      </c>
    </row>
    <row r="567">
      <c r="A567" s="7" t="b">
        <v>1</v>
      </c>
      <c r="B567" s="8" t="s">
        <v>1614</v>
      </c>
      <c r="C567" s="8" t="s">
        <v>1615</v>
      </c>
      <c r="D567" s="8" t="str">
        <f>Q&amp;$K567&amp;Q&amp;":{"&amp;Q&amp;$B$2&amp;Q&amp;":"&amp;Q&amp;$B567&amp;Q&amp;","&amp;Q&amp;$C$2&amp;Q&amp;":"&amp;Q&amp;$C567&amp;Q&amp;","&amp;Q&amp;"sets"&amp;Q&amp;":"&amp;Q&amp;substitute(SUBSTITUTE($H567,"[",""),"]","")&amp;Q&amp;"},"</f>
        <v>"njlt":{"label":"True &amp; Blue","extra":"(loyal, faithful, patriotic) ","sets":"Expansion Set 4, Party Expansion 1"},</v>
      </c>
      <c r="E567" s="9" t="str">
        <f t="shared" si="2"/>
        <v>data:image/svg+xml,%3csvg xmlns='http://www.w3.org/2000/svg' viewBox='0 0 24 216'%3e%3ctext fill='%23fff' style='font: 900 16px sans-serif' text-anchor='end' transform='matrix(0 -1 1 0 18 5)'%3eTrue %26amp%3B Blue%3c/text%3e%3c/svg%3e</v>
      </c>
      <c r="F567" s="10" t="str">
        <f t="shared" si="3"/>
        <v>https://svgtext.heliohost.us/cgi-bin/gen.perl?text=True%20%26%20Blue</v>
      </c>
      <c r="G567" s="11" t="str">
        <f t="shared" si="4"/>
        <v>data:image/svg+xml,%3csvg xmlns='http://www.w3.org/2000/svg' viewBox='0 0 24 216'%3e%3ctext fill='%23fff' style='font: 900 16px sans-serif' text-anchor='end' transform='matrix(0 -1 1 0 18 5)'%3eTrue %26amp%3B Blue%3c/text%3e%3c/svg%3e</v>
      </c>
      <c r="H567" s="8" t="s">
        <v>63</v>
      </c>
      <c r="I567" s="8">
        <f t="shared" ref="I567:J567" si="568">len(B567)</f>
        <v>11</v>
      </c>
      <c r="J567" s="8">
        <f t="shared" si="568"/>
        <v>29</v>
      </c>
      <c r="K567" s="8" t="s">
        <v>1616</v>
      </c>
    </row>
    <row r="568">
      <c r="A568" s="7" t="b">
        <v>0</v>
      </c>
      <c r="B568" s="8" t="s">
        <v>1617</v>
      </c>
      <c r="C568" s="8" t="s">
        <v>1618</v>
      </c>
      <c r="D568" s="8" t="str">
        <f>Q&amp;$K568&amp;Q&amp;":{"&amp;Q&amp;$B$2&amp;Q&amp;":"&amp;Q&amp;$B568&amp;Q&amp;","&amp;Q&amp;$C$2&amp;Q&amp;":"&amp;Q&amp;$C568&amp;Q&amp;","&amp;Q&amp;"sets"&amp;Q&amp;":"&amp;Q&amp;substitute(SUBSTITUTE($H568,"[",""),"]","")&amp;Q&amp;"},"</f>
        <v>"pfvp":{"label":"Trustworthy","extra":"(honest, reliable, unfailing) ","sets":"Basic Set, Party Set"},</v>
      </c>
      <c r="E568" s="9" t="str">
        <f t="shared" si="2"/>
        <v>data:image/svg+xml,%3csvg xmlns='http://www.w3.org/2000/svg' viewBox='0 0 24 216'%3e%3ctext fill='%23fff' style='font: 900 16px sans-serif' text-anchor='end' transform='matrix(0 -1 1 0 18 5)'%3eTrustworthy%3c/text%3e%3c/svg%3e</v>
      </c>
      <c r="F568" s="10" t="str">
        <f t="shared" si="3"/>
        <v>https://svgtext.heliohost.us/cgi-bin/gen.perl?text=Trustworthy</v>
      </c>
      <c r="G568" s="11" t="str">
        <f t="shared" si="4"/>
        <v>data:image/svg+xml,%3csvg xmlns='http://www.w3.org/2000/svg' viewBox='0 0 24 216'%3e%3ctext fill='%23fff' style='font: 900 16px sans-serif' text-anchor='end' transform='matrix(0 -1 1 0 18 5)'%3eTrustworthy%3c/text%3e%3c/svg%3e</v>
      </c>
      <c r="H568" s="8" t="s">
        <v>29</v>
      </c>
      <c r="I568" s="8">
        <f t="shared" ref="I568:J568" si="569">len(B568)</f>
        <v>11</v>
      </c>
      <c r="J568" s="8">
        <f t="shared" si="569"/>
        <v>30</v>
      </c>
      <c r="K568" s="8" t="s">
        <v>1619</v>
      </c>
    </row>
    <row r="569">
      <c r="A569" s="7" t="b">
        <v>1</v>
      </c>
      <c r="B569" s="8" t="s">
        <v>1617</v>
      </c>
      <c r="C569" s="8" t="s">
        <v>1620</v>
      </c>
      <c r="D569" s="8" t="str">
        <f>Q&amp;$K569&amp;Q&amp;":{"&amp;Q&amp;$B$2&amp;Q&amp;":"&amp;Q&amp;$B569&amp;Q&amp;","&amp;Q&amp;$C$2&amp;Q&amp;":"&amp;Q&amp;$C569&amp;Q&amp;","&amp;Q&amp;"sets"&amp;Q&amp;":"&amp;Q&amp;substitute(SUBSTITUTE($H569,"[",""),"]","")&amp;Q&amp;"},"</f>
        <v>"oepj":{"label":"Trustworthy","extra":"(dependable, honest) ","sets":"Junior 9+ (1st) &amp; (2nd)"},</v>
      </c>
      <c r="E569" s="9" t="str">
        <f t="shared" si="2"/>
        <v>data:image/svg+xml,%3csvg xmlns='http://www.w3.org/2000/svg' viewBox='0 0 24 216'%3e%3ctext fill='%23fff' style='font: 900 16px sans-serif' text-anchor='end' transform='matrix(0 -1 1 0 18 5)'%3eTrustworthy%3c/text%3e%3c/svg%3e</v>
      </c>
      <c r="F569" s="10" t="str">
        <f t="shared" si="3"/>
        <v>https://svgtext.heliohost.us/cgi-bin/gen.perl?text=Trustworthy</v>
      </c>
      <c r="G569" s="11" t="str">
        <f t="shared" si="4"/>
        <v>data:image/svg+xml,%3csvg xmlns='http://www.w3.org/2000/svg' viewBox='0 0 24 216'%3e%3ctext fill='%23fff' style='font: 900 16px sans-serif' text-anchor='end' transform='matrix(0 -1 1 0 18 5)'%3eTrustworthy%3c/text%3e%3c/svg%3e</v>
      </c>
      <c r="H569" s="8" t="s">
        <v>42</v>
      </c>
      <c r="I569" s="8">
        <f t="shared" ref="I569:J569" si="570">len(B569)</f>
        <v>11</v>
      </c>
      <c r="J569" s="8">
        <f t="shared" si="570"/>
        <v>21</v>
      </c>
      <c r="K569" s="8" t="s">
        <v>1621</v>
      </c>
    </row>
    <row r="570">
      <c r="A570" s="7" t="b">
        <v>0</v>
      </c>
      <c r="B570" s="8" t="s">
        <v>1622</v>
      </c>
      <c r="C570" s="8" t="s">
        <v>1623</v>
      </c>
      <c r="D570" s="8" t="str">
        <f>Q&amp;$K570&amp;Q&amp;":{"&amp;Q&amp;$B$2&amp;Q&amp;":"&amp;Q&amp;$B570&amp;Q&amp;","&amp;Q&amp;$C$2&amp;Q&amp;":"&amp;Q&amp;$C570&amp;Q&amp;","&amp;Q&amp;"sets"&amp;Q&amp;":"&amp;Q&amp;substitute(SUBSTITUTE($H570,"[",""),"]","")&amp;Q&amp;"},"</f>
        <v>"ihcx":{"label":"Twisted","extra":"(distorted, warped, perverted) ","sets":"Expansion Set 2, Party Set"},</v>
      </c>
      <c r="E570" s="9" t="str">
        <f t="shared" si="2"/>
        <v>data:image/svg+xml,%3csvg xmlns='http://www.w3.org/2000/svg' viewBox='0 0 24 216'%3e%3ctext fill='%23fff' style='font: 900 16px sans-serif' text-anchor='end' transform='matrix(0 -1 1 0 18 5)'%3eTwisted%3c/text%3e%3c/svg%3e</v>
      </c>
      <c r="F570" s="10" t="str">
        <f t="shared" si="3"/>
        <v>https://svgtext.heliohost.us/cgi-bin/gen.perl?text=Twisted</v>
      </c>
      <c r="G570" s="11" t="str">
        <f t="shared" si="4"/>
        <v>data:image/svg+xml,%3csvg xmlns='http://www.w3.org/2000/svg' viewBox='0 0 24 216'%3e%3ctext fill='%23fff' style='font: 900 16px sans-serif' text-anchor='end' transform='matrix(0 -1 1 0 18 5)'%3eTwisted%3c/text%3e%3c/svg%3e</v>
      </c>
      <c r="H570" s="8" t="s">
        <v>17</v>
      </c>
      <c r="I570" s="8">
        <f t="shared" ref="I570:J570" si="571">len(B570)</f>
        <v>7</v>
      </c>
      <c r="J570" s="8">
        <f t="shared" si="571"/>
        <v>31</v>
      </c>
      <c r="K570" s="8" t="s">
        <v>1624</v>
      </c>
    </row>
    <row r="571">
      <c r="A571" s="7" t="b">
        <v>0</v>
      </c>
      <c r="B571" s="8" t="s">
        <v>1625</v>
      </c>
      <c r="C571" s="8" t="s">
        <v>1626</v>
      </c>
      <c r="D571" s="8" t="str">
        <f>Q&amp;$K571&amp;Q&amp;":{"&amp;Q&amp;$B$2&amp;Q&amp;":"&amp;Q&amp;$B571&amp;Q&amp;","&amp;Q&amp;$C$2&amp;Q&amp;":"&amp;Q&amp;$C571&amp;Q&amp;","&amp;Q&amp;"sets"&amp;Q&amp;":"&amp;Q&amp;substitute(SUBSTITUTE($H571,"[",""),"]","")&amp;Q&amp;"},"</f>
        <v>"gpuq":{"label":"Ugly","extra":"(not pretty, unpleasant) ","sets":"Junior"},</v>
      </c>
      <c r="E571" s="9" t="str">
        <f t="shared" si="2"/>
        <v>data:image/svg+xml,%3csvg xmlns='http://www.w3.org/2000/svg' viewBox='0 0 24 216'%3e%3ctext fill='%23fff' style='font: 900 16px sans-serif' text-anchor='end' transform='matrix(0 -1 1 0 18 5)'%3eUgly%3c/text%3e%3c/svg%3e</v>
      </c>
      <c r="F571" s="10" t="str">
        <f t="shared" si="3"/>
        <v>https://svgtext.heliohost.us/cgi-bin/gen.perl?text=Ugly</v>
      </c>
      <c r="G571" s="11" t="str">
        <f t="shared" si="4"/>
        <v>data:image/svg+xml,%3csvg xmlns='http://www.w3.org/2000/svg' viewBox='0 0 24 216'%3e%3ctext fill='%23fff' style='font: 900 16px sans-serif' text-anchor='end' transform='matrix(0 -1 1 0 18 5)'%3eUgly%3c/text%3e%3c/svg%3e</v>
      </c>
      <c r="H571" s="8" t="s">
        <v>84</v>
      </c>
      <c r="I571" s="8">
        <f t="shared" ref="I571:J571" si="572">len(B571)</f>
        <v>4</v>
      </c>
      <c r="J571" s="8">
        <f t="shared" si="572"/>
        <v>25</v>
      </c>
      <c r="K571" s="8" t="s">
        <v>1627</v>
      </c>
    </row>
    <row r="572">
      <c r="A572" s="7" t="b">
        <v>0</v>
      </c>
      <c r="B572" s="8" t="s">
        <v>1628</v>
      </c>
      <c r="C572" s="7" t="s">
        <v>1629</v>
      </c>
      <c r="D572" s="8" t="str">
        <f>Q&amp;$K572&amp;Q&amp;":{"&amp;Q&amp;$B$2&amp;Q&amp;":"&amp;Q&amp;$B572&amp;Q&amp;","&amp;Q&amp;$C$2&amp;Q&amp;":"&amp;Q&amp;$C572&amp;Q&amp;","&amp;Q&amp;"sets"&amp;Q&amp;":"&amp;Q&amp;substitute(SUBSTITUTE($H572,"[",""),"]","")&amp;Q&amp;"},"</f>
        <v>"hsno":{"label":"Unbelievable","extra":"(incredible, far-fetched, impossible)","sets":"Party Set"},</v>
      </c>
      <c r="E572" s="9" t="str">
        <f t="shared" si="2"/>
        <v>data:image/svg+xml,%3csvg xmlns='http://www.w3.org/2000/svg' viewBox='0 0 24 216'%3e%3ctext fill='%23fff' style='font: 900 16px sans-serif' text-anchor='end' transform='matrix(0 -1 1 0 18 5)'%3eUnbelievable%3c/text%3e%3c/svg%3e</v>
      </c>
      <c r="F572" s="10" t="str">
        <f t="shared" si="3"/>
        <v>https://svgtext.heliohost.us/cgi-bin/gen.perl?text=Unbelievable</v>
      </c>
      <c r="G572" s="11" t="str">
        <f t="shared" si="4"/>
        <v>data:image/svg+xml,%3csvg xmlns='http://www.w3.org/2000/svg' viewBox='0 0 24 216'%3e%3ctext fill='%23fff' style='font: 900 16px sans-serif' text-anchor='end' transform='matrix(0 -1 1 0 18 5)'%3eUnbelievable%3c/text%3e%3c/svg%3e</v>
      </c>
      <c r="H572" s="12" t="s">
        <v>268</v>
      </c>
      <c r="I572" s="8">
        <f t="shared" ref="I572:J572" si="573">len(B572)</f>
        <v>12</v>
      </c>
      <c r="J572" s="8">
        <f t="shared" si="573"/>
        <v>37</v>
      </c>
      <c r="K572" s="8" t="s">
        <v>1630</v>
      </c>
    </row>
    <row r="573">
      <c r="A573" s="7" t="b">
        <v>0</v>
      </c>
      <c r="B573" s="8" t="s">
        <v>1631</v>
      </c>
      <c r="C573" s="8" t="s">
        <v>1632</v>
      </c>
      <c r="D573" s="8" t="str">
        <f>Q&amp;$K573&amp;Q&amp;":{"&amp;Q&amp;$B$2&amp;Q&amp;":"&amp;Q&amp;$B573&amp;Q&amp;","&amp;Q&amp;$C$2&amp;Q&amp;":"&amp;Q&amp;$C573&amp;Q&amp;","&amp;Q&amp;"sets"&amp;Q&amp;":"&amp;Q&amp;substitute(SUBSTITUTE($H573,"[",""),"]","")&amp;Q&amp;"},"</f>
        <v>"ttnt":{"label":"Unforgettable","extra":"(notable, impressive, remarkable) ","sets":"Basic Set, Party Set"},</v>
      </c>
      <c r="E573" s="9" t="str">
        <f t="shared" si="2"/>
        <v>data:image/svg+xml,%3csvg xmlns='http://www.w3.org/2000/svg' viewBox='0 0 24 216'%3e%3ctext fill='%23fff' style='font: 900 16px sans-serif' text-anchor='end' transform='matrix(0 -1 1 0 18 5)'%3eUnforgettable%3c/text%3e%3c/svg%3e</v>
      </c>
      <c r="F573" s="10" t="str">
        <f t="shared" si="3"/>
        <v>https://svgtext.heliohost.us/cgi-bin/gen.perl?text=Unforgettable</v>
      </c>
      <c r="G573" s="11" t="str">
        <f t="shared" si="4"/>
        <v>data:image/svg+xml,%3csvg xmlns='http://www.w3.org/2000/svg' viewBox='0 0 24 216'%3e%3ctext fill='%23fff' style='font: 900 16px sans-serif' text-anchor='end' transform='matrix(0 -1 1 0 18 5)'%3eUnforgettable%3c/text%3e%3c/svg%3e</v>
      </c>
      <c r="H573" s="8" t="s">
        <v>29</v>
      </c>
      <c r="I573" s="8">
        <f t="shared" ref="I573:J573" si="574">len(B573)</f>
        <v>13</v>
      </c>
      <c r="J573" s="8">
        <f t="shared" si="574"/>
        <v>34</v>
      </c>
      <c r="K573" s="8" t="s">
        <v>1633</v>
      </c>
    </row>
    <row r="574">
      <c r="A574" s="7" t="b">
        <v>1</v>
      </c>
      <c r="B574" s="8" t="s">
        <v>1631</v>
      </c>
      <c r="C574" s="8" t="s">
        <v>1634</v>
      </c>
      <c r="D574" s="8" t="str">
        <f>Q&amp;$K574&amp;Q&amp;":{"&amp;Q&amp;$B$2&amp;Q&amp;":"&amp;Q&amp;$B574&amp;Q&amp;","&amp;Q&amp;$C$2&amp;Q&amp;":"&amp;Q&amp;$C574&amp;Q&amp;","&amp;Q&amp;"sets"&amp;Q&amp;":"&amp;Q&amp;substitute(SUBSTITUTE($H574,"[",""),"]","")&amp;Q&amp;"},"</f>
        <v>"mtdx":{"label":"Unforgettable","extra":"(memorable, treasured) ","sets":"Junior 9+ (2nd)"},</v>
      </c>
      <c r="E574" s="9" t="str">
        <f t="shared" si="2"/>
        <v>data:image/svg+xml,%3csvg xmlns='http://www.w3.org/2000/svg' viewBox='0 0 24 216'%3e%3ctext fill='%23fff' style='font: 900 16px sans-serif' text-anchor='end' transform='matrix(0 -1 1 0 18 5)'%3eUnforgettable%3c/text%3e%3c/svg%3e</v>
      </c>
      <c r="F574" s="10" t="str">
        <f t="shared" si="3"/>
        <v>https://svgtext.heliohost.us/cgi-bin/gen.perl?text=Unforgettable</v>
      </c>
      <c r="G574" s="11" t="str">
        <f t="shared" si="4"/>
        <v>data:image/svg+xml,%3csvg xmlns='http://www.w3.org/2000/svg' viewBox='0 0 24 216'%3e%3ctext fill='%23fff' style='font: 900 16px sans-serif' text-anchor='end' transform='matrix(0 -1 1 0 18 5)'%3eUnforgettable%3c/text%3e%3c/svg%3e</v>
      </c>
      <c r="H574" s="8" t="s">
        <v>32</v>
      </c>
      <c r="I574" s="8">
        <f t="shared" ref="I574:J574" si="575">len(B574)</f>
        <v>13</v>
      </c>
      <c r="J574" s="8">
        <f t="shared" si="575"/>
        <v>23</v>
      </c>
      <c r="K574" s="8" t="s">
        <v>1635</v>
      </c>
    </row>
    <row r="575">
      <c r="A575" s="7" t="b">
        <v>1</v>
      </c>
      <c r="B575" s="8" t="s">
        <v>1636</v>
      </c>
      <c r="C575" s="8" t="s">
        <v>1637</v>
      </c>
      <c r="D575" s="8" t="str">
        <f>Q&amp;$K575&amp;Q&amp;":{"&amp;Q&amp;$B$2&amp;Q&amp;":"&amp;Q&amp;$B575&amp;Q&amp;","&amp;Q&amp;$C$2&amp;Q&amp;":"&amp;Q&amp;$C575&amp;Q&amp;","&amp;Q&amp;"sets"&amp;Q&amp;":"&amp;Q&amp;substitute(SUBSTITUTE($H575,"[",""),"]","")&amp;Q&amp;"},"</f>
        <v>"rpti":{"label":"Unhappy","extra":"(sad, sorrowful) ","sets":"Junior 9+ (1st) &amp; (2nd)"},</v>
      </c>
      <c r="E575" s="9" t="str">
        <f t="shared" si="2"/>
        <v>data:image/svg+xml,%3csvg xmlns='http://www.w3.org/2000/svg' viewBox='0 0 24 216'%3e%3ctext fill='%23fff' style='font: 900 16px sans-serif' text-anchor='end' transform='matrix(0 -1 1 0 18 5)'%3eUnhappy%3c/text%3e%3c/svg%3e</v>
      </c>
      <c r="F575" s="10" t="str">
        <f t="shared" si="3"/>
        <v>https://svgtext.heliohost.us/cgi-bin/gen.perl?text=Unhappy</v>
      </c>
      <c r="G575" s="11" t="str">
        <f t="shared" si="4"/>
        <v>data:image/svg+xml,%3csvg xmlns='http://www.w3.org/2000/svg' viewBox='0 0 24 216'%3e%3ctext fill='%23fff' style='font: 900 16px sans-serif' text-anchor='end' transform='matrix(0 -1 1 0 18 5)'%3eUnhappy%3c/text%3e%3c/svg%3e</v>
      </c>
      <c r="H575" s="8" t="s">
        <v>42</v>
      </c>
      <c r="I575" s="8">
        <f t="shared" ref="I575:J575" si="576">len(B575)</f>
        <v>7</v>
      </c>
      <c r="J575" s="8">
        <f t="shared" si="576"/>
        <v>17</v>
      </c>
      <c r="K575" s="8" t="s">
        <v>1638</v>
      </c>
    </row>
    <row r="576">
      <c r="A576" s="7" t="b">
        <v>0</v>
      </c>
      <c r="B576" s="8" t="s">
        <v>1639</v>
      </c>
      <c r="C576" s="8" t="s">
        <v>1640</v>
      </c>
      <c r="D576" s="8" t="str">
        <f>Q&amp;$K576&amp;Q&amp;":{"&amp;Q&amp;$B$2&amp;Q&amp;":"&amp;Q&amp;$B576&amp;Q&amp;","&amp;Q&amp;$C$2&amp;Q&amp;":"&amp;Q&amp;$C576&amp;Q&amp;","&amp;Q&amp;"sets"&amp;Q&amp;":"&amp;Q&amp;substitute(SUBSTITUTE($H576,"[",""),"]","")&amp;Q&amp;"},"</f>
        <v>"qbhh":{"label":"Unhealthy","extra":"(risky, sickly, dangerous) ","sets":"Expansion Set 2, Party Set"},</v>
      </c>
      <c r="E576" s="9" t="str">
        <f t="shared" si="2"/>
        <v>data:image/svg+xml,%3csvg xmlns='http://www.w3.org/2000/svg' viewBox='0 0 24 216'%3e%3ctext fill='%23fff' style='font: 900 16px sans-serif' text-anchor='end' transform='matrix(0 -1 1 0 18 5)'%3eUnhealthy%3c/text%3e%3c/svg%3e</v>
      </c>
      <c r="F576" s="10" t="str">
        <f t="shared" si="3"/>
        <v>https://svgtext.heliohost.us/cgi-bin/gen.perl?text=Unhealthy</v>
      </c>
      <c r="G576" s="11" t="str">
        <f t="shared" si="4"/>
        <v>data:image/svg+xml,%3csvg xmlns='http://www.w3.org/2000/svg' viewBox='0 0 24 216'%3e%3ctext fill='%23fff' style='font: 900 16px sans-serif' text-anchor='end' transform='matrix(0 -1 1 0 18 5)'%3eUnhealthy%3c/text%3e%3c/svg%3e</v>
      </c>
      <c r="H576" s="8" t="s">
        <v>17</v>
      </c>
      <c r="I576" s="8">
        <f t="shared" ref="I576:J576" si="577">len(B576)</f>
        <v>9</v>
      </c>
      <c r="J576" s="8">
        <f t="shared" si="577"/>
        <v>27</v>
      </c>
      <c r="K576" s="8" t="s">
        <v>1641</v>
      </c>
    </row>
    <row r="577">
      <c r="A577" s="7" t="b">
        <v>0</v>
      </c>
      <c r="B577" s="8" t="s">
        <v>1642</v>
      </c>
      <c r="C577" s="8" t="s">
        <v>1643</v>
      </c>
      <c r="D577" s="8" t="str">
        <f>Q&amp;$K577&amp;Q&amp;":{"&amp;Q&amp;$B$2&amp;Q&amp;":"&amp;Q&amp;$B577&amp;Q&amp;","&amp;Q&amp;$C$2&amp;Q&amp;":"&amp;Q&amp;$C577&amp;Q&amp;","&amp;Q&amp;"sets"&amp;Q&amp;":"&amp;Q&amp;substitute(SUBSTITUTE($H577,"[",""),"]","")&amp;Q&amp;"},"</f>
        <v>"edsd":{"label":"Unnatural","extra":"(abnormal, artificial, bizarre) ","sets":"Expansion Set 2, Party Set"},</v>
      </c>
      <c r="E577" s="9" t="str">
        <f t="shared" si="2"/>
        <v>data:image/svg+xml,%3csvg xmlns='http://www.w3.org/2000/svg' viewBox='0 0 24 216'%3e%3ctext fill='%23fff' style='font: 900 16px sans-serif' text-anchor='end' transform='matrix(0 -1 1 0 18 5)'%3eUnnatural%3c/text%3e%3c/svg%3e</v>
      </c>
      <c r="F577" s="10" t="str">
        <f t="shared" si="3"/>
        <v>https://svgtext.heliohost.us/cgi-bin/gen.perl?text=Unnatural</v>
      </c>
      <c r="G577" s="11" t="str">
        <f t="shared" si="4"/>
        <v>data:image/svg+xml,%3csvg xmlns='http://www.w3.org/2000/svg' viewBox='0 0 24 216'%3e%3ctext fill='%23fff' style='font: 900 16px sans-serif' text-anchor='end' transform='matrix(0 -1 1 0 18 5)'%3eUnnatural%3c/text%3e%3c/svg%3e</v>
      </c>
      <c r="H577" s="8" t="s">
        <v>17</v>
      </c>
      <c r="I577" s="8">
        <f t="shared" ref="I577:J577" si="578">len(B577)</f>
        <v>9</v>
      </c>
      <c r="J577" s="8">
        <f t="shared" si="578"/>
        <v>32</v>
      </c>
      <c r="K577" s="8" t="s">
        <v>1644</v>
      </c>
    </row>
    <row r="578">
      <c r="A578" s="7" t="b">
        <v>0</v>
      </c>
      <c r="B578" s="8" t="s">
        <v>1645</v>
      </c>
      <c r="C578" s="8" t="s">
        <v>1646</v>
      </c>
      <c r="D578" s="8" t="str">
        <f>Q&amp;$K578&amp;Q&amp;":{"&amp;Q&amp;$B$2&amp;Q&amp;":"&amp;Q&amp;$B578&amp;Q&amp;","&amp;Q&amp;$C$2&amp;Q&amp;":"&amp;Q&amp;$C578&amp;Q&amp;","&amp;Q&amp;"sets"&amp;Q&amp;":"&amp;Q&amp;substitute(SUBSTITUTE($H578,"[",""),"]","")&amp;Q&amp;"},"</f>
        <v>"wqgv":{"label":"Unreal","extra":"(imaginary, illusionary, unbelievable) ","sets":"Expansion Set 2, Party Set"},</v>
      </c>
      <c r="E578" s="9" t="str">
        <f t="shared" si="2"/>
        <v>data:image/svg+xml,%3csvg xmlns='http://www.w3.org/2000/svg' viewBox='0 0 24 216'%3e%3ctext fill='%23fff' style='font: 900 16px sans-serif' text-anchor='end' transform='matrix(0 -1 1 0 18 5)'%3eUnreal%3c/text%3e%3c/svg%3e</v>
      </c>
      <c r="F578" s="10" t="str">
        <f t="shared" si="3"/>
        <v>https://svgtext.heliohost.us/cgi-bin/gen.perl?text=Unreal</v>
      </c>
      <c r="G578" s="11" t="str">
        <f t="shared" si="4"/>
        <v>data:image/svg+xml,%3csvg xmlns='http://www.w3.org/2000/svg' viewBox='0 0 24 216'%3e%3ctext fill='%23fff' style='font: 900 16px sans-serif' text-anchor='end' transform='matrix(0 -1 1 0 18 5)'%3eUnreal%3c/text%3e%3c/svg%3e</v>
      </c>
      <c r="H578" s="8" t="s">
        <v>17</v>
      </c>
      <c r="I578" s="8">
        <f t="shared" ref="I578:J578" si="579">len(B578)</f>
        <v>6</v>
      </c>
      <c r="J578" s="8">
        <f t="shared" si="579"/>
        <v>39</v>
      </c>
      <c r="K578" s="8" t="s">
        <v>1647</v>
      </c>
    </row>
    <row r="579">
      <c r="A579" s="7" t="b">
        <v>0</v>
      </c>
      <c r="B579" s="8" t="s">
        <v>1648</v>
      </c>
      <c r="C579" s="8" t="s">
        <v>1649</v>
      </c>
      <c r="D579" s="8" t="str">
        <f>Q&amp;$K579&amp;Q&amp;":{"&amp;Q&amp;$B$2&amp;Q&amp;":"&amp;Q&amp;$B579&amp;Q&amp;","&amp;Q&amp;$C$2&amp;Q&amp;":"&amp;Q&amp;$C579&amp;Q&amp;","&amp;Q&amp;"sets"&amp;Q&amp;":"&amp;Q&amp;substitute(SUBSTITUTE($H579,"[",""),"]","")&amp;Q&amp;"},"</f>
        <v>"bwjz":{"label":"Unscrupulous","extra":"(unethical, corrupt, unprincipled) ","sets":"Basic Set, Party Set"},</v>
      </c>
      <c r="E579" s="9" t="str">
        <f t="shared" si="2"/>
        <v>data:image/svg+xml,%3csvg xmlns='http://www.w3.org/2000/svg' viewBox='0 0 24 216'%3e%3ctext fill='%23fff' style='font: 900 16px sans-serif' text-anchor='end' transform='matrix(0 -1 1 0 18 5)'%3eUnscrupulous%3c/text%3e%3c/svg%3e</v>
      </c>
      <c r="F579" s="10" t="str">
        <f t="shared" si="3"/>
        <v>https://svgtext.heliohost.us/cgi-bin/gen.perl?text=Unscrupulous</v>
      </c>
      <c r="G579" s="11" t="str">
        <f t="shared" si="4"/>
        <v>data:image/svg+xml,%3csvg xmlns='http://www.w3.org/2000/svg' viewBox='0 0 24 216'%3e%3ctext fill='%23fff' style='font: 900 16px sans-serif' text-anchor='end' transform='matrix(0 -1 1 0 18 5)'%3eUnscrupulous%3c/text%3e%3c/svg%3e</v>
      </c>
      <c r="H579" s="8" t="s">
        <v>29</v>
      </c>
      <c r="I579" s="8">
        <f t="shared" ref="I579:J579" si="580">len(B579)</f>
        <v>12</v>
      </c>
      <c r="J579" s="8">
        <f t="shared" si="580"/>
        <v>35</v>
      </c>
      <c r="K579" s="8" t="s">
        <v>1650</v>
      </c>
    </row>
    <row r="580">
      <c r="A580" s="7" t="b">
        <v>0</v>
      </c>
      <c r="B580" s="8" t="s">
        <v>1651</v>
      </c>
      <c r="C580" s="8" t="s">
        <v>1652</v>
      </c>
      <c r="D580" s="8" t="str">
        <f>Q&amp;$K580&amp;Q&amp;":{"&amp;Q&amp;$B$2&amp;Q&amp;":"&amp;Q&amp;$B580&amp;Q&amp;","&amp;Q&amp;$C$2&amp;Q&amp;":"&amp;Q&amp;$C580&amp;Q&amp;","&amp;Q&amp;"sets"&amp;Q&amp;":"&amp;Q&amp;substitute(SUBSTITUTE($H580,"[",""),"]","")&amp;Q&amp;"},"</f>
        <v>"rnje":{"label":"Untamed","extra":"(wild, natural) ","sets":"Junior 9+ (2nd)"},</v>
      </c>
      <c r="E580" s="9" t="str">
        <f t="shared" si="2"/>
        <v>data:image/svg+xml,%3csvg xmlns='http://www.w3.org/2000/svg' viewBox='0 0 24 216'%3e%3ctext fill='%23fff' style='font: 900 16px sans-serif' text-anchor='end' transform='matrix(0 -1 1 0 18 5)'%3eUntamed%3c/text%3e%3c/svg%3e</v>
      </c>
      <c r="F580" s="10" t="str">
        <f t="shared" si="3"/>
        <v>https://svgtext.heliohost.us/cgi-bin/gen.perl?text=Untamed</v>
      </c>
      <c r="G580" s="11" t="str">
        <f t="shared" si="4"/>
        <v>data:image/svg+xml,%3csvg xmlns='http://www.w3.org/2000/svg' viewBox='0 0 24 216'%3e%3ctext fill='%23fff' style='font: 900 16px sans-serif' text-anchor='end' transform='matrix(0 -1 1 0 18 5)'%3eUntamed%3c/text%3e%3c/svg%3e</v>
      </c>
      <c r="H580" s="8" t="s">
        <v>32</v>
      </c>
      <c r="I580" s="8">
        <f t="shared" ref="I580:J580" si="581">len(B580)</f>
        <v>7</v>
      </c>
      <c r="J580" s="8">
        <f t="shared" si="581"/>
        <v>16</v>
      </c>
      <c r="K580" s="8" t="s">
        <v>1653</v>
      </c>
    </row>
    <row r="581">
      <c r="A581" s="7" t="b">
        <v>0</v>
      </c>
      <c r="B581" s="8" t="s">
        <v>1654</v>
      </c>
      <c r="C581" s="8" t="s">
        <v>1655</v>
      </c>
      <c r="D581" s="8" t="str">
        <f>Q&amp;$K581&amp;Q&amp;":{"&amp;Q&amp;$B$2&amp;Q&amp;":"&amp;Q&amp;$B581&amp;Q&amp;","&amp;Q&amp;$C$2&amp;Q&amp;":"&amp;Q&amp;$C581&amp;Q&amp;","&amp;Q&amp;"sets"&amp;Q&amp;":"&amp;Q&amp;substitute(SUBSTITUTE($H581,"[",""),"]","")&amp;Q&amp;"},"</f>
        <v>"ykgx":{"label":"Unusual","extra":"(rare, odd, uncommon) ","sets":"Expansion Set 2, Party Set"},</v>
      </c>
      <c r="E581" s="9" t="str">
        <f t="shared" si="2"/>
        <v>data:image/svg+xml,%3csvg xmlns='http://www.w3.org/2000/svg' viewBox='0 0 24 216'%3e%3ctext fill='%23fff' style='font: 900 16px sans-serif' text-anchor='end' transform='matrix(0 -1 1 0 18 5)'%3eUnusual%3c/text%3e%3c/svg%3e</v>
      </c>
      <c r="F581" s="10" t="str">
        <f t="shared" si="3"/>
        <v>https://svgtext.heliohost.us/cgi-bin/gen.perl?text=Unusual</v>
      </c>
      <c r="G581" s="11" t="str">
        <f t="shared" si="4"/>
        <v>data:image/svg+xml,%3csvg xmlns='http://www.w3.org/2000/svg' viewBox='0 0 24 216'%3e%3ctext fill='%23fff' style='font: 900 16px sans-serif' text-anchor='end' transform='matrix(0 -1 1 0 18 5)'%3eUnusual%3c/text%3e%3c/svg%3e</v>
      </c>
      <c r="H581" s="8" t="s">
        <v>17</v>
      </c>
      <c r="I581" s="8">
        <f t="shared" ref="I581:J581" si="582">len(B581)</f>
        <v>7</v>
      </c>
      <c r="J581" s="8">
        <f t="shared" si="582"/>
        <v>22</v>
      </c>
      <c r="K581" s="8" t="s">
        <v>1656</v>
      </c>
    </row>
    <row r="582">
      <c r="A582" s="7" t="b">
        <v>1</v>
      </c>
      <c r="B582" s="8" t="s">
        <v>1657</v>
      </c>
      <c r="C582" s="8" t="s">
        <v>1658</v>
      </c>
      <c r="D582" s="8" t="str">
        <f>Q&amp;$K582&amp;Q&amp;":{"&amp;Q&amp;$B$2&amp;Q&amp;":"&amp;Q&amp;$B582&amp;Q&amp;","&amp;Q&amp;$C$2&amp;Q&amp;":"&amp;Q&amp;$C582&amp;Q&amp;","&amp;Q&amp;"sets"&amp;Q&amp;":"&amp;Q&amp;substitute(SUBSTITUTE($H582,"[",""),"]","")&amp;Q&amp;"},"</f>
        <v>"juxy":{"label":"Up &amp; Coming","extra":"(promising, enterprising, gifted) ","sets":"Expansion Set 4, Party Expansion 1"},</v>
      </c>
      <c r="E582" s="9" t="str">
        <f t="shared" si="2"/>
        <v>data:image/svg+xml,%3csvg xmlns='http://www.w3.org/2000/svg' viewBox='0 0 24 216'%3e%3ctext fill='%23fff' style='font: 900 16px sans-serif' text-anchor='end' transform='matrix(0 -1 1 0 18 5)'%3eUp %26amp%3B Coming%3c/text%3e%3c/svg%3e</v>
      </c>
      <c r="F582" s="10" t="str">
        <f t="shared" si="3"/>
        <v>https://svgtext.heliohost.us/cgi-bin/gen.perl?text=Up%20%26%20Coming</v>
      </c>
      <c r="G582" s="11" t="str">
        <f t="shared" si="4"/>
        <v>data:image/svg+xml,%3csvg xmlns='http://www.w3.org/2000/svg' viewBox='0 0 24 216'%3e%3ctext fill='%23fff' style='font: 900 16px sans-serif' text-anchor='end' transform='matrix(0 -1 1 0 18 5)'%3eUp %26amp%3B Coming%3c/text%3e%3c/svg%3e</v>
      </c>
      <c r="H582" s="8" t="s">
        <v>63</v>
      </c>
      <c r="I582" s="8">
        <f t="shared" ref="I582:J582" si="583">len(B582)</f>
        <v>11</v>
      </c>
      <c r="J582" s="8">
        <f t="shared" si="583"/>
        <v>34</v>
      </c>
      <c r="K582" s="8" t="s">
        <v>1659</v>
      </c>
    </row>
    <row r="583">
      <c r="A583" s="7" t="b">
        <v>1</v>
      </c>
      <c r="B583" s="8" t="s">
        <v>1660</v>
      </c>
      <c r="C583" s="8" t="s">
        <v>1661</v>
      </c>
      <c r="D583" s="8" t="str">
        <f>Q&amp;$K583&amp;Q&amp;":{"&amp;Q&amp;$B$2&amp;Q&amp;":"&amp;Q&amp;$B583&amp;Q&amp;","&amp;Q&amp;$C$2&amp;Q&amp;":"&amp;Q&amp;$C583&amp;Q&amp;","&amp;Q&amp;"sets"&amp;Q&amp;":"&amp;Q&amp;substitute(SUBSTITUTE($H583,"[",""),"]","")&amp;Q&amp;"},"</f>
        <v>"psmn":{"label":"Up &amp; Down","extra":"(volatile, variable, vertical) ","sets":"Expansion Set 4, Party Expansion 1"},</v>
      </c>
      <c r="E583" s="9" t="str">
        <f t="shared" si="2"/>
        <v>data:image/svg+xml,%3csvg xmlns='http://www.w3.org/2000/svg' viewBox='0 0 24 216'%3e%3ctext fill='%23fff' style='font: 900 16px sans-serif' text-anchor='end' transform='matrix(0 -1 1 0 18 5)'%3eUp %26amp%3B Down%3c/text%3e%3c/svg%3e</v>
      </c>
      <c r="F583" s="10" t="str">
        <f t="shared" si="3"/>
        <v>https://svgtext.heliohost.us/cgi-bin/gen.perl?text=Up%20%26%20Down</v>
      </c>
      <c r="G583" s="11" t="str">
        <f t="shared" si="4"/>
        <v>data:image/svg+xml,%3csvg xmlns='http://www.w3.org/2000/svg' viewBox='0 0 24 216'%3e%3ctext fill='%23fff' style='font: 900 16px sans-serif' text-anchor='end' transform='matrix(0 -1 1 0 18 5)'%3eUp %26amp%3B Down%3c/text%3e%3c/svg%3e</v>
      </c>
      <c r="H583" s="8" t="s">
        <v>63</v>
      </c>
      <c r="I583" s="8">
        <f t="shared" ref="I583:J583" si="584">len(B583)</f>
        <v>9</v>
      </c>
      <c r="J583" s="8">
        <f t="shared" si="584"/>
        <v>31</v>
      </c>
      <c r="K583" s="8" t="s">
        <v>1662</v>
      </c>
    </row>
    <row r="584">
      <c r="A584" s="7" t="b">
        <v>1</v>
      </c>
      <c r="B584" s="8" t="s">
        <v>1663</v>
      </c>
      <c r="C584" s="8" t="s">
        <v>1664</v>
      </c>
      <c r="D584" s="8" t="str">
        <f>Q&amp;$K584&amp;Q&amp;":{"&amp;Q&amp;$B$2&amp;Q&amp;":"&amp;Q&amp;$B584&amp;Q&amp;","&amp;Q&amp;$C$2&amp;Q&amp;":"&amp;Q&amp;$C584&amp;Q&amp;","&amp;Q&amp;"sets"&amp;Q&amp;":"&amp;Q&amp;substitute(SUBSTITUTE($H584,"[",""),"]","")&amp;Q&amp;"},"</f>
        <v>"ldyt":{"label":"Useful","extra":"(helpful, handy) ","sets":"Junior"},</v>
      </c>
      <c r="E584" s="9" t="str">
        <f t="shared" si="2"/>
        <v>data:image/svg+xml,%3csvg xmlns='http://www.w3.org/2000/svg' viewBox='0 0 24 216'%3e%3ctext fill='%23fff' style='font: 900 16px sans-serif' text-anchor='end' transform='matrix(0 -1 1 0 18 5)'%3eUseful%3c/text%3e%3c/svg%3e</v>
      </c>
      <c r="F584" s="10" t="str">
        <f t="shared" si="3"/>
        <v>https://svgtext.heliohost.us/cgi-bin/gen.perl?text=Useful</v>
      </c>
      <c r="G584" s="11" t="str">
        <f t="shared" si="4"/>
        <v>data:image/svg+xml,%3csvg xmlns='http://www.w3.org/2000/svg' viewBox='0 0 24 216'%3e%3ctext fill='%23fff' style='font: 900 16px sans-serif' text-anchor='end' transform='matrix(0 -1 1 0 18 5)'%3eUseful%3c/text%3e%3c/svg%3e</v>
      </c>
      <c r="H584" s="8" t="s">
        <v>84</v>
      </c>
      <c r="I584" s="8">
        <f t="shared" ref="I584:J584" si="585">len(B584)</f>
        <v>6</v>
      </c>
      <c r="J584" s="8">
        <f t="shared" si="585"/>
        <v>17</v>
      </c>
      <c r="K584" s="8" t="s">
        <v>1665</v>
      </c>
    </row>
    <row r="585">
      <c r="A585" s="7" t="b">
        <v>0</v>
      </c>
      <c r="B585" s="8" t="s">
        <v>1666</v>
      </c>
      <c r="C585" s="8" t="s">
        <v>1667</v>
      </c>
      <c r="D585" s="8" t="str">
        <f>Q&amp;$K585&amp;Q&amp;":{"&amp;Q&amp;$B$2&amp;Q&amp;":"&amp;Q&amp;$B585&amp;Q&amp;","&amp;Q&amp;$C$2&amp;Q&amp;":"&amp;Q&amp;$C585&amp;Q&amp;","&amp;Q&amp;"sets"&amp;Q&amp;":"&amp;Q&amp;substitute(SUBSTITUTE($H585,"[",""),"]","")&amp;Q&amp;"},"</f>
        <v>"uzkb":{"label":"Useless","extra":"(worthless, ineffective, unneeded) ","sets":"Expansion Set 1, Party Set"},</v>
      </c>
      <c r="E585" s="9" t="str">
        <f t="shared" si="2"/>
        <v>data:image/svg+xml,%3csvg xmlns='http://www.w3.org/2000/svg' viewBox='0 0 24 216'%3e%3ctext fill='%23fff' style='font: 900 16px sans-serif' text-anchor='end' transform='matrix(0 -1 1 0 18 5)'%3eUseless%3c/text%3e%3c/svg%3e</v>
      </c>
      <c r="F585" s="10" t="str">
        <f t="shared" si="3"/>
        <v>https://svgtext.heliohost.us/cgi-bin/gen.perl?text=Useless</v>
      </c>
      <c r="G585" s="11" t="str">
        <f t="shared" si="4"/>
        <v>data:image/svg+xml,%3csvg xmlns='http://www.w3.org/2000/svg' viewBox='0 0 24 216'%3e%3ctext fill='%23fff' style='font: 900 16px sans-serif' text-anchor='end' transform='matrix(0 -1 1 0 18 5)'%3eUseless%3c/text%3e%3c/svg%3e</v>
      </c>
      <c r="H585" s="8" t="s">
        <v>25</v>
      </c>
      <c r="I585" s="8">
        <f t="shared" ref="I585:J585" si="586">len(B585)</f>
        <v>7</v>
      </c>
      <c r="J585" s="8">
        <f t="shared" si="586"/>
        <v>35</v>
      </c>
      <c r="K585" s="8" t="s">
        <v>1668</v>
      </c>
    </row>
    <row r="586">
      <c r="A586" s="7" t="b">
        <v>1</v>
      </c>
      <c r="B586" s="8" t="s">
        <v>1666</v>
      </c>
      <c r="C586" s="8" t="s">
        <v>1669</v>
      </c>
      <c r="D586" s="8" t="str">
        <f>Q&amp;$K586&amp;Q&amp;":{"&amp;Q&amp;$B$2&amp;Q&amp;":"&amp;Q&amp;$B586&amp;Q&amp;","&amp;Q&amp;$C$2&amp;Q&amp;":"&amp;Q&amp;$C586&amp;Q&amp;","&amp;Q&amp;"sets"&amp;Q&amp;":"&amp;Q&amp;substitute(SUBSTITUTE($H586,"[",""),"]","")&amp;Q&amp;"},"</f>
        <v>"auoi":{"label":"Useless","extra":"(worthless, not valuable) ","sets":"Junior 9+ (1st) &amp; (2nd)"},</v>
      </c>
      <c r="E586" s="9" t="str">
        <f t="shared" si="2"/>
        <v>data:image/svg+xml,%3csvg xmlns='http://www.w3.org/2000/svg' viewBox='0 0 24 216'%3e%3ctext fill='%23fff' style='font: 900 16px sans-serif' text-anchor='end' transform='matrix(0 -1 1 0 18 5)'%3eUseless%3c/text%3e%3c/svg%3e</v>
      </c>
      <c r="F586" s="10" t="str">
        <f t="shared" si="3"/>
        <v>https://svgtext.heliohost.us/cgi-bin/gen.perl?text=Useless</v>
      </c>
      <c r="G586" s="11" t="str">
        <f t="shared" si="4"/>
        <v>data:image/svg+xml,%3csvg xmlns='http://www.w3.org/2000/svg' viewBox='0 0 24 216'%3e%3ctext fill='%23fff' style='font: 900 16px sans-serif' text-anchor='end' transform='matrix(0 -1 1 0 18 5)'%3eUseless%3c/text%3e%3c/svg%3e</v>
      </c>
      <c r="H586" s="8" t="s">
        <v>42</v>
      </c>
      <c r="I586" s="8">
        <f t="shared" ref="I586:J586" si="587">len(B586)</f>
        <v>7</v>
      </c>
      <c r="J586" s="8">
        <f t="shared" si="587"/>
        <v>26</v>
      </c>
      <c r="K586" s="8" t="s">
        <v>1670</v>
      </c>
    </row>
    <row r="587">
      <c r="A587" s="7" t="b">
        <v>1</v>
      </c>
      <c r="B587" s="8" t="s">
        <v>1671</v>
      </c>
      <c r="C587" s="8" t="s">
        <v>1672</v>
      </c>
      <c r="D587" s="8" t="str">
        <f>Q&amp;$K587&amp;Q&amp;":{"&amp;Q&amp;$B$2&amp;Q&amp;":"&amp;Q&amp;$B587&amp;Q&amp;","&amp;Q&amp;$C$2&amp;Q&amp;":"&amp;Q&amp;$C587&amp;Q&amp;","&amp;Q&amp;"sets"&amp;Q&amp;":"&amp;Q&amp;substitute(SUBSTITUTE($H587,"[",""),"]","")&amp;Q&amp;"},"</f>
        <v>"ixxg":{"label":"Vain","extra":"(conceited, arrogant, fruitless) ","sets":"Expansion Set 3, Party Expansion 1"},</v>
      </c>
      <c r="E587" s="9" t="str">
        <f t="shared" si="2"/>
        <v>data:image/svg+xml,%3csvg xmlns='http://www.w3.org/2000/svg' viewBox='0 0 24 216'%3e%3ctext fill='%23fff' style='font: 900 16px sans-serif' text-anchor='end' transform='matrix(0 -1 1 0 18 5)'%3eVain%3c/text%3e%3c/svg%3e</v>
      </c>
      <c r="F587" s="10" t="str">
        <f t="shared" si="3"/>
        <v>https://svgtext.heliohost.us/cgi-bin/gen.perl?text=Vain</v>
      </c>
      <c r="G587" s="11" t="str">
        <f t="shared" si="4"/>
        <v>data:image/svg+xml,%3csvg xmlns='http://www.w3.org/2000/svg' viewBox='0 0 24 216'%3e%3ctext fill='%23fff' style='font: 900 16px sans-serif' text-anchor='end' transform='matrix(0 -1 1 0 18 5)'%3eVain%3c/text%3e%3c/svg%3e</v>
      </c>
      <c r="H587" s="8" t="s">
        <v>39</v>
      </c>
      <c r="I587" s="8">
        <f t="shared" ref="I587:J587" si="588">len(B587)</f>
        <v>4</v>
      </c>
      <c r="J587" s="8">
        <f t="shared" si="588"/>
        <v>33</v>
      </c>
      <c r="K587" s="8" t="s">
        <v>1673</v>
      </c>
    </row>
    <row r="588">
      <c r="A588" s="7" t="b">
        <v>1</v>
      </c>
      <c r="B588" s="8" t="s">
        <v>1674</v>
      </c>
      <c r="C588" s="8" t="s">
        <v>1675</v>
      </c>
      <c r="D588" s="8" t="str">
        <f>Q&amp;$K588&amp;Q&amp;":{"&amp;Q&amp;$B$2&amp;Q&amp;":"&amp;Q&amp;$B588&amp;Q&amp;","&amp;Q&amp;$C$2&amp;Q&amp;":"&amp;Q&amp;$C588&amp;Q&amp;","&amp;Q&amp;"sets"&amp;Q&amp;":"&amp;Q&amp;substitute(SUBSTITUTE($H588,"[",""),"]","")&amp;Q&amp;"},"</f>
        <v>"pzua":{"label":"Valuable","extra":"(expensive, important) ","sets":"Junior 9+ (2nd)"},</v>
      </c>
      <c r="E588" s="9" t="str">
        <f t="shared" si="2"/>
        <v>data:image/svg+xml,%3csvg xmlns='http://www.w3.org/2000/svg' viewBox='0 0 24 216'%3e%3ctext fill='%23fff' style='font: 900 16px sans-serif' text-anchor='end' transform='matrix(0 -1 1 0 18 5)'%3eValuable%3c/text%3e%3c/svg%3e</v>
      </c>
      <c r="F588" s="10" t="str">
        <f t="shared" si="3"/>
        <v>https://svgtext.heliohost.us/cgi-bin/gen.perl?text=Valuable</v>
      </c>
      <c r="G588" s="11" t="str">
        <f t="shared" si="4"/>
        <v>data:image/svg+xml,%3csvg xmlns='http://www.w3.org/2000/svg' viewBox='0 0 24 216'%3e%3ctext fill='%23fff' style='font: 900 16px sans-serif' text-anchor='end' transform='matrix(0 -1 1 0 18 5)'%3eValuable%3c/text%3e%3c/svg%3e</v>
      </c>
      <c r="H588" s="8" t="s">
        <v>32</v>
      </c>
      <c r="I588" s="8">
        <f t="shared" ref="I588:J588" si="589">len(B588)</f>
        <v>8</v>
      </c>
      <c r="J588" s="8">
        <f t="shared" si="589"/>
        <v>23</v>
      </c>
      <c r="K588" s="8" t="s">
        <v>1676</v>
      </c>
    </row>
    <row r="589">
      <c r="A589" s="7" t="b">
        <v>0</v>
      </c>
      <c r="B589" s="8" t="s">
        <v>1677</v>
      </c>
      <c r="C589" s="8" t="s">
        <v>1678</v>
      </c>
      <c r="D589" s="8" t="str">
        <f>Q&amp;$K589&amp;Q&amp;":{"&amp;Q&amp;$B$2&amp;Q&amp;":"&amp;Q&amp;$B589&amp;Q&amp;","&amp;Q&amp;$C$2&amp;Q&amp;":"&amp;Q&amp;$C589&amp;Q&amp;","&amp;Q&amp;"sets"&amp;Q&amp;":"&amp;Q&amp;substitute(SUBSTITUTE($H589,"[",""),"]","")&amp;Q&amp;"},"</f>
        <v>"iqdr":{"label":"Violent","extra":"(furious, vicious, destructive) ","sets":"Expansion Set 1, Party Set"},</v>
      </c>
      <c r="E589" s="9" t="str">
        <f t="shared" si="2"/>
        <v>data:image/svg+xml,%3csvg xmlns='http://www.w3.org/2000/svg' viewBox='0 0 24 216'%3e%3ctext fill='%23fff' style='font: 900 16px sans-serif' text-anchor='end' transform='matrix(0 -1 1 0 18 5)'%3eViolent%3c/text%3e%3c/svg%3e</v>
      </c>
      <c r="F589" s="10" t="str">
        <f t="shared" si="3"/>
        <v>https://svgtext.heliohost.us/cgi-bin/gen.perl?text=Violent</v>
      </c>
      <c r="G589" s="11" t="str">
        <f t="shared" si="4"/>
        <v>data:image/svg+xml,%3csvg xmlns='http://www.w3.org/2000/svg' viewBox='0 0 24 216'%3e%3ctext fill='%23fff' style='font: 900 16px sans-serif' text-anchor='end' transform='matrix(0 -1 1 0 18 5)'%3eViolent%3c/text%3e%3c/svg%3e</v>
      </c>
      <c r="H589" s="8" t="s">
        <v>25</v>
      </c>
      <c r="I589" s="8">
        <f t="shared" ref="I589:J589" si="590">len(B589)</f>
        <v>7</v>
      </c>
      <c r="J589" s="8">
        <f t="shared" si="590"/>
        <v>32</v>
      </c>
      <c r="K589" s="8" t="s">
        <v>1679</v>
      </c>
    </row>
    <row r="590">
      <c r="A590" s="7" t="b">
        <v>0</v>
      </c>
      <c r="B590" s="8" t="s">
        <v>1680</v>
      </c>
      <c r="C590" s="8" t="s">
        <v>1681</v>
      </c>
      <c r="D590" s="8" t="str">
        <f>Q&amp;$K590&amp;Q&amp;":{"&amp;Q&amp;$B$2&amp;Q&amp;":"&amp;Q&amp;$B590&amp;Q&amp;","&amp;Q&amp;$C$2&amp;Q&amp;":"&amp;Q&amp;$C590&amp;Q&amp;","&amp;Q&amp;"sets"&amp;Q&amp;":"&amp;Q&amp;substitute(SUBSTITUTE($H590,"[",""),"]","")&amp;Q&amp;"},"</f>
        <v>"mpvq":{"label":"Virtuous","extra":"(worthy, righteous, chaste) ","sets":"Expansion Set 2, Party Set"},</v>
      </c>
      <c r="E590" s="9" t="str">
        <f t="shared" si="2"/>
        <v>data:image/svg+xml,%3csvg xmlns='http://www.w3.org/2000/svg' viewBox='0 0 24 216'%3e%3ctext fill='%23fff' style='font: 900 16px sans-serif' text-anchor='end' transform='matrix(0 -1 1 0 18 5)'%3eVirtuous%3c/text%3e%3c/svg%3e</v>
      </c>
      <c r="F590" s="10" t="str">
        <f t="shared" si="3"/>
        <v>https://svgtext.heliohost.us/cgi-bin/gen.perl?text=Virtuous</v>
      </c>
      <c r="G590" s="11" t="str">
        <f t="shared" si="4"/>
        <v>data:image/svg+xml,%3csvg xmlns='http://www.w3.org/2000/svg' viewBox='0 0 24 216'%3e%3ctext fill='%23fff' style='font: 900 16px sans-serif' text-anchor='end' transform='matrix(0 -1 1 0 18 5)'%3eVirtuous%3c/text%3e%3c/svg%3e</v>
      </c>
      <c r="H590" s="8" t="s">
        <v>17</v>
      </c>
      <c r="I590" s="8">
        <f t="shared" ref="I590:J590" si="591">len(B590)</f>
        <v>8</v>
      </c>
      <c r="J590" s="8">
        <f t="shared" si="591"/>
        <v>28</v>
      </c>
      <c r="K590" s="8" t="s">
        <v>1682</v>
      </c>
    </row>
    <row r="591">
      <c r="A591" s="7" t="b">
        <v>0</v>
      </c>
      <c r="B591" s="8" t="s">
        <v>1683</v>
      </c>
      <c r="C591" s="8" t="s">
        <v>1684</v>
      </c>
      <c r="D591" s="8" t="str">
        <f>Q&amp;$K591&amp;Q&amp;":{"&amp;Q&amp;$B$2&amp;Q&amp;":"&amp;Q&amp;$B591&amp;Q&amp;","&amp;Q&amp;$C$2&amp;Q&amp;":"&amp;Q&amp;$C591&amp;Q&amp;","&amp;Q&amp;"sets"&amp;Q&amp;":"&amp;Q&amp;substitute(SUBSTITUTE($H591,"[",""),"]","")&amp;Q&amp;"},"</f>
        <v>"wyph":{"label":"Visionary","extra":"(idealistic, prophetic, far-seeing) ","sets":"Basic Set, Party Set"},</v>
      </c>
      <c r="E591" s="9" t="str">
        <f t="shared" si="2"/>
        <v>data:image/svg+xml,%3csvg xmlns='http://www.w3.org/2000/svg' viewBox='0 0 24 216'%3e%3ctext fill='%23fff' style='font: 900 16px sans-serif' text-anchor='end' transform='matrix(0 -1 1 0 18 5)'%3eVisionary%3c/text%3e%3c/svg%3e</v>
      </c>
      <c r="F591" s="10" t="str">
        <f t="shared" si="3"/>
        <v>https://svgtext.heliohost.us/cgi-bin/gen.perl?text=Visionary</v>
      </c>
      <c r="G591" s="11" t="str">
        <f t="shared" si="4"/>
        <v>data:image/svg+xml,%3csvg xmlns='http://www.w3.org/2000/svg' viewBox='0 0 24 216'%3e%3ctext fill='%23fff' style='font: 900 16px sans-serif' text-anchor='end' transform='matrix(0 -1 1 0 18 5)'%3eVisionary%3c/text%3e%3c/svg%3e</v>
      </c>
      <c r="H591" s="8" t="s">
        <v>29</v>
      </c>
      <c r="I591" s="8">
        <f t="shared" ref="I591:J591" si="592">len(B591)</f>
        <v>9</v>
      </c>
      <c r="J591" s="8">
        <f t="shared" si="592"/>
        <v>36</v>
      </c>
      <c r="K591" s="8" t="s">
        <v>1685</v>
      </c>
    </row>
    <row r="592">
      <c r="A592" s="7" t="b">
        <v>0</v>
      </c>
      <c r="B592" s="8" t="s">
        <v>1686</v>
      </c>
      <c r="C592" s="8" t="s">
        <v>1687</v>
      </c>
      <c r="D592" s="8" t="str">
        <f>Q&amp;$K592&amp;Q&amp;":{"&amp;Q&amp;$B$2&amp;Q&amp;":"&amp;Q&amp;$B592&amp;Q&amp;","&amp;Q&amp;$C$2&amp;Q&amp;":"&amp;Q&amp;$C592&amp;Q&amp;","&amp;Q&amp;"sets"&amp;Q&amp;":"&amp;Q&amp;substitute(SUBSTITUTE($H592,"[",""),"]","")&amp;Q&amp;"},"</f>
        <v>"gvof":{"label":"Warm","extra":"(tepid, mild, affectionate) ","sets":"Expansion Set 2"},</v>
      </c>
      <c r="E592" s="9" t="str">
        <f t="shared" si="2"/>
        <v>data:image/svg+xml,%3csvg xmlns='http://www.w3.org/2000/svg' viewBox='0 0 24 216'%3e%3ctext fill='%23fff' style='font: 900 16px sans-serif' text-anchor='end' transform='matrix(0 -1 1 0 18 5)'%3eWarm%3c/text%3e%3c/svg%3e</v>
      </c>
      <c r="F592" s="10" t="str">
        <f t="shared" si="3"/>
        <v>https://svgtext.heliohost.us/cgi-bin/gen.perl?text=Warm</v>
      </c>
      <c r="G592" s="11" t="str">
        <f t="shared" si="4"/>
        <v>data:image/svg+xml,%3csvg xmlns='http://www.w3.org/2000/svg' viewBox='0 0 24 216'%3e%3ctext fill='%23fff' style='font: 900 16px sans-serif' text-anchor='end' transform='matrix(0 -1 1 0 18 5)'%3eWarm%3c/text%3e%3c/svg%3e</v>
      </c>
      <c r="H592" s="8" t="s">
        <v>21</v>
      </c>
      <c r="I592" s="8">
        <f t="shared" ref="I592:J592" si="593">len(B592)</f>
        <v>4</v>
      </c>
      <c r="J592" s="8">
        <f t="shared" si="593"/>
        <v>28</v>
      </c>
      <c r="K592" s="8" t="s">
        <v>1688</v>
      </c>
    </row>
    <row r="593">
      <c r="A593" s="7" t="b">
        <v>0</v>
      </c>
      <c r="B593" s="8" t="s">
        <v>1686</v>
      </c>
      <c r="C593" s="8" t="s">
        <v>1689</v>
      </c>
      <c r="D593" s="8" t="str">
        <f>Q&amp;$K593&amp;Q&amp;":{"&amp;Q&amp;$B$2&amp;Q&amp;":"&amp;Q&amp;$B593&amp;Q&amp;","&amp;Q&amp;$C$2&amp;Q&amp;":"&amp;Q&amp;$C593&amp;Q&amp;","&amp;Q&amp;"sets"&amp;Q&amp;":"&amp;Q&amp;substitute(SUBSTITUTE($H593,"[",""),"]","")&amp;Q&amp;"},"</f>
        <v>"dias":{"label":"Warm","extra":"(heated, somewhat hot) ","sets":"Junior"},</v>
      </c>
      <c r="E593" s="9" t="str">
        <f t="shared" si="2"/>
        <v>data:image/svg+xml,%3csvg xmlns='http://www.w3.org/2000/svg' viewBox='0 0 24 216'%3e%3ctext fill='%23fff' style='font: 900 16px sans-serif' text-anchor='end' transform='matrix(0 -1 1 0 18 5)'%3eWarm%3c/text%3e%3c/svg%3e</v>
      </c>
      <c r="F593" s="10" t="str">
        <f t="shared" si="3"/>
        <v>https://svgtext.heliohost.us/cgi-bin/gen.perl?text=Warm</v>
      </c>
      <c r="G593" s="11" t="str">
        <f t="shared" si="4"/>
        <v>data:image/svg+xml,%3csvg xmlns='http://www.w3.org/2000/svg' viewBox='0 0 24 216'%3e%3ctext fill='%23fff' style='font: 900 16px sans-serif' text-anchor='end' transform='matrix(0 -1 1 0 18 5)'%3eWarm%3c/text%3e%3c/svg%3e</v>
      </c>
      <c r="H593" s="8" t="s">
        <v>84</v>
      </c>
      <c r="I593" s="8">
        <f t="shared" ref="I593:J593" si="594">len(B593)</f>
        <v>4</v>
      </c>
      <c r="J593" s="8">
        <f t="shared" si="594"/>
        <v>23</v>
      </c>
      <c r="K593" s="8" t="s">
        <v>1690</v>
      </c>
    </row>
    <row r="594">
      <c r="A594" s="7" t="b">
        <v>1</v>
      </c>
      <c r="B594" s="8" t="s">
        <v>1691</v>
      </c>
      <c r="C594" s="8" t="s">
        <v>1692</v>
      </c>
      <c r="D594" s="8" t="str">
        <f>Q&amp;$K594&amp;Q&amp;":{"&amp;Q&amp;$B$2&amp;Q&amp;":"&amp;Q&amp;$B594&amp;Q&amp;","&amp;Q&amp;$C$2&amp;Q&amp;":"&amp;Q&amp;$C594&amp;Q&amp;","&amp;Q&amp;"sets"&amp;Q&amp;":"&amp;Q&amp;substitute(SUBSTITUTE($H594,"[",""),"]","")&amp;Q&amp;"},"</f>
        <v>"kquy":{"label":"Warm &amp; Cozy","extra":"(snug, comfy, friendly) ","sets":"Expansion Set 4, Party Expansion 1"},</v>
      </c>
      <c r="E594" s="9" t="str">
        <f t="shared" si="2"/>
        <v>data:image/svg+xml,%3csvg xmlns='http://www.w3.org/2000/svg' viewBox='0 0 24 216'%3e%3ctext fill='%23fff' style='font: 900 16px sans-serif' text-anchor='end' transform='matrix(0 -1 1 0 18 5)'%3eWarm %26amp%3B Cozy%3c/text%3e%3c/svg%3e</v>
      </c>
      <c r="F594" s="10" t="str">
        <f t="shared" si="3"/>
        <v>https://svgtext.heliohost.us/cgi-bin/gen.perl?text=Warm%20%26%20Cozy</v>
      </c>
      <c r="G594" s="11" t="str">
        <f t="shared" si="4"/>
        <v>data:image/svg+xml,%3csvg xmlns='http://www.w3.org/2000/svg' viewBox='0 0 24 216'%3e%3ctext fill='%23fff' style='font: 900 16px sans-serif' text-anchor='end' transform='matrix(0 -1 1 0 18 5)'%3eWarm %26amp%3B Cozy%3c/text%3e%3c/svg%3e</v>
      </c>
      <c r="H594" s="8" t="s">
        <v>63</v>
      </c>
      <c r="I594" s="8">
        <f t="shared" ref="I594:J594" si="595">len(B594)</f>
        <v>11</v>
      </c>
      <c r="J594" s="8">
        <f t="shared" si="595"/>
        <v>24</v>
      </c>
      <c r="K594" s="8" t="s">
        <v>1693</v>
      </c>
    </row>
    <row r="595">
      <c r="A595" s="7" t="b">
        <v>0</v>
      </c>
      <c r="B595" s="8" t="s">
        <v>1694</v>
      </c>
      <c r="C595" s="8" t="s">
        <v>1695</v>
      </c>
      <c r="D595" s="8" t="str">
        <f>Q&amp;$K595&amp;Q&amp;":{"&amp;Q&amp;$B$2&amp;Q&amp;":"&amp;Q&amp;$B595&amp;Q&amp;","&amp;Q&amp;$C$2&amp;Q&amp;":"&amp;Q&amp;$C595&amp;Q&amp;","&amp;Q&amp;"sets"&amp;Q&amp;":"&amp;Q&amp;substitute(SUBSTITUTE($H595,"[",""),"]","")&amp;Q&amp;"},"</f>
        <v>"xukc":{"label":"Warm &amp; Fuzzy","extra":"(kindhearted, loving, affectionate) ","sets":"Expansion Set 4, Party Expansion 1"},</v>
      </c>
      <c r="E595" s="9" t="str">
        <f t="shared" si="2"/>
        <v>data:image/svg+xml,%3csvg xmlns='http://www.w3.org/2000/svg' viewBox='0 0 24 216'%3e%3ctext fill='%23fff' style='font: 900 16px sans-serif' text-anchor='end' transform='matrix(0 -1 1 0 18 5)'%3eWarm %26amp%3B Fuzzy%3c/text%3e%3c/svg%3e</v>
      </c>
      <c r="F595" s="10" t="str">
        <f t="shared" si="3"/>
        <v>https://svgtext.heliohost.us/cgi-bin/gen.perl?text=Warm%20%26%20Fuzzy</v>
      </c>
      <c r="G595" s="11" t="str">
        <f t="shared" si="4"/>
        <v>data:image/svg+xml,%3csvg xmlns='http://www.w3.org/2000/svg' viewBox='0 0 24 216'%3e%3ctext fill='%23fff' style='font: 900 16px sans-serif' text-anchor='end' transform='matrix(0 -1 1 0 18 5)'%3eWarm %26amp%3B Fuzzy%3c/text%3e%3c/svg%3e</v>
      </c>
      <c r="H595" s="8" t="s">
        <v>63</v>
      </c>
      <c r="I595" s="8">
        <f t="shared" ref="I595:J595" si="596">len(B595)</f>
        <v>12</v>
      </c>
      <c r="J595" s="8">
        <f t="shared" si="596"/>
        <v>36</v>
      </c>
      <c r="K595" s="8" t="s">
        <v>1696</v>
      </c>
    </row>
    <row r="596">
      <c r="A596" s="7" t="b">
        <v>1</v>
      </c>
      <c r="B596" s="8" t="s">
        <v>1697</v>
      </c>
      <c r="C596" s="8" t="s">
        <v>1698</v>
      </c>
      <c r="D596" s="8" t="str">
        <f>Q&amp;$K596&amp;Q&amp;":{"&amp;Q&amp;$B$2&amp;Q&amp;":"&amp;Q&amp;$B596&amp;Q&amp;","&amp;Q&amp;$C$2&amp;Q&amp;":"&amp;Q&amp;$C596&amp;Q&amp;","&amp;Q&amp;"sets"&amp;Q&amp;":"&amp;Q&amp;substitute(SUBSTITUTE($H596,"[",""),"]","")&amp;Q&amp;"},"</f>
        <v>"llty":{"label":"Wash &amp; Wear","extra":"(durable, easy-care, sturdy) ","sets":"Expansion Set 4, Party Expansion 1"},</v>
      </c>
      <c r="E596" s="9" t="str">
        <f t="shared" si="2"/>
        <v>data:image/svg+xml,%3csvg xmlns='http://www.w3.org/2000/svg' viewBox='0 0 24 216'%3e%3ctext fill='%23fff' style='font: 900 16px sans-serif' text-anchor='end' transform='matrix(0 -1 1 0 18 5)'%3eWash %26amp%3B Wear%3c/text%3e%3c/svg%3e</v>
      </c>
      <c r="F596" s="10" t="str">
        <f t="shared" si="3"/>
        <v>https://svgtext.heliohost.us/cgi-bin/gen.perl?text=Wash%20%26%20Wear</v>
      </c>
      <c r="G596" s="11" t="str">
        <f t="shared" si="4"/>
        <v>data:image/svg+xml,%3csvg xmlns='http://www.w3.org/2000/svg' viewBox='0 0 24 216'%3e%3ctext fill='%23fff' style='font: 900 16px sans-serif' text-anchor='end' transform='matrix(0 -1 1 0 18 5)'%3eWash %26amp%3B Wear%3c/text%3e%3c/svg%3e</v>
      </c>
      <c r="H596" s="8" t="s">
        <v>63</v>
      </c>
      <c r="I596" s="8">
        <f t="shared" ref="I596:J596" si="597">len(B596)</f>
        <v>11</v>
      </c>
      <c r="J596" s="8">
        <f t="shared" si="597"/>
        <v>29</v>
      </c>
      <c r="K596" s="8" t="s">
        <v>1699</v>
      </c>
    </row>
    <row r="597">
      <c r="A597" s="7" t="b">
        <v>0</v>
      </c>
      <c r="B597" s="8" t="s">
        <v>1700</v>
      </c>
      <c r="C597" s="8" t="s">
        <v>1701</v>
      </c>
      <c r="D597" s="8" t="str">
        <f>Q&amp;$K597&amp;Q&amp;":{"&amp;Q&amp;$B$2&amp;Q&amp;":"&amp;Q&amp;$B597&amp;Q&amp;","&amp;Q&amp;$C$2&amp;Q&amp;":"&amp;Q&amp;$C597&amp;Q&amp;","&amp;Q&amp;"sets"&amp;Q&amp;":"&amp;Q&amp;substitute(SUBSTITUTE($H597,"[",""),"]","")&amp;Q&amp;"},"</f>
        <v>"acjv":{"label":"Weak","extra":"(not strong, sickly) ","sets":"Junior 9+ (1st) &amp; (2nd)"},</v>
      </c>
      <c r="E597" s="9" t="str">
        <f t="shared" si="2"/>
        <v>data:image/svg+xml,%3csvg xmlns='http://www.w3.org/2000/svg' viewBox='0 0 24 216'%3e%3ctext fill='%23fff' style='font: 900 16px sans-serif' text-anchor='end' transform='matrix(0 -1 1 0 18 5)'%3eWeak%3c/text%3e%3c/svg%3e</v>
      </c>
      <c r="F597" s="10" t="str">
        <f t="shared" si="3"/>
        <v>https://svgtext.heliohost.us/cgi-bin/gen.perl?text=Weak</v>
      </c>
      <c r="G597" s="11" t="str">
        <f t="shared" si="4"/>
        <v>data:image/svg+xml,%3csvg xmlns='http://www.w3.org/2000/svg' viewBox='0 0 24 216'%3e%3ctext fill='%23fff' style='font: 900 16px sans-serif' text-anchor='end' transform='matrix(0 -1 1 0 18 5)'%3eWeak%3c/text%3e%3c/svg%3e</v>
      </c>
      <c r="H597" s="8" t="s">
        <v>42</v>
      </c>
      <c r="I597" s="8">
        <f t="shared" ref="I597:J597" si="598">len(B597)</f>
        <v>4</v>
      </c>
      <c r="J597" s="8">
        <f t="shared" si="598"/>
        <v>21</v>
      </c>
      <c r="K597" s="8" t="s">
        <v>1702</v>
      </c>
    </row>
    <row r="598">
      <c r="A598" s="7" t="b">
        <v>0</v>
      </c>
      <c r="B598" s="8" t="s">
        <v>1703</v>
      </c>
      <c r="C598" s="8" t="s">
        <v>1704</v>
      </c>
      <c r="D598" s="8" t="str">
        <f>Q&amp;$K598&amp;Q&amp;":{"&amp;Q&amp;$B$2&amp;Q&amp;":"&amp;Q&amp;$B598&amp;Q&amp;","&amp;Q&amp;$C$2&amp;Q&amp;":"&amp;Q&amp;$C598&amp;Q&amp;","&amp;Q&amp;"sets"&amp;Q&amp;":"&amp;Q&amp;substitute(SUBSTITUTE($H598,"[",""),"]","")&amp;Q&amp;"},"</f>
        <v>"cxbb":{"label":"Weird","extra":"(abnormal, peculiar, odd) ","sets":"Expansion Set 1, Party Set"},</v>
      </c>
      <c r="E598" s="9" t="str">
        <f t="shared" si="2"/>
        <v>data:image/svg+xml,%3csvg xmlns='http://www.w3.org/2000/svg' viewBox='0 0 24 216'%3e%3ctext fill='%23fff' style='font: 900 16px sans-serif' text-anchor='end' transform='matrix(0 -1 1 0 18 5)'%3eWeird%3c/text%3e%3c/svg%3e</v>
      </c>
      <c r="F598" s="10" t="str">
        <f t="shared" si="3"/>
        <v>https://svgtext.heliohost.us/cgi-bin/gen.perl?text=Weird</v>
      </c>
      <c r="G598" s="11" t="str">
        <f t="shared" si="4"/>
        <v>data:image/svg+xml,%3csvg xmlns='http://www.w3.org/2000/svg' viewBox='0 0 24 216'%3e%3ctext fill='%23fff' style='font: 900 16px sans-serif' text-anchor='end' transform='matrix(0 -1 1 0 18 5)'%3eWeird%3c/text%3e%3c/svg%3e</v>
      </c>
      <c r="H598" s="8" t="s">
        <v>25</v>
      </c>
      <c r="I598" s="8">
        <f t="shared" ref="I598:J598" si="599">len(B598)</f>
        <v>5</v>
      </c>
      <c r="J598" s="8">
        <f t="shared" si="599"/>
        <v>26</v>
      </c>
      <c r="K598" s="8" t="s">
        <v>1705</v>
      </c>
    </row>
    <row r="599">
      <c r="A599" s="7" t="b">
        <v>0</v>
      </c>
      <c r="B599" s="8" t="s">
        <v>1703</v>
      </c>
      <c r="C599" s="8" t="s">
        <v>1706</v>
      </c>
      <c r="D599" s="8" t="str">
        <f>Q&amp;$K599&amp;Q&amp;":{"&amp;Q&amp;$B$2&amp;Q&amp;":"&amp;Q&amp;$B599&amp;Q&amp;","&amp;Q&amp;$C$2&amp;Q&amp;":"&amp;Q&amp;$C599&amp;Q&amp;","&amp;Q&amp;"sets"&amp;Q&amp;":"&amp;Q&amp;substitute(SUBSTITUTE($H599,"[",""),"]","")&amp;Q&amp;"},"</f>
        <v>"tjif":{"label":"Weird","extra":"(odd, mysterious) ","sets":"Junior"},</v>
      </c>
      <c r="E599" s="9" t="str">
        <f t="shared" si="2"/>
        <v>data:image/svg+xml,%3csvg xmlns='http://www.w3.org/2000/svg' viewBox='0 0 24 216'%3e%3ctext fill='%23fff' style='font: 900 16px sans-serif' text-anchor='end' transform='matrix(0 -1 1 0 18 5)'%3eWeird%3c/text%3e%3c/svg%3e</v>
      </c>
      <c r="F599" s="10" t="str">
        <f t="shared" si="3"/>
        <v>https://svgtext.heliohost.us/cgi-bin/gen.perl?text=Weird</v>
      </c>
      <c r="G599" s="11" t="str">
        <f t="shared" si="4"/>
        <v>data:image/svg+xml,%3csvg xmlns='http://www.w3.org/2000/svg' viewBox='0 0 24 216'%3e%3ctext fill='%23fff' style='font: 900 16px sans-serif' text-anchor='end' transform='matrix(0 -1 1 0 18 5)'%3eWeird%3c/text%3e%3c/svg%3e</v>
      </c>
      <c r="H599" s="8" t="s">
        <v>84</v>
      </c>
      <c r="I599" s="8">
        <f t="shared" ref="I599:J599" si="600">len(B599)</f>
        <v>5</v>
      </c>
      <c r="J599" s="8">
        <f t="shared" si="600"/>
        <v>18</v>
      </c>
      <c r="K599" s="8" t="s">
        <v>1707</v>
      </c>
    </row>
    <row r="600">
      <c r="A600" s="7" t="b">
        <v>0</v>
      </c>
      <c r="B600" s="8" t="s">
        <v>1708</v>
      </c>
      <c r="C600" s="8" t="s">
        <v>1709</v>
      </c>
      <c r="D600" s="8" t="str">
        <f>Q&amp;$K600&amp;Q&amp;":{"&amp;Q&amp;$B$2&amp;Q&amp;":"&amp;Q&amp;$B600&amp;Q&amp;","&amp;Q&amp;$C$2&amp;Q&amp;":"&amp;Q&amp;$C600&amp;Q&amp;","&amp;Q&amp;"sets"&amp;Q&amp;":"&amp;Q&amp;substitute(SUBSTITUTE($H600,"[",""),"]","")&amp;Q&amp;"},"</f>
        <v>"ashk":{"label":"Wet","extra":"(watery, soaked) ","sets":"Junior"},</v>
      </c>
      <c r="E600" s="9" t="str">
        <f t="shared" si="2"/>
        <v>data:image/svg+xml,%3csvg xmlns='http://www.w3.org/2000/svg' viewBox='0 0 24 216'%3e%3ctext fill='%23fff' style='font: 900 16px sans-serif' text-anchor='end' transform='matrix(0 -1 1 0 18 5)'%3eWet%3c/text%3e%3c/svg%3e</v>
      </c>
      <c r="F600" s="10" t="str">
        <f t="shared" si="3"/>
        <v>https://svgtext.heliohost.us/cgi-bin/gen.perl?text=Wet</v>
      </c>
      <c r="G600" s="11" t="str">
        <f t="shared" si="4"/>
        <v>data:image/svg+xml,%3csvg xmlns='http://www.w3.org/2000/svg' viewBox='0 0 24 216'%3e%3ctext fill='%23fff' style='font: 900 16px sans-serif' text-anchor='end' transform='matrix(0 -1 1 0 18 5)'%3eWet%3c/text%3e%3c/svg%3e</v>
      </c>
      <c r="H600" s="8" t="s">
        <v>84</v>
      </c>
      <c r="I600" s="8">
        <f t="shared" ref="I600:J600" si="601">len(B600)</f>
        <v>3</v>
      </c>
      <c r="J600" s="8">
        <f t="shared" si="601"/>
        <v>17</v>
      </c>
      <c r="K600" s="8" t="s">
        <v>1710</v>
      </c>
    </row>
    <row r="601">
      <c r="A601" s="7" t="b">
        <v>1</v>
      </c>
      <c r="B601" s="8" t="s">
        <v>1711</v>
      </c>
      <c r="C601" s="8" t="s">
        <v>1712</v>
      </c>
      <c r="D601" s="8" t="str">
        <f>Q&amp;$K601&amp;Q&amp;":{"&amp;Q&amp;$B$2&amp;Q&amp;":"&amp;Q&amp;$B601&amp;Q&amp;","&amp;Q&amp;$C$2&amp;Q&amp;":"&amp;Q&amp;$C601&amp;Q&amp;","&amp;Q&amp;"sets"&amp;Q&amp;":"&amp;Q&amp;substitute(SUBSTITUTE($H601,"[",""),"]","")&amp;Q&amp;"},"</f>
        <v>"bflc":{"label":"Whimsical","extra":"(humourous, peculiar, fanciful) ","sets":"Expansion Set 3, Party Expansion 1"},</v>
      </c>
      <c r="E601" s="9" t="str">
        <f t="shared" si="2"/>
        <v>data:image/svg+xml,%3csvg xmlns='http://www.w3.org/2000/svg' viewBox='0 0 24 216'%3e%3ctext fill='%23fff' style='font: 900 16px sans-serif' text-anchor='end' transform='matrix(0 -1 1 0 18 5)'%3eWhimsical%3c/text%3e%3c/svg%3e</v>
      </c>
      <c r="F601" s="10" t="str">
        <f t="shared" si="3"/>
        <v>https://svgtext.heliohost.us/cgi-bin/gen.perl?text=Whimsical</v>
      </c>
      <c r="G601" s="11" t="str">
        <f t="shared" si="4"/>
        <v>data:image/svg+xml,%3csvg xmlns='http://www.w3.org/2000/svg' viewBox='0 0 24 216'%3e%3ctext fill='%23fff' style='font: 900 16px sans-serif' text-anchor='end' transform='matrix(0 -1 1 0 18 5)'%3eWhimsical%3c/text%3e%3c/svg%3e</v>
      </c>
      <c r="H601" s="8" t="s">
        <v>39</v>
      </c>
      <c r="I601" s="8">
        <f t="shared" ref="I601:J601" si="602">len(B601)</f>
        <v>9</v>
      </c>
      <c r="J601" s="8">
        <f t="shared" si="602"/>
        <v>32</v>
      </c>
      <c r="K601" s="8" t="s">
        <v>1713</v>
      </c>
    </row>
    <row r="602">
      <c r="A602" s="7" t="b">
        <v>0</v>
      </c>
      <c r="B602" s="8" t="s">
        <v>1714</v>
      </c>
      <c r="C602" s="8" t="s">
        <v>1715</v>
      </c>
      <c r="D602" s="8" t="str">
        <f>Q&amp;$K602&amp;Q&amp;":{"&amp;Q&amp;$B$2&amp;Q&amp;":"&amp;Q&amp;$B602&amp;Q&amp;","&amp;Q&amp;$C$2&amp;Q&amp;":"&amp;Q&amp;$C602&amp;Q&amp;","&amp;Q&amp;"sets"&amp;Q&amp;":"&amp;Q&amp;substitute(SUBSTITUTE($H602,"[",""),"]","")&amp;Q&amp;"},"</f>
        <v>"sghi":{"label":"Wicked","extra":"(evil, corrupt, depraved) ","sets":"Basic Set, Party Set"},</v>
      </c>
      <c r="E602" s="9" t="str">
        <f t="shared" si="2"/>
        <v>data:image/svg+xml,%3csvg xmlns='http://www.w3.org/2000/svg' viewBox='0 0 24 216'%3e%3ctext fill='%23fff' style='font: 900 16px sans-serif' text-anchor='end' transform='matrix(0 -1 1 0 18 5)'%3eWicked%3c/text%3e%3c/svg%3e</v>
      </c>
      <c r="F602" s="10" t="str">
        <f t="shared" si="3"/>
        <v>https://svgtext.heliohost.us/cgi-bin/gen.perl?text=Wicked</v>
      </c>
      <c r="G602" s="11" t="str">
        <f t="shared" si="4"/>
        <v>data:image/svg+xml,%3csvg xmlns='http://www.w3.org/2000/svg' viewBox='0 0 24 216'%3e%3ctext fill='%23fff' style='font: 900 16px sans-serif' text-anchor='end' transform='matrix(0 -1 1 0 18 5)'%3eWicked%3c/text%3e%3c/svg%3e</v>
      </c>
      <c r="H602" s="8" t="s">
        <v>29</v>
      </c>
      <c r="I602" s="8">
        <f t="shared" ref="I602:J602" si="603">len(B602)</f>
        <v>6</v>
      </c>
      <c r="J602" s="8">
        <f t="shared" si="603"/>
        <v>26</v>
      </c>
      <c r="K602" s="8" t="s">
        <v>1716</v>
      </c>
    </row>
    <row r="603">
      <c r="A603" s="7" t="b">
        <v>0</v>
      </c>
      <c r="B603" s="8" t="s">
        <v>1717</v>
      </c>
      <c r="C603" s="8" t="s">
        <v>1718</v>
      </c>
      <c r="D603" s="8" t="str">
        <f>Q&amp;$K603&amp;Q&amp;":{"&amp;Q&amp;$B$2&amp;Q&amp;":"&amp;Q&amp;$B603&amp;Q&amp;","&amp;Q&amp;$C$2&amp;Q&amp;":"&amp;Q&amp;$C603&amp;Q&amp;","&amp;Q&amp;"sets"&amp;Q&amp;":"&amp;Q&amp;substitute(SUBSTITUTE($H603,"[",""),"]","")&amp;Q&amp;"},"</f>
        <v>"oujt":{"label":"Wide","extra":"(broad, thick) ","sets":"Junior 9+ (2nd)"},</v>
      </c>
      <c r="E603" s="9" t="str">
        <f t="shared" si="2"/>
        <v>data:image/svg+xml,%3csvg xmlns='http://www.w3.org/2000/svg' viewBox='0 0 24 216'%3e%3ctext fill='%23fff' style='font: 900 16px sans-serif' text-anchor='end' transform='matrix(0 -1 1 0 18 5)'%3eWide%3c/text%3e%3c/svg%3e</v>
      </c>
      <c r="F603" s="10" t="str">
        <f t="shared" si="3"/>
        <v>https://svgtext.heliohost.us/cgi-bin/gen.perl?text=Wide</v>
      </c>
      <c r="G603" s="11" t="str">
        <f t="shared" si="4"/>
        <v>data:image/svg+xml,%3csvg xmlns='http://www.w3.org/2000/svg' viewBox='0 0 24 216'%3e%3ctext fill='%23fff' style='font: 900 16px sans-serif' text-anchor='end' transform='matrix(0 -1 1 0 18 5)'%3eWide%3c/text%3e%3c/svg%3e</v>
      </c>
      <c r="H603" s="8" t="s">
        <v>32</v>
      </c>
      <c r="I603" s="8">
        <f t="shared" ref="I603:J603" si="604">len(B603)</f>
        <v>4</v>
      </c>
      <c r="J603" s="8">
        <f t="shared" si="604"/>
        <v>15</v>
      </c>
      <c r="K603" s="8" t="s">
        <v>1719</v>
      </c>
    </row>
    <row r="604">
      <c r="A604" s="7" t="b">
        <v>0</v>
      </c>
      <c r="B604" s="8" t="s">
        <v>1720</v>
      </c>
      <c r="C604" s="8" t="s">
        <v>1721</v>
      </c>
      <c r="D604" s="8" t="str">
        <f>Q&amp;$K604&amp;Q&amp;":{"&amp;Q&amp;$B$2&amp;Q&amp;":"&amp;Q&amp;$B604&amp;Q&amp;","&amp;Q&amp;$C$2&amp;Q&amp;":"&amp;Q&amp;$C604&amp;Q&amp;","&amp;Q&amp;"sets"&amp;Q&amp;":"&amp;Q&amp;substitute(SUBSTITUTE($H604,"[",""),"]","")&amp;Q&amp;"},"</f>
        <v>"ebfx":{"label":"Wild","extra":"(untamed, savage, ferocious) ","sets":"Basic Set, Party Set"},</v>
      </c>
      <c r="E604" s="9" t="str">
        <f t="shared" si="2"/>
        <v>data:image/svg+xml,%3csvg xmlns='http://www.w3.org/2000/svg' viewBox='0 0 24 216'%3e%3ctext fill='%23fff' style='font: 900 16px sans-serif' text-anchor='end' transform='matrix(0 -1 1 0 18 5)'%3eWild%3c/text%3e%3c/svg%3e</v>
      </c>
      <c r="F604" s="10" t="str">
        <f t="shared" si="3"/>
        <v>https://svgtext.heliohost.us/cgi-bin/gen.perl?text=Wild</v>
      </c>
      <c r="G604" s="11" t="str">
        <f t="shared" si="4"/>
        <v>data:image/svg+xml,%3csvg xmlns='http://www.w3.org/2000/svg' viewBox='0 0 24 216'%3e%3ctext fill='%23fff' style='font: 900 16px sans-serif' text-anchor='end' transform='matrix(0 -1 1 0 18 5)'%3eWild%3c/text%3e%3c/svg%3e</v>
      </c>
      <c r="H604" s="8" t="s">
        <v>29</v>
      </c>
      <c r="I604" s="8">
        <f t="shared" ref="I604:J604" si="605">len(B604)</f>
        <v>4</v>
      </c>
      <c r="J604" s="8">
        <f t="shared" si="605"/>
        <v>29</v>
      </c>
      <c r="K604" s="8" t="s">
        <v>1722</v>
      </c>
    </row>
    <row r="605">
      <c r="A605" s="7" t="b">
        <v>0</v>
      </c>
      <c r="B605" s="8" t="s">
        <v>1720</v>
      </c>
      <c r="C605" s="8" t="s">
        <v>1723</v>
      </c>
      <c r="D605" s="8" t="str">
        <f>Q&amp;$K605&amp;Q&amp;":{"&amp;Q&amp;$B$2&amp;Q&amp;":"&amp;Q&amp;$B605&amp;Q&amp;","&amp;Q&amp;$C$2&amp;Q&amp;":"&amp;Q&amp;$C605&amp;Q&amp;","&amp;Q&amp;"sets"&amp;Q&amp;":"&amp;Q&amp;substitute(SUBSTITUTE($H605,"[",""),"]","")&amp;Q&amp;"},"</f>
        <v>"xfvg":{"label":"Wild","extra":"(not tame, crazy) ","sets":"Junior"},</v>
      </c>
      <c r="E605" s="9" t="str">
        <f t="shared" si="2"/>
        <v>data:image/svg+xml,%3csvg xmlns='http://www.w3.org/2000/svg' viewBox='0 0 24 216'%3e%3ctext fill='%23fff' style='font: 900 16px sans-serif' text-anchor='end' transform='matrix(0 -1 1 0 18 5)'%3eWild%3c/text%3e%3c/svg%3e</v>
      </c>
      <c r="F605" s="10" t="str">
        <f t="shared" si="3"/>
        <v>https://svgtext.heliohost.us/cgi-bin/gen.perl?text=Wild</v>
      </c>
      <c r="G605" s="11" t="str">
        <f t="shared" si="4"/>
        <v>data:image/svg+xml,%3csvg xmlns='http://www.w3.org/2000/svg' viewBox='0 0 24 216'%3e%3ctext fill='%23fff' style='font: 900 16px sans-serif' text-anchor='end' transform='matrix(0 -1 1 0 18 5)'%3eWild%3c/text%3e%3c/svg%3e</v>
      </c>
      <c r="H605" s="8" t="s">
        <v>84</v>
      </c>
      <c r="I605" s="8">
        <f t="shared" ref="I605:J605" si="606">len(B605)</f>
        <v>4</v>
      </c>
      <c r="J605" s="8">
        <f t="shared" si="606"/>
        <v>18</v>
      </c>
      <c r="K605" s="8" t="s">
        <v>1724</v>
      </c>
    </row>
    <row r="606">
      <c r="A606" s="7" t="b">
        <v>1</v>
      </c>
      <c r="B606" s="8" t="s">
        <v>1725</v>
      </c>
      <c r="C606" s="8" t="s">
        <v>1726</v>
      </c>
      <c r="D606" s="8" t="str">
        <f>Q&amp;$K606&amp;Q&amp;":{"&amp;Q&amp;$B$2&amp;Q&amp;":"&amp;Q&amp;$B606&amp;Q&amp;","&amp;Q&amp;$C$2&amp;Q&amp;":"&amp;Q&amp;$C606&amp;Q&amp;","&amp;Q&amp;"sets"&amp;Q&amp;":"&amp;Q&amp;substitute(SUBSTITUTE($H606,"[",""),"]","")&amp;Q&amp;"},"</f>
        <v>"krgu":{"label":"Wild &amp; Wooly","extra":"(untamed, uncontrolled, reckless) ","sets":"Expansion Set 4, Party Expansion 1"},</v>
      </c>
      <c r="E606" s="9" t="str">
        <f t="shared" si="2"/>
        <v>data:image/svg+xml,%3csvg xmlns='http://www.w3.org/2000/svg' viewBox='0 0 24 216'%3e%3ctext fill='%23fff' style='font: 900 16px sans-serif' text-anchor='end' transform='matrix(0 -1 1 0 18 5)'%3eWild %26amp%3B Wooly%3c/text%3e%3c/svg%3e</v>
      </c>
      <c r="F606" s="10" t="str">
        <f t="shared" si="3"/>
        <v>https://svgtext.heliohost.us/cgi-bin/gen.perl?text=Wild%20%26%20Wooly</v>
      </c>
      <c r="G606" s="11" t="str">
        <f t="shared" si="4"/>
        <v>data:image/svg+xml,%3csvg xmlns='http://www.w3.org/2000/svg' viewBox='0 0 24 216'%3e%3ctext fill='%23fff' style='font: 900 16px sans-serif' text-anchor='end' transform='matrix(0 -1 1 0 18 5)'%3eWild %26amp%3B Wooly%3c/text%3e%3c/svg%3e</v>
      </c>
      <c r="H606" s="8" t="s">
        <v>63</v>
      </c>
      <c r="I606" s="8">
        <f t="shared" ref="I606:J606" si="607">len(B606)</f>
        <v>12</v>
      </c>
      <c r="J606" s="8">
        <f t="shared" si="607"/>
        <v>34</v>
      </c>
      <c r="K606" s="8" t="s">
        <v>1727</v>
      </c>
    </row>
    <row r="607">
      <c r="A607" s="7" t="b">
        <v>1</v>
      </c>
      <c r="B607" s="8" t="s">
        <v>1728</v>
      </c>
      <c r="C607" s="8" t="s">
        <v>1729</v>
      </c>
      <c r="D607" s="8" t="str">
        <f>Q&amp;$K607&amp;Q&amp;":{"&amp;Q&amp;$B$2&amp;Q&amp;":"&amp;Q&amp;$B607&amp;Q&amp;","&amp;Q&amp;$C$2&amp;Q&amp;":"&amp;Q&amp;$C607&amp;Q&amp;","&amp;Q&amp;"sets"&amp;Q&amp;":"&amp;Q&amp;substitute(SUBSTITUTE($H607,"[",""),"]","")&amp;Q&amp;"},"</f>
        <v>"ozfv":{"label":"Wired","extra":"(strained, tense, nervous) ","sets":"Expansion Set 3, Party Expansion 1"},</v>
      </c>
      <c r="E607" s="9" t="str">
        <f t="shared" si="2"/>
        <v>data:image/svg+xml,%3csvg xmlns='http://www.w3.org/2000/svg' viewBox='0 0 24 216'%3e%3ctext fill='%23fff' style='font: 900 16px sans-serif' text-anchor='end' transform='matrix(0 -1 1 0 18 5)'%3eWired%3c/text%3e%3c/svg%3e</v>
      </c>
      <c r="F607" s="10" t="str">
        <f t="shared" si="3"/>
        <v>https://svgtext.heliohost.us/cgi-bin/gen.perl?text=Wired</v>
      </c>
      <c r="G607" s="11" t="str">
        <f t="shared" si="4"/>
        <v>data:image/svg+xml,%3csvg xmlns='http://www.w3.org/2000/svg' viewBox='0 0 24 216'%3e%3ctext fill='%23fff' style='font: 900 16px sans-serif' text-anchor='end' transform='matrix(0 -1 1 0 18 5)'%3eWired%3c/text%3e%3c/svg%3e</v>
      </c>
      <c r="H607" s="8" t="s">
        <v>39</v>
      </c>
      <c r="I607" s="8">
        <f t="shared" ref="I607:J607" si="608">len(B607)</f>
        <v>5</v>
      </c>
      <c r="J607" s="8">
        <f t="shared" si="608"/>
        <v>27</v>
      </c>
      <c r="K607" s="8" t="s">
        <v>1730</v>
      </c>
    </row>
    <row r="608">
      <c r="A608" s="7" t="b">
        <v>0</v>
      </c>
      <c r="B608" s="8" t="s">
        <v>1731</v>
      </c>
      <c r="C608" s="8" t="s">
        <v>1732</v>
      </c>
      <c r="D608" s="8" t="str">
        <f>Q&amp;$K608&amp;Q&amp;":{"&amp;Q&amp;$B$2&amp;Q&amp;":"&amp;Q&amp;$B608&amp;Q&amp;","&amp;Q&amp;$C$2&amp;Q&amp;":"&amp;Q&amp;$C608&amp;Q&amp;","&amp;Q&amp;"sets"&amp;Q&amp;":"&amp;Q&amp;substitute(SUBSTITUTE($H608,"[",""),"]","")&amp;Q&amp;"},"</f>
        <v>"ghtl":{"label":"Witty","extra":"(clever, humorous, cunning) ","sets":"Expansion Set 1, Party Set"},</v>
      </c>
      <c r="E608" s="9" t="str">
        <f t="shared" si="2"/>
        <v>data:image/svg+xml,%3csvg xmlns='http://www.w3.org/2000/svg' viewBox='0 0 24 216'%3e%3ctext fill='%23fff' style='font: 900 16px sans-serif' text-anchor='end' transform='matrix(0 -1 1 0 18 5)'%3eWitty%3c/text%3e%3c/svg%3e</v>
      </c>
      <c r="F608" s="10" t="str">
        <f t="shared" si="3"/>
        <v>https://svgtext.heliohost.us/cgi-bin/gen.perl?text=Witty</v>
      </c>
      <c r="G608" s="11" t="str">
        <f t="shared" si="4"/>
        <v>data:image/svg+xml,%3csvg xmlns='http://www.w3.org/2000/svg' viewBox='0 0 24 216'%3e%3ctext fill='%23fff' style='font: 900 16px sans-serif' text-anchor='end' transform='matrix(0 -1 1 0 18 5)'%3eWitty%3c/text%3e%3c/svg%3e</v>
      </c>
      <c r="H608" s="8" t="s">
        <v>25</v>
      </c>
      <c r="I608" s="8">
        <f t="shared" ref="I608:J608" si="609">len(B608)</f>
        <v>5</v>
      </c>
      <c r="J608" s="8">
        <f t="shared" si="609"/>
        <v>28</v>
      </c>
      <c r="K608" s="8" t="s">
        <v>1733</v>
      </c>
    </row>
    <row r="609">
      <c r="A609" s="7" t="b">
        <v>0</v>
      </c>
      <c r="B609" s="8" t="s">
        <v>1734</v>
      </c>
      <c r="C609" s="8" t="s">
        <v>1735</v>
      </c>
      <c r="D609" s="8" t="str">
        <f>Q&amp;$K609&amp;Q&amp;":{"&amp;Q&amp;$B$2&amp;Q&amp;":"&amp;Q&amp;$B609&amp;Q&amp;","&amp;Q&amp;$C$2&amp;Q&amp;":"&amp;Q&amp;$C609&amp;Q&amp;","&amp;Q&amp;"sets"&amp;Q&amp;":"&amp;Q&amp;substitute(SUBSTITUTE($H609,"[",""),"]","")&amp;Q&amp;"},"</f>
        <v>"lxgl":{"label":"Woebegone","extra":"(dismal, sorrowful, bummed out) ","sets":"Expansion Set 1, Party Set"},</v>
      </c>
      <c r="E609" s="9" t="str">
        <f t="shared" si="2"/>
        <v>data:image/svg+xml,%3csvg xmlns='http://www.w3.org/2000/svg' viewBox='0 0 24 216'%3e%3ctext fill='%23fff' style='font: 900 16px sans-serif' text-anchor='end' transform='matrix(0 -1 1 0 18 5)'%3eWoebegone%3c/text%3e%3c/svg%3e</v>
      </c>
      <c r="F609" s="10" t="str">
        <f t="shared" si="3"/>
        <v>https://svgtext.heliohost.us/cgi-bin/gen.perl?text=Woebegone</v>
      </c>
      <c r="G609" s="11" t="str">
        <f t="shared" si="4"/>
        <v>data:image/svg+xml,%3csvg xmlns='http://www.w3.org/2000/svg' viewBox='0 0 24 216'%3e%3ctext fill='%23fff' style='font: 900 16px sans-serif' text-anchor='end' transform='matrix(0 -1 1 0 18 5)'%3eWoebegone%3c/text%3e%3c/svg%3e</v>
      </c>
      <c r="H609" s="8" t="s">
        <v>25</v>
      </c>
      <c r="I609" s="8">
        <f t="shared" ref="I609:J609" si="610">len(B609)</f>
        <v>9</v>
      </c>
      <c r="J609" s="8">
        <f t="shared" si="610"/>
        <v>32</v>
      </c>
      <c r="K609" s="8" t="s">
        <v>1736</v>
      </c>
    </row>
    <row r="610">
      <c r="A610" s="7" t="b">
        <v>1</v>
      </c>
      <c r="B610" s="8" t="s">
        <v>1737</v>
      </c>
      <c r="C610" s="8" t="s">
        <v>1738</v>
      </c>
      <c r="D610" s="8" t="str">
        <f>Q&amp;$K610&amp;Q&amp;":{"&amp;Q&amp;$B$2&amp;Q&amp;":"&amp;Q&amp;$B610&amp;Q&amp;","&amp;Q&amp;$C$2&amp;Q&amp;":"&amp;Q&amp;$C610&amp;Q&amp;","&amp;Q&amp;"sets"&amp;Q&amp;":"&amp;Q&amp;substitute(SUBSTITUTE($H610,"[",""),"]","")&amp;Q&amp;"},"</f>
        <v>"vfyi":{"label":"Wonderful","extra":"(great, excellent) ","sets":"Junior"},</v>
      </c>
      <c r="E610" s="9" t="str">
        <f t="shared" si="2"/>
        <v>data:image/svg+xml,%3csvg xmlns='http://www.w3.org/2000/svg' viewBox='0 0 24 216'%3e%3ctext fill='%23fff' style='font: 900 16px sans-serif' text-anchor='end' transform='matrix(0 -1 1 0 18 5)'%3eWonderful%3c/text%3e%3c/svg%3e</v>
      </c>
      <c r="F610" s="10" t="str">
        <f t="shared" si="3"/>
        <v>https://svgtext.heliohost.us/cgi-bin/gen.perl?text=Wonderful</v>
      </c>
      <c r="G610" s="11" t="str">
        <f t="shared" si="4"/>
        <v>data:image/svg+xml,%3csvg xmlns='http://www.w3.org/2000/svg' viewBox='0 0 24 216'%3e%3ctext fill='%23fff' style='font: 900 16px sans-serif' text-anchor='end' transform='matrix(0 -1 1 0 18 5)'%3eWonderful%3c/text%3e%3c/svg%3e</v>
      </c>
      <c r="H610" s="8" t="s">
        <v>84</v>
      </c>
      <c r="I610" s="8">
        <f t="shared" ref="I610:J610" si="611">len(B610)</f>
        <v>9</v>
      </c>
      <c r="J610" s="8">
        <f t="shared" si="611"/>
        <v>19</v>
      </c>
      <c r="K610" s="8" t="s">
        <v>1739</v>
      </c>
    </row>
    <row r="611">
      <c r="A611" s="7" t="b">
        <v>0</v>
      </c>
      <c r="B611" s="8" t="s">
        <v>1740</v>
      </c>
      <c r="C611" s="8" t="s">
        <v>1741</v>
      </c>
      <c r="D611" s="8" t="str">
        <f>Q&amp;$K611&amp;Q&amp;":{"&amp;Q&amp;$B$2&amp;Q&amp;":"&amp;Q&amp;$B611&amp;Q&amp;","&amp;Q&amp;$C$2&amp;Q&amp;":"&amp;Q&amp;$C611&amp;Q&amp;","&amp;Q&amp;"sets"&amp;Q&amp;":"&amp;Q&amp;substitute(SUBSTITUTE($H611,"[",""),"]","")&amp;Q&amp;"},"</f>
        <v>"eugp":{"label":"Worldly","extra":"(experienced, sophisticated, materialistic) ","sets":"Expansion Set 1, Party Set"},</v>
      </c>
      <c r="E611" s="9" t="str">
        <f t="shared" si="2"/>
        <v>data:image/svg+xml,%3csvg xmlns='http://www.w3.org/2000/svg' viewBox='0 0 24 216'%3e%3ctext fill='%23fff' style='font: 900 16px sans-serif' text-anchor='end' transform='matrix(0 -1 1 0 18 5)'%3eWorldly%3c/text%3e%3c/svg%3e</v>
      </c>
      <c r="F611" s="10" t="str">
        <f t="shared" si="3"/>
        <v>https://svgtext.heliohost.us/cgi-bin/gen.perl?text=Worldly</v>
      </c>
      <c r="G611" s="11" t="str">
        <f t="shared" si="4"/>
        <v>data:image/svg+xml,%3csvg xmlns='http://www.w3.org/2000/svg' viewBox='0 0 24 216'%3e%3ctext fill='%23fff' style='font: 900 16px sans-serif' text-anchor='end' transform='matrix(0 -1 1 0 18 5)'%3eWorldly%3c/text%3e%3c/svg%3e</v>
      </c>
      <c r="H611" s="8" t="s">
        <v>25</v>
      </c>
      <c r="I611" s="8">
        <f t="shared" ref="I611:J611" si="612">len(B611)</f>
        <v>7</v>
      </c>
      <c r="J611" s="8">
        <f t="shared" si="612"/>
        <v>44</v>
      </c>
      <c r="K611" s="8" t="s">
        <v>1742</v>
      </c>
    </row>
    <row r="612">
      <c r="A612" s="7" t="b">
        <v>1</v>
      </c>
      <c r="B612" s="8" t="s">
        <v>1743</v>
      </c>
      <c r="C612" s="8" t="s">
        <v>1744</v>
      </c>
      <c r="D612" s="8" t="str">
        <f>Q&amp;$K612&amp;Q&amp;":{"&amp;Q&amp;$B$2&amp;Q&amp;":"&amp;Q&amp;$B612&amp;Q&amp;","&amp;Q&amp;$C$2&amp;Q&amp;":"&amp;Q&amp;$C612&amp;Q&amp;","&amp;Q&amp;"sets"&amp;Q&amp;":"&amp;Q&amp;substitute(SUBSTITUTE($H612,"[",""),"]","")&amp;Q&amp;"},"</f>
        <v>"juey":{"label":"Worthless","extra":"(useless, meaningless) ","sets":"Junior 9+ (2nd)"},</v>
      </c>
      <c r="E612" s="9" t="str">
        <f t="shared" si="2"/>
        <v>data:image/svg+xml,%3csvg xmlns='http://www.w3.org/2000/svg' viewBox='0 0 24 216'%3e%3ctext fill='%23fff' style='font: 900 16px sans-serif' text-anchor='end' transform='matrix(0 -1 1 0 18 5)'%3eWorthless%3c/text%3e%3c/svg%3e</v>
      </c>
      <c r="F612" s="10" t="str">
        <f t="shared" si="3"/>
        <v>https://svgtext.heliohost.us/cgi-bin/gen.perl?text=Worthless</v>
      </c>
      <c r="G612" s="11" t="str">
        <f t="shared" si="4"/>
        <v>data:image/svg+xml,%3csvg xmlns='http://www.w3.org/2000/svg' viewBox='0 0 24 216'%3e%3ctext fill='%23fff' style='font: 900 16px sans-serif' text-anchor='end' transform='matrix(0 -1 1 0 18 5)'%3eWorthless%3c/text%3e%3c/svg%3e</v>
      </c>
      <c r="H612" s="8" t="s">
        <v>32</v>
      </c>
      <c r="I612" s="8">
        <f t="shared" ref="I612:J612" si="613">len(B612)</f>
        <v>9</v>
      </c>
      <c r="J612" s="8">
        <f t="shared" si="613"/>
        <v>23</v>
      </c>
      <c r="K612" s="8" t="s">
        <v>1745</v>
      </c>
    </row>
    <row r="613">
      <c r="A613" s="7" t="b">
        <v>0</v>
      </c>
      <c r="B613" s="8" t="s">
        <v>1746</v>
      </c>
      <c r="C613" s="8" t="s">
        <v>1747</v>
      </c>
      <c r="D613" s="8" t="str">
        <f>Q&amp;$K613&amp;Q&amp;":{"&amp;Q&amp;$B$2&amp;Q&amp;":"&amp;Q&amp;$B613&amp;Q&amp;","&amp;Q&amp;$C$2&amp;Q&amp;":"&amp;Q&amp;$C613&amp;Q&amp;","&amp;Q&amp;"sets"&amp;Q&amp;":"&amp;Q&amp;substitute(SUBSTITUTE($H613,"[",""),"]","")&amp;Q&amp;"},"</f>
        <v>"dqey":{"label":"Young","extra":"(not old, new) ","sets":"Junior 9+ (1st) &amp; (2nd)"},</v>
      </c>
      <c r="E613" s="9" t="str">
        <f t="shared" si="2"/>
        <v>data:image/svg+xml,%3csvg xmlns='http://www.w3.org/2000/svg' viewBox='0 0 24 216'%3e%3ctext fill='%23fff' style='font: 900 16px sans-serif' text-anchor='end' transform='matrix(0 -1 1 0 18 5)'%3eYoung%3c/text%3e%3c/svg%3e</v>
      </c>
      <c r="F613" s="10" t="str">
        <f t="shared" si="3"/>
        <v>https://svgtext.heliohost.us/cgi-bin/gen.perl?text=Young</v>
      </c>
      <c r="G613" s="11" t="str">
        <f t="shared" si="4"/>
        <v>data:image/svg+xml,%3csvg xmlns='http://www.w3.org/2000/svg' viewBox='0 0 24 216'%3e%3ctext fill='%23fff' style='font: 900 16px sans-serif' text-anchor='end' transform='matrix(0 -1 1 0 18 5)'%3eYoung%3c/text%3e%3c/svg%3e</v>
      </c>
      <c r="H613" s="8" t="s">
        <v>42</v>
      </c>
      <c r="I613" s="8">
        <f t="shared" ref="I613:J613" si="614">len(B613)</f>
        <v>5</v>
      </c>
      <c r="J613" s="8">
        <f t="shared" si="614"/>
        <v>15</v>
      </c>
      <c r="K613" s="8" t="s">
        <v>1748</v>
      </c>
    </row>
    <row r="614">
      <c r="A614" s="7" t="b">
        <v>0</v>
      </c>
      <c r="B614" s="8" t="s">
        <v>1749</v>
      </c>
      <c r="C614" s="8" t="s">
        <v>1750</v>
      </c>
      <c r="D614" s="8" t="str">
        <f>Q&amp;$K614&amp;Q&amp;":{"&amp;Q&amp;$B$2&amp;Q&amp;":"&amp;Q&amp;$B614&amp;Q&amp;","&amp;Q&amp;$C$2&amp;Q&amp;":"&amp;Q&amp;$C614&amp;Q&amp;","&amp;Q&amp;"sets"&amp;Q&amp;":"&amp;Q&amp;substitute(SUBSTITUTE($H614,"[",""),"]","")&amp;Q&amp;"},"</f>
        <v>"wmcd":{"label":"Young &amp; Restless","extra":"(fidgety, impatient, flighty) ","sets":"Expansion Set 4, Party Expansion 1"},</v>
      </c>
      <c r="E614" s="9" t="str">
        <f t="shared" si="2"/>
        <v>data:image/svg+xml,%3csvg xmlns='http://www.w3.org/2000/svg' viewBox='0 0 24 216'%3e%3ctext fill='%23fff' style='font: 900 16px sans-serif' text-anchor='end' transform='matrix(0 -1 1 0 18 5)'%3eYoung %26amp%3B Restless%3c/text%3e%3c/svg%3e</v>
      </c>
      <c r="F614" s="10" t="str">
        <f t="shared" si="3"/>
        <v>https://svgtext.heliohost.us/cgi-bin/gen.perl?text=Young%20%26%20Restless</v>
      </c>
      <c r="G614" s="11" t="str">
        <f t="shared" si="4"/>
        <v>data:image/svg+xml,%3csvg xmlns='http://www.w3.org/2000/svg' viewBox='0 0 24 216'%3e%3ctext fill='%23fff' style='font: 900 16px sans-serif' text-anchor='end' transform='matrix(0 -1 1 0 18 5)'%3eYoung %26amp%3B Restless%3c/text%3e%3c/svg%3e</v>
      </c>
      <c r="H614" s="8" t="s">
        <v>63</v>
      </c>
      <c r="I614" s="8">
        <f t="shared" ref="I614:J614" si="615">len(B614)</f>
        <v>16</v>
      </c>
      <c r="J614" s="8">
        <f t="shared" si="615"/>
        <v>30</v>
      </c>
      <c r="K614" s="8" t="s">
        <v>1751</v>
      </c>
    </row>
    <row r="615">
      <c r="A615" s="7" t="b">
        <v>0</v>
      </c>
      <c r="B615" s="8" t="s">
        <v>1752</v>
      </c>
      <c r="C615" s="8" t="s">
        <v>1753</v>
      </c>
      <c r="D615" s="8" t="str">
        <f>Q&amp;$K615&amp;Q&amp;":{"&amp;Q&amp;$B$2&amp;Q&amp;":"&amp;Q&amp;$B615&amp;Q&amp;","&amp;Q&amp;$C$2&amp;Q&amp;":"&amp;Q&amp;$C615&amp;Q&amp;","&amp;Q&amp;"sets"&amp;Q&amp;":"&amp;Q&amp;substitute(SUBSTITUTE($H615,"[",""),"]","")&amp;Q&amp;"},"</f>
        <v>"bnel":{"label":"Yucky","extra":"(icky, sickening) ","sets":"Junior"},</v>
      </c>
      <c r="E615" s="9" t="str">
        <f t="shared" si="2"/>
        <v>data:image/svg+xml,%3csvg xmlns='http://www.w3.org/2000/svg' viewBox='0 0 24 216'%3e%3ctext fill='%23fff' style='font: 900 16px sans-serif' text-anchor='end' transform='matrix(0 -1 1 0 18 5)'%3eYucky%3c/text%3e%3c/svg%3e</v>
      </c>
      <c r="F615" s="10" t="str">
        <f t="shared" si="3"/>
        <v>https://svgtext.heliohost.us/cgi-bin/gen.perl?text=Yucky</v>
      </c>
      <c r="G615" s="11" t="str">
        <f t="shared" si="4"/>
        <v>data:image/svg+xml,%3csvg xmlns='http://www.w3.org/2000/svg' viewBox='0 0 24 216'%3e%3ctext fill='%23fff' style='font: 900 16px sans-serif' text-anchor='end' transform='matrix(0 -1 1 0 18 5)'%3eYucky%3c/text%3e%3c/svg%3e</v>
      </c>
      <c r="H615" s="8" t="s">
        <v>84</v>
      </c>
      <c r="I615" s="8">
        <f t="shared" ref="I615:J615" si="616">len(B615)</f>
        <v>5</v>
      </c>
      <c r="J615" s="8">
        <f t="shared" si="616"/>
        <v>18</v>
      </c>
      <c r="K615" s="8" t="s">
        <v>1754</v>
      </c>
    </row>
    <row r="616">
      <c r="A616" s="7" t="b">
        <v>0</v>
      </c>
      <c r="B616" s="8" t="s">
        <v>1755</v>
      </c>
      <c r="C616" s="8" t="s">
        <v>1756</v>
      </c>
      <c r="D616" s="8" t="str">
        <f>Q&amp;$K616&amp;Q&amp;":{"&amp;Q&amp;$B$2&amp;Q&amp;":"&amp;Q&amp;$B616&amp;Q&amp;","&amp;Q&amp;$C$2&amp;Q&amp;":"&amp;Q&amp;$C616&amp;Q&amp;","&amp;Q&amp;"sets"&amp;Q&amp;":"&amp;Q&amp;substitute(SUBSTITUTE($H616,"[",""),"]","")&amp;Q&amp;"},"</f>
        <v>"fkqt":{"label":"Zany","extra":"(crazy, funny, wacky) ","sets":"Basic Set, Party Set"},</v>
      </c>
      <c r="E616" s="9" t="str">
        <f t="shared" si="2"/>
        <v>data:image/svg+xml,%3csvg xmlns='http://www.w3.org/2000/svg' viewBox='0 0 24 216'%3e%3ctext fill='%23fff' style='font: 900 16px sans-serif' text-anchor='end' transform='matrix(0 -1 1 0 18 5)'%3eZany%3c/text%3e%3c/svg%3e</v>
      </c>
      <c r="F616" s="10" t="str">
        <f t="shared" si="3"/>
        <v>https://svgtext.heliohost.us/cgi-bin/gen.perl?text=Zany</v>
      </c>
      <c r="G616" s="11" t="str">
        <f t="shared" si="4"/>
        <v>data:image/svg+xml,%3csvg xmlns='http://www.w3.org/2000/svg' viewBox='0 0 24 216'%3e%3ctext fill='%23fff' style='font: 900 16px sans-serif' text-anchor='end' transform='matrix(0 -1 1 0 18 5)'%3eZany%3c/text%3e%3c/svg%3e</v>
      </c>
      <c r="H616" s="8" t="s">
        <v>29</v>
      </c>
      <c r="I616" s="8">
        <f t="shared" ref="I616:J616" si="617">len(B616)</f>
        <v>4</v>
      </c>
      <c r="J616" s="8">
        <f t="shared" si="617"/>
        <v>22</v>
      </c>
      <c r="K616" s="8" t="s">
        <v>1757</v>
      </c>
    </row>
    <row r="617">
      <c r="D617" s="13"/>
      <c r="E617" s="13"/>
      <c r="F617" s="13"/>
    </row>
    <row r="618">
      <c r="D618" s="13"/>
      <c r="E618" s="13"/>
      <c r="F618" s="13"/>
    </row>
    <row r="619">
      <c r="D619" s="13"/>
      <c r="E619" s="13"/>
      <c r="F619" s="13"/>
    </row>
    <row r="620">
      <c r="D620" s="13"/>
      <c r="E620" s="13"/>
      <c r="F620" s="13"/>
    </row>
    <row r="621">
      <c r="D621" s="13"/>
      <c r="E621" s="13"/>
      <c r="F621" s="13"/>
    </row>
    <row r="622">
      <c r="D622" s="13"/>
      <c r="E622" s="13"/>
      <c r="F622" s="13"/>
    </row>
    <row r="623">
      <c r="D623" s="13"/>
      <c r="E623" s="13"/>
      <c r="F623" s="13"/>
    </row>
    <row r="624">
      <c r="D624" s="13"/>
      <c r="E624" s="13"/>
      <c r="F624" s="13"/>
    </row>
    <row r="625">
      <c r="D625" s="13"/>
      <c r="E625" s="13"/>
      <c r="F625" s="13"/>
    </row>
    <row r="626">
      <c r="D626" s="13"/>
      <c r="E626" s="13"/>
      <c r="F626" s="13"/>
    </row>
    <row r="627">
      <c r="D627" s="13"/>
      <c r="E627" s="13"/>
      <c r="F627" s="13"/>
    </row>
    <row r="628">
      <c r="D628" s="13"/>
      <c r="E628" s="13"/>
      <c r="F628" s="13"/>
    </row>
    <row r="629">
      <c r="D629" s="13"/>
      <c r="E629" s="13"/>
      <c r="F629" s="13"/>
    </row>
    <row r="630">
      <c r="D630" s="13"/>
      <c r="E630" s="13"/>
      <c r="F630" s="13"/>
    </row>
    <row r="631">
      <c r="D631" s="13"/>
      <c r="E631" s="13"/>
      <c r="F631" s="13"/>
    </row>
    <row r="632">
      <c r="D632" s="13"/>
      <c r="E632" s="13"/>
      <c r="F632" s="13"/>
    </row>
    <row r="633">
      <c r="D633" s="13"/>
      <c r="E633" s="13"/>
      <c r="F633" s="13"/>
    </row>
    <row r="634">
      <c r="D634" s="13"/>
      <c r="E634" s="13"/>
      <c r="F634" s="13"/>
    </row>
    <row r="635">
      <c r="D635" s="13"/>
      <c r="E635" s="13"/>
      <c r="F635" s="13"/>
    </row>
    <row r="636">
      <c r="D636" s="13"/>
      <c r="E636" s="13"/>
      <c r="F636" s="13"/>
    </row>
    <row r="637">
      <c r="D637" s="13"/>
      <c r="E637" s="13"/>
      <c r="F637" s="13"/>
    </row>
    <row r="638">
      <c r="D638" s="13"/>
      <c r="E638" s="13"/>
      <c r="F638" s="13"/>
    </row>
    <row r="639">
      <c r="D639" s="13"/>
      <c r="E639" s="13"/>
      <c r="F639" s="13"/>
    </row>
    <row r="640">
      <c r="D640" s="13"/>
      <c r="E640" s="13"/>
      <c r="F640" s="13"/>
    </row>
    <row r="641">
      <c r="D641" s="13"/>
      <c r="E641" s="13"/>
      <c r="F641" s="13"/>
    </row>
    <row r="642">
      <c r="D642" s="13"/>
      <c r="E642" s="13"/>
      <c r="F642" s="13"/>
    </row>
    <row r="643">
      <c r="D643" s="13"/>
      <c r="E643" s="13"/>
      <c r="F643" s="13"/>
    </row>
    <row r="644">
      <c r="D644" s="13"/>
      <c r="E644" s="13"/>
      <c r="F644" s="13"/>
    </row>
    <row r="645">
      <c r="D645" s="13"/>
      <c r="E645" s="13"/>
      <c r="F645" s="13"/>
    </row>
    <row r="646">
      <c r="D646" s="13"/>
      <c r="E646" s="13"/>
      <c r="F646" s="13"/>
    </row>
    <row r="647">
      <c r="D647" s="13"/>
      <c r="E647" s="13"/>
      <c r="F647" s="13"/>
    </row>
    <row r="648">
      <c r="D648" s="13"/>
      <c r="E648" s="13"/>
      <c r="F648" s="13"/>
    </row>
    <row r="649">
      <c r="D649" s="13"/>
      <c r="E649" s="13"/>
      <c r="F649" s="13"/>
    </row>
    <row r="650">
      <c r="D650" s="13"/>
      <c r="E650" s="13"/>
      <c r="F650" s="13"/>
    </row>
    <row r="651">
      <c r="D651" s="13"/>
      <c r="E651" s="13"/>
      <c r="F651" s="13"/>
    </row>
    <row r="652">
      <c r="D652" s="13"/>
      <c r="E652" s="13"/>
      <c r="F652" s="13"/>
    </row>
    <row r="653">
      <c r="D653" s="13"/>
      <c r="E653" s="13"/>
      <c r="F653" s="13"/>
    </row>
    <row r="654">
      <c r="D654" s="13"/>
      <c r="E654" s="13"/>
      <c r="F654" s="13"/>
    </row>
    <row r="655">
      <c r="D655" s="13"/>
      <c r="E655" s="13"/>
      <c r="F655" s="13"/>
    </row>
    <row r="656">
      <c r="D656" s="13"/>
      <c r="E656" s="13"/>
      <c r="F656" s="13"/>
    </row>
    <row r="657">
      <c r="D657" s="13"/>
      <c r="E657" s="13"/>
      <c r="F657" s="13"/>
    </row>
    <row r="658">
      <c r="D658" s="13"/>
      <c r="E658" s="13"/>
      <c r="F658" s="13"/>
    </row>
    <row r="659">
      <c r="D659" s="13"/>
      <c r="E659" s="13"/>
      <c r="F659" s="13"/>
    </row>
    <row r="660">
      <c r="D660" s="13"/>
      <c r="E660" s="13"/>
      <c r="F660" s="13"/>
    </row>
    <row r="661">
      <c r="D661" s="13"/>
      <c r="E661" s="13"/>
      <c r="F661" s="13"/>
    </row>
    <row r="662">
      <c r="D662" s="13"/>
      <c r="E662" s="13"/>
      <c r="F662" s="13"/>
    </row>
    <row r="663">
      <c r="D663" s="13"/>
      <c r="E663" s="13"/>
      <c r="F663" s="13"/>
    </row>
    <row r="664">
      <c r="D664" s="13"/>
      <c r="E664" s="13"/>
      <c r="F664" s="13"/>
    </row>
    <row r="665">
      <c r="D665" s="13"/>
      <c r="E665" s="13"/>
      <c r="F665" s="13"/>
    </row>
    <row r="666">
      <c r="D666" s="13"/>
      <c r="E666" s="13"/>
      <c r="F666" s="13"/>
    </row>
    <row r="667">
      <c r="D667" s="13"/>
      <c r="E667" s="13"/>
      <c r="F667" s="13"/>
    </row>
    <row r="668">
      <c r="D668" s="13"/>
      <c r="E668" s="13"/>
      <c r="F668" s="13"/>
    </row>
    <row r="669">
      <c r="D669" s="13"/>
      <c r="E669" s="13"/>
      <c r="F669" s="13"/>
    </row>
    <row r="670">
      <c r="D670" s="13"/>
      <c r="E670" s="13"/>
      <c r="F670" s="13"/>
    </row>
    <row r="671">
      <c r="D671" s="13"/>
      <c r="E671" s="13"/>
      <c r="F671" s="13"/>
    </row>
    <row r="672">
      <c r="D672" s="13"/>
      <c r="E672" s="13"/>
      <c r="F672" s="13"/>
    </row>
    <row r="673">
      <c r="D673" s="13"/>
      <c r="E673" s="13"/>
      <c r="F673" s="13"/>
    </row>
    <row r="674">
      <c r="D674" s="13"/>
      <c r="E674" s="13"/>
      <c r="F674" s="13"/>
    </row>
    <row r="675">
      <c r="D675" s="13"/>
      <c r="E675" s="13"/>
      <c r="F675" s="13"/>
    </row>
    <row r="676">
      <c r="D676" s="13"/>
      <c r="E676" s="13"/>
      <c r="F676" s="13"/>
    </row>
    <row r="677">
      <c r="D677" s="13"/>
      <c r="E677" s="13"/>
      <c r="F677" s="13"/>
    </row>
    <row r="678">
      <c r="D678" s="13"/>
      <c r="E678" s="13"/>
      <c r="F678" s="13"/>
    </row>
    <row r="679">
      <c r="D679" s="13"/>
      <c r="E679" s="13"/>
      <c r="F679" s="13"/>
    </row>
    <row r="680">
      <c r="D680" s="13"/>
      <c r="E680" s="13"/>
      <c r="F680" s="13"/>
    </row>
    <row r="681">
      <c r="D681" s="13"/>
      <c r="E681" s="13"/>
      <c r="F681" s="13"/>
    </row>
    <row r="682">
      <c r="D682" s="13"/>
      <c r="E682" s="13"/>
      <c r="F682" s="13"/>
    </row>
    <row r="683">
      <c r="D683" s="13"/>
      <c r="E683" s="13"/>
      <c r="F683" s="13"/>
    </row>
    <row r="684">
      <c r="D684" s="13"/>
      <c r="E684" s="13"/>
      <c r="F684" s="13"/>
    </row>
    <row r="685">
      <c r="D685" s="13"/>
      <c r="E685" s="13"/>
      <c r="F685" s="13"/>
    </row>
    <row r="686">
      <c r="D686" s="13"/>
      <c r="E686" s="13"/>
      <c r="F686" s="13"/>
    </row>
    <row r="687">
      <c r="D687" s="13"/>
      <c r="E687" s="13"/>
      <c r="F687" s="13"/>
    </row>
    <row r="688">
      <c r="D688" s="13"/>
      <c r="E688" s="13"/>
      <c r="F688" s="13"/>
    </row>
    <row r="689">
      <c r="D689" s="13"/>
      <c r="E689" s="13"/>
      <c r="F689" s="13"/>
    </row>
    <row r="690">
      <c r="D690" s="13"/>
      <c r="E690" s="13"/>
      <c r="F690" s="13"/>
    </row>
    <row r="691">
      <c r="D691" s="13"/>
      <c r="E691" s="13"/>
      <c r="F691" s="13"/>
    </row>
    <row r="692">
      <c r="D692" s="13"/>
      <c r="E692" s="13"/>
      <c r="F692" s="13"/>
    </row>
    <row r="693">
      <c r="D693" s="13"/>
      <c r="E693" s="13"/>
      <c r="F693" s="13"/>
    </row>
    <row r="694">
      <c r="D694" s="13"/>
      <c r="E694" s="13"/>
      <c r="F694" s="13"/>
    </row>
    <row r="695">
      <c r="D695" s="13"/>
      <c r="E695" s="13"/>
      <c r="F695" s="13"/>
    </row>
    <row r="696">
      <c r="D696" s="13"/>
      <c r="E696" s="13"/>
      <c r="F696" s="13"/>
    </row>
    <row r="697">
      <c r="D697" s="13"/>
      <c r="E697" s="13"/>
      <c r="F697" s="13"/>
    </row>
    <row r="698">
      <c r="D698" s="13"/>
      <c r="E698" s="13"/>
      <c r="F698" s="13"/>
    </row>
    <row r="699">
      <c r="D699" s="13"/>
      <c r="E699" s="13"/>
      <c r="F699" s="13"/>
    </row>
    <row r="700">
      <c r="D700" s="13"/>
      <c r="E700" s="13"/>
      <c r="F700" s="13"/>
    </row>
    <row r="701">
      <c r="D701" s="13"/>
      <c r="E701" s="13"/>
      <c r="F701" s="13"/>
    </row>
    <row r="702">
      <c r="D702" s="13"/>
      <c r="E702" s="13"/>
      <c r="F702" s="13"/>
    </row>
    <row r="703">
      <c r="D703" s="13"/>
      <c r="E703" s="13"/>
      <c r="F703" s="13"/>
    </row>
    <row r="704">
      <c r="D704" s="13"/>
      <c r="E704" s="13"/>
      <c r="F704" s="13"/>
    </row>
    <row r="705">
      <c r="D705" s="13"/>
      <c r="E705" s="13"/>
      <c r="F705" s="13"/>
    </row>
    <row r="706">
      <c r="D706" s="13"/>
      <c r="E706" s="13"/>
      <c r="F706" s="13"/>
    </row>
    <row r="707">
      <c r="D707" s="13"/>
      <c r="E707" s="13"/>
      <c r="F707" s="13"/>
    </row>
    <row r="708">
      <c r="D708" s="13"/>
      <c r="E708" s="13"/>
      <c r="F708" s="13"/>
    </row>
    <row r="709">
      <c r="D709" s="13"/>
      <c r="E709" s="13"/>
      <c r="F709" s="13"/>
    </row>
    <row r="710">
      <c r="D710" s="13"/>
      <c r="E710" s="13"/>
      <c r="F710" s="13"/>
    </row>
    <row r="711">
      <c r="D711" s="13"/>
      <c r="E711" s="13"/>
      <c r="F711" s="13"/>
    </row>
    <row r="712">
      <c r="D712" s="13"/>
      <c r="E712" s="13"/>
      <c r="F712" s="13"/>
    </row>
    <row r="713">
      <c r="D713" s="13"/>
      <c r="E713" s="13"/>
      <c r="F713" s="13"/>
    </row>
    <row r="714">
      <c r="D714" s="13"/>
      <c r="E714" s="13"/>
      <c r="F714" s="13"/>
    </row>
    <row r="715">
      <c r="D715" s="13"/>
      <c r="E715" s="13"/>
      <c r="F715" s="13"/>
    </row>
    <row r="716">
      <c r="D716" s="13"/>
      <c r="E716" s="13"/>
      <c r="F716" s="13"/>
    </row>
    <row r="717">
      <c r="D717" s="13"/>
      <c r="E717" s="13"/>
      <c r="F717" s="13"/>
    </row>
    <row r="718">
      <c r="D718" s="13"/>
      <c r="E718" s="13"/>
      <c r="F718" s="13"/>
    </row>
    <row r="719">
      <c r="D719" s="13"/>
      <c r="E719" s="13"/>
      <c r="F719" s="13"/>
    </row>
    <row r="720">
      <c r="D720" s="13"/>
      <c r="E720" s="13"/>
      <c r="F720" s="13"/>
    </row>
    <row r="721">
      <c r="D721" s="13"/>
      <c r="E721" s="13"/>
      <c r="F721" s="13"/>
    </row>
    <row r="722">
      <c r="D722" s="13"/>
      <c r="E722" s="13"/>
      <c r="F722" s="13"/>
    </row>
    <row r="723">
      <c r="D723" s="13"/>
      <c r="E723" s="13"/>
      <c r="F723" s="13"/>
    </row>
    <row r="724">
      <c r="D724" s="13"/>
      <c r="E724" s="13"/>
      <c r="F724" s="13"/>
    </row>
    <row r="725">
      <c r="D725" s="13"/>
      <c r="E725" s="13"/>
      <c r="F725" s="13"/>
    </row>
    <row r="726">
      <c r="D726" s="13"/>
      <c r="E726" s="13"/>
      <c r="F726" s="13"/>
    </row>
    <row r="727">
      <c r="D727" s="13"/>
      <c r="E727" s="13"/>
      <c r="F727" s="13"/>
    </row>
    <row r="728">
      <c r="D728" s="13"/>
      <c r="E728" s="13"/>
      <c r="F728" s="13"/>
    </row>
    <row r="729">
      <c r="D729" s="13"/>
      <c r="E729" s="13"/>
      <c r="F729" s="13"/>
    </row>
    <row r="730">
      <c r="D730" s="13"/>
      <c r="E730" s="13"/>
      <c r="F730" s="13"/>
    </row>
    <row r="731">
      <c r="D731" s="13"/>
      <c r="E731" s="13"/>
      <c r="F731" s="13"/>
    </row>
    <row r="732">
      <c r="D732" s="13"/>
      <c r="E732" s="13"/>
      <c r="F732" s="13"/>
    </row>
    <row r="733">
      <c r="D733" s="13"/>
      <c r="E733" s="13"/>
      <c r="F733" s="13"/>
    </row>
    <row r="734">
      <c r="D734" s="13"/>
      <c r="E734" s="13"/>
      <c r="F734" s="13"/>
    </row>
    <row r="735">
      <c r="D735" s="13"/>
      <c r="E735" s="13"/>
      <c r="F735" s="13"/>
    </row>
    <row r="736">
      <c r="D736" s="13"/>
      <c r="E736" s="13"/>
      <c r="F736" s="13"/>
    </row>
    <row r="737">
      <c r="D737" s="13"/>
      <c r="E737" s="13"/>
      <c r="F737" s="13"/>
    </row>
    <row r="738">
      <c r="D738" s="13"/>
      <c r="E738" s="13"/>
      <c r="F738" s="13"/>
    </row>
    <row r="739">
      <c r="D739" s="13"/>
      <c r="E739" s="13"/>
      <c r="F739" s="13"/>
    </row>
    <row r="740">
      <c r="D740" s="13"/>
      <c r="E740" s="13"/>
      <c r="F740" s="13"/>
    </row>
    <row r="741">
      <c r="D741" s="13"/>
      <c r="E741" s="13"/>
      <c r="F741" s="13"/>
    </row>
    <row r="742">
      <c r="D742" s="13"/>
      <c r="E742" s="13"/>
      <c r="F742" s="13"/>
    </row>
    <row r="743">
      <c r="D743" s="13"/>
      <c r="E743" s="13"/>
      <c r="F743" s="13"/>
    </row>
    <row r="744">
      <c r="D744" s="13"/>
      <c r="E744" s="13"/>
      <c r="F744" s="13"/>
    </row>
    <row r="745">
      <c r="D745" s="13"/>
      <c r="E745" s="13"/>
      <c r="F745" s="13"/>
    </row>
    <row r="746">
      <c r="D746" s="13"/>
      <c r="E746" s="13"/>
      <c r="F746" s="13"/>
    </row>
    <row r="747">
      <c r="D747" s="13"/>
      <c r="E747" s="13"/>
      <c r="F747" s="13"/>
    </row>
    <row r="748">
      <c r="D748" s="13"/>
      <c r="E748" s="13"/>
      <c r="F748" s="13"/>
    </row>
    <row r="749">
      <c r="D749" s="13"/>
      <c r="E749" s="13"/>
      <c r="F749" s="13"/>
    </row>
    <row r="750">
      <c r="D750" s="13"/>
      <c r="E750" s="13"/>
      <c r="F750" s="13"/>
    </row>
    <row r="751">
      <c r="D751" s="13"/>
      <c r="E751" s="13"/>
      <c r="F751" s="13"/>
    </row>
    <row r="752">
      <c r="D752" s="13"/>
      <c r="E752" s="13"/>
      <c r="F752" s="13"/>
    </row>
    <row r="753">
      <c r="D753" s="13"/>
      <c r="E753" s="13"/>
      <c r="F753" s="13"/>
    </row>
    <row r="754">
      <c r="D754" s="13"/>
      <c r="E754" s="13"/>
      <c r="F754" s="13"/>
    </row>
    <row r="755">
      <c r="D755" s="13"/>
      <c r="E755" s="13"/>
      <c r="F755" s="13"/>
    </row>
    <row r="756">
      <c r="D756" s="13"/>
      <c r="E756" s="13"/>
      <c r="F756" s="13"/>
    </row>
    <row r="757">
      <c r="D757" s="13"/>
      <c r="E757" s="13"/>
      <c r="F757" s="13"/>
    </row>
    <row r="758">
      <c r="D758" s="13"/>
      <c r="E758" s="13"/>
      <c r="F758" s="13"/>
    </row>
    <row r="759">
      <c r="D759" s="13"/>
      <c r="E759" s="13"/>
      <c r="F759" s="13"/>
    </row>
    <row r="760">
      <c r="D760" s="13"/>
      <c r="E760" s="13"/>
      <c r="F760" s="13"/>
    </row>
    <row r="761">
      <c r="D761" s="13"/>
      <c r="E761" s="13"/>
      <c r="F761" s="13"/>
    </row>
    <row r="762">
      <c r="D762" s="13"/>
      <c r="E762" s="13"/>
      <c r="F762" s="13"/>
    </row>
    <row r="763">
      <c r="D763" s="13"/>
      <c r="E763" s="13"/>
      <c r="F763" s="13"/>
    </row>
    <row r="764">
      <c r="D764" s="13"/>
      <c r="E764" s="13"/>
      <c r="F764" s="13"/>
    </row>
    <row r="765">
      <c r="D765" s="13"/>
      <c r="E765" s="13"/>
      <c r="F765" s="13"/>
    </row>
    <row r="766">
      <c r="D766" s="13"/>
      <c r="E766" s="13"/>
      <c r="F766" s="13"/>
    </row>
    <row r="767">
      <c r="D767" s="13"/>
      <c r="E767" s="13"/>
      <c r="F767" s="13"/>
    </row>
    <row r="768">
      <c r="D768" s="13"/>
      <c r="E768" s="13"/>
      <c r="F768" s="13"/>
    </row>
    <row r="769">
      <c r="D769" s="13"/>
      <c r="E769" s="13"/>
      <c r="F769" s="13"/>
    </row>
    <row r="770">
      <c r="D770" s="13"/>
      <c r="E770" s="13"/>
      <c r="F770" s="13"/>
    </row>
    <row r="771">
      <c r="D771" s="13"/>
      <c r="E771" s="13"/>
      <c r="F771" s="13"/>
    </row>
    <row r="772">
      <c r="D772" s="13"/>
      <c r="E772" s="13"/>
      <c r="F772" s="13"/>
    </row>
    <row r="773">
      <c r="D773" s="13"/>
      <c r="E773" s="13"/>
      <c r="F773" s="13"/>
    </row>
    <row r="774">
      <c r="D774" s="13"/>
      <c r="E774" s="13"/>
      <c r="F774" s="13"/>
    </row>
    <row r="775">
      <c r="D775" s="13"/>
      <c r="E775" s="13"/>
      <c r="F775" s="13"/>
    </row>
    <row r="776">
      <c r="D776" s="13"/>
      <c r="E776" s="13"/>
      <c r="F776" s="13"/>
    </row>
    <row r="777">
      <c r="D777" s="13"/>
      <c r="E777" s="13"/>
      <c r="F777" s="13"/>
    </row>
    <row r="778">
      <c r="D778" s="13"/>
      <c r="E778" s="13"/>
      <c r="F778" s="13"/>
    </row>
    <row r="779">
      <c r="D779" s="13"/>
      <c r="E779" s="13"/>
      <c r="F779" s="13"/>
    </row>
    <row r="780">
      <c r="D780" s="13"/>
      <c r="E780" s="13"/>
      <c r="F780" s="13"/>
    </row>
    <row r="781">
      <c r="D781" s="13"/>
      <c r="E781" s="13"/>
      <c r="F781" s="13"/>
    </row>
    <row r="782">
      <c r="D782" s="13"/>
      <c r="E782" s="13"/>
      <c r="F782" s="13"/>
    </row>
    <row r="783">
      <c r="D783" s="13"/>
      <c r="E783" s="13"/>
      <c r="F783" s="13"/>
    </row>
    <row r="784">
      <c r="D784" s="13"/>
      <c r="E784" s="13"/>
      <c r="F784" s="13"/>
    </row>
    <row r="785">
      <c r="D785" s="13"/>
      <c r="E785" s="13"/>
      <c r="F785" s="13"/>
    </row>
    <row r="786">
      <c r="D786" s="13"/>
      <c r="E786" s="13"/>
      <c r="F786" s="13"/>
    </row>
    <row r="787">
      <c r="D787" s="13"/>
      <c r="E787" s="13"/>
      <c r="F787" s="13"/>
    </row>
    <row r="788">
      <c r="D788" s="13"/>
      <c r="E788" s="13"/>
      <c r="F788" s="13"/>
    </row>
    <row r="789">
      <c r="D789" s="13"/>
      <c r="E789" s="13"/>
      <c r="F789" s="13"/>
    </row>
    <row r="790">
      <c r="D790" s="13"/>
      <c r="E790" s="13"/>
      <c r="F790" s="13"/>
    </row>
    <row r="791">
      <c r="D791" s="13"/>
      <c r="E791" s="13"/>
      <c r="F791" s="13"/>
    </row>
    <row r="792">
      <c r="D792" s="13"/>
      <c r="E792" s="13"/>
      <c r="F792" s="13"/>
    </row>
    <row r="793">
      <c r="D793" s="13"/>
      <c r="E793" s="13"/>
      <c r="F793" s="13"/>
    </row>
    <row r="794">
      <c r="D794" s="13"/>
      <c r="E794" s="13"/>
      <c r="F794" s="13"/>
    </row>
    <row r="795">
      <c r="D795" s="13"/>
      <c r="E795" s="13"/>
      <c r="F795" s="13"/>
    </row>
    <row r="796">
      <c r="D796" s="13"/>
      <c r="E796" s="13"/>
      <c r="F796" s="13"/>
    </row>
    <row r="797">
      <c r="D797" s="13"/>
      <c r="E797" s="13"/>
      <c r="F797" s="13"/>
    </row>
    <row r="798">
      <c r="D798" s="13"/>
      <c r="E798" s="13"/>
      <c r="F798" s="13"/>
    </row>
    <row r="799">
      <c r="D799" s="13"/>
      <c r="E799" s="13"/>
      <c r="F799" s="13"/>
    </row>
    <row r="800">
      <c r="D800" s="13"/>
      <c r="E800" s="13"/>
      <c r="F800" s="13"/>
    </row>
    <row r="801">
      <c r="D801" s="13"/>
      <c r="E801" s="13"/>
      <c r="F801" s="13"/>
    </row>
    <row r="802">
      <c r="D802" s="13"/>
      <c r="E802" s="13"/>
      <c r="F802" s="13"/>
    </row>
    <row r="803">
      <c r="D803" s="13"/>
      <c r="E803" s="13"/>
      <c r="F803" s="13"/>
    </row>
    <row r="804">
      <c r="D804" s="13"/>
      <c r="E804" s="13"/>
      <c r="F804" s="13"/>
    </row>
    <row r="805">
      <c r="D805" s="13"/>
      <c r="E805" s="13"/>
      <c r="F805" s="13"/>
    </row>
    <row r="806">
      <c r="D806" s="13"/>
      <c r="E806" s="13"/>
      <c r="F806" s="13"/>
    </row>
    <row r="807">
      <c r="D807" s="13"/>
      <c r="E807" s="13"/>
      <c r="F807" s="13"/>
    </row>
    <row r="808">
      <c r="D808" s="13"/>
      <c r="E808" s="13"/>
      <c r="F808" s="13"/>
    </row>
    <row r="809">
      <c r="D809" s="13"/>
      <c r="E809" s="13"/>
      <c r="F809" s="13"/>
    </row>
    <row r="810">
      <c r="D810" s="13"/>
      <c r="E810" s="13"/>
      <c r="F810" s="13"/>
    </row>
    <row r="811">
      <c r="D811" s="13"/>
      <c r="E811" s="13"/>
      <c r="F811" s="13"/>
    </row>
    <row r="812">
      <c r="D812" s="13"/>
      <c r="E812" s="13"/>
      <c r="F812" s="13"/>
    </row>
    <row r="813">
      <c r="D813" s="13"/>
      <c r="E813" s="13"/>
      <c r="F813" s="13"/>
    </row>
    <row r="814">
      <c r="D814" s="13"/>
      <c r="E814" s="13"/>
      <c r="F814" s="13"/>
    </row>
    <row r="815">
      <c r="D815" s="13"/>
      <c r="E815" s="13"/>
      <c r="F815" s="13"/>
    </row>
    <row r="816">
      <c r="D816" s="13"/>
      <c r="E816" s="13"/>
      <c r="F816" s="13"/>
    </row>
    <row r="817">
      <c r="D817" s="13"/>
      <c r="E817" s="13"/>
      <c r="F817" s="13"/>
    </row>
    <row r="818">
      <c r="D818" s="13"/>
      <c r="E818" s="13"/>
      <c r="F818" s="13"/>
    </row>
    <row r="819">
      <c r="D819" s="13"/>
      <c r="E819" s="13"/>
      <c r="F819" s="13"/>
    </row>
    <row r="820">
      <c r="D820" s="13"/>
      <c r="E820" s="13"/>
      <c r="F820" s="13"/>
    </row>
    <row r="821">
      <c r="D821" s="13"/>
      <c r="E821" s="13"/>
      <c r="F821" s="13"/>
    </row>
    <row r="822">
      <c r="D822" s="13"/>
      <c r="E822" s="13"/>
      <c r="F822" s="13"/>
    </row>
    <row r="823">
      <c r="D823" s="13"/>
      <c r="E823" s="13"/>
      <c r="F823" s="13"/>
    </row>
    <row r="824">
      <c r="D824" s="13"/>
      <c r="E824" s="13"/>
      <c r="F824" s="13"/>
    </row>
    <row r="825">
      <c r="D825" s="13"/>
      <c r="E825" s="13"/>
      <c r="F825" s="13"/>
    </row>
    <row r="826">
      <c r="D826" s="13"/>
      <c r="E826" s="13"/>
      <c r="F826" s="13"/>
    </row>
    <row r="827">
      <c r="D827" s="13"/>
      <c r="E827" s="13"/>
      <c r="F827" s="13"/>
    </row>
    <row r="828">
      <c r="D828" s="13"/>
      <c r="E828" s="13"/>
      <c r="F828" s="13"/>
    </row>
    <row r="829">
      <c r="D829" s="13"/>
      <c r="E829" s="13"/>
      <c r="F829" s="13"/>
    </row>
    <row r="830">
      <c r="D830" s="13"/>
      <c r="E830" s="13"/>
      <c r="F830" s="13"/>
    </row>
    <row r="831">
      <c r="D831" s="13"/>
      <c r="E831" s="13"/>
      <c r="F831" s="13"/>
    </row>
    <row r="832">
      <c r="D832" s="13"/>
      <c r="E832" s="13"/>
      <c r="F832" s="13"/>
    </row>
    <row r="833">
      <c r="D833" s="13"/>
      <c r="E833" s="13"/>
      <c r="F833" s="13"/>
    </row>
    <row r="834">
      <c r="D834" s="13"/>
      <c r="E834" s="13"/>
      <c r="F834" s="13"/>
    </row>
    <row r="835">
      <c r="D835" s="13"/>
      <c r="E835" s="13"/>
      <c r="F835" s="13"/>
    </row>
    <row r="836">
      <c r="D836" s="13"/>
      <c r="E836" s="13"/>
      <c r="F836" s="13"/>
    </row>
    <row r="837">
      <c r="D837" s="13"/>
      <c r="E837" s="13"/>
      <c r="F837" s="13"/>
    </row>
    <row r="838">
      <c r="D838" s="13"/>
      <c r="E838" s="13"/>
      <c r="F838" s="13"/>
    </row>
    <row r="839">
      <c r="D839" s="13"/>
      <c r="E839" s="13"/>
      <c r="F839" s="13"/>
    </row>
    <row r="840">
      <c r="D840" s="13"/>
      <c r="E840" s="13"/>
      <c r="F840" s="13"/>
    </row>
    <row r="841">
      <c r="D841" s="13"/>
      <c r="E841" s="13"/>
      <c r="F841" s="13"/>
    </row>
    <row r="842">
      <c r="D842" s="13"/>
      <c r="E842" s="13"/>
      <c r="F842" s="13"/>
    </row>
    <row r="843">
      <c r="D843" s="13"/>
      <c r="E843" s="13"/>
      <c r="F843" s="13"/>
    </row>
    <row r="844">
      <c r="D844" s="13"/>
      <c r="E844" s="13"/>
      <c r="F844" s="13"/>
    </row>
    <row r="845">
      <c r="D845" s="13"/>
      <c r="E845" s="13"/>
      <c r="F845" s="13"/>
    </row>
    <row r="846">
      <c r="D846" s="13"/>
      <c r="E846" s="13"/>
      <c r="F846" s="13"/>
    </row>
    <row r="847">
      <c r="D847" s="13"/>
      <c r="E847" s="13"/>
      <c r="F847" s="13"/>
    </row>
    <row r="848">
      <c r="D848" s="13"/>
      <c r="E848" s="13"/>
      <c r="F848" s="13"/>
    </row>
    <row r="849">
      <c r="D849" s="13"/>
      <c r="E849" s="13"/>
      <c r="F849" s="13"/>
    </row>
    <row r="850">
      <c r="D850" s="13"/>
      <c r="E850" s="13"/>
      <c r="F850" s="13"/>
    </row>
    <row r="851">
      <c r="D851" s="13"/>
      <c r="E851" s="13"/>
      <c r="F851" s="13"/>
    </row>
    <row r="852">
      <c r="D852" s="13"/>
      <c r="E852" s="13"/>
      <c r="F852" s="13"/>
    </row>
    <row r="853">
      <c r="D853" s="13"/>
      <c r="E853" s="13"/>
      <c r="F853" s="13"/>
    </row>
    <row r="854">
      <c r="D854" s="13"/>
      <c r="E854" s="13"/>
      <c r="F854" s="13"/>
    </row>
    <row r="855">
      <c r="D855" s="13"/>
      <c r="E855" s="13"/>
      <c r="F855" s="13"/>
    </row>
    <row r="856">
      <c r="D856" s="13"/>
      <c r="E856" s="13"/>
      <c r="F856" s="13"/>
    </row>
    <row r="857">
      <c r="D857" s="13"/>
      <c r="E857" s="13"/>
      <c r="F857" s="13"/>
    </row>
    <row r="858">
      <c r="D858" s="13"/>
      <c r="E858" s="13"/>
      <c r="F858" s="13"/>
    </row>
    <row r="859">
      <c r="D859" s="13"/>
      <c r="E859" s="13"/>
      <c r="F859" s="13"/>
    </row>
    <row r="860">
      <c r="D860" s="13"/>
      <c r="E860" s="13"/>
      <c r="F860" s="13"/>
    </row>
    <row r="861">
      <c r="D861" s="13"/>
      <c r="E861" s="13"/>
      <c r="F861" s="13"/>
    </row>
    <row r="862">
      <c r="D862" s="13"/>
      <c r="E862" s="13"/>
      <c r="F862" s="13"/>
    </row>
    <row r="863">
      <c r="D863" s="13"/>
      <c r="E863" s="13"/>
      <c r="F863" s="13"/>
    </row>
    <row r="864">
      <c r="D864" s="13"/>
      <c r="E864" s="13"/>
      <c r="F864" s="13"/>
    </row>
    <row r="865">
      <c r="D865" s="13"/>
      <c r="E865" s="13"/>
      <c r="F865" s="13"/>
    </row>
    <row r="866">
      <c r="D866" s="13"/>
      <c r="E866" s="13"/>
      <c r="F866" s="13"/>
    </row>
    <row r="867">
      <c r="D867" s="13"/>
      <c r="E867" s="13"/>
      <c r="F867" s="13"/>
    </row>
    <row r="868">
      <c r="D868" s="13"/>
      <c r="E868" s="13"/>
      <c r="F868" s="13"/>
    </row>
    <row r="869">
      <c r="D869" s="13"/>
      <c r="E869" s="13"/>
      <c r="F869" s="13"/>
    </row>
    <row r="870">
      <c r="D870" s="13"/>
      <c r="E870" s="13"/>
      <c r="F870" s="13"/>
    </row>
    <row r="871">
      <c r="D871" s="13"/>
      <c r="E871" s="13"/>
      <c r="F871" s="13"/>
    </row>
    <row r="872">
      <c r="D872" s="13"/>
      <c r="E872" s="13"/>
      <c r="F872" s="13"/>
    </row>
    <row r="873">
      <c r="D873" s="13"/>
      <c r="E873" s="13"/>
      <c r="F873" s="13"/>
    </row>
    <row r="874">
      <c r="D874" s="13"/>
      <c r="E874" s="13"/>
      <c r="F874" s="13"/>
    </row>
    <row r="875">
      <c r="D875" s="13"/>
      <c r="E875" s="13"/>
      <c r="F875" s="13"/>
    </row>
    <row r="876">
      <c r="D876" s="13"/>
      <c r="E876" s="13"/>
      <c r="F876" s="13"/>
    </row>
    <row r="877">
      <c r="D877" s="13"/>
      <c r="E877" s="13"/>
      <c r="F877" s="13"/>
    </row>
    <row r="878">
      <c r="D878" s="13"/>
      <c r="E878" s="13"/>
      <c r="F878" s="13"/>
    </row>
    <row r="879">
      <c r="D879" s="13"/>
      <c r="E879" s="13"/>
      <c r="F879" s="13"/>
    </row>
    <row r="880">
      <c r="D880" s="13"/>
      <c r="E880" s="13"/>
      <c r="F880" s="13"/>
    </row>
    <row r="881">
      <c r="D881" s="13"/>
      <c r="E881" s="13"/>
      <c r="F881" s="13"/>
    </row>
    <row r="882">
      <c r="D882" s="13"/>
      <c r="E882" s="13"/>
      <c r="F882" s="13"/>
    </row>
    <row r="883">
      <c r="D883" s="13"/>
      <c r="E883" s="13"/>
      <c r="F883" s="13"/>
    </row>
    <row r="884">
      <c r="D884" s="13"/>
      <c r="E884" s="13"/>
      <c r="F884" s="13"/>
    </row>
    <row r="885">
      <c r="D885" s="13"/>
      <c r="E885" s="13"/>
      <c r="F885" s="13"/>
    </row>
    <row r="886">
      <c r="D886" s="13"/>
      <c r="E886" s="13"/>
      <c r="F886" s="13"/>
    </row>
    <row r="887">
      <c r="D887" s="13"/>
      <c r="E887" s="13"/>
      <c r="F887" s="13"/>
    </row>
    <row r="888">
      <c r="D888" s="13"/>
      <c r="E888" s="13"/>
      <c r="F888" s="13"/>
    </row>
    <row r="889">
      <c r="D889" s="13"/>
      <c r="E889" s="13"/>
      <c r="F889" s="13"/>
    </row>
    <row r="890">
      <c r="D890" s="13"/>
      <c r="E890" s="13"/>
      <c r="F890" s="13"/>
    </row>
    <row r="891">
      <c r="D891" s="13"/>
      <c r="E891" s="13"/>
      <c r="F891" s="13"/>
    </row>
    <row r="892">
      <c r="D892" s="13"/>
      <c r="E892" s="13"/>
      <c r="F892" s="13"/>
    </row>
    <row r="893">
      <c r="D893" s="13"/>
      <c r="E893" s="13"/>
      <c r="F893" s="13"/>
    </row>
    <row r="894">
      <c r="D894" s="13"/>
      <c r="E894" s="13"/>
      <c r="F894" s="13"/>
    </row>
    <row r="895">
      <c r="D895" s="13"/>
      <c r="E895" s="13"/>
      <c r="F895" s="13"/>
    </row>
    <row r="896">
      <c r="D896" s="13"/>
      <c r="E896" s="13"/>
      <c r="F896" s="13"/>
    </row>
    <row r="897">
      <c r="D897" s="13"/>
      <c r="E897" s="13"/>
      <c r="F897" s="13"/>
    </row>
    <row r="898">
      <c r="D898" s="13"/>
      <c r="E898" s="13"/>
      <c r="F898" s="13"/>
    </row>
    <row r="899">
      <c r="D899" s="13"/>
      <c r="E899" s="13"/>
      <c r="F899" s="13"/>
    </row>
    <row r="900">
      <c r="D900" s="13"/>
      <c r="E900" s="13"/>
      <c r="F900" s="13"/>
    </row>
    <row r="901">
      <c r="D901" s="13"/>
      <c r="E901" s="13"/>
      <c r="F901" s="13"/>
    </row>
    <row r="902">
      <c r="D902" s="13"/>
      <c r="E902" s="13"/>
      <c r="F902" s="13"/>
    </row>
    <row r="903">
      <c r="D903" s="13"/>
      <c r="E903" s="13"/>
      <c r="F903" s="13"/>
    </row>
    <row r="904">
      <c r="D904" s="13"/>
      <c r="E904" s="13"/>
      <c r="F904" s="13"/>
    </row>
    <row r="905">
      <c r="D905" s="13"/>
      <c r="E905" s="13"/>
      <c r="F905" s="13"/>
    </row>
    <row r="906">
      <c r="D906" s="13"/>
      <c r="E906" s="13"/>
      <c r="F906" s="13"/>
    </row>
    <row r="907">
      <c r="D907" s="13"/>
      <c r="E907" s="13"/>
      <c r="F907" s="13"/>
    </row>
    <row r="908">
      <c r="D908" s="13"/>
      <c r="E908" s="13"/>
      <c r="F908" s="13"/>
    </row>
    <row r="909">
      <c r="D909" s="13"/>
      <c r="E909" s="13"/>
      <c r="F909" s="13"/>
    </row>
    <row r="910">
      <c r="D910" s="13"/>
      <c r="E910" s="13"/>
      <c r="F910" s="13"/>
    </row>
    <row r="911">
      <c r="D911" s="13"/>
      <c r="E911" s="13"/>
      <c r="F911" s="13"/>
    </row>
    <row r="912">
      <c r="D912" s="13"/>
      <c r="E912" s="13"/>
      <c r="F912" s="13"/>
    </row>
    <row r="913">
      <c r="D913" s="13"/>
      <c r="E913" s="13"/>
      <c r="F913" s="13"/>
    </row>
    <row r="914">
      <c r="D914" s="13"/>
      <c r="E914" s="13"/>
      <c r="F914" s="13"/>
    </row>
    <row r="915">
      <c r="D915" s="13"/>
      <c r="E915" s="13"/>
      <c r="F915" s="13"/>
    </row>
    <row r="916">
      <c r="D916" s="13"/>
      <c r="E916" s="13"/>
      <c r="F916" s="13"/>
    </row>
    <row r="917">
      <c r="D917" s="13"/>
      <c r="E917" s="13"/>
      <c r="F917" s="13"/>
    </row>
    <row r="918">
      <c r="D918" s="13"/>
      <c r="E918" s="13"/>
      <c r="F918" s="13"/>
    </row>
    <row r="919">
      <c r="D919" s="13"/>
      <c r="E919" s="13"/>
      <c r="F919" s="13"/>
    </row>
    <row r="920">
      <c r="D920" s="13"/>
      <c r="E920" s="13"/>
      <c r="F920" s="13"/>
    </row>
    <row r="921">
      <c r="D921" s="13"/>
      <c r="E921" s="13"/>
      <c r="F921" s="13"/>
    </row>
    <row r="922">
      <c r="D922" s="13"/>
      <c r="E922" s="13"/>
      <c r="F922" s="13"/>
    </row>
    <row r="923">
      <c r="D923" s="13"/>
      <c r="E923" s="13"/>
      <c r="F923" s="13"/>
    </row>
    <row r="924">
      <c r="D924" s="13"/>
      <c r="E924" s="13"/>
      <c r="F924" s="13"/>
    </row>
    <row r="925">
      <c r="D925" s="13"/>
      <c r="E925" s="13"/>
      <c r="F925" s="13"/>
    </row>
    <row r="926">
      <c r="D926" s="13"/>
      <c r="E926" s="13"/>
      <c r="F926" s="13"/>
    </row>
    <row r="927">
      <c r="D927" s="13"/>
      <c r="E927" s="13"/>
      <c r="F927" s="13"/>
    </row>
    <row r="928">
      <c r="D928" s="13"/>
      <c r="E928" s="13"/>
      <c r="F928" s="13"/>
    </row>
    <row r="929">
      <c r="D929" s="13"/>
      <c r="E929" s="13"/>
      <c r="F929" s="13"/>
    </row>
    <row r="930">
      <c r="D930" s="13"/>
      <c r="E930" s="13"/>
      <c r="F930" s="13"/>
    </row>
    <row r="931">
      <c r="D931" s="13"/>
      <c r="E931" s="13"/>
      <c r="F931" s="13"/>
    </row>
    <row r="932">
      <c r="D932" s="13"/>
      <c r="E932" s="13"/>
      <c r="F932" s="13"/>
    </row>
    <row r="933">
      <c r="D933" s="13"/>
      <c r="E933" s="13"/>
      <c r="F933" s="13"/>
    </row>
    <row r="934">
      <c r="D934" s="13"/>
      <c r="E934" s="13"/>
      <c r="F934" s="13"/>
    </row>
    <row r="935">
      <c r="D935" s="13"/>
      <c r="E935" s="13"/>
      <c r="F935" s="13"/>
    </row>
    <row r="936">
      <c r="D936" s="13"/>
      <c r="E936" s="13"/>
      <c r="F936" s="13"/>
    </row>
    <row r="937">
      <c r="D937" s="13"/>
      <c r="E937" s="13"/>
      <c r="F937" s="13"/>
    </row>
    <row r="938">
      <c r="D938" s="13"/>
      <c r="E938" s="13"/>
      <c r="F938" s="13"/>
    </row>
    <row r="939">
      <c r="D939" s="13"/>
      <c r="E939" s="13"/>
      <c r="F939" s="13"/>
    </row>
    <row r="940">
      <c r="D940" s="13"/>
      <c r="E940" s="13"/>
      <c r="F940" s="13"/>
    </row>
    <row r="941">
      <c r="D941" s="13"/>
      <c r="E941" s="13"/>
      <c r="F941" s="13"/>
    </row>
    <row r="942">
      <c r="D942" s="13"/>
      <c r="E942" s="13"/>
      <c r="F942" s="13"/>
    </row>
    <row r="943">
      <c r="D943" s="13"/>
      <c r="E943" s="13"/>
      <c r="F943" s="13"/>
    </row>
    <row r="944">
      <c r="D944" s="13"/>
      <c r="E944" s="13"/>
      <c r="F944" s="13"/>
    </row>
    <row r="945">
      <c r="D945" s="13"/>
      <c r="E945" s="13"/>
      <c r="F945" s="13"/>
    </row>
    <row r="946">
      <c r="D946" s="13"/>
      <c r="E946" s="13"/>
      <c r="F946" s="13"/>
    </row>
    <row r="947">
      <c r="D947" s="13"/>
      <c r="E947" s="13"/>
      <c r="F947" s="13"/>
    </row>
    <row r="948">
      <c r="D948" s="13"/>
      <c r="E948" s="13"/>
      <c r="F948" s="13"/>
    </row>
    <row r="949">
      <c r="D949" s="13"/>
      <c r="E949" s="13"/>
      <c r="F949" s="13"/>
    </row>
    <row r="950">
      <c r="D950" s="13"/>
      <c r="E950" s="13"/>
      <c r="F950" s="13"/>
    </row>
    <row r="951">
      <c r="D951" s="13"/>
      <c r="E951" s="13"/>
      <c r="F951" s="13"/>
    </row>
    <row r="952">
      <c r="D952" s="13"/>
      <c r="E952" s="13"/>
      <c r="F952" s="13"/>
    </row>
    <row r="953">
      <c r="D953" s="13"/>
      <c r="E953" s="13"/>
      <c r="F953" s="13"/>
    </row>
    <row r="954">
      <c r="D954" s="13"/>
      <c r="E954" s="13"/>
      <c r="F954" s="13"/>
    </row>
    <row r="955">
      <c r="D955" s="13"/>
      <c r="E955" s="13"/>
      <c r="F955" s="13"/>
    </row>
    <row r="956">
      <c r="D956" s="13"/>
      <c r="E956" s="13"/>
      <c r="F956" s="13"/>
    </row>
    <row r="957">
      <c r="D957" s="13"/>
      <c r="E957" s="13"/>
      <c r="F957" s="13"/>
    </row>
    <row r="958">
      <c r="D958" s="13"/>
      <c r="E958" s="13"/>
      <c r="F958" s="13"/>
    </row>
    <row r="959">
      <c r="D959" s="13"/>
      <c r="E959" s="13"/>
      <c r="F959" s="13"/>
    </row>
    <row r="960">
      <c r="D960" s="13"/>
      <c r="E960" s="13"/>
      <c r="F960" s="13"/>
    </row>
    <row r="961">
      <c r="D961" s="13"/>
      <c r="E961" s="13"/>
      <c r="F961" s="13"/>
    </row>
    <row r="962">
      <c r="D962" s="13"/>
      <c r="E962" s="13"/>
      <c r="F962" s="13"/>
    </row>
    <row r="963">
      <c r="D963" s="13"/>
      <c r="E963" s="13"/>
      <c r="F963" s="13"/>
    </row>
    <row r="964">
      <c r="D964" s="13"/>
      <c r="E964" s="13"/>
      <c r="F964" s="13"/>
    </row>
    <row r="965">
      <c r="D965" s="13"/>
      <c r="E965" s="13"/>
      <c r="F965" s="13"/>
    </row>
    <row r="966">
      <c r="D966" s="13"/>
      <c r="E966" s="13"/>
      <c r="F966" s="13"/>
    </row>
    <row r="967">
      <c r="D967" s="13"/>
      <c r="E967" s="13"/>
      <c r="F967" s="13"/>
    </row>
    <row r="968">
      <c r="D968" s="13"/>
      <c r="E968" s="13"/>
      <c r="F968" s="13"/>
    </row>
    <row r="969">
      <c r="D969" s="13"/>
      <c r="E969" s="13"/>
      <c r="F969" s="13"/>
    </row>
    <row r="970">
      <c r="D970" s="13"/>
      <c r="E970" s="13"/>
      <c r="F970" s="13"/>
    </row>
    <row r="971">
      <c r="D971" s="13"/>
      <c r="E971" s="13"/>
      <c r="F971" s="13"/>
    </row>
    <row r="972">
      <c r="D972" s="13"/>
      <c r="E972" s="13"/>
      <c r="F972" s="13"/>
    </row>
    <row r="973">
      <c r="D973" s="13"/>
      <c r="E973" s="13"/>
      <c r="F973" s="13"/>
    </row>
    <row r="974">
      <c r="D974" s="13"/>
      <c r="E974" s="13"/>
      <c r="F974" s="13"/>
    </row>
    <row r="975">
      <c r="D975" s="13"/>
      <c r="E975" s="13"/>
      <c r="F975" s="13"/>
    </row>
    <row r="976">
      <c r="D976" s="13"/>
      <c r="E976" s="13"/>
      <c r="F976" s="13"/>
    </row>
    <row r="977">
      <c r="D977" s="13"/>
      <c r="E977" s="13"/>
      <c r="F977" s="13"/>
    </row>
    <row r="978">
      <c r="D978" s="13"/>
      <c r="E978" s="13"/>
      <c r="F978" s="13"/>
    </row>
    <row r="979">
      <c r="D979" s="13"/>
      <c r="E979" s="13"/>
      <c r="F979" s="13"/>
    </row>
    <row r="980">
      <c r="D980" s="13"/>
      <c r="E980" s="13"/>
      <c r="F980" s="13"/>
    </row>
    <row r="981">
      <c r="D981" s="13"/>
      <c r="E981" s="13"/>
      <c r="F981" s="13"/>
    </row>
    <row r="982">
      <c r="D982" s="13"/>
      <c r="E982" s="13"/>
      <c r="F982" s="13"/>
    </row>
    <row r="983">
      <c r="D983" s="13"/>
      <c r="E983" s="13"/>
      <c r="F983" s="13"/>
    </row>
    <row r="984">
      <c r="D984" s="13"/>
      <c r="E984" s="13"/>
      <c r="F984" s="13"/>
    </row>
    <row r="985">
      <c r="D985" s="13"/>
      <c r="E985" s="13"/>
      <c r="F985" s="13"/>
    </row>
    <row r="986">
      <c r="D986" s="13"/>
      <c r="E986" s="13"/>
      <c r="F986" s="13"/>
    </row>
    <row r="987">
      <c r="D987" s="13"/>
      <c r="E987" s="13"/>
      <c r="F987" s="13"/>
    </row>
    <row r="988">
      <c r="D988" s="13"/>
      <c r="E988" s="13"/>
      <c r="F988" s="13"/>
    </row>
    <row r="989">
      <c r="D989" s="13"/>
      <c r="E989" s="13"/>
      <c r="F989" s="13"/>
    </row>
    <row r="990">
      <c r="D990" s="13"/>
      <c r="E990" s="13"/>
      <c r="F990" s="13"/>
    </row>
    <row r="991">
      <c r="D991" s="13"/>
      <c r="E991" s="13"/>
      <c r="F991" s="13"/>
    </row>
    <row r="992">
      <c r="D992" s="13"/>
      <c r="E992" s="13"/>
      <c r="F992" s="13"/>
    </row>
    <row r="993">
      <c r="D993" s="13"/>
      <c r="E993" s="13"/>
      <c r="F993" s="13"/>
    </row>
    <row r="994">
      <c r="D994" s="13"/>
      <c r="E994" s="13"/>
      <c r="F994" s="13"/>
    </row>
    <row r="995">
      <c r="D995" s="13"/>
      <c r="E995" s="13"/>
      <c r="F995" s="13"/>
    </row>
    <row r="996">
      <c r="D996" s="13"/>
      <c r="E996" s="13"/>
      <c r="F996" s="13"/>
    </row>
    <row r="997">
      <c r="D997" s="13"/>
      <c r="E997" s="13"/>
      <c r="F997" s="13"/>
    </row>
    <row r="998">
      <c r="D998" s="13"/>
      <c r="E998" s="13"/>
      <c r="F998" s="13"/>
    </row>
    <row r="999">
      <c r="D999" s="13"/>
      <c r="E999" s="13"/>
      <c r="F999" s="13"/>
    </row>
    <row r="1000">
      <c r="D1000" s="13"/>
      <c r="E1000" s="13"/>
      <c r="F1000" s="13"/>
    </row>
    <row r="1001">
      <c r="D1001" s="13"/>
      <c r="E1001" s="13"/>
      <c r="F1001" s="13"/>
    </row>
    <row r="1002">
      <c r="D1002" s="13"/>
      <c r="E1002" s="13"/>
      <c r="F1002" s="13"/>
    </row>
    <row r="1003">
      <c r="D1003" s="13"/>
      <c r="E1003" s="13"/>
      <c r="F1003" s="13"/>
    </row>
    <row r="1004">
      <c r="D1004" s="13"/>
      <c r="E1004" s="13"/>
      <c r="F1004" s="13"/>
    </row>
    <row r="1005">
      <c r="D1005" s="13"/>
      <c r="E1005" s="13"/>
      <c r="F1005" s="13"/>
    </row>
    <row r="1006">
      <c r="D1006" s="13"/>
      <c r="E1006" s="13"/>
      <c r="F1006" s="13"/>
    </row>
    <row r="1007">
      <c r="D1007" s="13"/>
      <c r="E1007" s="13"/>
      <c r="F1007" s="13"/>
    </row>
    <row r="1008">
      <c r="D1008" s="13"/>
      <c r="E1008" s="13"/>
      <c r="F1008" s="13"/>
    </row>
    <row r="1009">
      <c r="D1009" s="13"/>
      <c r="E1009" s="13"/>
      <c r="F1009" s="13"/>
    </row>
    <row r="1010">
      <c r="D1010" s="13"/>
      <c r="E1010" s="13"/>
      <c r="F1010" s="13"/>
    </row>
    <row r="1011">
      <c r="D1011" s="13"/>
      <c r="E1011" s="13"/>
      <c r="F1011" s="13"/>
    </row>
    <row r="1012">
      <c r="D1012" s="13"/>
      <c r="E1012" s="13"/>
      <c r="F1012" s="13"/>
    </row>
    <row r="1013">
      <c r="D1013" s="13"/>
      <c r="E1013" s="13"/>
      <c r="F1013" s="13"/>
    </row>
    <row r="1014">
      <c r="D1014" s="13"/>
      <c r="E1014" s="13"/>
      <c r="F1014" s="13"/>
    </row>
    <row r="1015">
      <c r="D1015" s="13"/>
      <c r="E1015" s="13"/>
      <c r="F1015" s="13"/>
    </row>
    <row r="1016">
      <c r="D1016" s="13"/>
      <c r="E1016" s="13"/>
      <c r="F1016" s="13"/>
    </row>
    <row r="1017">
      <c r="D1017" s="13"/>
      <c r="E1017" s="13"/>
      <c r="F1017" s="13"/>
    </row>
    <row r="1018">
      <c r="D1018" s="13"/>
      <c r="E1018" s="13"/>
      <c r="F1018" s="13"/>
    </row>
    <row r="1019">
      <c r="D1019" s="13"/>
      <c r="E1019" s="13"/>
      <c r="F1019" s="13"/>
    </row>
    <row r="1020">
      <c r="D1020" s="13"/>
      <c r="E1020" s="13"/>
      <c r="F1020" s="13"/>
    </row>
    <row r="1021">
      <c r="D1021" s="13"/>
      <c r="E1021" s="13"/>
      <c r="F1021" s="13"/>
    </row>
    <row r="1022">
      <c r="D1022" s="13"/>
      <c r="E1022" s="13"/>
      <c r="F1022" s="13"/>
    </row>
    <row r="1023">
      <c r="D1023" s="13"/>
      <c r="E1023" s="13"/>
      <c r="F1023" s="13"/>
    </row>
    <row r="1024">
      <c r="D1024" s="13"/>
      <c r="E1024" s="13"/>
      <c r="F1024" s="13"/>
    </row>
    <row r="1025">
      <c r="D1025" s="13"/>
      <c r="E1025" s="13"/>
      <c r="F1025" s="13"/>
    </row>
    <row r="1026">
      <c r="D1026" s="13"/>
      <c r="E1026" s="13"/>
      <c r="F1026" s="13"/>
    </row>
    <row r="1027">
      <c r="D1027" s="13"/>
      <c r="E1027" s="13"/>
      <c r="F1027" s="13"/>
    </row>
    <row r="1028">
      <c r="D1028" s="13"/>
      <c r="E1028" s="13"/>
      <c r="F1028" s="13"/>
    </row>
    <row r="1029">
      <c r="D1029" s="13"/>
      <c r="E1029" s="13"/>
      <c r="F1029" s="13"/>
    </row>
    <row r="1030">
      <c r="D1030" s="13"/>
      <c r="E1030" s="13"/>
      <c r="F1030" s="13"/>
    </row>
    <row r="1031">
      <c r="D1031" s="13"/>
      <c r="E1031" s="13"/>
      <c r="F1031" s="13"/>
    </row>
    <row r="1032">
      <c r="D1032" s="13"/>
      <c r="E1032" s="13"/>
      <c r="F1032" s="13"/>
    </row>
    <row r="1033">
      <c r="D1033" s="13"/>
      <c r="E1033" s="13"/>
      <c r="F1033" s="13"/>
    </row>
    <row r="1034">
      <c r="D1034" s="13"/>
      <c r="E1034" s="13"/>
      <c r="F1034" s="13"/>
    </row>
    <row r="1035">
      <c r="D1035" s="13"/>
      <c r="E1035" s="13"/>
      <c r="F1035" s="13"/>
    </row>
    <row r="1036">
      <c r="D1036" s="13"/>
      <c r="E1036" s="13"/>
      <c r="F1036" s="13"/>
    </row>
    <row r="1037">
      <c r="D1037" s="13"/>
      <c r="E1037" s="13"/>
      <c r="F1037" s="13"/>
    </row>
    <row r="1038">
      <c r="D1038" s="13"/>
      <c r="E1038" s="13"/>
      <c r="F1038" s="13"/>
    </row>
    <row r="1039">
      <c r="D1039" s="13"/>
      <c r="E1039" s="13"/>
      <c r="F1039" s="13"/>
    </row>
    <row r="1040">
      <c r="D1040" s="13"/>
      <c r="E1040" s="13"/>
      <c r="F1040" s="13"/>
    </row>
    <row r="1041">
      <c r="D1041" s="13"/>
      <c r="E1041" s="13"/>
      <c r="F1041" s="13"/>
    </row>
    <row r="1042">
      <c r="D1042" s="13"/>
      <c r="E1042" s="13"/>
      <c r="F1042" s="13"/>
    </row>
    <row r="1043">
      <c r="D1043" s="13"/>
      <c r="E1043" s="13"/>
      <c r="F1043" s="13"/>
    </row>
    <row r="1044">
      <c r="D1044" s="13"/>
      <c r="E1044" s="13"/>
      <c r="F1044" s="13"/>
    </row>
    <row r="1045">
      <c r="D1045" s="13"/>
      <c r="E1045" s="13"/>
      <c r="F1045" s="13"/>
    </row>
    <row r="1046">
      <c r="D1046" s="13"/>
      <c r="E1046" s="13"/>
      <c r="F1046" s="13"/>
    </row>
    <row r="1047">
      <c r="D1047" s="13"/>
      <c r="E1047" s="13"/>
      <c r="F1047" s="13"/>
    </row>
    <row r="1048">
      <c r="D1048" s="13"/>
      <c r="E1048" s="13"/>
      <c r="F1048" s="13"/>
    </row>
    <row r="1049">
      <c r="D1049" s="13"/>
      <c r="E1049" s="13"/>
      <c r="F1049" s="13"/>
    </row>
    <row r="1050">
      <c r="D1050" s="13"/>
      <c r="E1050" s="13"/>
      <c r="F1050" s="13"/>
    </row>
    <row r="1051">
      <c r="D1051" s="13"/>
      <c r="E1051" s="13"/>
      <c r="F1051" s="13"/>
    </row>
    <row r="1052">
      <c r="D1052" s="13"/>
      <c r="E1052" s="13"/>
      <c r="F1052" s="13"/>
    </row>
    <row r="1053">
      <c r="D1053" s="13"/>
      <c r="E1053" s="13"/>
      <c r="F1053" s="13"/>
    </row>
    <row r="1054">
      <c r="D1054" s="13"/>
      <c r="E1054" s="13"/>
      <c r="F1054" s="13"/>
    </row>
    <row r="1055">
      <c r="D1055" s="13"/>
      <c r="E1055" s="13"/>
      <c r="F1055" s="13"/>
    </row>
    <row r="1056">
      <c r="D1056" s="13"/>
      <c r="E1056" s="13"/>
      <c r="F1056" s="13"/>
    </row>
    <row r="1057">
      <c r="D1057" s="13"/>
      <c r="E1057" s="13"/>
      <c r="F1057" s="13"/>
    </row>
    <row r="1058">
      <c r="D1058" s="13"/>
      <c r="E1058" s="13"/>
      <c r="F1058" s="13"/>
    </row>
    <row r="1059">
      <c r="D1059" s="13"/>
      <c r="E1059" s="13"/>
      <c r="F1059" s="13"/>
    </row>
    <row r="1060">
      <c r="D1060" s="13"/>
      <c r="E1060" s="13"/>
      <c r="F1060" s="13"/>
    </row>
    <row r="1061">
      <c r="D1061" s="13"/>
      <c r="E1061" s="13"/>
      <c r="F1061" s="13"/>
    </row>
    <row r="1062">
      <c r="D1062" s="13"/>
      <c r="E1062" s="13"/>
      <c r="F1062" s="13"/>
    </row>
    <row r="1063">
      <c r="D1063" s="13"/>
      <c r="E1063" s="13"/>
      <c r="F1063" s="13"/>
    </row>
    <row r="1064">
      <c r="D1064" s="13"/>
      <c r="E1064" s="13"/>
      <c r="F1064" s="13"/>
    </row>
    <row r="1065">
      <c r="D1065" s="13"/>
      <c r="E1065" s="13"/>
      <c r="F1065" s="13"/>
    </row>
    <row r="1066">
      <c r="D1066" s="13"/>
      <c r="E1066" s="13"/>
      <c r="F1066" s="13"/>
    </row>
    <row r="1067">
      <c r="D1067" s="13"/>
      <c r="E1067" s="13"/>
      <c r="F1067" s="13"/>
    </row>
    <row r="1068">
      <c r="D1068" s="13"/>
      <c r="E1068" s="13"/>
      <c r="F1068" s="13"/>
    </row>
    <row r="1069">
      <c r="D1069" s="13"/>
      <c r="E1069" s="13"/>
      <c r="F1069" s="13"/>
    </row>
    <row r="1070">
      <c r="D1070" s="13"/>
      <c r="E1070" s="13"/>
      <c r="F1070" s="13"/>
    </row>
    <row r="1071">
      <c r="D1071" s="13"/>
      <c r="E1071" s="13"/>
      <c r="F1071" s="13"/>
    </row>
    <row r="1072">
      <c r="D1072" s="13"/>
      <c r="E1072" s="13"/>
      <c r="F1072" s="13"/>
    </row>
    <row r="1073">
      <c r="D1073" s="13"/>
      <c r="E1073" s="13"/>
      <c r="F1073" s="13"/>
    </row>
    <row r="1074">
      <c r="D1074" s="13"/>
      <c r="E1074" s="13"/>
      <c r="F1074" s="13"/>
    </row>
    <row r="1075">
      <c r="D1075" s="13"/>
      <c r="E1075" s="13"/>
      <c r="F1075" s="13"/>
    </row>
    <row r="1076">
      <c r="D1076" s="13"/>
      <c r="E1076" s="13"/>
      <c r="F1076" s="13"/>
    </row>
    <row r="1077">
      <c r="D1077" s="13"/>
      <c r="E1077" s="13"/>
      <c r="F1077" s="13"/>
    </row>
    <row r="1078">
      <c r="D1078" s="13"/>
      <c r="E1078" s="13"/>
      <c r="F1078" s="13"/>
    </row>
    <row r="1079">
      <c r="D1079" s="13"/>
      <c r="E1079" s="13"/>
      <c r="F1079" s="13"/>
    </row>
    <row r="1080">
      <c r="D1080" s="13"/>
      <c r="E1080" s="13"/>
      <c r="F1080" s="13"/>
    </row>
    <row r="1081">
      <c r="D1081" s="13"/>
      <c r="E1081" s="13"/>
      <c r="F1081" s="13"/>
    </row>
    <row r="1082">
      <c r="D1082" s="13"/>
      <c r="E1082" s="13"/>
      <c r="F1082" s="13"/>
    </row>
    <row r="1083">
      <c r="D1083" s="13"/>
      <c r="E1083" s="13"/>
      <c r="F1083" s="13"/>
    </row>
    <row r="1084">
      <c r="D1084" s="13"/>
      <c r="E1084" s="13"/>
      <c r="F1084" s="13"/>
    </row>
    <row r="1085">
      <c r="D1085" s="13"/>
      <c r="E1085" s="13"/>
      <c r="F1085" s="13"/>
    </row>
    <row r="1086">
      <c r="D1086" s="13"/>
      <c r="E1086" s="13"/>
      <c r="F1086" s="13"/>
    </row>
    <row r="1087">
      <c r="D1087" s="13"/>
      <c r="E1087" s="13"/>
      <c r="F1087" s="13"/>
    </row>
    <row r="1088">
      <c r="D1088" s="13"/>
      <c r="E1088" s="13"/>
      <c r="F1088" s="13"/>
    </row>
    <row r="1089">
      <c r="D1089" s="13"/>
      <c r="E1089" s="13"/>
      <c r="F1089" s="13"/>
    </row>
    <row r="1090">
      <c r="D1090" s="13"/>
      <c r="E1090" s="13"/>
      <c r="F1090" s="13"/>
    </row>
    <row r="1091">
      <c r="D1091" s="13"/>
      <c r="E1091" s="13"/>
      <c r="F1091" s="13"/>
    </row>
    <row r="1092">
      <c r="D1092" s="13"/>
      <c r="E1092" s="13"/>
      <c r="F1092" s="13"/>
    </row>
    <row r="1093">
      <c r="D1093" s="13"/>
      <c r="E1093" s="13"/>
      <c r="F1093" s="13"/>
    </row>
    <row r="1094">
      <c r="D1094" s="13"/>
      <c r="E1094" s="13"/>
      <c r="F1094" s="13"/>
    </row>
    <row r="1095">
      <c r="D1095" s="13"/>
      <c r="E1095" s="13"/>
      <c r="F1095" s="13"/>
    </row>
    <row r="1096">
      <c r="D1096" s="13"/>
      <c r="E1096" s="13"/>
      <c r="F1096" s="13"/>
    </row>
    <row r="1097">
      <c r="D1097" s="13"/>
      <c r="E1097" s="13"/>
      <c r="F1097" s="13"/>
    </row>
    <row r="1098">
      <c r="D1098" s="13"/>
      <c r="E1098" s="13"/>
      <c r="F1098" s="13"/>
    </row>
    <row r="1099">
      <c r="D1099" s="13"/>
      <c r="E1099" s="13"/>
      <c r="F1099" s="13"/>
    </row>
    <row r="1100">
      <c r="D1100" s="13"/>
      <c r="E1100" s="13"/>
      <c r="F1100" s="13"/>
    </row>
    <row r="1101">
      <c r="D1101" s="13"/>
      <c r="E1101" s="13"/>
      <c r="F1101" s="13"/>
    </row>
    <row r="1102">
      <c r="D1102" s="13"/>
      <c r="E1102" s="13"/>
      <c r="F1102" s="13"/>
    </row>
    <row r="1103">
      <c r="D1103" s="13"/>
      <c r="E1103" s="13"/>
      <c r="F1103" s="13"/>
    </row>
    <row r="1104">
      <c r="D1104" s="13"/>
      <c r="E1104" s="13"/>
      <c r="F1104" s="13"/>
    </row>
    <row r="1105">
      <c r="D1105" s="13"/>
      <c r="E1105" s="13"/>
      <c r="F1105" s="13"/>
    </row>
    <row r="1106">
      <c r="D1106" s="13"/>
      <c r="E1106" s="13"/>
      <c r="F1106" s="13"/>
    </row>
    <row r="1107">
      <c r="D1107" s="13"/>
      <c r="E1107" s="13"/>
      <c r="F1107" s="13"/>
    </row>
    <row r="1108">
      <c r="D1108" s="13"/>
      <c r="E1108" s="13"/>
      <c r="F1108" s="13"/>
    </row>
    <row r="1109">
      <c r="D1109" s="13"/>
      <c r="E1109" s="13"/>
      <c r="F1109" s="13"/>
    </row>
    <row r="1110">
      <c r="D1110" s="13"/>
      <c r="E1110" s="13"/>
      <c r="F1110" s="13"/>
    </row>
    <row r="1111">
      <c r="D1111" s="13"/>
      <c r="E1111" s="13"/>
      <c r="F1111" s="13"/>
    </row>
    <row r="1112">
      <c r="D1112" s="13"/>
      <c r="E1112" s="13"/>
      <c r="F1112" s="13"/>
    </row>
    <row r="1113">
      <c r="D1113" s="13"/>
      <c r="E1113" s="13"/>
      <c r="F1113" s="13"/>
    </row>
    <row r="1114">
      <c r="D1114" s="13"/>
      <c r="E1114" s="13"/>
      <c r="F1114" s="13"/>
    </row>
    <row r="1115">
      <c r="D1115" s="13"/>
      <c r="E1115" s="13"/>
      <c r="F1115" s="13"/>
    </row>
    <row r="1116">
      <c r="D1116" s="13"/>
      <c r="E1116" s="13"/>
      <c r="F1116" s="13"/>
    </row>
    <row r="1117">
      <c r="D1117" s="13"/>
      <c r="E1117" s="13"/>
      <c r="F1117" s="13"/>
    </row>
    <row r="1118">
      <c r="D1118" s="13"/>
      <c r="E1118" s="13"/>
      <c r="F1118" s="13"/>
    </row>
    <row r="1119">
      <c r="D1119" s="13"/>
      <c r="E1119" s="13"/>
      <c r="F1119" s="13"/>
    </row>
    <row r="1120">
      <c r="D1120" s="13"/>
      <c r="E1120" s="13"/>
      <c r="F1120" s="13"/>
    </row>
    <row r="1121">
      <c r="D1121" s="13"/>
      <c r="E1121" s="13"/>
      <c r="F1121" s="13"/>
    </row>
    <row r="1122">
      <c r="D1122" s="13"/>
      <c r="E1122" s="13"/>
      <c r="F1122" s="13"/>
    </row>
    <row r="1123">
      <c r="D1123" s="13"/>
      <c r="E1123" s="13"/>
      <c r="F1123" s="13"/>
    </row>
    <row r="1124">
      <c r="D1124" s="13"/>
      <c r="E1124" s="13"/>
      <c r="F1124" s="13"/>
    </row>
    <row r="1125">
      <c r="D1125" s="13"/>
      <c r="E1125" s="13"/>
      <c r="F1125" s="13"/>
    </row>
    <row r="1126">
      <c r="D1126" s="13"/>
      <c r="E1126" s="13"/>
      <c r="F1126" s="13"/>
    </row>
    <row r="1127">
      <c r="D1127" s="13"/>
      <c r="E1127" s="13"/>
      <c r="F1127" s="13"/>
    </row>
    <row r="1128">
      <c r="D1128" s="13"/>
      <c r="E1128" s="13"/>
      <c r="F1128" s="13"/>
    </row>
    <row r="1129">
      <c r="D1129" s="13"/>
      <c r="E1129" s="13"/>
      <c r="F1129" s="13"/>
    </row>
    <row r="1130">
      <c r="D1130" s="13"/>
      <c r="E1130" s="13"/>
      <c r="F1130" s="13"/>
    </row>
    <row r="1131">
      <c r="D1131" s="13"/>
      <c r="E1131" s="13"/>
      <c r="F1131" s="13"/>
    </row>
    <row r="1132">
      <c r="D1132" s="13"/>
      <c r="E1132" s="13"/>
      <c r="F1132" s="13"/>
    </row>
    <row r="1133">
      <c r="D1133" s="13"/>
      <c r="E1133" s="13"/>
      <c r="F1133" s="13"/>
    </row>
    <row r="1134">
      <c r="D1134" s="13"/>
      <c r="E1134" s="13"/>
      <c r="F1134" s="13"/>
    </row>
    <row r="1135">
      <c r="D1135" s="13"/>
      <c r="E1135" s="13"/>
      <c r="F1135" s="13"/>
    </row>
    <row r="1136">
      <c r="D1136" s="13"/>
      <c r="E1136" s="13"/>
      <c r="F1136" s="13"/>
    </row>
    <row r="1137">
      <c r="D1137" s="13"/>
      <c r="E1137" s="13"/>
      <c r="F1137" s="13"/>
    </row>
    <row r="1138">
      <c r="D1138" s="13"/>
      <c r="E1138" s="13"/>
      <c r="F1138" s="13"/>
    </row>
    <row r="1139">
      <c r="D1139" s="13"/>
      <c r="E1139" s="13"/>
      <c r="F1139" s="13"/>
    </row>
    <row r="1140">
      <c r="D1140" s="13"/>
      <c r="E1140" s="13"/>
      <c r="F1140" s="13"/>
    </row>
    <row r="1141">
      <c r="D1141" s="13"/>
      <c r="E1141" s="13"/>
      <c r="F1141" s="13"/>
    </row>
    <row r="1142">
      <c r="D1142" s="13"/>
      <c r="E1142" s="13"/>
      <c r="F1142" s="13"/>
    </row>
    <row r="1143">
      <c r="D1143" s="13"/>
      <c r="E1143" s="13"/>
      <c r="F1143" s="13"/>
    </row>
    <row r="1144">
      <c r="D1144" s="13"/>
      <c r="E1144" s="13"/>
      <c r="F1144" s="13"/>
    </row>
    <row r="1145">
      <c r="D1145" s="13"/>
      <c r="E1145" s="13"/>
      <c r="F1145" s="13"/>
    </row>
    <row r="1146">
      <c r="D1146" s="13"/>
      <c r="E1146" s="13"/>
      <c r="F1146" s="13"/>
    </row>
    <row r="1147">
      <c r="D1147" s="13"/>
      <c r="E1147" s="13"/>
      <c r="F1147" s="13"/>
    </row>
    <row r="1148">
      <c r="D1148" s="13"/>
      <c r="E1148" s="13"/>
      <c r="F1148" s="13"/>
    </row>
    <row r="1149">
      <c r="D1149" s="13"/>
      <c r="E1149" s="13"/>
      <c r="F1149" s="13"/>
    </row>
    <row r="1150">
      <c r="D1150" s="13"/>
      <c r="E1150" s="13"/>
      <c r="F1150" s="13"/>
    </row>
    <row r="1151">
      <c r="D1151" s="13"/>
      <c r="E1151" s="13"/>
      <c r="F1151" s="13"/>
    </row>
    <row r="1152">
      <c r="D1152" s="13"/>
      <c r="E1152" s="13"/>
      <c r="F1152" s="13"/>
    </row>
    <row r="1153">
      <c r="D1153" s="13"/>
      <c r="E1153" s="13"/>
      <c r="F1153" s="13"/>
    </row>
    <row r="1154">
      <c r="D1154" s="13"/>
      <c r="E1154" s="13"/>
      <c r="F1154" s="13"/>
    </row>
    <row r="1155">
      <c r="D1155" s="13"/>
      <c r="E1155" s="13"/>
      <c r="F1155" s="13"/>
    </row>
    <row r="1156">
      <c r="D1156" s="13"/>
      <c r="E1156" s="13"/>
      <c r="F1156" s="13"/>
    </row>
    <row r="1157">
      <c r="D1157" s="13"/>
      <c r="E1157" s="13"/>
      <c r="F1157" s="13"/>
    </row>
    <row r="1158">
      <c r="D1158" s="13"/>
      <c r="E1158" s="13"/>
      <c r="F1158" s="13"/>
    </row>
    <row r="1159">
      <c r="D1159" s="13"/>
      <c r="E1159" s="13"/>
      <c r="F1159" s="13"/>
    </row>
    <row r="1160">
      <c r="D1160" s="13"/>
      <c r="E1160" s="13"/>
      <c r="F1160" s="13"/>
    </row>
    <row r="1161">
      <c r="D1161" s="13"/>
      <c r="E1161" s="13"/>
      <c r="F1161" s="13"/>
    </row>
    <row r="1162">
      <c r="D1162" s="13"/>
      <c r="E1162" s="13"/>
      <c r="F1162" s="13"/>
    </row>
    <row r="1163">
      <c r="D1163" s="13"/>
      <c r="E1163" s="13"/>
      <c r="F1163" s="13"/>
    </row>
    <row r="1164">
      <c r="D1164" s="13"/>
      <c r="E1164" s="13"/>
      <c r="F1164" s="13"/>
    </row>
    <row r="1165">
      <c r="D1165" s="13"/>
      <c r="E1165" s="13"/>
      <c r="F1165" s="13"/>
    </row>
    <row r="1166">
      <c r="D1166" s="13"/>
      <c r="E1166" s="13"/>
      <c r="F1166" s="13"/>
    </row>
    <row r="1167">
      <c r="D1167" s="13"/>
      <c r="E1167" s="13"/>
      <c r="F1167" s="13"/>
    </row>
    <row r="1168">
      <c r="D1168" s="13"/>
      <c r="E1168" s="13"/>
      <c r="F1168" s="13"/>
    </row>
    <row r="1169">
      <c r="D1169" s="13"/>
      <c r="E1169" s="13"/>
      <c r="F1169" s="13"/>
    </row>
    <row r="1170">
      <c r="D1170" s="13"/>
      <c r="E1170" s="13"/>
      <c r="F1170" s="13"/>
    </row>
    <row r="1171">
      <c r="D1171" s="13"/>
      <c r="E1171" s="13"/>
      <c r="F1171" s="13"/>
    </row>
    <row r="1172">
      <c r="D1172" s="13"/>
      <c r="E1172" s="13"/>
      <c r="F1172" s="13"/>
    </row>
    <row r="1173">
      <c r="D1173" s="13"/>
      <c r="E1173" s="13"/>
      <c r="F1173" s="13"/>
    </row>
    <row r="1174">
      <c r="D1174" s="13"/>
      <c r="E1174" s="13"/>
      <c r="F1174" s="13"/>
    </row>
    <row r="1175">
      <c r="D1175" s="13"/>
      <c r="E1175" s="13"/>
      <c r="F1175" s="13"/>
    </row>
    <row r="1176">
      <c r="D1176" s="13"/>
      <c r="E1176" s="13"/>
      <c r="F1176" s="13"/>
    </row>
    <row r="1177">
      <c r="D1177" s="13"/>
      <c r="E1177" s="13"/>
      <c r="F1177" s="13"/>
    </row>
    <row r="1178">
      <c r="D1178" s="13"/>
      <c r="E1178" s="13"/>
      <c r="F1178" s="13"/>
    </row>
    <row r="1179">
      <c r="D1179" s="13"/>
      <c r="E1179" s="13"/>
      <c r="F1179" s="13"/>
    </row>
    <row r="1180">
      <c r="D1180" s="13"/>
      <c r="E1180" s="13"/>
      <c r="F1180" s="13"/>
    </row>
    <row r="1181">
      <c r="D1181" s="13"/>
      <c r="E1181" s="13"/>
      <c r="F1181" s="13"/>
    </row>
    <row r="1182">
      <c r="D1182" s="13"/>
      <c r="E1182" s="13"/>
      <c r="F1182" s="13"/>
    </row>
    <row r="1183">
      <c r="D1183" s="13"/>
      <c r="E1183" s="13"/>
      <c r="F1183" s="13"/>
    </row>
    <row r="1184">
      <c r="D1184" s="13"/>
      <c r="E1184" s="13"/>
      <c r="F1184" s="13"/>
    </row>
    <row r="1185">
      <c r="D1185" s="13"/>
      <c r="E1185" s="13"/>
      <c r="F1185" s="13"/>
    </row>
    <row r="1186">
      <c r="D1186" s="13"/>
      <c r="E1186" s="13"/>
      <c r="F1186" s="13"/>
    </row>
    <row r="1187">
      <c r="D1187" s="13"/>
      <c r="E1187" s="13"/>
      <c r="F1187" s="13"/>
    </row>
    <row r="1188">
      <c r="D1188" s="13"/>
      <c r="E1188" s="13"/>
      <c r="F1188" s="13"/>
    </row>
    <row r="1189">
      <c r="D1189" s="13"/>
      <c r="E1189" s="13"/>
      <c r="F1189" s="13"/>
    </row>
    <row r="1190">
      <c r="D1190" s="13"/>
      <c r="E1190" s="13"/>
      <c r="F1190" s="13"/>
    </row>
    <row r="1191">
      <c r="D1191" s="13"/>
      <c r="E1191" s="13"/>
      <c r="F1191" s="13"/>
    </row>
    <row r="1192">
      <c r="D1192" s="13"/>
      <c r="E1192" s="13"/>
      <c r="F1192" s="13"/>
    </row>
    <row r="1193">
      <c r="D1193" s="13"/>
      <c r="E1193" s="13"/>
      <c r="F1193" s="13"/>
    </row>
    <row r="1194">
      <c r="D1194" s="13"/>
      <c r="E1194" s="13"/>
      <c r="F1194" s="13"/>
    </row>
    <row r="1195">
      <c r="D1195" s="13"/>
      <c r="E1195" s="13"/>
      <c r="F1195" s="13"/>
    </row>
    <row r="1196">
      <c r="D1196" s="13"/>
      <c r="E1196" s="13"/>
      <c r="F1196" s="13"/>
    </row>
    <row r="1197">
      <c r="D1197" s="13"/>
      <c r="E1197" s="13"/>
      <c r="F1197" s="13"/>
    </row>
    <row r="1198">
      <c r="D1198" s="13"/>
      <c r="E1198" s="13"/>
      <c r="F1198" s="13"/>
    </row>
    <row r="1199">
      <c r="D1199" s="13"/>
      <c r="E1199" s="13"/>
      <c r="F1199" s="13"/>
    </row>
    <row r="1200">
      <c r="D1200" s="13"/>
      <c r="E1200" s="13"/>
      <c r="F1200" s="13"/>
    </row>
    <row r="1201">
      <c r="D1201" s="13"/>
      <c r="E1201" s="13"/>
      <c r="F1201" s="13"/>
    </row>
    <row r="1202">
      <c r="D1202" s="13"/>
      <c r="E1202" s="13"/>
      <c r="F1202" s="13"/>
    </row>
    <row r="1203">
      <c r="D1203" s="13"/>
      <c r="E1203" s="13"/>
      <c r="F1203" s="13"/>
    </row>
    <row r="1204">
      <c r="D1204" s="13"/>
      <c r="E1204" s="13"/>
      <c r="F1204" s="13"/>
    </row>
    <row r="1205">
      <c r="D1205" s="13"/>
      <c r="E1205" s="13"/>
      <c r="F1205" s="13"/>
    </row>
    <row r="1206">
      <c r="D1206" s="13"/>
      <c r="E1206" s="13"/>
      <c r="F1206" s="13"/>
    </row>
    <row r="1207">
      <c r="D1207" s="13"/>
      <c r="E1207" s="13"/>
      <c r="F1207" s="13"/>
    </row>
    <row r="1208">
      <c r="D1208" s="13"/>
      <c r="E1208" s="13"/>
      <c r="F1208" s="13"/>
    </row>
    <row r="1209">
      <c r="D1209" s="13"/>
      <c r="E1209" s="13"/>
      <c r="F1209" s="13"/>
    </row>
    <row r="1210">
      <c r="D1210" s="13"/>
      <c r="E1210" s="13"/>
      <c r="F1210" s="13"/>
    </row>
    <row r="1211">
      <c r="D1211" s="13"/>
      <c r="E1211" s="13"/>
      <c r="F1211" s="13"/>
    </row>
    <row r="1212">
      <c r="D1212" s="13"/>
      <c r="E1212" s="13"/>
      <c r="F1212" s="13"/>
    </row>
    <row r="1213">
      <c r="D1213" s="13"/>
      <c r="E1213" s="13"/>
      <c r="F1213" s="13"/>
    </row>
    <row r="1214">
      <c r="D1214" s="13"/>
      <c r="E1214" s="13"/>
      <c r="F1214" s="13"/>
    </row>
    <row r="1215">
      <c r="D1215" s="13"/>
      <c r="E1215" s="13"/>
      <c r="F1215" s="13"/>
    </row>
    <row r="1216">
      <c r="D1216" s="13"/>
      <c r="E1216" s="13"/>
      <c r="F1216" s="13"/>
    </row>
    <row r="1217">
      <c r="D1217" s="13"/>
      <c r="E1217" s="13"/>
      <c r="F1217" s="13"/>
    </row>
    <row r="1218">
      <c r="D1218" s="13"/>
      <c r="E1218" s="13"/>
      <c r="F1218" s="13"/>
    </row>
    <row r="1219">
      <c r="D1219" s="13"/>
      <c r="E1219" s="13"/>
      <c r="F1219" s="13"/>
    </row>
    <row r="1220">
      <c r="D1220" s="13"/>
      <c r="E1220" s="13"/>
      <c r="F1220" s="13"/>
    </row>
    <row r="1221">
      <c r="D1221" s="13"/>
      <c r="E1221" s="13"/>
      <c r="F1221" s="13"/>
    </row>
    <row r="1222">
      <c r="D1222" s="13"/>
      <c r="E1222" s="13"/>
      <c r="F1222" s="13"/>
    </row>
    <row r="1223">
      <c r="D1223" s="13"/>
      <c r="E1223" s="13"/>
      <c r="F1223" s="13"/>
    </row>
    <row r="1224">
      <c r="D1224" s="13"/>
      <c r="E1224" s="13"/>
      <c r="F1224" s="13"/>
    </row>
    <row r="1225">
      <c r="D1225" s="13"/>
      <c r="E1225" s="13"/>
      <c r="F1225" s="13"/>
    </row>
    <row r="1226">
      <c r="D1226" s="13"/>
      <c r="E1226" s="13"/>
      <c r="F1226" s="13"/>
    </row>
    <row r="1227">
      <c r="D1227" s="13"/>
      <c r="E1227" s="13"/>
      <c r="F1227" s="13"/>
    </row>
    <row r="1228">
      <c r="D1228" s="13"/>
      <c r="E1228" s="13"/>
      <c r="F1228" s="13"/>
    </row>
    <row r="1229">
      <c r="D1229" s="13"/>
      <c r="E1229" s="13"/>
      <c r="F1229" s="13"/>
    </row>
    <row r="1230">
      <c r="D1230" s="13"/>
      <c r="E1230" s="13"/>
      <c r="F1230" s="13"/>
    </row>
    <row r="1231">
      <c r="D1231" s="13"/>
      <c r="E1231" s="13"/>
      <c r="F1231" s="13"/>
    </row>
    <row r="1232">
      <c r="D1232" s="13"/>
      <c r="E1232" s="13"/>
      <c r="F1232" s="13"/>
    </row>
    <row r="1233">
      <c r="D1233" s="13"/>
      <c r="E1233" s="13"/>
      <c r="F1233" s="13"/>
    </row>
    <row r="1234">
      <c r="D1234" s="13"/>
      <c r="E1234" s="13"/>
      <c r="F1234" s="13"/>
    </row>
    <row r="1235">
      <c r="D1235" s="13"/>
      <c r="E1235" s="13"/>
      <c r="F1235" s="13"/>
    </row>
    <row r="1236">
      <c r="D1236" s="13"/>
      <c r="E1236" s="13"/>
      <c r="F1236" s="13"/>
    </row>
    <row r="1237">
      <c r="D1237" s="13"/>
      <c r="E1237" s="13"/>
      <c r="F1237" s="13"/>
    </row>
    <row r="1238">
      <c r="D1238" s="13"/>
      <c r="E1238" s="13"/>
      <c r="F1238" s="13"/>
    </row>
    <row r="1239">
      <c r="D1239" s="13"/>
      <c r="E1239" s="13"/>
      <c r="F1239" s="13"/>
    </row>
    <row r="1240">
      <c r="D1240" s="13"/>
      <c r="E1240" s="13"/>
      <c r="F1240" s="13"/>
    </row>
    <row r="1241">
      <c r="D1241" s="13"/>
      <c r="E1241" s="13"/>
      <c r="F1241" s="13"/>
    </row>
    <row r="1242">
      <c r="D1242" s="13"/>
      <c r="E1242" s="13"/>
      <c r="F1242" s="13"/>
    </row>
    <row r="1243">
      <c r="D1243" s="13"/>
      <c r="E1243" s="13"/>
      <c r="F1243" s="13"/>
    </row>
    <row r="1244">
      <c r="D1244" s="13"/>
      <c r="E1244" s="13"/>
      <c r="F1244" s="13"/>
    </row>
    <row r="1245">
      <c r="D1245" s="13"/>
      <c r="E1245" s="13"/>
      <c r="F1245" s="13"/>
    </row>
    <row r="1246">
      <c r="D1246" s="13"/>
      <c r="E1246" s="13"/>
      <c r="F1246" s="13"/>
    </row>
    <row r="1247">
      <c r="D1247" s="13"/>
      <c r="E1247" s="13"/>
      <c r="F1247" s="13"/>
    </row>
    <row r="1248">
      <c r="D1248" s="13"/>
      <c r="E1248" s="13"/>
      <c r="F1248" s="13"/>
    </row>
    <row r="1249">
      <c r="D1249" s="13"/>
      <c r="E1249" s="13"/>
      <c r="F1249" s="13"/>
    </row>
    <row r="1250">
      <c r="D1250" s="13"/>
      <c r="E1250" s="13"/>
      <c r="F1250" s="13"/>
    </row>
    <row r="1251">
      <c r="D1251" s="13"/>
      <c r="E1251" s="13"/>
      <c r="F1251" s="13"/>
    </row>
    <row r="1252">
      <c r="D1252" s="13"/>
      <c r="E1252" s="13"/>
      <c r="F1252" s="13"/>
    </row>
    <row r="1253">
      <c r="D1253" s="13"/>
      <c r="E1253" s="13"/>
      <c r="F1253" s="13"/>
    </row>
    <row r="1254">
      <c r="D1254" s="13"/>
      <c r="E1254" s="13"/>
      <c r="F1254" s="13"/>
    </row>
    <row r="1255">
      <c r="D1255" s="13"/>
      <c r="E1255" s="13"/>
      <c r="F1255" s="13"/>
    </row>
    <row r="1256">
      <c r="D1256" s="13"/>
      <c r="E1256" s="13"/>
      <c r="F1256" s="13"/>
    </row>
    <row r="1257">
      <c r="D1257" s="13"/>
      <c r="E1257" s="13"/>
      <c r="F1257" s="13"/>
    </row>
    <row r="1258">
      <c r="D1258" s="13"/>
      <c r="E1258" s="13"/>
      <c r="F1258" s="13"/>
    </row>
    <row r="1259">
      <c r="D1259" s="13"/>
      <c r="E1259" s="13"/>
      <c r="F1259" s="13"/>
    </row>
    <row r="1260">
      <c r="D1260" s="13"/>
      <c r="E1260" s="13"/>
      <c r="F1260" s="13"/>
    </row>
    <row r="1261">
      <c r="D1261" s="13"/>
      <c r="E1261" s="13"/>
      <c r="F1261" s="13"/>
    </row>
    <row r="1262">
      <c r="D1262" s="13"/>
      <c r="E1262" s="13"/>
      <c r="F1262" s="13"/>
    </row>
    <row r="1263">
      <c r="D1263" s="13"/>
      <c r="E1263" s="13"/>
      <c r="F1263" s="13"/>
    </row>
    <row r="1264">
      <c r="D1264" s="13"/>
      <c r="E1264" s="13"/>
      <c r="F1264" s="13"/>
    </row>
    <row r="1265">
      <c r="D1265" s="13"/>
      <c r="E1265" s="13"/>
      <c r="F1265" s="13"/>
    </row>
    <row r="1266">
      <c r="D1266" s="13"/>
      <c r="E1266" s="13"/>
      <c r="F1266" s="13"/>
    </row>
    <row r="1267">
      <c r="D1267" s="13"/>
      <c r="E1267" s="13"/>
      <c r="F1267" s="13"/>
    </row>
    <row r="1268">
      <c r="D1268" s="13"/>
      <c r="E1268" s="13"/>
      <c r="F1268" s="13"/>
    </row>
    <row r="1269">
      <c r="D1269" s="13"/>
      <c r="E1269" s="13"/>
      <c r="F1269" s="13"/>
    </row>
    <row r="1270">
      <c r="D1270" s="13"/>
      <c r="E1270" s="13"/>
      <c r="F1270" s="13"/>
    </row>
    <row r="1271">
      <c r="D1271" s="13"/>
      <c r="E1271" s="13"/>
      <c r="F1271" s="13"/>
    </row>
    <row r="1272">
      <c r="D1272" s="13"/>
      <c r="E1272" s="13"/>
      <c r="F1272" s="13"/>
    </row>
    <row r="1273">
      <c r="D1273" s="13"/>
      <c r="E1273" s="13"/>
      <c r="F1273" s="13"/>
    </row>
    <row r="1274">
      <c r="D1274" s="13"/>
      <c r="E1274" s="13"/>
      <c r="F1274" s="13"/>
    </row>
    <row r="1275">
      <c r="D1275" s="13"/>
      <c r="E1275" s="13"/>
      <c r="F1275" s="13"/>
    </row>
    <row r="1276">
      <c r="D1276" s="13"/>
      <c r="E1276" s="13"/>
      <c r="F1276" s="13"/>
    </row>
    <row r="1277">
      <c r="D1277" s="13"/>
      <c r="E1277" s="13"/>
      <c r="F1277" s="13"/>
    </row>
    <row r="1278">
      <c r="D1278" s="13"/>
      <c r="E1278" s="13"/>
      <c r="F1278" s="13"/>
    </row>
    <row r="1279">
      <c r="D1279" s="13"/>
      <c r="E1279" s="13"/>
      <c r="F1279" s="13"/>
    </row>
    <row r="1280">
      <c r="D1280" s="13"/>
      <c r="E1280" s="13"/>
      <c r="F1280" s="13"/>
    </row>
    <row r="1281">
      <c r="D1281" s="13"/>
      <c r="E1281" s="13"/>
      <c r="F1281" s="13"/>
    </row>
    <row r="1282">
      <c r="D1282" s="13"/>
      <c r="E1282" s="13"/>
      <c r="F1282" s="13"/>
    </row>
    <row r="1283">
      <c r="D1283" s="13"/>
      <c r="E1283" s="13"/>
      <c r="F1283" s="13"/>
    </row>
    <row r="1284">
      <c r="D1284" s="13"/>
      <c r="E1284" s="13"/>
      <c r="F1284" s="13"/>
    </row>
    <row r="1285">
      <c r="D1285" s="13"/>
      <c r="E1285" s="13"/>
      <c r="F1285" s="13"/>
    </row>
    <row r="1286">
      <c r="D1286" s="13"/>
      <c r="E1286" s="13"/>
      <c r="F1286" s="13"/>
    </row>
    <row r="1287">
      <c r="D1287" s="13"/>
      <c r="E1287" s="13"/>
      <c r="F1287" s="13"/>
    </row>
    <row r="1288">
      <c r="D1288" s="13"/>
      <c r="E1288" s="13"/>
      <c r="F1288" s="13"/>
    </row>
    <row r="1289">
      <c r="D1289" s="13"/>
      <c r="E1289" s="13"/>
      <c r="F1289" s="13"/>
    </row>
    <row r="1290">
      <c r="D1290" s="13"/>
      <c r="E1290" s="13"/>
      <c r="F1290" s="13"/>
    </row>
    <row r="1291">
      <c r="D1291" s="13"/>
      <c r="E1291" s="13"/>
      <c r="F1291" s="13"/>
    </row>
    <row r="1292">
      <c r="D1292" s="13"/>
      <c r="E1292" s="13"/>
      <c r="F1292" s="13"/>
    </row>
    <row r="1293">
      <c r="D1293" s="13"/>
      <c r="E1293" s="13"/>
      <c r="F1293" s="13"/>
    </row>
    <row r="1294">
      <c r="D1294" s="13"/>
      <c r="E1294" s="13"/>
      <c r="F1294" s="13"/>
    </row>
    <row r="1295">
      <c r="D1295" s="13"/>
      <c r="E1295" s="13"/>
      <c r="F1295" s="13"/>
    </row>
    <row r="1296">
      <c r="D1296" s="13"/>
      <c r="E1296" s="13"/>
      <c r="F1296" s="13"/>
    </row>
    <row r="1297">
      <c r="D1297" s="13"/>
      <c r="E1297" s="13"/>
      <c r="F1297" s="13"/>
    </row>
    <row r="1298">
      <c r="D1298" s="13"/>
      <c r="E1298" s="13"/>
      <c r="F1298" s="13"/>
    </row>
    <row r="1299">
      <c r="D1299" s="13"/>
      <c r="E1299" s="13"/>
      <c r="F1299" s="13"/>
    </row>
    <row r="1300">
      <c r="D1300" s="13"/>
      <c r="E1300" s="13"/>
      <c r="F1300" s="13"/>
    </row>
    <row r="1301">
      <c r="D1301" s="13"/>
      <c r="E1301" s="13"/>
      <c r="F1301" s="13"/>
    </row>
    <row r="1302">
      <c r="D1302" s="13"/>
      <c r="E1302" s="13"/>
      <c r="F1302" s="13"/>
    </row>
    <row r="1303">
      <c r="D1303" s="13"/>
      <c r="E1303" s="13"/>
      <c r="F1303" s="13"/>
    </row>
    <row r="1304">
      <c r="D1304" s="13"/>
      <c r="E1304" s="13"/>
      <c r="F1304" s="13"/>
    </row>
    <row r="1305">
      <c r="D1305" s="13"/>
      <c r="E1305" s="13"/>
      <c r="F1305" s="13"/>
    </row>
    <row r="1306">
      <c r="D1306" s="13"/>
      <c r="E1306" s="13"/>
      <c r="F1306" s="13"/>
    </row>
    <row r="1307">
      <c r="D1307" s="13"/>
      <c r="E1307" s="13"/>
      <c r="F1307" s="13"/>
    </row>
    <row r="1308">
      <c r="D1308" s="13"/>
      <c r="E1308" s="13"/>
      <c r="F1308" s="13"/>
    </row>
    <row r="1309">
      <c r="D1309" s="13"/>
      <c r="E1309" s="13"/>
      <c r="F1309" s="13"/>
    </row>
    <row r="1310">
      <c r="D1310" s="13"/>
      <c r="E1310" s="13"/>
      <c r="F1310" s="13"/>
    </row>
    <row r="1311">
      <c r="D1311" s="13"/>
      <c r="E1311" s="13"/>
      <c r="F1311" s="13"/>
    </row>
    <row r="1312">
      <c r="D1312" s="13"/>
      <c r="E1312" s="13"/>
      <c r="F1312" s="13"/>
    </row>
    <row r="1313">
      <c r="D1313" s="13"/>
      <c r="E1313" s="13"/>
      <c r="F1313" s="13"/>
    </row>
    <row r="1314">
      <c r="D1314" s="13"/>
      <c r="E1314" s="13"/>
      <c r="F1314" s="13"/>
    </row>
    <row r="1315">
      <c r="D1315" s="13"/>
      <c r="E1315" s="13"/>
      <c r="F1315" s="13"/>
    </row>
    <row r="1316">
      <c r="D1316" s="13"/>
      <c r="E1316" s="13"/>
      <c r="F1316" s="13"/>
    </row>
    <row r="1317">
      <c r="D1317" s="13"/>
      <c r="E1317" s="13"/>
      <c r="F1317" s="13"/>
    </row>
    <row r="1318">
      <c r="D1318" s="13"/>
      <c r="E1318" s="13"/>
      <c r="F1318" s="13"/>
    </row>
    <row r="1319">
      <c r="D1319" s="13"/>
      <c r="E1319" s="13"/>
      <c r="F1319" s="13"/>
    </row>
    <row r="1320">
      <c r="D1320" s="13"/>
      <c r="E1320" s="13"/>
      <c r="F1320" s="13"/>
    </row>
    <row r="1321">
      <c r="D1321" s="13"/>
      <c r="E1321" s="13"/>
      <c r="F1321" s="13"/>
    </row>
    <row r="1322">
      <c r="D1322" s="13"/>
      <c r="E1322" s="13"/>
      <c r="F1322" s="13"/>
    </row>
    <row r="1323">
      <c r="D1323" s="13"/>
      <c r="E1323" s="13"/>
      <c r="F1323" s="13"/>
    </row>
    <row r="1324">
      <c r="D1324" s="13"/>
      <c r="E1324" s="13"/>
      <c r="F1324" s="13"/>
    </row>
    <row r="1325">
      <c r="D1325" s="13"/>
      <c r="E1325" s="13"/>
      <c r="F1325" s="13"/>
    </row>
    <row r="1326">
      <c r="D1326" s="13"/>
      <c r="E1326" s="13"/>
      <c r="F1326" s="13"/>
    </row>
    <row r="1327">
      <c r="D1327" s="13"/>
      <c r="E1327" s="13"/>
      <c r="F1327" s="13"/>
    </row>
    <row r="1328">
      <c r="D1328" s="13"/>
      <c r="E1328" s="13"/>
      <c r="F1328" s="13"/>
    </row>
    <row r="1329">
      <c r="D1329" s="13"/>
      <c r="E1329" s="13"/>
      <c r="F1329" s="13"/>
    </row>
    <row r="1330">
      <c r="D1330" s="13"/>
      <c r="E1330" s="13"/>
      <c r="F1330" s="13"/>
    </row>
    <row r="1331">
      <c r="D1331" s="13"/>
      <c r="E1331" s="13"/>
      <c r="F1331" s="13"/>
    </row>
    <row r="1332">
      <c r="D1332" s="13"/>
      <c r="E1332" s="13"/>
      <c r="F1332" s="13"/>
    </row>
    <row r="1333">
      <c r="D1333" s="13"/>
      <c r="E1333" s="13"/>
      <c r="F1333" s="13"/>
    </row>
    <row r="1334">
      <c r="D1334" s="13"/>
      <c r="E1334" s="13"/>
      <c r="F1334" s="13"/>
    </row>
    <row r="1335">
      <c r="D1335" s="13"/>
      <c r="E1335" s="13"/>
      <c r="F1335" s="13"/>
    </row>
    <row r="1336">
      <c r="D1336" s="13"/>
      <c r="E1336" s="13"/>
      <c r="F1336" s="13"/>
    </row>
    <row r="1337">
      <c r="D1337" s="13"/>
      <c r="E1337" s="13"/>
      <c r="F1337" s="13"/>
    </row>
    <row r="1338">
      <c r="D1338" s="13"/>
      <c r="E1338" s="13"/>
      <c r="F1338" s="13"/>
    </row>
    <row r="1339">
      <c r="D1339" s="13"/>
      <c r="E1339" s="13"/>
      <c r="F1339" s="13"/>
    </row>
    <row r="1340">
      <c r="D1340" s="13"/>
      <c r="E1340" s="13"/>
      <c r="F1340" s="13"/>
    </row>
    <row r="1341">
      <c r="D1341" s="13"/>
      <c r="E1341" s="13"/>
      <c r="F1341" s="13"/>
    </row>
    <row r="1342">
      <c r="D1342" s="13"/>
      <c r="E1342" s="13"/>
      <c r="F1342" s="13"/>
    </row>
    <row r="1343">
      <c r="D1343" s="13"/>
      <c r="E1343" s="13"/>
      <c r="F1343" s="13"/>
    </row>
    <row r="1344">
      <c r="D1344" s="13"/>
      <c r="E1344" s="13"/>
      <c r="F1344" s="13"/>
    </row>
    <row r="1345">
      <c r="D1345" s="13"/>
      <c r="E1345" s="13"/>
      <c r="F1345" s="13"/>
    </row>
    <row r="1346">
      <c r="D1346" s="13"/>
      <c r="E1346" s="13"/>
      <c r="F1346" s="13"/>
    </row>
    <row r="1347">
      <c r="D1347" s="13"/>
      <c r="E1347" s="13"/>
      <c r="F1347" s="13"/>
    </row>
    <row r="1348">
      <c r="D1348" s="13"/>
      <c r="E1348" s="13"/>
      <c r="F1348" s="13"/>
    </row>
    <row r="1349">
      <c r="D1349" s="13"/>
      <c r="E1349" s="13"/>
      <c r="F1349" s="13"/>
    </row>
    <row r="1350">
      <c r="D1350" s="13"/>
      <c r="E1350" s="13"/>
      <c r="F1350" s="13"/>
    </row>
    <row r="1351">
      <c r="D1351" s="13"/>
      <c r="E1351" s="13"/>
      <c r="F1351" s="13"/>
    </row>
    <row r="1352">
      <c r="D1352" s="13"/>
      <c r="E1352" s="13"/>
      <c r="F1352" s="13"/>
    </row>
    <row r="1353">
      <c r="D1353" s="13"/>
      <c r="E1353" s="13"/>
      <c r="F1353" s="13"/>
    </row>
    <row r="1354">
      <c r="D1354" s="13"/>
      <c r="E1354" s="13"/>
      <c r="F1354" s="13"/>
    </row>
    <row r="1355">
      <c r="D1355" s="13"/>
      <c r="E1355" s="13"/>
      <c r="F1355" s="13"/>
    </row>
    <row r="1356">
      <c r="D1356" s="13"/>
      <c r="E1356" s="13"/>
      <c r="F1356" s="13"/>
    </row>
    <row r="1357">
      <c r="D1357" s="13"/>
      <c r="E1357" s="13"/>
      <c r="F1357" s="13"/>
    </row>
    <row r="1358">
      <c r="D1358" s="13"/>
      <c r="E1358" s="13"/>
      <c r="F1358" s="13"/>
    </row>
    <row r="1359">
      <c r="D1359" s="13"/>
      <c r="E1359" s="13"/>
      <c r="F1359" s="13"/>
    </row>
    <row r="1360">
      <c r="D1360" s="13"/>
      <c r="E1360" s="13"/>
      <c r="F1360" s="13"/>
    </row>
    <row r="1361">
      <c r="D1361" s="13"/>
      <c r="E1361" s="13"/>
      <c r="F1361" s="13"/>
    </row>
    <row r="1362">
      <c r="D1362" s="13"/>
      <c r="E1362" s="13"/>
      <c r="F1362" s="13"/>
    </row>
    <row r="1363">
      <c r="D1363" s="13"/>
      <c r="E1363" s="13"/>
      <c r="F1363" s="13"/>
    </row>
    <row r="1364">
      <c r="D1364" s="13"/>
      <c r="E1364" s="13"/>
      <c r="F1364" s="13"/>
    </row>
    <row r="1365">
      <c r="D1365" s="13"/>
      <c r="E1365" s="13"/>
      <c r="F1365" s="13"/>
    </row>
    <row r="1366">
      <c r="D1366" s="13"/>
      <c r="E1366" s="13"/>
      <c r="F1366" s="13"/>
    </row>
    <row r="1367">
      <c r="D1367" s="13"/>
      <c r="E1367" s="13"/>
      <c r="F1367" s="13"/>
    </row>
    <row r="1368">
      <c r="D1368" s="13"/>
      <c r="E1368" s="13"/>
      <c r="F1368" s="13"/>
    </row>
    <row r="1369">
      <c r="D1369" s="13"/>
      <c r="E1369" s="13"/>
      <c r="F1369" s="13"/>
    </row>
    <row r="1370">
      <c r="D1370" s="13"/>
      <c r="E1370" s="13"/>
      <c r="F1370" s="13"/>
    </row>
    <row r="1371">
      <c r="D1371" s="13"/>
      <c r="E1371" s="13"/>
      <c r="F1371" s="13"/>
    </row>
    <row r="1372">
      <c r="D1372" s="13"/>
      <c r="E1372" s="13"/>
      <c r="F1372" s="13"/>
    </row>
    <row r="1373">
      <c r="D1373" s="13"/>
      <c r="E1373" s="13"/>
      <c r="F1373" s="13"/>
    </row>
    <row r="1374">
      <c r="D1374" s="13"/>
      <c r="E1374" s="13"/>
      <c r="F1374" s="13"/>
    </row>
    <row r="1375">
      <c r="D1375" s="13"/>
      <c r="E1375" s="13"/>
      <c r="F1375" s="13"/>
    </row>
    <row r="1376">
      <c r="D1376" s="13"/>
      <c r="E1376" s="13"/>
      <c r="F1376" s="13"/>
    </row>
    <row r="1377">
      <c r="D1377" s="13"/>
      <c r="E1377" s="13"/>
      <c r="F1377" s="13"/>
    </row>
    <row r="1378">
      <c r="D1378" s="13"/>
      <c r="E1378" s="13"/>
      <c r="F1378" s="13"/>
    </row>
    <row r="1379">
      <c r="D1379" s="13"/>
      <c r="E1379" s="13"/>
      <c r="F1379" s="13"/>
    </row>
    <row r="1380">
      <c r="D1380" s="13"/>
      <c r="E1380" s="13"/>
      <c r="F1380" s="13"/>
    </row>
    <row r="1381">
      <c r="D1381" s="13"/>
      <c r="E1381" s="13"/>
      <c r="F1381" s="13"/>
    </row>
    <row r="1382">
      <c r="D1382" s="13"/>
      <c r="E1382" s="13"/>
      <c r="F1382" s="13"/>
    </row>
    <row r="1383">
      <c r="D1383" s="13"/>
      <c r="E1383" s="13"/>
      <c r="F1383" s="13"/>
    </row>
    <row r="1384">
      <c r="D1384" s="13"/>
      <c r="E1384" s="13"/>
      <c r="F1384" s="13"/>
    </row>
    <row r="1385">
      <c r="D1385" s="13"/>
      <c r="E1385" s="13"/>
      <c r="F1385" s="13"/>
    </row>
    <row r="1386">
      <c r="D1386" s="13"/>
      <c r="E1386" s="13"/>
      <c r="F1386" s="13"/>
    </row>
    <row r="1387">
      <c r="D1387" s="13"/>
      <c r="E1387" s="13"/>
      <c r="F1387" s="13"/>
    </row>
    <row r="1388">
      <c r="D1388" s="13"/>
      <c r="E1388" s="13"/>
      <c r="F1388" s="13"/>
    </row>
    <row r="1389">
      <c r="D1389" s="13"/>
      <c r="E1389" s="13"/>
      <c r="F1389" s="13"/>
    </row>
    <row r="1390">
      <c r="D1390" s="13"/>
      <c r="E1390" s="13"/>
      <c r="F1390" s="13"/>
    </row>
    <row r="1391">
      <c r="D1391" s="13"/>
      <c r="E1391" s="13"/>
      <c r="F1391" s="13"/>
    </row>
    <row r="1392">
      <c r="D1392" s="13"/>
      <c r="E1392" s="13"/>
      <c r="F1392" s="13"/>
    </row>
    <row r="1393">
      <c r="D1393" s="13"/>
      <c r="E1393" s="13"/>
      <c r="F1393" s="13"/>
    </row>
    <row r="1394">
      <c r="D1394" s="13"/>
      <c r="E1394" s="13"/>
      <c r="F1394" s="13"/>
    </row>
    <row r="1395">
      <c r="D1395" s="13"/>
      <c r="E1395" s="13"/>
      <c r="F1395" s="13"/>
    </row>
    <row r="1396">
      <c r="D1396" s="13"/>
      <c r="E1396" s="13"/>
      <c r="F1396" s="13"/>
    </row>
    <row r="1397">
      <c r="D1397" s="13"/>
      <c r="E1397" s="13"/>
      <c r="F1397" s="13"/>
    </row>
    <row r="1398">
      <c r="D1398" s="13"/>
      <c r="E1398" s="13"/>
      <c r="F1398" s="13"/>
    </row>
    <row r="1399">
      <c r="D1399" s="13"/>
      <c r="E1399" s="13"/>
      <c r="F1399" s="13"/>
    </row>
    <row r="1400">
      <c r="D1400" s="13"/>
      <c r="E1400" s="13"/>
      <c r="F1400" s="13"/>
    </row>
    <row r="1401">
      <c r="D1401" s="13"/>
      <c r="E1401" s="13"/>
      <c r="F1401" s="13"/>
    </row>
    <row r="1402">
      <c r="D1402" s="13"/>
      <c r="E1402" s="13"/>
      <c r="F1402" s="13"/>
    </row>
    <row r="1403">
      <c r="D1403" s="13"/>
      <c r="E1403" s="13"/>
      <c r="F1403" s="13"/>
    </row>
    <row r="1404">
      <c r="D1404" s="13"/>
      <c r="E1404" s="13"/>
      <c r="F1404" s="13"/>
    </row>
    <row r="1405">
      <c r="D1405" s="13"/>
      <c r="E1405" s="13"/>
      <c r="F1405" s="13"/>
    </row>
    <row r="1406">
      <c r="D1406" s="13"/>
      <c r="E1406" s="13"/>
      <c r="F1406" s="13"/>
    </row>
    <row r="1407">
      <c r="D1407" s="13"/>
      <c r="E1407" s="13"/>
      <c r="F1407" s="13"/>
    </row>
    <row r="1408">
      <c r="D1408" s="13"/>
      <c r="E1408" s="13"/>
      <c r="F1408" s="13"/>
    </row>
    <row r="1409">
      <c r="D1409" s="13"/>
      <c r="E1409" s="13"/>
      <c r="F1409" s="13"/>
    </row>
    <row r="1410">
      <c r="D1410" s="13"/>
      <c r="E1410" s="13"/>
      <c r="F1410" s="13"/>
    </row>
    <row r="1411">
      <c r="D1411" s="13"/>
      <c r="E1411" s="13"/>
      <c r="F1411" s="13"/>
    </row>
    <row r="1412">
      <c r="D1412" s="13"/>
      <c r="E1412" s="13"/>
      <c r="F1412" s="13"/>
    </row>
    <row r="1413">
      <c r="D1413" s="13"/>
      <c r="E1413" s="13"/>
      <c r="F1413" s="13"/>
    </row>
    <row r="1414">
      <c r="D1414" s="13"/>
      <c r="E1414" s="13"/>
      <c r="F1414" s="13"/>
    </row>
    <row r="1415">
      <c r="D1415" s="13"/>
      <c r="E1415" s="13"/>
      <c r="F1415" s="13"/>
    </row>
    <row r="1416">
      <c r="D1416" s="13"/>
      <c r="E1416" s="13"/>
      <c r="F1416" s="13"/>
    </row>
    <row r="1417">
      <c r="D1417" s="13"/>
      <c r="E1417" s="13"/>
      <c r="F1417" s="13"/>
    </row>
    <row r="1418">
      <c r="D1418" s="13"/>
      <c r="E1418" s="13"/>
      <c r="F1418" s="13"/>
    </row>
    <row r="1419">
      <c r="D1419" s="13"/>
      <c r="E1419" s="13"/>
      <c r="F1419" s="13"/>
    </row>
    <row r="1420">
      <c r="D1420" s="13"/>
      <c r="E1420" s="13"/>
      <c r="F1420" s="13"/>
    </row>
    <row r="1421">
      <c r="D1421" s="13"/>
      <c r="E1421" s="13"/>
      <c r="F1421" s="13"/>
    </row>
    <row r="1422">
      <c r="D1422" s="13"/>
      <c r="E1422" s="13"/>
      <c r="F1422" s="13"/>
    </row>
    <row r="1423">
      <c r="D1423" s="13"/>
      <c r="E1423" s="13"/>
      <c r="F1423" s="13"/>
    </row>
    <row r="1424">
      <c r="D1424" s="13"/>
      <c r="E1424" s="13"/>
      <c r="F1424" s="13"/>
    </row>
    <row r="1425">
      <c r="D1425" s="13"/>
      <c r="E1425" s="13"/>
      <c r="F1425" s="13"/>
    </row>
    <row r="1426">
      <c r="D1426" s="13"/>
      <c r="E1426" s="13"/>
      <c r="F1426" s="13"/>
    </row>
    <row r="1427">
      <c r="D1427" s="13"/>
      <c r="E1427" s="13"/>
      <c r="F1427" s="13"/>
    </row>
    <row r="1428">
      <c r="D1428" s="13"/>
      <c r="E1428" s="13"/>
      <c r="F1428" s="13"/>
    </row>
    <row r="1429">
      <c r="D1429" s="13"/>
      <c r="E1429" s="13"/>
      <c r="F1429" s="13"/>
    </row>
    <row r="1430">
      <c r="D1430" s="13"/>
      <c r="E1430" s="13"/>
      <c r="F1430" s="13"/>
    </row>
    <row r="1431">
      <c r="D1431" s="13"/>
      <c r="E1431" s="13"/>
      <c r="F1431" s="13"/>
    </row>
    <row r="1432">
      <c r="D1432" s="13"/>
      <c r="E1432" s="13"/>
      <c r="F1432" s="13"/>
    </row>
    <row r="1433">
      <c r="D1433" s="13"/>
      <c r="E1433" s="13"/>
      <c r="F1433" s="13"/>
    </row>
    <row r="1434">
      <c r="D1434" s="13"/>
      <c r="E1434" s="13"/>
      <c r="F1434" s="13"/>
    </row>
    <row r="1435">
      <c r="D1435" s="13"/>
      <c r="E1435" s="13"/>
      <c r="F1435" s="13"/>
    </row>
    <row r="1436">
      <c r="D1436" s="13"/>
      <c r="E1436" s="13"/>
      <c r="F1436" s="13"/>
    </row>
    <row r="1437">
      <c r="D1437" s="13"/>
      <c r="E1437" s="13"/>
      <c r="F1437" s="13"/>
    </row>
    <row r="1438">
      <c r="D1438" s="13"/>
      <c r="E1438" s="13"/>
      <c r="F1438" s="13"/>
    </row>
    <row r="1439">
      <c r="D1439" s="13"/>
      <c r="E1439" s="13"/>
      <c r="F1439" s="13"/>
    </row>
    <row r="1440">
      <c r="D1440" s="13"/>
      <c r="E1440" s="13"/>
      <c r="F1440" s="13"/>
    </row>
    <row r="1441">
      <c r="D1441" s="13"/>
      <c r="E1441" s="13"/>
      <c r="F1441" s="13"/>
    </row>
    <row r="1442">
      <c r="D1442" s="13"/>
      <c r="E1442" s="13"/>
      <c r="F1442" s="13"/>
    </row>
    <row r="1443">
      <c r="D1443" s="13"/>
      <c r="E1443" s="13"/>
      <c r="F1443" s="13"/>
    </row>
    <row r="1444">
      <c r="D1444" s="13"/>
      <c r="E1444" s="13"/>
      <c r="F1444" s="13"/>
    </row>
    <row r="1445">
      <c r="D1445" s="13"/>
      <c r="E1445" s="13"/>
      <c r="F1445" s="13"/>
    </row>
    <row r="1446">
      <c r="D1446" s="13"/>
      <c r="E1446" s="13"/>
      <c r="F1446" s="13"/>
    </row>
    <row r="1447">
      <c r="D1447" s="13"/>
      <c r="E1447" s="13"/>
      <c r="F1447" s="13"/>
    </row>
    <row r="1448">
      <c r="D1448" s="13"/>
      <c r="E1448" s="13"/>
      <c r="F1448" s="13"/>
    </row>
    <row r="1449">
      <c r="D1449" s="13"/>
      <c r="E1449" s="13"/>
      <c r="F1449" s="13"/>
    </row>
    <row r="1450">
      <c r="D1450" s="13"/>
      <c r="E1450" s="13"/>
      <c r="F1450" s="13"/>
    </row>
    <row r="1451">
      <c r="D1451" s="13"/>
      <c r="E1451" s="13"/>
      <c r="F1451" s="13"/>
    </row>
    <row r="1452">
      <c r="D1452" s="13"/>
      <c r="E1452" s="13"/>
      <c r="F1452" s="13"/>
    </row>
    <row r="1453">
      <c r="D1453" s="13"/>
      <c r="E1453" s="13"/>
      <c r="F1453" s="13"/>
    </row>
    <row r="1454">
      <c r="D1454" s="13"/>
      <c r="E1454" s="13"/>
      <c r="F1454" s="13"/>
    </row>
    <row r="1455">
      <c r="D1455" s="13"/>
      <c r="E1455" s="13"/>
      <c r="F1455" s="13"/>
    </row>
    <row r="1456">
      <c r="D1456" s="13"/>
      <c r="E1456" s="13"/>
      <c r="F1456" s="13"/>
    </row>
    <row r="1457">
      <c r="D1457" s="13"/>
      <c r="E1457" s="13"/>
      <c r="F1457" s="13"/>
    </row>
    <row r="1458">
      <c r="D1458" s="13"/>
      <c r="E1458" s="13"/>
      <c r="F1458" s="13"/>
    </row>
    <row r="1459">
      <c r="D1459" s="13"/>
      <c r="E1459" s="13"/>
      <c r="F1459" s="13"/>
    </row>
    <row r="1460">
      <c r="D1460" s="13"/>
      <c r="E1460" s="13"/>
      <c r="F1460" s="13"/>
    </row>
    <row r="1461">
      <c r="D1461" s="13"/>
      <c r="E1461" s="13"/>
      <c r="F1461" s="13"/>
    </row>
    <row r="1462">
      <c r="D1462" s="13"/>
      <c r="E1462" s="13"/>
      <c r="F1462" s="13"/>
    </row>
    <row r="1463">
      <c r="D1463" s="13"/>
      <c r="E1463" s="13"/>
      <c r="F1463" s="13"/>
    </row>
    <row r="1464">
      <c r="D1464" s="13"/>
      <c r="E1464" s="13"/>
      <c r="F1464" s="13"/>
    </row>
    <row r="1465">
      <c r="D1465" s="13"/>
      <c r="E1465" s="13"/>
      <c r="F1465" s="13"/>
    </row>
    <row r="1466">
      <c r="D1466" s="13"/>
      <c r="E1466" s="13"/>
      <c r="F1466" s="13"/>
    </row>
    <row r="1467">
      <c r="D1467" s="13"/>
      <c r="E1467" s="13"/>
      <c r="F1467" s="13"/>
    </row>
    <row r="1468">
      <c r="D1468" s="13"/>
      <c r="E1468" s="13"/>
      <c r="F1468" s="13"/>
    </row>
    <row r="1469">
      <c r="D1469" s="13"/>
      <c r="E1469" s="13"/>
      <c r="F1469" s="13"/>
    </row>
    <row r="1470">
      <c r="D1470" s="13"/>
      <c r="E1470" s="13"/>
      <c r="F1470" s="13"/>
    </row>
    <row r="1471">
      <c r="D1471" s="13"/>
      <c r="E1471" s="13"/>
      <c r="F1471" s="13"/>
    </row>
    <row r="1472">
      <c r="D1472" s="13"/>
      <c r="E1472" s="13"/>
      <c r="F1472" s="13"/>
    </row>
    <row r="1473">
      <c r="D1473" s="13"/>
      <c r="E1473" s="13"/>
      <c r="F1473" s="13"/>
    </row>
    <row r="1474">
      <c r="D1474" s="13"/>
      <c r="E1474" s="13"/>
      <c r="F1474" s="13"/>
    </row>
    <row r="1475">
      <c r="D1475" s="13"/>
      <c r="E1475" s="13"/>
      <c r="F1475" s="13"/>
    </row>
    <row r="1476">
      <c r="D1476" s="13"/>
      <c r="E1476" s="13"/>
      <c r="F1476" s="13"/>
    </row>
    <row r="1477">
      <c r="D1477" s="13"/>
      <c r="E1477" s="13"/>
      <c r="F1477" s="13"/>
    </row>
    <row r="1478">
      <c r="D1478" s="13"/>
      <c r="E1478" s="13"/>
      <c r="F1478" s="13"/>
    </row>
    <row r="1479">
      <c r="D1479" s="13"/>
      <c r="E1479" s="13"/>
      <c r="F1479" s="13"/>
    </row>
    <row r="1480">
      <c r="D1480" s="13"/>
      <c r="E1480" s="13"/>
      <c r="F1480" s="13"/>
    </row>
    <row r="1481">
      <c r="D1481" s="13"/>
      <c r="E1481" s="13"/>
      <c r="F1481" s="13"/>
    </row>
    <row r="1482">
      <c r="D1482" s="13"/>
      <c r="E1482" s="13"/>
      <c r="F1482" s="13"/>
    </row>
    <row r="1483">
      <c r="D1483" s="13"/>
      <c r="E1483" s="13"/>
      <c r="F1483" s="13"/>
    </row>
    <row r="1484">
      <c r="D1484" s="13"/>
      <c r="E1484" s="13"/>
      <c r="F1484" s="13"/>
    </row>
    <row r="1485">
      <c r="D1485" s="13"/>
      <c r="E1485" s="13"/>
      <c r="F1485" s="13"/>
    </row>
    <row r="1486">
      <c r="D1486" s="13"/>
      <c r="E1486" s="13"/>
      <c r="F1486" s="13"/>
    </row>
    <row r="1487">
      <c r="D1487" s="13"/>
      <c r="E1487" s="13"/>
      <c r="F1487" s="13"/>
    </row>
    <row r="1488">
      <c r="D1488" s="13"/>
      <c r="E1488" s="13"/>
      <c r="F1488" s="13"/>
    </row>
    <row r="1489">
      <c r="D1489" s="13"/>
      <c r="E1489" s="13"/>
      <c r="F1489" s="13"/>
    </row>
    <row r="1490">
      <c r="D1490" s="13"/>
      <c r="E1490" s="13"/>
      <c r="F1490" s="13"/>
    </row>
    <row r="1491">
      <c r="D1491" s="13"/>
      <c r="E1491" s="13"/>
      <c r="F1491" s="13"/>
    </row>
    <row r="1492">
      <c r="D1492" s="13"/>
      <c r="E1492" s="13"/>
      <c r="F1492" s="13"/>
    </row>
    <row r="1493">
      <c r="D1493" s="13"/>
      <c r="E1493" s="13"/>
      <c r="F1493" s="13"/>
    </row>
    <row r="1494">
      <c r="D1494" s="13"/>
      <c r="E1494" s="13"/>
      <c r="F1494" s="13"/>
    </row>
    <row r="1495">
      <c r="D1495" s="13"/>
      <c r="E1495" s="13"/>
      <c r="F1495" s="13"/>
    </row>
    <row r="1496">
      <c r="D1496" s="13"/>
      <c r="E1496" s="13"/>
      <c r="F1496" s="13"/>
    </row>
    <row r="1497">
      <c r="D1497" s="13"/>
      <c r="E1497" s="13"/>
      <c r="F1497" s="13"/>
    </row>
    <row r="1498">
      <c r="D1498" s="13"/>
      <c r="E1498" s="13"/>
      <c r="F1498" s="13"/>
    </row>
    <row r="1499">
      <c r="D1499" s="13"/>
      <c r="E1499" s="13"/>
      <c r="F1499" s="13"/>
    </row>
    <row r="1500">
      <c r="D1500" s="13"/>
      <c r="E1500" s="13"/>
      <c r="F1500" s="13"/>
    </row>
    <row r="1501">
      <c r="D1501" s="13"/>
      <c r="E1501" s="13"/>
      <c r="F1501" s="13"/>
    </row>
    <row r="1502">
      <c r="D1502" s="13"/>
      <c r="E1502" s="13"/>
      <c r="F1502" s="13"/>
    </row>
    <row r="1503">
      <c r="D1503" s="13"/>
      <c r="E1503" s="13"/>
      <c r="F1503" s="13"/>
    </row>
    <row r="1504">
      <c r="D1504" s="13"/>
      <c r="E1504" s="13"/>
      <c r="F1504" s="13"/>
    </row>
    <row r="1505">
      <c r="D1505" s="13"/>
      <c r="E1505" s="13"/>
      <c r="F1505" s="13"/>
    </row>
    <row r="1506">
      <c r="D1506" s="13"/>
      <c r="E1506" s="13"/>
      <c r="F1506" s="13"/>
    </row>
    <row r="1507">
      <c r="D1507" s="13"/>
      <c r="E1507" s="13"/>
      <c r="F1507" s="13"/>
    </row>
    <row r="1508">
      <c r="D1508" s="13"/>
      <c r="E1508" s="13"/>
      <c r="F1508" s="13"/>
    </row>
    <row r="1509">
      <c r="D1509" s="13"/>
      <c r="E1509" s="13"/>
      <c r="F1509" s="13"/>
    </row>
    <row r="1510">
      <c r="D1510" s="13"/>
      <c r="E1510" s="13"/>
      <c r="F1510" s="13"/>
    </row>
    <row r="1511">
      <c r="D1511" s="13"/>
      <c r="E1511" s="13"/>
      <c r="F1511" s="13"/>
    </row>
    <row r="1512">
      <c r="D1512" s="13"/>
      <c r="E1512" s="13"/>
      <c r="F1512" s="13"/>
    </row>
    <row r="1513">
      <c r="D1513" s="13"/>
      <c r="E1513" s="13"/>
      <c r="F1513" s="13"/>
    </row>
    <row r="1514">
      <c r="D1514" s="13"/>
      <c r="E1514" s="13"/>
      <c r="F1514" s="13"/>
    </row>
    <row r="1515">
      <c r="D1515" s="13"/>
      <c r="E1515" s="13"/>
      <c r="F1515" s="13"/>
    </row>
    <row r="1516">
      <c r="D1516" s="13"/>
      <c r="E1516" s="13"/>
      <c r="F1516" s="13"/>
    </row>
    <row r="1517">
      <c r="D1517" s="13"/>
      <c r="E1517" s="13"/>
      <c r="F1517" s="13"/>
    </row>
    <row r="1518">
      <c r="D1518" s="13"/>
      <c r="E1518" s="13"/>
      <c r="F1518" s="13"/>
    </row>
    <row r="1519">
      <c r="D1519" s="13"/>
      <c r="E1519" s="13"/>
      <c r="F1519" s="13"/>
    </row>
    <row r="1520">
      <c r="D1520" s="13"/>
      <c r="E1520" s="13"/>
      <c r="F1520" s="13"/>
    </row>
    <row r="1521">
      <c r="D1521" s="13"/>
      <c r="E1521" s="13"/>
      <c r="F1521" s="13"/>
    </row>
    <row r="1522">
      <c r="D1522" s="13"/>
      <c r="E1522" s="13"/>
      <c r="F1522" s="13"/>
    </row>
    <row r="1523">
      <c r="D1523" s="13"/>
      <c r="E1523" s="13"/>
      <c r="F1523" s="13"/>
    </row>
    <row r="1524">
      <c r="D1524" s="13"/>
      <c r="E1524" s="13"/>
      <c r="F1524" s="13"/>
    </row>
    <row r="1525">
      <c r="D1525" s="13"/>
      <c r="E1525" s="13"/>
      <c r="F1525" s="13"/>
    </row>
    <row r="1526">
      <c r="D1526" s="13"/>
      <c r="E1526" s="13"/>
      <c r="F1526" s="13"/>
    </row>
    <row r="1527">
      <c r="D1527" s="13"/>
      <c r="E1527" s="13"/>
      <c r="F1527" s="13"/>
    </row>
    <row r="1528">
      <c r="D1528" s="13"/>
      <c r="E1528" s="13"/>
      <c r="F1528" s="13"/>
    </row>
    <row r="1529">
      <c r="D1529" s="13"/>
      <c r="E1529" s="13"/>
      <c r="F1529" s="13"/>
    </row>
    <row r="1530">
      <c r="D1530" s="13"/>
      <c r="E1530" s="13"/>
      <c r="F1530" s="13"/>
    </row>
    <row r="1531">
      <c r="D1531" s="13"/>
      <c r="E1531" s="13"/>
      <c r="F1531" s="13"/>
    </row>
    <row r="1532">
      <c r="D1532" s="13"/>
      <c r="E1532" s="13"/>
      <c r="F1532" s="13"/>
    </row>
    <row r="1533">
      <c r="D1533" s="13"/>
      <c r="E1533" s="13"/>
      <c r="F1533" s="13"/>
    </row>
    <row r="1534">
      <c r="D1534" s="13"/>
      <c r="E1534" s="13"/>
      <c r="F1534" s="13"/>
    </row>
    <row r="1535">
      <c r="D1535" s="13"/>
      <c r="E1535" s="13"/>
      <c r="F1535" s="13"/>
    </row>
    <row r="1536">
      <c r="D1536" s="13"/>
      <c r="E1536" s="13"/>
      <c r="F1536" s="13"/>
    </row>
    <row r="1537">
      <c r="D1537" s="13"/>
      <c r="E1537" s="13"/>
      <c r="F1537" s="13"/>
    </row>
    <row r="1538">
      <c r="D1538" s="13"/>
      <c r="E1538" s="13"/>
      <c r="F1538" s="13"/>
    </row>
    <row r="1539">
      <c r="D1539" s="13"/>
      <c r="E1539" s="13"/>
      <c r="F1539" s="13"/>
    </row>
    <row r="1540">
      <c r="D1540" s="13"/>
      <c r="E1540" s="13"/>
      <c r="F1540" s="13"/>
    </row>
    <row r="1541">
      <c r="D1541" s="13"/>
      <c r="E1541" s="13"/>
      <c r="F1541" s="13"/>
    </row>
    <row r="1542">
      <c r="D1542" s="13"/>
      <c r="E1542" s="13"/>
      <c r="F1542" s="13"/>
    </row>
    <row r="1543">
      <c r="D1543" s="13"/>
      <c r="E1543" s="13"/>
      <c r="F1543" s="13"/>
    </row>
    <row r="1544">
      <c r="D1544" s="13"/>
      <c r="E1544" s="13"/>
      <c r="F1544" s="13"/>
    </row>
    <row r="1545">
      <c r="D1545" s="13"/>
      <c r="E1545" s="13"/>
      <c r="F1545" s="13"/>
    </row>
    <row r="1546">
      <c r="D1546" s="13"/>
      <c r="E1546" s="13"/>
      <c r="F1546" s="13"/>
    </row>
    <row r="1547">
      <c r="D1547" s="13"/>
      <c r="E1547" s="13"/>
      <c r="F1547" s="13"/>
    </row>
    <row r="1548">
      <c r="D1548" s="13"/>
      <c r="E1548" s="13"/>
      <c r="F1548" s="13"/>
    </row>
    <row r="1549">
      <c r="D1549" s="13"/>
      <c r="E1549" s="13"/>
      <c r="F1549" s="13"/>
    </row>
    <row r="1550">
      <c r="D1550" s="13"/>
      <c r="E1550" s="13"/>
      <c r="F1550" s="13"/>
    </row>
    <row r="1551">
      <c r="D1551" s="13"/>
      <c r="E1551" s="13"/>
      <c r="F1551" s="13"/>
    </row>
    <row r="1552">
      <c r="D1552" s="13"/>
      <c r="E1552" s="13"/>
      <c r="F1552" s="13"/>
    </row>
    <row r="1553">
      <c r="D1553" s="13"/>
      <c r="E1553" s="13"/>
      <c r="F1553" s="13"/>
    </row>
    <row r="1554">
      <c r="D1554" s="13"/>
      <c r="E1554" s="13"/>
      <c r="F1554" s="13"/>
    </row>
    <row r="1555">
      <c r="D1555" s="13"/>
      <c r="E1555" s="13"/>
      <c r="F1555" s="13"/>
    </row>
    <row r="1556">
      <c r="D1556" s="13"/>
      <c r="E1556" s="13"/>
      <c r="F1556" s="13"/>
    </row>
    <row r="1557">
      <c r="D1557" s="13"/>
      <c r="E1557" s="13"/>
      <c r="F1557" s="13"/>
    </row>
    <row r="1558">
      <c r="D1558" s="13"/>
      <c r="E1558" s="13"/>
      <c r="F1558" s="13"/>
    </row>
    <row r="1559">
      <c r="D1559" s="13"/>
      <c r="E1559" s="13"/>
      <c r="F1559" s="13"/>
    </row>
    <row r="1560">
      <c r="D1560" s="13"/>
      <c r="E1560" s="13"/>
      <c r="F1560" s="13"/>
    </row>
    <row r="1561">
      <c r="D1561" s="13"/>
      <c r="E1561" s="13"/>
      <c r="F1561" s="13"/>
    </row>
    <row r="1562">
      <c r="D1562" s="13"/>
      <c r="E1562" s="13"/>
      <c r="F1562" s="13"/>
    </row>
    <row r="1563">
      <c r="D1563" s="13"/>
      <c r="E1563" s="13"/>
      <c r="F1563" s="13"/>
    </row>
    <row r="1564">
      <c r="D1564" s="13"/>
      <c r="E1564" s="13"/>
      <c r="F1564" s="13"/>
    </row>
    <row r="1565">
      <c r="D1565" s="13"/>
      <c r="E1565" s="13"/>
      <c r="F1565" s="13"/>
    </row>
    <row r="1566">
      <c r="D1566" s="13"/>
      <c r="E1566" s="13"/>
      <c r="F1566" s="13"/>
    </row>
    <row r="1567">
      <c r="D1567" s="13"/>
      <c r="E1567" s="13"/>
      <c r="F1567" s="13"/>
    </row>
    <row r="1568">
      <c r="D1568" s="13"/>
      <c r="E1568" s="13"/>
      <c r="F1568" s="13"/>
    </row>
    <row r="1569">
      <c r="D1569" s="13"/>
      <c r="E1569" s="13"/>
      <c r="F1569" s="13"/>
    </row>
    <row r="1570">
      <c r="D1570" s="13"/>
      <c r="E1570" s="13"/>
      <c r="F1570" s="13"/>
    </row>
    <row r="1571">
      <c r="D1571" s="13"/>
      <c r="E1571" s="13"/>
      <c r="F1571" s="13"/>
    </row>
    <row r="1572">
      <c r="D1572" s="13"/>
      <c r="E1572" s="13"/>
      <c r="F1572" s="13"/>
    </row>
    <row r="1573">
      <c r="D1573" s="13"/>
      <c r="E1573" s="13"/>
      <c r="F1573" s="13"/>
    </row>
    <row r="1574">
      <c r="D1574" s="13"/>
      <c r="E1574" s="13"/>
      <c r="F1574" s="13"/>
    </row>
    <row r="1575">
      <c r="D1575" s="13"/>
      <c r="E1575" s="13"/>
      <c r="F1575" s="13"/>
    </row>
    <row r="1576">
      <c r="D1576" s="13"/>
      <c r="E1576" s="13"/>
      <c r="F1576" s="13"/>
    </row>
    <row r="1577">
      <c r="D1577" s="13"/>
      <c r="E1577" s="13"/>
      <c r="F1577" s="13"/>
    </row>
    <row r="1578">
      <c r="D1578" s="13"/>
      <c r="E1578" s="13"/>
      <c r="F1578" s="13"/>
    </row>
    <row r="1579">
      <c r="D1579" s="13"/>
      <c r="E1579" s="13"/>
      <c r="F1579" s="13"/>
    </row>
    <row r="1580">
      <c r="D1580" s="13"/>
      <c r="E1580" s="13"/>
      <c r="F1580" s="13"/>
    </row>
    <row r="1581">
      <c r="D1581" s="13"/>
      <c r="E1581" s="13"/>
      <c r="F1581" s="13"/>
    </row>
    <row r="1582">
      <c r="D1582" s="13"/>
      <c r="E1582" s="13"/>
      <c r="F1582" s="13"/>
    </row>
    <row r="1583">
      <c r="D1583" s="13"/>
      <c r="E1583" s="13"/>
      <c r="F1583" s="13"/>
    </row>
    <row r="1584">
      <c r="D1584" s="13"/>
      <c r="E1584" s="13"/>
      <c r="F1584" s="13"/>
    </row>
    <row r="1585">
      <c r="D1585" s="13"/>
      <c r="E1585" s="13"/>
      <c r="F1585" s="13"/>
    </row>
    <row r="1586">
      <c r="D1586" s="13"/>
      <c r="E1586" s="13"/>
      <c r="F1586" s="13"/>
    </row>
    <row r="1587">
      <c r="D1587" s="13"/>
      <c r="E1587" s="13"/>
      <c r="F1587" s="13"/>
    </row>
    <row r="1588">
      <c r="D1588" s="13"/>
      <c r="E1588" s="13"/>
      <c r="F1588" s="13"/>
    </row>
    <row r="1589">
      <c r="D1589" s="13"/>
      <c r="E1589" s="13"/>
      <c r="F1589" s="13"/>
    </row>
    <row r="1590">
      <c r="D1590" s="13"/>
      <c r="E1590" s="13"/>
      <c r="F1590" s="13"/>
    </row>
    <row r="1591">
      <c r="D1591" s="13"/>
      <c r="E1591" s="13"/>
      <c r="F1591" s="13"/>
    </row>
    <row r="1592">
      <c r="D1592" s="13"/>
      <c r="E1592" s="13"/>
      <c r="F1592" s="13"/>
    </row>
    <row r="1593">
      <c r="D1593" s="13"/>
      <c r="E1593" s="13"/>
      <c r="F1593" s="13"/>
    </row>
    <row r="1594">
      <c r="D1594" s="13"/>
      <c r="E1594" s="13"/>
      <c r="F1594" s="13"/>
    </row>
    <row r="1595">
      <c r="D1595" s="13"/>
      <c r="E1595" s="13"/>
      <c r="F1595" s="13"/>
    </row>
    <row r="1596">
      <c r="D1596" s="13"/>
      <c r="E1596" s="13"/>
      <c r="F1596" s="13"/>
    </row>
    <row r="1597">
      <c r="D1597" s="13"/>
      <c r="E1597" s="13"/>
      <c r="F1597" s="13"/>
    </row>
    <row r="1598">
      <c r="D1598" s="13"/>
      <c r="E1598" s="13"/>
      <c r="F1598" s="13"/>
    </row>
    <row r="1599">
      <c r="D1599" s="13"/>
      <c r="E1599" s="13"/>
      <c r="F1599" s="13"/>
    </row>
    <row r="1600">
      <c r="D1600" s="13"/>
      <c r="E1600" s="13"/>
      <c r="F1600" s="13"/>
    </row>
    <row r="1601">
      <c r="D1601" s="13"/>
      <c r="E1601" s="13"/>
      <c r="F1601" s="13"/>
    </row>
    <row r="1602">
      <c r="D1602" s="13"/>
      <c r="E1602" s="13"/>
      <c r="F1602" s="13"/>
    </row>
    <row r="1603">
      <c r="D1603" s="13"/>
      <c r="E1603" s="13"/>
      <c r="F1603" s="13"/>
    </row>
    <row r="1604">
      <c r="D1604" s="13"/>
      <c r="E1604" s="13"/>
      <c r="F1604" s="13"/>
    </row>
    <row r="1605">
      <c r="D1605" s="13"/>
      <c r="E1605" s="13"/>
      <c r="F1605" s="13"/>
    </row>
    <row r="1606">
      <c r="D1606" s="13"/>
      <c r="E1606" s="13"/>
      <c r="F1606" s="13"/>
    </row>
    <row r="1607">
      <c r="D1607" s="13"/>
      <c r="E1607" s="13"/>
      <c r="F1607" s="13"/>
    </row>
    <row r="1608">
      <c r="D1608" s="13"/>
      <c r="E1608" s="13"/>
      <c r="F1608" s="13"/>
    </row>
    <row r="1609">
      <c r="D1609" s="13"/>
      <c r="E1609" s="13"/>
      <c r="F1609" s="13"/>
    </row>
    <row r="1610">
      <c r="D1610" s="13"/>
      <c r="E1610" s="13"/>
      <c r="F1610" s="13"/>
    </row>
    <row r="1611">
      <c r="D1611" s="13"/>
      <c r="E1611" s="13"/>
      <c r="F1611" s="13"/>
    </row>
    <row r="1612">
      <c r="D1612" s="13"/>
      <c r="E1612" s="13"/>
      <c r="F1612" s="13"/>
    </row>
    <row r="1613">
      <c r="D1613" s="13"/>
      <c r="E1613" s="13"/>
      <c r="F1613" s="13"/>
    </row>
    <row r="1614">
      <c r="D1614" s="13"/>
      <c r="E1614" s="13"/>
      <c r="F1614" s="13"/>
    </row>
    <row r="1615">
      <c r="D1615" s="13"/>
      <c r="E1615" s="13"/>
      <c r="F1615" s="13"/>
    </row>
    <row r="1616">
      <c r="D1616" s="13"/>
      <c r="E1616" s="13"/>
      <c r="F1616" s="13"/>
    </row>
    <row r="1617">
      <c r="D1617" s="13"/>
      <c r="E1617" s="13"/>
      <c r="F1617" s="13"/>
    </row>
    <row r="1618">
      <c r="D1618" s="13"/>
      <c r="E1618" s="13"/>
      <c r="F1618" s="13"/>
    </row>
    <row r="1619">
      <c r="D1619" s="13"/>
      <c r="E1619" s="13"/>
      <c r="F1619" s="13"/>
    </row>
    <row r="1620">
      <c r="D1620" s="13"/>
      <c r="E1620" s="13"/>
      <c r="F1620" s="13"/>
    </row>
    <row r="1621">
      <c r="D1621" s="13"/>
      <c r="E1621" s="13"/>
      <c r="F1621" s="13"/>
    </row>
    <row r="1622">
      <c r="D1622" s="13"/>
      <c r="E1622" s="13"/>
      <c r="F1622" s="13"/>
    </row>
    <row r="1623">
      <c r="D1623" s="13"/>
      <c r="E1623" s="13"/>
      <c r="F1623" s="13"/>
    </row>
    <row r="1624">
      <c r="D1624" s="13"/>
      <c r="E1624" s="13"/>
      <c r="F1624" s="13"/>
    </row>
    <row r="1625">
      <c r="D1625" s="13"/>
      <c r="E1625" s="13"/>
      <c r="F1625" s="13"/>
    </row>
    <row r="1626">
      <c r="D1626" s="13"/>
      <c r="E1626" s="13"/>
      <c r="F1626" s="13"/>
    </row>
    <row r="1627">
      <c r="D1627" s="13"/>
      <c r="E1627" s="13"/>
      <c r="F1627" s="13"/>
    </row>
    <row r="1628">
      <c r="D1628" s="13"/>
      <c r="E1628" s="13"/>
      <c r="F1628" s="13"/>
    </row>
    <row r="1629">
      <c r="D1629" s="13"/>
      <c r="E1629" s="13"/>
      <c r="F1629" s="13"/>
    </row>
    <row r="1630">
      <c r="D1630" s="13"/>
      <c r="E1630" s="13"/>
      <c r="F1630" s="13"/>
    </row>
    <row r="1631">
      <c r="D1631" s="13"/>
      <c r="E1631" s="13"/>
      <c r="F1631" s="13"/>
    </row>
    <row r="1632">
      <c r="D1632" s="13"/>
      <c r="E1632" s="13"/>
      <c r="F1632" s="13"/>
    </row>
    <row r="1633">
      <c r="D1633" s="13"/>
      <c r="E1633" s="13"/>
      <c r="F1633" s="13"/>
    </row>
    <row r="1634">
      <c r="D1634" s="13"/>
      <c r="E1634" s="13"/>
      <c r="F1634" s="13"/>
    </row>
    <row r="1635">
      <c r="D1635" s="13"/>
      <c r="E1635" s="13"/>
      <c r="F1635" s="13"/>
    </row>
    <row r="1636">
      <c r="D1636" s="13"/>
      <c r="E1636" s="13"/>
      <c r="F1636" s="13"/>
    </row>
    <row r="1637">
      <c r="D1637" s="13"/>
      <c r="E1637" s="13"/>
      <c r="F1637" s="13"/>
    </row>
    <row r="1638">
      <c r="D1638" s="13"/>
      <c r="E1638" s="13"/>
      <c r="F1638" s="13"/>
    </row>
    <row r="1639">
      <c r="D1639" s="13"/>
      <c r="E1639" s="13"/>
      <c r="F1639" s="13"/>
    </row>
    <row r="1640">
      <c r="D1640" s="13"/>
      <c r="E1640" s="13"/>
      <c r="F1640" s="13"/>
    </row>
    <row r="1641">
      <c r="D1641" s="13"/>
      <c r="E1641" s="13"/>
      <c r="F1641" s="13"/>
    </row>
    <row r="1642">
      <c r="D1642" s="13"/>
      <c r="E1642" s="13"/>
      <c r="F1642" s="13"/>
    </row>
    <row r="1643">
      <c r="D1643" s="13"/>
      <c r="E1643" s="13"/>
      <c r="F1643" s="13"/>
    </row>
    <row r="1644">
      <c r="D1644" s="13"/>
      <c r="E1644" s="13"/>
      <c r="F1644" s="13"/>
    </row>
    <row r="1645">
      <c r="D1645" s="13"/>
      <c r="E1645" s="13"/>
      <c r="F1645" s="13"/>
    </row>
    <row r="1646">
      <c r="D1646" s="13"/>
      <c r="E1646" s="13"/>
      <c r="F1646" s="13"/>
    </row>
    <row r="1647">
      <c r="D1647" s="13"/>
      <c r="E1647" s="13"/>
      <c r="F1647" s="13"/>
    </row>
    <row r="1648">
      <c r="D1648" s="13"/>
      <c r="E1648" s="13"/>
      <c r="F1648" s="13"/>
    </row>
    <row r="1649">
      <c r="D1649" s="13"/>
      <c r="E1649" s="13"/>
      <c r="F1649" s="13"/>
    </row>
    <row r="1650">
      <c r="D1650" s="13"/>
      <c r="E1650" s="13"/>
      <c r="F1650" s="13"/>
    </row>
    <row r="1651">
      <c r="D1651" s="13"/>
      <c r="E1651" s="13"/>
      <c r="F1651" s="13"/>
    </row>
    <row r="1652">
      <c r="D1652" s="13"/>
      <c r="E1652" s="13"/>
      <c r="F1652" s="13"/>
    </row>
    <row r="1653">
      <c r="D1653" s="13"/>
      <c r="E1653" s="13"/>
      <c r="F1653" s="13"/>
    </row>
    <row r="1654">
      <c r="D1654" s="13"/>
      <c r="E1654" s="13"/>
      <c r="F1654" s="13"/>
    </row>
    <row r="1655">
      <c r="D1655" s="13"/>
      <c r="E1655" s="13"/>
      <c r="F1655" s="13"/>
    </row>
    <row r="1656">
      <c r="D1656" s="13"/>
      <c r="E1656" s="13"/>
      <c r="F1656" s="13"/>
    </row>
    <row r="1657">
      <c r="D1657" s="13"/>
      <c r="E1657" s="13"/>
      <c r="F1657" s="13"/>
    </row>
    <row r="1658">
      <c r="D1658" s="13"/>
      <c r="E1658" s="13"/>
      <c r="F1658" s="13"/>
    </row>
    <row r="1659">
      <c r="D1659" s="13"/>
      <c r="E1659" s="13"/>
      <c r="F1659" s="13"/>
    </row>
    <row r="1660">
      <c r="D1660" s="13"/>
      <c r="E1660" s="13"/>
      <c r="F1660" s="13"/>
    </row>
    <row r="1661">
      <c r="D1661" s="13"/>
      <c r="E1661" s="13"/>
      <c r="F1661" s="13"/>
    </row>
    <row r="1662">
      <c r="D1662" s="13"/>
      <c r="E1662" s="13"/>
      <c r="F1662" s="13"/>
    </row>
    <row r="1663">
      <c r="D1663" s="13"/>
      <c r="E1663" s="13"/>
      <c r="F1663" s="13"/>
    </row>
    <row r="1664">
      <c r="D1664" s="13"/>
      <c r="E1664" s="13"/>
      <c r="F1664" s="13"/>
    </row>
    <row r="1665">
      <c r="D1665" s="13"/>
      <c r="E1665" s="13"/>
      <c r="F1665" s="13"/>
    </row>
    <row r="1666">
      <c r="D1666" s="13"/>
      <c r="E1666" s="13"/>
      <c r="F1666" s="13"/>
    </row>
    <row r="1667">
      <c r="D1667" s="13"/>
      <c r="E1667" s="13"/>
      <c r="F1667" s="13"/>
    </row>
    <row r="1668">
      <c r="D1668" s="13"/>
      <c r="E1668" s="13"/>
      <c r="F1668" s="13"/>
    </row>
    <row r="1669">
      <c r="D1669" s="13"/>
      <c r="E1669" s="13"/>
      <c r="F1669" s="13"/>
    </row>
    <row r="1670">
      <c r="D1670" s="13"/>
      <c r="E1670" s="13"/>
      <c r="F1670" s="13"/>
    </row>
    <row r="1671">
      <c r="D1671" s="13"/>
      <c r="E1671" s="13"/>
      <c r="F1671" s="13"/>
    </row>
    <row r="1672">
      <c r="D1672" s="13"/>
      <c r="E1672" s="13"/>
      <c r="F1672" s="13"/>
    </row>
    <row r="1673">
      <c r="D1673" s="13"/>
      <c r="E1673" s="13"/>
      <c r="F1673" s="13"/>
    </row>
    <row r="1674">
      <c r="D1674" s="13"/>
      <c r="E1674" s="13"/>
      <c r="F1674" s="13"/>
    </row>
    <row r="1675">
      <c r="D1675" s="13"/>
      <c r="E1675" s="13"/>
      <c r="F1675" s="13"/>
    </row>
    <row r="1676">
      <c r="D1676" s="13"/>
      <c r="E1676" s="13"/>
      <c r="F1676" s="13"/>
    </row>
    <row r="1677">
      <c r="D1677" s="13"/>
      <c r="E1677" s="13"/>
      <c r="F1677" s="13"/>
    </row>
    <row r="1678">
      <c r="D1678" s="13"/>
      <c r="E1678" s="13"/>
      <c r="F1678" s="13"/>
    </row>
    <row r="1679">
      <c r="D1679" s="13"/>
      <c r="E1679" s="13"/>
      <c r="F1679" s="13"/>
    </row>
    <row r="1680">
      <c r="D1680" s="13"/>
      <c r="E1680" s="13"/>
      <c r="F1680" s="13"/>
    </row>
    <row r="1681">
      <c r="D1681" s="13"/>
      <c r="E1681" s="13"/>
      <c r="F1681" s="13"/>
    </row>
    <row r="1682">
      <c r="D1682" s="13"/>
      <c r="E1682" s="13"/>
      <c r="F1682" s="13"/>
    </row>
    <row r="1683">
      <c r="D1683" s="13"/>
      <c r="E1683" s="13"/>
      <c r="F1683" s="13"/>
    </row>
    <row r="1684">
      <c r="D1684" s="13"/>
      <c r="E1684" s="13"/>
      <c r="F1684" s="13"/>
    </row>
    <row r="1685">
      <c r="D1685" s="13"/>
      <c r="E1685" s="13"/>
      <c r="F1685" s="13"/>
    </row>
    <row r="1686">
      <c r="D1686" s="13"/>
      <c r="E1686" s="13"/>
      <c r="F1686" s="13"/>
    </row>
    <row r="1687">
      <c r="D1687" s="13"/>
      <c r="E1687" s="13"/>
      <c r="F1687" s="13"/>
    </row>
    <row r="1688">
      <c r="D1688" s="13"/>
      <c r="E1688" s="13"/>
      <c r="F1688" s="13"/>
    </row>
    <row r="1689">
      <c r="D1689" s="13"/>
      <c r="E1689" s="13"/>
      <c r="F1689" s="13"/>
    </row>
    <row r="1690">
      <c r="D1690" s="13"/>
      <c r="E1690" s="13"/>
      <c r="F1690" s="13"/>
    </row>
    <row r="1691">
      <c r="D1691" s="13"/>
      <c r="E1691" s="13"/>
      <c r="F1691" s="13"/>
    </row>
    <row r="1692">
      <c r="D1692" s="13"/>
      <c r="E1692" s="13"/>
      <c r="F1692" s="13"/>
    </row>
    <row r="1693">
      <c r="D1693" s="13"/>
      <c r="E1693" s="13"/>
      <c r="F1693" s="13"/>
    </row>
    <row r="1694">
      <c r="D1694" s="13"/>
      <c r="E1694" s="13"/>
      <c r="F1694" s="13"/>
    </row>
    <row r="1695">
      <c r="D1695" s="13"/>
      <c r="E1695" s="13"/>
      <c r="F1695" s="13"/>
    </row>
    <row r="1696">
      <c r="D1696" s="13"/>
      <c r="E1696" s="13"/>
      <c r="F1696" s="13"/>
    </row>
    <row r="1697">
      <c r="D1697" s="13"/>
      <c r="E1697" s="13"/>
      <c r="F1697" s="13"/>
    </row>
    <row r="1698">
      <c r="D1698" s="13"/>
      <c r="E1698" s="13"/>
      <c r="F1698" s="13"/>
    </row>
    <row r="1699">
      <c r="D1699" s="13"/>
      <c r="E1699" s="13"/>
      <c r="F1699" s="13"/>
    </row>
    <row r="1700">
      <c r="D1700" s="13"/>
      <c r="E1700" s="13"/>
      <c r="F1700" s="13"/>
    </row>
    <row r="1701">
      <c r="D1701" s="13"/>
      <c r="E1701" s="13"/>
      <c r="F1701" s="13"/>
    </row>
    <row r="1702">
      <c r="D1702" s="13"/>
      <c r="E1702" s="13"/>
      <c r="F1702" s="13"/>
    </row>
    <row r="1703">
      <c r="D1703" s="13"/>
      <c r="E1703" s="13"/>
      <c r="F1703" s="13"/>
    </row>
    <row r="1704">
      <c r="D1704" s="13"/>
      <c r="E1704" s="13"/>
      <c r="F1704" s="13"/>
    </row>
    <row r="1705">
      <c r="D1705" s="13"/>
      <c r="E1705" s="13"/>
      <c r="F1705" s="13"/>
    </row>
    <row r="1706">
      <c r="D1706" s="13"/>
      <c r="E1706" s="13"/>
      <c r="F1706" s="13"/>
    </row>
    <row r="1707">
      <c r="D1707" s="13"/>
      <c r="E1707" s="13"/>
      <c r="F1707" s="13"/>
    </row>
    <row r="1708">
      <c r="D1708" s="13"/>
      <c r="E1708" s="13"/>
      <c r="F1708" s="13"/>
    </row>
    <row r="1709">
      <c r="D1709" s="13"/>
      <c r="E1709" s="13"/>
      <c r="F1709" s="13"/>
    </row>
    <row r="1710">
      <c r="D1710" s="13"/>
      <c r="E1710" s="13"/>
      <c r="F1710" s="13"/>
    </row>
    <row r="1711">
      <c r="D1711" s="13"/>
      <c r="E1711" s="13"/>
      <c r="F1711" s="13"/>
    </row>
    <row r="1712">
      <c r="D1712" s="13"/>
      <c r="E1712" s="13"/>
      <c r="F1712" s="13"/>
    </row>
    <row r="1713">
      <c r="D1713" s="13"/>
      <c r="E1713" s="13"/>
      <c r="F1713" s="13"/>
    </row>
    <row r="1714">
      <c r="D1714" s="13"/>
      <c r="E1714" s="13"/>
      <c r="F1714" s="13"/>
    </row>
    <row r="1715">
      <c r="D1715" s="13"/>
      <c r="E1715" s="13"/>
      <c r="F1715" s="13"/>
    </row>
    <row r="1716">
      <c r="D1716" s="13"/>
      <c r="E1716" s="13"/>
      <c r="F1716" s="13"/>
    </row>
    <row r="1717">
      <c r="D1717" s="13"/>
      <c r="E1717" s="13"/>
      <c r="F1717" s="13"/>
    </row>
    <row r="1718">
      <c r="D1718" s="13"/>
      <c r="E1718" s="13"/>
      <c r="F1718" s="13"/>
    </row>
    <row r="1719">
      <c r="D1719" s="13"/>
      <c r="E1719" s="13"/>
      <c r="F1719" s="13"/>
    </row>
    <row r="1720">
      <c r="D1720" s="13"/>
      <c r="E1720" s="13"/>
      <c r="F1720" s="13"/>
    </row>
    <row r="1721">
      <c r="D1721" s="13"/>
      <c r="E1721" s="13"/>
      <c r="F1721" s="13"/>
    </row>
    <row r="1722">
      <c r="D1722" s="13"/>
      <c r="E1722" s="13"/>
      <c r="F1722" s="13"/>
    </row>
    <row r="1723">
      <c r="D1723" s="13"/>
      <c r="E1723" s="13"/>
      <c r="F1723" s="13"/>
    </row>
    <row r="1724">
      <c r="D1724" s="13"/>
      <c r="E1724" s="13"/>
      <c r="F1724" s="13"/>
    </row>
    <row r="1725">
      <c r="D1725" s="13"/>
      <c r="E1725" s="13"/>
      <c r="F1725" s="13"/>
    </row>
    <row r="1726">
      <c r="D1726" s="13"/>
      <c r="E1726" s="13"/>
      <c r="F1726" s="13"/>
    </row>
    <row r="1727">
      <c r="D1727" s="13"/>
      <c r="E1727" s="13"/>
      <c r="F1727" s="13"/>
    </row>
    <row r="1728">
      <c r="D1728" s="13"/>
      <c r="E1728" s="13"/>
      <c r="F1728" s="13"/>
    </row>
    <row r="1729">
      <c r="D1729" s="13"/>
      <c r="E1729" s="13"/>
      <c r="F1729" s="13"/>
    </row>
    <row r="1730">
      <c r="D1730" s="13"/>
      <c r="E1730" s="13"/>
      <c r="F1730" s="13"/>
    </row>
    <row r="1731">
      <c r="D1731" s="13"/>
      <c r="E1731" s="13"/>
      <c r="F1731" s="13"/>
    </row>
    <row r="1732">
      <c r="D1732" s="13"/>
      <c r="E1732" s="13"/>
      <c r="F1732" s="13"/>
    </row>
    <row r="1733">
      <c r="D1733" s="13"/>
      <c r="E1733" s="13"/>
      <c r="F1733" s="13"/>
    </row>
    <row r="1734">
      <c r="D1734" s="13"/>
      <c r="E1734" s="13"/>
      <c r="F1734" s="13"/>
    </row>
    <row r="1735">
      <c r="D1735" s="13"/>
      <c r="E1735" s="13"/>
      <c r="F1735" s="13"/>
    </row>
    <row r="1736">
      <c r="D1736" s="13"/>
      <c r="E1736" s="13"/>
      <c r="F1736" s="13"/>
    </row>
    <row r="1737">
      <c r="D1737" s="13"/>
      <c r="E1737" s="13"/>
      <c r="F1737" s="13"/>
    </row>
    <row r="1738">
      <c r="D1738" s="13"/>
      <c r="E1738" s="13"/>
      <c r="F1738" s="13"/>
    </row>
    <row r="1739">
      <c r="D1739" s="13"/>
      <c r="E1739" s="13"/>
      <c r="F1739" s="13"/>
    </row>
    <row r="1740">
      <c r="D1740" s="13"/>
      <c r="E1740" s="13"/>
      <c r="F1740" s="13"/>
    </row>
    <row r="1741">
      <c r="D1741" s="13"/>
      <c r="E1741" s="13"/>
      <c r="F1741" s="13"/>
    </row>
    <row r="1742">
      <c r="D1742" s="13"/>
      <c r="E1742" s="13"/>
      <c r="F1742" s="13"/>
    </row>
    <row r="1743">
      <c r="D1743" s="13"/>
      <c r="E1743" s="13"/>
      <c r="F1743" s="13"/>
    </row>
    <row r="1744">
      <c r="D1744" s="13"/>
      <c r="E1744" s="13"/>
      <c r="F1744" s="13"/>
    </row>
    <row r="1745">
      <c r="D1745" s="13"/>
      <c r="E1745" s="13"/>
      <c r="F1745" s="13"/>
    </row>
    <row r="1746">
      <c r="D1746" s="13"/>
      <c r="E1746" s="13"/>
      <c r="F1746" s="13"/>
    </row>
    <row r="1747">
      <c r="D1747" s="13"/>
      <c r="E1747" s="13"/>
      <c r="F1747" s="13"/>
    </row>
    <row r="1748">
      <c r="D1748" s="13"/>
      <c r="E1748" s="13"/>
      <c r="F1748" s="13"/>
    </row>
    <row r="1749">
      <c r="D1749" s="13"/>
      <c r="E1749" s="13"/>
      <c r="F1749" s="13"/>
    </row>
    <row r="1750">
      <c r="D1750" s="13"/>
      <c r="E1750" s="13"/>
      <c r="F1750" s="13"/>
    </row>
    <row r="1751">
      <c r="D1751" s="13"/>
      <c r="E1751" s="13"/>
      <c r="F1751" s="13"/>
    </row>
    <row r="1752">
      <c r="D1752" s="13"/>
      <c r="E1752" s="13"/>
      <c r="F1752" s="13"/>
    </row>
    <row r="1753">
      <c r="D1753" s="13"/>
      <c r="E1753" s="13"/>
      <c r="F1753" s="13"/>
    </row>
    <row r="1754">
      <c r="D1754" s="13"/>
      <c r="E1754" s="13"/>
      <c r="F1754" s="13"/>
    </row>
    <row r="1755">
      <c r="D1755" s="13"/>
      <c r="E1755" s="13"/>
      <c r="F1755" s="13"/>
    </row>
    <row r="1756">
      <c r="D1756" s="13"/>
      <c r="E1756" s="13"/>
      <c r="F1756" s="13"/>
    </row>
    <row r="1757">
      <c r="D1757" s="13"/>
      <c r="E1757" s="13"/>
      <c r="F1757" s="13"/>
    </row>
    <row r="1758">
      <c r="D1758" s="13"/>
      <c r="E1758" s="13"/>
      <c r="F1758" s="13"/>
    </row>
    <row r="1759">
      <c r="D1759" s="13"/>
      <c r="E1759" s="13"/>
      <c r="F1759" s="13"/>
    </row>
    <row r="1760">
      <c r="D1760" s="13"/>
      <c r="E1760" s="13"/>
      <c r="F1760" s="13"/>
    </row>
    <row r="1761">
      <c r="D1761" s="13"/>
      <c r="E1761" s="13"/>
      <c r="F1761" s="13"/>
    </row>
    <row r="1762">
      <c r="D1762" s="13"/>
      <c r="E1762" s="13"/>
      <c r="F1762" s="13"/>
    </row>
    <row r="1763">
      <c r="D1763" s="13"/>
      <c r="E1763" s="13"/>
      <c r="F1763" s="13"/>
    </row>
    <row r="1764">
      <c r="D1764" s="13"/>
      <c r="E1764" s="13"/>
      <c r="F1764" s="13"/>
    </row>
    <row r="1765">
      <c r="D1765" s="13"/>
      <c r="E1765" s="13"/>
      <c r="F1765" s="13"/>
    </row>
    <row r="1766">
      <c r="D1766" s="13"/>
      <c r="E1766" s="13"/>
      <c r="F1766" s="13"/>
    </row>
    <row r="1767">
      <c r="D1767" s="13"/>
      <c r="E1767" s="13"/>
      <c r="F1767" s="13"/>
    </row>
    <row r="1768">
      <c r="D1768" s="13"/>
      <c r="E1768" s="13"/>
      <c r="F1768" s="13"/>
    </row>
    <row r="1769">
      <c r="D1769" s="13"/>
      <c r="E1769" s="13"/>
      <c r="F1769" s="13"/>
    </row>
    <row r="1770">
      <c r="D1770" s="13"/>
      <c r="E1770" s="13"/>
      <c r="F1770" s="13"/>
    </row>
    <row r="1771">
      <c r="D1771" s="13"/>
      <c r="E1771" s="13"/>
      <c r="F1771" s="13"/>
    </row>
    <row r="1772">
      <c r="D1772" s="13"/>
      <c r="E1772" s="13"/>
      <c r="F1772" s="13"/>
    </row>
    <row r="1773">
      <c r="D1773" s="13"/>
      <c r="E1773" s="13"/>
      <c r="F1773" s="13"/>
    </row>
    <row r="1774">
      <c r="D1774" s="13"/>
      <c r="E1774" s="13"/>
      <c r="F1774" s="13"/>
    </row>
    <row r="1775">
      <c r="D1775" s="13"/>
      <c r="E1775" s="13"/>
      <c r="F1775" s="13"/>
    </row>
    <row r="1776">
      <c r="D1776" s="13"/>
      <c r="E1776" s="13"/>
      <c r="F1776" s="13"/>
    </row>
    <row r="1777">
      <c r="D1777" s="13"/>
      <c r="E1777" s="13"/>
      <c r="F1777" s="13"/>
    </row>
    <row r="1778">
      <c r="D1778" s="13"/>
      <c r="E1778" s="13"/>
      <c r="F1778" s="13"/>
    </row>
    <row r="1779">
      <c r="D1779" s="13"/>
      <c r="E1779" s="13"/>
      <c r="F1779" s="13"/>
    </row>
    <row r="1780">
      <c r="D1780" s="13"/>
      <c r="E1780" s="13"/>
      <c r="F1780" s="13"/>
    </row>
    <row r="1781">
      <c r="D1781" s="13"/>
      <c r="E1781" s="13"/>
      <c r="F1781" s="13"/>
    </row>
    <row r="1782">
      <c r="D1782" s="13"/>
      <c r="E1782" s="13"/>
      <c r="F1782" s="13"/>
    </row>
    <row r="1783">
      <c r="D1783" s="13"/>
      <c r="E1783" s="13"/>
      <c r="F1783" s="13"/>
    </row>
    <row r="1784">
      <c r="D1784" s="13"/>
      <c r="E1784" s="13"/>
      <c r="F1784" s="13"/>
    </row>
    <row r="1785">
      <c r="D1785" s="13"/>
      <c r="E1785" s="13"/>
      <c r="F1785" s="13"/>
    </row>
    <row r="1786">
      <c r="D1786" s="13"/>
      <c r="E1786" s="13"/>
      <c r="F1786" s="13"/>
    </row>
    <row r="1787">
      <c r="D1787" s="13"/>
      <c r="E1787" s="13"/>
      <c r="F1787" s="13"/>
    </row>
    <row r="1788">
      <c r="D1788" s="13"/>
      <c r="E1788" s="13"/>
      <c r="F1788" s="13"/>
    </row>
    <row r="1789">
      <c r="D1789" s="13"/>
      <c r="E1789" s="13"/>
      <c r="F1789" s="13"/>
    </row>
    <row r="1790">
      <c r="D1790" s="13"/>
      <c r="E1790" s="13"/>
      <c r="F1790" s="13"/>
    </row>
    <row r="1791">
      <c r="D1791" s="13"/>
      <c r="E1791" s="13"/>
      <c r="F1791" s="13"/>
    </row>
    <row r="1792">
      <c r="D1792" s="13"/>
      <c r="E1792" s="13"/>
      <c r="F1792" s="13"/>
    </row>
    <row r="1793">
      <c r="D1793" s="13"/>
      <c r="E1793" s="13"/>
      <c r="F1793" s="13"/>
    </row>
    <row r="1794">
      <c r="D1794" s="13"/>
      <c r="E1794" s="13"/>
      <c r="F1794" s="13"/>
    </row>
    <row r="1795">
      <c r="D1795" s="13"/>
      <c r="E1795" s="13"/>
      <c r="F1795" s="13"/>
    </row>
    <row r="1796">
      <c r="D1796" s="13"/>
      <c r="E1796" s="13"/>
      <c r="F1796" s="13"/>
    </row>
    <row r="1797">
      <c r="D1797" s="13"/>
      <c r="E1797" s="13"/>
      <c r="F1797" s="13"/>
    </row>
    <row r="1798">
      <c r="D1798" s="13"/>
      <c r="E1798" s="13"/>
      <c r="F1798" s="13"/>
    </row>
    <row r="1799">
      <c r="D1799" s="13"/>
      <c r="E1799" s="13"/>
      <c r="F1799" s="13"/>
    </row>
    <row r="1800">
      <c r="D1800" s="13"/>
      <c r="E1800" s="13"/>
      <c r="F1800" s="13"/>
    </row>
    <row r="1801">
      <c r="D1801" s="13"/>
      <c r="E1801" s="13"/>
      <c r="F1801" s="13"/>
    </row>
    <row r="1802">
      <c r="D1802" s="13"/>
      <c r="E1802" s="13"/>
      <c r="F1802" s="13"/>
    </row>
    <row r="1803">
      <c r="D1803" s="13"/>
      <c r="E1803" s="13"/>
      <c r="F1803" s="13"/>
    </row>
    <row r="1804">
      <c r="D1804" s="13"/>
      <c r="E1804" s="13"/>
      <c r="F1804" s="13"/>
    </row>
    <row r="1805">
      <c r="D1805" s="13"/>
      <c r="E1805" s="13"/>
      <c r="F1805" s="13"/>
    </row>
    <row r="1806">
      <c r="D1806" s="13"/>
      <c r="E1806" s="13"/>
      <c r="F1806" s="13"/>
    </row>
    <row r="1807">
      <c r="D1807" s="13"/>
      <c r="E1807" s="13"/>
      <c r="F1807" s="13"/>
    </row>
    <row r="1808">
      <c r="D1808" s="13"/>
      <c r="E1808" s="13"/>
      <c r="F1808" s="13"/>
    </row>
    <row r="1809">
      <c r="D1809" s="13"/>
      <c r="E1809" s="13"/>
      <c r="F1809" s="13"/>
    </row>
    <row r="1810">
      <c r="D1810" s="13"/>
      <c r="E1810" s="13"/>
      <c r="F1810" s="13"/>
    </row>
    <row r="1811">
      <c r="D1811" s="13"/>
      <c r="E1811" s="13"/>
      <c r="F1811" s="13"/>
    </row>
    <row r="1812">
      <c r="D1812" s="13"/>
      <c r="E1812" s="13"/>
      <c r="F1812" s="13"/>
    </row>
    <row r="1813">
      <c r="D1813" s="13"/>
      <c r="E1813" s="13"/>
      <c r="F1813" s="13"/>
    </row>
    <row r="1814">
      <c r="D1814" s="13"/>
      <c r="E1814" s="13"/>
      <c r="F1814" s="13"/>
    </row>
    <row r="1815">
      <c r="D1815" s="13"/>
      <c r="E1815" s="13"/>
      <c r="F1815" s="13"/>
    </row>
    <row r="1816">
      <c r="D1816" s="13"/>
      <c r="E1816" s="13"/>
      <c r="F1816" s="13"/>
    </row>
    <row r="1817">
      <c r="D1817" s="13"/>
      <c r="E1817" s="13"/>
      <c r="F1817" s="13"/>
    </row>
    <row r="1818">
      <c r="D1818" s="13"/>
      <c r="E1818" s="13"/>
      <c r="F1818" s="13"/>
    </row>
    <row r="1819">
      <c r="D1819" s="13"/>
      <c r="E1819" s="13"/>
      <c r="F1819" s="13"/>
    </row>
    <row r="1820">
      <c r="D1820" s="13"/>
      <c r="E1820" s="13"/>
      <c r="F1820" s="13"/>
    </row>
    <row r="1821">
      <c r="D1821" s="13"/>
      <c r="E1821" s="13"/>
      <c r="F1821" s="13"/>
    </row>
    <row r="1822">
      <c r="D1822" s="13"/>
      <c r="E1822" s="13"/>
      <c r="F1822" s="13"/>
    </row>
    <row r="1823">
      <c r="D1823" s="13"/>
      <c r="E1823" s="13"/>
      <c r="F1823" s="13"/>
    </row>
    <row r="1824">
      <c r="D1824" s="13"/>
      <c r="E1824" s="13"/>
      <c r="F1824" s="13"/>
    </row>
    <row r="1825">
      <c r="D1825" s="13"/>
      <c r="E1825" s="13"/>
      <c r="F1825" s="13"/>
    </row>
    <row r="1826">
      <c r="D1826" s="13"/>
      <c r="E1826" s="13"/>
      <c r="F1826" s="13"/>
    </row>
    <row r="1827">
      <c r="D1827" s="13"/>
      <c r="E1827" s="13"/>
      <c r="F1827" s="13"/>
    </row>
    <row r="1828">
      <c r="D1828" s="13"/>
      <c r="E1828" s="13"/>
      <c r="F1828" s="13"/>
    </row>
    <row r="1829">
      <c r="D1829" s="13"/>
      <c r="E1829" s="13"/>
      <c r="F1829" s="13"/>
    </row>
    <row r="1830">
      <c r="D1830" s="13"/>
      <c r="E1830" s="13"/>
      <c r="F1830" s="13"/>
    </row>
    <row r="1831">
      <c r="D1831" s="13"/>
      <c r="E1831" s="13"/>
      <c r="F1831" s="13"/>
    </row>
    <row r="1832">
      <c r="D1832" s="13"/>
      <c r="E1832" s="13"/>
      <c r="F1832" s="13"/>
    </row>
    <row r="1833">
      <c r="D1833" s="13"/>
      <c r="E1833" s="13"/>
      <c r="F1833" s="13"/>
    </row>
    <row r="1834">
      <c r="D1834" s="13"/>
      <c r="E1834" s="13"/>
      <c r="F1834" s="13"/>
    </row>
    <row r="1835">
      <c r="D1835" s="13"/>
      <c r="E1835" s="13"/>
      <c r="F1835" s="13"/>
    </row>
    <row r="1836">
      <c r="D1836" s="13"/>
      <c r="E1836" s="13"/>
      <c r="F1836" s="13"/>
    </row>
    <row r="1837">
      <c r="D1837" s="13"/>
      <c r="E1837" s="13"/>
      <c r="F1837" s="13"/>
    </row>
    <row r="1838">
      <c r="D1838" s="13"/>
      <c r="E1838" s="13"/>
      <c r="F1838" s="13"/>
    </row>
    <row r="1839">
      <c r="D1839" s="13"/>
      <c r="E1839" s="13"/>
      <c r="F1839" s="13"/>
    </row>
    <row r="1840">
      <c r="D1840" s="13"/>
      <c r="E1840" s="13"/>
      <c r="F1840" s="13"/>
    </row>
    <row r="1841">
      <c r="D1841" s="13"/>
      <c r="E1841" s="13"/>
      <c r="F1841" s="13"/>
    </row>
    <row r="1842">
      <c r="D1842" s="13"/>
      <c r="E1842" s="13"/>
      <c r="F1842" s="13"/>
    </row>
    <row r="1843">
      <c r="D1843" s="13"/>
      <c r="E1843" s="13"/>
      <c r="F1843" s="13"/>
    </row>
    <row r="1844">
      <c r="D1844" s="13"/>
      <c r="E1844" s="13"/>
      <c r="F1844" s="13"/>
    </row>
    <row r="1845">
      <c r="D1845" s="13"/>
      <c r="E1845" s="13"/>
      <c r="F1845" s="13"/>
    </row>
    <row r="1846">
      <c r="D1846" s="13"/>
      <c r="E1846" s="13"/>
      <c r="F1846" s="13"/>
    </row>
    <row r="1847">
      <c r="D1847" s="13"/>
      <c r="E1847" s="13"/>
      <c r="F1847" s="13"/>
    </row>
    <row r="1848">
      <c r="D1848" s="13"/>
      <c r="E1848" s="13"/>
      <c r="F1848" s="13"/>
    </row>
    <row r="1849">
      <c r="D1849" s="13"/>
      <c r="E1849" s="13"/>
      <c r="F1849" s="13"/>
    </row>
    <row r="1850">
      <c r="D1850" s="13"/>
      <c r="E1850" s="13"/>
      <c r="F1850" s="13"/>
    </row>
    <row r="1851">
      <c r="D1851" s="13"/>
      <c r="E1851" s="13"/>
      <c r="F1851" s="13"/>
    </row>
    <row r="1852">
      <c r="D1852" s="13"/>
      <c r="E1852" s="13"/>
      <c r="F1852" s="13"/>
    </row>
    <row r="1853">
      <c r="D1853" s="13"/>
      <c r="E1853" s="13"/>
      <c r="F1853" s="13"/>
    </row>
    <row r="1854">
      <c r="D1854" s="13"/>
      <c r="E1854" s="13"/>
      <c r="F1854" s="13"/>
    </row>
    <row r="1855">
      <c r="D1855" s="13"/>
      <c r="E1855" s="13"/>
      <c r="F1855" s="13"/>
    </row>
    <row r="1856">
      <c r="D1856" s="13"/>
      <c r="E1856" s="13"/>
      <c r="F1856" s="13"/>
    </row>
    <row r="1857">
      <c r="D1857" s="13"/>
      <c r="E1857" s="13"/>
      <c r="F1857" s="13"/>
    </row>
    <row r="1858">
      <c r="D1858" s="13"/>
      <c r="E1858" s="13"/>
      <c r="F1858" s="13"/>
    </row>
    <row r="1859">
      <c r="D1859" s="13"/>
      <c r="E1859" s="13"/>
      <c r="F1859" s="13"/>
    </row>
    <row r="1860">
      <c r="D1860" s="13"/>
      <c r="E1860" s="13"/>
      <c r="F1860" s="13"/>
    </row>
    <row r="1861">
      <c r="D1861" s="13"/>
      <c r="E1861" s="13"/>
      <c r="F1861" s="13"/>
    </row>
    <row r="1862">
      <c r="D1862" s="13"/>
      <c r="E1862" s="13"/>
      <c r="F1862" s="13"/>
    </row>
    <row r="1863">
      <c r="D1863" s="13"/>
      <c r="E1863" s="13"/>
      <c r="F1863" s="13"/>
    </row>
    <row r="1864">
      <c r="D1864" s="13"/>
      <c r="E1864" s="13"/>
      <c r="F1864" s="13"/>
    </row>
    <row r="1865">
      <c r="D1865" s="13"/>
      <c r="E1865" s="13"/>
      <c r="F1865" s="13"/>
    </row>
    <row r="1866">
      <c r="D1866" s="13"/>
      <c r="E1866" s="13"/>
      <c r="F1866" s="13"/>
    </row>
    <row r="1867">
      <c r="D1867" s="13"/>
      <c r="E1867" s="13"/>
      <c r="F1867" s="13"/>
    </row>
    <row r="1868">
      <c r="D1868" s="13"/>
      <c r="E1868" s="13"/>
      <c r="F1868" s="13"/>
    </row>
    <row r="1869">
      <c r="D1869" s="13"/>
      <c r="E1869" s="13"/>
      <c r="F1869" s="13"/>
    </row>
    <row r="1870">
      <c r="D1870" s="13"/>
      <c r="E1870" s="13"/>
      <c r="F1870" s="13"/>
    </row>
    <row r="1871">
      <c r="D1871" s="13"/>
      <c r="E1871" s="13"/>
      <c r="F1871" s="13"/>
    </row>
    <row r="1872">
      <c r="D1872" s="13"/>
      <c r="E1872" s="13"/>
      <c r="F1872" s="13"/>
    </row>
    <row r="1873">
      <c r="D1873" s="13"/>
      <c r="E1873" s="13"/>
      <c r="F1873" s="13"/>
    </row>
    <row r="1874">
      <c r="D1874" s="13"/>
      <c r="E1874" s="13"/>
      <c r="F1874" s="13"/>
    </row>
    <row r="1875">
      <c r="D1875" s="13"/>
      <c r="E1875" s="13"/>
      <c r="F1875" s="13"/>
    </row>
    <row r="1876">
      <c r="D1876" s="13"/>
      <c r="E1876" s="13"/>
      <c r="F1876" s="13"/>
    </row>
    <row r="1877">
      <c r="D1877" s="13"/>
      <c r="E1877" s="13"/>
      <c r="F1877" s="13"/>
    </row>
    <row r="1878">
      <c r="D1878" s="13"/>
      <c r="E1878" s="13"/>
      <c r="F1878" s="13"/>
    </row>
    <row r="1879">
      <c r="D1879" s="13"/>
      <c r="E1879" s="13"/>
      <c r="F1879" s="13"/>
    </row>
    <row r="1880">
      <c r="D1880" s="13"/>
      <c r="E1880" s="13"/>
      <c r="F1880" s="13"/>
    </row>
    <row r="1881">
      <c r="D1881" s="13"/>
      <c r="E1881" s="13"/>
      <c r="F1881" s="13"/>
    </row>
    <row r="1882">
      <c r="D1882" s="13"/>
      <c r="E1882" s="13"/>
      <c r="F1882" s="13"/>
    </row>
    <row r="1883">
      <c r="D1883" s="13"/>
      <c r="E1883" s="13"/>
      <c r="F1883" s="13"/>
    </row>
    <row r="1884">
      <c r="D1884" s="13"/>
      <c r="E1884" s="13"/>
      <c r="F1884" s="13"/>
    </row>
    <row r="1885">
      <c r="D1885" s="13"/>
      <c r="E1885" s="13"/>
      <c r="F1885" s="13"/>
    </row>
    <row r="1886">
      <c r="D1886" s="13"/>
      <c r="E1886" s="13"/>
      <c r="F1886" s="13"/>
    </row>
    <row r="1887">
      <c r="D1887" s="13"/>
      <c r="E1887" s="13"/>
      <c r="F1887" s="13"/>
    </row>
    <row r="1888">
      <c r="D1888" s="13"/>
      <c r="E1888" s="13"/>
      <c r="F1888" s="13"/>
    </row>
    <row r="1889">
      <c r="D1889" s="13"/>
      <c r="E1889" s="13"/>
      <c r="F1889" s="13"/>
    </row>
    <row r="1890">
      <c r="D1890" s="13"/>
      <c r="E1890" s="13"/>
      <c r="F1890" s="13"/>
    </row>
    <row r="1891">
      <c r="D1891" s="13"/>
      <c r="E1891" s="13"/>
      <c r="F1891" s="13"/>
    </row>
    <row r="1892">
      <c r="D1892" s="13"/>
      <c r="E1892" s="13"/>
      <c r="F1892" s="13"/>
    </row>
    <row r="1893">
      <c r="D1893" s="13"/>
      <c r="E1893" s="13"/>
      <c r="F1893" s="13"/>
    </row>
    <row r="1894">
      <c r="D1894" s="13"/>
      <c r="E1894" s="13"/>
      <c r="F1894" s="13"/>
    </row>
    <row r="1895">
      <c r="D1895" s="13"/>
      <c r="E1895" s="13"/>
      <c r="F1895" s="13"/>
    </row>
    <row r="1896">
      <c r="D1896" s="13"/>
      <c r="E1896" s="13"/>
      <c r="F1896" s="13"/>
    </row>
    <row r="1897">
      <c r="D1897" s="13"/>
      <c r="E1897" s="13"/>
      <c r="F1897" s="13"/>
    </row>
    <row r="1898">
      <c r="D1898" s="13"/>
      <c r="E1898" s="13"/>
      <c r="F1898" s="13"/>
    </row>
    <row r="1899">
      <c r="D1899" s="13"/>
      <c r="E1899" s="13"/>
      <c r="F1899" s="13"/>
    </row>
    <row r="1900">
      <c r="D1900" s="13"/>
      <c r="E1900" s="13"/>
      <c r="F1900" s="13"/>
    </row>
    <row r="1901">
      <c r="D1901" s="13"/>
      <c r="E1901" s="13"/>
      <c r="F1901" s="13"/>
    </row>
    <row r="1902">
      <c r="D1902" s="13"/>
      <c r="E1902" s="13"/>
      <c r="F1902" s="13"/>
    </row>
    <row r="1903">
      <c r="D1903" s="13"/>
      <c r="E1903" s="13"/>
      <c r="F1903" s="13"/>
    </row>
    <row r="1904">
      <c r="D1904" s="13"/>
      <c r="E1904" s="13"/>
      <c r="F1904" s="13"/>
    </row>
    <row r="1905">
      <c r="D1905" s="13"/>
      <c r="E1905" s="13"/>
      <c r="F1905" s="13"/>
    </row>
    <row r="1906">
      <c r="D1906" s="13"/>
      <c r="E1906" s="13"/>
      <c r="F1906" s="13"/>
    </row>
    <row r="1907">
      <c r="D1907" s="13"/>
      <c r="E1907" s="13"/>
      <c r="F1907" s="13"/>
    </row>
    <row r="1908">
      <c r="D1908" s="13"/>
      <c r="E1908" s="13"/>
      <c r="F1908" s="13"/>
    </row>
    <row r="1909">
      <c r="D1909" s="13"/>
      <c r="E1909" s="13"/>
      <c r="F1909" s="13"/>
    </row>
    <row r="1910">
      <c r="D1910" s="13"/>
      <c r="E1910" s="13"/>
      <c r="F1910" s="13"/>
    </row>
    <row r="1911">
      <c r="D1911" s="13"/>
      <c r="E1911" s="13"/>
      <c r="F1911" s="13"/>
    </row>
    <row r="1912">
      <c r="D1912" s="13"/>
      <c r="E1912" s="13"/>
      <c r="F1912" s="13"/>
    </row>
    <row r="1913">
      <c r="D1913" s="13"/>
      <c r="E1913" s="13"/>
      <c r="F1913" s="13"/>
    </row>
    <row r="1914">
      <c r="D1914" s="13"/>
      <c r="E1914" s="13"/>
      <c r="F1914" s="13"/>
    </row>
    <row r="1915">
      <c r="D1915" s="13"/>
      <c r="E1915" s="13"/>
      <c r="F1915" s="13"/>
    </row>
    <row r="1916">
      <c r="D1916" s="13"/>
      <c r="E1916" s="13"/>
      <c r="F1916" s="13"/>
    </row>
    <row r="1917">
      <c r="D1917" s="13"/>
      <c r="E1917" s="13"/>
      <c r="F1917" s="13"/>
    </row>
    <row r="1918">
      <c r="D1918" s="13"/>
      <c r="E1918" s="13"/>
      <c r="F1918" s="13"/>
    </row>
    <row r="1919">
      <c r="D1919" s="13"/>
      <c r="E1919" s="13"/>
      <c r="F1919" s="13"/>
    </row>
    <row r="1920">
      <c r="D1920" s="13"/>
      <c r="E1920" s="13"/>
      <c r="F1920" s="13"/>
    </row>
    <row r="1921">
      <c r="D1921" s="13"/>
      <c r="E1921" s="13"/>
      <c r="F1921" s="13"/>
    </row>
    <row r="1922">
      <c r="D1922" s="13"/>
      <c r="E1922" s="13"/>
      <c r="F1922" s="13"/>
    </row>
    <row r="1923">
      <c r="D1923" s="13"/>
      <c r="E1923" s="13"/>
      <c r="F1923" s="13"/>
    </row>
    <row r="1924">
      <c r="D1924" s="13"/>
      <c r="E1924" s="13"/>
      <c r="F1924" s="13"/>
    </row>
    <row r="1925">
      <c r="D1925" s="13"/>
      <c r="E1925" s="13"/>
      <c r="F1925" s="13"/>
    </row>
    <row r="1926">
      <c r="D1926" s="13"/>
      <c r="E1926" s="13"/>
      <c r="F1926" s="13"/>
    </row>
    <row r="1927">
      <c r="D1927" s="13"/>
      <c r="E1927" s="13"/>
      <c r="F1927" s="13"/>
    </row>
    <row r="1928">
      <c r="D1928" s="13"/>
      <c r="E1928" s="13"/>
      <c r="F1928" s="13"/>
    </row>
    <row r="1929">
      <c r="D1929" s="13"/>
      <c r="E1929" s="13"/>
      <c r="F1929" s="13"/>
    </row>
    <row r="1930">
      <c r="D1930" s="13"/>
      <c r="E1930" s="13"/>
      <c r="F1930" s="13"/>
    </row>
    <row r="1931">
      <c r="D1931" s="13"/>
      <c r="E1931" s="13"/>
      <c r="F1931" s="13"/>
    </row>
    <row r="1932">
      <c r="D1932" s="13"/>
      <c r="E1932" s="13"/>
      <c r="F1932" s="13"/>
    </row>
    <row r="1933">
      <c r="D1933" s="13"/>
      <c r="E1933" s="13"/>
      <c r="F1933" s="13"/>
    </row>
    <row r="1934">
      <c r="D1934" s="13"/>
      <c r="E1934" s="13"/>
      <c r="F1934" s="13"/>
    </row>
    <row r="1935">
      <c r="D1935" s="13"/>
      <c r="E1935" s="13"/>
      <c r="F1935" s="13"/>
    </row>
    <row r="1936">
      <c r="D1936" s="13"/>
      <c r="E1936" s="13"/>
      <c r="F1936" s="13"/>
    </row>
    <row r="1937">
      <c r="D1937" s="13"/>
      <c r="E1937" s="13"/>
      <c r="F1937" s="13"/>
    </row>
    <row r="1938">
      <c r="D1938" s="13"/>
      <c r="E1938" s="13"/>
      <c r="F1938" s="13"/>
    </row>
    <row r="1939">
      <c r="D1939" s="13"/>
      <c r="E1939" s="13"/>
      <c r="F1939" s="13"/>
    </row>
    <row r="1940">
      <c r="D1940" s="13"/>
      <c r="E1940" s="13"/>
      <c r="F1940" s="13"/>
    </row>
    <row r="1941">
      <c r="D1941" s="13"/>
      <c r="E1941" s="13"/>
      <c r="F1941" s="13"/>
    </row>
    <row r="1942">
      <c r="D1942" s="13"/>
      <c r="E1942" s="13"/>
      <c r="F1942" s="13"/>
    </row>
    <row r="1943">
      <c r="D1943" s="13"/>
      <c r="E1943" s="13"/>
      <c r="F1943" s="13"/>
    </row>
    <row r="1944">
      <c r="D1944" s="13"/>
      <c r="E1944" s="13"/>
      <c r="F1944" s="13"/>
    </row>
    <row r="1945">
      <c r="D1945" s="13"/>
      <c r="E1945" s="13"/>
      <c r="F1945" s="13"/>
    </row>
    <row r="1946">
      <c r="D1946" s="13"/>
      <c r="E1946" s="13"/>
      <c r="F1946" s="13"/>
    </row>
    <row r="1947">
      <c r="D1947" s="13"/>
      <c r="E1947" s="13"/>
      <c r="F1947" s="13"/>
    </row>
    <row r="1948">
      <c r="D1948" s="13"/>
      <c r="E1948" s="13"/>
      <c r="F1948" s="13"/>
    </row>
    <row r="1949">
      <c r="D1949" s="13"/>
      <c r="E1949" s="13"/>
      <c r="F1949" s="13"/>
    </row>
    <row r="1950">
      <c r="D1950" s="13"/>
      <c r="E1950" s="13"/>
      <c r="F1950" s="13"/>
    </row>
    <row r="1951">
      <c r="D1951" s="13"/>
      <c r="E1951" s="13"/>
      <c r="F1951" s="13"/>
    </row>
    <row r="1952">
      <c r="D1952" s="13"/>
      <c r="E1952" s="13"/>
      <c r="F1952" s="13"/>
    </row>
    <row r="1953">
      <c r="D1953" s="13"/>
      <c r="E1953" s="13"/>
      <c r="F1953" s="13"/>
    </row>
    <row r="1954">
      <c r="D1954" s="13"/>
      <c r="E1954" s="13"/>
      <c r="F1954" s="13"/>
    </row>
    <row r="1955">
      <c r="D1955" s="13"/>
      <c r="E1955" s="13"/>
      <c r="F1955" s="13"/>
    </row>
    <row r="1956">
      <c r="D1956" s="13"/>
      <c r="E1956" s="13"/>
      <c r="F1956" s="13"/>
    </row>
    <row r="1957">
      <c r="D1957" s="13"/>
      <c r="E1957" s="13"/>
      <c r="F1957" s="13"/>
    </row>
    <row r="1958">
      <c r="D1958" s="13"/>
      <c r="E1958" s="13"/>
      <c r="F1958" s="13"/>
    </row>
    <row r="1959">
      <c r="D1959" s="13"/>
      <c r="E1959" s="13"/>
      <c r="F1959" s="13"/>
    </row>
    <row r="1960">
      <c r="D1960" s="13"/>
      <c r="E1960" s="13"/>
      <c r="F1960" s="13"/>
    </row>
    <row r="1961">
      <c r="D1961" s="13"/>
      <c r="E1961" s="13"/>
      <c r="F1961" s="13"/>
    </row>
    <row r="1962">
      <c r="D1962" s="13"/>
      <c r="E1962" s="13"/>
      <c r="F1962" s="13"/>
    </row>
    <row r="1963">
      <c r="D1963" s="13"/>
      <c r="E1963" s="13"/>
      <c r="F1963" s="13"/>
    </row>
    <row r="1964">
      <c r="D1964" s="13"/>
      <c r="E1964" s="13"/>
      <c r="F1964" s="13"/>
    </row>
    <row r="1965">
      <c r="D1965" s="13"/>
      <c r="E1965" s="13"/>
      <c r="F1965" s="13"/>
    </row>
    <row r="1966">
      <c r="D1966" s="13"/>
      <c r="E1966" s="13"/>
      <c r="F1966" s="13"/>
    </row>
    <row r="1967">
      <c r="D1967" s="13"/>
      <c r="E1967" s="13"/>
      <c r="F1967" s="13"/>
    </row>
    <row r="1968">
      <c r="D1968" s="13"/>
      <c r="E1968" s="13"/>
      <c r="F1968" s="13"/>
    </row>
    <row r="1969">
      <c r="D1969" s="13"/>
      <c r="E1969" s="13"/>
      <c r="F1969" s="13"/>
    </row>
    <row r="1970">
      <c r="D1970" s="13"/>
      <c r="E1970" s="13"/>
      <c r="F1970" s="13"/>
    </row>
    <row r="1971">
      <c r="D1971" s="13"/>
      <c r="E1971" s="13"/>
      <c r="F1971" s="13"/>
    </row>
    <row r="1972">
      <c r="D1972" s="13"/>
      <c r="E1972" s="13"/>
      <c r="F1972" s="13"/>
    </row>
    <row r="1973">
      <c r="D1973" s="13"/>
      <c r="E1973" s="13"/>
      <c r="F1973" s="13"/>
    </row>
    <row r="1974">
      <c r="D1974" s="13"/>
      <c r="E1974" s="13"/>
      <c r="F1974" s="13"/>
    </row>
    <row r="1975">
      <c r="D1975" s="13"/>
      <c r="E1975" s="13"/>
      <c r="F1975" s="13"/>
    </row>
    <row r="1976">
      <c r="D1976" s="13"/>
      <c r="E1976" s="13"/>
      <c r="F1976" s="13"/>
    </row>
    <row r="1977">
      <c r="D1977" s="13"/>
      <c r="E1977" s="13"/>
      <c r="F1977" s="13"/>
    </row>
    <row r="1978">
      <c r="D1978" s="13"/>
      <c r="E1978" s="13"/>
      <c r="F1978" s="13"/>
    </row>
    <row r="1979">
      <c r="D1979" s="13"/>
      <c r="E1979" s="13"/>
      <c r="F1979" s="13"/>
    </row>
    <row r="1980">
      <c r="D1980" s="13"/>
      <c r="E1980" s="13"/>
      <c r="F1980" s="13"/>
    </row>
    <row r="1981">
      <c r="D1981" s="13"/>
      <c r="E1981" s="13"/>
      <c r="F1981" s="13"/>
    </row>
    <row r="1982">
      <c r="D1982" s="13"/>
      <c r="E1982" s="13"/>
      <c r="F1982" s="13"/>
    </row>
    <row r="1983">
      <c r="D1983" s="13"/>
      <c r="E1983" s="13"/>
      <c r="F1983" s="13"/>
    </row>
    <row r="1984">
      <c r="D1984" s="13"/>
      <c r="E1984" s="13"/>
      <c r="F1984" s="13"/>
    </row>
    <row r="1985">
      <c r="D1985" s="13"/>
      <c r="E1985" s="13"/>
      <c r="F1985" s="13"/>
    </row>
    <row r="1986">
      <c r="D1986" s="13"/>
      <c r="E1986" s="13"/>
      <c r="F1986" s="13"/>
    </row>
    <row r="1987">
      <c r="D1987" s="13"/>
      <c r="E1987" s="13"/>
      <c r="F1987" s="13"/>
    </row>
    <row r="1988">
      <c r="D1988" s="13"/>
      <c r="E1988" s="13"/>
      <c r="F1988" s="13"/>
    </row>
    <row r="1989">
      <c r="D1989" s="13"/>
      <c r="E1989" s="13"/>
      <c r="F1989" s="13"/>
    </row>
    <row r="1990">
      <c r="D1990" s="13"/>
      <c r="E1990" s="13"/>
      <c r="F1990" s="13"/>
    </row>
    <row r="1991">
      <c r="D1991" s="13"/>
      <c r="E1991" s="13"/>
      <c r="F1991" s="13"/>
    </row>
    <row r="1992">
      <c r="D1992" s="13"/>
      <c r="E1992" s="13"/>
      <c r="F1992" s="13"/>
    </row>
    <row r="1993">
      <c r="D1993" s="13"/>
      <c r="E1993" s="13"/>
      <c r="F1993" s="13"/>
    </row>
    <row r="1994">
      <c r="D1994" s="13"/>
      <c r="E1994" s="13"/>
      <c r="F1994" s="13"/>
    </row>
    <row r="1995">
      <c r="D1995" s="13"/>
      <c r="E1995" s="13"/>
      <c r="F1995" s="13"/>
    </row>
    <row r="1996">
      <c r="D1996" s="13"/>
      <c r="E1996" s="13"/>
      <c r="F1996" s="13"/>
    </row>
    <row r="1997">
      <c r="D1997" s="13"/>
      <c r="E1997" s="13"/>
      <c r="F1997" s="13"/>
    </row>
    <row r="1998">
      <c r="D1998" s="13"/>
      <c r="E1998" s="13"/>
      <c r="F1998" s="13"/>
    </row>
    <row r="1999">
      <c r="D1999" s="13"/>
      <c r="E1999" s="13"/>
      <c r="F1999" s="13"/>
    </row>
    <row r="2000">
      <c r="D2000" s="13"/>
      <c r="E2000" s="13"/>
      <c r="F2000" s="13"/>
    </row>
    <row r="2001">
      <c r="D2001" s="13"/>
      <c r="E2001" s="13"/>
      <c r="F2001" s="13"/>
    </row>
    <row r="2002">
      <c r="D2002" s="13"/>
      <c r="E2002" s="13"/>
      <c r="F2002" s="13"/>
    </row>
    <row r="2003">
      <c r="D2003" s="13"/>
      <c r="E2003" s="13"/>
      <c r="F2003" s="13"/>
    </row>
    <row r="2004">
      <c r="D2004" s="13"/>
      <c r="E2004" s="13"/>
      <c r="F2004" s="13"/>
    </row>
    <row r="2005">
      <c r="D2005" s="13"/>
      <c r="E2005" s="13"/>
      <c r="F2005" s="13"/>
    </row>
    <row r="2006">
      <c r="D2006" s="13"/>
      <c r="E2006" s="13"/>
      <c r="F2006" s="13"/>
    </row>
    <row r="2007">
      <c r="D2007" s="13"/>
      <c r="E2007" s="13"/>
      <c r="F2007" s="13"/>
    </row>
    <row r="2008">
      <c r="D2008" s="13"/>
      <c r="E2008" s="13"/>
      <c r="F2008" s="13"/>
    </row>
    <row r="2009">
      <c r="D2009" s="13"/>
      <c r="E2009" s="13"/>
      <c r="F2009" s="13"/>
    </row>
    <row r="2010">
      <c r="D2010" s="13"/>
      <c r="E2010" s="13"/>
      <c r="F2010" s="13"/>
    </row>
    <row r="2011">
      <c r="D2011" s="13"/>
      <c r="E2011" s="13"/>
      <c r="F2011" s="13"/>
    </row>
    <row r="2012">
      <c r="D2012" s="13"/>
      <c r="E2012" s="13"/>
      <c r="F2012" s="13"/>
    </row>
    <row r="2013">
      <c r="D2013" s="13"/>
      <c r="E2013" s="13"/>
      <c r="F2013" s="13"/>
    </row>
    <row r="2014">
      <c r="D2014" s="13"/>
      <c r="E2014" s="13"/>
      <c r="F2014" s="13"/>
    </row>
    <row r="2015">
      <c r="D2015" s="13"/>
      <c r="E2015" s="13"/>
      <c r="F2015" s="13"/>
    </row>
    <row r="2016">
      <c r="D2016" s="13"/>
      <c r="E2016" s="13"/>
      <c r="F2016" s="13"/>
    </row>
    <row r="2017">
      <c r="D2017" s="13"/>
      <c r="E2017" s="13"/>
      <c r="F2017" s="13"/>
    </row>
    <row r="2018">
      <c r="D2018" s="13"/>
      <c r="E2018" s="13"/>
      <c r="F2018" s="13"/>
    </row>
    <row r="2019">
      <c r="D2019" s="13"/>
      <c r="E2019" s="13"/>
      <c r="F2019" s="13"/>
    </row>
    <row r="2020">
      <c r="D2020" s="13"/>
      <c r="E2020" s="13"/>
      <c r="F2020" s="13"/>
    </row>
    <row r="2021">
      <c r="D2021" s="13"/>
      <c r="E2021" s="13"/>
      <c r="F2021" s="13"/>
    </row>
    <row r="2022">
      <c r="D2022" s="13"/>
      <c r="E2022" s="13"/>
      <c r="F2022" s="13"/>
    </row>
    <row r="2023">
      <c r="D2023" s="13"/>
      <c r="E2023" s="13"/>
      <c r="F2023" s="13"/>
    </row>
    <row r="2024">
      <c r="D2024" s="13"/>
      <c r="E2024" s="13"/>
      <c r="F2024" s="13"/>
    </row>
    <row r="2025">
      <c r="D2025" s="13"/>
      <c r="E2025" s="13"/>
      <c r="F2025" s="13"/>
    </row>
    <row r="2026">
      <c r="D2026" s="13"/>
      <c r="E2026" s="13"/>
      <c r="F2026" s="13"/>
    </row>
    <row r="2027">
      <c r="D2027" s="13"/>
      <c r="E2027" s="13"/>
      <c r="F2027" s="13"/>
    </row>
    <row r="2028">
      <c r="D2028" s="13"/>
      <c r="E2028" s="13"/>
      <c r="F2028" s="13"/>
    </row>
    <row r="2029">
      <c r="D2029" s="13"/>
      <c r="E2029" s="13"/>
      <c r="F2029" s="13"/>
    </row>
    <row r="2030">
      <c r="D2030" s="13"/>
      <c r="E2030" s="13"/>
      <c r="F2030" s="13"/>
    </row>
    <row r="2031">
      <c r="D2031" s="13"/>
      <c r="E2031" s="13"/>
      <c r="F2031" s="13"/>
    </row>
    <row r="2032">
      <c r="D2032" s="13"/>
      <c r="E2032" s="13"/>
      <c r="F2032" s="13"/>
    </row>
    <row r="2033">
      <c r="D2033" s="13"/>
      <c r="E2033" s="13"/>
      <c r="F2033" s="13"/>
    </row>
    <row r="2034">
      <c r="D2034" s="13"/>
      <c r="E2034" s="13"/>
      <c r="F2034" s="13"/>
    </row>
    <row r="2035">
      <c r="D2035" s="13"/>
      <c r="E2035" s="13"/>
      <c r="F2035" s="13"/>
    </row>
    <row r="2036">
      <c r="D2036" s="13"/>
      <c r="E2036" s="13"/>
      <c r="F2036" s="13"/>
    </row>
    <row r="2037">
      <c r="D2037" s="13"/>
      <c r="E2037" s="13"/>
      <c r="F2037" s="13"/>
    </row>
    <row r="2038">
      <c r="D2038" s="13"/>
      <c r="E2038" s="13"/>
      <c r="F2038" s="13"/>
    </row>
    <row r="2039">
      <c r="D2039" s="13"/>
      <c r="E2039" s="13"/>
      <c r="F2039" s="13"/>
    </row>
    <row r="2040">
      <c r="D2040" s="13"/>
      <c r="E2040" s="13"/>
      <c r="F2040" s="13"/>
    </row>
    <row r="2041">
      <c r="D2041" s="13"/>
      <c r="E2041" s="13"/>
      <c r="F2041" s="13"/>
    </row>
    <row r="2042">
      <c r="D2042" s="13"/>
      <c r="E2042" s="13"/>
      <c r="F2042" s="13"/>
    </row>
    <row r="2043">
      <c r="D2043" s="13"/>
      <c r="E2043" s="13"/>
      <c r="F2043" s="13"/>
    </row>
    <row r="2044">
      <c r="D2044" s="13"/>
      <c r="E2044" s="13"/>
      <c r="F2044" s="13"/>
    </row>
    <row r="2045">
      <c r="D2045" s="13"/>
      <c r="E2045" s="13"/>
      <c r="F2045" s="13"/>
    </row>
    <row r="2046">
      <c r="D2046" s="13"/>
      <c r="E2046" s="13"/>
      <c r="F2046" s="13"/>
    </row>
    <row r="2047">
      <c r="D2047" s="13"/>
      <c r="E2047" s="13"/>
      <c r="F2047" s="13"/>
    </row>
    <row r="2048">
      <c r="D2048" s="13"/>
      <c r="E2048" s="13"/>
      <c r="F2048" s="13"/>
    </row>
    <row r="2049">
      <c r="D2049" s="13"/>
      <c r="E2049" s="13"/>
      <c r="F2049" s="13"/>
    </row>
    <row r="2050">
      <c r="D2050" s="13"/>
      <c r="E2050" s="13"/>
      <c r="F2050" s="13"/>
    </row>
    <row r="2051">
      <c r="D2051" s="13"/>
      <c r="E2051" s="13"/>
      <c r="F2051" s="13"/>
    </row>
    <row r="2052">
      <c r="D2052" s="13"/>
      <c r="E2052" s="13"/>
      <c r="F2052" s="13"/>
    </row>
    <row r="2053">
      <c r="D2053" s="13"/>
      <c r="E2053" s="13"/>
      <c r="F2053" s="13"/>
    </row>
    <row r="2054">
      <c r="D2054" s="13"/>
      <c r="E2054" s="13"/>
      <c r="F2054" s="13"/>
    </row>
    <row r="2055">
      <c r="D2055" s="13"/>
      <c r="E2055" s="13"/>
      <c r="F2055" s="13"/>
    </row>
    <row r="2056">
      <c r="D2056" s="13"/>
      <c r="E2056" s="13"/>
      <c r="F2056" s="13"/>
    </row>
    <row r="2057">
      <c r="D2057" s="13"/>
      <c r="E2057" s="13"/>
      <c r="F2057" s="13"/>
    </row>
    <row r="2058">
      <c r="D2058" s="13"/>
      <c r="E2058" s="13"/>
      <c r="F2058" s="13"/>
    </row>
    <row r="2059">
      <c r="D2059" s="13"/>
      <c r="E2059" s="13"/>
      <c r="F2059" s="13"/>
    </row>
    <row r="2060">
      <c r="D2060" s="13"/>
      <c r="E2060" s="13"/>
      <c r="F2060" s="13"/>
    </row>
    <row r="2061">
      <c r="D2061" s="13"/>
      <c r="E2061" s="13"/>
      <c r="F2061" s="13"/>
    </row>
    <row r="2062">
      <c r="D2062" s="13"/>
      <c r="E2062" s="13"/>
      <c r="F2062" s="13"/>
    </row>
    <row r="2063">
      <c r="D2063" s="13"/>
      <c r="E2063" s="13"/>
      <c r="F2063" s="13"/>
    </row>
    <row r="2064">
      <c r="D2064" s="13"/>
      <c r="E2064" s="13"/>
      <c r="F2064" s="13"/>
    </row>
    <row r="2065">
      <c r="D2065" s="13"/>
      <c r="E2065" s="13"/>
      <c r="F2065" s="13"/>
    </row>
    <row r="2066">
      <c r="D2066" s="13"/>
      <c r="E2066" s="13"/>
      <c r="F2066" s="13"/>
    </row>
    <row r="2067">
      <c r="D2067" s="13"/>
      <c r="E2067" s="13"/>
      <c r="F2067" s="13"/>
    </row>
    <row r="2068">
      <c r="D2068" s="13"/>
      <c r="E2068" s="13"/>
      <c r="F2068" s="13"/>
    </row>
    <row r="2069">
      <c r="D2069" s="13"/>
      <c r="E2069" s="13"/>
      <c r="F2069" s="13"/>
    </row>
    <row r="2070">
      <c r="D2070" s="13"/>
      <c r="E2070" s="13"/>
      <c r="F2070" s="13"/>
    </row>
    <row r="2071">
      <c r="D2071" s="13"/>
      <c r="E2071" s="13"/>
      <c r="F2071" s="13"/>
    </row>
    <row r="2072">
      <c r="D2072" s="13"/>
      <c r="E2072" s="13"/>
      <c r="F2072" s="13"/>
    </row>
    <row r="2073">
      <c r="D2073" s="13"/>
      <c r="E2073" s="13"/>
      <c r="F2073" s="13"/>
    </row>
    <row r="2074">
      <c r="D2074" s="13"/>
      <c r="E2074" s="13"/>
      <c r="F2074" s="13"/>
    </row>
    <row r="2075">
      <c r="D2075" s="13"/>
      <c r="E2075" s="13"/>
      <c r="F2075" s="13"/>
    </row>
    <row r="2076">
      <c r="D2076" s="13"/>
      <c r="E2076" s="13"/>
      <c r="F2076" s="13"/>
    </row>
    <row r="2077">
      <c r="D2077" s="13"/>
      <c r="E2077" s="13"/>
      <c r="F2077" s="13"/>
    </row>
    <row r="2078">
      <c r="D2078" s="13"/>
      <c r="E2078" s="13"/>
      <c r="F2078" s="13"/>
    </row>
    <row r="2079">
      <c r="D2079" s="13"/>
      <c r="E2079" s="13"/>
      <c r="F2079" s="13"/>
    </row>
    <row r="2080">
      <c r="D2080" s="13"/>
      <c r="E2080" s="13"/>
      <c r="F2080" s="13"/>
    </row>
    <row r="2081">
      <c r="D2081" s="13"/>
      <c r="E2081" s="13"/>
      <c r="F2081" s="13"/>
    </row>
    <row r="2082">
      <c r="D2082" s="13"/>
      <c r="E2082" s="13"/>
      <c r="F2082" s="13"/>
    </row>
    <row r="2083">
      <c r="D2083" s="13"/>
      <c r="E2083" s="13"/>
      <c r="F2083" s="13"/>
    </row>
    <row r="2084">
      <c r="D2084" s="13"/>
      <c r="E2084" s="13"/>
      <c r="F2084" s="13"/>
    </row>
    <row r="2085">
      <c r="D2085" s="13"/>
      <c r="E2085" s="13"/>
      <c r="F2085" s="13"/>
    </row>
    <row r="2086">
      <c r="D2086" s="13"/>
      <c r="E2086" s="13"/>
      <c r="F2086" s="13"/>
    </row>
    <row r="2087">
      <c r="D2087" s="13"/>
      <c r="E2087" s="13"/>
      <c r="F2087" s="13"/>
    </row>
    <row r="2088">
      <c r="D2088" s="13"/>
      <c r="E2088" s="13"/>
      <c r="F2088" s="13"/>
    </row>
    <row r="2089">
      <c r="D2089" s="13"/>
      <c r="E2089" s="13"/>
      <c r="F2089" s="13"/>
    </row>
    <row r="2090">
      <c r="D2090" s="13"/>
      <c r="E2090" s="13"/>
      <c r="F2090" s="13"/>
    </row>
    <row r="2091">
      <c r="D2091" s="13"/>
      <c r="E2091" s="13"/>
      <c r="F2091" s="13"/>
    </row>
    <row r="2092">
      <c r="D2092" s="13"/>
      <c r="E2092" s="13"/>
      <c r="F2092" s="13"/>
    </row>
    <row r="2093">
      <c r="D2093" s="13"/>
      <c r="E2093" s="13"/>
      <c r="F2093" s="13"/>
    </row>
    <row r="2094">
      <c r="D2094" s="13"/>
      <c r="E2094" s="13"/>
      <c r="F2094" s="13"/>
    </row>
    <row r="2095">
      <c r="D2095" s="13"/>
      <c r="E2095" s="13"/>
      <c r="F2095" s="13"/>
    </row>
    <row r="2096">
      <c r="D2096" s="13"/>
      <c r="E2096" s="13"/>
      <c r="F2096" s="13"/>
    </row>
    <row r="2097">
      <c r="D2097" s="13"/>
      <c r="E2097" s="13"/>
      <c r="F2097" s="13"/>
    </row>
    <row r="2098">
      <c r="D2098" s="13"/>
      <c r="E2098" s="13"/>
      <c r="F2098" s="13"/>
    </row>
    <row r="2099">
      <c r="D2099" s="13"/>
      <c r="E2099" s="13"/>
      <c r="F2099" s="13"/>
    </row>
    <row r="2100">
      <c r="D2100" s="13"/>
      <c r="E2100" s="13"/>
      <c r="F2100" s="13"/>
    </row>
    <row r="2101">
      <c r="D2101" s="13"/>
      <c r="E2101" s="13"/>
      <c r="F2101" s="13"/>
    </row>
    <row r="2102">
      <c r="D2102" s="13"/>
      <c r="E2102" s="13"/>
      <c r="F2102" s="13"/>
    </row>
    <row r="2103">
      <c r="D2103" s="13"/>
      <c r="E2103" s="13"/>
      <c r="F2103" s="13"/>
    </row>
    <row r="2104">
      <c r="D2104" s="13"/>
      <c r="E2104" s="13"/>
      <c r="F2104" s="13"/>
    </row>
    <row r="2105">
      <c r="D2105" s="13"/>
      <c r="E2105" s="13"/>
      <c r="F2105" s="13"/>
    </row>
    <row r="2106">
      <c r="D2106" s="13"/>
      <c r="E2106" s="13"/>
      <c r="F2106" s="13"/>
    </row>
    <row r="2107">
      <c r="D2107" s="13"/>
      <c r="E2107" s="13"/>
      <c r="F2107" s="13"/>
    </row>
    <row r="2108">
      <c r="D2108" s="13"/>
      <c r="E2108" s="13"/>
      <c r="F2108" s="13"/>
    </row>
    <row r="2109">
      <c r="D2109" s="13"/>
      <c r="E2109" s="13"/>
      <c r="F2109" s="13"/>
    </row>
    <row r="2110">
      <c r="D2110" s="13"/>
      <c r="E2110" s="13"/>
      <c r="F2110" s="13"/>
    </row>
    <row r="2111">
      <c r="D2111" s="13"/>
      <c r="E2111" s="13"/>
      <c r="F2111" s="13"/>
    </row>
    <row r="2112">
      <c r="D2112" s="13"/>
      <c r="E2112" s="13"/>
      <c r="F2112" s="13"/>
    </row>
    <row r="2113">
      <c r="D2113" s="13"/>
      <c r="E2113" s="13"/>
      <c r="F2113" s="13"/>
    </row>
    <row r="2114">
      <c r="D2114" s="13"/>
      <c r="E2114" s="13"/>
      <c r="F2114" s="13"/>
    </row>
    <row r="2115">
      <c r="D2115" s="13"/>
      <c r="E2115" s="13"/>
      <c r="F2115" s="13"/>
    </row>
    <row r="2116">
      <c r="D2116" s="13"/>
      <c r="E2116" s="13"/>
      <c r="F2116" s="13"/>
    </row>
    <row r="2117">
      <c r="D2117" s="13"/>
      <c r="E2117" s="13"/>
      <c r="F2117" s="13"/>
    </row>
    <row r="2118">
      <c r="D2118" s="13"/>
      <c r="E2118" s="13"/>
      <c r="F2118" s="13"/>
    </row>
    <row r="2119">
      <c r="D2119" s="13"/>
      <c r="E2119" s="13"/>
      <c r="F2119" s="13"/>
    </row>
    <row r="2120">
      <c r="D2120" s="13"/>
      <c r="E2120" s="13"/>
      <c r="F2120" s="13"/>
    </row>
    <row r="2121">
      <c r="D2121" s="13"/>
      <c r="E2121" s="13"/>
      <c r="F2121" s="13"/>
    </row>
    <row r="2122">
      <c r="D2122" s="13"/>
      <c r="E2122" s="13"/>
      <c r="F2122" s="13"/>
    </row>
    <row r="2123">
      <c r="D2123" s="13"/>
      <c r="E2123" s="13"/>
      <c r="F2123" s="13"/>
    </row>
    <row r="2124">
      <c r="D2124" s="13"/>
      <c r="E2124" s="13"/>
      <c r="F2124" s="13"/>
    </row>
    <row r="2125">
      <c r="D2125" s="13"/>
      <c r="E2125" s="13"/>
      <c r="F2125" s="13"/>
    </row>
    <row r="2126">
      <c r="D2126" s="13"/>
      <c r="E2126" s="13"/>
      <c r="F2126" s="13"/>
    </row>
    <row r="2127">
      <c r="D2127" s="13"/>
      <c r="E2127" s="13"/>
      <c r="F2127" s="13"/>
    </row>
    <row r="2128">
      <c r="D2128" s="13"/>
      <c r="E2128" s="13"/>
      <c r="F2128" s="13"/>
    </row>
    <row r="2129">
      <c r="D2129" s="13"/>
      <c r="E2129" s="13"/>
      <c r="F2129" s="13"/>
    </row>
    <row r="2130">
      <c r="D2130" s="13"/>
      <c r="E2130" s="13"/>
      <c r="F2130" s="13"/>
    </row>
    <row r="2131">
      <c r="D2131" s="13"/>
      <c r="E2131" s="13"/>
      <c r="F2131" s="13"/>
    </row>
    <row r="2132">
      <c r="D2132" s="13"/>
      <c r="E2132" s="13"/>
      <c r="F2132" s="13"/>
    </row>
    <row r="2133">
      <c r="D2133" s="13"/>
      <c r="E2133" s="13"/>
      <c r="F2133" s="13"/>
    </row>
    <row r="2134">
      <c r="D2134" s="13"/>
      <c r="E2134" s="13"/>
      <c r="F2134" s="13"/>
    </row>
    <row r="2135">
      <c r="D2135" s="13"/>
      <c r="E2135" s="13"/>
      <c r="F2135" s="13"/>
    </row>
    <row r="2136">
      <c r="D2136" s="13"/>
      <c r="E2136" s="13"/>
      <c r="F2136" s="13"/>
    </row>
    <row r="2137">
      <c r="D2137" s="13"/>
      <c r="E2137" s="13"/>
      <c r="F2137" s="13"/>
    </row>
    <row r="2138">
      <c r="D2138" s="13"/>
      <c r="E2138" s="13"/>
      <c r="F2138" s="13"/>
    </row>
    <row r="2139">
      <c r="D2139" s="13"/>
      <c r="E2139" s="13"/>
      <c r="F2139" s="13"/>
    </row>
    <row r="2140">
      <c r="D2140" s="13"/>
      <c r="E2140" s="13"/>
      <c r="F2140" s="13"/>
    </row>
    <row r="2141">
      <c r="D2141" s="13"/>
      <c r="E2141" s="13"/>
      <c r="F2141" s="13"/>
    </row>
    <row r="2142">
      <c r="D2142" s="13"/>
      <c r="E2142" s="13"/>
      <c r="F2142" s="13"/>
    </row>
    <row r="2143">
      <c r="D2143" s="13"/>
      <c r="E2143" s="13"/>
      <c r="F2143" s="13"/>
    </row>
    <row r="2144">
      <c r="D2144" s="13"/>
      <c r="E2144" s="13"/>
      <c r="F2144" s="13"/>
    </row>
    <row r="2145">
      <c r="D2145" s="13"/>
      <c r="E2145" s="13"/>
      <c r="F2145" s="13"/>
    </row>
    <row r="2146">
      <c r="D2146" s="13"/>
      <c r="E2146" s="13"/>
      <c r="F2146" s="13"/>
    </row>
    <row r="2147">
      <c r="D2147" s="13"/>
      <c r="E2147" s="13"/>
      <c r="F2147" s="13"/>
    </row>
    <row r="2148">
      <c r="D2148" s="13"/>
      <c r="E2148" s="13"/>
      <c r="F2148" s="13"/>
    </row>
    <row r="2149">
      <c r="D2149" s="13"/>
      <c r="E2149" s="13"/>
      <c r="F2149" s="13"/>
    </row>
    <row r="2150">
      <c r="D2150" s="13"/>
      <c r="E2150" s="13"/>
      <c r="F2150" s="13"/>
    </row>
    <row r="2151">
      <c r="D2151" s="13"/>
      <c r="E2151" s="13"/>
      <c r="F2151" s="13"/>
    </row>
    <row r="2152">
      <c r="D2152" s="13"/>
      <c r="E2152" s="13"/>
      <c r="F2152" s="13"/>
    </row>
    <row r="2153">
      <c r="D2153" s="13"/>
      <c r="E2153" s="13"/>
      <c r="F2153" s="13"/>
    </row>
    <row r="2154">
      <c r="D2154" s="13"/>
      <c r="E2154" s="13"/>
      <c r="F2154" s="13"/>
    </row>
    <row r="2155">
      <c r="D2155" s="13"/>
      <c r="E2155" s="13"/>
      <c r="F2155" s="13"/>
    </row>
    <row r="2156">
      <c r="D2156" s="13"/>
      <c r="E2156" s="13"/>
      <c r="F2156" s="13"/>
    </row>
    <row r="2157">
      <c r="D2157" s="13"/>
      <c r="E2157" s="13"/>
      <c r="F2157" s="13"/>
    </row>
    <row r="2158">
      <c r="D2158" s="13"/>
      <c r="E2158" s="13"/>
      <c r="F2158" s="13"/>
    </row>
    <row r="2159">
      <c r="D2159" s="13"/>
      <c r="E2159" s="13"/>
      <c r="F2159" s="13"/>
    </row>
    <row r="2160">
      <c r="D2160" s="13"/>
      <c r="E2160" s="13"/>
      <c r="F2160" s="13"/>
    </row>
    <row r="2161">
      <c r="D2161" s="13"/>
      <c r="E2161" s="13"/>
      <c r="F2161" s="13"/>
    </row>
    <row r="2162">
      <c r="D2162" s="13"/>
      <c r="E2162" s="13"/>
      <c r="F2162" s="13"/>
    </row>
    <row r="2163">
      <c r="D2163" s="13"/>
      <c r="E2163" s="13"/>
      <c r="F2163" s="13"/>
    </row>
    <row r="2164">
      <c r="D2164" s="13"/>
      <c r="E2164" s="13"/>
      <c r="F2164" s="13"/>
    </row>
    <row r="2165">
      <c r="D2165" s="13"/>
      <c r="E2165" s="13"/>
      <c r="F2165" s="13"/>
    </row>
    <row r="2166">
      <c r="D2166" s="13"/>
      <c r="E2166" s="13"/>
      <c r="F2166" s="13"/>
    </row>
    <row r="2167">
      <c r="D2167" s="13"/>
      <c r="E2167" s="13"/>
      <c r="F2167" s="13"/>
    </row>
    <row r="2168">
      <c r="D2168" s="13"/>
      <c r="E2168" s="13"/>
      <c r="F2168" s="13"/>
    </row>
    <row r="2169">
      <c r="D2169" s="13"/>
      <c r="E2169" s="13"/>
      <c r="F2169" s="13"/>
    </row>
    <row r="2170">
      <c r="D2170" s="13"/>
      <c r="E2170" s="13"/>
      <c r="F2170" s="13"/>
    </row>
    <row r="2171">
      <c r="D2171" s="13"/>
      <c r="E2171" s="13"/>
      <c r="F2171" s="13"/>
    </row>
    <row r="2172">
      <c r="D2172" s="13"/>
      <c r="E2172" s="13"/>
      <c r="F2172" s="13"/>
    </row>
    <row r="2173">
      <c r="D2173" s="13"/>
      <c r="E2173" s="13"/>
      <c r="F2173" s="13"/>
    </row>
    <row r="2174">
      <c r="D2174" s="13"/>
      <c r="E2174" s="13"/>
      <c r="F2174" s="13"/>
    </row>
    <row r="2175">
      <c r="D2175" s="13"/>
      <c r="E2175" s="13"/>
      <c r="F2175" s="13"/>
    </row>
    <row r="2176">
      <c r="D2176" s="13"/>
      <c r="E2176" s="13"/>
      <c r="F2176" s="13"/>
    </row>
    <row r="2177">
      <c r="D2177" s="13"/>
      <c r="E2177" s="13"/>
      <c r="F2177" s="13"/>
    </row>
    <row r="2178">
      <c r="D2178" s="13"/>
      <c r="E2178" s="13"/>
      <c r="F2178" s="13"/>
    </row>
    <row r="2179">
      <c r="D2179" s="13"/>
      <c r="E2179" s="13"/>
      <c r="F2179" s="13"/>
    </row>
    <row r="2180">
      <c r="D2180" s="13"/>
      <c r="E2180" s="13"/>
      <c r="F2180" s="13"/>
    </row>
    <row r="2181">
      <c r="D2181" s="13"/>
      <c r="E2181" s="13"/>
      <c r="F2181" s="13"/>
    </row>
    <row r="2182">
      <c r="D2182" s="13"/>
      <c r="E2182" s="13"/>
      <c r="F2182" s="13"/>
    </row>
    <row r="2183">
      <c r="D2183" s="13"/>
      <c r="E2183" s="13"/>
      <c r="F2183" s="13"/>
    </row>
    <row r="2184">
      <c r="D2184" s="13"/>
      <c r="E2184" s="13"/>
      <c r="F2184" s="13"/>
    </row>
    <row r="2185">
      <c r="D2185" s="13"/>
      <c r="E2185" s="13"/>
      <c r="F2185" s="13"/>
    </row>
    <row r="2186">
      <c r="D2186" s="13"/>
      <c r="E2186" s="13"/>
      <c r="F2186" s="13"/>
    </row>
    <row r="2187">
      <c r="D2187" s="13"/>
      <c r="E2187" s="13"/>
      <c r="F2187" s="13"/>
    </row>
    <row r="2188">
      <c r="D2188" s="13"/>
      <c r="E2188" s="13"/>
      <c r="F2188" s="13"/>
    </row>
    <row r="2189">
      <c r="D2189" s="13"/>
      <c r="E2189" s="13"/>
      <c r="F2189" s="13"/>
    </row>
    <row r="2190">
      <c r="D2190" s="13"/>
      <c r="E2190" s="13"/>
      <c r="F2190" s="13"/>
    </row>
    <row r="2191">
      <c r="D2191" s="13"/>
      <c r="E2191" s="13"/>
      <c r="F2191" s="13"/>
    </row>
    <row r="2192">
      <c r="D2192" s="13"/>
      <c r="E2192" s="13"/>
      <c r="F2192" s="13"/>
    </row>
    <row r="2193">
      <c r="D2193" s="13"/>
      <c r="E2193" s="13"/>
      <c r="F2193" s="13"/>
    </row>
    <row r="2194">
      <c r="D2194" s="13"/>
      <c r="E2194" s="13"/>
      <c r="F2194" s="13"/>
    </row>
    <row r="2195">
      <c r="D2195" s="13"/>
      <c r="E2195" s="13"/>
      <c r="F2195" s="13"/>
    </row>
    <row r="2196">
      <c r="D2196" s="13"/>
      <c r="E2196" s="13"/>
      <c r="F2196" s="13"/>
    </row>
    <row r="2197">
      <c r="D2197" s="13"/>
      <c r="E2197" s="13"/>
      <c r="F2197" s="13"/>
    </row>
    <row r="2198">
      <c r="D2198" s="13"/>
      <c r="E2198" s="13"/>
      <c r="F2198" s="13"/>
    </row>
    <row r="2199">
      <c r="D2199" s="13"/>
      <c r="E2199" s="13"/>
      <c r="F2199" s="13"/>
    </row>
    <row r="2200">
      <c r="D2200" s="13"/>
      <c r="E2200" s="13"/>
      <c r="F2200" s="13"/>
    </row>
    <row r="2201">
      <c r="D2201" s="13"/>
      <c r="E2201" s="13"/>
      <c r="F2201" s="13"/>
    </row>
    <row r="2202">
      <c r="D2202" s="13"/>
      <c r="E2202" s="13"/>
      <c r="F2202" s="13"/>
    </row>
    <row r="2203">
      <c r="D2203" s="13"/>
      <c r="E2203" s="13"/>
      <c r="F2203" s="13"/>
    </row>
    <row r="2204">
      <c r="D2204" s="13"/>
      <c r="E2204" s="13"/>
      <c r="F2204" s="13"/>
    </row>
    <row r="2205">
      <c r="D2205" s="13"/>
      <c r="E2205" s="13"/>
      <c r="F2205" s="13"/>
    </row>
    <row r="2206">
      <c r="D2206" s="13"/>
      <c r="E2206" s="13"/>
      <c r="F2206" s="13"/>
    </row>
    <row r="2207">
      <c r="D2207" s="13"/>
      <c r="E2207" s="13"/>
      <c r="F2207" s="13"/>
    </row>
    <row r="2208">
      <c r="D2208" s="13"/>
      <c r="E2208" s="13"/>
      <c r="F2208" s="13"/>
    </row>
    <row r="2209">
      <c r="D2209" s="13"/>
      <c r="E2209" s="13"/>
      <c r="F2209" s="13"/>
    </row>
    <row r="2210">
      <c r="D2210" s="13"/>
      <c r="E2210" s="13"/>
      <c r="F2210" s="13"/>
    </row>
    <row r="2211">
      <c r="D2211" s="13"/>
      <c r="E2211" s="13"/>
      <c r="F2211" s="13"/>
    </row>
    <row r="2212">
      <c r="D2212" s="13"/>
      <c r="E2212" s="13"/>
      <c r="F2212" s="13"/>
    </row>
    <row r="2213">
      <c r="D2213" s="13"/>
      <c r="E2213" s="13"/>
      <c r="F2213" s="13"/>
    </row>
    <row r="2214">
      <c r="D2214" s="13"/>
      <c r="E2214" s="13"/>
      <c r="F2214" s="13"/>
    </row>
    <row r="2215">
      <c r="D2215" s="13"/>
      <c r="E2215" s="13"/>
      <c r="F2215" s="13"/>
    </row>
    <row r="2216">
      <c r="D2216" s="13"/>
      <c r="E2216" s="13"/>
      <c r="F2216" s="13"/>
    </row>
    <row r="2217">
      <c r="D2217" s="13"/>
      <c r="E2217" s="13"/>
      <c r="F2217" s="13"/>
    </row>
    <row r="2218">
      <c r="D2218" s="13"/>
      <c r="E2218" s="13"/>
      <c r="F2218" s="13"/>
    </row>
    <row r="2219">
      <c r="D2219" s="13"/>
      <c r="E2219" s="13"/>
      <c r="F2219" s="13"/>
    </row>
    <row r="2220">
      <c r="D2220" s="13"/>
      <c r="E2220" s="13"/>
      <c r="F2220" s="13"/>
    </row>
    <row r="2221">
      <c r="D2221" s="13"/>
      <c r="E2221" s="13"/>
      <c r="F2221" s="13"/>
    </row>
    <row r="2222">
      <c r="D2222" s="13"/>
      <c r="E2222" s="13"/>
      <c r="F2222" s="13"/>
    </row>
    <row r="2223">
      <c r="D2223" s="13"/>
      <c r="E2223" s="13"/>
      <c r="F2223" s="13"/>
    </row>
    <row r="2224">
      <c r="D2224" s="13"/>
      <c r="E2224" s="13"/>
      <c r="F2224" s="13"/>
    </row>
    <row r="2225">
      <c r="D2225" s="13"/>
      <c r="E2225" s="13"/>
      <c r="F2225" s="13"/>
    </row>
    <row r="2226">
      <c r="D2226" s="13"/>
      <c r="E2226" s="13"/>
      <c r="F2226" s="13"/>
    </row>
    <row r="2227">
      <c r="D2227" s="13"/>
      <c r="E2227" s="13"/>
      <c r="F2227" s="13"/>
    </row>
    <row r="2228">
      <c r="D2228" s="13"/>
      <c r="E2228" s="13"/>
      <c r="F2228" s="13"/>
    </row>
    <row r="2229">
      <c r="D2229" s="13"/>
      <c r="E2229" s="13"/>
      <c r="F2229" s="13"/>
    </row>
    <row r="2230">
      <c r="D2230" s="13"/>
      <c r="E2230" s="13"/>
      <c r="F2230" s="13"/>
    </row>
    <row r="2231">
      <c r="D2231" s="13"/>
      <c r="E2231" s="13"/>
      <c r="F2231" s="13"/>
    </row>
    <row r="2232">
      <c r="D2232" s="13"/>
      <c r="E2232" s="13"/>
      <c r="F2232" s="13"/>
    </row>
    <row r="2233">
      <c r="D2233" s="13"/>
      <c r="E2233" s="13"/>
      <c r="F2233" s="13"/>
    </row>
    <row r="2234">
      <c r="D2234" s="13"/>
      <c r="E2234" s="13"/>
      <c r="F2234" s="13"/>
    </row>
    <row r="2235">
      <c r="D2235" s="13"/>
      <c r="E2235" s="13"/>
      <c r="F2235" s="13"/>
    </row>
    <row r="2236">
      <c r="D2236" s="13"/>
      <c r="E2236" s="13"/>
      <c r="F2236" s="13"/>
    </row>
    <row r="2237">
      <c r="D2237" s="13"/>
      <c r="E2237" s="13"/>
      <c r="F2237" s="13"/>
    </row>
    <row r="2238">
      <c r="D2238" s="13"/>
      <c r="E2238" s="13"/>
      <c r="F2238" s="13"/>
    </row>
    <row r="2239">
      <c r="D2239" s="13"/>
      <c r="E2239" s="13"/>
      <c r="F2239" s="13"/>
    </row>
    <row r="2240">
      <c r="D2240" s="13"/>
      <c r="E2240" s="13"/>
      <c r="F2240" s="13"/>
    </row>
    <row r="2241">
      <c r="D2241" s="13"/>
      <c r="E2241" s="13"/>
      <c r="F2241" s="13"/>
    </row>
    <row r="2242">
      <c r="D2242" s="13"/>
      <c r="E2242" s="13"/>
      <c r="F2242" s="13"/>
    </row>
    <row r="2243">
      <c r="D2243" s="13"/>
      <c r="E2243" s="13"/>
      <c r="F2243" s="13"/>
    </row>
    <row r="2244">
      <c r="D2244" s="13"/>
      <c r="E2244" s="13"/>
      <c r="F2244" s="13"/>
    </row>
    <row r="2245">
      <c r="D2245" s="13"/>
      <c r="E2245" s="13"/>
      <c r="F2245" s="13"/>
    </row>
    <row r="2246">
      <c r="D2246" s="13"/>
      <c r="E2246" s="13"/>
      <c r="F2246" s="13"/>
    </row>
    <row r="2247">
      <c r="D2247" s="13"/>
      <c r="E2247" s="13"/>
      <c r="F2247" s="13"/>
    </row>
    <row r="2248">
      <c r="D2248" s="13"/>
      <c r="E2248" s="13"/>
      <c r="F2248" s="13"/>
    </row>
    <row r="2249">
      <c r="D2249" s="13"/>
      <c r="E2249" s="13"/>
      <c r="F2249" s="13"/>
    </row>
    <row r="2250">
      <c r="D2250" s="13"/>
      <c r="E2250" s="13"/>
      <c r="F2250" s="13"/>
    </row>
    <row r="2251">
      <c r="D2251" s="13"/>
      <c r="E2251" s="13"/>
      <c r="F2251" s="13"/>
    </row>
    <row r="2252">
      <c r="D2252" s="13"/>
      <c r="E2252" s="13"/>
      <c r="F2252" s="13"/>
    </row>
    <row r="2253">
      <c r="D2253" s="13"/>
      <c r="E2253" s="13"/>
      <c r="F2253" s="13"/>
    </row>
    <row r="2254">
      <c r="D2254" s="13"/>
      <c r="E2254" s="13"/>
      <c r="F2254" s="13"/>
    </row>
    <row r="2255">
      <c r="D2255" s="13"/>
      <c r="E2255" s="13"/>
      <c r="F2255" s="13"/>
    </row>
    <row r="2256">
      <c r="D2256" s="13"/>
      <c r="E2256" s="13"/>
      <c r="F2256" s="13"/>
    </row>
    <row r="2257">
      <c r="D2257" s="13"/>
      <c r="E2257" s="13"/>
      <c r="F2257" s="13"/>
    </row>
    <row r="2258">
      <c r="D2258" s="13"/>
      <c r="E2258" s="13"/>
      <c r="F2258" s="13"/>
    </row>
    <row r="2259">
      <c r="D2259" s="13"/>
      <c r="E2259" s="13"/>
      <c r="F2259" s="13"/>
    </row>
    <row r="2260">
      <c r="D2260" s="13"/>
      <c r="E2260" s="13"/>
      <c r="F2260" s="13"/>
    </row>
    <row r="2261">
      <c r="D2261" s="13"/>
      <c r="E2261" s="13"/>
      <c r="F2261" s="13"/>
    </row>
    <row r="2262">
      <c r="D2262" s="13"/>
      <c r="E2262" s="13"/>
      <c r="F2262" s="13"/>
    </row>
    <row r="2263">
      <c r="D2263" s="13"/>
      <c r="E2263" s="13"/>
      <c r="F2263" s="13"/>
    </row>
    <row r="2264">
      <c r="D2264" s="13"/>
      <c r="E2264" s="13"/>
      <c r="F2264" s="13"/>
    </row>
    <row r="2265">
      <c r="D2265" s="13"/>
      <c r="E2265" s="13"/>
      <c r="F2265" s="13"/>
    </row>
    <row r="2266">
      <c r="D2266" s="13"/>
      <c r="E2266" s="13"/>
      <c r="F2266" s="13"/>
    </row>
    <row r="2267">
      <c r="D2267" s="13"/>
      <c r="E2267" s="13"/>
      <c r="F2267" s="13"/>
    </row>
    <row r="2268">
      <c r="D2268" s="13"/>
      <c r="E2268" s="13"/>
      <c r="F2268" s="13"/>
    </row>
    <row r="2269">
      <c r="D2269" s="13"/>
      <c r="E2269" s="13"/>
      <c r="F2269" s="13"/>
    </row>
    <row r="2270">
      <c r="D2270" s="13"/>
      <c r="E2270" s="13"/>
      <c r="F2270" s="13"/>
    </row>
    <row r="2271">
      <c r="D2271" s="13"/>
      <c r="E2271" s="13"/>
      <c r="F2271" s="13"/>
    </row>
    <row r="2272">
      <c r="D2272" s="13"/>
      <c r="E2272" s="13"/>
      <c r="F2272" s="13"/>
    </row>
    <row r="2273">
      <c r="D2273" s="13"/>
      <c r="E2273" s="13"/>
      <c r="F2273" s="13"/>
    </row>
    <row r="2274">
      <c r="D2274" s="13"/>
      <c r="E2274" s="13"/>
      <c r="F2274" s="13"/>
    </row>
    <row r="2275">
      <c r="D2275" s="13"/>
      <c r="E2275" s="13"/>
      <c r="F2275" s="13"/>
    </row>
    <row r="2276">
      <c r="D2276" s="13"/>
      <c r="E2276" s="13"/>
      <c r="F2276" s="13"/>
    </row>
    <row r="2277">
      <c r="D2277" s="13"/>
      <c r="E2277" s="13"/>
      <c r="F2277" s="13"/>
    </row>
    <row r="2278">
      <c r="D2278" s="13"/>
      <c r="E2278" s="13"/>
      <c r="F2278" s="13"/>
    </row>
    <row r="2279">
      <c r="D2279" s="13"/>
      <c r="E2279" s="13"/>
      <c r="F2279" s="13"/>
    </row>
    <row r="2280">
      <c r="D2280" s="13"/>
      <c r="E2280" s="13"/>
      <c r="F2280" s="13"/>
    </row>
    <row r="2281">
      <c r="D2281" s="13"/>
      <c r="E2281" s="13"/>
      <c r="F2281" s="13"/>
    </row>
    <row r="2282">
      <c r="D2282" s="13"/>
      <c r="E2282" s="13"/>
      <c r="F2282" s="13"/>
    </row>
    <row r="2283">
      <c r="D2283" s="13"/>
      <c r="E2283" s="13"/>
      <c r="F2283" s="13"/>
    </row>
    <row r="2284">
      <c r="D2284" s="13"/>
      <c r="E2284" s="13"/>
      <c r="F2284" s="13"/>
    </row>
    <row r="2285">
      <c r="D2285" s="13"/>
      <c r="E2285" s="13"/>
      <c r="F2285" s="13"/>
    </row>
    <row r="2286">
      <c r="D2286" s="13"/>
      <c r="E2286" s="13"/>
      <c r="F2286" s="13"/>
    </row>
    <row r="2287">
      <c r="D2287" s="13"/>
      <c r="E2287" s="13"/>
      <c r="F2287" s="13"/>
    </row>
    <row r="2288">
      <c r="D2288" s="13"/>
      <c r="E2288" s="13"/>
      <c r="F2288" s="13"/>
    </row>
    <row r="2289">
      <c r="D2289" s="13"/>
      <c r="E2289" s="13"/>
      <c r="F2289" s="13"/>
    </row>
    <row r="2290">
      <c r="D2290" s="13"/>
      <c r="E2290" s="13"/>
      <c r="F2290" s="13"/>
    </row>
    <row r="2291">
      <c r="D2291" s="13"/>
      <c r="E2291" s="13"/>
      <c r="F2291" s="13"/>
    </row>
    <row r="2292">
      <c r="D2292" s="13"/>
      <c r="E2292" s="13"/>
      <c r="F2292" s="13"/>
    </row>
    <row r="2293">
      <c r="D2293" s="13"/>
      <c r="E2293" s="13"/>
      <c r="F2293" s="13"/>
    </row>
    <row r="2294">
      <c r="D2294" s="13"/>
      <c r="E2294" s="13"/>
      <c r="F2294" s="13"/>
    </row>
    <row r="2295">
      <c r="D2295" s="13"/>
      <c r="E2295" s="13"/>
      <c r="F2295" s="13"/>
    </row>
    <row r="2296">
      <c r="D2296" s="13"/>
      <c r="E2296" s="13"/>
      <c r="F2296" s="13"/>
    </row>
    <row r="2297">
      <c r="D2297" s="13"/>
      <c r="E2297" s="13"/>
      <c r="F2297" s="13"/>
    </row>
    <row r="2298">
      <c r="D2298" s="13"/>
      <c r="E2298" s="13"/>
      <c r="F2298" s="13"/>
    </row>
    <row r="2299">
      <c r="D2299" s="13"/>
      <c r="E2299" s="13"/>
      <c r="F2299" s="13"/>
    </row>
    <row r="2300">
      <c r="D2300" s="13"/>
      <c r="E2300" s="13"/>
      <c r="F2300" s="13"/>
    </row>
    <row r="2301">
      <c r="D2301" s="13"/>
      <c r="E2301" s="13"/>
      <c r="F2301" s="13"/>
    </row>
    <row r="2302">
      <c r="D2302" s="13"/>
      <c r="E2302" s="13"/>
      <c r="F2302" s="13"/>
    </row>
    <row r="2303">
      <c r="D2303" s="13"/>
      <c r="E2303" s="13"/>
      <c r="F2303" s="13"/>
    </row>
    <row r="2304">
      <c r="D2304" s="13"/>
      <c r="E2304" s="13"/>
      <c r="F2304" s="13"/>
    </row>
    <row r="2305">
      <c r="D2305" s="13"/>
      <c r="E2305" s="13"/>
      <c r="F2305" s="13"/>
    </row>
    <row r="2306">
      <c r="D2306" s="13"/>
      <c r="E2306" s="13"/>
      <c r="F2306" s="13"/>
    </row>
    <row r="2307">
      <c r="D2307" s="13"/>
      <c r="E2307" s="13"/>
      <c r="F2307" s="13"/>
    </row>
    <row r="2308">
      <c r="D2308" s="13"/>
      <c r="E2308" s="13"/>
      <c r="F2308" s="13"/>
    </row>
    <row r="2309">
      <c r="D2309" s="13"/>
      <c r="E2309" s="13"/>
      <c r="F2309" s="13"/>
    </row>
    <row r="2310">
      <c r="D2310" s="13"/>
      <c r="E2310" s="13"/>
      <c r="F2310" s="13"/>
    </row>
    <row r="2311">
      <c r="D2311" s="13"/>
      <c r="E2311" s="13"/>
      <c r="F2311" s="13"/>
    </row>
    <row r="2312">
      <c r="D2312" s="13"/>
      <c r="E2312" s="13"/>
      <c r="F2312" s="13"/>
    </row>
    <row r="2313">
      <c r="D2313" s="13"/>
      <c r="E2313" s="13"/>
      <c r="F2313" s="13"/>
    </row>
    <row r="2314">
      <c r="D2314" s="13"/>
      <c r="E2314" s="13"/>
      <c r="F2314" s="13"/>
    </row>
    <row r="2315">
      <c r="D2315" s="13"/>
      <c r="E2315" s="13"/>
      <c r="F2315" s="13"/>
    </row>
    <row r="2316">
      <c r="D2316" s="13"/>
      <c r="E2316" s="13"/>
      <c r="F2316" s="13"/>
    </row>
    <row r="2317">
      <c r="D2317" s="13"/>
      <c r="E2317" s="13"/>
      <c r="F2317" s="13"/>
    </row>
    <row r="2318">
      <c r="D2318" s="13"/>
      <c r="E2318" s="13"/>
      <c r="F2318" s="13"/>
    </row>
    <row r="2319">
      <c r="D2319" s="13"/>
      <c r="E2319" s="13"/>
      <c r="F2319" s="13"/>
    </row>
    <row r="2320">
      <c r="D2320" s="13"/>
      <c r="E2320" s="13"/>
      <c r="F2320" s="13"/>
    </row>
    <row r="2321">
      <c r="D2321" s="13"/>
      <c r="E2321" s="13"/>
      <c r="F2321" s="13"/>
    </row>
    <row r="2322">
      <c r="D2322" s="13"/>
      <c r="E2322" s="13"/>
      <c r="F2322" s="13"/>
    </row>
    <row r="2323">
      <c r="D2323" s="13"/>
      <c r="E2323" s="13"/>
      <c r="F2323" s="13"/>
    </row>
    <row r="2324">
      <c r="D2324" s="13"/>
      <c r="E2324" s="13"/>
      <c r="F2324" s="13"/>
    </row>
    <row r="2325">
      <c r="D2325" s="13"/>
      <c r="E2325" s="13"/>
      <c r="F2325" s="13"/>
    </row>
    <row r="2326">
      <c r="D2326" s="13"/>
      <c r="E2326" s="13"/>
      <c r="F2326" s="13"/>
    </row>
    <row r="2327">
      <c r="D2327" s="13"/>
      <c r="E2327" s="13"/>
      <c r="F2327" s="13"/>
    </row>
    <row r="2328">
      <c r="D2328" s="13"/>
      <c r="E2328" s="13"/>
      <c r="F2328" s="13"/>
    </row>
    <row r="2329">
      <c r="D2329" s="13"/>
      <c r="E2329" s="13"/>
      <c r="F2329" s="13"/>
    </row>
    <row r="2330">
      <c r="D2330" s="13"/>
      <c r="E2330" s="13"/>
      <c r="F2330" s="13"/>
    </row>
    <row r="2331">
      <c r="D2331" s="13"/>
      <c r="E2331" s="13"/>
      <c r="F2331" s="13"/>
    </row>
    <row r="2332">
      <c r="D2332" s="13"/>
      <c r="E2332" s="13"/>
      <c r="F2332" s="13"/>
    </row>
    <row r="2333">
      <c r="D2333" s="13"/>
      <c r="E2333" s="13"/>
      <c r="F2333" s="13"/>
    </row>
    <row r="2334">
      <c r="D2334" s="13"/>
      <c r="E2334" s="13"/>
      <c r="F2334" s="13"/>
    </row>
    <row r="2335">
      <c r="D2335" s="13"/>
      <c r="E2335" s="13"/>
      <c r="F2335" s="13"/>
    </row>
    <row r="2336">
      <c r="D2336" s="13"/>
      <c r="E2336" s="13"/>
      <c r="F2336" s="13"/>
    </row>
    <row r="2337">
      <c r="D2337" s="13"/>
      <c r="E2337" s="13"/>
      <c r="F2337" s="13"/>
    </row>
    <row r="2338">
      <c r="D2338" s="13"/>
      <c r="E2338" s="13"/>
      <c r="F2338" s="13"/>
    </row>
    <row r="2339">
      <c r="D2339" s="13"/>
      <c r="E2339" s="13"/>
      <c r="F2339" s="13"/>
    </row>
    <row r="2340">
      <c r="D2340" s="13"/>
      <c r="E2340" s="13"/>
      <c r="F2340" s="13"/>
    </row>
    <row r="2341">
      <c r="D2341" s="13"/>
      <c r="E2341" s="13"/>
      <c r="F2341" s="13"/>
    </row>
    <row r="2342">
      <c r="D2342" s="13"/>
      <c r="E2342" s="13"/>
      <c r="F2342" s="13"/>
    </row>
    <row r="2343">
      <c r="D2343" s="13"/>
      <c r="E2343" s="13"/>
      <c r="F2343" s="13"/>
    </row>
    <row r="2344">
      <c r="D2344" s="13"/>
      <c r="E2344" s="13"/>
      <c r="F2344" s="13"/>
    </row>
    <row r="2345">
      <c r="D2345" s="13"/>
      <c r="E2345" s="13"/>
      <c r="F2345" s="13"/>
    </row>
    <row r="2346">
      <c r="D2346" s="13"/>
      <c r="E2346" s="13"/>
      <c r="F2346" s="13"/>
    </row>
    <row r="2347">
      <c r="D2347" s="13"/>
      <c r="E2347" s="13"/>
      <c r="F2347" s="13"/>
    </row>
    <row r="2348">
      <c r="D2348" s="13"/>
      <c r="E2348" s="13"/>
      <c r="F2348" s="13"/>
    </row>
    <row r="2349">
      <c r="D2349" s="13"/>
      <c r="E2349" s="13"/>
      <c r="F2349" s="13"/>
    </row>
    <row r="2350">
      <c r="D2350" s="13"/>
      <c r="E2350" s="13"/>
      <c r="F2350" s="13"/>
    </row>
    <row r="2351">
      <c r="D2351" s="13"/>
      <c r="E2351" s="13"/>
      <c r="F2351" s="13"/>
    </row>
    <row r="2352">
      <c r="D2352" s="13"/>
      <c r="E2352" s="13"/>
      <c r="F2352" s="13"/>
    </row>
    <row r="2353">
      <c r="D2353" s="13"/>
      <c r="E2353" s="13"/>
      <c r="F2353" s="13"/>
    </row>
    <row r="2354">
      <c r="D2354" s="13"/>
      <c r="E2354" s="13"/>
      <c r="F2354" s="13"/>
    </row>
    <row r="2355">
      <c r="D2355" s="13"/>
      <c r="E2355" s="13"/>
      <c r="F2355" s="13"/>
    </row>
    <row r="2356">
      <c r="D2356" s="13"/>
      <c r="E2356" s="13"/>
      <c r="F2356" s="13"/>
    </row>
    <row r="2357">
      <c r="D2357" s="13"/>
      <c r="E2357" s="13"/>
      <c r="F2357" s="13"/>
    </row>
    <row r="2358">
      <c r="D2358" s="13"/>
      <c r="E2358" s="13"/>
      <c r="F2358" s="13"/>
    </row>
    <row r="2359">
      <c r="D2359" s="13"/>
      <c r="E2359" s="13"/>
      <c r="F2359" s="13"/>
    </row>
    <row r="2360">
      <c r="D2360" s="13"/>
      <c r="E2360" s="13"/>
      <c r="F2360" s="13"/>
    </row>
    <row r="2361">
      <c r="D2361" s="13"/>
      <c r="E2361" s="13"/>
      <c r="F2361" s="13"/>
    </row>
    <row r="2362">
      <c r="D2362" s="13"/>
      <c r="E2362" s="13"/>
      <c r="F2362" s="13"/>
    </row>
    <row r="2363">
      <c r="D2363" s="13"/>
      <c r="E2363" s="13"/>
      <c r="F2363" s="13"/>
    </row>
    <row r="2364">
      <c r="D2364" s="13"/>
      <c r="E2364" s="13"/>
      <c r="F2364" s="13"/>
    </row>
    <row r="2365">
      <c r="D2365" s="13"/>
      <c r="E2365" s="13"/>
      <c r="F2365" s="13"/>
    </row>
    <row r="2366">
      <c r="D2366" s="13"/>
      <c r="E2366" s="13"/>
      <c r="F2366" s="13"/>
    </row>
    <row r="2367">
      <c r="D2367" s="13"/>
      <c r="E2367" s="13"/>
      <c r="F2367" s="13"/>
    </row>
    <row r="2368">
      <c r="D2368" s="13"/>
      <c r="E2368" s="13"/>
      <c r="F2368" s="13"/>
    </row>
    <row r="2369">
      <c r="D2369" s="13"/>
      <c r="E2369" s="13"/>
      <c r="F2369" s="13"/>
    </row>
    <row r="2370">
      <c r="D2370" s="13"/>
      <c r="E2370" s="13"/>
      <c r="F2370" s="13"/>
    </row>
    <row r="2371">
      <c r="D2371" s="13"/>
      <c r="E2371" s="13"/>
      <c r="F2371" s="13"/>
    </row>
    <row r="2372">
      <c r="D2372" s="13"/>
      <c r="E2372" s="13"/>
      <c r="F2372" s="13"/>
    </row>
    <row r="2373">
      <c r="D2373" s="13"/>
      <c r="E2373" s="13"/>
      <c r="F2373" s="13"/>
    </row>
    <row r="2374">
      <c r="D2374" s="13"/>
      <c r="E2374" s="13"/>
      <c r="F2374" s="13"/>
    </row>
    <row r="2375">
      <c r="D2375" s="13"/>
      <c r="E2375" s="13"/>
      <c r="F2375" s="13"/>
    </row>
    <row r="2376">
      <c r="D2376" s="13"/>
      <c r="E2376" s="13"/>
      <c r="F2376" s="13"/>
    </row>
    <row r="2377">
      <c r="D2377" s="13"/>
      <c r="E2377" s="13"/>
      <c r="F2377" s="13"/>
    </row>
    <row r="2378">
      <c r="D2378" s="13"/>
      <c r="E2378" s="13"/>
      <c r="F2378" s="13"/>
    </row>
    <row r="2379">
      <c r="D2379" s="13"/>
      <c r="E2379" s="13"/>
      <c r="F2379" s="13"/>
    </row>
    <row r="2380">
      <c r="D2380" s="13"/>
      <c r="E2380" s="13"/>
      <c r="F2380" s="13"/>
    </row>
    <row r="2381">
      <c r="D2381" s="13"/>
      <c r="E2381" s="13"/>
      <c r="F2381" s="13"/>
    </row>
    <row r="2382">
      <c r="D2382" s="13"/>
      <c r="E2382" s="13"/>
      <c r="F2382" s="13"/>
    </row>
    <row r="2383">
      <c r="D2383" s="13"/>
      <c r="E2383" s="13"/>
      <c r="F2383" s="13"/>
    </row>
    <row r="2384">
      <c r="D2384" s="13"/>
      <c r="E2384" s="13"/>
      <c r="F2384" s="13"/>
    </row>
    <row r="2385">
      <c r="D2385" s="13"/>
      <c r="E2385" s="13"/>
      <c r="F2385" s="13"/>
    </row>
    <row r="2386">
      <c r="D2386" s="13"/>
      <c r="E2386" s="13"/>
      <c r="F2386" s="13"/>
    </row>
    <row r="2387">
      <c r="D2387" s="13"/>
      <c r="E2387" s="13"/>
      <c r="F2387" s="13"/>
    </row>
    <row r="2388">
      <c r="D2388" s="13"/>
      <c r="E2388" s="13"/>
      <c r="F2388" s="13"/>
    </row>
    <row r="2389">
      <c r="D2389" s="13"/>
      <c r="E2389" s="13"/>
      <c r="F2389" s="13"/>
    </row>
    <row r="2390">
      <c r="D2390" s="13"/>
      <c r="E2390" s="13"/>
      <c r="F2390" s="13"/>
    </row>
    <row r="2391">
      <c r="D2391" s="13"/>
      <c r="E2391" s="13"/>
      <c r="F2391" s="13"/>
    </row>
    <row r="2392">
      <c r="D2392" s="13"/>
      <c r="E2392" s="13"/>
      <c r="F2392" s="13"/>
    </row>
    <row r="2393">
      <c r="D2393" s="13"/>
      <c r="E2393" s="13"/>
      <c r="F2393" s="13"/>
    </row>
    <row r="2394">
      <c r="D2394" s="13"/>
      <c r="E2394" s="13"/>
      <c r="F2394" s="13"/>
    </row>
    <row r="2395">
      <c r="D2395" s="13"/>
      <c r="E2395" s="13"/>
      <c r="F2395" s="13"/>
    </row>
    <row r="2396">
      <c r="D2396" s="13"/>
      <c r="E2396" s="13"/>
      <c r="F2396" s="13"/>
    </row>
    <row r="2397">
      <c r="D2397" s="13"/>
      <c r="E2397" s="13"/>
      <c r="F2397" s="13"/>
    </row>
    <row r="2398">
      <c r="D2398" s="13"/>
      <c r="E2398" s="13"/>
      <c r="F2398" s="13"/>
    </row>
    <row r="2399">
      <c r="D2399" s="13"/>
      <c r="E2399" s="13"/>
      <c r="F2399" s="13"/>
    </row>
    <row r="2400">
      <c r="D2400" s="13"/>
      <c r="E2400" s="13"/>
      <c r="F2400" s="13"/>
    </row>
    <row r="2401">
      <c r="D2401" s="13"/>
      <c r="E2401" s="13"/>
      <c r="F2401" s="13"/>
    </row>
    <row r="2402">
      <c r="D2402" s="13"/>
      <c r="E2402" s="13"/>
      <c r="F2402" s="13"/>
    </row>
    <row r="2403">
      <c r="D2403" s="13"/>
      <c r="E2403" s="13"/>
      <c r="F2403" s="13"/>
    </row>
    <row r="2404">
      <c r="D2404" s="13"/>
      <c r="E2404" s="13"/>
      <c r="F2404" s="13"/>
    </row>
    <row r="2405">
      <c r="D2405" s="13"/>
      <c r="E2405" s="13"/>
      <c r="F2405" s="13"/>
    </row>
    <row r="2406">
      <c r="D2406" s="13"/>
      <c r="E2406" s="13"/>
      <c r="F2406" s="13"/>
    </row>
    <row r="2407">
      <c r="D2407" s="13"/>
      <c r="E2407" s="13"/>
      <c r="F2407" s="13"/>
    </row>
    <row r="2408">
      <c r="D2408" s="13"/>
      <c r="E2408" s="13"/>
      <c r="F2408" s="13"/>
    </row>
    <row r="2409">
      <c r="D2409" s="13"/>
      <c r="E2409" s="13"/>
      <c r="F2409" s="13"/>
    </row>
    <row r="2410">
      <c r="D2410" s="13"/>
      <c r="E2410" s="13"/>
      <c r="F2410" s="13"/>
    </row>
    <row r="2411">
      <c r="D2411" s="13"/>
      <c r="E2411" s="13"/>
      <c r="F2411" s="13"/>
    </row>
    <row r="2412">
      <c r="D2412" s="13"/>
      <c r="E2412" s="13"/>
      <c r="F2412" s="13"/>
    </row>
    <row r="2413">
      <c r="D2413" s="13"/>
      <c r="E2413" s="13"/>
      <c r="F2413" s="13"/>
    </row>
    <row r="2414">
      <c r="D2414" s="13"/>
      <c r="E2414" s="13"/>
      <c r="F2414" s="13"/>
    </row>
    <row r="2415">
      <c r="D2415" s="13"/>
      <c r="E2415" s="13"/>
      <c r="F2415" s="13"/>
    </row>
    <row r="2416">
      <c r="D2416" s="13"/>
      <c r="E2416" s="13"/>
      <c r="F2416" s="13"/>
    </row>
    <row r="2417">
      <c r="D2417" s="13"/>
      <c r="E2417" s="13"/>
      <c r="F2417" s="13"/>
    </row>
    <row r="2418">
      <c r="D2418" s="13"/>
      <c r="E2418" s="13"/>
      <c r="F2418" s="13"/>
    </row>
    <row r="2419">
      <c r="D2419" s="13"/>
      <c r="E2419" s="13"/>
      <c r="F2419" s="13"/>
    </row>
    <row r="2420">
      <c r="D2420" s="13"/>
      <c r="E2420" s="13"/>
      <c r="F2420" s="13"/>
    </row>
    <row r="2421">
      <c r="D2421" s="13"/>
      <c r="E2421" s="13"/>
      <c r="F2421" s="13"/>
    </row>
    <row r="2422">
      <c r="D2422" s="13"/>
      <c r="E2422" s="13"/>
      <c r="F2422" s="13"/>
    </row>
    <row r="2423">
      <c r="D2423" s="13"/>
      <c r="E2423" s="13"/>
      <c r="F2423" s="13"/>
    </row>
    <row r="2424">
      <c r="D2424" s="13"/>
      <c r="E2424" s="13"/>
      <c r="F2424" s="13"/>
    </row>
    <row r="2425">
      <c r="D2425" s="13"/>
      <c r="E2425" s="13"/>
      <c r="F2425" s="13"/>
    </row>
    <row r="2426">
      <c r="D2426" s="13"/>
      <c r="E2426" s="13"/>
      <c r="F2426" s="13"/>
    </row>
    <row r="2427">
      <c r="D2427" s="13"/>
      <c r="E2427" s="13"/>
      <c r="F2427" s="13"/>
    </row>
    <row r="2428">
      <c r="D2428" s="13"/>
      <c r="E2428" s="13"/>
      <c r="F2428" s="13"/>
    </row>
    <row r="2429">
      <c r="D2429" s="13"/>
      <c r="E2429" s="13"/>
      <c r="F2429" s="13"/>
    </row>
    <row r="2430">
      <c r="D2430" s="13"/>
      <c r="E2430" s="13"/>
      <c r="F2430" s="13"/>
    </row>
    <row r="2431">
      <c r="D2431" s="13"/>
      <c r="E2431" s="13"/>
      <c r="F2431" s="13"/>
    </row>
    <row r="2432">
      <c r="D2432" s="13"/>
      <c r="E2432" s="13"/>
      <c r="F2432" s="13"/>
    </row>
    <row r="2433">
      <c r="D2433" s="13"/>
      <c r="E2433" s="13"/>
      <c r="F2433" s="13"/>
    </row>
    <row r="2434">
      <c r="D2434" s="13"/>
      <c r="E2434" s="13"/>
      <c r="F2434" s="13"/>
    </row>
    <row r="2435">
      <c r="D2435" s="13"/>
      <c r="E2435" s="13"/>
      <c r="F2435" s="13"/>
    </row>
    <row r="2436">
      <c r="D2436" s="13"/>
      <c r="E2436" s="13"/>
      <c r="F2436" s="13"/>
    </row>
    <row r="2437">
      <c r="D2437" s="13"/>
      <c r="E2437" s="13"/>
      <c r="F2437" s="13"/>
    </row>
    <row r="2438">
      <c r="D2438" s="13"/>
      <c r="E2438" s="13"/>
      <c r="F2438" s="13"/>
    </row>
    <row r="2439">
      <c r="D2439" s="13"/>
      <c r="E2439" s="13"/>
      <c r="F2439" s="13"/>
    </row>
    <row r="2440">
      <c r="D2440" s="13"/>
      <c r="E2440" s="13"/>
      <c r="F2440" s="13"/>
    </row>
    <row r="2441">
      <c r="D2441" s="13"/>
      <c r="E2441" s="13"/>
      <c r="F2441" s="13"/>
    </row>
    <row r="2442">
      <c r="D2442" s="13"/>
      <c r="E2442" s="13"/>
      <c r="F2442" s="13"/>
    </row>
    <row r="2443">
      <c r="D2443" s="13"/>
      <c r="E2443" s="13"/>
      <c r="F2443" s="13"/>
    </row>
    <row r="2444">
      <c r="D2444" s="13"/>
      <c r="E2444" s="13"/>
      <c r="F2444" s="13"/>
    </row>
    <row r="2445">
      <c r="D2445" s="13"/>
      <c r="E2445" s="13"/>
      <c r="F2445" s="13"/>
    </row>
    <row r="2446">
      <c r="D2446" s="13"/>
      <c r="E2446" s="13"/>
      <c r="F2446" s="13"/>
    </row>
    <row r="2447">
      <c r="D2447" s="13"/>
      <c r="E2447" s="13"/>
      <c r="F2447" s="13"/>
    </row>
    <row r="2448">
      <c r="D2448" s="13"/>
      <c r="E2448" s="13"/>
      <c r="F2448" s="13"/>
    </row>
    <row r="2449">
      <c r="D2449" s="13"/>
      <c r="E2449" s="13"/>
      <c r="F2449" s="13"/>
    </row>
    <row r="2450">
      <c r="D2450" s="13"/>
      <c r="E2450" s="13"/>
      <c r="F2450" s="13"/>
    </row>
    <row r="2451">
      <c r="D2451" s="13"/>
      <c r="E2451" s="13"/>
      <c r="F2451" s="13"/>
    </row>
    <row r="2452">
      <c r="D2452" s="13"/>
      <c r="E2452" s="13"/>
      <c r="F2452" s="13"/>
    </row>
    <row r="2453">
      <c r="D2453" s="13"/>
      <c r="E2453" s="13"/>
      <c r="F2453" s="13"/>
    </row>
    <row r="2454">
      <c r="D2454" s="13"/>
      <c r="E2454" s="13"/>
      <c r="F2454" s="13"/>
    </row>
    <row r="2455">
      <c r="D2455" s="13"/>
      <c r="E2455" s="13"/>
      <c r="F2455" s="13"/>
    </row>
    <row r="2456">
      <c r="D2456" s="13"/>
      <c r="E2456" s="13"/>
      <c r="F2456" s="13"/>
    </row>
    <row r="2457">
      <c r="D2457" s="13"/>
      <c r="E2457" s="13"/>
      <c r="F2457" s="13"/>
    </row>
    <row r="2458">
      <c r="D2458" s="13"/>
      <c r="E2458" s="13"/>
      <c r="F2458" s="13"/>
    </row>
    <row r="2459">
      <c r="D2459" s="13"/>
      <c r="E2459" s="13"/>
      <c r="F2459" s="13"/>
    </row>
    <row r="2460">
      <c r="D2460" s="13"/>
      <c r="E2460" s="13"/>
      <c r="F2460" s="13"/>
    </row>
    <row r="2461">
      <c r="D2461" s="13"/>
      <c r="E2461" s="13"/>
      <c r="F2461" s="13"/>
    </row>
    <row r="2462">
      <c r="D2462" s="13"/>
      <c r="E2462" s="13"/>
      <c r="F2462" s="13"/>
    </row>
    <row r="2463">
      <c r="D2463" s="13"/>
      <c r="E2463" s="13"/>
      <c r="F2463" s="13"/>
    </row>
    <row r="2464">
      <c r="D2464" s="13"/>
      <c r="E2464" s="13"/>
      <c r="F2464" s="13"/>
    </row>
    <row r="2465">
      <c r="D2465" s="13"/>
      <c r="E2465" s="13"/>
      <c r="F2465" s="13"/>
    </row>
    <row r="2466">
      <c r="D2466" s="13"/>
      <c r="E2466" s="13"/>
      <c r="F2466" s="13"/>
    </row>
    <row r="2467">
      <c r="D2467" s="13"/>
      <c r="E2467" s="13"/>
      <c r="F2467" s="13"/>
    </row>
    <row r="2468">
      <c r="D2468" s="13"/>
      <c r="E2468" s="13"/>
      <c r="F2468" s="13"/>
    </row>
    <row r="2469">
      <c r="D2469" s="13"/>
      <c r="E2469" s="13"/>
      <c r="F2469" s="13"/>
    </row>
    <row r="2470">
      <c r="D2470" s="13"/>
      <c r="E2470" s="13"/>
      <c r="F2470" s="13"/>
    </row>
    <row r="2471">
      <c r="D2471" s="13"/>
      <c r="E2471" s="13"/>
      <c r="F2471" s="13"/>
    </row>
    <row r="2472">
      <c r="D2472" s="13"/>
      <c r="E2472" s="13"/>
      <c r="F2472" s="13"/>
    </row>
    <row r="2473">
      <c r="D2473" s="13"/>
      <c r="E2473" s="13"/>
      <c r="F2473" s="13"/>
    </row>
    <row r="2474">
      <c r="D2474" s="13"/>
      <c r="E2474" s="13"/>
      <c r="F2474" s="13"/>
    </row>
    <row r="2475">
      <c r="D2475" s="13"/>
      <c r="E2475" s="13"/>
      <c r="F2475" s="13"/>
    </row>
    <row r="2476">
      <c r="D2476" s="13"/>
      <c r="E2476" s="13"/>
      <c r="F2476" s="13"/>
    </row>
    <row r="2477">
      <c r="D2477" s="13"/>
      <c r="E2477" s="13"/>
      <c r="F2477" s="13"/>
    </row>
    <row r="2478">
      <c r="D2478" s="13"/>
      <c r="E2478" s="13"/>
      <c r="F2478" s="13"/>
    </row>
    <row r="2479">
      <c r="D2479" s="13"/>
      <c r="E2479" s="13"/>
      <c r="F2479" s="13"/>
    </row>
    <row r="2480">
      <c r="D2480" s="13"/>
      <c r="E2480" s="13"/>
      <c r="F2480" s="13"/>
    </row>
    <row r="2481">
      <c r="D2481" s="13"/>
      <c r="E2481" s="13"/>
      <c r="F2481" s="13"/>
    </row>
    <row r="2482">
      <c r="D2482" s="13"/>
      <c r="E2482" s="13"/>
      <c r="F2482" s="13"/>
    </row>
    <row r="2483">
      <c r="D2483" s="13"/>
      <c r="E2483" s="13"/>
      <c r="F2483" s="13"/>
    </row>
    <row r="2484">
      <c r="D2484" s="13"/>
      <c r="E2484" s="13"/>
      <c r="F2484" s="13"/>
    </row>
    <row r="2485">
      <c r="D2485" s="13"/>
      <c r="E2485" s="13"/>
      <c r="F2485" s="13"/>
    </row>
    <row r="2486">
      <c r="D2486" s="13"/>
      <c r="E2486" s="13"/>
      <c r="F2486" s="13"/>
    </row>
    <row r="2487">
      <c r="D2487" s="13"/>
      <c r="E2487" s="13"/>
      <c r="F2487" s="13"/>
    </row>
    <row r="2488">
      <c r="D2488" s="13"/>
      <c r="E2488" s="13"/>
      <c r="F2488" s="13"/>
    </row>
    <row r="2489">
      <c r="D2489" s="13"/>
      <c r="E2489" s="13"/>
      <c r="F2489" s="13"/>
    </row>
    <row r="2490">
      <c r="D2490" s="13"/>
      <c r="E2490" s="13"/>
      <c r="F2490" s="13"/>
    </row>
    <row r="2491">
      <c r="D2491" s="13"/>
      <c r="E2491" s="13"/>
      <c r="F2491" s="13"/>
    </row>
    <row r="2492">
      <c r="D2492" s="13"/>
      <c r="E2492" s="13"/>
      <c r="F2492" s="13"/>
    </row>
    <row r="2493">
      <c r="D2493" s="13"/>
      <c r="E2493" s="13"/>
      <c r="F2493" s="13"/>
    </row>
    <row r="2494">
      <c r="D2494" s="13"/>
      <c r="E2494" s="13"/>
      <c r="F2494" s="13"/>
    </row>
    <row r="2495">
      <c r="D2495" s="13"/>
      <c r="E2495" s="13"/>
      <c r="F2495" s="13"/>
    </row>
    <row r="2496">
      <c r="D2496" s="13"/>
      <c r="E2496" s="13"/>
      <c r="F2496" s="13"/>
    </row>
    <row r="2497">
      <c r="D2497" s="13"/>
      <c r="E2497" s="13"/>
      <c r="F2497" s="13"/>
    </row>
    <row r="2498">
      <c r="D2498" s="13"/>
      <c r="E2498" s="13"/>
      <c r="F2498" s="13"/>
    </row>
    <row r="2499">
      <c r="D2499" s="13"/>
      <c r="E2499" s="13"/>
      <c r="F2499" s="13"/>
    </row>
    <row r="2500">
      <c r="D2500" s="13"/>
      <c r="E2500" s="13"/>
      <c r="F2500" s="13"/>
    </row>
    <row r="2501">
      <c r="D2501" s="13"/>
      <c r="E2501" s="13"/>
      <c r="F2501" s="13"/>
    </row>
    <row r="2502">
      <c r="D2502" s="13"/>
      <c r="E2502" s="13"/>
      <c r="F2502" s="13"/>
    </row>
    <row r="2503">
      <c r="D2503" s="13"/>
      <c r="E2503" s="13"/>
      <c r="F2503" s="13"/>
    </row>
    <row r="2504">
      <c r="D2504" s="13"/>
      <c r="E2504" s="13"/>
      <c r="F2504" s="13"/>
    </row>
    <row r="2505">
      <c r="D2505" s="13"/>
      <c r="E2505" s="13"/>
      <c r="F2505" s="13"/>
    </row>
    <row r="2506">
      <c r="D2506" s="13"/>
      <c r="E2506" s="13"/>
      <c r="F2506" s="13"/>
    </row>
    <row r="2507">
      <c r="D2507" s="13"/>
      <c r="E2507" s="13"/>
      <c r="F2507" s="13"/>
    </row>
    <row r="2508">
      <c r="D2508" s="13"/>
      <c r="E2508" s="13"/>
      <c r="F2508" s="13"/>
    </row>
    <row r="2509">
      <c r="D2509" s="13"/>
      <c r="E2509" s="13"/>
      <c r="F2509" s="13"/>
    </row>
    <row r="2510">
      <c r="D2510" s="13"/>
      <c r="E2510" s="13"/>
      <c r="F2510" s="13"/>
    </row>
    <row r="2511">
      <c r="D2511" s="13"/>
      <c r="E2511" s="13"/>
      <c r="F2511" s="13"/>
    </row>
    <row r="2512">
      <c r="D2512" s="13"/>
      <c r="E2512" s="13"/>
      <c r="F2512" s="13"/>
    </row>
    <row r="2513">
      <c r="D2513" s="13"/>
      <c r="E2513" s="13"/>
      <c r="F2513" s="13"/>
    </row>
    <row r="2514">
      <c r="D2514" s="13"/>
      <c r="E2514" s="13"/>
      <c r="F2514" s="13"/>
    </row>
    <row r="2515">
      <c r="D2515" s="13"/>
      <c r="E2515" s="13"/>
      <c r="F2515" s="13"/>
    </row>
    <row r="2516">
      <c r="D2516" s="13"/>
      <c r="E2516" s="13"/>
      <c r="F2516" s="13"/>
    </row>
    <row r="2517">
      <c r="D2517" s="13"/>
      <c r="E2517" s="13"/>
      <c r="F2517" s="13"/>
    </row>
    <row r="2518">
      <c r="D2518" s="13"/>
      <c r="E2518" s="13"/>
      <c r="F2518" s="13"/>
    </row>
    <row r="2519">
      <c r="D2519" s="13"/>
      <c r="E2519" s="13"/>
      <c r="F2519" s="13"/>
    </row>
    <row r="2520">
      <c r="D2520" s="13"/>
      <c r="E2520" s="13"/>
      <c r="F2520" s="13"/>
    </row>
    <row r="2521">
      <c r="D2521" s="13"/>
      <c r="E2521" s="13"/>
      <c r="F2521" s="13"/>
    </row>
    <row r="2522">
      <c r="D2522" s="13"/>
      <c r="E2522" s="13"/>
      <c r="F2522" s="13"/>
    </row>
    <row r="2523">
      <c r="D2523" s="13"/>
      <c r="E2523" s="13"/>
      <c r="F2523" s="13"/>
    </row>
    <row r="2524">
      <c r="D2524" s="13"/>
      <c r="E2524" s="13"/>
      <c r="F2524" s="13"/>
    </row>
    <row r="2525">
      <c r="D2525" s="13"/>
      <c r="E2525" s="13"/>
      <c r="F2525" s="13"/>
    </row>
    <row r="2526">
      <c r="D2526" s="13"/>
      <c r="E2526" s="13"/>
      <c r="F2526" s="13"/>
    </row>
    <row r="2527">
      <c r="D2527" s="13"/>
      <c r="E2527" s="13"/>
      <c r="F2527" s="13"/>
    </row>
    <row r="2528">
      <c r="D2528" s="13"/>
      <c r="E2528" s="13"/>
      <c r="F2528" s="13"/>
    </row>
    <row r="2529">
      <c r="D2529" s="13"/>
      <c r="E2529" s="13"/>
      <c r="F2529" s="13"/>
    </row>
    <row r="2530">
      <c r="D2530" s="13"/>
      <c r="E2530" s="13"/>
      <c r="F2530" s="13"/>
    </row>
    <row r="2531">
      <c r="D2531" s="13"/>
      <c r="E2531" s="13"/>
      <c r="F2531" s="13"/>
    </row>
    <row r="2532">
      <c r="D2532" s="13"/>
      <c r="E2532" s="13"/>
      <c r="F2532" s="13"/>
    </row>
    <row r="2533">
      <c r="D2533" s="13"/>
      <c r="E2533" s="13"/>
      <c r="F2533" s="13"/>
    </row>
    <row r="2534">
      <c r="D2534" s="13"/>
      <c r="E2534" s="13"/>
      <c r="F2534" s="13"/>
    </row>
    <row r="2535">
      <c r="D2535" s="13"/>
      <c r="E2535" s="13"/>
      <c r="F2535" s="13"/>
    </row>
    <row r="2536">
      <c r="D2536" s="13"/>
      <c r="E2536" s="13"/>
      <c r="F2536" s="13"/>
    </row>
    <row r="2537">
      <c r="D2537" s="13"/>
      <c r="E2537" s="13"/>
      <c r="F2537" s="13"/>
    </row>
    <row r="2538">
      <c r="D2538" s="13"/>
      <c r="E2538" s="13"/>
      <c r="F2538" s="13"/>
    </row>
    <row r="2539">
      <c r="D2539" s="13"/>
      <c r="E2539" s="13"/>
      <c r="F2539" s="13"/>
    </row>
    <row r="2540">
      <c r="D2540" s="13"/>
      <c r="E2540" s="13"/>
      <c r="F2540" s="13"/>
    </row>
    <row r="2541">
      <c r="D2541" s="13"/>
      <c r="E2541" s="13"/>
      <c r="F2541" s="13"/>
    </row>
    <row r="2542">
      <c r="D2542" s="13"/>
      <c r="E2542" s="13"/>
      <c r="F2542" s="13"/>
    </row>
    <row r="2543">
      <c r="D2543" s="13"/>
      <c r="E2543" s="13"/>
      <c r="F2543" s="13"/>
    </row>
    <row r="2544">
      <c r="D2544" s="13"/>
      <c r="E2544" s="13"/>
      <c r="F2544" s="13"/>
    </row>
    <row r="2545">
      <c r="D2545" s="13"/>
      <c r="E2545" s="13"/>
      <c r="F2545" s="13"/>
    </row>
    <row r="2546">
      <c r="D2546" s="13"/>
      <c r="E2546" s="13"/>
      <c r="F2546" s="13"/>
    </row>
    <row r="2547">
      <c r="D2547" s="13"/>
      <c r="E2547" s="13"/>
      <c r="F2547" s="13"/>
    </row>
    <row r="2548">
      <c r="D2548" s="13"/>
      <c r="E2548" s="13"/>
      <c r="F2548" s="13"/>
    </row>
    <row r="2549">
      <c r="D2549" s="13"/>
      <c r="E2549" s="13"/>
      <c r="F2549" s="13"/>
    </row>
    <row r="2550">
      <c r="D2550" s="13"/>
      <c r="E2550" s="13"/>
      <c r="F2550" s="13"/>
    </row>
    <row r="2551">
      <c r="D2551" s="13"/>
      <c r="E2551" s="13"/>
      <c r="F2551" s="13"/>
    </row>
    <row r="2552">
      <c r="D2552" s="13"/>
      <c r="E2552" s="13"/>
      <c r="F2552" s="13"/>
    </row>
    <row r="2553">
      <c r="D2553" s="13"/>
      <c r="E2553" s="13"/>
      <c r="F2553" s="13"/>
    </row>
    <row r="2554">
      <c r="D2554" s="13"/>
      <c r="E2554" s="13"/>
      <c r="F2554" s="13"/>
    </row>
    <row r="2555">
      <c r="D2555" s="13"/>
      <c r="E2555" s="13"/>
      <c r="F2555" s="13"/>
    </row>
    <row r="2556">
      <c r="D2556" s="13"/>
      <c r="E2556" s="13"/>
      <c r="F2556" s="13"/>
    </row>
    <row r="2557">
      <c r="D2557" s="13"/>
      <c r="E2557" s="13"/>
      <c r="F2557" s="13"/>
    </row>
    <row r="2558">
      <c r="D2558" s="13"/>
      <c r="E2558" s="13"/>
      <c r="F2558" s="13"/>
    </row>
    <row r="2559">
      <c r="D2559" s="13"/>
      <c r="E2559" s="13"/>
      <c r="F2559" s="13"/>
    </row>
    <row r="2560">
      <c r="D2560" s="13"/>
      <c r="E2560" s="13"/>
      <c r="F2560" s="13"/>
    </row>
    <row r="2561">
      <c r="D2561" s="13"/>
      <c r="E2561" s="13"/>
      <c r="F2561" s="13"/>
    </row>
    <row r="2562">
      <c r="D2562" s="13"/>
      <c r="E2562" s="13"/>
      <c r="F2562" s="13"/>
    </row>
    <row r="2563">
      <c r="D2563" s="13"/>
      <c r="E2563" s="13"/>
      <c r="F2563" s="13"/>
    </row>
    <row r="2564">
      <c r="D2564" s="13"/>
      <c r="E2564" s="13"/>
      <c r="F2564" s="13"/>
    </row>
    <row r="2565">
      <c r="D2565" s="13"/>
      <c r="E2565" s="13"/>
      <c r="F2565" s="13"/>
    </row>
    <row r="2566">
      <c r="D2566" s="13"/>
      <c r="E2566" s="13"/>
      <c r="F2566" s="13"/>
    </row>
    <row r="2567">
      <c r="D2567" s="13"/>
      <c r="E2567" s="13"/>
      <c r="F2567" s="13"/>
    </row>
    <row r="2568">
      <c r="D2568" s="13"/>
      <c r="E2568" s="13"/>
      <c r="F2568" s="13"/>
    </row>
    <row r="2569">
      <c r="D2569" s="13"/>
      <c r="E2569" s="13"/>
      <c r="F2569" s="13"/>
    </row>
    <row r="2570">
      <c r="D2570" s="13"/>
      <c r="E2570" s="13"/>
      <c r="F2570" s="13"/>
    </row>
    <row r="2571">
      <c r="D2571" s="13"/>
      <c r="E2571" s="13"/>
      <c r="F2571" s="13"/>
    </row>
    <row r="2572">
      <c r="D2572" s="13"/>
      <c r="E2572" s="13"/>
      <c r="F2572" s="13"/>
    </row>
    <row r="2573">
      <c r="D2573" s="13"/>
      <c r="E2573" s="13"/>
      <c r="F2573" s="13"/>
    </row>
    <row r="2574">
      <c r="D2574" s="13"/>
      <c r="E2574" s="13"/>
      <c r="F2574" s="13"/>
    </row>
    <row r="2575">
      <c r="D2575" s="13"/>
      <c r="E2575" s="13"/>
      <c r="F2575" s="13"/>
    </row>
    <row r="2576">
      <c r="D2576" s="13"/>
      <c r="E2576" s="13"/>
      <c r="F2576" s="13"/>
    </row>
    <row r="2577">
      <c r="D2577" s="13"/>
      <c r="E2577" s="13"/>
      <c r="F2577" s="13"/>
    </row>
    <row r="2578">
      <c r="D2578" s="13"/>
      <c r="E2578" s="13"/>
      <c r="F2578" s="13"/>
    </row>
    <row r="2579">
      <c r="D2579" s="13"/>
      <c r="E2579" s="13"/>
      <c r="F2579" s="13"/>
    </row>
    <row r="2580">
      <c r="D2580" s="13"/>
      <c r="E2580" s="13"/>
      <c r="F2580" s="13"/>
    </row>
    <row r="2581">
      <c r="D2581" s="13"/>
      <c r="E2581" s="13"/>
      <c r="F2581" s="13"/>
    </row>
    <row r="2582">
      <c r="D2582" s="13"/>
      <c r="E2582" s="13"/>
      <c r="F2582" s="13"/>
    </row>
    <row r="2583">
      <c r="D2583" s="13"/>
      <c r="E2583" s="13"/>
      <c r="F2583" s="13"/>
    </row>
    <row r="2584">
      <c r="D2584" s="13"/>
      <c r="E2584" s="13"/>
      <c r="F2584" s="13"/>
    </row>
    <row r="2585">
      <c r="D2585" s="13"/>
      <c r="E2585" s="13"/>
      <c r="F2585" s="13"/>
    </row>
    <row r="2586">
      <c r="D2586" s="13"/>
      <c r="E2586" s="13"/>
      <c r="F2586" s="13"/>
    </row>
    <row r="2587">
      <c r="D2587" s="13"/>
      <c r="E2587" s="13"/>
      <c r="F2587" s="13"/>
    </row>
    <row r="2588">
      <c r="D2588" s="13"/>
      <c r="E2588" s="13"/>
      <c r="F2588" s="13"/>
    </row>
    <row r="2589">
      <c r="D2589" s="13"/>
      <c r="E2589" s="13"/>
      <c r="F2589" s="13"/>
    </row>
    <row r="2590">
      <c r="D2590" s="13"/>
      <c r="E2590" s="13"/>
      <c r="F2590" s="13"/>
    </row>
    <row r="2591">
      <c r="D2591" s="13"/>
      <c r="E2591" s="13"/>
      <c r="F2591" s="13"/>
    </row>
    <row r="2592">
      <c r="D2592" s="13"/>
      <c r="E2592" s="13"/>
      <c r="F2592" s="13"/>
    </row>
    <row r="2593">
      <c r="D2593" s="13"/>
      <c r="E2593" s="13"/>
      <c r="F2593" s="13"/>
    </row>
    <row r="2594">
      <c r="D2594" s="13"/>
      <c r="E2594" s="13"/>
      <c r="F2594" s="13"/>
    </row>
    <row r="2595">
      <c r="D2595" s="13"/>
      <c r="E2595" s="13"/>
      <c r="F2595" s="13"/>
    </row>
    <row r="2596">
      <c r="D2596" s="13"/>
      <c r="E2596" s="13"/>
      <c r="F2596" s="13"/>
    </row>
    <row r="2597">
      <c r="D2597" s="13"/>
      <c r="E2597" s="13"/>
      <c r="F2597" s="13"/>
    </row>
    <row r="2598">
      <c r="D2598" s="13"/>
      <c r="E2598" s="13"/>
      <c r="F2598" s="13"/>
    </row>
    <row r="2599">
      <c r="D2599" s="13"/>
      <c r="E2599" s="13"/>
      <c r="F2599" s="13"/>
    </row>
    <row r="2600">
      <c r="D2600" s="13"/>
      <c r="E2600" s="13"/>
      <c r="F2600" s="13"/>
    </row>
    <row r="2601">
      <c r="D2601" s="13"/>
      <c r="E2601" s="13"/>
      <c r="F2601" s="13"/>
    </row>
    <row r="2602">
      <c r="D2602" s="13"/>
      <c r="E2602" s="13"/>
      <c r="F2602" s="13"/>
    </row>
    <row r="2603">
      <c r="D2603" s="13"/>
      <c r="E2603" s="13"/>
      <c r="F2603" s="13"/>
    </row>
    <row r="2604">
      <c r="D2604" s="13"/>
      <c r="E2604" s="13"/>
      <c r="F2604" s="13"/>
    </row>
    <row r="2605">
      <c r="D2605" s="13"/>
      <c r="E2605" s="13"/>
      <c r="F2605" s="13"/>
    </row>
    <row r="2606">
      <c r="D2606" s="13"/>
      <c r="E2606" s="13"/>
      <c r="F2606" s="13"/>
    </row>
    <row r="2607">
      <c r="D2607" s="13"/>
      <c r="E2607" s="13"/>
      <c r="F2607" s="13"/>
    </row>
    <row r="2608">
      <c r="D2608" s="13"/>
      <c r="E2608" s="13"/>
      <c r="F2608" s="13"/>
    </row>
    <row r="2609">
      <c r="D2609" s="13"/>
      <c r="E2609" s="13"/>
      <c r="F2609" s="13"/>
    </row>
    <row r="2610">
      <c r="D2610" s="13"/>
      <c r="E2610" s="13"/>
      <c r="F2610" s="13"/>
    </row>
    <row r="2611">
      <c r="D2611" s="13"/>
      <c r="E2611" s="13"/>
      <c r="F2611" s="13"/>
    </row>
    <row r="2612">
      <c r="D2612" s="13"/>
      <c r="E2612" s="13"/>
      <c r="F2612" s="13"/>
    </row>
    <row r="2613">
      <c r="D2613" s="13"/>
      <c r="E2613" s="13"/>
      <c r="F2613" s="13"/>
    </row>
    <row r="2614">
      <c r="D2614" s="13"/>
      <c r="E2614" s="13"/>
      <c r="F2614" s="13"/>
    </row>
    <row r="2615">
      <c r="D2615" s="13"/>
      <c r="E2615" s="13"/>
      <c r="F2615" s="13"/>
    </row>
    <row r="2616">
      <c r="D2616" s="13"/>
      <c r="E2616" s="13"/>
      <c r="F2616" s="13"/>
    </row>
    <row r="2617">
      <c r="D2617" s="13"/>
      <c r="E2617" s="13"/>
      <c r="F2617" s="13"/>
    </row>
    <row r="2618">
      <c r="D2618" s="13"/>
      <c r="E2618" s="13"/>
      <c r="F2618" s="13"/>
    </row>
    <row r="2619">
      <c r="D2619" s="13"/>
      <c r="E2619" s="13"/>
      <c r="F2619" s="13"/>
    </row>
    <row r="2620">
      <c r="D2620" s="13"/>
      <c r="E2620" s="13"/>
      <c r="F2620" s="13"/>
    </row>
    <row r="2621">
      <c r="D2621" s="13"/>
      <c r="E2621" s="13"/>
      <c r="F2621" s="13"/>
    </row>
    <row r="2622">
      <c r="D2622" s="13"/>
      <c r="E2622" s="13"/>
      <c r="F2622" s="13"/>
    </row>
    <row r="2623">
      <c r="D2623" s="13"/>
      <c r="E2623" s="13"/>
      <c r="F2623" s="13"/>
    </row>
    <row r="2624">
      <c r="D2624" s="13"/>
      <c r="E2624" s="13"/>
      <c r="F2624" s="13"/>
    </row>
    <row r="2625">
      <c r="D2625" s="13"/>
      <c r="E2625" s="13"/>
      <c r="F2625" s="13"/>
    </row>
    <row r="2626">
      <c r="D2626" s="13"/>
      <c r="E2626" s="13"/>
      <c r="F2626" s="13"/>
    </row>
    <row r="2627">
      <c r="D2627" s="13"/>
      <c r="E2627" s="13"/>
      <c r="F2627" s="13"/>
    </row>
    <row r="2628">
      <c r="D2628" s="13"/>
      <c r="E2628" s="13"/>
      <c r="F2628" s="13"/>
    </row>
    <row r="2629">
      <c r="D2629" s="13"/>
      <c r="E2629" s="13"/>
      <c r="F2629" s="13"/>
    </row>
    <row r="2630">
      <c r="D2630" s="13"/>
      <c r="E2630" s="13"/>
      <c r="F2630" s="13"/>
    </row>
    <row r="2631">
      <c r="D2631" s="13"/>
      <c r="E2631" s="13"/>
      <c r="F2631" s="13"/>
    </row>
    <row r="2632">
      <c r="D2632" s="13"/>
      <c r="E2632" s="13"/>
      <c r="F2632" s="13"/>
    </row>
    <row r="2633">
      <c r="D2633" s="13"/>
      <c r="E2633" s="13"/>
      <c r="F2633" s="13"/>
    </row>
    <row r="2634">
      <c r="D2634" s="13"/>
      <c r="E2634" s="13"/>
      <c r="F2634" s="13"/>
    </row>
    <row r="2635">
      <c r="D2635" s="13"/>
      <c r="E2635" s="13"/>
      <c r="F2635" s="13"/>
    </row>
    <row r="2636">
      <c r="D2636" s="13"/>
      <c r="E2636" s="13"/>
      <c r="F2636" s="13"/>
    </row>
    <row r="2637">
      <c r="D2637" s="13"/>
      <c r="E2637" s="13"/>
      <c r="F2637" s="13"/>
    </row>
    <row r="2638">
      <c r="D2638" s="13"/>
      <c r="E2638" s="13"/>
      <c r="F2638" s="13"/>
    </row>
    <row r="2639">
      <c r="D2639" s="13"/>
      <c r="E2639" s="13"/>
      <c r="F2639" s="13"/>
    </row>
    <row r="2640">
      <c r="D2640" s="13"/>
      <c r="E2640" s="13"/>
      <c r="F2640" s="13"/>
    </row>
    <row r="2641">
      <c r="D2641" s="13"/>
      <c r="E2641" s="13"/>
      <c r="F2641" s="13"/>
    </row>
    <row r="2642">
      <c r="D2642" s="13"/>
      <c r="E2642" s="13"/>
      <c r="F2642" s="13"/>
    </row>
    <row r="2643">
      <c r="D2643" s="13"/>
      <c r="E2643" s="13"/>
      <c r="F2643" s="13"/>
    </row>
    <row r="2644">
      <c r="D2644" s="13"/>
      <c r="E2644" s="13"/>
      <c r="F2644" s="13"/>
    </row>
    <row r="2645">
      <c r="D2645" s="13"/>
      <c r="E2645" s="13"/>
      <c r="F2645" s="13"/>
    </row>
    <row r="2646">
      <c r="D2646" s="13"/>
      <c r="E2646" s="13"/>
      <c r="F2646" s="13"/>
    </row>
    <row r="2647">
      <c r="D2647" s="13"/>
      <c r="E2647" s="13"/>
      <c r="F2647" s="13"/>
    </row>
    <row r="2648">
      <c r="D2648" s="13"/>
      <c r="E2648" s="13"/>
      <c r="F2648" s="13"/>
    </row>
    <row r="2649">
      <c r="D2649" s="13"/>
      <c r="E2649" s="13"/>
      <c r="F2649" s="13"/>
    </row>
    <row r="2650">
      <c r="D2650" s="13"/>
      <c r="E2650" s="13"/>
      <c r="F2650" s="13"/>
    </row>
    <row r="2651">
      <c r="D2651" s="13"/>
      <c r="E2651" s="13"/>
      <c r="F2651" s="13"/>
    </row>
    <row r="2652">
      <c r="D2652" s="13"/>
      <c r="E2652" s="13"/>
      <c r="F2652" s="13"/>
    </row>
    <row r="2653">
      <c r="D2653" s="13"/>
      <c r="E2653" s="13"/>
      <c r="F2653" s="13"/>
    </row>
    <row r="2654">
      <c r="D2654" s="13"/>
      <c r="E2654" s="13"/>
      <c r="F2654" s="13"/>
    </row>
    <row r="2655">
      <c r="D2655" s="13"/>
      <c r="E2655" s="13"/>
      <c r="F2655" s="13"/>
    </row>
    <row r="2656">
      <c r="D2656" s="13"/>
      <c r="E2656" s="13"/>
      <c r="F2656" s="13"/>
    </row>
    <row r="2657">
      <c r="D2657" s="13"/>
      <c r="E2657" s="13"/>
      <c r="F2657" s="13"/>
    </row>
    <row r="2658">
      <c r="D2658" s="13"/>
      <c r="E2658" s="13"/>
      <c r="F2658" s="13"/>
    </row>
    <row r="2659">
      <c r="D2659" s="13"/>
      <c r="E2659" s="13"/>
      <c r="F2659" s="13"/>
    </row>
    <row r="2660">
      <c r="D2660" s="13"/>
      <c r="E2660" s="13"/>
      <c r="F2660" s="13"/>
    </row>
    <row r="2661">
      <c r="D2661" s="13"/>
      <c r="E2661" s="13"/>
      <c r="F2661" s="13"/>
    </row>
    <row r="2662">
      <c r="D2662" s="13"/>
      <c r="E2662" s="13"/>
      <c r="F2662" s="13"/>
    </row>
    <row r="2663">
      <c r="D2663" s="13"/>
      <c r="E2663" s="13"/>
      <c r="F2663" s="13"/>
    </row>
    <row r="2664">
      <c r="D2664" s="13"/>
      <c r="E2664" s="13"/>
      <c r="F2664" s="13"/>
    </row>
    <row r="2665">
      <c r="D2665" s="13"/>
      <c r="E2665" s="13"/>
      <c r="F2665" s="13"/>
    </row>
    <row r="2666">
      <c r="D2666" s="13"/>
      <c r="E2666" s="13"/>
      <c r="F2666" s="13"/>
    </row>
    <row r="2667">
      <c r="D2667" s="13"/>
      <c r="E2667" s="13"/>
      <c r="F2667" s="13"/>
    </row>
    <row r="2668">
      <c r="D2668" s="13"/>
      <c r="E2668" s="13"/>
      <c r="F2668" s="13"/>
    </row>
    <row r="2669">
      <c r="D2669" s="13"/>
      <c r="E2669" s="13"/>
      <c r="F2669" s="13"/>
    </row>
    <row r="2670">
      <c r="D2670" s="13"/>
      <c r="E2670" s="13"/>
      <c r="F2670" s="13"/>
    </row>
    <row r="2671">
      <c r="D2671" s="13"/>
      <c r="E2671" s="13"/>
      <c r="F2671" s="13"/>
    </row>
    <row r="2672">
      <c r="D2672" s="13"/>
      <c r="E2672" s="13"/>
      <c r="F2672" s="13"/>
    </row>
    <row r="2673">
      <c r="D2673" s="13"/>
      <c r="E2673" s="13"/>
      <c r="F2673" s="13"/>
    </row>
    <row r="2674">
      <c r="D2674" s="13"/>
      <c r="E2674" s="13"/>
      <c r="F2674" s="13"/>
    </row>
    <row r="2675">
      <c r="D2675" s="13"/>
      <c r="E2675" s="13"/>
      <c r="F2675" s="13"/>
    </row>
    <row r="2676">
      <c r="D2676" s="13"/>
      <c r="E2676" s="13"/>
      <c r="F2676" s="13"/>
    </row>
    <row r="2677">
      <c r="D2677" s="13"/>
      <c r="E2677" s="13"/>
      <c r="F2677" s="13"/>
    </row>
    <row r="2678">
      <c r="D2678" s="13"/>
      <c r="E2678" s="13"/>
      <c r="F2678" s="13"/>
    </row>
    <row r="2679">
      <c r="D2679" s="13"/>
      <c r="E2679" s="13"/>
      <c r="F2679" s="13"/>
    </row>
    <row r="2680">
      <c r="D2680" s="13"/>
      <c r="E2680" s="13"/>
      <c r="F2680" s="13"/>
    </row>
    <row r="2681">
      <c r="D2681" s="13"/>
      <c r="E2681" s="13"/>
      <c r="F2681" s="13"/>
    </row>
    <row r="2682">
      <c r="D2682" s="13"/>
      <c r="E2682" s="13"/>
      <c r="F2682" s="13"/>
    </row>
    <row r="2683">
      <c r="D2683" s="13"/>
      <c r="E2683" s="13"/>
      <c r="F2683" s="13"/>
    </row>
    <row r="2684">
      <c r="D2684" s="13"/>
      <c r="E2684" s="13"/>
      <c r="F2684" s="13"/>
    </row>
    <row r="2685">
      <c r="D2685" s="13"/>
      <c r="E2685" s="13"/>
      <c r="F2685" s="13"/>
    </row>
    <row r="2686">
      <c r="D2686" s="13"/>
      <c r="E2686" s="13"/>
      <c r="F2686" s="13"/>
    </row>
    <row r="2687">
      <c r="D2687" s="13"/>
      <c r="E2687" s="13"/>
      <c r="F2687" s="13"/>
    </row>
    <row r="2688">
      <c r="D2688" s="13"/>
      <c r="E2688" s="13"/>
      <c r="F2688" s="13"/>
    </row>
    <row r="2689">
      <c r="D2689" s="13"/>
      <c r="E2689" s="13"/>
      <c r="F2689" s="13"/>
    </row>
    <row r="2690">
      <c r="D2690" s="13"/>
      <c r="E2690" s="13"/>
      <c r="F2690" s="13"/>
    </row>
    <row r="2691">
      <c r="D2691" s="13"/>
      <c r="E2691" s="13"/>
      <c r="F2691" s="13"/>
    </row>
    <row r="2692">
      <c r="D2692" s="13"/>
      <c r="E2692" s="13"/>
      <c r="F2692" s="13"/>
    </row>
    <row r="2693">
      <c r="D2693" s="13"/>
      <c r="E2693" s="13"/>
      <c r="F2693" s="13"/>
    </row>
    <row r="2694">
      <c r="D2694" s="13"/>
      <c r="E2694" s="13"/>
      <c r="F2694" s="13"/>
    </row>
    <row r="2695">
      <c r="D2695" s="13"/>
      <c r="E2695" s="13"/>
      <c r="F2695" s="13"/>
    </row>
    <row r="2696">
      <c r="D2696" s="13"/>
      <c r="E2696" s="13"/>
      <c r="F2696" s="13"/>
    </row>
    <row r="2697">
      <c r="D2697" s="13"/>
      <c r="E2697" s="13"/>
      <c r="F2697" s="13"/>
    </row>
    <row r="2698">
      <c r="D2698" s="13"/>
      <c r="E2698" s="13"/>
      <c r="F2698" s="13"/>
    </row>
    <row r="2699">
      <c r="D2699" s="13"/>
      <c r="E2699" s="13"/>
      <c r="F2699" s="13"/>
    </row>
    <row r="2700">
      <c r="D2700" s="13"/>
      <c r="E2700" s="13"/>
      <c r="F2700" s="13"/>
    </row>
    <row r="2701">
      <c r="D2701" s="13"/>
      <c r="E2701" s="13"/>
      <c r="F2701" s="13"/>
    </row>
    <row r="2702">
      <c r="D2702" s="13"/>
      <c r="E2702" s="13"/>
      <c r="F2702" s="13"/>
    </row>
    <row r="2703">
      <c r="D2703" s="13"/>
      <c r="E2703" s="13"/>
      <c r="F2703" s="13"/>
    </row>
    <row r="2704">
      <c r="D2704" s="13"/>
      <c r="E2704" s="13"/>
      <c r="F2704" s="13"/>
    </row>
    <row r="2705">
      <c r="D2705" s="13"/>
      <c r="E2705" s="13"/>
      <c r="F2705" s="13"/>
    </row>
    <row r="2706">
      <c r="D2706" s="13"/>
      <c r="E2706" s="13"/>
      <c r="F2706" s="13"/>
    </row>
    <row r="2707">
      <c r="D2707" s="13"/>
      <c r="E2707" s="13"/>
      <c r="F2707" s="13"/>
    </row>
    <row r="2708">
      <c r="D2708" s="13"/>
      <c r="E2708" s="13"/>
      <c r="F2708" s="13"/>
    </row>
    <row r="2709">
      <c r="D2709" s="13"/>
      <c r="E2709" s="13"/>
      <c r="F2709" s="13"/>
    </row>
    <row r="2710">
      <c r="D2710" s="13"/>
      <c r="E2710" s="13"/>
      <c r="F2710" s="13"/>
    </row>
    <row r="2711">
      <c r="D2711" s="13"/>
      <c r="E2711" s="13"/>
      <c r="F2711" s="13"/>
    </row>
    <row r="2712">
      <c r="D2712" s="13"/>
      <c r="E2712" s="13"/>
      <c r="F2712" s="13"/>
    </row>
    <row r="2713">
      <c r="D2713" s="13"/>
      <c r="E2713" s="13"/>
      <c r="F2713" s="13"/>
    </row>
    <row r="2714">
      <c r="D2714" s="13"/>
      <c r="E2714" s="13"/>
      <c r="F2714" s="13"/>
    </row>
    <row r="2715">
      <c r="D2715" s="13"/>
      <c r="E2715" s="13"/>
      <c r="F2715" s="13"/>
    </row>
    <row r="2716">
      <c r="D2716" s="13"/>
      <c r="E2716" s="13"/>
      <c r="F2716" s="13"/>
    </row>
    <row r="2717">
      <c r="D2717" s="13"/>
      <c r="E2717" s="13"/>
      <c r="F2717" s="13"/>
    </row>
    <row r="2718">
      <c r="D2718" s="13"/>
      <c r="E2718" s="13"/>
      <c r="F2718" s="13"/>
    </row>
    <row r="2719">
      <c r="D2719" s="13"/>
      <c r="E2719" s="13"/>
      <c r="F2719" s="13"/>
    </row>
    <row r="2720">
      <c r="D2720" s="13"/>
      <c r="E2720" s="13"/>
      <c r="F2720" s="13"/>
    </row>
    <row r="2721">
      <c r="D2721" s="13"/>
      <c r="E2721" s="13"/>
      <c r="F2721" s="13"/>
    </row>
    <row r="2722">
      <c r="D2722" s="13"/>
      <c r="E2722" s="13"/>
      <c r="F2722" s="13"/>
    </row>
    <row r="2723">
      <c r="D2723" s="13"/>
      <c r="E2723" s="13"/>
      <c r="F2723" s="13"/>
    </row>
    <row r="2724">
      <c r="D2724" s="13"/>
      <c r="E2724" s="13"/>
      <c r="F2724" s="13"/>
    </row>
    <row r="2725">
      <c r="D2725" s="13"/>
      <c r="E2725" s="13"/>
      <c r="F2725" s="13"/>
    </row>
    <row r="2726">
      <c r="D2726" s="13"/>
      <c r="E2726" s="13"/>
      <c r="F2726" s="13"/>
    </row>
    <row r="2727">
      <c r="D2727" s="13"/>
      <c r="E2727" s="13"/>
      <c r="F2727" s="13"/>
    </row>
    <row r="2728">
      <c r="D2728" s="13"/>
      <c r="E2728" s="13"/>
      <c r="F2728" s="13"/>
    </row>
    <row r="2729">
      <c r="D2729" s="13"/>
      <c r="E2729" s="13"/>
      <c r="F2729" s="13"/>
    </row>
    <row r="2730">
      <c r="D2730" s="13"/>
      <c r="E2730" s="13"/>
      <c r="F2730" s="13"/>
    </row>
    <row r="2731">
      <c r="D2731" s="13"/>
      <c r="E2731" s="13"/>
      <c r="F2731" s="13"/>
    </row>
    <row r="2732">
      <c r="D2732" s="13"/>
      <c r="E2732" s="13"/>
      <c r="F2732" s="13"/>
    </row>
    <row r="2733">
      <c r="D2733" s="13"/>
      <c r="E2733" s="13"/>
      <c r="F2733" s="13"/>
    </row>
    <row r="2734">
      <c r="D2734" s="13"/>
      <c r="E2734" s="13"/>
      <c r="F2734" s="13"/>
    </row>
    <row r="2735">
      <c r="D2735" s="13"/>
      <c r="E2735" s="13"/>
      <c r="F2735" s="13"/>
    </row>
    <row r="2736">
      <c r="D2736" s="13"/>
      <c r="E2736" s="13"/>
      <c r="F2736" s="13"/>
    </row>
    <row r="2737">
      <c r="D2737" s="13"/>
      <c r="E2737" s="13"/>
      <c r="F2737" s="13"/>
    </row>
    <row r="2738">
      <c r="D2738" s="13"/>
      <c r="E2738" s="13"/>
      <c r="F2738" s="13"/>
    </row>
    <row r="2739">
      <c r="D2739" s="13"/>
      <c r="E2739" s="13"/>
      <c r="F2739" s="13"/>
    </row>
    <row r="2740">
      <c r="D2740" s="13"/>
      <c r="E2740" s="13"/>
      <c r="F2740" s="13"/>
    </row>
    <row r="2741">
      <c r="D2741" s="13"/>
      <c r="E2741" s="13"/>
      <c r="F2741" s="13"/>
    </row>
    <row r="2742">
      <c r="D2742" s="13"/>
      <c r="E2742" s="13"/>
      <c r="F2742" s="13"/>
    </row>
    <row r="2743">
      <c r="D2743" s="13"/>
      <c r="E2743" s="13"/>
      <c r="F2743" s="13"/>
    </row>
    <row r="2744">
      <c r="D2744" s="13"/>
      <c r="E2744" s="13"/>
      <c r="F2744" s="13"/>
    </row>
    <row r="2745">
      <c r="D2745" s="13"/>
      <c r="E2745" s="13"/>
      <c r="F2745" s="13"/>
    </row>
    <row r="2746">
      <c r="D2746" s="13"/>
      <c r="E2746" s="13"/>
      <c r="F2746" s="13"/>
    </row>
    <row r="2747">
      <c r="D2747" s="13"/>
      <c r="E2747" s="13"/>
      <c r="F2747" s="13"/>
    </row>
    <row r="2748">
      <c r="D2748" s="13"/>
      <c r="E2748" s="13"/>
      <c r="F2748" s="13"/>
    </row>
    <row r="2749">
      <c r="D2749" s="13"/>
      <c r="E2749" s="13"/>
      <c r="F2749" s="13"/>
    </row>
    <row r="2750">
      <c r="D2750" s="13"/>
      <c r="E2750" s="13"/>
      <c r="F2750" s="13"/>
    </row>
    <row r="2751">
      <c r="D2751" s="13"/>
      <c r="E2751" s="13"/>
      <c r="F2751" s="13"/>
    </row>
    <row r="2752">
      <c r="D2752" s="13"/>
      <c r="E2752" s="13"/>
      <c r="F2752" s="13"/>
    </row>
    <row r="2753">
      <c r="D2753" s="13"/>
      <c r="E2753" s="13"/>
      <c r="F2753" s="13"/>
    </row>
    <row r="2754">
      <c r="D2754" s="13"/>
      <c r="E2754" s="13"/>
      <c r="F2754" s="13"/>
    </row>
    <row r="2755">
      <c r="D2755" s="13"/>
      <c r="E2755" s="13"/>
      <c r="F2755" s="13"/>
    </row>
    <row r="2756">
      <c r="D2756" s="13"/>
      <c r="E2756" s="13"/>
      <c r="F2756" s="13"/>
    </row>
    <row r="2757">
      <c r="D2757" s="13"/>
      <c r="E2757" s="13"/>
      <c r="F2757" s="13"/>
    </row>
    <row r="2758">
      <c r="D2758" s="13"/>
      <c r="E2758" s="13"/>
      <c r="F2758" s="13"/>
    </row>
    <row r="2759">
      <c r="D2759" s="13"/>
      <c r="E2759" s="13"/>
      <c r="F2759" s="13"/>
    </row>
    <row r="2760">
      <c r="D2760" s="13"/>
      <c r="E2760" s="13"/>
      <c r="F2760" s="13"/>
    </row>
    <row r="2761">
      <c r="D2761" s="13"/>
      <c r="E2761" s="13"/>
      <c r="F2761" s="13"/>
    </row>
    <row r="2762">
      <c r="D2762" s="13"/>
      <c r="E2762" s="13"/>
      <c r="F2762" s="13"/>
    </row>
    <row r="2763">
      <c r="D2763" s="13"/>
      <c r="E2763" s="13"/>
      <c r="F2763" s="13"/>
    </row>
    <row r="2764">
      <c r="D2764" s="13"/>
      <c r="E2764" s="13"/>
      <c r="F2764" s="13"/>
    </row>
    <row r="2765">
      <c r="D2765" s="13"/>
      <c r="E2765" s="13"/>
      <c r="F2765" s="13"/>
    </row>
    <row r="2766">
      <c r="D2766" s="13"/>
      <c r="E2766" s="13"/>
      <c r="F2766" s="13"/>
    </row>
    <row r="2767">
      <c r="D2767" s="13"/>
      <c r="E2767" s="13"/>
      <c r="F2767" s="13"/>
    </row>
    <row r="2768">
      <c r="D2768" s="13"/>
      <c r="E2768" s="13"/>
      <c r="F2768" s="13"/>
    </row>
    <row r="2769">
      <c r="D2769" s="13"/>
      <c r="E2769" s="13"/>
      <c r="F2769" s="13"/>
    </row>
    <row r="2770">
      <c r="D2770" s="13"/>
      <c r="E2770" s="13"/>
      <c r="F2770" s="13"/>
    </row>
    <row r="2771">
      <c r="D2771" s="13"/>
      <c r="E2771" s="13"/>
      <c r="F2771" s="13"/>
    </row>
    <row r="2772">
      <c r="D2772" s="13"/>
      <c r="E2772" s="13"/>
      <c r="F2772" s="13"/>
    </row>
    <row r="2773">
      <c r="D2773" s="13"/>
      <c r="E2773" s="13"/>
      <c r="F2773" s="13"/>
    </row>
    <row r="2774">
      <c r="D2774" s="13"/>
      <c r="E2774" s="13"/>
      <c r="F2774" s="13"/>
    </row>
    <row r="2775">
      <c r="D2775" s="13"/>
      <c r="E2775" s="13"/>
      <c r="F2775" s="13"/>
    </row>
    <row r="2776">
      <c r="D2776" s="13"/>
      <c r="E2776" s="13"/>
      <c r="F2776" s="13"/>
    </row>
    <row r="2777">
      <c r="D2777" s="13"/>
      <c r="E2777" s="13"/>
      <c r="F2777" s="13"/>
    </row>
    <row r="2778">
      <c r="D2778" s="13"/>
      <c r="E2778" s="13"/>
      <c r="F2778" s="13"/>
    </row>
    <row r="2779">
      <c r="D2779" s="13"/>
      <c r="E2779" s="13"/>
      <c r="F2779" s="13"/>
    </row>
    <row r="2780">
      <c r="D2780" s="13"/>
      <c r="E2780" s="13"/>
      <c r="F2780" s="13"/>
    </row>
    <row r="2781">
      <c r="D2781" s="13"/>
      <c r="E2781" s="13"/>
      <c r="F2781" s="13"/>
    </row>
    <row r="2782">
      <c r="D2782" s="13"/>
      <c r="E2782" s="13"/>
      <c r="F2782" s="13"/>
    </row>
    <row r="2783">
      <c r="D2783" s="13"/>
      <c r="E2783" s="13"/>
      <c r="F2783" s="13"/>
    </row>
    <row r="2784">
      <c r="D2784" s="13"/>
      <c r="E2784" s="13"/>
      <c r="F2784" s="13"/>
    </row>
    <row r="2785">
      <c r="D2785" s="13"/>
      <c r="E2785" s="13"/>
      <c r="F2785" s="13"/>
    </row>
    <row r="2786">
      <c r="D2786" s="13"/>
      <c r="E2786" s="13"/>
      <c r="F2786" s="13"/>
    </row>
    <row r="2787">
      <c r="D2787" s="13"/>
      <c r="E2787" s="13"/>
      <c r="F2787" s="13"/>
    </row>
    <row r="2788">
      <c r="D2788" s="13"/>
      <c r="E2788" s="13"/>
      <c r="F2788" s="13"/>
    </row>
    <row r="2789">
      <c r="D2789" s="13"/>
      <c r="E2789" s="13"/>
      <c r="F2789" s="13"/>
    </row>
    <row r="2790">
      <c r="D2790" s="13"/>
      <c r="E2790" s="13"/>
      <c r="F2790" s="13"/>
    </row>
    <row r="2791">
      <c r="D2791" s="13"/>
      <c r="E2791" s="13"/>
      <c r="F2791" s="13"/>
    </row>
    <row r="2792">
      <c r="D2792" s="13"/>
      <c r="E2792" s="13"/>
      <c r="F2792" s="13"/>
    </row>
    <row r="2793">
      <c r="D2793" s="13"/>
      <c r="E2793" s="13"/>
      <c r="F2793" s="13"/>
    </row>
    <row r="2794">
      <c r="D2794" s="13"/>
      <c r="E2794" s="13"/>
      <c r="F2794" s="13"/>
    </row>
    <row r="2795">
      <c r="D2795" s="13"/>
      <c r="E2795" s="13"/>
      <c r="F2795" s="13"/>
    </row>
    <row r="2796">
      <c r="D2796" s="13"/>
      <c r="E2796" s="13"/>
      <c r="F2796" s="13"/>
    </row>
    <row r="2797">
      <c r="D2797" s="13"/>
      <c r="E2797" s="13"/>
      <c r="F2797" s="13"/>
    </row>
    <row r="2798">
      <c r="D2798" s="13"/>
      <c r="E2798" s="13"/>
      <c r="F2798" s="13"/>
    </row>
    <row r="2799">
      <c r="D2799" s="13"/>
      <c r="E2799" s="13"/>
      <c r="F2799" s="13"/>
    </row>
    <row r="2800">
      <c r="D2800" s="13"/>
      <c r="E2800" s="13"/>
      <c r="F2800" s="13"/>
    </row>
    <row r="2801">
      <c r="D2801" s="13"/>
      <c r="E2801" s="13"/>
      <c r="F2801" s="13"/>
    </row>
    <row r="2802">
      <c r="D2802" s="13"/>
      <c r="E2802" s="13"/>
      <c r="F2802" s="13"/>
    </row>
    <row r="2803">
      <c r="D2803" s="13"/>
      <c r="E2803" s="13"/>
      <c r="F2803" s="13"/>
    </row>
    <row r="2804">
      <c r="D2804" s="13"/>
      <c r="E2804" s="13"/>
      <c r="F2804" s="13"/>
    </row>
    <row r="2805">
      <c r="D2805" s="13"/>
      <c r="E2805" s="13"/>
      <c r="F2805" s="13"/>
    </row>
    <row r="2806">
      <c r="D2806" s="13"/>
      <c r="E2806" s="13"/>
      <c r="F2806" s="13"/>
    </row>
    <row r="2807">
      <c r="D2807" s="13"/>
      <c r="E2807" s="13"/>
      <c r="F2807" s="13"/>
    </row>
    <row r="2808">
      <c r="D2808" s="13"/>
      <c r="E2808" s="13"/>
      <c r="F2808" s="13"/>
    </row>
    <row r="2809">
      <c r="D2809" s="13"/>
      <c r="E2809" s="13"/>
      <c r="F2809" s="13"/>
    </row>
    <row r="2810">
      <c r="D2810" s="13"/>
      <c r="E2810" s="13"/>
      <c r="F2810" s="13"/>
    </row>
    <row r="2811">
      <c r="D2811" s="13"/>
      <c r="E2811" s="13"/>
      <c r="F2811" s="13"/>
    </row>
    <row r="2812">
      <c r="D2812" s="13"/>
      <c r="E2812" s="13"/>
      <c r="F2812" s="13"/>
    </row>
    <row r="2813">
      <c r="D2813" s="13"/>
      <c r="E2813" s="13"/>
      <c r="F2813" s="13"/>
    </row>
    <row r="2814">
      <c r="D2814" s="13"/>
      <c r="E2814" s="13"/>
      <c r="F2814" s="13"/>
    </row>
    <row r="2815">
      <c r="D2815" s="13"/>
      <c r="E2815" s="13"/>
      <c r="F2815" s="13"/>
    </row>
    <row r="2816">
      <c r="D2816" s="13"/>
      <c r="E2816" s="13"/>
      <c r="F2816" s="13"/>
    </row>
    <row r="2817">
      <c r="D2817" s="13"/>
      <c r="E2817" s="13"/>
      <c r="F2817" s="13"/>
    </row>
    <row r="2818">
      <c r="D2818" s="13"/>
      <c r="E2818" s="13"/>
      <c r="F2818" s="13"/>
    </row>
    <row r="2819">
      <c r="D2819" s="13"/>
      <c r="E2819" s="13"/>
      <c r="F2819" s="13"/>
    </row>
    <row r="2820">
      <c r="D2820" s="13"/>
      <c r="E2820" s="13"/>
      <c r="F2820" s="13"/>
    </row>
    <row r="2821">
      <c r="D2821" s="13"/>
      <c r="E2821" s="13"/>
      <c r="F2821" s="13"/>
    </row>
    <row r="2822">
      <c r="D2822" s="13"/>
      <c r="E2822" s="13"/>
      <c r="F2822" s="13"/>
    </row>
    <row r="2823">
      <c r="D2823" s="13"/>
      <c r="E2823" s="13"/>
      <c r="F2823" s="13"/>
    </row>
    <row r="2824">
      <c r="D2824" s="13"/>
      <c r="E2824" s="13"/>
      <c r="F2824" s="13"/>
    </row>
    <row r="2825">
      <c r="D2825" s="13"/>
      <c r="E2825" s="13"/>
      <c r="F2825" s="13"/>
    </row>
    <row r="2826">
      <c r="D2826" s="13"/>
      <c r="E2826" s="13"/>
      <c r="F2826" s="13"/>
    </row>
    <row r="2827">
      <c r="D2827" s="13"/>
      <c r="E2827" s="13"/>
      <c r="F2827" s="13"/>
    </row>
    <row r="2828">
      <c r="D2828" s="13"/>
      <c r="E2828" s="13"/>
      <c r="F2828" s="13"/>
    </row>
    <row r="2829">
      <c r="D2829" s="13"/>
      <c r="E2829" s="13"/>
      <c r="F2829" s="13"/>
    </row>
    <row r="2830">
      <c r="D2830" s="13"/>
      <c r="E2830" s="13"/>
      <c r="F2830" s="13"/>
    </row>
    <row r="2831">
      <c r="D2831" s="13"/>
      <c r="E2831" s="13"/>
      <c r="F2831" s="13"/>
    </row>
    <row r="2832">
      <c r="D2832" s="13"/>
      <c r="E2832" s="13"/>
      <c r="F2832" s="13"/>
    </row>
    <row r="2833">
      <c r="D2833" s="13"/>
      <c r="E2833" s="13"/>
      <c r="F2833" s="13"/>
    </row>
    <row r="2834">
      <c r="D2834" s="13"/>
      <c r="E2834" s="13"/>
      <c r="F2834" s="13"/>
    </row>
    <row r="2835">
      <c r="D2835" s="13"/>
      <c r="E2835" s="13"/>
      <c r="F2835" s="13"/>
    </row>
    <row r="2836">
      <c r="D2836" s="13"/>
      <c r="E2836" s="13"/>
      <c r="F2836" s="13"/>
    </row>
    <row r="2837">
      <c r="D2837" s="13"/>
      <c r="E2837" s="13"/>
      <c r="F2837" s="13"/>
    </row>
    <row r="2838">
      <c r="D2838" s="13"/>
      <c r="E2838" s="13"/>
      <c r="F2838" s="13"/>
    </row>
    <row r="2839">
      <c r="D2839" s="13"/>
      <c r="E2839" s="13"/>
      <c r="F2839" s="13"/>
    </row>
    <row r="2840">
      <c r="D2840" s="13"/>
      <c r="E2840" s="13"/>
      <c r="F2840" s="13"/>
    </row>
    <row r="2841">
      <c r="D2841" s="13"/>
      <c r="E2841" s="13"/>
      <c r="F2841" s="13"/>
    </row>
    <row r="2842">
      <c r="D2842" s="13"/>
      <c r="E2842" s="13"/>
      <c r="F2842" s="13"/>
    </row>
    <row r="2843">
      <c r="D2843" s="13"/>
      <c r="E2843" s="13"/>
      <c r="F2843" s="13"/>
    </row>
    <row r="2844">
      <c r="D2844" s="13"/>
      <c r="E2844" s="13"/>
      <c r="F2844" s="13"/>
    </row>
    <row r="2845">
      <c r="D2845" s="13"/>
      <c r="E2845" s="13"/>
      <c r="F2845" s="13"/>
    </row>
    <row r="2846">
      <c r="D2846" s="13"/>
      <c r="E2846" s="13"/>
      <c r="F2846" s="13"/>
    </row>
    <row r="2847">
      <c r="D2847" s="13"/>
      <c r="E2847" s="13"/>
      <c r="F2847" s="13"/>
    </row>
    <row r="2848">
      <c r="D2848" s="13"/>
      <c r="E2848" s="13"/>
      <c r="F2848" s="13"/>
    </row>
    <row r="2849">
      <c r="D2849" s="13"/>
      <c r="E2849" s="13"/>
      <c r="F2849" s="13"/>
    </row>
    <row r="2850">
      <c r="D2850" s="13"/>
      <c r="E2850" s="13"/>
      <c r="F2850" s="13"/>
    </row>
    <row r="2851">
      <c r="D2851" s="13"/>
      <c r="E2851" s="13"/>
      <c r="F2851" s="13"/>
    </row>
    <row r="2852">
      <c r="D2852" s="13"/>
      <c r="E2852" s="13"/>
      <c r="F2852" s="13"/>
    </row>
    <row r="2853">
      <c r="D2853" s="13"/>
      <c r="E2853" s="13"/>
      <c r="F2853" s="13"/>
    </row>
    <row r="2854">
      <c r="D2854" s="13"/>
      <c r="E2854" s="13"/>
      <c r="F2854" s="13"/>
    </row>
    <row r="2855">
      <c r="D2855" s="13"/>
      <c r="E2855" s="13"/>
      <c r="F2855" s="13"/>
    </row>
    <row r="2856">
      <c r="D2856" s="13"/>
      <c r="E2856" s="13"/>
      <c r="F2856" s="13"/>
    </row>
    <row r="2857">
      <c r="D2857" s="13"/>
      <c r="E2857" s="13"/>
      <c r="F2857" s="13"/>
    </row>
    <row r="2858">
      <c r="D2858" s="13"/>
      <c r="E2858" s="13"/>
      <c r="F2858" s="13"/>
    </row>
    <row r="2859">
      <c r="D2859" s="13"/>
      <c r="E2859" s="13"/>
      <c r="F2859" s="13"/>
    </row>
    <row r="2860">
      <c r="D2860" s="13"/>
      <c r="E2860" s="13"/>
      <c r="F2860" s="13"/>
    </row>
    <row r="2861">
      <c r="D2861" s="13"/>
      <c r="E2861" s="13"/>
      <c r="F2861" s="13"/>
    </row>
    <row r="2862">
      <c r="D2862" s="13"/>
      <c r="E2862" s="13"/>
      <c r="F2862" s="13"/>
    </row>
    <row r="2863">
      <c r="D2863" s="13"/>
      <c r="E2863" s="13"/>
      <c r="F2863" s="13"/>
    </row>
    <row r="2864">
      <c r="D2864" s="13"/>
      <c r="E2864" s="13"/>
      <c r="F2864" s="13"/>
    </row>
    <row r="2865">
      <c r="D2865" s="13"/>
      <c r="E2865" s="13"/>
      <c r="F2865" s="13"/>
    </row>
    <row r="2866">
      <c r="D2866" s="13"/>
      <c r="E2866" s="13"/>
      <c r="F2866" s="13"/>
    </row>
    <row r="2867">
      <c r="D2867" s="13"/>
      <c r="E2867" s="13"/>
      <c r="F2867" s="13"/>
    </row>
    <row r="2868">
      <c r="D2868" s="13"/>
      <c r="E2868" s="13"/>
      <c r="F2868" s="13"/>
    </row>
    <row r="2869">
      <c r="D2869" s="13"/>
      <c r="E2869" s="13"/>
      <c r="F2869" s="13"/>
    </row>
    <row r="2870">
      <c r="D2870" s="13"/>
      <c r="E2870" s="13"/>
      <c r="F2870" s="13"/>
    </row>
    <row r="2871">
      <c r="D2871" s="13"/>
      <c r="E2871" s="13"/>
      <c r="F2871" s="13"/>
    </row>
    <row r="2872">
      <c r="D2872" s="13"/>
      <c r="E2872" s="13"/>
      <c r="F2872" s="13"/>
    </row>
    <row r="2873">
      <c r="D2873" s="13"/>
      <c r="E2873" s="13"/>
      <c r="F2873" s="13"/>
    </row>
    <row r="2874">
      <c r="D2874" s="13"/>
      <c r="E2874" s="13"/>
      <c r="F2874" s="13"/>
    </row>
    <row r="2875">
      <c r="D2875" s="13"/>
      <c r="E2875" s="13"/>
      <c r="F2875" s="13"/>
    </row>
    <row r="2876">
      <c r="D2876" s="13"/>
      <c r="E2876" s="13"/>
      <c r="F2876" s="13"/>
    </row>
    <row r="2877">
      <c r="D2877" s="13"/>
      <c r="E2877" s="13"/>
      <c r="F2877" s="13"/>
    </row>
    <row r="2878">
      <c r="D2878" s="13"/>
      <c r="E2878" s="13"/>
      <c r="F2878" s="13"/>
    </row>
    <row r="2879">
      <c r="D2879" s="13"/>
      <c r="E2879" s="13"/>
      <c r="F2879" s="13"/>
    </row>
    <row r="2880">
      <c r="D2880" s="13"/>
      <c r="E2880" s="13"/>
      <c r="F2880" s="13"/>
    </row>
    <row r="2881">
      <c r="D2881" s="13"/>
      <c r="E2881" s="13"/>
      <c r="F2881" s="13"/>
    </row>
    <row r="2882">
      <c r="D2882" s="13"/>
      <c r="E2882" s="13"/>
      <c r="F2882" s="13"/>
    </row>
    <row r="2883">
      <c r="D2883" s="13"/>
      <c r="E2883" s="13"/>
      <c r="F2883" s="13"/>
    </row>
    <row r="2884">
      <c r="D2884" s="13"/>
      <c r="E2884" s="13"/>
      <c r="F2884" s="13"/>
    </row>
    <row r="2885">
      <c r="D2885" s="13"/>
      <c r="E2885" s="13"/>
      <c r="F2885" s="13"/>
    </row>
    <row r="2886">
      <c r="D2886" s="13"/>
      <c r="E2886" s="13"/>
      <c r="F2886" s="13"/>
    </row>
    <row r="2887">
      <c r="D2887" s="13"/>
      <c r="E2887" s="13"/>
      <c r="F2887" s="13"/>
    </row>
    <row r="2888">
      <c r="D2888" s="13"/>
      <c r="E2888" s="13"/>
      <c r="F2888" s="13"/>
    </row>
    <row r="2889">
      <c r="D2889" s="13"/>
      <c r="E2889" s="13"/>
      <c r="F2889" s="13"/>
    </row>
    <row r="2890">
      <c r="D2890" s="13"/>
      <c r="E2890" s="13"/>
      <c r="F2890" s="13"/>
    </row>
    <row r="2891">
      <c r="D2891" s="13"/>
      <c r="E2891" s="13"/>
      <c r="F2891" s="13"/>
    </row>
    <row r="2892">
      <c r="D2892" s="13"/>
      <c r="E2892" s="13"/>
      <c r="F2892" s="13"/>
    </row>
    <row r="2893">
      <c r="D2893" s="13"/>
      <c r="E2893" s="13"/>
      <c r="F2893" s="13"/>
    </row>
    <row r="2894">
      <c r="D2894" s="13"/>
      <c r="E2894" s="13"/>
      <c r="F2894" s="13"/>
    </row>
    <row r="2895">
      <c r="D2895" s="13"/>
      <c r="E2895" s="13"/>
      <c r="F2895" s="13"/>
    </row>
    <row r="2896">
      <c r="D2896" s="13"/>
      <c r="E2896" s="13"/>
      <c r="F2896" s="13"/>
    </row>
    <row r="2897">
      <c r="D2897" s="13"/>
      <c r="E2897" s="13"/>
      <c r="F2897" s="13"/>
    </row>
    <row r="2898">
      <c r="D2898" s="13"/>
      <c r="E2898" s="13"/>
      <c r="F2898" s="13"/>
    </row>
    <row r="2899">
      <c r="D2899" s="13"/>
      <c r="E2899" s="13"/>
      <c r="F2899" s="13"/>
    </row>
    <row r="2900">
      <c r="D2900" s="13"/>
      <c r="E2900" s="13"/>
      <c r="F2900" s="13"/>
    </row>
    <row r="2901">
      <c r="D2901" s="13"/>
      <c r="E2901" s="13"/>
      <c r="F2901" s="13"/>
    </row>
    <row r="2902">
      <c r="D2902" s="13"/>
      <c r="E2902" s="13"/>
      <c r="F2902" s="13"/>
    </row>
    <row r="2903">
      <c r="D2903" s="13"/>
      <c r="E2903" s="13"/>
      <c r="F2903" s="13"/>
    </row>
    <row r="2904">
      <c r="D2904" s="13"/>
      <c r="E2904" s="13"/>
      <c r="F2904" s="13"/>
    </row>
    <row r="2905">
      <c r="D2905" s="13"/>
      <c r="E2905" s="13"/>
      <c r="F2905" s="13"/>
    </row>
    <row r="2906">
      <c r="D2906" s="13"/>
      <c r="E2906" s="13"/>
      <c r="F2906" s="13"/>
    </row>
    <row r="2907">
      <c r="D2907" s="13"/>
      <c r="E2907" s="13"/>
      <c r="F2907" s="13"/>
    </row>
    <row r="2908">
      <c r="D2908" s="13"/>
      <c r="E2908" s="13"/>
      <c r="F2908" s="13"/>
    </row>
    <row r="2909">
      <c r="D2909" s="13"/>
      <c r="E2909" s="13"/>
      <c r="F2909" s="13"/>
    </row>
    <row r="2910">
      <c r="D2910" s="13"/>
      <c r="E2910" s="13"/>
      <c r="F2910" s="13"/>
    </row>
    <row r="2911">
      <c r="D2911" s="13"/>
      <c r="E2911" s="13"/>
      <c r="F2911" s="13"/>
    </row>
    <row r="2912">
      <c r="D2912" s="13"/>
      <c r="E2912" s="13"/>
      <c r="F2912" s="13"/>
    </row>
    <row r="2913">
      <c r="D2913" s="13"/>
      <c r="E2913" s="13"/>
      <c r="F2913" s="13"/>
    </row>
    <row r="2914">
      <c r="D2914" s="13"/>
      <c r="E2914" s="13"/>
      <c r="F2914" s="13"/>
    </row>
    <row r="2915">
      <c r="D2915" s="13"/>
      <c r="E2915" s="13"/>
      <c r="F2915" s="13"/>
    </row>
    <row r="2916">
      <c r="D2916" s="13"/>
      <c r="E2916" s="13"/>
      <c r="F2916" s="13"/>
    </row>
    <row r="2917">
      <c r="D2917" s="13"/>
      <c r="E2917" s="13"/>
      <c r="F2917" s="13"/>
    </row>
    <row r="2918">
      <c r="D2918" s="13"/>
      <c r="E2918" s="13"/>
      <c r="F2918" s="13"/>
    </row>
    <row r="2919">
      <c r="D2919" s="13"/>
      <c r="E2919" s="13"/>
      <c r="F2919" s="13"/>
    </row>
    <row r="2920">
      <c r="D2920" s="13"/>
      <c r="E2920" s="13"/>
      <c r="F2920" s="13"/>
    </row>
    <row r="2921">
      <c r="D2921" s="13"/>
      <c r="E2921" s="13"/>
      <c r="F2921" s="13"/>
    </row>
    <row r="2922">
      <c r="D2922" s="13"/>
      <c r="E2922" s="13"/>
      <c r="F2922" s="13"/>
    </row>
    <row r="2923">
      <c r="D2923" s="13"/>
      <c r="E2923" s="13"/>
      <c r="F2923" s="13"/>
    </row>
    <row r="2924">
      <c r="D2924" s="13"/>
      <c r="E2924" s="13"/>
      <c r="F2924" s="13"/>
    </row>
    <row r="2925">
      <c r="D2925" s="13"/>
      <c r="E2925" s="13"/>
      <c r="F2925" s="13"/>
    </row>
    <row r="2926">
      <c r="D2926" s="13"/>
      <c r="E2926" s="13"/>
      <c r="F2926" s="13"/>
    </row>
    <row r="2927">
      <c r="D2927" s="13"/>
      <c r="E2927" s="13"/>
      <c r="F2927" s="13"/>
    </row>
    <row r="2928">
      <c r="D2928" s="13"/>
      <c r="E2928" s="13"/>
      <c r="F2928" s="13"/>
    </row>
    <row r="2929">
      <c r="D2929" s="13"/>
      <c r="E2929" s="13"/>
      <c r="F2929" s="13"/>
    </row>
    <row r="2930">
      <c r="D2930" s="13"/>
      <c r="E2930" s="13"/>
      <c r="F2930" s="13"/>
    </row>
    <row r="2931">
      <c r="D2931" s="13"/>
      <c r="E2931" s="13"/>
      <c r="F2931" s="13"/>
    </row>
    <row r="2932">
      <c r="D2932" s="13"/>
      <c r="E2932" s="13"/>
      <c r="F2932" s="13"/>
    </row>
    <row r="2933">
      <c r="D2933" s="13"/>
      <c r="E2933" s="13"/>
      <c r="F2933" s="13"/>
    </row>
    <row r="2934">
      <c r="D2934" s="13"/>
      <c r="E2934" s="13"/>
      <c r="F2934" s="13"/>
    </row>
    <row r="2935">
      <c r="D2935" s="13"/>
      <c r="E2935" s="13"/>
      <c r="F2935" s="13"/>
    </row>
    <row r="2936">
      <c r="D2936" s="13"/>
      <c r="E2936" s="13"/>
      <c r="F2936" s="13"/>
    </row>
    <row r="2937">
      <c r="D2937" s="13"/>
      <c r="E2937" s="13"/>
      <c r="F2937" s="13"/>
    </row>
    <row r="2938">
      <c r="D2938" s="13"/>
      <c r="E2938" s="13"/>
      <c r="F2938" s="13"/>
    </row>
    <row r="2939">
      <c r="D2939" s="13"/>
      <c r="E2939" s="13"/>
      <c r="F2939" s="13"/>
    </row>
    <row r="2940">
      <c r="D2940" s="13"/>
      <c r="E2940" s="13"/>
      <c r="F2940" s="13"/>
    </row>
    <row r="2941">
      <c r="D2941" s="13"/>
      <c r="E2941" s="13"/>
      <c r="F2941" s="13"/>
    </row>
    <row r="2942">
      <c r="D2942" s="13"/>
      <c r="E2942" s="13"/>
      <c r="F2942" s="13"/>
    </row>
    <row r="2943">
      <c r="D2943" s="13"/>
      <c r="E2943" s="13"/>
      <c r="F2943" s="13"/>
    </row>
    <row r="2944">
      <c r="D2944" s="13"/>
      <c r="E2944" s="13"/>
      <c r="F2944" s="13"/>
    </row>
    <row r="2945">
      <c r="D2945" s="13"/>
      <c r="E2945" s="13"/>
      <c r="F2945" s="13"/>
    </row>
    <row r="2946">
      <c r="D2946" s="13"/>
      <c r="E2946" s="13"/>
      <c r="F2946" s="13"/>
    </row>
    <row r="2947">
      <c r="D2947" s="13"/>
      <c r="E2947" s="13"/>
      <c r="F2947" s="13"/>
    </row>
    <row r="2948">
      <c r="D2948" s="13"/>
      <c r="E2948" s="13"/>
      <c r="F2948" s="13"/>
    </row>
    <row r="2949">
      <c r="D2949" s="13"/>
      <c r="E2949" s="13"/>
      <c r="F2949" s="13"/>
    </row>
    <row r="2950">
      <c r="D2950" s="13"/>
      <c r="E2950" s="13"/>
      <c r="F2950" s="13"/>
    </row>
    <row r="2951">
      <c r="D2951" s="13"/>
      <c r="E2951" s="13"/>
      <c r="F2951" s="13"/>
    </row>
    <row r="2952">
      <c r="D2952" s="13"/>
      <c r="E2952" s="13"/>
      <c r="F2952" s="13"/>
    </row>
    <row r="2953">
      <c r="D2953" s="13"/>
      <c r="E2953" s="13"/>
      <c r="F2953" s="13"/>
    </row>
    <row r="2954">
      <c r="D2954" s="13"/>
      <c r="E2954" s="13"/>
      <c r="F2954" s="13"/>
    </row>
    <row r="2955">
      <c r="D2955" s="13"/>
      <c r="E2955" s="13"/>
      <c r="F2955" s="13"/>
    </row>
    <row r="2956">
      <c r="D2956" s="13"/>
      <c r="E2956" s="13"/>
      <c r="F2956" s="13"/>
    </row>
    <row r="2957">
      <c r="D2957" s="13"/>
      <c r="E2957" s="13"/>
      <c r="F2957" s="13"/>
    </row>
    <row r="2958">
      <c r="D2958" s="13"/>
      <c r="E2958" s="13"/>
      <c r="F2958" s="13"/>
    </row>
    <row r="2959">
      <c r="D2959" s="13"/>
      <c r="E2959" s="13"/>
      <c r="F2959" s="13"/>
    </row>
    <row r="2960">
      <c r="D2960" s="13"/>
      <c r="E2960" s="13"/>
      <c r="F2960" s="13"/>
    </row>
    <row r="2961">
      <c r="D2961" s="13"/>
      <c r="E2961" s="13"/>
      <c r="F2961" s="13"/>
    </row>
    <row r="2962">
      <c r="D2962" s="13"/>
      <c r="E2962" s="13"/>
      <c r="F2962" s="13"/>
    </row>
    <row r="2963">
      <c r="D2963" s="13"/>
      <c r="E2963" s="13"/>
      <c r="F2963" s="13"/>
    </row>
    <row r="2964">
      <c r="D2964" s="13"/>
      <c r="E2964" s="13"/>
      <c r="F2964" s="13"/>
    </row>
    <row r="2965">
      <c r="D2965" s="13"/>
      <c r="E2965" s="13"/>
      <c r="F2965" s="13"/>
    </row>
    <row r="2966">
      <c r="D2966" s="13"/>
      <c r="E2966" s="13"/>
      <c r="F2966" s="13"/>
    </row>
    <row r="2967">
      <c r="D2967" s="13"/>
      <c r="E2967" s="13"/>
      <c r="F2967" s="13"/>
    </row>
    <row r="2968">
      <c r="D2968" s="13"/>
      <c r="E2968" s="13"/>
      <c r="F2968" s="13"/>
    </row>
    <row r="2969">
      <c r="D2969" s="13"/>
      <c r="E2969" s="13"/>
      <c r="F2969" s="13"/>
    </row>
    <row r="2970">
      <c r="D2970" s="13"/>
      <c r="E2970" s="13"/>
      <c r="F2970" s="13"/>
    </row>
    <row r="2971">
      <c r="D2971" s="13"/>
      <c r="E2971" s="13"/>
      <c r="F2971" s="13"/>
    </row>
    <row r="2972">
      <c r="D2972" s="13"/>
      <c r="E2972" s="13"/>
      <c r="F2972" s="13"/>
    </row>
    <row r="2973">
      <c r="D2973" s="13"/>
      <c r="E2973" s="13"/>
      <c r="F2973" s="13"/>
    </row>
    <row r="2974">
      <c r="D2974" s="13"/>
      <c r="E2974" s="13"/>
      <c r="F2974" s="13"/>
    </row>
    <row r="2975">
      <c r="D2975" s="13"/>
      <c r="E2975" s="13"/>
      <c r="F2975" s="13"/>
    </row>
    <row r="2976">
      <c r="D2976" s="13"/>
      <c r="E2976" s="13"/>
      <c r="F2976" s="13"/>
    </row>
    <row r="2977">
      <c r="D2977" s="13"/>
      <c r="E2977" s="13"/>
      <c r="F2977" s="13"/>
    </row>
    <row r="2978">
      <c r="D2978" s="13"/>
      <c r="E2978" s="13"/>
      <c r="F2978" s="13"/>
    </row>
    <row r="2979">
      <c r="D2979" s="13"/>
      <c r="E2979" s="13"/>
      <c r="F2979" s="13"/>
    </row>
    <row r="2980">
      <c r="D2980" s="13"/>
      <c r="E2980" s="13"/>
      <c r="F2980" s="13"/>
    </row>
    <row r="2981">
      <c r="D2981" s="13"/>
      <c r="E2981" s="13"/>
      <c r="F2981" s="13"/>
    </row>
    <row r="2982">
      <c r="D2982" s="13"/>
      <c r="E2982" s="13"/>
      <c r="F2982" s="13"/>
    </row>
    <row r="2983">
      <c r="D2983" s="13"/>
      <c r="E2983" s="13"/>
      <c r="F2983" s="13"/>
    </row>
    <row r="2984">
      <c r="D2984" s="13"/>
      <c r="E2984" s="13"/>
      <c r="F2984" s="13"/>
    </row>
    <row r="2985">
      <c r="D2985" s="13"/>
      <c r="E2985" s="13"/>
      <c r="F2985" s="13"/>
    </row>
    <row r="2986">
      <c r="D2986" s="13"/>
      <c r="E2986" s="13"/>
      <c r="F2986" s="13"/>
    </row>
    <row r="2987">
      <c r="D2987" s="13"/>
      <c r="E2987" s="13"/>
      <c r="F2987" s="13"/>
    </row>
    <row r="2988">
      <c r="D2988" s="13"/>
      <c r="E2988" s="13"/>
      <c r="F2988" s="13"/>
    </row>
    <row r="2989">
      <c r="D2989" s="13"/>
      <c r="E2989" s="13"/>
      <c r="F2989" s="13"/>
    </row>
    <row r="2990">
      <c r="D2990" s="13"/>
      <c r="E2990" s="13"/>
      <c r="F2990" s="13"/>
    </row>
    <row r="2991">
      <c r="D2991" s="13"/>
      <c r="E2991" s="13"/>
      <c r="F2991" s="13"/>
    </row>
    <row r="2992">
      <c r="D2992" s="13"/>
      <c r="E2992" s="13"/>
      <c r="F2992" s="13"/>
    </row>
    <row r="2993">
      <c r="D2993" s="13"/>
      <c r="E2993" s="13"/>
      <c r="F2993" s="13"/>
    </row>
    <row r="2994">
      <c r="D2994" s="13"/>
      <c r="E2994" s="13"/>
      <c r="F2994" s="13"/>
    </row>
    <row r="2995">
      <c r="D2995" s="13"/>
      <c r="E2995" s="13"/>
      <c r="F2995" s="13"/>
    </row>
    <row r="2996">
      <c r="D2996" s="13"/>
      <c r="E2996" s="13"/>
      <c r="F2996" s="13"/>
    </row>
    <row r="2997">
      <c r="D2997" s="13"/>
      <c r="E2997" s="13"/>
      <c r="F2997" s="13"/>
    </row>
    <row r="2998">
      <c r="D2998" s="13"/>
      <c r="E2998" s="13"/>
      <c r="F2998" s="13"/>
    </row>
    <row r="2999">
      <c r="D2999" s="13"/>
      <c r="E2999" s="13"/>
      <c r="F2999" s="13"/>
    </row>
    <row r="3000">
      <c r="D3000" s="13"/>
      <c r="E3000" s="13"/>
      <c r="F3000" s="13"/>
    </row>
    <row r="3001">
      <c r="D3001" s="13"/>
      <c r="E3001" s="13"/>
      <c r="F3001" s="13"/>
    </row>
    <row r="3002">
      <c r="D3002" s="13"/>
      <c r="E3002" s="13"/>
      <c r="F3002" s="13"/>
    </row>
    <row r="3003">
      <c r="D3003" s="13"/>
      <c r="E3003" s="13"/>
      <c r="F3003" s="13"/>
    </row>
    <row r="3004">
      <c r="D3004" s="13"/>
      <c r="E3004" s="13"/>
      <c r="F3004" s="13"/>
    </row>
    <row r="3005">
      <c r="D3005" s="13"/>
      <c r="E3005" s="13"/>
      <c r="F3005" s="13"/>
    </row>
    <row r="3006">
      <c r="D3006" s="13"/>
      <c r="E3006" s="13"/>
      <c r="F3006" s="13"/>
    </row>
    <row r="3007">
      <c r="D3007" s="13"/>
      <c r="E3007" s="13"/>
      <c r="F3007" s="13"/>
    </row>
    <row r="3008">
      <c r="D3008" s="13"/>
      <c r="E3008" s="13"/>
      <c r="F3008" s="13"/>
    </row>
    <row r="3009">
      <c r="D3009" s="13"/>
      <c r="E3009" s="13"/>
      <c r="F3009" s="13"/>
    </row>
    <row r="3010">
      <c r="D3010" s="13"/>
      <c r="E3010" s="13"/>
      <c r="F3010" s="13"/>
    </row>
    <row r="3011">
      <c r="D3011" s="13"/>
      <c r="E3011" s="13"/>
      <c r="F3011" s="13"/>
    </row>
    <row r="3012">
      <c r="D3012" s="13"/>
      <c r="E3012" s="13"/>
      <c r="F3012" s="13"/>
    </row>
    <row r="3013">
      <c r="D3013" s="13"/>
      <c r="E3013" s="13"/>
      <c r="F3013" s="13"/>
    </row>
    <row r="3014">
      <c r="D3014" s="13"/>
      <c r="E3014" s="13"/>
      <c r="F3014" s="13"/>
    </row>
    <row r="3015">
      <c r="D3015" s="13"/>
      <c r="E3015" s="13"/>
      <c r="F3015" s="13"/>
    </row>
    <row r="3016">
      <c r="D3016" s="13"/>
      <c r="E3016" s="13"/>
      <c r="F3016" s="13"/>
    </row>
    <row r="3017">
      <c r="D3017" s="13"/>
      <c r="E3017" s="13"/>
      <c r="F3017" s="13"/>
    </row>
    <row r="3018">
      <c r="D3018" s="13"/>
      <c r="E3018" s="13"/>
      <c r="F3018" s="13"/>
    </row>
    <row r="3019">
      <c r="D3019" s="13"/>
      <c r="E3019" s="13"/>
      <c r="F3019" s="13"/>
    </row>
    <row r="3020">
      <c r="D3020" s="13"/>
      <c r="E3020" s="13"/>
      <c r="F3020" s="13"/>
    </row>
    <row r="3021">
      <c r="D3021" s="13"/>
      <c r="E3021" s="13"/>
      <c r="F3021" s="13"/>
    </row>
    <row r="3022">
      <c r="D3022" s="13"/>
      <c r="E3022" s="13"/>
      <c r="F3022" s="13"/>
    </row>
    <row r="3023">
      <c r="D3023" s="13"/>
      <c r="E3023" s="13"/>
      <c r="F3023" s="13"/>
    </row>
    <row r="3024">
      <c r="D3024" s="13"/>
      <c r="E3024" s="13"/>
      <c r="F3024" s="13"/>
    </row>
    <row r="3025">
      <c r="D3025" s="13"/>
      <c r="E3025" s="13"/>
      <c r="F3025" s="13"/>
    </row>
    <row r="3026">
      <c r="D3026" s="13"/>
      <c r="E3026" s="13"/>
      <c r="F3026" s="13"/>
    </row>
    <row r="3027">
      <c r="D3027" s="13"/>
      <c r="E3027" s="13"/>
      <c r="F3027" s="13"/>
    </row>
    <row r="3028">
      <c r="D3028" s="13"/>
      <c r="E3028" s="13"/>
      <c r="F3028" s="13"/>
    </row>
    <row r="3029">
      <c r="D3029" s="13"/>
      <c r="E3029" s="13"/>
      <c r="F3029" s="13"/>
    </row>
    <row r="3030">
      <c r="D3030" s="13"/>
      <c r="E3030" s="13"/>
      <c r="F3030" s="13"/>
    </row>
    <row r="3031">
      <c r="D3031" s="13"/>
      <c r="E3031" s="13"/>
      <c r="F3031" s="13"/>
    </row>
    <row r="3032">
      <c r="D3032" s="13"/>
      <c r="E3032" s="13"/>
      <c r="F3032" s="13"/>
    </row>
    <row r="3033">
      <c r="D3033" s="13"/>
      <c r="E3033" s="13"/>
      <c r="F3033" s="13"/>
    </row>
    <row r="3034">
      <c r="D3034" s="13"/>
      <c r="E3034" s="13"/>
      <c r="F3034" s="13"/>
    </row>
    <row r="3035">
      <c r="D3035" s="13"/>
      <c r="E3035" s="13"/>
      <c r="F3035" s="13"/>
    </row>
    <row r="3036">
      <c r="D3036" s="13"/>
      <c r="E3036" s="13"/>
      <c r="F3036" s="13"/>
    </row>
    <row r="3037">
      <c r="D3037" s="13"/>
      <c r="E3037" s="13"/>
      <c r="F3037" s="13"/>
    </row>
    <row r="3038">
      <c r="D3038" s="13"/>
      <c r="E3038" s="13"/>
      <c r="F3038" s="13"/>
    </row>
    <row r="3039">
      <c r="D3039" s="13"/>
      <c r="E3039" s="13"/>
      <c r="F3039" s="13"/>
    </row>
    <row r="3040">
      <c r="D3040" s="13"/>
      <c r="E3040" s="13"/>
      <c r="F3040" s="13"/>
    </row>
    <row r="3041">
      <c r="D3041" s="13"/>
      <c r="E3041" s="13"/>
      <c r="F3041" s="13"/>
    </row>
    <row r="3042">
      <c r="D3042" s="13"/>
      <c r="E3042" s="13"/>
      <c r="F3042" s="13"/>
    </row>
    <row r="3043">
      <c r="D3043" s="13"/>
      <c r="E3043" s="13"/>
      <c r="F3043" s="13"/>
    </row>
    <row r="3044">
      <c r="D3044" s="13"/>
      <c r="E3044" s="13"/>
      <c r="F3044" s="13"/>
    </row>
    <row r="3045">
      <c r="D3045" s="13"/>
      <c r="E3045" s="13"/>
      <c r="F3045" s="13"/>
    </row>
    <row r="3046">
      <c r="D3046" s="13"/>
      <c r="E3046" s="13"/>
      <c r="F3046" s="13"/>
    </row>
    <row r="3047">
      <c r="D3047" s="13"/>
      <c r="E3047" s="13"/>
      <c r="F3047" s="13"/>
    </row>
    <row r="3048">
      <c r="D3048" s="13"/>
      <c r="E3048" s="13"/>
      <c r="F3048" s="13"/>
    </row>
    <row r="3049">
      <c r="D3049" s="13"/>
      <c r="E3049" s="13"/>
      <c r="F3049" s="13"/>
    </row>
    <row r="3050">
      <c r="D3050" s="13"/>
      <c r="E3050" s="13"/>
      <c r="F3050" s="13"/>
    </row>
    <row r="3051">
      <c r="D3051" s="13"/>
      <c r="E3051" s="13"/>
      <c r="F3051" s="13"/>
    </row>
    <row r="3052">
      <c r="D3052" s="13"/>
      <c r="E3052" s="13"/>
      <c r="F3052" s="13"/>
    </row>
    <row r="3053">
      <c r="D3053" s="13"/>
      <c r="E3053" s="13"/>
      <c r="F3053" s="13"/>
    </row>
    <row r="3054">
      <c r="D3054" s="13"/>
      <c r="E3054" s="13"/>
      <c r="F3054" s="13"/>
    </row>
    <row r="3055">
      <c r="D3055" s="13"/>
      <c r="E3055" s="13"/>
      <c r="F3055" s="13"/>
    </row>
    <row r="3056">
      <c r="D3056" s="13"/>
      <c r="E3056" s="13"/>
      <c r="F3056" s="13"/>
    </row>
    <row r="3057">
      <c r="D3057" s="13"/>
      <c r="E3057" s="13"/>
      <c r="F3057" s="13"/>
    </row>
    <row r="3058">
      <c r="D3058" s="13"/>
      <c r="E3058" s="13"/>
      <c r="F3058" s="13"/>
    </row>
    <row r="3059">
      <c r="D3059" s="13"/>
      <c r="E3059" s="13"/>
      <c r="F3059" s="13"/>
    </row>
    <row r="3060">
      <c r="D3060" s="13"/>
      <c r="E3060" s="13"/>
      <c r="F3060" s="13"/>
    </row>
    <row r="3061">
      <c r="D3061" s="13"/>
      <c r="E3061" s="13"/>
      <c r="F3061" s="13"/>
    </row>
    <row r="3062">
      <c r="D3062" s="13"/>
      <c r="E3062" s="13"/>
      <c r="F3062" s="13"/>
    </row>
    <row r="3063">
      <c r="D3063" s="13"/>
      <c r="E3063" s="13"/>
      <c r="F3063" s="13"/>
    </row>
    <row r="3064">
      <c r="D3064" s="13"/>
      <c r="E3064" s="13"/>
      <c r="F3064" s="13"/>
    </row>
    <row r="3065">
      <c r="D3065" s="13"/>
      <c r="E3065" s="13"/>
      <c r="F3065" s="13"/>
    </row>
    <row r="3066">
      <c r="D3066" s="13"/>
      <c r="E3066" s="13"/>
      <c r="F3066" s="13"/>
    </row>
    <row r="3067">
      <c r="D3067" s="13"/>
      <c r="E3067" s="13"/>
      <c r="F3067" s="13"/>
    </row>
    <row r="3068">
      <c r="D3068" s="13"/>
      <c r="E3068" s="13"/>
      <c r="F3068" s="13"/>
    </row>
    <row r="3069">
      <c r="D3069" s="13"/>
      <c r="E3069" s="13"/>
      <c r="F3069" s="13"/>
    </row>
    <row r="3070">
      <c r="D3070" s="13"/>
      <c r="E3070" s="13"/>
      <c r="F3070" s="13"/>
    </row>
    <row r="3071">
      <c r="D3071" s="13"/>
      <c r="E3071" s="13"/>
      <c r="F3071" s="13"/>
    </row>
    <row r="3072">
      <c r="D3072" s="13"/>
      <c r="E3072" s="13"/>
      <c r="F3072" s="13"/>
    </row>
    <row r="3073">
      <c r="D3073" s="13"/>
      <c r="E3073" s="13"/>
      <c r="F3073" s="13"/>
    </row>
    <row r="3074">
      <c r="D3074" s="13"/>
      <c r="E3074" s="13"/>
      <c r="F3074" s="13"/>
    </row>
    <row r="3075">
      <c r="D3075" s="13"/>
      <c r="E3075" s="13"/>
      <c r="F3075" s="13"/>
    </row>
    <row r="3076">
      <c r="D3076" s="13"/>
      <c r="E3076" s="13"/>
      <c r="F3076" s="13"/>
    </row>
    <row r="3077">
      <c r="D3077" s="13"/>
      <c r="E3077" s="13"/>
      <c r="F3077" s="13"/>
    </row>
    <row r="3078">
      <c r="D3078" s="13"/>
      <c r="E3078" s="13"/>
      <c r="F3078" s="13"/>
    </row>
    <row r="3079">
      <c r="D3079" s="13"/>
      <c r="E3079" s="13"/>
      <c r="F3079" s="13"/>
    </row>
    <row r="3080">
      <c r="D3080" s="13"/>
      <c r="E3080" s="13"/>
      <c r="F3080" s="13"/>
    </row>
    <row r="3081">
      <c r="D3081" s="13"/>
      <c r="E3081" s="13"/>
      <c r="F3081" s="13"/>
    </row>
    <row r="3082">
      <c r="D3082" s="13"/>
      <c r="E3082" s="13"/>
      <c r="F3082" s="13"/>
    </row>
    <row r="3083">
      <c r="D3083" s="13"/>
      <c r="E3083" s="13"/>
      <c r="F3083" s="13"/>
    </row>
    <row r="3084">
      <c r="D3084" s="13"/>
      <c r="E3084" s="13"/>
      <c r="F3084" s="13"/>
    </row>
    <row r="3085">
      <c r="D3085" s="13"/>
      <c r="E3085" s="13"/>
      <c r="F3085" s="13"/>
    </row>
    <row r="3086">
      <c r="D3086" s="13"/>
      <c r="E3086" s="13"/>
      <c r="F3086" s="13"/>
    </row>
    <row r="3087">
      <c r="D3087" s="13"/>
      <c r="E3087" s="13"/>
      <c r="F3087" s="13"/>
    </row>
    <row r="3088">
      <c r="D3088" s="13"/>
      <c r="E3088" s="13"/>
      <c r="F3088" s="13"/>
    </row>
    <row r="3089">
      <c r="D3089" s="13"/>
      <c r="E3089" s="13"/>
      <c r="F3089" s="13"/>
    </row>
    <row r="3090">
      <c r="D3090" s="13"/>
      <c r="E3090" s="13"/>
      <c r="F3090" s="13"/>
    </row>
    <row r="3091">
      <c r="D3091" s="13"/>
      <c r="E3091" s="13"/>
      <c r="F3091" s="13"/>
    </row>
    <row r="3092">
      <c r="D3092" s="13"/>
      <c r="E3092" s="13"/>
      <c r="F3092" s="13"/>
    </row>
    <row r="3093">
      <c r="D3093" s="13"/>
      <c r="E3093" s="13"/>
      <c r="F3093" s="13"/>
    </row>
    <row r="3094">
      <c r="D3094" s="13"/>
      <c r="E3094" s="13"/>
      <c r="F3094" s="13"/>
    </row>
    <row r="3095">
      <c r="D3095" s="13"/>
      <c r="E3095" s="13"/>
      <c r="F3095" s="13"/>
    </row>
    <row r="3096">
      <c r="D3096" s="13"/>
      <c r="E3096" s="13"/>
      <c r="F3096" s="13"/>
    </row>
    <row r="3097">
      <c r="D3097" s="13"/>
      <c r="E3097" s="13"/>
      <c r="F3097" s="13"/>
    </row>
    <row r="3098">
      <c r="D3098" s="13"/>
      <c r="E3098" s="13"/>
      <c r="F3098" s="13"/>
    </row>
    <row r="3099">
      <c r="D3099" s="13"/>
      <c r="E3099" s="13"/>
      <c r="F3099" s="13"/>
    </row>
    <row r="3100">
      <c r="D3100" s="13"/>
      <c r="E3100" s="13"/>
      <c r="F3100" s="13"/>
    </row>
    <row r="3101">
      <c r="D3101" s="13"/>
      <c r="E3101" s="13"/>
      <c r="F3101" s="13"/>
    </row>
    <row r="3102">
      <c r="D3102" s="13"/>
      <c r="E3102" s="13"/>
      <c r="F3102" s="13"/>
    </row>
    <row r="3103">
      <c r="D3103" s="13"/>
      <c r="E3103" s="13"/>
      <c r="F3103" s="13"/>
    </row>
    <row r="3104">
      <c r="D3104" s="13"/>
      <c r="E3104" s="13"/>
      <c r="F3104" s="13"/>
    </row>
    <row r="3105">
      <c r="D3105" s="13"/>
      <c r="E3105" s="13"/>
      <c r="F3105" s="13"/>
    </row>
    <row r="3106">
      <c r="D3106" s="13"/>
      <c r="E3106" s="13"/>
      <c r="F3106" s="13"/>
    </row>
    <row r="3107">
      <c r="D3107" s="13"/>
      <c r="E3107" s="13"/>
      <c r="F3107" s="13"/>
    </row>
    <row r="3108">
      <c r="D3108" s="13"/>
      <c r="E3108" s="13"/>
      <c r="F3108" s="13"/>
    </row>
    <row r="3109">
      <c r="D3109" s="13"/>
      <c r="E3109" s="13"/>
      <c r="F3109" s="13"/>
    </row>
    <row r="3110">
      <c r="D3110" s="13"/>
      <c r="E3110" s="13"/>
      <c r="F3110" s="13"/>
    </row>
    <row r="3111">
      <c r="D3111" s="13"/>
      <c r="E3111" s="13"/>
      <c r="F3111" s="13"/>
    </row>
    <row r="3112">
      <c r="D3112" s="13"/>
      <c r="E3112" s="13"/>
      <c r="F3112" s="13"/>
    </row>
    <row r="3113">
      <c r="D3113" s="13"/>
      <c r="E3113" s="13"/>
      <c r="F3113" s="13"/>
    </row>
    <row r="3114">
      <c r="D3114" s="13"/>
      <c r="E3114" s="13"/>
      <c r="F3114" s="13"/>
    </row>
    <row r="3115">
      <c r="D3115" s="13"/>
      <c r="E3115" s="13"/>
      <c r="F3115" s="13"/>
    </row>
    <row r="3116">
      <c r="D3116" s="13"/>
      <c r="E3116" s="13"/>
      <c r="F3116" s="13"/>
    </row>
    <row r="3117">
      <c r="D3117" s="13"/>
      <c r="E3117" s="13"/>
      <c r="F3117" s="13"/>
    </row>
    <row r="3118">
      <c r="D3118" s="13"/>
      <c r="E3118" s="13"/>
      <c r="F3118" s="13"/>
    </row>
    <row r="3119">
      <c r="D3119" s="13"/>
      <c r="E3119" s="13"/>
      <c r="F3119" s="13"/>
    </row>
    <row r="3120">
      <c r="D3120" s="13"/>
      <c r="E3120" s="13"/>
      <c r="F3120" s="13"/>
    </row>
    <row r="3121">
      <c r="D3121" s="13"/>
      <c r="E3121" s="13"/>
      <c r="F3121" s="13"/>
    </row>
    <row r="3122">
      <c r="D3122" s="13"/>
      <c r="E3122" s="13"/>
      <c r="F3122" s="13"/>
    </row>
    <row r="3123">
      <c r="D3123" s="13"/>
      <c r="E3123" s="13"/>
      <c r="F3123" s="13"/>
    </row>
    <row r="3124">
      <c r="D3124" s="13"/>
      <c r="E3124" s="13"/>
      <c r="F3124" s="13"/>
    </row>
    <row r="3125">
      <c r="D3125" s="13"/>
      <c r="E3125" s="13"/>
      <c r="F3125" s="13"/>
    </row>
    <row r="3126">
      <c r="D3126" s="13"/>
      <c r="E3126" s="13"/>
      <c r="F3126" s="13"/>
    </row>
    <row r="3127">
      <c r="D3127" s="13"/>
      <c r="E3127" s="13"/>
      <c r="F3127" s="13"/>
    </row>
    <row r="3128">
      <c r="D3128" s="13"/>
      <c r="E3128" s="13"/>
      <c r="F3128" s="13"/>
    </row>
    <row r="3129">
      <c r="D3129" s="13"/>
      <c r="E3129" s="13"/>
      <c r="F3129" s="13"/>
    </row>
    <row r="3130">
      <c r="D3130" s="13"/>
      <c r="E3130" s="13"/>
      <c r="F3130" s="13"/>
    </row>
    <row r="3131">
      <c r="D3131" s="13"/>
      <c r="E3131" s="13"/>
      <c r="F3131" s="13"/>
    </row>
    <row r="3132">
      <c r="D3132" s="13"/>
      <c r="E3132" s="13"/>
      <c r="F3132" s="13"/>
    </row>
    <row r="3133">
      <c r="D3133" s="13"/>
      <c r="E3133" s="13"/>
      <c r="F3133" s="13"/>
    </row>
    <row r="3134">
      <c r="D3134" s="13"/>
      <c r="E3134" s="13"/>
      <c r="F3134" s="13"/>
    </row>
    <row r="3135">
      <c r="D3135" s="13"/>
      <c r="E3135" s="13"/>
      <c r="F3135" s="13"/>
    </row>
    <row r="3136">
      <c r="D3136" s="13"/>
      <c r="E3136" s="13"/>
      <c r="F3136" s="13"/>
    </row>
    <row r="3137">
      <c r="D3137" s="13"/>
      <c r="E3137" s="13"/>
      <c r="F3137" s="13"/>
    </row>
    <row r="3138">
      <c r="D3138" s="13"/>
      <c r="E3138" s="13"/>
      <c r="F3138" s="13"/>
    </row>
    <row r="3139">
      <c r="D3139" s="13"/>
      <c r="E3139" s="13"/>
      <c r="F3139" s="13"/>
    </row>
    <row r="3140">
      <c r="D3140" s="13"/>
      <c r="E3140" s="13"/>
      <c r="F3140" s="13"/>
    </row>
    <row r="3141">
      <c r="D3141" s="13"/>
      <c r="E3141" s="13"/>
      <c r="F3141" s="13"/>
    </row>
    <row r="3142">
      <c r="D3142" s="13"/>
      <c r="E3142" s="13"/>
      <c r="F3142" s="13"/>
    </row>
    <row r="3143">
      <c r="D3143" s="13"/>
      <c r="E3143" s="13"/>
      <c r="F3143" s="13"/>
    </row>
    <row r="3144">
      <c r="D3144" s="13"/>
      <c r="E3144" s="13"/>
      <c r="F3144" s="13"/>
    </row>
    <row r="3145">
      <c r="D3145" s="13"/>
      <c r="E3145" s="13"/>
      <c r="F3145" s="13"/>
    </row>
    <row r="3146">
      <c r="D3146" s="13"/>
      <c r="E3146" s="13"/>
      <c r="F3146" s="13"/>
    </row>
    <row r="3147">
      <c r="D3147" s="13"/>
      <c r="E3147" s="13"/>
      <c r="F3147" s="13"/>
    </row>
    <row r="3148">
      <c r="D3148" s="13"/>
      <c r="E3148" s="13"/>
      <c r="F3148" s="13"/>
    </row>
    <row r="3149">
      <c r="D3149" s="13"/>
      <c r="E3149" s="13"/>
      <c r="F3149" s="13"/>
    </row>
    <row r="3150">
      <c r="D3150" s="13"/>
      <c r="E3150" s="13"/>
      <c r="F3150" s="13"/>
    </row>
    <row r="3151">
      <c r="D3151" s="13"/>
      <c r="E3151" s="13"/>
      <c r="F3151" s="13"/>
    </row>
    <row r="3152">
      <c r="D3152" s="13"/>
      <c r="E3152" s="13"/>
      <c r="F3152" s="13"/>
    </row>
    <row r="3153">
      <c r="D3153" s="13"/>
      <c r="E3153" s="13"/>
      <c r="F3153" s="13"/>
    </row>
    <row r="3154">
      <c r="D3154" s="13"/>
      <c r="E3154" s="13"/>
      <c r="F3154" s="13"/>
    </row>
    <row r="3155">
      <c r="D3155" s="13"/>
      <c r="E3155" s="13"/>
      <c r="F3155" s="13"/>
    </row>
    <row r="3156">
      <c r="D3156" s="13"/>
      <c r="E3156" s="13"/>
      <c r="F3156" s="13"/>
    </row>
    <row r="3157">
      <c r="D3157" s="13"/>
      <c r="E3157" s="13"/>
      <c r="F3157" s="13"/>
    </row>
    <row r="3158">
      <c r="D3158" s="13"/>
      <c r="E3158" s="13"/>
      <c r="F3158" s="13"/>
    </row>
    <row r="3159">
      <c r="D3159" s="13"/>
      <c r="E3159" s="13"/>
      <c r="F3159" s="13"/>
    </row>
    <row r="3160">
      <c r="D3160" s="13"/>
      <c r="E3160" s="13"/>
      <c r="F3160" s="13"/>
    </row>
    <row r="3161">
      <c r="D3161" s="13"/>
      <c r="E3161" s="13"/>
      <c r="F3161" s="13"/>
    </row>
    <row r="3162">
      <c r="D3162" s="13"/>
      <c r="E3162" s="13"/>
      <c r="F3162" s="13"/>
    </row>
    <row r="3163">
      <c r="D3163" s="13"/>
      <c r="E3163" s="13"/>
      <c r="F3163" s="13"/>
    </row>
    <row r="3164">
      <c r="D3164" s="13"/>
      <c r="E3164" s="13"/>
      <c r="F3164" s="13"/>
    </row>
    <row r="3165">
      <c r="D3165" s="13"/>
      <c r="E3165" s="13"/>
      <c r="F3165" s="13"/>
    </row>
    <row r="3166">
      <c r="D3166" s="13"/>
      <c r="E3166" s="13"/>
      <c r="F3166" s="13"/>
    </row>
    <row r="3167">
      <c r="D3167" s="13"/>
      <c r="E3167" s="13"/>
      <c r="F3167" s="13"/>
    </row>
    <row r="3168">
      <c r="D3168" s="13"/>
      <c r="E3168" s="13"/>
      <c r="F3168" s="13"/>
    </row>
    <row r="3169">
      <c r="D3169" s="13"/>
      <c r="E3169" s="13"/>
      <c r="F3169" s="13"/>
    </row>
    <row r="3170">
      <c r="D3170" s="13"/>
      <c r="E3170" s="13"/>
      <c r="F3170" s="13"/>
    </row>
    <row r="3171">
      <c r="D3171" s="13"/>
      <c r="E3171" s="13"/>
      <c r="F3171" s="13"/>
    </row>
    <row r="3172">
      <c r="D3172" s="13"/>
      <c r="E3172" s="13"/>
      <c r="F3172" s="13"/>
    </row>
    <row r="3173">
      <c r="D3173" s="13"/>
      <c r="E3173" s="13"/>
      <c r="F3173" s="13"/>
    </row>
    <row r="3174">
      <c r="D3174" s="13"/>
      <c r="E3174" s="13"/>
      <c r="F3174" s="13"/>
    </row>
    <row r="3175">
      <c r="D3175" s="13"/>
      <c r="E3175" s="13"/>
      <c r="F3175" s="13"/>
    </row>
    <row r="3176">
      <c r="D3176" s="13"/>
      <c r="E3176" s="13"/>
      <c r="F3176" s="13"/>
    </row>
    <row r="3177">
      <c r="D3177" s="13"/>
      <c r="E3177" s="13"/>
      <c r="F3177" s="13"/>
    </row>
    <row r="3178">
      <c r="D3178" s="13"/>
      <c r="E3178" s="13"/>
      <c r="F3178" s="13"/>
    </row>
    <row r="3179">
      <c r="D3179" s="13"/>
      <c r="E3179" s="13"/>
      <c r="F3179" s="13"/>
    </row>
    <row r="3180">
      <c r="D3180" s="13"/>
      <c r="E3180" s="13"/>
      <c r="F3180" s="13"/>
    </row>
    <row r="3181">
      <c r="D3181" s="13"/>
      <c r="E3181" s="13"/>
      <c r="F3181" s="13"/>
    </row>
    <row r="3182">
      <c r="D3182" s="13"/>
      <c r="E3182" s="13"/>
      <c r="F3182" s="13"/>
    </row>
    <row r="3183">
      <c r="D3183" s="13"/>
      <c r="E3183" s="13"/>
      <c r="F3183" s="13"/>
    </row>
    <row r="3184">
      <c r="D3184" s="13"/>
      <c r="E3184" s="13"/>
      <c r="F3184" s="13"/>
    </row>
    <row r="3185">
      <c r="D3185" s="13"/>
      <c r="E3185" s="13"/>
      <c r="F3185" s="13"/>
    </row>
    <row r="3186">
      <c r="D3186" s="13"/>
      <c r="E3186" s="13"/>
      <c r="F3186" s="13"/>
    </row>
    <row r="3187">
      <c r="D3187" s="13"/>
      <c r="E3187" s="13"/>
      <c r="F3187" s="13"/>
    </row>
    <row r="3188">
      <c r="D3188" s="13"/>
      <c r="E3188" s="13"/>
      <c r="F3188" s="13"/>
    </row>
    <row r="3189">
      <c r="D3189" s="13"/>
      <c r="E3189" s="13"/>
      <c r="F3189" s="13"/>
    </row>
    <row r="3190">
      <c r="D3190" s="13"/>
      <c r="E3190" s="13"/>
      <c r="F3190" s="13"/>
    </row>
    <row r="3191">
      <c r="D3191" s="13"/>
      <c r="E3191" s="13"/>
      <c r="F3191" s="13"/>
    </row>
    <row r="3192">
      <c r="D3192" s="13"/>
      <c r="E3192" s="13"/>
      <c r="F3192" s="13"/>
    </row>
    <row r="3193">
      <c r="D3193" s="13"/>
      <c r="E3193" s="13"/>
      <c r="F3193" s="13"/>
    </row>
    <row r="3194">
      <c r="D3194" s="13"/>
      <c r="E3194" s="13"/>
      <c r="F3194" s="13"/>
    </row>
    <row r="3195">
      <c r="D3195" s="13"/>
      <c r="E3195" s="13"/>
      <c r="F3195" s="13"/>
    </row>
    <row r="3196">
      <c r="D3196" s="13"/>
      <c r="E3196" s="13"/>
      <c r="F3196" s="13"/>
    </row>
    <row r="3197">
      <c r="D3197" s="13"/>
      <c r="E3197" s="13"/>
      <c r="F3197" s="13"/>
    </row>
    <row r="3198">
      <c r="D3198" s="13"/>
      <c r="E3198" s="13"/>
      <c r="F3198" s="13"/>
    </row>
    <row r="3199">
      <c r="D3199" s="13"/>
      <c r="E3199" s="13"/>
      <c r="F3199" s="13"/>
    </row>
    <row r="3200">
      <c r="D3200" s="13"/>
      <c r="E3200" s="13"/>
      <c r="F3200" s="13"/>
    </row>
    <row r="3201">
      <c r="D3201" s="13"/>
      <c r="E3201" s="13"/>
      <c r="F3201" s="13"/>
    </row>
    <row r="3202">
      <c r="D3202" s="13"/>
      <c r="E3202" s="13"/>
      <c r="F3202" s="13"/>
    </row>
    <row r="3203">
      <c r="D3203" s="13"/>
      <c r="E3203" s="13"/>
      <c r="F3203" s="13"/>
    </row>
    <row r="3204">
      <c r="D3204" s="13"/>
      <c r="E3204" s="13"/>
      <c r="F3204" s="13"/>
    </row>
    <row r="3205">
      <c r="D3205" s="13"/>
      <c r="E3205" s="13"/>
      <c r="F3205" s="13"/>
    </row>
    <row r="3206">
      <c r="D3206" s="13"/>
      <c r="E3206" s="13"/>
      <c r="F3206" s="13"/>
    </row>
    <row r="3207">
      <c r="D3207" s="13"/>
      <c r="E3207" s="13"/>
      <c r="F3207" s="13"/>
    </row>
    <row r="3208">
      <c r="D3208" s="13"/>
      <c r="E3208" s="13"/>
      <c r="F3208" s="13"/>
    </row>
    <row r="3209">
      <c r="D3209" s="13"/>
      <c r="E3209" s="13"/>
      <c r="F3209" s="13"/>
    </row>
    <row r="3210">
      <c r="D3210" s="13"/>
      <c r="E3210" s="13"/>
      <c r="F3210" s="13"/>
    </row>
    <row r="3211">
      <c r="D3211" s="13"/>
      <c r="E3211" s="13"/>
      <c r="F3211" s="13"/>
    </row>
    <row r="3212">
      <c r="D3212" s="13"/>
      <c r="E3212" s="13"/>
      <c r="F3212" s="13"/>
    </row>
    <row r="3213">
      <c r="D3213" s="13"/>
      <c r="E3213" s="13"/>
      <c r="F3213" s="13"/>
    </row>
    <row r="3214">
      <c r="D3214" s="13"/>
      <c r="E3214" s="13"/>
      <c r="F3214" s="13"/>
    </row>
    <row r="3215">
      <c r="D3215" s="13"/>
      <c r="E3215" s="13"/>
      <c r="F3215" s="13"/>
    </row>
    <row r="3216">
      <c r="D3216" s="13"/>
      <c r="E3216" s="13"/>
      <c r="F3216" s="13"/>
    </row>
    <row r="3217">
      <c r="D3217" s="13"/>
      <c r="E3217" s="13"/>
      <c r="F3217" s="13"/>
    </row>
    <row r="3218">
      <c r="D3218" s="13"/>
      <c r="E3218" s="13"/>
      <c r="F3218" s="13"/>
    </row>
    <row r="3219">
      <c r="D3219" s="13"/>
      <c r="E3219" s="13"/>
      <c r="F3219" s="13"/>
    </row>
    <row r="3220">
      <c r="D3220" s="13"/>
      <c r="E3220" s="13"/>
      <c r="F3220" s="13"/>
    </row>
    <row r="3221">
      <c r="D3221" s="13"/>
      <c r="E3221" s="13"/>
      <c r="F3221" s="13"/>
    </row>
    <row r="3222">
      <c r="D3222" s="13"/>
      <c r="E3222" s="13"/>
      <c r="F3222" s="13"/>
    </row>
    <row r="3223">
      <c r="D3223" s="13"/>
      <c r="E3223" s="13"/>
      <c r="F3223" s="13"/>
    </row>
    <row r="3224">
      <c r="D3224" s="13"/>
      <c r="E3224" s="13"/>
      <c r="F3224" s="13"/>
    </row>
    <row r="3225">
      <c r="D3225" s="13"/>
      <c r="E3225" s="13"/>
      <c r="F3225" s="13"/>
    </row>
    <row r="3226">
      <c r="D3226" s="13"/>
      <c r="E3226" s="13"/>
      <c r="F3226" s="13"/>
    </row>
    <row r="3227">
      <c r="D3227" s="13"/>
      <c r="E3227" s="13"/>
      <c r="F3227" s="13"/>
    </row>
    <row r="3228">
      <c r="D3228" s="13"/>
      <c r="E3228" s="13"/>
      <c r="F3228" s="13"/>
    </row>
    <row r="3229">
      <c r="D3229" s="13"/>
      <c r="E3229" s="13"/>
      <c r="F3229" s="13"/>
    </row>
    <row r="3230">
      <c r="D3230" s="13"/>
      <c r="E3230" s="13"/>
      <c r="F3230" s="13"/>
    </row>
    <row r="3231">
      <c r="D3231" s="13"/>
      <c r="E3231" s="13"/>
      <c r="F3231" s="13"/>
    </row>
    <row r="3232">
      <c r="D3232" s="13"/>
      <c r="E3232" s="13"/>
      <c r="F3232" s="13"/>
    </row>
    <row r="3233">
      <c r="D3233" s="13"/>
      <c r="E3233" s="13"/>
      <c r="F3233" s="13"/>
    </row>
    <row r="3234">
      <c r="D3234" s="13"/>
      <c r="E3234" s="13"/>
      <c r="F3234" s="13"/>
    </row>
    <row r="3235">
      <c r="D3235" s="13"/>
      <c r="E3235" s="13"/>
      <c r="F3235" s="13"/>
    </row>
    <row r="3236">
      <c r="D3236" s="13"/>
      <c r="E3236" s="13"/>
      <c r="F3236" s="13"/>
    </row>
    <row r="3237">
      <c r="D3237" s="13"/>
      <c r="E3237" s="13"/>
      <c r="F3237" s="13"/>
    </row>
    <row r="3238">
      <c r="D3238" s="13"/>
      <c r="E3238" s="13"/>
      <c r="F3238" s="13"/>
    </row>
    <row r="3239">
      <c r="D3239" s="13"/>
      <c r="E3239" s="13"/>
      <c r="F3239" s="13"/>
    </row>
    <row r="3240">
      <c r="D3240" s="13"/>
      <c r="E3240" s="13"/>
      <c r="F3240" s="13"/>
    </row>
    <row r="3241">
      <c r="D3241" s="13"/>
      <c r="E3241" s="13"/>
      <c r="F3241" s="13"/>
    </row>
    <row r="3242">
      <c r="D3242" s="13"/>
      <c r="E3242" s="13"/>
      <c r="F3242" s="13"/>
    </row>
    <row r="3243">
      <c r="D3243" s="13"/>
      <c r="E3243" s="13"/>
      <c r="F3243" s="13"/>
    </row>
    <row r="3244">
      <c r="D3244" s="13"/>
      <c r="E3244" s="13"/>
      <c r="F3244" s="13"/>
    </row>
    <row r="3245">
      <c r="D3245" s="13"/>
      <c r="E3245" s="13"/>
      <c r="F3245" s="13"/>
    </row>
    <row r="3246">
      <c r="D3246" s="13"/>
      <c r="E3246" s="13"/>
      <c r="F3246" s="13"/>
    </row>
    <row r="3247">
      <c r="D3247" s="13"/>
      <c r="E3247" s="13"/>
      <c r="F3247" s="13"/>
    </row>
    <row r="3248">
      <c r="D3248" s="13"/>
      <c r="E3248" s="13"/>
      <c r="F3248" s="13"/>
    </row>
    <row r="3249">
      <c r="D3249" s="13"/>
      <c r="E3249" s="13"/>
      <c r="F3249" s="13"/>
    </row>
    <row r="3250">
      <c r="D3250" s="13"/>
      <c r="E3250" s="13"/>
      <c r="F3250" s="13"/>
    </row>
    <row r="3251">
      <c r="D3251" s="13"/>
      <c r="E3251" s="13"/>
      <c r="F3251" s="13"/>
    </row>
    <row r="3252">
      <c r="D3252" s="13"/>
      <c r="E3252" s="13"/>
      <c r="F3252" s="13"/>
    </row>
    <row r="3253">
      <c r="D3253" s="13"/>
      <c r="E3253" s="13"/>
      <c r="F3253" s="13"/>
    </row>
    <row r="3254">
      <c r="D3254" s="13"/>
      <c r="E3254" s="13"/>
      <c r="F3254" s="13"/>
    </row>
    <row r="3255">
      <c r="D3255" s="13"/>
      <c r="E3255" s="13"/>
      <c r="F3255" s="13"/>
    </row>
    <row r="3256">
      <c r="D3256" s="13"/>
      <c r="E3256" s="13"/>
      <c r="F3256" s="13"/>
    </row>
    <row r="3257">
      <c r="D3257" s="13"/>
      <c r="E3257" s="13"/>
      <c r="F3257" s="13"/>
    </row>
    <row r="3258">
      <c r="D3258" s="13"/>
      <c r="E3258" s="13"/>
      <c r="F3258" s="13"/>
    </row>
    <row r="3259">
      <c r="D3259" s="13"/>
      <c r="E3259" s="13"/>
      <c r="F3259" s="13"/>
    </row>
    <row r="3260">
      <c r="D3260" s="13"/>
      <c r="E3260" s="13"/>
      <c r="F3260" s="13"/>
    </row>
    <row r="3261">
      <c r="D3261" s="13"/>
      <c r="E3261" s="13"/>
      <c r="F3261" s="13"/>
    </row>
    <row r="3262">
      <c r="D3262" s="13"/>
      <c r="E3262" s="13"/>
      <c r="F3262" s="13"/>
    </row>
    <row r="3263">
      <c r="D3263" s="13"/>
      <c r="E3263" s="13"/>
      <c r="F3263" s="13"/>
    </row>
    <row r="3264">
      <c r="D3264" s="13"/>
      <c r="E3264" s="13"/>
      <c r="F3264" s="13"/>
    </row>
    <row r="3265">
      <c r="D3265" s="13"/>
      <c r="E3265" s="13"/>
      <c r="F3265" s="13"/>
    </row>
    <row r="3266">
      <c r="D3266" s="13"/>
      <c r="E3266" s="13"/>
      <c r="F3266" s="13"/>
    </row>
    <row r="3267">
      <c r="D3267" s="13"/>
      <c r="E3267" s="13"/>
      <c r="F3267" s="13"/>
    </row>
    <row r="3268">
      <c r="D3268" s="13"/>
      <c r="E3268" s="13"/>
      <c r="F3268" s="13"/>
    </row>
    <row r="3269">
      <c r="D3269" s="13"/>
      <c r="E3269" s="13"/>
      <c r="F3269" s="13"/>
    </row>
    <row r="3270">
      <c r="D3270" s="13"/>
      <c r="E3270" s="13"/>
      <c r="F3270" s="13"/>
    </row>
    <row r="3271">
      <c r="D3271" s="13"/>
      <c r="E3271" s="13"/>
      <c r="F3271" s="13"/>
    </row>
    <row r="3272">
      <c r="D3272" s="13"/>
      <c r="E3272" s="13"/>
      <c r="F3272" s="13"/>
    </row>
    <row r="3273">
      <c r="D3273" s="13"/>
      <c r="E3273" s="13"/>
      <c r="F3273" s="13"/>
    </row>
    <row r="3274">
      <c r="D3274" s="13"/>
      <c r="E3274" s="13"/>
      <c r="F3274" s="13"/>
    </row>
    <row r="3275">
      <c r="D3275" s="13"/>
      <c r="E3275" s="13"/>
      <c r="F3275" s="13"/>
    </row>
    <row r="3276">
      <c r="D3276" s="13"/>
      <c r="E3276" s="13"/>
      <c r="F3276" s="13"/>
    </row>
    <row r="3277">
      <c r="D3277" s="13"/>
      <c r="E3277" s="13"/>
      <c r="F3277" s="13"/>
    </row>
    <row r="3278">
      <c r="D3278" s="13"/>
      <c r="E3278" s="13"/>
      <c r="F3278" s="13"/>
    </row>
    <row r="3279">
      <c r="D3279" s="13"/>
      <c r="E3279" s="13"/>
      <c r="F3279" s="13"/>
    </row>
    <row r="3280">
      <c r="D3280" s="13"/>
      <c r="E3280" s="13"/>
      <c r="F3280" s="13"/>
    </row>
    <row r="3281">
      <c r="D3281" s="13"/>
      <c r="E3281" s="13"/>
      <c r="F3281" s="13"/>
    </row>
    <row r="3282">
      <c r="D3282" s="13"/>
      <c r="E3282" s="13"/>
      <c r="F3282" s="13"/>
    </row>
    <row r="3283">
      <c r="D3283" s="13"/>
      <c r="E3283" s="13"/>
      <c r="F3283" s="13"/>
    </row>
    <row r="3284">
      <c r="D3284" s="13"/>
      <c r="E3284" s="13"/>
      <c r="F3284" s="13"/>
    </row>
    <row r="3285">
      <c r="D3285" s="13"/>
      <c r="E3285" s="13"/>
      <c r="F3285" s="13"/>
    </row>
    <row r="3286">
      <c r="D3286" s="13"/>
      <c r="E3286" s="13"/>
      <c r="F3286" s="13"/>
    </row>
    <row r="3287">
      <c r="D3287" s="13"/>
      <c r="E3287" s="13"/>
      <c r="F3287" s="13"/>
    </row>
    <row r="3288">
      <c r="D3288" s="13"/>
      <c r="E3288" s="13"/>
      <c r="F3288" s="13"/>
    </row>
    <row r="3289">
      <c r="D3289" s="13"/>
      <c r="E3289" s="13"/>
      <c r="F3289" s="13"/>
    </row>
    <row r="3290">
      <c r="D3290" s="13"/>
      <c r="E3290" s="13"/>
      <c r="F3290" s="13"/>
    </row>
    <row r="3291">
      <c r="D3291" s="13"/>
      <c r="E3291" s="13"/>
      <c r="F3291" s="13"/>
    </row>
    <row r="3292">
      <c r="D3292" s="13"/>
      <c r="E3292" s="13"/>
      <c r="F3292" s="13"/>
    </row>
    <row r="3293">
      <c r="D3293" s="13"/>
      <c r="E3293" s="13"/>
      <c r="F3293" s="13"/>
    </row>
    <row r="3294">
      <c r="D3294" s="13"/>
      <c r="E3294" s="13"/>
      <c r="F3294" s="13"/>
    </row>
    <row r="3295">
      <c r="D3295" s="13"/>
      <c r="E3295" s="13"/>
      <c r="F3295" s="13"/>
    </row>
    <row r="3296">
      <c r="D3296" s="13"/>
      <c r="E3296" s="13"/>
      <c r="F3296" s="13"/>
    </row>
    <row r="3297">
      <c r="D3297" s="13"/>
      <c r="E3297" s="13"/>
      <c r="F3297" s="13"/>
    </row>
    <row r="3298">
      <c r="D3298" s="13"/>
      <c r="E3298" s="13"/>
      <c r="F3298" s="13"/>
    </row>
    <row r="3299">
      <c r="D3299" s="13"/>
      <c r="E3299" s="13"/>
      <c r="F3299" s="13"/>
    </row>
    <row r="3300">
      <c r="D3300" s="13"/>
      <c r="E3300" s="13"/>
      <c r="F3300" s="13"/>
    </row>
    <row r="3301">
      <c r="D3301" s="13"/>
      <c r="E3301" s="13"/>
      <c r="F3301" s="13"/>
    </row>
    <row r="3302">
      <c r="D3302" s="13"/>
      <c r="E3302" s="13"/>
      <c r="F3302" s="13"/>
    </row>
    <row r="3303">
      <c r="D3303" s="13"/>
      <c r="E3303" s="13"/>
      <c r="F3303" s="13"/>
    </row>
    <row r="3304">
      <c r="D3304" s="13"/>
      <c r="E3304" s="13"/>
      <c r="F3304" s="13"/>
    </row>
    <row r="3305">
      <c r="D3305" s="13"/>
      <c r="E3305" s="13"/>
      <c r="F3305" s="13"/>
    </row>
    <row r="3306">
      <c r="D3306" s="13"/>
      <c r="E3306" s="13"/>
      <c r="F3306" s="13"/>
    </row>
    <row r="3307">
      <c r="D3307" s="13"/>
      <c r="E3307" s="13"/>
      <c r="F3307" s="13"/>
    </row>
    <row r="3308">
      <c r="D3308" s="13"/>
      <c r="E3308" s="13"/>
      <c r="F3308" s="13"/>
    </row>
    <row r="3309">
      <c r="D3309" s="13"/>
      <c r="E3309" s="13"/>
      <c r="F3309" s="13"/>
    </row>
    <row r="3310">
      <c r="D3310" s="13"/>
      <c r="E3310" s="13"/>
      <c r="F3310" s="13"/>
    </row>
    <row r="3311">
      <c r="D3311" s="13"/>
      <c r="E3311" s="13"/>
      <c r="F3311" s="13"/>
    </row>
    <row r="3312">
      <c r="D3312" s="13"/>
      <c r="E3312" s="13"/>
      <c r="F3312" s="13"/>
    </row>
    <row r="3313">
      <c r="D3313" s="13"/>
      <c r="E3313" s="13"/>
      <c r="F3313" s="13"/>
    </row>
    <row r="3314">
      <c r="D3314" s="13"/>
      <c r="E3314" s="13"/>
      <c r="F3314" s="13"/>
    </row>
    <row r="3315">
      <c r="D3315" s="13"/>
      <c r="E3315" s="13"/>
      <c r="F3315" s="13"/>
    </row>
    <row r="3316">
      <c r="D3316" s="13"/>
      <c r="E3316" s="13"/>
      <c r="F3316" s="13"/>
    </row>
    <row r="3317">
      <c r="D3317" s="13"/>
      <c r="E3317" s="13"/>
      <c r="F3317" s="13"/>
    </row>
    <row r="3318">
      <c r="D3318" s="13"/>
      <c r="E3318" s="13"/>
      <c r="F3318" s="13"/>
    </row>
    <row r="3319">
      <c r="D3319" s="13"/>
      <c r="E3319" s="13"/>
      <c r="F3319" s="13"/>
    </row>
    <row r="3320">
      <c r="D3320" s="13"/>
      <c r="E3320" s="13"/>
      <c r="F3320" s="13"/>
    </row>
    <row r="3321">
      <c r="D3321" s="13"/>
      <c r="E3321" s="13"/>
      <c r="F3321" s="13"/>
    </row>
    <row r="3322">
      <c r="D3322" s="13"/>
      <c r="E3322" s="13"/>
      <c r="F3322" s="13"/>
    </row>
    <row r="3323">
      <c r="D3323" s="13"/>
      <c r="E3323" s="13"/>
      <c r="F3323" s="13"/>
    </row>
    <row r="3324">
      <c r="D3324" s="13"/>
      <c r="E3324" s="13"/>
      <c r="F3324" s="13"/>
    </row>
    <row r="3325">
      <c r="D3325" s="13"/>
      <c r="E3325" s="13"/>
      <c r="F3325" s="13"/>
    </row>
    <row r="3326">
      <c r="D3326" s="13"/>
      <c r="E3326" s="13"/>
      <c r="F3326" s="13"/>
    </row>
    <row r="3327">
      <c r="D3327" s="13"/>
      <c r="E3327" s="13"/>
      <c r="F3327" s="13"/>
    </row>
    <row r="3328">
      <c r="D3328" s="13"/>
      <c r="E3328" s="13"/>
      <c r="F3328" s="13"/>
    </row>
    <row r="3329">
      <c r="D3329" s="13"/>
      <c r="E3329" s="13"/>
      <c r="F3329" s="13"/>
    </row>
    <row r="3330">
      <c r="D3330" s="13"/>
      <c r="E3330" s="13"/>
      <c r="F3330" s="13"/>
    </row>
    <row r="3331">
      <c r="D3331" s="13"/>
      <c r="E3331" s="13"/>
      <c r="F3331" s="13"/>
    </row>
    <row r="3332">
      <c r="D3332" s="13"/>
      <c r="E3332" s="13"/>
      <c r="F3332" s="13"/>
    </row>
    <row r="3333">
      <c r="D3333" s="13"/>
      <c r="E3333" s="13"/>
      <c r="F3333" s="13"/>
    </row>
    <row r="3334">
      <c r="D3334" s="13"/>
      <c r="E3334" s="13"/>
      <c r="F3334" s="13"/>
    </row>
    <row r="3335">
      <c r="D3335" s="13"/>
      <c r="E3335" s="13"/>
      <c r="F3335" s="13"/>
    </row>
    <row r="3336">
      <c r="D3336" s="13"/>
      <c r="E3336" s="13"/>
      <c r="F3336" s="13"/>
    </row>
    <row r="3337">
      <c r="D3337" s="13"/>
      <c r="E3337" s="13"/>
      <c r="F3337" s="13"/>
    </row>
    <row r="3338">
      <c r="D3338" s="13"/>
      <c r="E3338" s="13"/>
      <c r="F3338" s="13"/>
    </row>
    <row r="3339">
      <c r="D3339" s="13"/>
      <c r="E3339" s="13"/>
      <c r="F3339" s="13"/>
    </row>
    <row r="3340">
      <c r="D3340" s="13"/>
      <c r="E3340" s="13"/>
      <c r="F3340" s="13"/>
    </row>
    <row r="3341">
      <c r="D3341" s="13"/>
      <c r="E3341" s="13"/>
      <c r="F3341" s="13"/>
    </row>
    <row r="3342">
      <c r="D3342" s="13"/>
      <c r="E3342" s="13"/>
      <c r="F3342" s="13"/>
    </row>
    <row r="3343">
      <c r="D3343" s="13"/>
      <c r="E3343" s="13"/>
      <c r="F3343" s="13"/>
    </row>
    <row r="3344">
      <c r="D3344" s="13"/>
      <c r="E3344" s="13"/>
      <c r="F3344" s="13"/>
    </row>
    <row r="3345">
      <c r="D3345" s="13"/>
      <c r="E3345" s="13"/>
      <c r="F3345" s="13"/>
    </row>
    <row r="3346">
      <c r="D3346" s="13"/>
      <c r="E3346" s="13"/>
      <c r="F3346" s="13"/>
    </row>
    <row r="3347">
      <c r="D3347" s="13"/>
      <c r="E3347" s="13"/>
      <c r="F3347" s="13"/>
    </row>
    <row r="3348">
      <c r="D3348" s="13"/>
      <c r="E3348" s="13"/>
      <c r="F3348" s="13"/>
    </row>
    <row r="3349">
      <c r="D3349" s="13"/>
      <c r="E3349" s="13"/>
      <c r="F3349" s="13"/>
    </row>
    <row r="3350">
      <c r="D3350" s="13"/>
      <c r="E3350" s="13"/>
      <c r="F3350" s="13"/>
    </row>
  </sheetData>
  <autoFilter ref="$A$2:$K$616"/>
  <dataValidations>
    <dataValidation type="list" allowBlank="1" showErrorMessage="1" sqref="E1">
      <formula1>Grn!$F$2:$G$2</formula1>
    </dataValidation>
  </dataValidations>
  <hyperlinks>
    <hyperlink r:id="rId1" ref="F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20.38"/>
    <col customWidth="1" min="3" max="3" width="111.0"/>
    <col customWidth="1" min="4" max="4" width="36.88"/>
    <col customWidth="1" min="5" max="5" width="9.75"/>
    <col customWidth="1" min="6" max="6" width="5.63"/>
    <col customWidth="1" min="7" max="7" width="9.0"/>
    <col customWidth="1" min="8" max="8" width="34.25"/>
    <col customWidth="1" min="9" max="9" width="7.25"/>
    <col customWidth="1" min="10" max="10" width="7.63"/>
  </cols>
  <sheetData>
    <row r="1">
      <c r="A1" s="1">
        <f>countif(A3:A1828,"TRUE")</f>
        <v>968</v>
      </c>
      <c r="B1" s="2" t="s">
        <v>0</v>
      </c>
      <c r="C1" s="3" t="s">
        <v>1</v>
      </c>
      <c r="D1" s="4"/>
      <c r="E1" s="4" t="s">
        <v>3</v>
      </c>
      <c r="F1" s="5" t="s">
        <v>4</v>
      </c>
      <c r="G1" s="2"/>
      <c r="H1" s="6"/>
      <c r="I1" s="2"/>
      <c r="J1" s="2"/>
    </row>
    <row r="2">
      <c r="A2" s="7" t="s">
        <v>5</v>
      </c>
      <c r="B2" s="2" t="s">
        <v>6</v>
      </c>
      <c r="C2" s="2" t="s">
        <v>7</v>
      </c>
      <c r="D2" s="4"/>
      <c r="E2" s="4" t="s">
        <v>9</v>
      </c>
      <c r="F2" s="4" t="s">
        <v>10</v>
      </c>
      <c r="G2" s="2" t="s">
        <v>3</v>
      </c>
      <c r="H2" s="6" t="s">
        <v>1758</v>
      </c>
      <c r="I2" s="2" t="s">
        <v>12</v>
      </c>
      <c r="J2" s="2" t="s">
        <v>13</v>
      </c>
      <c r="K2" s="7" t="s">
        <v>14</v>
      </c>
    </row>
    <row r="3">
      <c r="A3" s="7" t="b">
        <v>0</v>
      </c>
      <c r="B3" s="8" t="s">
        <v>1759</v>
      </c>
      <c r="C3" s="8" t="s">
        <v>1760</v>
      </c>
      <c r="D3" s="8" t="str">
        <f>Q&amp;$K3&amp;Q&amp;":{"&amp;Q&amp;$B$2&amp;Q&amp;":"&amp;Q&amp;$B3&amp;Q&amp;","&amp;Q&amp;$C$2&amp;Q&amp;":"&amp;Q&amp;$C3&amp;Q&amp;","&amp;Q&amp;"sets"&amp;Q&amp;":"&amp;Q&amp;substitute(SUBSTITUTE($H3,"[",""),"]","")&amp;Q&amp;"},"</f>
        <v>"xjkz":{"label":"*NSYNC","extra":"Popular boy band known for their dance routines and harmonies. Bye, Bye, Bye our albums!","sets":"Expansion Set 3, Party Expansion 1"},</v>
      </c>
      <c r="E3" s="9" t="str">
        <f t="shared" ref="E3:E1828" si="2">offset(E3,0,match($E$1,$F$2:$G$2))</f>
        <v>data:image/svg+xml,%3csvg xmlns='http://www.w3.org/2000/svg' viewBox='0 0 24 216'%3e%3ctext fill='%23fff' style='font: 900 16px sans-serif' text-anchor='end' transform='matrix(0 -1 1 0 18 5)'%3e%2ANSYNC%3c/text%3e%3c/svg%3e</v>
      </c>
      <c r="F3" s="14" t="str">
        <f t="shared" ref="F3:F1828" si="3">F$1&amp;ENCODEURL(B3)</f>
        <v>https://svgtext.heliohost.us/cgi-bin/gen.perl?text=%2ANSYNC</v>
      </c>
      <c r="G3" s="11" t="str">
        <f t="shared" ref="G3:G1828" si="4">"data:image/svg+xml,%3csvg xmlns='http://www.w3.org/2000/svg' viewBox='0 0 24 216'%3e%3ctext fill='%23fff' style='font: 900 16px sans-serif' text-anchor='end' transform='matrix(0 -1 1 0 18 5)'%3e"&amp;substitute(ENCODEURL(substitute(B3,"&amp;","&amp;amp;")),"%20"," ")&amp;"%3c/text%3e%3c/svg%3e"</f>
        <v>data:image/svg+xml,%3csvg xmlns='http://www.w3.org/2000/svg' viewBox='0 0 24 216'%3e%3ctext fill='%23fff' style='font: 900 16px sans-serif' text-anchor='end' transform='matrix(0 -1 1 0 18 5)'%3e%2ANSYNC%3c/text%3e%3c/svg%3e</v>
      </c>
      <c r="H3" s="8" t="s">
        <v>39</v>
      </c>
      <c r="I3" s="8">
        <f t="shared" ref="I3:J3" si="1">len(B3)</f>
        <v>6</v>
      </c>
      <c r="J3" s="8">
        <f t="shared" si="1"/>
        <v>88</v>
      </c>
      <c r="K3" s="8" t="s">
        <v>1761</v>
      </c>
    </row>
    <row r="4">
      <c r="A4" s="7" t="b">
        <v>0</v>
      </c>
      <c r="B4" s="8" t="s">
        <v>1762</v>
      </c>
      <c r="C4" s="8" t="s">
        <v>1763</v>
      </c>
      <c r="D4" s="8" t="str">
        <f>Q&amp;$K4&amp;Q&amp;":{"&amp;Q&amp;$B$2&amp;Q&amp;":"&amp;Q&amp;$B4&amp;Q&amp;","&amp;Q&amp;$C$2&amp;Q&amp;":"&amp;Q&amp;$C4&amp;Q&amp;","&amp;Q&amp;"sets"&amp;Q&amp;":"&amp;Q&amp;substitute(SUBSTITUTE($H4,"[",""),"]","")&amp;Q&amp;"},"</f>
        <v>"tvps":{"label":"A Bad Haircut","extra":"The perfect start to a bad hair day.","sets":"Expansion Set 1, Party Set"},</v>
      </c>
      <c r="E4" s="9" t="str">
        <f t="shared" si="2"/>
        <v>data:image/svg+xml,%3csvg xmlns='http://www.w3.org/2000/svg' viewBox='0 0 24 216'%3e%3ctext fill='%23fff' style='font: 900 16px sans-serif' text-anchor='end' transform='matrix(0 -1 1 0 18 5)'%3eA Bad Haircut%3c/text%3e%3c/svg%3e</v>
      </c>
      <c r="F4" s="14" t="str">
        <f t="shared" si="3"/>
        <v>https://svgtext.heliohost.us/cgi-bin/gen.perl?text=A%20Bad%20Haircut</v>
      </c>
      <c r="G4" s="11" t="str">
        <f t="shared" si="4"/>
        <v>data:image/svg+xml,%3csvg xmlns='http://www.w3.org/2000/svg' viewBox='0 0 24 216'%3e%3ctext fill='%23fff' style='font: 900 16px sans-serif' text-anchor='end' transform='matrix(0 -1 1 0 18 5)'%3eA Bad Haircut%3c/text%3e%3c/svg%3e</v>
      </c>
      <c r="H4" s="8" t="s">
        <v>25</v>
      </c>
      <c r="I4" s="8">
        <f t="shared" ref="I4:J4" si="5">len(B4)</f>
        <v>13</v>
      </c>
      <c r="J4" s="8">
        <f t="shared" si="5"/>
        <v>36</v>
      </c>
      <c r="K4" s="8" t="s">
        <v>1764</v>
      </c>
    </row>
    <row r="5">
      <c r="A5" s="7" t="b">
        <v>1</v>
      </c>
      <c r="B5" s="8" t="s">
        <v>1765</v>
      </c>
      <c r="C5" s="8" t="s">
        <v>1766</v>
      </c>
      <c r="D5" s="8" t="str">
        <f>Q&amp;$K5&amp;Q&amp;":{"&amp;Q&amp;$B$2&amp;Q&amp;":"&amp;Q&amp;$B5&amp;Q&amp;","&amp;Q&amp;$C$2&amp;Q&amp;":"&amp;Q&amp;$C5&amp;Q&amp;","&amp;Q&amp;"sets"&amp;Q&amp;":"&amp;Q&amp;substitute(SUBSTITUTE($H5,"[",""),"]","")&amp;Q&amp;"},"</f>
        <v>"roua":{"label":"A Bakery","extra":"Some bakers start work at 3:00 in the morning, so breads and donuts are fresh for breakfast.","sets":"Junior 9+ (1st) &amp; (2nd)"},</v>
      </c>
      <c r="E5" s="9" t="str">
        <f t="shared" si="2"/>
        <v>data:image/svg+xml,%3csvg xmlns='http://www.w3.org/2000/svg' viewBox='0 0 24 216'%3e%3ctext fill='%23fff' style='font: 900 16px sans-serif' text-anchor='end' transform='matrix(0 -1 1 0 18 5)'%3eA Bakery%3c/text%3e%3c/svg%3e</v>
      </c>
      <c r="F5" s="14" t="str">
        <f t="shared" si="3"/>
        <v>https://svgtext.heliohost.us/cgi-bin/gen.perl?text=A%20Bakery</v>
      </c>
      <c r="G5" s="11" t="str">
        <f t="shared" si="4"/>
        <v>data:image/svg+xml,%3csvg xmlns='http://www.w3.org/2000/svg' viewBox='0 0 24 216'%3e%3ctext fill='%23fff' style='font: 900 16px sans-serif' text-anchor='end' transform='matrix(0 -1 1 0 18 5)'%3eA Bakery%3c/text%3e%3c/svg%3e</v>
      </c>
      <c r="H5" s="8" t="s">
        <v>42</v>
      </c>
      <c r="I5" s="8">
        <f t="shared" ref="I5:J5" si="6">len(B5)</f>
        <v>8</v>
      </c>
      <c r="J5" s="8">
        <f t="shared" si="6"/>
        <v>92</v>
      </c>
      <c r="K5" s="8" t="s">
        <v>1767</v>
      </c>
    </row>
    <row r="6">
      <c r="A6" s="7" t="b">
        <v>1</v>
      </c>
      <c r="B6" s="8" t="s">
        <v>1768</v>
      </c>
      <c r="C6" s="7" t="s">
        <v>1769</v>
      </c>
      <c r="D6" s="8" t="str">
        <f>Q&amp;$K6&amp;Q&amp;":{"&amp;Q&amp;$B$2&amp;Q&amp;":"&amp;Q&amp;$B6&amp;Q&amp;","&amp;Q&amp;$C$2&amp;Q&amp;":"&amp;Q&amp;$C6&amp;Q&amp;","&amp;Q&amp;"sets"&amp;Q&amp;":"&amp;Q&amp;substitute(SUBSTITUTE($H6,"[",""),"]","")&amp;Q&amp;"},"</f>
        <v>"hign":{"label":"A Broken Leg","extra":"I was riding my bike when I hit this big rock…","sets":"Junior 9+ (1st) &amp; (2nd)"},</v>
      </c>
      <c r="E6" s="9" t="str">
        <f t="shared" si="2"/>
        <v>data:image/svg+xml,%3csvg xmlns='http://www.w3.org/2000/svg' viewBox='0 0 24 216'%3e%3ctext fill='%23fff' style='font: 900 16px sans-serif' text-anchor='end' transform='matrix(0 -1 1 0 18 5)'%3eA Broken Leg%3c/text%3e%3c/svg%3e</v>
      </c>
      <c r="F6" s="14" t="str">
        <f t="shared" si="3"/>
        <v>https://svgtext.heliohost.us/cgi-bin/gen.perl?text=A%20Broken%20Leg</v>
      </c>
      <c r="G6" s="11" t="str">
        <f t="shared" si="4"/>
        <v>data:image/svg+xml,%3csvg xmlns='http://www.w3.org/2000/svg' viewBox='0 0 24 216'%3e%3ctext fill='%23fff' style='font: 900 16px sans-serif' text-anchor='end' transform='matrix(0 -1 1 0 18 5)'%3eA Broken Leg%3c/text%3e%3c/svg%3e</v>
      </c>
      <c r="H6" s="8" t="s">
        <v>42</v>
      </c>
      <c r="I6" s="8">
        <f t="shared" ref="I6:J6" si="7">len(B6)</f>
        <v>12</v>
      </c>
      <c r="J6" s="8">
        <f t="shared" si="7"/>
        <v>46</v>
      </c>
      <c r="K6" s="8" t="s">
        <v>1770</v>
      </c>
    </row>
    <row r="7">
      <c r="A7" s="7" t="b">
        <v>0</v>
      </c>
      <c r="B7" s="8" t="s">
        <v>1771</v>
      </c>
      <c r="C7" s="7" t="s">
        <v>1772</v>
      </c>
      <c r="D7" s="8" t="str">
        <f>Q&amp;$K7&amp;Q&amp;":{"&amp;Q&amp;$B$2&amp;Q&amp;":"&amp;Q&amp;$B7&amp;Q&amp;","&amp;Q&amp;$C$2&amp;Q&amp;":"&amp;Q&amp;$C7&amp;Q&amp;","&amp;Q&amp;"sets"&amp;Q&amp;":"&amp;Q&amp;substitute(SUBSTITUTE($H7,"[",""),"]","")&amp;Q&amp;"},"</f>
        <v>"vhva":{"label":"A Bull Fight","extra":"Also known as “la fiesta brava” (the brave festival). A whole lot of bull..","sets":"Expansion Set 2, Party Set"},</v>
      </c>
      <c r="E7" s="9" t="str">
        <f t="shared" si="2"/>
        <v>data:image/svg+xml,%3csvg xmlns='http://www.w3.org/2000/svg' viewBox='0 0 24 216'%3e%3ctext fill='%23fff' style='font: 900 16px sans-serif' text-anchor='end' transform='matrix(0 -1 1 0 18 5)'%3eA Bull Fight%3c/text%3e%3c/svg%3e</v>
      </c>
      <c r="F7" s="14" t="str">
        <f t="shared" si="3"/>
        <v>https://svgtext.heliohost.us/cgi-bin/gen.perl?text=A%20Bull%20Fight</v>
      </c>
      <c r="G7" s="11" t="str">
        <f t="shared" si="4"/>
        <v>data:image/svg+xml,%3csvg xmlns='http://www.w3.org/2000/svg' viewBox='0 0 24 216'%3e%3ctext fill='%23fff' style='font: 900 16px sans-serif' text-anchor='end' transform='matrix(0 -1 1 0 18 5)'%3eA Bull Fight%3c/text%3e%3c/svg%3e</v>
      </c>
      <c r="H7" s="8" t="s">
        <v>17</v>
      </c>
      <c r="I7" s="8">
        <f t="shared" ref="I7:J7" si="8">len(B7)</f>
        <v>12</v>
      </c>
      <c r="J7" s="8">
        <f t="shared" si="8"/>
        <v>75</v>
      </c>
      <c r="K7" s="8" t="s">
        <v>1773</v>
      </c>
    </row>
    <row r="8">
      <c r="A8" s="7" t="b">
        <v>1</v>
      </c>
      <c r="B8" s="8" t="s">
        <v>1774</v>
      </c>
      <c r="C8" s="8" t="s">
        <v>1775</v>
      </c>
      <c r="D8" s="8" t="str">
        <f>Q&amp;$K8&amp;Q&amp;":{"&amp;Q&amp;$B$2&amp;Q&amp;":"&amp;Q&amp;$B8&amp;Q&amp;","&amp;Q&amp;$C$2&amp;Q&amp;":"&amp;Q&amp;$C8&amp;Q&amp;","&amp;Q&amp;"sets"&amp;Q&amp;":"&amp;Q&amp;substitute(SUBSTITUTE($H8,"[",""),"]","")&amp;Q&amp;"},"</f>
        <v>"perh":{"label":"A Cabin In The Woods","extra":"Henry David Thoreau went to Walden Pond for two years. All we're asking for is one lousy weekend!","sets":"Expansion Set 3, Party Expansion 1"},</v>
      </c>
      <c r="E8" s="9" t="str">
        <f t="shared" si="2"/>
        <v>data:image/svg+xml,%3csvg xmlns='http://www.w3.org/2000/svg' viewBox='0 0 24 216'%3e%3ctext fill='%23fff' style='font: 900 16px sans-serif' text-anchor='end' transform='matrix(0 -1 1 0 18 5)'%3eA Cabin In The Woods%3c/text%3e%3c/svg%3e</v>
      </c>
      <c r="F8" s="14" t="str">
        <f t="shared" si="3"/>
        <v>https://svgtext.heliohost.us/cgi-bin/gen.perl?text=A%20Cabin%20In%20The%20Woods</v>
      </c>
      <c r="G8" s="11" t="str">
        <f t="shared" si="4"/>
        <v>data:image/svg+xml,%3csvg xmlns='http://www.w3.org/2000/svg' viewBox='0 0 24 216'%3e%3ctext fill='%23fff' style='font: 900 16px sans-serif' text-anchor='end' transform='matrix(0 -1 1 0 18 5)'%3eA Cabin In The Woods%3c/text%3e%3c/svg%3e</v>
      </c>
      <c r="H8" s="8" t="s">
        <v>39</v>
      </c>
      <c r="I8" s="8">
        <f t="shared" ref="I8:J8" si="9">len(B8)</f>
        <v>20</v>
      </c>
      <c r="J8" s="8">
        <f t="shared" si="9"/>
        <v>97</v>
      </c>
      <c r="K8" s="8" t="s">
        <v>1776</v>
      </c>
    </row>
    <row r="9">
      <c r="A9" s="7" t="b">
        <v>1</v>
      </c>
      <c r="B9" s="8" t="s">
        <v>1777</v>
      </c>
      <c r="C9" s="7" t="s">
        <v>1778</v>
      </c>
      <c r="D9" s="8" t="str">
        <f>Q&amp;$K9&amp;Q&amp;":{"&amp;Q&amp;$B$2&amp;Q&amp;":"&amp;Q&amp;$B9&amp;Q&amp;","&amp;Q&amp;$C$2&amp;Q&amp;":"&amp;Q&amp;$C9&amp;Q&amp;","&amp;Q&amp;"sets"&amp;Q&amp;":"&amp;Q&amp;substitute(SUBSTITUTE($H9,"[",""),"]","")&amp;Q&amp;"},"</f>
        <v>"ubnp":{"label":"A Can Of Worms","extra":"Now you’ve opened it.","sets":"Expansion Set 3, Party Expansion 1"},</v>
      </c>
      <c r="E9" s="9" t="str">
        <f t="shared" si="2"/>
        <v>data:image/svg+xml,%3csvg xmlns='http://www.w3.org/2000/svg' viewBox='0 0 24 216'%3e%3ctext fill='%23fff' style='font: 900 16px sans-serif' text-anchor='end' transform='matrix(0 -1 1 0 18 5)'%3eA Can Of Worms%3c/text%3e%3c/svg%3e</v>
      </c>
      <c r="F9" s="14" t="str">
        <f t="shared" si="3"/>
        <v>https://svgtext.heliohost.us/cgi-bin/gen.perl?text=A%20Can%20Of%20Worms</v>
      </c>
      <c r="G9" s="11" t="str">
        <f t="shared" si="4"/>
        <v>data:image/svg+xml,%3csvg xmlns='http://www.w3.org/2000/svg' viewBox='0 0 24 216'%3e%3ctext fill='%23fff' style='font: 900 16px sans-serif' text-anchor='end' transform='matrix(0 -1 1 0 18 5)'%3eA Can Of Worms%3c/text%3e%3c/svg%3e</v>
      </c>
      <c r="H9" s="8" t="s">
        <v>39</v>
      </c>
      <c r="I9" s="8">
        <f t="shared" ref="I9:J9" si="10">len(B9)</f>
        <v>14</v>
      </c>
      <c r="J9" s="8">
        <f t="shared" si="10"/>
        <v>21</v>
      </c>
      <c r="K9" s="8" t="s">
        <v>1779</v>
      </c>
    </row>
    <row r="10">
      <c r="A10" s="7" t="b">
        <v>0</v>
      </c>
      <c r="B10" s="8" t="s">
        <v>1780</v>
      </c>
      <c r="C10" s="7" t="s">
        <v>1781</v>
      </c>
      <c r="D10" s="8" t="str">
        <f>Q&amp;$K10&amp;Q&amp;":{"&amp;Q&amp;$B$2&amp;Q&amp;":"&amp;Q&amp;$B10&amp;Q&amp;","&amp;Q&amp;$C$2&amp;Q&amp;":"&amp;Q&amp;$C10&amp;Q&amp;","&amp;Q&amp;"sets"&amp;Q&amp;":"&amp;Q&amp;substitute(SUBSTITUTE($H10,"[",""),"]","")&amp;Q&amp;"},"</f>
        <v>"uavw":{"label":"A Car Crash","extra":"“Hey, it was an accident!”","sets":"Basic Set, Party Set"},</v>
      </c>
      <c r="E10" s="9" t="str">
        <f t="shared" si="2"/>
        <v>data:image/svg+xml,%3csvg xmlns='http://www.w3.org/2000/svg' viewBox='0 0 24 216'%3e%3ctext fill='%23fff' style='font: 900 16px sans-serif' text-anchor='end' transform='matrix(0 -1 1 0 18 5)'%3eA Car Crash%3c/text%3e%3c/svg%3e</v>
      </c>
      <c r="F10" s="14" t="str">
        <f t="shared" si="3"/>
        <v>https://svgtext.heliohost.us/cgi-bin/gen.perl?text=A%20Car%20Crash</v>
      </c>
      <c r="G10" s="11" t="str">
        <f t="shared" si="4"/>
        <v>data:image/svg+xml,%3csvg xmlns='http://www.w3.org/2000/svg' viewBox='0 0 24 216'%3e%3ctext fill='%23fff' style='font: 900 16px sans-serif' text-anchor='end' transform='matrix(0 -1 1 0 18 5)'%3eA Car Crash%3c/text%3e%3c/svg%3e</v>
      </c>
      <c r="H10" s="8" t="s">
        <v>29</v>
      </c>
      <c r="I10" s="8">
        <f t="shared" ref="I10:J10" si="11">len(B10)</f>
        <v>11</v>
      </c>
      <c r="J10" s="8">
        <f t="shared" si="11"/>
        <v>26</v>
      </c>
      <c r="K10" s="8" t="s">
        <v>1782</v>
      </c>
    </row>
    <row r="11">
      <c r="A11" s="7" t="b">
        <v>0</v>
      </c>
      <c r="B11" s="8" t="s">
        <v>1783</v>
      </c>
      <c r="C11" s="8" t="s">
        <v>1784</v>
      </c>
      <c r="D11" s="8" t="str">
        <f>Q&amp;$K11&amp;Q&amp;":{"&amp;Q&amp;$B$2&amp;Q&amp;":"&amp;Q&amp;$B11&amp;Q&amp;","&amp;Q&amp;$C$2&amp;Q&amp;":"&amp;Q&amp;$C11&amp;Q&amp;","&amp;Q&amp;"sets"&amp;Q&amp;":"&amp;Q&amp;substitute(SUBSTITUTE($H11,"[",""),"]","")&amp;Q&amp;"},"</f>
        <v>"tucc":{"label":"A Cheap Motel","extra":"No charge for the cockroaches.","sets":"Basic Set, Party Set"},</v>
      </c>
      <c r="E11" s="9" t="str">
        <f t="shared" si="2"/>
        <v>data:image/svg+xml,%3csvg xmlns='http://www.w3.org/2000/svg' viewBox='0 0 24 216'%3e%3ctext fill='%23fff' style='font: 900 16px sans-serif' text-anchor='end' transform='matrix(0 -1 1 0 18 5)'%3eA Cheap Motel%3c/text%3e%3c/svg%3e</v>
      </c>
      <c r="F11" s="14" t="str">
        <f t="shared" si="3"/>
        <v>https://svgtext.heliohost.us/cgi-bin/gen.perl?text=A%20Cheap%20Motel</v>
      </c>
      <c r="G11" s="11" t="str">
        <f t="shared" si="4"/>
        <v>data:image/svg+xml,%3csvg xmlns='http://www.w3.org/2000/svg' viewBox='0 0 24 216'%3e%3ctext fill='%23fff' style='font: 900 16px sans-serif' text-anchor='end' transform='matrix(0 -1 1 0 18 5)'%3eA Cheap Motel%3c/text%3e%3c/svg%3e</v>
      </c>
      <c r="H11" s="8" t="s">
        <v>29</v>
      </c>
      <c r="I11" s="8">
        <f t="shared" ref="I11:J11" si="12">len(B11)</f>
        <v>13</v>
      </c>
      <c r="J11" s="8">
        <f t="shared" si="12"/>
        <v>30</v>
      </c>
      <c r="K11" s="8" t="s">
        <v>1785</v>
      </c>
    </row>
    <row r="12">
      <c r="A12" s="7" t="b">
        <v>1</v>
      </c>
      <c r="B12" s="8" t="s">
        <v>1786</v>
      </c>
      <c r="C12" s="8" t="s">
        <v>1787</v>
      </c>
      <c r="D12" s="8" t="str">
        <f>Q&amp;$K12&amp;Q&amp;":{"&amp;Q&amp;$B$2&amp;Q&amp;":"&amp;Q&amp;$B12&amp;Q&amp;","&amp;Q&amp;$C$2&amp;Q&amp;":"&amp;Q&amp;$C12&amp;Q&amp;","&amp;Q&amp;"sets"&amp;Q&amp;":"&amp;Q&amp;substitute(SUBSTITUTE($H12,"[",""),"]","")&amp;Q&amp;"},"</f>
        <v>"fsqo":{"label":"A Cookbook","extra":"The best ones include favorite family recipes.","sets":"Junior 9+ (2nd)"},</v>
      </c>
      <c r="E12" s="9" t="str">
        <f t="shared" si="2"/>
        <v>data:image/svg+xml,%3csvg xmlns='http://www.w3.org/2000/svg' viewBox='0 0 24 216'%3e%3ctext fill='%23fff' style='font: 900 16px sans-serif' text-anchor='end' transform='matrix(0 -1 1 0 18 5)'%3eA Cookbook%3c/text%3e%3c/svg%3e</v>
      </c>
      <c r="F12" s="14" t="str">
        <f t="shared" si="3"/>
        <v>https://svgtext.heliohost.us/cgi-bin/gen.perl?text=A%20Cookbook</v>
      </c>
      <c r="G12" s="11" t="str">
        <f t="shared" si="4"/>
        <v>data:image/svg+xml,%3csvg xmlns='http://www.w3.org/2000/svg' viewBox='0 0 24 216'%3e%3ctext fill='%23fff' style='font: 900 16px sans-serif' text-anchor='end' transform='matrix(0 -1 1 0 18 5)'%3eA Cookbook%3c/text%3e%3c/svg%3e</v>
      </c>
      <c r="H12" s="8" t="s">
        <v>32</v>
      </c>
      <c r="I12" s="8">
        <f t="shared" ref="I12:J12" si="13">len(B12)</f>
        <v>10</v>
      </c>
      <c r="J12" s="8">
        <f t="shared" si="13"/>
        <v>46</v>
      </c>
      <c r="K12" s="8" t="s">
        <v>1788</v>
      </c>
    </row>
    <row r="13">
      <c r="A13" s="7" t="b">
        <v>0</v>
      </c>
      <c r="B13" s="8" t="s">
        <v>1789</v>
      </c>
      <c r="C13" s="8" t="s">
        <v>1790</v>
      </c>
      <c r="D13" s="8" t="str">
        <f>Q&amp;$K13&amp;Q&amp;":{"&amp;Q&amp;$B$2&amp;Q&amp;":"&amp;Q&amp;$B13&amp;Q&amp;","&amp;Q&amp;$C$2&amp;Q&amp;":"&amp;Q&amp;$C13&amp;Q&amp;","&amp;Q&amp;"sets"&amp;Q&amp;":"&amp;Q&amp;substitute(SUBSTITUTE($H13,"[",""),"]","")&amp;Q&amp;"},"</f>
        <v>"htpm":{"label":"A Crawl Space","extra":"Where you'll find something the cat dragged in.","sets":"Basic Set, Party Set"},</v>
      </c>
      <c r="E13" s="9" t="str">
        <f t="shared" si="2"/>
        <v>data:image/svg+xml,%3csvg xmlns='http://www.w3.org/2000/svg' viewBox='0 0 24 216'%3e%3ctext fill='%23fff' style='font: 900 16px sans-serif' text-anchor='end' transform='matrix(0 -1 1 0 18 5)'%3eA Crawl Space%3c/text%3e%3c/svg%3e</v>
      </c>
      <c r="F13" s="14" t="str">
        <f t="shared" si="3"/>
        <v>https://svgtext.heliohost.us/cgi-bin/gen.perl?text=A%20Crawl%20Space</v>
      </c>
      <c r="G13" s="11" t="str">
        <f t="shared" si="4"/>
        <v>data:image/svg+xml,%3csvg xmlns='http://www.w3.org/2000/svg' viewBox='0 0 24 216'%3e%3ctext fill='%23fff' style='font: 900 16px sans-serif' text-anchor='end' transform='matrix(0 -1 1 0 18 5)'%3eA Crawl Space%3c/text%3e%3c/svg%3e</v>
      </c>
      <c r="H13" s="8" t="s">
        <v>29</v>
      </c>
      <c r="I13" s="8">
        <f t="shared" ref="I13:J13" si="14">len(B13)</f>
        <v>13</v>
      </c>
      <c r="J13" s="8">
        <f t="shared" si="14"/>
        <v>47</v>
      </c>
      <c r="K13" s="8" t="s">
        <v>1791</v>
      </c>
    </row>
    <row r="14">
      <c r="A14" s="7" t="b">
        <v>1</v>
      </c>
      <c r="B14" s="8" t="s">
        <v>1792</v>
      </c>
      <c r="C14" s="8" t="s">
        <v>1793</v>
      </c>
      <c r="D14" s="8" t="str">
        <f>Q&amp;$K14&amp;Q&amp;":{"&amp;Q&amp;$B$2&amp;Q&amp;":"&amp;Q&amp;$B14&amp;Q&amp;","&amp;Q&amp;$C$2&amp;Q&amp;":"&amp;Q&amp;$C14&amp;Q&amp;","&amp;Q&amp;"sets"&amp;Q&amp;":"&amp;Q&amp;substitute(SUBSTITUTE($H14,"[",""),"]","")&amp;Q&amp;"},"</f>
        <v>"omym":{"label":"A Crown","extra":"A crown is a symbol of royalty.","sets":"Junior 9+ (2nd)"},</v>
      </c>
      <c r="E14" s="9" t="str">
        <f t="shared" si="2"/>
        <v>data:image/svg+xml,%3csvg xmlns='http://www.w3.org/2000/svg' viewBox='0 0 24 216'%3e%3ctext fill='%23fff' style='font: 900 16px sans-serif' text-anchor='end' transform='matrix(0 -1 1 0 18 5)'%3eA Crown%3c/text%3e%3c/svg%3e</v>
      </c>
      <c r="F14" s="14" t="str">
        <f t="shared" si="3"/>
        <v>https://svgtext.heliohost.us/cgi-bin/gen.perl?text=A%20Crown</v>
      </c>
      <c r="G14" s="11" t="str">
        <f t="shared" si="4"/>
        <v>data:image/svg+xml,%3csvg xmlns='http://www.w3.org/2000/svg' viewBox='0 0 24 216'%3e%3ctext fill='%23fff' style='font: 900 16px sans-serif' text-anchor='end' transform='matrix(0 -1 1 0 18 5)'%3eA Crown%3c/text%3e%3c/svg%3e</v>
      </c>
      <c r="H14" s="8" t="s">
        <v>32</v>
      </c>
      <c r="I14" s="8">
        <f t="shared" ref="I14:J14" si="15">len(B14)</f>
        <v>7</v>
      </c>
      <c r="J14" s="8">
        <f t="shared" si="15"/>
        <v>31</v>
      </c>
      <c r="K14" s="8" t="s">
        <v>1794</v>
      </c>
    </row>
    <row r="15">
      <c r="A15" s="7" t="b">
        <v>1</v>
      </c>
      <c r="B15" s="8" t="s">
        <v>1795</v>
      </c>
      <c r="C15" s="8" t="s">
        <v>1796</v>
      </c>
      <c r="D15" s="8" t="str">
        <f>Q&amp;$K15&amp;Q&amp;":{"&amp;Q&amp;$B$2&amp;Q&amp;":"&amp;Q&amp;$B15&amp;Q&amp;","&amp;Q&amp;$C$2&amp;Q&amp;":"&amp;Q&amp;$C15&amp;Q&amp;","&amp;Q&amp;"sets"&amp;Q&amp;":"&amp;Q&amp;substitute(SUBSTITUTE($H15,"[",""),"]","")&amp;Q&amp;"},"</f>
        <v>"sqve":{"label":"A Desert","extra":"Hot, dry and sandy.","sets":"Junior 9+ (1st) &amp; (2nd)"},</v>
      </c>
      <c r="E15" s="9" t="str">
        <f t="shared" si="2"/>
        <v>data:image/svg+xml,%3csvg xmlns='http://www.w3.org/2000/svg' viewBox='0 0 24 216'%3e%3ctext fill='%23fff' style='font: 900 16px sans-serif' text-anchor='end' transform='matrix(0 -1 1 0 18 5)'%3eA Desert%3c/text%3e%3c/svg%3e</v>
      </c>
      <c r="F15" s="14" t="str">
        <f t="shared" si="3"/>
        <v>https://svgtext.heliohost.us/cgi-bin/gen.perl?text=A%20Desert</v>
      </c>
      <c r="G15" s="11" t="str">
        <f t="shared" si="4"/>
        <v>data:image/svg+xml,%3csvg xmlns='http://www.w3.org/2000/svg' viewBox='0 0 24 216'%3e%3ctext fill='%23fff' style='font: 900 16px sans-serif' text-anchor='end' transform='matrix(0 -1 1 0 18 5)'%3eA Desert%3c/text%3e%3c/svg%3e</v>
      </c>
      <c r="H15" s="8" t="s">
        <v>42</v>
      </c>
      <c r="I15" s="8">
        <f t="shared" ref="I15:J15" si="16">len(B15)</f>
        <v>8</v>
      </c>
      <c r="J15" s="8">
        <f t="shared" si="16"/>
        <v>19</v>
      </c>
      <c r="K15" s="8" t="s">
        <v>1797</v>
      </c>
    </row>
    <row r="16">
      <c r="A16" s="7" t="b">
        <v>1</v>
      </c>
      <c r="B16" s="8" t="s">
        <v>1798</v>
      </c>
      <c r="C16" s="8" t="s">
        <v>1799</v>
      </c>
      <c r="D16" s="8" t="str">
        <f>Q&amp;$K16&amp;Q&amp;":{"&amp;Q&amp;$B$2&amp;Q&amp;":"&amp;Q&amp;$B16&amp;Q&amp;","&amp;Q&amp;$C$2&amp;Q&amp;":"&amp;Q&amp;$C16&amp;Q&amp;","&amp;Q&amp;"sets"&amp;Q&amp;":"&amp;Q&amp;substitute(SUBSTITUTE($H16,"[",""),"]","")&amp;Q&amp;"},"</f>
        <v>"xeqx":{"label":"A Dollar","extra":"Spend it wisely!","sets":"Junior 9+ (2nd)"},</v>
      </c>
      <c r="E16" s="9" t="str">
        <f t="shared" si="2"/>
        <v>data:image/svg+xml,%3csvg xmlns='http://www.w3.org/2000/svg' viewBox='0 0 24 216'%3e%3ctext fill='%23fff' style='font: 900 16px sans-serif' text-anchor='end' transform='matrix(0 -1 1 0 18 5)'%3eA Dollar%3c/text%3e%3c/svg%3e</v>
      </c>
      <c r="F16" s="14" t="str">
        <f t="shared" si="3"/>
        <v>https://svgtext.heliohost.us/cgi-bin/gen.perl?text=A%20Dollar</v>
      </c>
      <c r="G16" s="11" t="str">
        <f t="shared" si="4"/>
        <v>data:image/svg+xml,%3csvg xmlns='http://www.w3.org/2000/svg' viewBox='0 0 24 216'%3e%3ctext fill='%23fff' style='font: 900 16px sans-serif' text-anchor='end' transform='matrix(0 -1 1 0 18 5)'%3eA Dollar%3c/text%3e%3c/svg%3e</v>
      </c>
      <c r="H16" s="8" t="s">
        <v>32</v>
      </c>
      <c r="I16" s="8">
        <f t="shared" ref="I16:J16" si="17">len(B16)</f>
        <v>8</v>
      </c>
      <c r="J16" s="8">
        <f t="shared" si="17"/>
        <v>16</v>
      </c>
      <c r="K16" s="8" t="s">
        <v>1800</v>
      </c>
    </row>
    <row r="17">
      <c r="A17" s="7" t="b">
        <v>0</v>
      </c>
      <c r="B17" s="8" t="s">
        <v>1801</v>
      </c>
      <c r="C17" s="8" t="s">
        <v>1802</v>
      </c>
      <c r="D17" s="8" t="str">
        <f>Q&amp;$K17&amp;Q&amp;":{"&amp;Q&amp;$B$2&amp;Q&amp;":"&amp;Q&amp;$B17&amp;Q&amp;","&amp;Q&amp;$C$2&amp;Q&amp;":"&amp;Q&amp;$C17&amp;Q&amp;","&amp;Q&amp;"sets"&amp;Q&amp;":"&amp;Q&amp;substitute(SUBSTITUTE($H17,"[",""),"]","")&amp;Q&amp;"},"</f>
        <v>"ioru":{"label":"A Dozen Red Roses","extra":"When eleven just won't do.","sets":"Expansion Set 1, Party Set"},</v>
      </c>
      <c r="E17" s="9" t="str">
        <f t="shared" si="2"/>
        <v>data:image/svg+xml,%3csvg xmlns='http://www.w3.org/2000/svg' viewBox='0 0 24 216'%3e%3ctext fill='%23fff' style='font: 900 16px sans-serif' text-anchor='end' transform='matrix(0 -1 1 0 18 5)'%3eA Dozen Red Roses%3c/text%3e%3c/svg%3e</v>
      </c>
      <c r="F17" s="14" t="str">
        <f t="shared" si="3"/>
        <v>https://svgtext.heliohost.us/cgi-bin/gen.perl?text=A%20Dozen%20Red%20Roses</v>
      </c>
      <c r="G17" s="11" t="str">
        <f t="shared" si="4"/>
        <v>data:image/svg+xml,%3csvg xmlns='http://www.w3.org/2000/svg' viewBox='0 0 24 216'%3e%3ctext fill='%23fff' style='font: 900 16px sans-serif' text-anchor='end' transform='matrix(0 -1 1 0 18 5)'%3eA Dozen Red Roses%3c/text%3e%3c/svg%3e</v>
      </c>
      <c r="H17" s="8" t="s">
        <v>25</v>
      </c>
      <c r="I17" s="8">
        <f t="shared" ref="I17:J17" si="18">len(B17)</f>
        <v>17</v>
      </c>
      <c r="J17" s="8">
        <f t="shared" si="18"/>
        <v>26</v>
      </c>
      <c r="K17" s="8" t="s">
        <v>1803</v>
      </c>
    </row>
    <row r="18">
      <c r="A18" s="7" t="b">
        <v>0</v>
      </c>
      <c r="B18" s="8" t="s">
        <v>1804</v>
      </c>
      <c r="C18" s="8" t="s">
        <v>1805</v>
      </c>
      <c r="D18" s="8" t="str">
        <f>Q&amp;$K18&amp;Q&amp;":{"&amp;Q&amp;$B$2&amp;Q&amp;":"&amp;Q&amp;$B18&amp;Q&amp;","&amp;Q&amp;$C$2&amp;Q&amp;":"&amp;Q&amp;$C18&amp;Q&amp;","&amp;Q&amp;"sets"&amp;Q&amp;":"&amp;Q&amp;substitute(SUBSTITUTE($H18,"[",""),"]","")&amp;Q&amp;"},"</f>
        <v>"lrta":{"label":"A Fairy","extra":"A tiny creature who has magical powers and can fly, like Tinkerbell.","sets":"Junior"},</v>
      </c>
      <c r="E18" s="9" t="str">
        <f t="shared" si="2"/>
        <v>data:image/svg+xml,%3csvg xmlns='http://www.w3.org/2000/svg' viewBox='0 0 24 216'%3e%3ctext fill='%23fff' style='font: 900 16px sans-serif' text-anchor='end' transform='matrix(0 -1 1 0 18 5)'%3eA Fairy%3c/text%3e%3c/svg%3e</v>
      </c>
      <c r="F18" s="14" t="str">
        <f t="shared" si="3"/>
        <v>https://svgtext.heliohost.us/cgi-bin/gen.perl?text=A%20Fairy</v>
      </c>
      <c r="G18" s="11" t="str">
        <f t="shared" si="4"/>
        <v>data:image/svg+xml,%3csvg xmlns='http://www.w3.org/2000/svg' viewBox='0 0 24 216'%3e%3ctext fill='%23fff' style='font: 900 16px sans-serif' text-anchor='end' transform='matrix(0 -1 1 0 18 5)'%3eA Fairy%3c/text%3e%3c/svg%3e</v>
      </c>
      <c r="H18" s="8" t="s">
        <v>84</v>
      </c>
      <c r="I18" s="8">
        <f t="shared" ref="I18:J18" si="19">len(B18)</f>
        <v>7</v>
      </c>
      <c r="J18" s="8">
        <f t="shared" si="19"/>
        <v>68</v>
      </c>
      <c r="K18" s="8" t="s">
        <v>1806</v>
      </c>
    </row>
    <row r="19">
      <c r="A19" s="7" t="b">
        <v>1</v>
      </c>
      <c r="B19" s="8" t="s">
        <v>1807</v>
      </c>
      <c r="C19" s="8" t="s">
        <v>1808</v>
      </c>
      <c r="D19" s="8" t="str">
        <f>Q&amp;$K19&amp;Q&amp;":{"&amp;Q&amp;$B$2&amp;Q&amp;":"&amp;Q&amp;$B19&amp;Q&amp;","&amp;Q&amp;$C$2&amp;Q&amp;":"&amp;Q&amp;$C19&amp;Q&amp;","&amp;Q&amp;"sets"&amp;Q&amp;":"&amp;Q&amp;substitute(SUBSTITUTE($H19,"[",""),"]","")&amp;Q&amp;"},"</f>
        <v>"zgol":{"label":"A Few Good Men","extra":"Is that too much to ask?","sets":"Expansion Set 3, Party Expansion 1"},</v>
      </c>
      <c r="E19" s="9" t="str">
        <f t="shared" si="2"/>
        <v>data:image/svg+xml,%3csvg xmlns='http://www.w3.org/2000/svg' viewBox='0 0 24 216'%3e%3ctext fill='%23fff' style='font: 900 16px sans-serif' text-anchor='end' transform='matrix(0 -1 1 0 18 5)'%3eA Few Good Men%3c/text%3e%3c/svg%3e</v>
      </c>
      <c r="F19" s="14" t="str">
        <f t="shared" si="3"/>
        <v>https://svgtext.heliohost.us/cgi-bin/gen.perl?text=A%20Few%20Good%20Men</v>
      </c>
      <c r="G19" s="11" t="str">
        <f t="shared" si="4"/>
        <v>data:image/svg+xml,%3csvg xmlns='http://www.w3.org/2000/svg' viewBox='0 0 24 216'%3e%3ctext fill='%23fff' style='font: 900 16px sans-serif' text-anchor='end' transform='matrix(0 -1 1 0 18 5)'%3eA Few Good Men%3c/text%3e%3c/svg%3e</v>
      </c>
      <c r="H19" s="8" t="s">
        <v>39</v>
      </c>
      <c r="I19" s="8">
        <f t="shared" ref="I19:J19" si="20">len(B19)</f>
        <v>14</v>
      </c>
      <c r="J19" s="8">
        <f t="shared" si="20"/>
        <v>24</v>
      </c>
      <c r="K19" s="8" t="s">
        <v>1809</v>
      </c>
    </row>
    <row r="20">
      <c r="A20" s="7" t="b">
        <v>0</v>
      </c>
      <c r="B20" s="8" t="s">
        <v>1810</v>
      </c>
      <c r="C20" s="7" t="s">
        <v>1811</v>
      </c>
      <c r="D20" s="8" t="str">
        <f>Q&amp;$K20&amp;Q&amp;":{"&amp;Q&amp;$B$2&amp;Q&amp;":"&amp;Q&amp;$B20&amp;Q&amp;","&amp;Q&amp;$C$2&amp;Q&amp;":"&amp;Q&amp;$C20&amp;Q&amp;","&amp;Q&amp;"sets"&amp;Q&amp;":"&amp;Q&amp;substitute(SUBSTITUTE($H20,"[",""),"]","")&amp;Q&amp;"},"</f>
        <v>"plrz":{"label":"A Flat Tire","extra":"“Whaddya mean, there’s no spare?”","sets":"Basic Set, Party Set"},</v>
      </c>
      <c r="E20" s="9" t="str">
        <f t="shared" si="2"/>
        <v>data:image/svg+xml,%3csvg xmlns='http://www.w3.org/2000/svg' viewBox='0 0 24 216'%3e%3ctext fill='%23fff' style='font: 900 16px sans-serif' text-anchor='end' transform='matrix(0 -1 1 0 18 5)'%3eA Flat Tire%3c/text%3e%3c/svg%3e</v>
      </c>
      <c r="F20" s="14" t="str">
        <f t="shared" si="3"/>
        <v>https://svgtext.heliohost.us/cgi-bin/gen.perl?text=A%20Flat%20Tire</v>
      </c>
      <c r="G20" s="11" t="str">
        <f t="shared" si="4"/>
        <v>data:image/svg+xml,%3csvg xmlns='http://www.w3.org/2000/svg' viewBox='0 0 24 216'%3e%3ctext fill='%23fff' style='font: 900 16px sans-serif' text-anchor='end' transform='matrix(0 -1 1 0 18 5)'%3eA Flat Tire%3c/text%3e%3c/svg%3e</v>
      </c>
      <c r="H20" s="8" t="s">
        <v>29</v>
      </c>
      <c r="I20" s="8">
        <f t="shared" ref="I20:J20" si="21">len(B20)</f>
        <v>11</v>
      </c>
      <c r="J20" s="8">
        <f t="shared" si="21"/>
        <v>33</v>
      </c>
      <c r="K20" s="8" t="s">
        <v>1812</v>
      </c>
    </row>
    <row r="21">
      <c r="A21" s="7" t="b">
        <v>1</v>
      </c>
      <c r="B21" s="8" t="s">
        <v>1813</v>
      </c>
      <c r="C21" s="7" t="s">
        <v>1814</v>
      </c>
      <c r="D21" s="8" t="str">
        <f>Q&amp;$K21&amp;Q&amp;":{"&amp;Q&amp;$B$2&amp;Q&amp;":"&amp;Q&amp;$B21&amp;Q&amp;","&amp;Q&amp;$C$2&amp;Q&amp;":"&amp;Q&amp;$C21&amp;Q&amp;","&amp;Q&amp;"sets"&amp;Q&amp;":"&amp;Q&amp;substitute(SUBSTITUTE($H21,"[",""),"]","")&amp;Q&amp;"},"</f>
        <v>"knyu":{"label":"A Fool &amp; His Money","extra":"Are soon parted… especially on Wall Street.","sets":"Expansion Set 4, Party Expansion 1"},</v>
      </c>
      <c r="E21" s="9" t="str">
        <f t="shared" si="2"/>
        <v>data:image/svg+xml,%3csvg xmlns='http://www.w3.org/2000/svg' viewBox='0 0 24 216'%3e%3ctext fill='%23fff' style='font: 900 16px sans-serif' text-anchor='end' transform='matrix(0 -1 1 0 18 5)'%3eA Fool %26amp%3B His Money%3c/text%3e%3c/svg%3e</v>
      </c>
      <c r="F21" s="14" t="str">
        <f t="shared" si="3"/>
        <v>https://svgtext.heliohost.us/cgi-bin/gen.perl?text=A%20Fool%20%26%20His%20Money</v>
      </c>
      <c r="G21" s="11" t="str">
        <f t="shared" si="4"/>
        <v>data:image/svg+xml,%3csvg xmlns='http://www.w3.org/2000/svg' viewBox='0 0 24 216'%3e%3ctext fill='%23fff' style='font: 900 16px sans-serif' text-anchor='end' transform='matrix(0 -1 1 0 18 5)'%3eA Fool %26amp%3B His Money%3c/text%3e%3c/svg%3e</v>
      </c>
      <c r="H21" s="8" t="s">
        <v>63</v>
      </c>
      <c r="I21" s="8">
        <f t="shared" ref="I21:J21" si="22">len(B21)</f>
        <v>18</v>
      </c>
      <c r="J21" s="8">
        <f t="shared" si="22"/>
        <v>43</v>
      </c>
      <c r="K21" s="8" t="s">
        <v>1815</v>
      </c>
    </row>
    <row r="22">
      <c r="A22" s="7" t="b">
        <v>1</v>
      </c>
      <c r="B22" s="8" t="s">
        <v>1816</v>
      </c>
      <c r="C22" s="8" t="s">
        <v>1817</v>
      </c>
      <c r="D22" s="8" t="str">
        <f>Q&amp;$K22&amp;Q&amp;":{"&amp;Q&amp;$B$2&amp;Q&amp;":"&amp;Q&amp;$B22&amp;Q&amp;","&amp;Q&amp;$C$2&amp;Q&amp;":"&amp;Q&amp;$C22&amp;Q&amp;","&amp;Q&amp;"sets"&amp;Q&amp;":"&amp;Q&amp;substitute(SUBSTITUTE($H22,"[",""),"]","")&amp;Q&amp;"},"</f>
        <v>"ehqw":{"label":"A Forest","extra":"Home to Bambi, Winnie the Pooh, Robin Hood, and many woodland animals.","sets":"Junior"},</v>
      </c>
      <c r="E22" s="9" t="str">
        <f t="shared" si="2"/>
        <v>data:image/svg+xml,%3csvg xmlns='http://www.w3.org/2000/svg' viewBox='0 0 24 216'%3e%3ctext fill='%23fff' style='font: 900 16px sans-serif' text-anchor='end' transform='matrix(0 -1 1 0 18 5)'%3eA Forest%3c/text%3e%3c/svg%3e</v>
      </c>
      <c r="F22" s="14" t="str">
        <f t="shared" si="3"/>
        <v>https://svgtext.heliohost.us/cgi-bin/gen.perl?text=A%20Forest</v>
      </c>
      <c r="G22" s="11" t="str">
        <f t="shared" si="4"/>
        <v>data:image/svg+xml,%3csvg xmlns='http://www.w3.org/2000/svg' viewBox='0 0 24 216'%3e%3ctext fill='%23fff' style='font: 900 16px sans-serif' text-anchor='end' transform='matrix(0 -1 1 0 18 5)'%3eA Forest%3c/text%3e%3c/svg%3e</v>
      </c>
      <c r="H22" s="8" t="s">
        <v>84</v>
      </c>
      <c r="I22" s="8">
        <f t="shared" ref="I22:J22" si="23">len(B22)</f>
        <v>8</v>
      </c>
      <c r="J22" s="8">
        <f t="shared" si="23"/>
        <v>70</v>
      </c>
      <c r="K22" s="8" t="s">
        <v>1818</v>
      </c>
    </row>
    <row r="23">
      <c r="A23" s="7" t="b">
        <v>1</v>
      </c>
      <c r="B23" s="8" t="s">
        <v>1819</v>
      </c>
      <c r="C23" s="8" t="s">
        <v>1820</v>
      </c>
      <c r="D23" s="8" t="str">
        <f>Q&amp;$K23&amp;Q&amp;":{"&amp;Q&amp;$B$2&amp;Q&amp;":"&amp;Q&amp;$B23&amp;Q&amp;","&amp;Q&amp;$C$2&amp;Q&amp;":"&amp;Q&amp;$C23&amp;Q&amp;","&amp;Q&amp;"sets"&amp;Q&amp;":"&amp;Q&amp;substitute(SUBSTITUTE($H23,"[",""),"]","")&amp;Q&amp;"},"</f>
        <v>"xowg":{"label":"A French Maid","extra":"Ooh, la, la!","sets":"Expansion Set 3, Party Expansion 1"},</v>
      </c>
      <c r="E23" s="9" t="str">
        <f t="shared" si="2"/>
        <v>data:image/svg+xml,%3csvg xmlns='http://www.w3.org/2000/svg' viewBox='0 0 24 216'%3e%3ctext fill='%23fff' style='font: 900 16px sans-serif' text-anchor='end' transform='matrix(0 -1 1 0 18 5)'%3eA French Maid%3c/text%3e%3c/svg%3e</v>
      </c>
      <c r="F23" s="14" t="str">
        <f t="shared" si="3"/>
        <v>https://svgtext.heliohost.us/cgi-bin/gen.perl?text=A%20French%20Maid</v>
      </c>
      <c r="G23" s="11" t="str">
        <f t="shared" si="4"/>
        <v>data:image/svg+xml,%3csvg xmlns='http://www.w3.org/2000/svg' viewBox='0 0 24 216'%3e%3ctext fill='%23fff' style='font: 900 16px sans-serif' text-anchor='end' transform='matrix(0 -1 1 0 18 5)'%3eA French Maid%3c/text%3e%3c/svg%3e</v>
      </c>
      <c r="H23" s="8" t="s">
        <v>39</v>
      </c>
      <c r="I23" s="8">
        <f t="shared" ref="I23:J23" si="24">len(B23)</f>
        <v>13</v>
      </c>
      <c r="J23" s="8">
        <f t="shared" si="24"/>
        <v>12</v>
      </c>
      <c r="K23" s="8" t="s">
        <v>1821</v>
      </c>
    </row>
    <row r="24">
      <c r="A24" s="7" t="b">
        <v>0</v>
      </c>
      <c r="B24" s="8" t="s">
        <v>1822</v>
      </c>
      <c r="C24" s="7" t="s">
        <v>1823</v>
      </c>
      <c r="D24" s="8" t="str">
        <f>Q&amp;$K24&amp;Q&amp;":{"&amp;Q&amp;$B$2&amp;Q&amp;":"&amp;Q&amp;$B24&amp;Q&amp;","&amp;Q&amp;$C$2&amp;Q&amp;":"&amp;Q&amp;$C24&amp;Q&amp;","&amp;Q&amp;"sets"&amp;Q&amp;":"&amp;Q&amp;substitute(SUBSTITUTE($H24,"[",""),"]","")&amp;Q&amp;"},"</f>
        <v>"qniz":{"label":"A Full Moon","extra":"“When the moon hits your eye like a big pizza pie, that's amore!”—Dean Martin","sets":"Expansion Set 1, Party Set"},</v>
      </c>
      <c r="E24" s="9" t="str">
        <f t="shared" si="2"/>
        <v>data:image/svg+xml,%3csvg xmlns='http://www.w3.org/2000/svg' viewBox='0 0 24 216'%3e%3ctext fill='%23fff' style='font: 900 16px sans-serif' text-anchor='end' transform='matrix(0 -1 1 0 18 5)'%3eA Full Moon%3c/text%3e%3c/svg%3e</v>
      </c>
      <c r="F24" s="14" t="str">
        <f t="shared" si="3"/>
        <v>https://svgtext.heliohost.us/cgi-bin/gen.perl?text=A%20Full%20Moon</v>
      </c>
      <c r="G24" s="11" t="str">
        <f t="shared" si="4"/>
        <v>data:image/svg+xml,%3csvg xmlns='http://www.w3.org/2000/svg' viewBox='0 0 24 216'%3e%3ctext fill='%23fff' style='font: 900 16px sans-serif' text-anchor='end' transform='matrix(0 -1 1 0 18 5)'%3eA Full Moon%3c/text%3e%3c/svg%3e</v>
      </c>
      <c r="H24" s="8" t="s">
        <v>25</v>
      </c>
      <c r="I24" s="8">
        <f t="shared" ref="I24:J24" si="25">len(B24)</f>
        <v>11</v>
      </c>
      <c r="J24" s="8">
        <f t="shared" si="25"/>
        <v>77</v>
      </c>
      <c r="K24" s="8" t="s">
        <v>1824</v>
      </c>
    </row>
    <row r="25">
      <c r="A25" s="7" t="b">
        <v>0</v>
      </c>
      <c r="B25" s="8" t="s">
        <v>1825</v>
      </c>
      <c r="C25" s="8" t="s">
        <v>1826</v>
      </c>
      <c r="D25" s="8" t="str">
        <f>Q&amp;$K25&amp;Q&amp;":{"&amp;Q&amp;$B$2&amp;Q&amp;":"&amp;Q&amp;$B25&amp;Q&amp;","&amp;Q&amp;$C$2&amp;Q&amp;":"&amp;Q&amp;$C25&amp;Q&amp;","&amp;Q&amp;"sets"&amp;Q&amp;":"&amp;Q&amp;substitute(SUBSTITUTE($H25,"[",""),"]","")&amp;Q&amp;"},"</f>
        <v>"lbxz":{"label":"A Funeral","extra":"A ceremony held to honor a person who has died.","sets":"Junior 9+ (1st) &amp; (2nd)"},</v>
      </c>
      <c r="E25" s="9" t="str">
        <f t="shared" si="2"/>
        <v>data:image/svg+xml,%3csvg xmlns='http://www.w3.org/2000/svg' viewBox='0 0 24 216'%3e%3ctext fill='%23fff' style='font: 900 16px sans-serif' text-anchor='end' transform='matrix(0 -1 1 0 18 5)'%3eA Funeral%3c/text%3e%3c/svg%3e</v>
      </c>
      <c r="F25" s="14" t="str">
        <f t="shared" si="3"/>
        <v>https://svgtext.heliohost.us/cgi-bin/gen.perl?text=A%20Funeral</v>
      </c>
      <c r="G25" s="11" t="str">
        <f t="shared" si="4"/>
        <v>data:image/svg+xml,%3csvg xmlns='http://www.w3.org/2000/svg' viewBox='0 0 24 216'%3e%3ctext fill='%23fff' style='font: 900 16px sans-serif' text-anchor='end' transform='matrix(0 -1 1 0 18 5)'%3eA Funeral%3c/text%3e%3c/svg%3e</v>
      </c>
      <c r="H25" s="8" t="s">
        <v>42</v>
      </c>
      <c r="I25" s="8">
        <f t="shared" ref="I25:J25" si="26">len(B25)</f>
        <v>9</v>
      </c>
      <c r="J25" s="8">
        <f t="shared" si="26"/>
        <v>47</v>
      </c>
      <c r="K25" s="8" t="s">
        <v>1827</v>
      </c>
    </row>
    <row r="26">
      <c r="A26" s="7" t="b">
        <v>1</v>
      </c>
      <c r="B26" s="8" t="s">
        <v>1828</v>
      </c>
      <c r="C26" s="8" t="s">
        <v>1829</v>
      </c>
      <c r="D26" s="8" t="str">
        <f>Q&amp;$K26&amp;Q&amp;":{"&amp;Q&amp;$B$2&amp;Q&amp;":"&amp;Q&amp;$B26&amp;Q&amp;","&amp;Q&amp;$C$2&amp;Q&amp;":"&amp;Q&amp;$C26&amp;Q&amp;","&amp;Q&amp;"sets"&amp;Q&amp;":"&amp;Q&amp;substitute(SUBSTITUTE($H26,"[",""),"]","")&amp;Q&amp;"},"</f>
        <v>"gkbi":{"label":"A Giant","extra":"A very large and powerful person. When Jack climbed the bean stalk, he met a hungry giant.","sets":"Junior"},</v>
      </c>
      <c r="E26" s="9" t="str">
        <f t="shared" si="2"/>
        <v>data:image/svg+xml,%3csvg xmlns='http://www.w3.org/2000/svg' viewBox='0 0 24 216'%3e%3ctext fill='%23fff' style='font: 900 16px sans-serif' text-anchor='end' transform='matrix(0 -1 1 0 18 5)'%3eA Giant%3c/text%3e%3c/svg%3e</v>
      </c>
      <c r="F26" s="14" t="str">
        <f t="shared" si="3"/>
        <v>https://svgtext.heliohost.us/cgi-bin/gen.perl?text=A%20Giant</v>
      </c>
      <c r="G26" s="11" t="str">
        <f t="shared" si="4"/>
        <v>data:image/svg+xml,%3csvg xmlns='http://www.w3.org/2000/svg' viewBox='0 0 24 216'%3e%3ctext fill='%23fff' style='font: 900 16px sans-serif' text-anchor='end' transform='matrix(0 -1 1 0 18 5)'%3eA Giant%3c/text%3e%3c/svg%3e</v>
      </c>
      <c r="H26" s="8" t="s">
        <v>84</v>
      </c>
      <c r="I26" s="8">
        <f t="shared" ref="I26:J26" si="27">len(B26)</f>
        <v>7</v>
      </c>
      <c r="J26" s="8">
        <f t="shared" si="27"/>
        <v>90</v>
      </c>
      <c r="K26" s="8" t="s">
        <v>1830</v>
      </c>
    </row>
    <row r="27">
      <c r="A27" s="7" t="b">
        <v>0</v>
      </c>
      <c r="B27" s="8" t="s">
        <v>1831</v>
      </c>
      <c r="C27" s="7" t="s">
        <v>1832</v>
      </c>
      <c r="D27" s="8" t="str">
        <f>Q&amp;$K27&amp;Q&amp;":{"&amp;Q&amp;$B$2&amp;Q&amp;":"&amp;Q&amp;$B27&amp;Q&amp;","&amp;Q&amp;$C$2&amp;Q&amp;":"&amp;Q&amp;$C27&amp;Q&amp;","&amp;Q&amp;"sets"&amp;Q&amp;":"&amp;Q&amp;substitute(SUBSTITUTE($H27,"[",""),"]","")&amp;Q&amp;"},"</f>
        <v>"qmlc":{"label":"A Haunted House","extra":"Maybe if people would STOP building their dream homes on ancient burial grounds…","sets":"Expansion Set 1, Party Set"},</v>
      </c>
      <c r="E27" s="9" t="str">
        <f t="shared" si="2"/>
        <v>data:image/svg+xml,%3csvg xmlns='http://www.w3.org/2000/svg' viewBox='0 0 24 216'%3e%3ctext fill='%23fff' style='font: 900 16px sans-serif' text-anchor='end' transform='matrix(0 -1 1 0 18 5)'%3eA Haunted House%3c/text%3e%3c/svg%3e</v>
      </c>
      <c r="F27" s="14" t="str">
        <f t="shared" si="3"/>
        <v>https://svgtext.heliohost.us/cgi-bin/gen.perl?text=A%20Haunted%20House</v>
      </c>
      <c r="G27" s="11" t="str">
        <f t="shared" si="4"/>
        <v>data:image/svg+xml,%3csvg xmlns='http://www.w3.org/2000/svg' viewBox='0 0 24 216'%3e%3ctext fill='%23fff' style='font: 900 16px sans-serif' text-anchor='end' transform='matrix(0 -1 1 0 18 5)'%3eA Haunted House%3c/text%3e%3c/svg%3e</v>
      </c>
      <c r="H27" s="8" t="s">
        <v>25</v>
      </c>
      <c r="I27" s="8">
        <f t="shared" ref="I27:J27" si="28">len(B27)</f>
        <v>15</v>
      </c>
      <c r="J27" s="8">
        <f t="shared" si="28"/>
        <v>80</v>
      </c>
      <c r="K27" s="8" t="s">
        <v>1833</v>
      </c>
    </row>
    <row r="28">
      <c r="A28" s="7" t="b">
        <v>0</v>
      </c>
      <c r="B28" s="8" t="s">
        <v>1834</v>
      </c>
      <c r="C28" s="7" t="s">
        <v>1835</v>
      </c>
      <c r="D28" s="8" t="str">
        <f>Q&amp;$K28&amp;Q&amp;":{"&amp;Q&amp;$B$2&amp;Q&amp;":"&amp;Q&amp;$B28&amp;Q&amp;","&amp;Q&amp;$C$2&amp;Q&amp;":"&amp;Q&amp;$C28&amp;Q&amp;","&amp;Q&amp;"sets"&amp;Q&amp;":"&amp;Q&amp;substitute(SUBSTITUTE($H28,"[",""),"]","")&amp;Q&amp;"},"</f>
        <v>"fbbm":{"label":"A High School Bathroom","extra":"“Fools rush in where angels fear to tread” —Alexander Pope","sets":"Basic Set, Party Set"},</v>
      </c>
      <c r="E28" s="9" t="str">
        <f t="shared" si="2"/>
        <v>data:image/svg+xml,%3csvg xmlns='http://www.w3.org/2000/svg' viewBox='0 0 24 216'%3e%3ctext fill='%23fff' style='font: 900 16px sans-serif' text-anchor='end' transform='matrix(0 -1 1 0 18 5)'%3eA High School Bathroom%3c/text%3e%3c/svg%3e</v>
      </c>
      <c r="F28" s="14" t="str">
        <f t="shared" si="3"/>
        <v>https://svgtext.heliohost.us/cgi-bin/gen.perl?text=A%20High%20School%20Bathroom</v>
      </c>
      <c r="G28" s="11" t="str">
        <f t="shared" si="4"/>
        <v>data:image/svg+xml,%3csvg xmlns='http://www.w3.org/2000/svg' viewBox='0 0 24 216'%3e%3ctext fill='%23fff' style='font: 900 16px sans-serif' text-anchor='end' transform='matrix(0 -1 1 0 18 5)'%3eA High School Bathroom%3c/text%3e%3c/svg%3e</v>
      </c>
      <c r="H28" s="8" t="s">
        <v>29</v>
      </c>
      <c r="I28" s="8">
        <f t="shared" ref="I28:J28" si="29">len(B28)</f>
        <v>22</v>
      </c>
      <c r="J28" s="8">
        <f t="shared" si="29"/>
        <v>58</v>
      </c>
      <c r="K28" s="8" t="s">
        <v>1836</v>
      </c>
    </row>
    <row r="29">
      <c r="A29" s="7" t="b">
        <v>1</v>
      </c>
      <c r="B29" s="8" t="s">
        <v>1837</v>
      </c>
      <c r="C29" s="8" t="s">
        <v>1838</v>
      </c>
      <c r="D29" s="8" t="str">
        <f>Q&amp;$K29&amp;Q&amp;":{"&amp;Q&amp;$B$2&amp;Q&amp;":"&amp;Q&amp;$B29&amp;Q&amp;","&amp;Q&amp;$C$2&amp;Q&amp;":"&amp;Q&amp;$C29&amp;Q&amp;","&amp;Q&amp;"sets"&amp;Q&amp;":"&amp;Q&amp;substitute(SUBSTITUTE($H29,"[",""),"]","")&amp;Q&amp;"},"</f>
        <v>"bpsl":{"label":"A Hole In One","extra":"Par for the course?","sets":"Expansion Set 3, Party Expansion 1"},</v>
      </c>
      <c r="E29" s="9" t="str">
        <f t="shared" si="2"/>
        <v>data:image/svg+xml,%3csvg xmlns='http://www.w3.org/2000/svg' viewBox='0 0 24 216'%3e%3ctext fill='%23fff' style='font: 900 16px sans-serif' text-anchor='end' transform='matrix(0 -1 1 0 18 5)'%3eA Hole In One%3c/text%3e%3c/svg%3e</v>
      </c>
      <c r="F29" s="14" t="str">
        <f t="shared" si="3"/>
        <v>https://svgtext.heliohost.us/cgi-bin/gen.perl?text=A%20Hole%20In%20One</v>
      </c>
      <c r="G29" s="11" t="str">
        <f t="shared" si="4"/>
        <v>data:image/svg+xml,%3csvg xmlns='http://www.w3.org/2000/svg' viewBox='0 0 24 216'%3e%3ctext fill='%23fff' style='font: 900 16px sans-serif' text-anchor='end' transform='matrix(0 -1 1 0 18 5)'%3eA Hole In One%3c/text%3e%3c/svg%3e</v>
      </c>
      <c r="H29" s="8" t="s">
        <v>39</v>
      </c>
      <c r="I29" s="8">
        <f t="shared" ref="I29:J29" si="30">len(B29)</f>
        <v>13</v>
      </c>
      <c r="J29" s="8">
        <f t="shared" si="30"/>
        <v>19</v>
      </c>
      <c r="K29" s="8" t="s">
        <v>1839</v>
      </c>
    </row>
    <row r="30">
      <c r="A30" s="7" t="b">
        <v>0</v>
      </c>
      <c r="B30" s="8" t="s">
        <v>1840</v>
      </c>
      <c r="C30" s="7" t="s">
        <v>1841</v>
      </c>
      <c r="D30" s="8" t="str">
        <f>Q&amp;$K30&amp;Q&amp;":{"&amp;Q&amp;$B$2&amp;Q&amp;":"&amp;Q&amp;$B30&amp;Q&amp;","&amp;Q&amp;$C$2&amp;Q&amp;":"&amp;Q&amp;$C30&amp;Q&amp;","&amp;Q&amp;"sets"&amp;Q&amp;":"&amp;Q&amp;substitute(SUBSTITUTE($H30,"[",""),"]","")&amp;Q&amp;"},"</f>
        <v>"tpxf":{"label":"A Honeymoon","extra":"America’s top honeymoon spots are Hawaii, Niagara Falls, Las Vegas and Florida. You can get there by air, land, sea… or shotgun.","sets":"Basic Set, Party Set"},</v>
      </c>
      <c r="E30" s="9" t="str">
        <f t="shared" si="2"/>
        <v>data:image/svg+xml,%3csvg xmlns='http://www.w3.org/2000/svg' viewBox='0 0 24 216'%3e%3ctext fill='%23fff' style='font: 900 16px sans-serif' text-anchor='end' transform='matrix(0 -1 1 0 18 5)'%3eA Honeymoon%3c/text%3e%3c/svg%3e</v>
      </c>
      <c r="F30" s="14" t="str">
        <f t="shared" si="3"/>
        <v>https://svgtext.heliohost.us/cgi-bin/gen.perl?text=A%20Honeymoon</v>
      </c>
      <c r="G30" s="11" t="str">
        <f t="shared" si="4"/>
        <v>data:image/svg+xml,%3csvg xmlns='http://www.w3.org/2000/svg' viewBox='0 0 24 216'%3e%3ctext fill='%23fff' style='font: 900 16px sans-serif' text-anchor='end' transform='matrix(0 -1 1 0 18 5)'%3eA Honeymoon%3c/text%3e%3c/svg%3e</v>
      </c>
      <c r="H30" s="8" t="s">
        <v>29</v>
      </c>
      <c r="I30" s="8">
        <f t="shared" ref="I30:J30" si="31">len(B30)</f>
        <v>11</v>
      </c>
      <c r="J30" s="8">
        <f t="shared" si="31"/>
        <v>128</v>
      </c>
      <c r="K30" s="8" t="s">
        <v>1842</v>
      </c>
    </row>
    <row r="31">
      <c r="A31" s="7" t="b">
        <v>1</v>
      </c>
      <c r="B31" s="8" t="s">
        <v>1843</v>
      </c>
      <c r="C31" s="8" t="s">
        <v>1844</v>
      </c>
      <c r="D31" s="8" t="str">
        <f>Q&amp;$K31&amp;Q&amp;":{"&amp;Q&amp;$B$2&amp;Q&amp;":"&amp;Q&amp;$B31&amp;Q&amp;","&amp;Q&amp;$C$2&amp;Q&amp;":"&amp;Q&amp;$C31&amp;Q&amp;","&amp;Q&amp;"sets"&amp;Q&amp;":"&amp;Q&amp;substitute(SUBSTITUTE($H31,"[",""),"]","")&amp;Q&amp;"},"</f>
        <v>"vhur":{"label":"A King","extra":"King Arthur became famous when he pulled a magical sword from a stone.","sets":"Junior"},</v>
      </c>
      <c r="E31" s="9" t="str">
        <f t="shared" si="2"/>
        <v>data:image/svg+xml,%3csvg xmlns='http://www.w3.org/2000/svg' viewBox='0 0 24 216'%3e%3ctext fill='%23fff' style='font: 900 16px sans-serif' text-anchor='end' transform='matrix(0 -1 1 0 18 5)'%3eA King%3c/text%3e%3c/svg%3e</v>
      </c>
      <c r="F31" s="14" t="str">
        <f t="shared" si="3"/>
        <v>https://svgtext.heliohost.us/cgi-bin/gen.perl?text=A%20King</v>
      </c>
      <c r="G31" s="11" t="str">
        <f t="shared" si="4"/>
        <v>data:image/svg+xml,%3csvg xmlns='http://www.w3.org/2000/svg' viewBox='0 0 24 216'%3e%3ctext fill='%23fff' style='font: 900 16px sans-serif' text-anchor='end' transform='matrix(0 -1 1 0 18 5)'%3eA King%3c/text%3e%3c/svg%3e</v>
      </c>
      <c r="H31" s="8" t="s">
        <v>84</v>
      </c>
      <c r="I31" s="8">
        <f t="shared" ref="I31:J31" si="32">len(B31)</f>
        <v>6</v>
      </c>
      <c r="J31" s="8">
        <f t="shared" si="32"/>
        <v>70</v>
      </c>
      <c r="K31" s="8" t="s">
        <v>1845</v>
      </c>
    </row>
    <row r="32">
      <c r="A32" s="7" t="b">
        <v>1</v>
      </c>
      <c r="B32" s="8" t="s">
        <v>1846</v>
      </c>
      <c r="C32" s="8" t="s">
        <v>1847</v>
      </c>
      <c r="D32" s="8" t="str">
        <f>Q&amp;$K32&amp;Q&amp;":{"&amp;Q&amp;$B$2&amp;Q&amp;":"&amp;Q&amp;$B32&amp;Q&amp;","&amp;Q&amp;$C$2&amp;Q&amp;":"&amp;Q&amp;$C32&amp;Q&amp;","&amp;Q&amp;"sets"&amp;Q&amp;":"&amp;Q&amp;substitute(SUBSTITUTE($H32,"[",""),"]","")&amp;Q&amp;"},"</f>
        <v>"kdri":{"label":"A Leaky Boat","extra":"Time to bail out.","sets":"Junior 9+ (2nd)"},</v>
      </c>
      <c r="E32" s="9" t="str">
        <f t="shared" si="2"/>
        <v>data:image/svg+xml,%3csvg xmlns='http://www.w3.org/2000/svg' viewBox='0 0 24 216'%3e%3ctext fill='%23fff' style='font: 900 16px sans-serif' text-anchor='end' transform='matrix(0 -1 1 0 18 5)'%3eA Leaky Boat%3c/text%3e%3c/svg%3e</v>
      </c>
      <c r="F32" s="14" t="str">
        <f t="shared" si="3"/>
        <v>https://svgtext.heliohost.us/cgi-bin/gen.perl?text=A%20Leaky%20Boat</v>
      </c>
      <c r="G32" s="11" t="str">
        <f t="shared" si="4"/>
        <v>data:image/svg+xml,%3csvg xmlns='http://www.w3.org/2000/svg' viewBox='0 0 24 216'%3e%3ctext fill='%23fff' style='font: 900 16px sans-serif' text-anchor='end' transform='matrix(0 -1 1 0 18 5)'%3eA Leaky Boat%3c/text%3e%3c/svg%3e</v>
      </c>
      <c r="H32" s="8" t="s">
        <v>32</v>
      </c>
      <c r="I32" s="8">
        <f t="shared" ref="I32:J32" si="33">len(B32)</f>
        <v>12</v>
      </c>
      <c r="J32" s="8">
        <f t="shared" si="33"/>
        <v>17</v>
      </c>
      <c r="K32" s="8" t="s">
        <v>1848</v>
      </c>
    </row>
    <row r="33">
      <c r="A33" s="7" t="b">
        <v>1</v>
      </c>
      <c r="B33" s="8" t="s">
        <v>1849</v>
      </c>
      <c r="C33" s="7" t="s">
        <v>1850</v>
      </c>
      <c r="D33" s="8" t="str">
        <f>Q&amp;$K33&amp;Q&amp;":{"&amp;Q&amp;$B$2&amp;Q&amp;":"&amp;Q&amp;$B33&amp;Q&amp;","&amp;Q&amp;$C$2&amp;Q&amp;":"&amp;Q&amp;$C33&amp;Q&amp;","&amp;Q&amp;"sets"&amp;Q&amp;":"&amp;Q&amp;substitute(SUBSTITUTE($H33,"[",""),"]","")&amp;Q&amp;"},"</f>
        <v>"hnsx":{"label":"A Little White Lie","extra":"If you can’t say anything nice…","sets":"Expansion Set 3, Party Expansion 1"},</v>
      </c>
      <c r="E33" s="9" t="str">
        <f t="shared" si="2"/>
        <v>data:image/svg+xml,%3csvg xmlns='http://www.w3.org/2000/svg' viewBox='0 0 24 216'%3e%3ctext fill='%23fff' style='font: 900 16px sans-serif' text-anchor='end' transform='matrix(0 -1 1 0 18 5)'%3eA Little White Lie%3c/text%3e%3c/svg%3e</v>
      </c>
      <c r="F33" s="14" t="str">
        <f t="shared" si="3"/>
        <v>https://svgtext.heliohost.us/cgi-bin/gen.perl?text=A%20Little%20White%20Lie</v>
      </c>
      <c r="G33" s="11" t="str">
        <f t="shared" si="4"/>
        <v>data:image/svg+xml,%3csvg xmlns='http://www.w3.org/2000/svg' viewBox='0 0 24 216'%3e%3ctext fill='%23fff' style='font: 900 16px sans-serif' text-anchor='end' transform='matrix(0 -1 1 0 18 5)'%3eA Little White Lie%3c/text%3e%3c/svg%3e</v>
      </c>
      <c r="H33" s="8" t="s">
        <v>39</v>
      </c>
      <c r="I33" s="8">
        <f t="shared" ref="I33:J33" si="34">len(B33)</f>
        <v>18</v>
      </c>
      <c r="J33" s="8">
        <f t="shared" si="34"/>
        <v>31</v>
      </c>
      <c r="K33" s="8" t="s">
        <v>1851</v>
      </c>
    </row>
    <row r="34">
      <c r="A34" s="7" t="b">
        <v>0</v>
      </c>
      <c r="B34" s="8" t="s">
        <v>1852</v>
      </c>
      <c r="C34" s="7" t="s">
        <v>1853</v>
      </c>
      <c r="D34" s="8" t="str">
        <f>Q&amp;$K34&amp;Q&amp;":{"&amp;Q&amp;$B$2&amp;Q&amp;":"&amp;Q&amp;$B34&amp;Q&amp;","&amp;Q&amp;$C$2&amp;Q&amp;":"&amp;Q&amp;$C34&amp;Q&amp;","&amp;Q&amp;"sets"&amp;Q&amp;":"&amp;Q&amp;substitute(SUBSTITUTE($H34,"[",""),"]","")&amp;Q&amp;"},"</f>
        <v>"dzty":{"label":"A Locker Room","extra":"Steamy atmosphere… bawdy humor… sweaty bodies… HEY! Sounds like Cable TV!","sets":"Basic Set, Party Set"},</v>
      </c>
      <c r="E34" s="9" t="str">
        <f t="shared" si="2"/>
        <v>data:image/svg+xml,%3csvg xmlns='http://www.w3.org/2000/svg' viewBox='0 0 24 216'%3e%3ctext fill='%23fff' style='font: 900 16px sans-serif' text-anchor='end' transform='matrix(0 -1 1 0 18 5)'%3eA Locker Room%3c/text%3e%3c/svg%3e</v>
      </c>
      <c r="F34" s="14" t="str">
        <f t="shared" si="3"/>
        <v>https://svgtext.heliohost.us/cgi-bin/gen.perl?text=A%20Locker%20Room</v>
      </c>
      <c r="G34" s="11" t="str">
        <f t="shared" si="4"/>
        <v>data:image/svg+xml,%3csvg xmlns='http://www.w3.org/2000/svg' viewBox='0 0 24 216'%3e%3ctext fill='%23fff' style='font: 900 16px sans-serif' text-anchor='end' transform='matrix(0 -1 1 0 18 5)'%3eA Locker Room%3c/text%3e%3c/svg%3e</v>
      </c>
      <c r="H34" s="8" t="s">
        <v>29</v>
      </c>
      <c r="I34" s="8">
        <f t="shared" ref="I34:J34" si="35">len(B34)</f>
        <v>13</v>
      </c>
      <c r="J34" s="8">
        <f t="shared" si="35"/>
        <v>73</v>
      </c>
      <c r="K34" s="8" t="s">
        <v>1854</v>
      </c>
    </row>
    <row r="35">
      <c r="A35" s="7" t="b">
        <v>1</v>
      </c>
      <c r="B35" s="8" t="s">
        <v>1855</v>
      </c>
      <c r="C35" s="8" t="s">
        <v>1856</v>
      </c>
      <c r="D35" s="8" t="str">
        <f>Q&amp;$K35&amp;Q&amp;":{"&amp;Q&amp;$B$2&amp;Q&amp;":"&amp;Q&amp;$B35&amp;Q&amp;","&amp;Q&amp;$C$2&amp;Q&amp;":"&amp;Q&amp;$C35&amp;Q&amp;","&amp;Q&amp;"sets"&amp;Q&amp;":"&amp;Q&amp;substitute(SUBSTITUTE($H35,"[",""),"]","")&amp;Q&amp;"},"</f>
        <v>"kfyr":{"label":"A Log Cabin","extra":"Just cut down a few trees and make a house.","sets":"Junior 9+ (2nd)"},</v>
      </c>
      <c r="E35" s="9" t="str">
        <f t="shared" si="2"/>
        <v>data:image/svg+xml,%3csvg xmlns='http://www.w3.org/2000/svg' viewBox='0 0 24 216'%3e%3ctext fill='%23fff' style='font: 900 16px sans-serif' text-anchor='end' transform='matrix(0 -1 1 0 18 5)'%3eA Log Cabin%3c/text%3e%3c/svg%3e</v>
      </c>
      <c r="F35" s="14" t="str">
        <f t="shared" si="3"/>
        <v>https://svgtext.heliohost.us/cgi-bin/gen.perl?text=A%20Log%20Cabin</v>
      </c>
      <c r="G35" s="11" t="str">
        <f t="shared" si="4"/>
        <v>data:image/svg+xml,%3csvg xmlns='http://www.w3.org/2000/svg' viewBox='0 0 24 216'%3e%3ctext fill='%23fff' style='font: 900 16px sans-serif' text-anchor='end' transform='matrix(0 -1 1 0 18 5)'%3eA Log Cabin%3c/text%3e%3c/svg%3e</v>
      </c>
      <c r="H35" s="8" t="s">
        <v>32</v>
      </c>
      <c r="I35" s="8">
        <f t="shared" ref="I35:J35" si="36">len(B35)</f>
        <v>11</v>
      </c>
      <c r="J35" s="8">
        <f t="shared" si="36"/>
        <v>43</v>
      </c>
      <c r="K35" s="8" t="s">
        <v>1857</v>
      </c>
    </row>
    <row r="36">
      <c r="A36" s="7" t="b">
        <v>1</v>
      </c>
      <c r="B36" s="8" t="s">
        <v>1858</v>
      </c>
      <c r="C36" s="8" t="s">
        <v>1859</v>
      </c>
      <c r="D36" s="8" t="str">
        <f>Q&amp;$K36&amp;Q&amp;":{"&amp;Q&amp;$B$2&amp;Q&amp;":"&amp;Q&amp;$B36&amp;Q&amp;","&amp;Q&amp;$C$2&amp;Q&amp;":"&amp;Q&amp;$C36&amp;Q&amp;","&amp;Q&amp;"sets"&amp;Q&amp;":"&amp;Q&amp;substitute(SUBSTITUTE($H36,"[",""),"]","")&amp;Q&amp;"},"</f>
        <v>"xrks":{"label":"A Mermaid","extra":"An imaginary creature with the upper body of a woman and the tail of a fish.","sets":"Junior 9+ (2nd)"},</v>
      </c>
      <c r="E36" s="9" t="str">
        <f t="shared" si="2"/>
        <v>data:image/svg+xml,%3csvg xmlns='http://www.w3.org/2000/svg' viewBox='0 0 24 216'%3e%3ctext fill='%23fff' style='font: 900 16px sans-serif' text-anchor='end' transform='matrix(0 -1 1 0 18 5)'%3eA Mermaid%3c/text%3e%3c/svg%3e</v>
      </c>
      <c r="F36" s="14" t="str">
        <f t="shared" si="3"/>
        <v>https://svgtext.heliohost.us/cgi-bin/gen.perl?text=A%20Mermaid</v>
      </c>
      <c r="G36" s="11" t="str">
        <f t="shared" si="4"/>
        <v>data:image/svg+xml,%3csvg xmlns='http://www.w3.org/2000/svg' viewBox='0 0 24 216'%3e%3ctext fill='%23fff' style='font: 900 16px sans-serif' text-anchor='end' transform='matrix(0 -1 1 0 18 5)'%3eA Mermaid%3c/text%3e%3c/svg%3e</v>
      </c>
      <c r="H36" s="8" t="s">
        <v>32</v>
      </c>
      <c r="I36" s="8">
        <f t="shared" ref="I36:J36" si="37">len(B36)</f>
        <v>9</v>
      </c>
      <c r="J36" s="8">
        <f t="shared" si="37"/>
        <v>76</v>
      </c>
      <c r="K36" s="8" t="s">
        <v>1860</v>
      </c>
    </row>
    <row r="37">
      <c r="A37" s="7" t="b">
        <v>1</v>
      </c>
      <c r="B37" s="8" t="s">
        <v>1861</v>
      </c>
      <c r="C37" s="7" t="s">
        <v>1862</v>
      </c>
      <c r="D37" s="8" t="str">
        <f>Q&amp;$K37&amp;Q&amp;":{"&amp;Q&amp;$B$2&amp;Q&amp;":"&amp;Q&amp;$B37&amp;Q&amp;","&amp;Q&amp;$C$2&amp;Q&amp;":"&amp;Q&amp;$C37&amp;Q&amp;","&amp;Q&amp;"sets"&amp;Q&amp;":"&amp;Q&amp;substitute(SUBSTITUTE($H37,"[",""),"]","")&amp;Q&amp;"},"</f>
        <v>"{cal":{"label":"A Microwave Oven","extra":"You’ll have popcorn in two minutes.","sets":"Junior 9+ (2nd)"},</v>
      </c>
      <c r="E37" s="9" t="str">
        <f t="shared" si="2"/>
        <v>data:image/svg+xml,%3csvg xmlns='http://www.w3.org/2000/svg' viewBox='0 0 24 216'%3e%3ctext fill='%23fff' style='font: 900 16px sans-serif' text-anchor='end' transform='matrix(0 -1 1 0 18 5)'%3eA Microwave Oven%3c/text%3e%3c/svg%3e</v>
      </c>
      <c r="F37" s="14" t="str">
        <f t="shared" si="3"/>
        <v>https://svgtext.heliohost.us/cgi-bin/gen.perl?text=A%20Microwave%20Oven</v>
      </c>
      <c r="G37" s="11" t="str">
        <f t="shared" si="4"/>
        <v>data:image/svg+xml,%3csvg xmlns='http://www.w3.org/2000/svg' viewBox='0 0 24 216'%3e%3ctext fill='%23fff' style='font: 900 16px sans-serif' text-anchor='end' transform='matrix(0 -1 1 0 18 5)'%3eA Microwave Oven%3c/text%3e%3c/svg%3e</v>
      </c>
      <c r="H37" s="8" t="s">
        <v>32</v>
      </c>
      <c r="I37" s="8">
        <f t="shared" ref="I37:J37" si="38">len(B37)</f>
        <v>16</v>
      </c>
      <c r="J37" s="8">
        <f t="shared" si="38"/>
        <v>35</v>
      </c>
      <c r="K37" s="8" t="s">
        <v>1863</v>
      </c>
    </row>
    <row r="38">
      <c r="A38" s="7" t="b">
        <v>1</v>
      </c>
      <c r="B38" s="8" t="s">
        <v>1864</v>
      </c>
      <c r="C38" s="7" t="s">
        <v>1865</v>
      </c>
      <c r="D38" s="8" t="str">
        <f>Q&amp;$K38&amp;Q&amp;":{"&amp;Q&amp;$B$2&amp;Q&amp;":"&amp;Q&amp;$B38&amp;Q&amp;","&amp;Q&amp;$C$2&amp;Q&amp;":"&amp;Q&amp;$C38&amp;Q&amp;","&amp;Q&amp;"sets"&amp;Q&amp;":"&amp;Q&amp;substitute(SUBSTITUTE($H38,"[",""),"]","")&amp;Q&amp;"},"</f>
        <v>"pmla":{"label":"A Million Dollars","extra":"If I had a million dollars…","sets":"Expansion Set 3, Party Expansion 1"},</v>
      </c>
      <c r="E38" s="9" t="str">
        <f t="shared" si="2"/>
        <v>data:image/svg+xml,%3csvg xmlns='http://www.w3.org/2000/svg' viewBox='0 0 24 216'%3e%3ctext fill='%23fff' style='font: 900 16px sans-serif' text-anchor='end' transform='matrix(0 -1 1 0 18 5)'%3eA Million Dollars%3c/text%3e%3c/svg%3e</v>
      </c>
      <c r="F38" s="14" t="str">
        <f t="shared" si="3"/>
        <v>https://svgtext.heliohost.us/cgi-bin/gen.perl?text=A%20Million%20Dollars</v>
      </c>
      <c r="G38" s="11" t="str">
        <f t="shared" si="4"/>
        <v>data:image/svg+xml,%3csvg xmlns='http://www.w3.org/2000/svg' viewBox='0 0 24 216'%3e%3ctext fill='%23fff' style='font: 900 16px sans-serif' text-anchor='end' transform='matrix(0 -1 1 0 18 5)'%3eA Million Dollars%3c/text%3e%3c/svg%3e</v>
      </c>
      <c r="H38" s="8" t="s">
        <v>39</v>
      </c>
      <c r="I38" s="8">
        <f t="shared" ref="I38:J38" si="39">len(B38)</f>
        <v>17</v>
      </c>
      <c r="J38" s="8">
        <f t="shared" si="39"/>
        <v>27</v>
      </c>
      <c r="K38" s="8" t="s">
        <v>1866</v>
      </c>
    </row>
    <row r="39">
      <c r="A39" s="7" t="b">
        <v>0</v>
      </c>
      <c r="B39" s="8" t="s">
        <v>1867</v>
      </c>
      <c r="C39" s="7" t="s">
        <v>1868</v>
      </c>
      <c r="D39" s="8" t="str">
        <f>Q&amp;$K39&amp;Q&amp;":{"&amp;Q&amp;$B$2&amp;Q&amp;":"&amp;Q&amp;$B39&amp;Q&amp;","&amp;Q&amp;$C$2&amp;Q&amp;":"&amp;Q&amp;$C39&amp;Q&amp;","&amp;Q&amp;"sets"&amp;Q&amp;":"&amp;Q&amp;substitute(SUBSTITUTE($H39,"[",""),"]","")&amp;Q&amp;"},"</f>
        <v>"ista":{"label":"A Morgue","extra":"“Given strange eons, even death may die…”—H.P. Lovecraft","sets":"Basic Set, Party Set"},</v>
      </c>
      <c r="E39" s="9" t="str">
        <f t="shared" si="2"/>
        <v>data:image/svg+xml,%3csvg xmlns='http://www.w3.org/2000/svg' viewBox='0 0 24 216'%3e%3ctext fill='%23fff' style='font: 900 16px sans-serif' text-anchor='end' transform='matrix(0 -1 1 0 18 5)'%3eA Morgue%3c/text%3e%3c/svg%3e</v>
      </c>
      <c r="F39" s="14" t="str">
        <f t="shared" si="3"/>
        <v>https://svgtext.heliohost.us/cgi-bin/gen.perl?text=A%20Morgue</v>
      </c>
      <c r="G39" s="11" t="str">
        <f t="shared" si="4"/>
        <v>data:image/svg+xml,%3csvg xmlns='http://www.w3.org/2000/svg' viewBox='0 0 24 216'%3e%3ctext fill='%23fff' style='font: 900 16px sans-serif' text-anchor='end' transform='matrix(0 -1 1 0 18 5)'%3eA Morgue%3c/text%3e%3c/svg%3e</v>
      </c>
      <c r="H39" s="8" t="s">
        <v>29</v>
      </c>
      <c r="I39" s="8">
        <f t="shared" ref="I39:J39" si="40">len(B39)</f>
        <v>8</v>
      </c>
      <c r="J39" s="8">
        <f t="shared" si="40"/>
        <v>56</v>
      </c>
      <c r="K39" s="8" t="s">
        <v>1869</v>
      </c>
    </row>
    <row r="40">
      <c r="A40" s="7" t="b">
        <v>1</v>
      </c>
      <c r="B40" s="8" t="s">
        <v>1870</v>
      </c>
      <c r="C40" s="8" t="s">
        <v>1871</v>
      </c>
      <c r="D40" s="8" t="str">
        <f>Q&amp;$K40&amp;Q&amp;":{"&amp;Q&amp;$B$2&amp;Q&amp;":"&amp;Q&amp;$B40&amp;Q&amp;","&amp;Q&amp;$C$2&amp;Q&amp;":"&amp;Q&amp;$C40&amp;Q&amp;","&amp;Q&amp;"sets"&amp;Q&amp;":"&amp;Q&amp;substitute(SUBSTITUTE($H40,"[",""),"]","")&amp;Q&amp;"},"</f>
        <v>"eyik":{"label":"A Movie Theater","extra":"When you want a REALLY big screen.","sets":"Junior 9+ (2nd)"},</v>
      </c>
      <c r="E40" s="9" t="str">
        <f t="shared" si="2"/>
        <v>data:image/svg+xml,%3csvg xmlns='http://www.w3.org/2000/svg' viewBox='0 0 24 216'%3e%3ctext fill='%23fff' style='font: 900 16px sans-serif' text-anchor='end' transform='matrix(0 -1 1 0 18 5)'%3eA Movie Theater%3c/text%3e%3c/svg%3e</v>
      </c>
      <c r="F40" s="14" t="str">
        <f t="shared" si="3"/>
        <v>https://svgtext.heliohost.us/cgi-bin/gen.perl?text=A%20Movie%20Theater</v>
      </c>
      <c r="G40" s="11" t="str">
        <f t="shared" si="4"/>
        <v>data:image/svg+xml,%3csvg xmlns='http://www.w3.org/2000/svg' viewBox='0 0 24 216'%3e%3ctext fill='%23fff' style='font: 900 16px sans-serif' text-anchor='end' transform='matrix(0 -1 1 0 18 5)'%3eA Movie Theater%3c/text%3e%3c/svg%3e</v>
      </c>
      <c r="H40" s="8" t="s">
        <v>32</v>
      </c>
      <c r="I40" s="8">
        <f t="shared" ref="I40:J40" si="41">len(B40)</f>
        <v>15</v>
      </c>
      <c r="J40" s="8">
        <f t="shared" si="41"/>
        <v>34</v>
      </c>
      <c r="K40" s="8" t="s">
        <v>1872</v>
      </c>
    </row>
    <row r="41">
      <c r="A41" s="7" t="b">
        <v>0</v>
      </c>
      <c r="B41" s="8" t="s">
        <v>1873</v>
      </c>
      <c r="C41" s="8" t="s">
        <v>1874</v>
      </c>
      <c r="D41" s="8" t="str">
        <f>Q&amp;$K41&amp;Q&amp;":{"&amp;Q&amp;$B$2&amp;Q&amp;":"&amp;Q&amp;$B41&amp;Q&amp;","&amp;Q&amp;$C$2&amp;Q&amp;":"&amp;Q&amp;$C41&amp;Q&amp;","&amp;Q&amp;"sets"&amp;Q&amp;":"&amp;Q&amp;substitute(SUBSTITUTE($H41,"[",""),"]","")&amp;Q&amp;"},"</f>
        <v>"irhi":{"label":"A Mummy","extra":"In Egypt there are mummies that are over 3,000 years old.","sets":"Junior 9+ (2nd)"},</v>
      </c>
      <c r="E41" s="9" t="str">
        <f t="shared" si="2"/>
        <v>data:image/svg+xml,%3csvg xmlns='http://www.w3.org/2000/svg' viewBox='0 0 24 216'%3e%3ctext fill='%23fff' style='font: 900 16px sans-serif' text-anchor='end' transform='matrix(0 -1 1 0 18 5)'%3eA Mummy%3c/text%3e%3c/svg%3e</v>
      </c>
      <c r="F41" s="14" t="str">
        <f t="shared" si="3"/>
        <v>https://svgtext.heliohost.us/cgi-bin/gen.perl?text=A%20Mummy</v>
      </c>
      <c r="G41" s="11" t="str">
        <f t="shared" si="4"/>
        <v>data:image/svg+xml,%3csvg xmlns='http://www.w3.org/2000/svg' viewBox='0 0 24 216'%3e%3ctext fill='%23fff' style='font: 900 16px sans-serif' text-anchor='end' transform='matrix(0 -1 1 0 18 5)'%3eA Mummy%3c/text%3e%3c/svg%3e</v>
      </c>
      <c r="H41" s="8" t="s">
        <v>32</v>
      </c>
      <c r="I41" s="8">
        <f t="shared" ref="I41:J41" si="42">len(B41)</f>
        <v>7</v>
      </c>
      <c r="J41" s="8">
        <f t="shared" si="42"/>
        <v>57</v>
      </c>
      <c r="K41" s="8" t="s">
        <v>1875</v>
      </c>
    </row>
    <row r="42">
      <c r="A42" s="7" t="b">
        <v>0</v>
      </c>
      <c r="B42" s="8" t="s">
        <v>1873</v>
      </c>
      <c r="C42" s="7" t="s">
        <v>1876</v>
      </c>
      <c r="D42" s="8" t="str">
        <f>Q&amp;$K42&amp;Q&amp;":{"&amp;Q&amp;$B$2&amp;Q&amp;":"&amp;Q&amp;$B42&amp;Q&amp;","&amp;Q&amp;$C$2&amp;Q&amp;":"&amp;Q&amp;$C42&amp;Q&amp;","&amp;Q&amp;"sets"&amp;Q&amp;":"&amp;Q&amp;substitute(SUBSTITUTE($H42,"[",""),"]","")&amp;Q&amp;"},"</f>
        <v>"rkub":{"label":"A Mummy","extra":"“Walk like an Egyptian.” —The Bangles","sets":"Expansion Set 3, Party Expansion 1"},</v>
      </c>
      <c r="E42" s="9" t="str">
        <f t="shared" si="2"/>
        <v>data:image/svg+xml,%3csvg xmlns='http://www.w3.org/2000/svg' viewBox='0 0 24 216'%3e%3ctext fill='%23fff' style='font: 900 16px sans-serif' text-anchor='end' transform='matrix(0 -1 1 0 18 5)'%3eA Mummy%3c/text%3e%3c/svg%3e</v>
      </c>
      <c r="F42" s="14" t="str">
        <f t="shared" si="3"/>
        <v>https://svgtext.heliohost.us/cgi-bin/gen.perl?text=A%20Mummy</v>
      </c>
      <c r="G42" s="11" t="str">
        <f t="shared" si="4"/>
        <v>data:image/svg+xml,%3csvg xmlns='http://www.w3.org/2000/svg' viewBox='0 0 24 216'%3e%3ctext fill='%23fff' style='font: 900 16px sans-serif' text-anchor='end' transform='matrix(0 -1 1 0 18 5)'%3eA Mummy%3c/text%3e%3c/svg%3e</v>
      </c>
      <c r="H42" s="8" t="s">
        <v>39</v>
      </c>
      <c r="I42" s="8">
        <f t="shared" ref="I42:J42" si="43">len(B42)</f>
        <v>7</v>
      </c>
      <c r="J42" s="8">
        <f t="shared" si="43"/>
        <v>37</v>
      </c>
      <c r="K42" s="8" t="s">
        <v>1877</v>
      </c>
    </row>
    <row r="43">
      <c r="A43" s="7" t="b">
        <v>0</v>
      </c>
      <c r="B43" s="8" t="s">
        <v>1878</v>
      </c>
      <c r="C43" s="7" t="s">
        <v>1879</v>
      </c>
      <c r="D43" s="8" t="str">
        <f>Q&amp;$K43&amp;Q&amp;":{"&amp;Q&amp;$B$2&amp;Q&amp;":"&amp;Q&amp;$B43&amp;Q&amp;","&amp;Q&amp;$C$2&amp;Q&amp;":"&amp;Q&amp;$C43&amp;Q&amp;","&amp;Q&amp;"sets"&amp;Q&amp;":"&amp;Q&amp;substitute(SUBSTITUTE($H43,"[",""),"]","")&amp;Q&amp;"},"</f>
        <v>"cnia":{"label":"A Nine Iron","extra":"A golf club best used on short shots or large opponents.","sets":"Expansion Set 2, Party Set"},</v>
      </c>
      <c r="E43" s="9" t="str">
        <f t="shared" si="2"/>
        <v>data:image/svg+xml,%3csvg xmlns='http://www.w3.org/2000/svg' viewBox='0 0 24 216'%3e%3ctext fill='%23fff' style='font: 900 16px sans-serif' text-anchor='end' transform='matrix(0 -1 1 0 18 5)'%3eA Nine Iron%3c/text%3e%3c/svg%3e</v>
      </c>
      <c r="F43" s="14" t="str">
        <f t="shared" si="3"/>
        <v>https://svgtext.heliohost.us/cgi-bin/gen.perl?text=A%20Nine%20Iron</v>
      </c>
      <c r="G43" s="11" t="str">
        <f t="shared" si="4"/>
        <v>data:image/svg+xml,%3csvg xmlns='http://www.w3.org/2000/svg' viewBox='0 0 24 216'%3e%3ctext fill='%23fff' style='font: 900 16px sans-serif' text-anchor='end' transform='matrix(0 -1 1 0 18 5)'%3eA Nine Iron%3c/text%3e%3c/svg%3e</v>
      </c>
      <c r="H43" s="8" t="s">
        <v>17</v>
      </c>
      <c r="I43" s="8">
        <f t="shared" ref="I43:J43" si="44">len(B43)</f>
        <v>11</v>
      </c>
      <c r="J43" s="8">
        <f t="shared" si="44"/>
        <v>56</v>
      </c>
      <c r="K43" s="8" t="s">
        <v>1880</v>
      </c>
    </row>
    <row r="44">
      <c r="A44" s="7" t="b">
        <v>1</v>
      </c>
      <c r="B44" s="8" t="s">
        <v>1881</v>
      </c>
      <c r="C44" s="8" t="s">
        <v>1882</v>
      </c>
      <c r="D44" s="8" t="str">
        <f>Q&amp;$K44&amp;Q&amp;":{"&amp;Q&amp;$B$2&amp;Q&amp;":"&amp;Q&amp;$B44&amp;Q&amp;","&amp;Q&amp;$C$2&amp;Q&amp;":"&amp;Q&amp;$C44&amp;Q&amp;","&amp;Q&amp;"sets"&amp;Q&amp;":"&amp;Q&amp;substitute(SUBSTITUTE($H44,"[",""),"]","")&amp;Q&amp;"},"</f>
        <v>"ppfm":{"label":"A Parade","extra":"I love a parade.","sets":"Junior 9+ (2nd)"},</v>
      </c>
      <c r="E44" s="9" t="str">
        <f t="shared" si="2"/>
        <v>data:image/svg+xml,%3csvg xmlns='http://www.w3.org/2000/svg' viewBox='0 0 24 216'%3e%3ctext fill='%23fff' style='font: 900 16px sans-serif' text-anchor='end' transform='matrix(0 -1 1 0 18 5)'%3eA Parade%3c/text%3e%3c/svg%3e</v>
      </c>
      <c r="F44" s="14" t="str">
        <f t="shared" si="3"/>
        <v>https://svgtext.heliohost.us/cgi-bin/gen.perl?text=A%20Parade</v>
      </c>
      <c r="G44" s="11" t="str">
        <f t="shared" si="4"/>
        <v>data:image/svg+xml,%3csvg xmlns='http://www.w3.org/2000/svg' viewBox='0 0 24 216'%3e%3ctext fill='%23fff' style='font: 900 16px sans-serif' text-anchor='end' transform='matrix(0 -1 1 0 18 5)'%3eA Parade%3c/text%3e%3c/svg%3e</v>
      </c>
      <c r="H44" s="8" t="s">
        <v>32</v>
      </c>
      <c r="I44" s="8">
        <f t="shared" ref="I44:J44" si="45">len(B44)</f>
        <v>8</v>
      </c>
      <c r="J44" s="8">
        <f t="shared" si="45"/>
        <v>16</v>
      </c>
      <c r="K44" s="8" t="s">
        <v>1883</v>
      </c>
    </row>
    <row r="45">
      <c r="A45" s="7" t="b">
        <v>1</v>
      </c>
      <c r="B45" s="8" t="s">
        <v>1884</v>
      </c>
      <c r="C45" s="8" t="s">
        <v>1885</v>
      </c>
      <c r="D45" s="8" t="str">
        <f>Q&amp;$K45&amp;Q&amp;":{"&amp;Q&amp;$B$2&amp;Q&amp;":"&amp;Q&amp;$B45&amp;Q&amp;","&amp;Q&amp;$C$2&amp;Q&amp;":"&amp;Q&amp;$C45&amp;Q&amp;","&amp;Q&amp;"sets"&amp;Q&amp;":"&amp;Q&amp;substitute(SUBSTITUTE($H45,"[",""),"]","")&amp;Q&amp;"},"</f>
        <v>"oe{k":{"label":"A Piano","extra":"A piano is a percussion instrument, like a drum or cymbal.","sets":"Junior 9+ (2nd)"},</v>
      </c>
      <c r="E45" s="9" t="str">
        <f t="shared" si="2"/>
        <v>data:image/svg+xml,%3csvg xmlns='http://www.w3.org/2000/svg' viewBox='0 0 24 216'%3e%3ctext fill='%23fff' style='font: 900 16px sans-serif' text-anchor='end' transform='matrix(0 -1 1 0 18 5)'%3eA Piano%3c/text%3e%3c/svg%3e</v>
      </c>
      <c r="F45" s="14" t="str">
        <f t="shared" si="3"/>
        <v>https://svgtext.heliohost.us/cgi-bin/gen.perl?text=A%20Piano</v>
      </c>
      <c r="G45" s="11" t="str">
        <f t="shared" si="4"/>
        <v>data:image/svg+xml,%3csvg xmlns='http://www.w3.org/2000/svg' viewBox='0 0 24 216'%3e%3ctext fill='%23fff' style='font: 900 16px sans-serif' text-anchor='end' transform='matrix(0 -1 1 0 18 5)'%3eA Piano%3c/text%3e%3c/svg%3e</v>
      </c>
      <c r="H45" s="8" t="s">
        <v>32</v>
      </c>
      <c r="I45" s="8">
        <f t="shared" ref="I45:J45" si="46">len(B45)</f>
        <v>7</v>
      </c>
      <c r="J45" s="8">
        <f t="shared" si="46"/>
        <v>58</v>
      </c>
      <c r="K45" s="8" t="s">
        <v>1886</v>
      </c>
    </row>
    <row r="46">
      <c r="A46" s="7" t="b">
        <v>1</v>
      </c>
      <c r="B46" s="8" t="s">
        <v>1887</v>
      </c>
      <c r="C46" s="8" t="s">
        <v>1888</v>
      </c>
      <c r="D46" s="8" t="str">
        <f>Q&amp;$K46&amp;Q&amp;":{"&amp;Q&amp;$B$2&amp;Q&amp;":"&amp;Q&amp;$B46&amp;Q&amp;","&amp;Q&amp;$C$2&amp;Q&amp;":"&amp;Q&amp;$C46&amp;Q&amp;","&amp;Q&amp;"sets"&amp;Q&amp;":"&amp;Q&amp;substitute(SUBSTITUTE($H46,"[",""),"]","")&amp;Q&amp;"},"</f>
        <v>"hqnc":{"label":"A Pile Of Leaves","extra":"Rake them up and jump in!","sets":"Junior"},</v>
      </c>
      <c r="E46" s="9" t="str">
        <f t="shared" si="2"/>
        <v>data:image/svg+xml,%3csvg xmlns='http://www.w3.org/2000/svg' viewBox='0 0 24 216'%3e%3ctext fill='%23fff' style='font: 900 16px sans-serif' text-anchor='end' transform='matrix(0 -1 1 0 18 5)'%3eA Pile Of Leaves%3c/text%3e%3c/svg%3e</v>
      </c>
      <c r="F46" s="14" t="str">
        <f t="shared" si="3"/>
        <v>https://svgtext.heliohost.us/cgi-bin/gen.perl?text=A%20Pile%20Of%20Leaves</v>
      </c>
      <c r="G46" s="11" t="str">
        <f t="shared" si="4"/>
        <v>data:image/svg+xml,%3csvg xmlns='http://www.w3.org/2000/svg' viewBox='0 0 24 216'%3e%3ctext fill='%23fff' style='font: 900 16px sans-serif' text-anchor='end' transform='matrix(0 -1 1 0 18 5)'%3eA Pile Of Leaves%3c/text%3e%3c/svg%3e</v>
      </c>
      <c r="H46" s="8" t="s">
        <v>84</v>
      </c>
      <c r="I46" s="8">
        <f t="shared" ref="I46:J46" si="47">len(B46)</f>
        <v>16</v>
      </c>
      <c r="J46" s="8">
        <f t="shared" si="47"/>
        <v>25</v>
      </c>
      <c r="K46" s="8" t="s">
        <v>1889</v>
      </c>
    </row>
    <row r="47">
      <c r="A47" s="7" t="b">
        <v>1</v>
      </c>
      <c r="B47" s="8" t="s">
        <v>1890</v>
      </c>
      <c r="C47" s="8" t="s">
        <v>1891</v>
      </c>
      <c r="D47" s="8" t="str">
        <f>Q&amp;$K47&amp;Q&amp;":{"&amp;Q&amp;$B$2&amp;Q&amp;":"&amp;Q&amp;$B47&amp;Q&amp;","&amp;Q&amp;$C$2&amp;Q&amp;":"&amp;Q&amp;$C47&amp;Q&amp;","&amp;Q&amp;"sets"&amp;Q&amp;":"&amp;Q&amp;substitute(SUBSTITUTE($H47,"[",""),"]","")&amp;Q&amp;"},"</f>
        <v>"qgun":{"label":"A Prince","extra":"Some are real, but most are just in fairy tales.","sets":"Junior 9+ (2nd)"},</v>
      </c>
      <c r="E47" s="9" t="str">
        <f t="shared" si="2"/>
        <v>data:image/svg+xml,%3csvg xmlns='http://www.w3.org/2000/svg' viewBox='0 0 24 216'%3e%3ctext fill='%23fff' style='font: 900 16px sans-serif' text-anchor='end' transform='matrix(0 -1 1 0 18 5)'%3eA Prince%3c/text%3e%3c/svg%3e</v>
      </c>
      <c r="F47" s="14" t="str">
        <f t="shared" si="3"/>
        <v>https://svgtext.heliohost.us/cgi-bin/gen.perl?text=A%20Prince</v>
      </c>
      <c r="G47" s="11" t="str">
        <f t="shared" si="4"/>
        <v>data:image/svg+xml,%3csvg xmlns='http://www.w3.org/2000/svg' viewBox='0 0 24 216'%3e%3ctext fill='%23fff' style='font: 900 16px sans-serif' text-anchor='end' transform='matrix(0 -1 1 0 18 5)'%3eA Prince%3c/text%3e%3c/svg%3e</v>
      </c>
      <c r="H47" s="8" t="s">
        <v>32</v>
      </c>
      <c r="I47" s="8">
        <f t="shared" ref="I47:J47" si="48">len(B47)</f>
        <v>8</v>
      </c>
      <c r="J47" s="8">
        <f t="shared" si="48"/>
        <v>48</v>
      </c>
      <c r="K47" s="8" t="s">
        <v>1892</v>
      </c>
    </row>
    <row r="48">
      <c r="A48" s="7" t="b">
        <v>1</v>
      </c>
      <c r="B48" s="8" t="s">
        <v>1893</v>
      </c>
      <c r="C48" s="8" t="s">
        <v>1891</v>
      </c>
      <c r="D48" s="8" t="str">
        <f>Q&amp;$K48&amp;Q&amp;":{"&amp;Q&amp;$B$2&amp;Q&amp;":"&amp;Q&amp;$B48&amp;Q&amp;","&amp;Q&amp;$C$2&amp;Q&amp;":"&amp;Q&amp;$C48&amp;Q&amp;","&amp;Q&amp;"sets"&amp;Q&amp;":"&amp;Q&amp;substitute(SUBSTITUTE($H48,"[",""),"]","")&amp;Q&amp;"},"</f>
        <v>"shwu":{"label":"A Princess","extra":"Some are real, but most are just in fairy tales.","sets":"Junior 9+ (2nd)"},</v>
      </c>
      <c r="E48" s="9" t="str">
        <f t="shared" si="2"/>
        <v>data:image/svg+xml,%3csvg xmlns='http://www.w3.org/2000/svg' viewBox='0 0 24 216'%3e%3ctext fill='%23fff' style='font: 900 16px sans-serif' text-anchor='end' transform='matrix(0 -1 1 0 18 5)'%3eA Princess%3c/text%3e%3c/svg%3e</v>
      </c>
      <c r="F48" s="14" t="str">
        <f t="shared" si="3"/>
        <v>https://svgtext.heliohost.us/cgi-bin/gen.perl?text=A%20Princess</v>
      </c>
      <c r="G48" s="11" t="str">
        <f t="shared" si="4"/>
        <v>data:image/svg+xml,%3csvg xmlns='http://www.w3.org/2000/svg' viewBox='0 0 24 216'%3e%3ctext fill='%23fff' style='font: 900 16px sans-serif' text-anchor='end' transform='matrix(0 -1 1 0 18 5)'%3eA Princess%3c/text%3e%3c/svg%3e</v>
      </c>
      <c r="H48" s="8" t="s">
        <v>32</v>
      </c>
      <c r="I48" s="8">
        <f t="shared" ref="I48:J48" si="49">len(B48)</f>
        <v>10</v>
      </c>
      <c r="J48" s="8">
        <f t="shared" si="49"/>
        <v>48</v>
      </c>
      <c r="K48" s="8" t="s">
        <v>1894</v>
      </c>
    </row>
    <row r="49">
      <c r="A49" s="7" t="b">
        <v>1</v>
      </c>
      <c r="B49" s="8" t="s">
        <v>1895</v>
      </c>
      <c r="C49" s="8" t="s">
        <v>1896</v>
      </c>
      <c r="D49" s="8" t="str">
        <f>Q&amp;$K49&amp;Q&amp;":{"&amp;Q&amp;$B$2&amp;Q&amp;":"&amp;Q&amp;$B49&amp;Q&amp;","&amp;Q&amp;$C$2&amp;Q&amp;":"&amp;Q&amp;$C49&amp;Q&amp;","&amp;Q&amp;"sets"&amp;Q&amp;":"&amp;Q&amp;substitute(SUBSTITUTE($H49,"[",""),"]","")&amp;Q&amp;"},"</f>
        <v>"yntr":{"label":"A Queen","extra":"A wicked queen tried to kill Snow White with a poison apple.","sets":"Junior"},</v>
      </c>
      <c r="E49" s="9" t="str">
        <f t="shared" si="2"/>
        <v>data:image/svg+xml,%3csvg xmlns='http://www.w3.org/2000/svg' viewBox='0 0 24 216'%3e%3ctext fill='%23fff' style='font: 900 16px sans-serif' text-anchor='end' transform='matrix(0 -1 1 0 18 5)'%3eA Queen%3c/text%3e%3c/svg%3e</v>
      </c>
      <c r="F49" s="14" t="str">
        <f t="shared" si="3"/>
        <v>https://svgtext.heliohost.us/cgi-bin/gen.perl?text=A%20Queen</v>
      </c>
      <c r="G49" s="11" t="str">
        <f t="shared" si="4"/>
        <v>data:image/svg+xml,%3csvg xmlns='http://www.w3.org/2000/svg' viewBox='0 0 24 216'%3e%3ctext fill='%23fff' style='font: 900 16px sans-serif' text-anchor='end' transform='matrix(0 -1 1 0 18 5)'%3eA Queen%3c/text%3e%3c/svg%3e</v>
      </c>
      <c r="H49" s="8" t="s">
        <v>84</v>
      </c>
      <c r="I49" s="8">
        <f t="shared" ref="I49:J49" si="50">len(B49)</f>
        <v>7</v>
      </c>
      <c r="J49" s="8">
        <f t="shared" si="50"/>
        <v>60</v>
      </c>
      <c r="K49" s="8" t="s">
        <v>1897</v>
      </c>
    </row>
    <row r="50">
      <c r="A50" s="7" t="b">
        <v>1</v>
      </c>
      <c r="B50" s="8" t="s">
        <v>1898</v>
      </c>
      <c r="C50" s="8" t="s">
        <v>1899</v>
      </c>
      <c r="D50" s="8" t="str">
        <f>Q&amp;$K50&amp;Q&amp;":{"&amp;Q&amp;$B$2&amp;Q&amp;":"&amp;Q&amp;$B50&amp;Q&amp;","&amp;Q&amp;$C$2&amp;Q&amp;":"&amp;Q&amp;$C50&amp;Q&amp;","&amp;Q&amp;"sets"&amp;Q&amp;":"&amp;Q&amp;substitute(SUBSTITUTE($H50,"[",""),"]","")&amp;Q&amp;"},"</f>
        <v>"ctht":{"label":"A Refrigerator","extra":"First stop after school.","sets":"Junior 9+ (2nd)"},</v>
      </c>
      <c r="E50" s="9" t="str">
        <f t="shared" si="2"/>
        <v>data:image/svg+xml,%3csvg xmlns='http://www.w3.org/2000/svg' viewBox='0 0 24 216'%3e%3ctext fill='%23fff' style='font: 900 16px sans-serif' text-anchor='end' transform='matrix(0 -1 1 0 18 5)'%3eA Refrigerator%3c/text%3e%3c/svg%3e</v>
      </c>
      <c r="F50" s="14" t="str">
        <f t="shared" si="3"/>
        <v>https://svgtext.heliohost.us/cgi-bin/gen.perl?text=A%20Refrigerator</v>
      </c>
      <c r="G50" s="11" t="str">
        <f t="shared" si="4"/>
        <v>data:image/svg+xml,%3csvg xmlns='http://www.w3.org/2000/svg' viewBox='0 0 24 216'%3e%3ctext fill='%23fff' style='font: 900 16px sans-serif' text-anchor='end' transform='matrix(0 -1 1 0 18 5)'%3eA Refrigerator%3c/text%3e%3c/svg%3e</v>
      </c>
      <c r="H50" s="8" t="s">
        <v>32</v>
      </c>
      <c r="I50" s="8">
        <f t="shared" ref="I50:J50" si="51">len(B50)</f>
        <v>14</v>
      </c>
      <c r="J50" s="8">
        <f t="shared" si="51"/>
        <v>24</v>
      </c>
      <c r="K50" s="8" t="s">
        <v>1900</v>
      </c>
    </row>
    <row r="51">
      <c r="A51" s="7" t="b">
        <v>0</v>
      </c>
      <c r="B51" s="8" t="s">
        <v>1901</v>
      </c>
      <c r="C51" s="7" t="s">
        <v>1902</v>
      </c>
      <c r="D51" s="8" t="str">
        <f>Q&amp;$K51&amp;Q&amp;":{"&amp;Q&amp;$B$2&amp;Q&amp;":"&amp;Q&amp;$B51&amp;Q&amp;","&amp;Q&amp;$C$2&amp;Q&amp;":"&amp;Q&amp;$C51&amp;Q&amp;","&amp;Q&amp;"sets"&amp;Q&amp;":"&amp;Q&amp;substitute(SUBSTITUTE($H51,"[",""),"]","")&amp;Q&amp;"},"</f>
        <v>"xghi":{"label":"A Ringing In My Ears","extra":"Answer that, would’ya?","sets":"Expansion Set 3, Party Expansion 1"},</v>
      </c>
      <c r="E51" s="9" t="str">
        <f t="shared" si="2"/>
        <v>data:image/svg+xml,%3csvg xmlns='http://www.w3.org/2000/svg' viewBox='0 0 24 216'%3e%3ctext fill='%23fff' style='font: 900 16px sans-serif' text-anchor='end' transform='matrix(0 -1 1 0 18 5)'%3eA Ringing In My Ears%3c/text%3e%3c/svg%3e</v>
      </c>
      <c r="F51" s="14" t="str">
        <f t="shared" si="3"/>
        <v>https://svgtext.heliohost.us/cgi-bin/gen.perl?text=A%20Ringing%20In%20My%20Ears</v>
      </c>
      <c r="G51" s="11" t="str">
        <f t="shared" si="4"/>
        <v>data:image/svg+xml,%3csvg xmlns='http://www.w3.org/2000/svg' viewBox='0 0 24 216'%3e%3ctext fill='%23fff' style='font: 900 16px sans-serif' text-anchor='end' transform='matrix(0 -1 1 0 18 5)'%3eA Ringing In My Ears%3c/text%3e%3c/svg%3e</v>
      </c>
      <c r="H51" s="8" t="s">
        <v>39</v>
      </c>
      <c r="I51" s="8">
        <f t="shared" ref="I51:J51" si="52">len(B51)</f>
        <v>20</v>
      </c>
      <c r="J51" s="8">
        <f t="shared" si="52"/>
        <v>22</v>
      </c>
      <c r="K51" s="8" t="s">
        <v>1903</v>
      </c>
    </row>
    <row r="52">
      <c r="A52" s="7" t="b">
        <v>1</v>
      </c>
      <c r="B52" s="8" t="s">
        <v>1904</v>
      </c>
      <c r="C52" s="8" t="s">
        <v>1905</v>
      </c>
      <c r="D52" s="8" t="str">
        <f>Q&amp;$K52&amp;Q&amp;":{"&amp;Q&amp;$B$2&amp;Q&amp;":"&amp;Q&amp;$B52&amp;Q&amp;","&amp;Q&amp;$C$2&amp;Q&amp;":"&amp;Q&amp;$C52&amp;Q&amp;","&amp;Q&amp;"sets"&amp;Q&amp;":"&amp;Q&amp;substitute(SUBSTITUTE($H52,"[",""),"]","")&amp;Q&amp;"},"</f>
        <v>"lgxd":{"label":"A Saw","extra":"A metal tool with sharp teeth used to cut metal and wood. Some are used as musical instruments.","sets":"Junior"},</v>
      </c>
      <c r="E52" s="9" t="str">
        <f t="shared" si="2"/>
        <v>data:image/svg+xml,%3csvg xmlns='http://www.w3.org/2000/svg' viewBox='0 0 24 216'%3e%3ctext fill='%23fff' style='font: 900 16px sans-serif' text-anchor='end' transform='matrix(0 -1 1 0 18 5)'%3eA Saw%3c/text%3e%3c/svg%3e</v>
      </c>
      <c r="F52" s="14" t="str">
        <f t="shared" si="3"/>
        <v>https://svgtext.heliohost.us/cgi-bin/gen.perl?text=A%20Saw</v>
      </c>
      <c r="G52" s="11" t="str">
        <f t="shared" si="4"/>
        <v>data:image/svg+xml,%3csvg xmlns='http://www.w3.org/2000/svg' viewBox='0 0 24 216'%3e%3ctext fill='%23fff' style='font: 900 16px sans-serif' text-anchor='end' transform='matrix(0 -1 1 0 18 5)'%3eA Saw%3c/text%3e%3c/svg%3e</v>
      </c>
      <c r="H52" s="8" t="s">
        <v>84</v>
      </c>
      <c r="I52" s="8">
        <f t="shared" ref="I52:J52" si="53">len(B52)</f>
        <v>5</v>
      </c>
      <c r="J52" s="8">
        <f t="shared" si="53"/>
        <v>95</v>
      </c>
      <c r="K52" s="8" t="s">
        <v>1906</v>
      </c>
    </row>
    <row r="53">
      <c r="A53" s="7" t="b">
        <v>0</v>
      </c>
      <c r="B53" s="8" t="s">
        <v>1907</v>
      </c>
      <c r="C53" s="7" t="s">
        <v>1908</v>
      </c>
      <c r="D53" s="8" t="str">
        <f>Q&amp;$K53&amp;Q&amp;":{"&amp;Q&amp;$B$2&amp;Q&amp;":"&amp;Q&amp;$B53&amp;Q&amp;","&amp;Q&amp;$C$2&amp;Q&amp;":"&amp;Q&amp;$C53&amp;Q&amp;","&amp;Q&amp;"sets"&amp;Q&amp;":"&amp;Q&amp;substitute(SUBSTITUTE($H53,"[",""),"]","")&amp;Q&amp;"},"</f>
        <v>"ejme":{"label":"A School Bus","extra":"“The only thing we have to fear is fear itself.”—Franklin D. Roosevelt","sets":"Expansion Set 1, Party Set"},</v>
      </c>
      <c r="E53" s="9" t="str">
        <f t="shared" si="2"/>
        <v>data:image/svg+xml,%3csvg xmlns='http://www.w3.org/2000/svg' viewBox='0 0 24 216'%3e%3ctext fill='%23fff' style='font: 900 16px sans-serif' text-anchor='end' transform='matrix(0 -1 1 0 18 5)'%3eA School Bus%3c/text%3e%3c/svg%3e</v>
      </c>
      <c r="F53" s="14" t="str">
        <f t="shared" si="3"/>
        <v>https://svgtext.heliohost.us/cgi-bin/gen.perl?text=A%20School%20Bus</v>
      </c>
      <c r="G53" s="11" t="str">
        <f t="shared" si="4"/>
        <v>data:image/svg+xml,%3csvg xmlns='http://www.w3.org/2000/svg' viewBox='0 0 24 216'%3e%3ctext fill='%23fff' style='font: 900 16px sans-serif' text-anchor='end' transform='matrix(0 -1 1 0 18 5)'%3eA School Bus%3c/text%3e%3c/svg%3e</v>
      </c>
      <c r="H53" s="8" t="s">
        <v>25</v>
      </c>
      <c r="I53" s="8">
        <f t="shared" ref="I53:J53" si="54">len(B53)</f>
        <v>12</v>
      </c>
      <c r="J53" s="8">
        <f t="shared" si="54"/>
        <v>70</v>
      </c>
      <c r="K53" s="8" t="s">
        <v>1909</v>
      </c>
    </row>
    <row r="54">
      <c r="A54" s="7" t="b">
        <v>0</v>
      </c>
      <c r="B54" s="8" t="s">
        <v>1910</v>
      </c>
      <c r="C54" s="7" t="s">
        <v>1911</v>
      </c>
      <c r="D54" s="8" t="str">
        <f>Q&amp;$K54&amp;Q&amp;":{"&amp;Q&amp;$B$2&amp;Q&amp;":"&amp;Q&amp;$B54&amp;Q&amp;","&amp;Q&amp;$C$2&amp;Q&amp;":"&amp;Q&amp;$C54&amp;Q&amp;","&amp;Q&amp;"sets"&amp;Q&amp;":"&amp;Q&amp;substitute(SUBSTITUTE($H54,"[",""),"]","")&amp;Q&amp;"},"</f>
        <v>"inzd":{"label":"A School Cafeteria","extra":"Food fight!.","sets":"Expansion Set 2, Party Set"},</v>
      </c>
      <c r="E54" s="9" t="str">
        <f t="shared" si="2"/>
        <v>data:image/svg+xml,%3csvg xmlns='http://www.w3.org/2000/svg' viewBox='0 0 24 216'%3e%3ctext fill='%23fff' style='font: 900 16px sans-serif' text-anchor='end' transform='matrix(0 -1 1 0 18 5)'%3eA School Cafeteria%3c/text%3e%3c/svg%3e</v>
      </c>
      <c r="F54" s="14" t="str">
        <f t="shared" si="3"/>
        <v>https://svgtext.heliohost.us/cgi-bin/gen.perl?text=A%20School%20Cafeteria</v>
      </c>
      <c r="G54" s="11" t="str">
        <f t="shared" si="4"/>
        <v>data:image/svg+xml,%3csvg xmlns='http://www.w3.org/2000/svg' viewBox='0 0 24 216'%3e%3ctext fill='%23fff' style='font: 900 16px sans-serif' text-anchor='end' transform='matrix(0 -1 1 0 18 5)'%3eA School Cafeteria%3c/text%3e%3c/svg%3e</v>
      </c>
      <c r="H54" s="8" t="s">
        <v>17</v>
      </c>
      <c r="I54" s="8">
        <f t="shared" ref="I54:J54" si="55">len(B54)</f>
        <v>18</v>
      </c>
      <c r="J54" s="8">
        <f t="shared" si="55"/>
        <v>12</v>
      </c>
      <c r="K54" s="8" t="s">
        <v>1912</v>
      </c>
    </row>
    <row r="55">
      <c r="A55" s="7" t="b">
        <v>1</v>
      </c>
      <c r="B55" s="8" t="s">
        <v>1913</v>
      </c>
      <c r="C55" s="8" t="s">
        <v>1914</v>
      </c>
      <c r="D55" s="8" t="str">
        <f>Q&amp;$K55&amp;Q&amp;":{"&amp;Q&amp;$B$2&amp;Q&amp;":"&amp;Q&amp;$B55&amp;Q&amp;","&amp;Q&amp;$C$2&amp;Q&amp;":"&amp;Q&amp;$C55&amp;Q&amp;","&amp;Q&amp;"sets"&amp;Q&amp;":"&amp;Q&amp;substitute(SUBSTITUTE($H55,"[",""),"]","")&amp;Q&amp;"},"</f>
        <v>"osno":{"label":"A School Dance","extra":"No chicken dance or hokey-pokey!","sets":"Junior 9+ (1st) &amp; (2nd)"},</v>
      </c>
      <c r="E55" s="9" t="str">
        <f t="shared" si="2"/>
        <v>data:image/svg+xml,%3csvg xmlns='http://www.w3.org/2000/svg' viewBox='0 0 24 216'%3e%3ctext fill='%23fff' style='font: 900 16px sans-serif' text-anchor='end' transform='matrix(0 -1 1 0 18 5)'%3eA School Dance%3c/text%3e%3c/svg%3e</v>
      </c>
      <c r="F55" s="14" t="str">
        <f t="shared" si="3"/>
        <v>https://svgtext.heliohost.us/cgi-bin/gen.perl?text=A%20School%20Dance</v>
      </c>
      <c r="G55" s="11" t="str">
        <f t="shared" si="4"/>
        <v>data:image/svg+xml,%3csvg xmlns='http://www.w3.org/2000/svg' viewBox='0 0 24 216'%3e%3ctext fill='%23fff' style='font: 900 16px sans-serif' text-anchor='end' transform='matrix(0 -1 1 0 18 5)'%3eA School Dance%3c/text%3e%3c/svg%3e</v>
      </c>
      <c r="H55" s="8" t="s">
        <v>42</v>
      </c>
      <c r="I55" s="8">
        <f t="shared" ref="I55:J55" si="56">len(B55)</f>
        <v>14</v>
      </c>
      <c r="J55" s="8">
        <f t="shared" si="56"/>
        <v>32</v>
      </c>
      <c r="K55" s="8" t="s">
        <v>1915</v>
      </c>
    </row>
    <row r="56">
      <c r="A56" s="7" t="b">
        <v>1</v>
      </c>
      <c r="B56" s="8" t="s">
        <v>1916</v>
      </c>
      <c r="C56" s="7" t="s">
        <v>1917</v>
      </c>
      <c r="D56" s="8" t="str">
        <f>Q&amp;$K56&amp;Q&amp;":{"&amp;Q&amp;$B$2&amp;Q&amp;":"&amp;Q&amp;$B56&amp;Q&amp;","&amp;Q&amp;$C$2&amp;Q&amp;":"&amp;Q&amp;$C56&amp;Q&amp;","&amp;Q&amp;"sets"&amp;Q&amp;":"&amp;Q&amp;substitute(SUBSTITUTE($H56,"[",""),"]","")&amp;Q&amp;"},"</f>
        <v>"zstf":{"label":"A Spare Tire","extra":"The good news is: we have a spare tire…","sets":"Expansion Set 3, Party Expansion 1"},</v>
      </c>
      <c r="E56" s="9" t="str">
        <f t="shared" si="2"/>
        <v>data:image/svg+xml,%3csvg xmlns='http://www.w3.org/2000/svg' viewBox='0 0 24 216'%3e%3ctext fill='%23fff' style='font: 900 16px sans-serif' text-anchor='end' transform='matrix(0 -1 1 0 18 5)'%3eA Spare Tire%3c/text%3e%3c/svg%3e</v>
      </c>
      <c r="F56" s="14" t="str">
        <f t="shared" si="3"/>
        <v>https://svgtext.heliohost.us/cgi-bin/gen.perl?text=A%20Spare%20Tire</v>
      </c>
      <c r="G56" s="11" t="str">
        <f t="shared" si="4"/>
        <v>data:image/svg+xml,%3csvg xmlns='http://www.w3.org/2000/svg' viewBox='0 0 24 216'%3e%3ctext fill='%23fff' style='font: 900 16px sans-serif' text-anchor='end' transform='matrix(0 -1 1 0 18 5)'%3eA Spare Tire%3c/text%3e%3c/svg%3e</v>
      </c>
      <c r="H56" s="8" t="s">
        <v>39</v>
      </c>
      <c r="I56" s="8">
        <f t="shared" ref="I56:J56" si="57">len(B56)</f>
        <v>12</v>
      </c>
      <c r="J56" s="8">
        <f t="shared" si="57"/>
        <v>39</v>
      </c>
      <c r="K56" s="8" t="s">
        <v>1918</v>
      </c>
    </row>
    <row r="57">
      <c r="A57" s="7" t="b">
        <v>1</v>
      </c>
      <c r="B57" s="8" t="s">
        <v>1919</v>
      </c>
      <c r="C57" s="7" t="s">
        <v>1920</v>
      </c>
      <c r="D57" s="8" t="str">
        <f>Q&amp;$K57&amp;Q&amp;":{"&amp;Q&amp;$B$2&amp;Q&amp;":"&amp;Q&amp;$B57&amp;Q&amp;","&amp;Q&amp;$C$2&amp;Q&amp;":"&amp;Q&amp;$C57&amp;Q&amp;","&amp;Q&amp;"sets"&amp;Q&amp;":"&amp;Q&amp;substitute(SUBSTITUTE($H57,"[",""),"]","")&amp;Q&amp;"},"</f>
        <v>"nluh":{"label":"A Submarine","extra":"It’s a sandwich shaped like a boat.or a boat shaped like a sandwich.","sets":"Junior 9+ (2nd)"},</v>
      </c>
      <c r="E57" s="9" t="str">
        <f t="shared" si="2"/>
        <v>data:image/svg+xml,%3csvg xmlns='http://www.w3.org/2000/svg' viewBox='0 0 24 216'%3e%3ctext fill='%23fff' style='font: 900 16px sans-serif' text-anchor='end' transform='matrix(0 -1 1 0 18 5)'%3eA Submarine%3c/text%3e%3c/svg%3e</v>
      </c>
      <c r="F57" s="14" t="str">
        <f t="shared" si="3"/>
        <v>https://svgtext.heliohost.us/cgi-bin/gen.perl?text=A%20Submarine</v>
      </c>
      <c r="G57" s="11" t="str">
        <f t="shared" si="4"/>
        <v>data:image/svg+xml,%3csvg xmlns='http://www.w3.org/2000/svg' viewBox='0 0 24 216'%3e%3ctext fill='%23fff' style='font: 900 16px sans-serif' text-anchor='end' transform='matrix(0 -1 1 0 18 5)'%3eA Submarine%3c/text%3e%3c/svg%3e</v>
      </c>
      <c r="H57" s="8" t="s">
        <v>32</v>
      </c>
      <c r="I57" s="8">
        <f t="shared" ref="I57:J57" si="58">len(B57)</f>
        <v>11</v>
      </c>
      <c r="J57" s="8">
        <f t="shared" si="58"/>
        <v>68</v>
      </c>
      <c r="K57" s="8" t="s">
        <v>1921</v>
      </c>
    </row>
    <row r="58">
      <c r="A58" s="7" t="b">
        <v>0</v>
      </c>
      <c r="B58" s="8" t="s">
        <v>1922</v>
      </c>
      <c r="C58" s="7" t="s">
        <v>1923</v>
      </c>
      <c r="D58" s="8" t="str">
        <f>Q&amp;$K58&amp;Q&amp;":{"&amp;Q&amp;$B$2&amp;Q&amp;":"&amp;Q&amp;$B58&amp;Q&amp;","&amp;Q&amp;$C$2&amp;Q&amp;":"&amp;Q&amp;$C58&amp;Q&amp;","&amp;Q&amp;"sets"&amp;Q&amp;":"&amp;Q&amp;substitute(SUBSTITUTE($H58,"[",""),"]","")&amp;Q&amp;"},"</f>
        <v>"tdzf":{"label":"A Sunrise","extra":"“But he who kisses the joy as it flies/ Lives in eternity's sunrise.” —William Blake","sets":"Basic Set, Party Set"},</v>
      </c>
      <c r="E58" s="9" t="str">
        <f t="shared" si="2"/>
        <v>data:image/svg+xml,%3csvg xmlns='http://www.w3.org/2000/svg' viewBox='0 0 24 216'%3e%3ctext fill='%23fff' style='font: 900 16px sans-serif' text-anchor='end' transform='matrix(0 -1 1 0 18 5)'%3eA Sunrise%3c/text%3e%3c/svg%3e</v>
      </c>
      <c r="F58" s="14" t="str">
        <f t="shared" si="3"/>
        <v>https://svgtext.heliohost.us/cgi-bin/gen.perl?text=A%20Sunrise</v>
      </c>
      <c r="G58" s="11" t="str">
        <f t="shared" si="4"/>
        <v>data:image/svg+xml,%3csvg xmlns='http://www.w3.org/2000/svg' viewBox='0 0 24 216'%3e%3ctext fill='%23fff' style='font: 900 16px sans-serif' text-anchor='end' transform='matrix(0 -1 1 0 18 5)'%3eA Sunrise%3c/text%3e%3c/svg%3e</v>
      </c>
      <c r="H58" s="8" t="s">
        <v>29</v>
      </c>
      <c r="I58" s="8">
        <f t="shared" ref="I58:J58" si="59">len(B58)</f>
        <v>9</v>
      </c>
      <c r="J58" s="8">
        <f t="shared" si="59"/>
        <v>84</v>
      </c>
      <c r="K58" s="8" t="s">
        <v>1924</v>
      </c>
    </row>
    <row r="59">
      <c r="A59" s="7" t="b">
        <v>0</v>
      </c>
      <c r="B59" s="8" t="s">
        <v>1925</v>
      </c>
      <c r="C59" s="7" t="s">
        <v>1926</v>
      </c>
      <c r="D59" s="8" t="str">
        <f>Q&amp;$K59&amp;Q&amp;":{"&amp;Q&amp;$B$2&amp;Q&amp;":"&amp;Q&amp;$B59&amp;Q&amp;","&amp;Q&amp;$C$2&amp;Q&amp;":"&amp;Q&amp;$C59&amp;Q&amp;","&amp;Q&amp;"sets"&amp;Q&amp;":"&amp;Q&amp;substitute(SUBSTITUTE($H59,"[",""),"]","")&amp;Q&amp;"},"</f>
        <v>"mwdi":{"label":"A Sunset","extra":"The sun never set on the British Empire… because God didn't trust the English in the dark.","sets":"Basic Set, Party Set"},</v>
      </c>
      <c r="E59" s="9" t="str">
        <f t="shared" si="2"/>
        <v>data:image/svg+xml,%3csvg xmlns='http://www.w3.org/2000/svg' viewBox='0 0 24 216'%3e%3ctext fill='%23fff' style='font: 900 16px sans-serif' text-anchor='end' transform='matrix(0 -1 1 0 18 5)'%3eA Sunset%3c/text%3e%3c/svg%3e</v>
      </c>
      <c r="F59" s="14" t="str">
        <f t="shared" si="3"/>
        <v>https://svgtext.heliohost.us/cgi-bin/gen.perl?text=A%20Sunset</v>
      </c>
      <c r="G59" s="11" t="str">
        <f t="shared" si="4"/>
        <v>data:image/svg+xml,%3csvg xmlns='http://www.w3.org/2000/svg' viewBox='0 0 24 216'%3e%3ctext fill='%23fff' style='font: 900 16px sans-serif' text-anchor='end' transform='matrix(0 -1 1 0 18 5)'%3eA Sunset%3c/text%3e%3c/svg%3e</v>
      </c>
      <c r="H59" s="8" t="s">
        <v>29</v>
      </c>
      <c r="I59" s="8">
        <f t="shared" ref="I59:J59" si="60">len(B59)</f>
        <v>8</v>
      </c>
      <c r="J59" s="8">
        <f t="shared" si="60"/>
        <v>90</v>
      </c>
      <c r="K59" s="8" t="s">
        <v>1927</v>
      </c>
    </row>
    <row r="60">
      <c r="A60" s="7" t="b">
        <v>1</v>
      </c>
      <c r="B60" s="8" t="s">
        <v>1928</v>
      </c>
      <c r="C60" s="8" t="s">
        <v>1929</v>
      </c>
      <c r="D60" s="8" t="str">
        <f>Q&amp;$K60&amp;Q&amp;":{"&amp;Q&amp;$B$2&amp;Q&amp;":"&amp;Q&amp;$B60&amp;Q&amp;","&amp;Q&amp;$C$2&amp;Q&amp;":"&amp;Q&amp;$C60&amp;Q&amp;","&amp;Q&amp;"sets"&amp;Q&amp;":"&amp;Q&amp;substitute(SUBSTITUTE($H60,"[",""),"]","")&amp;Q&amp;"},"</f>
        <v>"xmic":{"label":"A Surprise","extra":"Something that is unexpected, like a present from a friend.","sets":"Junior"},</v>
      </c>
      <c r="E60" s="9" t="str">
        <f t="shared" si="2"/>
        <v>data:image/svg+xml,%3csvg xmlns='http://www.w3.org/2000/svg' viewBox='0 0 24 216'%3e%3ctext fill='%23fff' style='font: 900 16px sans-serif' text-anchor='end' transform='matrix(0 -1 1 0 18 5)'%3eA Surprise%3c/text%3e%3c/svg%3e</v>
      </c>
      <c r="F60" s="14" t="str">
        <f t="shared" si="3"/>
        <v>https://svgtext.heliohost.us/cgi-bin/gen.perl?text=A%20Surprise</v>
      </c>
      <c r="G60" s="11" t="str">
        <f t="shared" si="4"/>
        <v>data:image/svg+xml,%3csvg xmlns='http://www.w3.org/2000/svg' viewBox='0 0 24 216'%3e%3ctext fill='%23fff' style='font: 900 16px sans-serif' text-anchor='end' transform='matrix(0 -1 1 0 18 5)'%3eA Surprise%3c/text%3e%3c/svg%3e</v>
      </c>
      <c r="H60" s="8" t="s">
        <v>84</v>
      </c>
      <c r="I60" s="8">
        <f t="shared" ref="I60:J60" si="61">len(B60)</f>
        <v>10</v>
      </c>
      <c r="J60" s="8">
        <f t="shared" si="61"/>
        <v>59</v>
      </c>
      <c r="K60" s="8" t="s">
        <v>1930</v>
      </c>
    </row>
    <row r="61">
      <c r="A61" s="7" t="b">
        <v>1</v>
      </c>
      <c r="B61" s="8" t="s">
        <v>1931</v>
      </c>
      <c r="C61" s="8" t="s">
        <v>1932</v>
      </c>
      <c r="D61" s="8" t="str">
        <f>Q&amp;$K61&amp;Q&amp;":{"&amp;Q&amp;$B$2&amp;Q&amp;":"&amp;Q&amp;$B61&amp;Q&amp;","&amp;Q&amp;$C$2&amp;Q&amp;":"&amp;Q&amp;$C61&amp;Q&amp;","&amp;Q&amp;"sets"&amp;Q&amp;":"&amp;Q&amp;substitute(SUBSTITUTE($H61,"[",""),"]","")&amp;Q&amp;"},"</f>
        <v>"ycjk":{"label":"A Swimming Pool","extra":"No diving in the shallow end.","sets":"Junior 9+ (1st) &amp; (2nd)"},</v>
      </c>
      <c r="E61" s="9" t="str">
        <f t="shared" si="2"/>
        <v>data:image/svg+xml,%3csvg xmlns='http://www.w3.org/2000/svg' viewBox='0 0 24 216'%3e%3ctext fill='%23fff' style='font: 900 16px sans-serif' text-anchor='end' transform='matrix(0 -1 1 0 18 5)'%3eA Swimming Pool%3c/text%3e%3c/svg%3e</v>
      </c>
      <c r="F61" s="14" t="str">
        <f t="shared" si="3"/>
        <v>https://svgtext.heliohost.us/cgi-bin/gen.perl?text=A%20Swimming%20Pool</v>
      </c>
      <c r="G61" s="11" t="str">
        <f t="shared" si="4"/>
        <v>data:image/svg+xml,%3csvg xmlns='http://www.w3.org/2000/svg' viewBox='0 0 24 216'%3e%3ctext fill='%23fff' style='font: 900 16px sans-serif' text-anchor='end' transform='matrix(0 -1 1 0 18 5)'%3eA Swimming Pool%3c/text%3e%3c/svg%3e</v>
      </c>
      <c r="H61" s="8" t="s">
        <v>42</v>
      </c>
      <c r="I61" s="8">
        <f t="shared" ref="I61:J61" si="62">len(B61)</f>
        <v>15</v>
      </c>
      <c r="J61" s="8">
        <f t="shared" si="62"/>
        <v>29</v>
      </c>
      <c r="K61" s="8" t="s">
        <v>1933</v>
      </c>
    </row>
    <row r="62">
      <c r="A62" s="7" t="b">
        <v>0</v>
      </c>
      <c r="B62" s="8" t="s">
        <v>1934</v>
      </c>
      <c r="C62" s="8" t="s">
        <v>1935</v>
      </c>
      <c r="D62" s="8" t="str">
        <f>Q&amp;$K62&amp;Q&amp;":{"&amp;Q&amp;$B$2&amp;Q&amp;":"&amp;Q&amp;$B62&amp;Q&amp;","&amp;Q&amp;$C$2&amp;Q&amp;":"&amp;Q&amp;$C62&amp;Q&amp;","&amp;Q&amp;"sets"&amp;Q&amp;":"&amp;Q&amp;substitute(SUBSTITUTE($H62,"[",""),"]","")&amp;Q&amp;"},"</f>
        <v>"hdeo":{"label":"A Tree House","extra":"Your first high-rise apartment.","sets":"Expansion Set 1, Party Set"},</v>
      </c>
      <c r="E62" s="9" t="str">
        <f t="shared" si="2"/>
        <v>data:image/svg+xml,%3csvg xmlns='http://www.w3.org/2000/svg' viewBox='0 0 24 216'%3e%3ctext fill='%23fff' style='font: 900 16px sans-serif' text-anchor='end' transform='matrix(0 -1 1 0 18 5)'%3eA Tree House%3c/text%3e%3c/svg%3e</v>
      </c>
      <c r="F62" s="14" t="str">
        <f t="shared" si="3"/>
        <v>https://svgtext.heliohost.us/cgi-bin/gen.perl?text=A%20Tree%20House</v>
      </c>
      <c r="G62" s="11" t="str">
        <f t="shared" si="4"/>
        <v>data:image/svg+xml,%3csvg xmlns='http://www.w3.org/2000/svg' viewBox='0 0 24 216'%3e%3ctext fill='%23fff' style='font: 900 16px sans-serif' text-anchor='end' transform='matrix(0 -1 1 0 18 5)'%3eA Tree House%3c/text%3e%3c/svg%3e</v>
      </c>
      <c r="H62" s="8" t="s">
        <v>25</v>
      </c>
      <c r="I62" s="8">
        <f t="shared" ref="I62:J62" si="63">len(B62)</f>
        <v>12</v>
      </c>
      <c r="J62" s="8">
        <f t="shared" si="63"/>
        <v>31</v>
      </c>
      <c r="K62" s="8" t="s">
        <v>1936</v>
      </c>
    </row>
    <row r="63">
      <c r="A63" s="7" t="b">
        <v>0</v>
      </c>
      <c r="B63" s="8" t="s">
        <v>1937</v>
      </c>
      <c r="C63" s="7" t="s">
        <v>1938</v>
      </c>
      <c r="D63" s="8" t="str">
        <f>Q&amp;$K63&amp;Q&amp;":{"&amp;Q&amp;$B$2&amp;Q&amp;":"&amp;Q&amp;$B63&amp;Q&amp;","&amp;Q&amp;$C$2&amp;Q&amp;":"&amp;Q&amp;$C63&amp;Q&amp;","&amp;Q&amp;"sets"&amp;Q&amp;":"&amp;Q&amp;substitute(SUBSTITUTE($H63,"[",""),"]","")&amp;Q&amp;"},"</f>
        <v>"tvaa":{"label":"A Used Car Lot","extra":"One of the most honest places around. Honest…","sets":"Basic Set, Party Set"},</v>
      </c>
      <c r="E63" s="9" t="str">
        <f t="shared" si="2"/>
        <v>data:image/svg+xml,%3csvg xmlns='http://www.w3.org/2000/svg' viewBox='0 0 24 216'%3e%3ctext fill='%23fff' style='font: 900 16px sans-serif' text-anchor='end' transform='matrix(0 -1 1 0 18 5)'%3eA Used Car Lot%3c/text%3e%3c/svg%3e</v>
      </c>
      <c r="F63" s="14" t="str">
        <f t="shared" si="3"/>
        <v>https://svgtext.heliohost.us/cgi-bin/gen.perl?text=A%20Used%20Car%20Lot</v>
      </c>
      <c r="G63" s="11" t="str">
        <f t="shared" si="4"/>
        <v>data:image/svg+xml,%3csvg xmlns='http://www.w3.org/2000/svg' viewBox='0 0 24 216'%3e%3ctext fill='%23fff' style='font: 900 16px sans-serif' text-anchor='end' transform='matrix(0 -1 1 0 18 5)'%3eA Used Car Lot%3c/text%3e%3c/svg%3e</v>
      </c>
      <c r="H63" s="8" t="s">
        <v>29</v>
      </c>
      <c r="I63" s="8">
        <f t="shared" ref="I63:J63" si="64">len(B63)</f>
        <v>14</v>
      </c>
      <c r="J63" s="8">
        <f t="shared" si="64"/>
        <v>45</v>
      </c>
      <c r="K63" s="8" t="s">
        <v>1939</v>
      </c>
    </row>
    <row r="64">
      <c r="A64" s="7" t="b">
        <v>1</v>
      </c>
      <c r="B64" s="8" t="s">
        <v>1940</v>
      </c>
      <c r="C64" s="8" t="s">
        <v>1941</v>
      </c>
      <c r="D64" s="8" t="str">
        <f>Q&amp;$K64&amp;Q&amp;":{"&amp;Q&amp;$B$2&amp;Q&amp;":"&amp;Q&amp;$B64&amp;Q&amp;","&amp;Q&amp;$C$2&amp;Q&amp;":"&amp;Q&amp;$C64&amp;Q&amp;","&amp;Q&amp;"sets"&amp;Q&amp;":"&amp;Q&amp;substitute(SUBSTITUTE($H64,"[",""),"]","")&amp;Q&amp;"},"</f>
        <v>"gxzr":{"label":"A Volcano","extra":"Hot lava!","sets":"Junior 9+ (1st) &amp; (2nd)"},</v>
      </c>
      <c r="E64" s="9" t="str">
        <f t="shared" si="2"/>
        <v>data:image/svg+xml,%3csvg xmlns='http://www.w3.org/2000/svg' viewBox='0 0 24 216'%3e%3ctext fill='%23fff' style='font: 900 16px sans-serif' text-anchor='end' transform='matrix(0 -1 1 0 18 5)'%3eA Volcano%3c/text%3e%3c/svg%3e</v>
      </c>
      <c r="F64" s="14" t="str">
        <f t="shared" si="3"/>
        <v>https://svgtext.heliohost.us/cgi-bin/gen.perl?text=A%20Volcano</v>
      </c>
      <c r="G64" s="11" t="str">
        <f t="shared" si="4"/>
        <v>data:image/svg+xml,%3csvg xmlns='http://www.w3.org/2000/svg' viewBox='0 0 24 216'%3e%3ctext fill='%23fff' style='font: 900 16px sans-serif' text-anchor='end' transform='matrix(0 -1 1 0 18 5)'%3eA Volcano%3c/text%3e%3c/svg%3e</v>
      </c>
      <c r="H64" s="8" t="s">
        <v>42</v>
      </c>
      <c r="I64" s="8">
        <f t="shared" ref="I64:J64" si="65">len(B64)</f>
        <v>9</v>
      </c>
      <c r="J64" s="8">
        <f t="shared" si="65"/>
        <v>9</v>
      </c>
      <c r="K64" s="8" t="s">
        <v>1942</v>
      </c>
    </row>
    <row r="65">
      <c r="A65" s="7" t="b">
        <v>1</v>
      </c>
      <c r="B65" s="8" t="s">
        <v>1943</v>
      </c>
      <c r="C65" s="7" t="s">
        <v>1944</v>
      </c>
      <c r="D65" s="8" t="str">
        <f>Q&amp;$K65&amp;Q&amp;":{"&amp;Q&amp;$B$2&amp;Q&amp;":"&amp;Q&amp;$B65&amp;Q&amp;","&amp;Q&amp;$C$2&amp;Q&amp;":"&amp;Q&amp;$C65&amp;Q&amp;","&amp;Q&amp;"sets"&amp;Q&amp;":"&amp;Q&amp;substitute(SUBSTITUTE($H65,"[",""),"]","")&amp;Q&amp;"},"</f>
        <v>"ryks":{"label":"Abbot &amp; Costello","extra":"Comedy team who had everyone guessing “Who's on first?”","sets":"Expansion Set 4, Party Expansion 1"},</v>
      </c>
      <c r="E65" s="9" t="str">
        <f t="shared" si="2"/>
        <v>data:image/svg+xml,%3csvg xmlns='http://www.w3.org/2000/svg' viewBox='0 0 24 216'%3e%3ctext fill='%23fff' style='font: 900 16px sans-serif' text-anchor='end' transform='matrix(0 -1 1 0 18 5)'%3eAbbot %26amp%3B Costello%3c/text%3e%3c/svg%3e</v>
      </c>
      <c r="F65" s="14" t="str">
        <f t="shared" si="3"/>
        <v>https://svgtext.heliohost.us/cgi-bin/gen.perl?text=Abbot%20%26%20Costello</v>
      </c>
      <c r="G65" s="11" t="str">
        <f t="shared" si="4"/>
        <v>data:image/svg+xml,%3csvg xmlns='http://www.w3.org/2000/svg' viewBox='0 0 24 216'%3e%3ctext fill='%23fff' style='font: 900 16px sans-serif' text-anchor='end' transform='matrix(0 -1 1 0 18 5)'%3eAbbot %26amp%3B Costello%3c/text%3e%3c/svg%3e</v>
      </c>
      <c r="H65" s="8" t="s">
        <v>63</v>
      </c>
      <c r="I65" s="8">
        <f t="shared" ref="I65:J65" si="66">len(B65)</f>
        <v>16</v>
      </c>
      <c r="J65" s="8">
        <f t="shared" si="66"/>
        <v>55</v>
      </c>
      <c r="K65" s="8" t="s">
        <v>1945</v>
      </c>
    </row>
    <row r="66">
      <c r="A66" s="7" t="b">
        <v>0</v>
      </c>
      <c r="B66" s="8" t="s">
        <v>1946</v>
      </c>
      <c r="C66" s="8" t="s">
        <v>1947</v>
      </c>
      <c r="D66" s="8" t="str">
        <f>Q&amp;$K66&amp;Q&amp;":{"&amp;Q&amp;$B$2&amp;Q&amp;":"&amp;Q&amp;$B66&amp;Q&amp;","&amp;Q&amp;$C$2&amp;Q&amp;":"&amp;Q&amp;$C66&amp;Q&amp;","&amp;Q&amp;"sets"&amp;Q&amp;":"&amp;Q&amp;substitute(SUBSTITUTE($H66,"[",""),"]","")&amp;Q&amp;"},"</f>
        <v>"tycl":{"label":"Abraham Lincoln","extra":"1809-65, 16th U.S. president, led the Union to victory in the American Civil War and abolished slavery. Was assassinated for his efforts.","sets":"Basic Set, Party Set"},</v>
      </c>
      <c r="E66" s="9" t="str">
        <f t="shared" si="2"/>
        <v>data:image/svg+xml,%3csvg xmlns='http://www.w3.org/2000/svg' viewBox='0 0 24 216'%3e%3ctext fill='%23fff' style='font: 900 16px sans-serif' text-anchor='end' transform='matrix(0 -1 1 0 18 5)'%3eAbraham Lincoln%3c/text%3e%3c/svg%3e</v>
      </c>
      <c r="F66" s="14" t="str">
        <f t="shared" si="3"/>
        <v>https://svgtext.heliohost.us/cgi-bin/gen.perl?text=Abraham%20Lincoln</v>
      </c>
      <c r="G66" s="11" t="str">
        <f t="shared" si="4"/>
        <v>data:image/svg+xml,%3csvg xmlns='http://www.w3.org/2000/svg' viewBox='0 0 24 216'%3e%3ctext fill='%23fff' style='font: 900 16px sans-serif' text-anchor='end' transform='matrix(0 -1 1 0 18 5)'%3eAbraham Lincoln%3c/text%3e%3c/svg%3e</v>
      </c>
      <c r="H66" s="8" t="s">
        <v>29</v>
      </c>
      <c r="I66" s="8">
        <f t="shared" ref="I66:J66" si="67">len(B66)</f>
        <v>15</v>
      </c>
      <c r="J66" s="8">
        <f t="shared" si="67"/>
        <v>137</v>
      </c>
      <c r="K66" s="8" t="s">
        <v>1948</v>
      </c>
    </row>
    <row r="67">
      <c r="A67" s="7" t="b">
        <v>0</v>
      </c>
      <c r="B67" s="8" t="s">
        <v>1946</v>
      </c>
      <c r="C67" s="7" t="s">
        <v>1949</v>
      </c>
      <c r="D67" s="8" t="str">
        <f>Q&amp;$K67&amp;Q&amp;":{"&amp;Q&amp;$B$2&amp;Q&amp;":"&amp;Q&amp;$B67&amp;Q&amp;","&amp;Q&amp;$C$2&amp;Q&amp;":"&amp;Q&amp;$C67&amp;Q&amp;","&amp;Q&amp;"sets"&amp;Q&amp;":"&amp;Q&amp;substitute(SUBSTITUTE($H67,"[",""),"]","")&amp;Q&amp;"},"</f>
        <v>"wgkg":{"label":"Abraham Lincoln","extra":"President of the U.S. during the Civil War. He was called “Honest Abe.”","sets":"Junior 9+ (1st) &amp; (2nd)"},</v>
      </c>
      <c r="E67" s="9" t="str">
        <f t="shared" si="2"/>
        <v>data:image/svg+xml,%3csvg xmlns='http://www.w3.org/2000/svg' viewBox='0 0 24 216'%3e%3ctext fill='%23fff' style='font: 900 16px sans-serif' text-anchor='end' transform='matrix(0 -1 1 0 18 5)'%3eAbraham Lincoln%3c/text%3e%3c/svg%3e</v>
      </c>
      <c r="F67" s="14" t="str">
        <f t="shared" si="3"/>
        <v>https://svgtext.heliohost.us/cgi-bin/gen.perl?text=Abraham%20Lincoln</v>
      </c>
      <c r="G67" s="11" t="str">
        <f t="shared" si="4"/>
        <v>data:image/svg+xml,%3csvg xmlns='http://www.w3.org/2000/svg' viewBox='0 0 24 216'%3e%3ctext fill='%23fff' style='font: 900 16px sans-serif' text-anchor='end' transform='matrix(0 -1 1 0 18 5)'%3eAbraham Lincoln%3c/text%3e%3c/svg%3e</v>
      </c>
      <c r="H67" s="8" t="s">
        <v>42</v>
      </c>
      <c r="I67" s="8">
        <f t="shared" ref="I67:J67" si="68">len(B67)</f>
        <v>15</v>
      </c>
      <c r="J67" s="8">
        <f t="shared" si="68"/>
        <v>71</v>
      </c>
      <c r="K67" s="8" t="s">
        <v>1950</v>
      </c>
    </row>
    <row r="68">
      <c r="A68" s="7" t="b">
        <v>1</v>
      </c>
      <c r="B68" s="8" t="s">
        <v>1951</v>
      </c>
      <c r="C68" s="7" t="s">
        <v>1952</v>
      </c>
      <c r="D68" s="8" t="str">
        <f>Q&amp;$K68&amp;Q&amp;":{"&amp;Q&amp;$B$2&amp;Q&amp;":"&amp;Q&amp;$B68&amp;Q&amp;","&amp;Q&amp;$C$2&amp;Q&amp;":"&amp;Q&amp;$C68&amp;Q&amp;","&amp;Q&amp;"sets"&amp;Q&amp;":"&amp;Q&amp;substitute(SUBSTITUTE($H68,"[",""),"]","")&amp;Q&amp;"},"</f>
        <v>"ejzn":{"label":"Actors","extra":"If they’re really good, you can’t tell they’re acting.","sets":"Junior 9+ (2nd)"},</v>
      </c>
      <c r="E68" s="9" t="str">
        <f t="shared" si="2"/>
        <v>data:image/svg+xml,%3csvg xmlns='http://www.w3.org/2000/svg' viewBox='0 0 24 216'%3e%3ctext fill='%23fff' style='font: 900 16px sans-serif' text-anchor='end' transform='matrix(0 -1 1 0 18 5)'%3eActors%3c/text%3e%3c/svg%3e</v>
      </c>
      <c r="F68" s="14" t="str">
        <f t="shared" si="3"/>
        <v>https://svgtext.heliohost.us/cgi-bin/gen.perl?text=Actors</v>
      </c>
      <c r="G68" s="11" t="str">
        <f t="shared" si="4"/>
        <v>data:image/svg+xml,%3csvg xmlns='http://www.w3.org/2000/svg' viewBox='0 0 24 216'%3e%3ctext fill='%23fff' style='font: 900 16px sans-serif' text-anchor='end' transform='matrix(0 -1 1 0 18 5)'%3eActors%3c/text%3e%3c/svg%3e</v>
      </c>
      <c r="H68" s="8" t="s">
        <v>32</v>
      </c>
      <c r="I68" s="8">
        <f t="shared" ref="I68:J68" si="69">len(B68)</f>
        <v>6</v>
      </c>
      <c r="J68" s="8">
        <f t="shared" si="69"/>
        <v>54</v>
      </c>
      <c r="K68" s="8" t="s">
        <v>1953</v>
      </c>
    </row>
    <row r="69">
      <c r="A69" s="7" t="b">
        <v>1</v>
      </c>
      <c r="B69" s="8" t="s">
        <v>1954</v>
      </c>
      <c r="C69" s="7" t="s">
        <v>1955</v>
      </c>
      <c r="D69" s="8" t="str">
        <f>Q&amp;$K69&amp;Q&amp;":{"&amp;Q&amp;$B$2&amp;Q&amp;":"&amp;Q&amp;$B69&amp;Q&amp;","&amp;Q&amp;$C$2&amp;Q&amp;":"&amp;Q&amp;$C69&amp;Q&amp;","&amp;Q&amp;"sets"&amp;Q&amp;":"&amp;Q&amp;substitute(SUBSTITUTE($H69,"[",""),"]","")&amp;Q&amp;"},"</f>
        <v>"pmbp":{"label":"Actresses","extra":"“O Romeo, Romeo, wherefore art thou Romeo?”—Romeo and Juliet by William Shakespeare","sets":"Junior 9+ (2nd)"},</v>
      </c>
      <c r="E69" s="9" t="str">
        <f t="shared" si="2"/>
        <v>data:image/svg+xml,%3csvg xmlns='http://www.w3.org/2000/svg' viewBox='0 0 24 216'%3e%3ctext fill='%23fff' style='font: 900 16px sans-serif' text-anchor='end' transform='matrix(0 -1 1 0 18 5)'%3eActresses%3c/text%3e%3c/svg%3e</v>
      </c>
      <c r="F69" s="14" t="str">
        <f t="shared" si="3"/>
        <v>https://svgtext.heliohost.us/cgi-bin/gen.perl?text=Actresses</v>
      </c>
      <c r="G69" s="11" t="str">
        <f t="shared" si="4"/>
        <v>data:image/svg+xml,%3csvg xmlns='http://www.w3.org/2000/svg' viewBox='0 0 24 216'%3e%3ctext fill='%23fff' style='font: 900 16px sans-serif' text-anchor='end' transform='matrix(0 -1 1 0 18 5)'%3eActresses%3c/text%3e%3c/svg%3e</v>
      </c>
      <c r="H69" s="8" t="s">
        <v>32</v>
      </c>
      <c r="I69" s="8">
        <f t="shared" ref="I69:J69" si="70">len(B69)</f>
        <v>9</v>
      </c>
      <c r="J69" s="8">
        <f t="shared" si="70"/>
        <v>83</v>
      </c>
      <c r="K69" s="8" t="s">
        <v>1956</v>
      </c>
    </row>
    <row r="70">
      <c r="A70" s="7" t="b">
        <v>0</v>
      </c>
      <c r="B70" s="8" t="s">
        <v>1957</v>
      </c>
      <c r="C70" s="8" t="s">
        <v>1958</v>
      </c>
      <c r="D70" s="8" t="str">
        <f>Q&amp;$K70&amp;Q&amp;":{"&amp;Q&amp;$B$2&amp;Q&amp;":"&amp;Q&amp;$B70&amp;Q&amp;","&amp;Q&amp;$C$2&amp;Q&amp;":"&amp;Q&amp;$C70&amp;Q&amp;","&amp;Q&amp;"sets"&amp;Q&amp;":"&amp;Q&amp;substitute(SUBSTITUTE($H70,"[",""),"]","")&amp;Q&amp;"},"</f>
        <v>"bymr":{"label":"Adam &amp; Eve","extra":"A relationship of Biblical proportions.","sets":"Expansion Set 4, Party Expansion 1"},</v>
      </c>
      <c r="E70" s="9" t="str">
        <f t="shared" si="2"/>
        <v>data:image/svg+xml,%3csvg xmlns='http://www.w3.org/2000/svg' viewBox='0 0 24 216'%3e%3ctext fill='%23fff' style='font: 900 16px sans-serif' text-anchor='end' transform='matrix(0 -1 1 0 18 5)'%3eAdam %26amp%3B Eve%3c/text%3e%3c/svg%3e</v>
      </c>
      <c r="F70" s="14" t="str">
        <f t="shared" si="3"/>
        <v>https://svgtext.heliohost.us/cgi-bin/gen.perl?text=Adam%20%26%20Eve</v>
      </c>
      <c r="G70" s="11" t="str">
        <f t="shared" si="4"/>
        <v>data:image/svg+xml,%3csvg xmlns='http://www.w3.org/2000/svg' viewBox='0 0 24 216'%3e%3ctext fill='%23fff' style='font: 900 16px sans-serif' text-anchor='end' transform='matrix(0 -1 1 0 18 5)'%3eAdam %26amp%3B Eve%3c/text%3e%3c/svg%3e</v>
      </c>
      <c r="H70" s="8" t="s">
        <v>63</v>
      </c>
      <c r="I70" s="8">
        <f t="shared" ref="I70:J70" si="71">len(B70)</f>
        <v>10</v>
      </c>
      <c r="J70" s="8">
        <f t="shared" si="71"/>
        <v>39</v>
      </c>
      <c r="K70" s="8" t="s">
        <v>1959</v>
      </c>
    </row>
    <row r="71">
      <c r="A71" s="7" t="b">
        <v>0</v>
      </c>
      <c r="B71" s="8" t="s">
        <v>1960</v>
      </c>
      <c r="C71" s="7" t="s">
        <v>1961</v>
      </c>
      <c r="D71" s="8" t="str">
        <f>Q&amp;$K71&amp;Q&amp;":{"&amp;Q&amp;$B$2&amp;Q&amp;":"&amp;Q&amp;$B71&amp;Q&amp;","&amp;Q&amp;$C$2&amp;Q&amp;":"&amp;Q&amp;$C71&amp;Q&amp;","&amp;Q&amp;"sets"&amp;Q&amp;":"&amp;Q&amp;substitute(SUBSTITUTE($H71,"[",""),"]","")&amp;Q&amp;"},"</f>
        <v>"rskj":{"label":"Adam Sandler","extra":"1966-, American comedian, film star, and Saturday Night Live alumnus. Genius or goofballyou make the call.","sets":"Expansion Set 2, Party Set"},</v>
      </c>
      <c r="E71" s="9" t="str">
        <f t="shared" si="2"/>
        <v>data:image/svg+xml,%3csvg xmlns='http://www.w3.org/2000/svg' viewBox='0 0 24 216'%3e%3ctext fill='%23fff' style='font: 900 16px sans-serif' text-anchor='end' transform='matrix(0 -1 1 0 18 5)'%3eAdam Sandler%3c/text%3e%3c/svg%3e</v>
      </c>
      <c r="F71" s="14" t="str">
        <f t="shared" si="3"/>
        <v>https://svgtext.heliohost.us/cgi-bin/gen.perl?text=Adam%20Sandler</v>
      </c>
      <c r="G71" s="11" t="str">
        <f t="shared" si="4"/>
        <v>data:image/svg+xml,%3csvg xmlns='http://www.w3.org/2000/svg' viewBox='0 0 24 216'%3e%3ctext fill='%23fff' style='font: 900 16px sans-serif' text-anchor='end' transform='matrix(0 -1 1 0 18 5)'%3eAdam Sandler%3c/text%3e%3c/svg%3e</v>
      </c>
      <c r="H71" s="8" t="s">
        <v>17</v>
      </c>
      <c r="I71" s="8">
        <f t="shared" ref="I71:J71" si="72">len(B71)</f>
        <v>12</v>
      </c>
      <c r="J71" s="8">
        <f t="shared" si="72"/>
        <v>106</v>
      </c>
      <c r="K71" s="8" t="s">
        <v>1962</v>
      </c>
    </row>
    <row r="72">
      <c r="A72" s="7" t="b">
        <v>0</v>
      </c>
      <c r="B72" s="8" t="s">
        <v>1963</v>
      </c>
      <c r="C72" s="8" t="s">
        <v>1964</v>
      </c>
      <c r="D72" s="8" t="str">
        <f>Q&amp;$K72&amp;Q&amp;":{"&amp;Q&amp;$B$2&amp;Q&amp;":"&amp;Q&amp;$B72&amp;Q&amp;","&amp;Q&amp;$C$2&amp;Q&amp;":"&amp;Q&amp;$C72&amp;Q&amp;","&amp;Q&amp;"sets"&amp;Q&amp;":"&amp;Q&amp;substitute(SUBSTITUTE($H72,"[",""),"]","")&amp;Q&amp;"},"</f>
        <v>"yyhv":{"label":"Adolph Hitler","extra":"1889-1945, turned Germany into a militarized dictatorship, caused the slaughter of millions and launched World War II.","sets":"Basic Set, Party Set"},</v>
      </c>
      <c r="E72" s="9" t="str">
        <f t="shared" si="2"/>
        <v>data:image/svg+xml,%3csvg xmlns='http://www.w3.org/2000/svg' viewBox='0 0 24 216'%3e%3ctext fill='%23fff' style='font: 900 16px sans-serif' text-anchor='end' transform='matrix(0 -1 1 0 18 5)'%3eAdolph Hitler%3c/text%3e%3c/svg%3e</v>
      </c>
      <c r="F72" s="14" t="str">
        <f t="shared" si="3"/>
        <v>https://svgtext.heliohost.us/cgi-bin/gen.perl?text=Adolph%20Hitler</v>
      </c>
      <c r="G72" s="11" t="str">
        <f t="shared" si="4"/>
        <v>data:image/svg+xml,%3csvg xmlns='http://www.w3.org/2000/svg' viewBox='0 0 24 216'%3e%3ctext fill='%23fff' style='font: 900 16px sans-serif' text-anchor='end' transform='matrix(0 -1 1 0 18 5)'%3eAdolph Hitler%3c/text%3e%3c/svg%3e</v>
      </c>
      <c r="H72" s="8" t="s">
        <v>29</v>
      </c>
      <c r="I72" s="8">
        <f t="shared" ref="I72:J72" si="73">len(B72)</f>
        <v>13</v>
      </c>
      <c r="J72" s="8">
        <f t="shared" si="73"/>
        <v>118</v>
      </c>
      <c r="K72" s="8" t="s">
        <v>1965</v>
      </c>
    </row>
    <row r="73">
      <c r="A73" s="7" t="b">
        <v>1</v>
      </c>
      <c r="B73" s="8" t="s">
        <v>1966</v>
      </c>
      <c r="C73" s="8" t="s">
        <v>1967</v>
      </c>
      <c r="D73" s="8" t="str">
        <f>Q&amp;$K73&amp;Q&amp;":{"&amp;Q&amp;$B$2&amp;Q&amp;":"&amp;Q&amp;$B73&amp;Q&amp;","&amp;Q&amp;$C$2&amp;Q&amp;":"&amp;Q&amp;$C73&amp;Q&amp;","&amp;Q&amp;"sets"&amp;Q&amp;":"&amp;Q&amp;substitute(SUBSTITUTE($H73,"[",""),"]","")&amp;Q&amp;"},"</f>
        <v>"qnad":{"label":"Africa","extra":"The continent located between the Atlantic Ocean and Indian Ocean.","sets":"Junior 9+ (1st) &amp; (2nd)"},</v>
      </c>
      <c r="E73" s="9" t="str">
        <f t="shared" si="2"/>
        <v>data:image/svg+xml,%3csvg xmlns='http://www.w3.org/2000/svg' viewBox='0 0 24 216'%3e%3ctext fill='%23fff' style='font: 900 16px sans-serif' text-anchor='end' transform='matrix(0 -1 1 0 18 5)'%3eAfrica%3c/text%3e%3c/svg%3e</v>
      </c>
      <c r="F73" s="14" t="str">
        <f t="shared" si="3"/>
        <v>https://svgtext.heliohost.us/cgi-bin/gen.perl?text=Africa</v>
      </c>
      <c r="G73" s="11" t="str">
        <f t="shared" si="4"/>
        <v>data:image/svg+xml,%3csvg xmlns='http://www.w3.org/2000/svg' viewBox='0 0 24 216'%3e%3ctext fill='%23fff' style='font: 900 16px sans-serif' text-anchor='end' transform='matrix(0 -1 1 0 18 5)'%3eAfrica%3c/text%3e%3c/svg%3e</v>
      </c>
      <c r="H73" s="8" t="s">
        <v>42</v>
      </c>
      <c r="I73" s="8">
        <f t="shared" ref="I73:J73" si="74">len(B73)</f>
        <v>6</v>
      </c>
      <c r="J73" s="8">
        <f t="shared" si="74"/>
        <v>66</v>
      </c>
      <c r="K73" s="8" t="s">
        <v>1968</v>
      </c>
    </row>
    <row r="74">
      <c r="A74" s="7" t="b">
        <v>0</v>
      </c>
      <c r="B74" s="8" t="s">
        <v>1969</v>
      </c>
      <c r="C74" s="8" t="s">
        <v>1970</v>
      </c>
      <c r="D74" s="8" t="str">
        <f>Q&amp;$K74&amp;Q&amp;":{"&amp;Q&amp;$B$2&amp;Q&amp;":"&amp;Q&amp;$B74&amp;Q&amp;","&amp;Q&amp;$C$2&amp;Q&amp;":"&amp;Q&amp;$C74&amp;Q&amp;","&amp;Q&amp;"sets"&amp;Q&amp;":"&amp;Q&amp;substitute(SUBSTITUTE($H74,"[",""),"]","")&amp;Q&amp;"},"</f>
        <v>"vlzp":{"label":"AIDS","extra":"Acquired Immune Deficiency Syndrome.","sets":"Expansion Set 2, Party Set"},</v>
      </c>
      <c r="E74" s="9" t="str">
        <f t="shared" si="2"/>
        <v>data:image/svg+xml,%3csvg xmlns='http://www.w3.org/2000/svg' viewBox='0 0 24 216'%3e%3ctext fill='%23fff' style='font: 900 16px sans-serif' text-anchor='end' transform='matrix(0 -1 1 0 18 5)'%3eAIDS%3c/text%3e%3c/svg%3e</v>
      </c>
      <c r="F74" s="14" t="str">
        <f t="shared" si="3"/>
        <v>https://svgtext.heliohost.us/cgi-bin/gen.perl?text=AIDS</v>
      </c>
      <c r="G74" s="11" t="str">
        <f t="shared" si="4"/>
        <v>data:image/svg+xml,%3csvg xmlns='http://www.w3.org/2000/svg' viewBox='0 0 24 216'%3e%3ctext fill='%23fff' style='font: 900 16px sans-serif' text-anchor='end' transform='matrix(0 -1 1 0 18 5)'%3eAIDS%3c/text%3e%3c/svg%3e</v>
      </c>
      <c r="H74" s="8" t="s">
        <v>17</v>
      </c>
      <c r="I74" s="8">
        <f t="shared" ref="I74:J74" si="75">len(B74)</f>
        <v>4</v>
      </c>
      <c r="J74" s="8">
        <f t="shared" si="75"/>
        <v>36</v>
      </c>
      <c r="K74" s="8" t="s">
        <v>1971</v>
      </c>
    </row>
    <row r="75">
      <c r="A75" s="7" t="b">
        <v>0</v>
      </c>
      <c r="B75" s="8" t="s">
        <v>1972</v>
      </c>
      <c r="C75" s="8" t="s">
        <v>1973</v>
      </c>
      <c r="D75" s="8" t="str">
        <f>Q&amp;$K75&amp;Q&amp;":{"&amp;Q&amp;$B$2&amp;Q&amp;":"&amp;Q&amp;$B75&amp;Q&amp;","&amp;Q&amp;$C$2&amp;Q&amp;":"&amp;Q&amp;$C75&amp;Q&amp;","&amp;Q&amp;"sets"&amp;Q&amp;":"&amp;Q&amp;substitute(SUBSTITUTE($H75,"[",""),"]","")&amp;Q&amp;"},"</f>
        <v>"txyk":{"label":"Airline Food","extra":"Since when is a bag of peanuts considered a meal?","sets":"Expansion Set 1, Party Set"},</v>
      </c>
      <c r="E75" s="9" t="str">
        <f t="shared" si="2"/>
        <v>data:image/svg+xml,%3csvg xmlns='http://www.w3.org/2000/svg' viewBox='0 0 24 216'%3e%3ctext fill='%23fff' style='font: 900 16px sans-serif' text-anchor='end' transform='matrix(0 -1 1 0 18 5)'%3eAirline Food%3c/text%3e%3c/svg%3e</v>
      </c>
      <c r="F75" s="14" t="str">
        <f t="shared" si="3"/>
        <v>https://svgtext.heliohost.us/cgi-bin/gen.perl?text=Airline%20Food</v>
      </c>
      <c r="G75" s="11" t="str">
        <f t="shared" si="4"/>
        <v>data:image/svg+xml,%3csvg xmlns='http://www.w3.org/2000/svg' viewBox='0 0 24 216'%3e%3ctext fill='%23fff' style='font: 900 16px sans-serif' text-anchor='end' transform='matrix(0 -1 1 0 18 5)'%3eAirline Food%3c/text%3e%3c/svg%3e</v>
      </c>
      <c r="H75" s="8" t="s">
        <v>25</v>
      </c>
      <c r="I75" s="8">
        <f t="shared" ref="I75:J75" si="76">len(B75)</f>
        <v>12</v>
      </c>
      <c r="J75" s="8">
        <f t="shared" si="76"/>
        <v>49</v>
      </c>
      <c r="K75" s="8" t="s">
        <v>1974</v>
      </c>
    </row>
    <row r="76">
      <c r="A76" s="7" t="b">
        <v>1</v>
      </c>
      <c r="B76" s="8" t="s">
        <v>1975</v>
      </c>
      <c r="C76" s="7" t="s">
        <v>1976</v>
      </c>
      <c r="D76" s="8" t="str">
        <f>Q&amp;$K76&amp;Q&amp;":{"&amp;Q&amp;$B$2&amp;Q&amp;":"&amp;Q&amp;$B76&amp;Q&amp;","&amp;Q&amp;$C$2&amp;Q&amp;":"&amp;Q&amp;$C76&amp;Q&amp;","&amp;Q&amp;"sets"&amp;Q&amp;":"&amp;Q&amp;substitute(SUBSTITUTE($H76,"[",""),"]","")&amp;Q&amp;"},"</f>
        <v>"yu{n":{"label":"Airplane","extra":"The Wright Brothers were “wright” when they added power to a glider in order to make it fly.","sets":"Junior 9+ (2nd)"},</v>
      </c>
      <c r="E76" s="9" t="str">
        <f t="shared" si="2"/>
        <v>data:image/svg+xml,%3csvg xmlns='http://www.w3.org/2000/svg' viewBox='0 0 24 216'%3e%3ctext fill='%23fff' style='font: 900 16px sans-serif' text-anchor='end' transform='matrix(0 -1 1 0 18 5)'%3eAirplane%3c/text%3e%3c/svg%3e</v>
      </c>
      <c r="F76" s="14" t="str">
        <f t="shared" si="3"/>
        <v>https://svgtext.heliohost.us/cgi-bin/gen.perl?text=Airplane</v>
      </c>
      <c r="G76" s="11" t="str">
        <f t="shared" si="4"/>
        <v>data:image/svg+xml,%3csvg xmlns='http://www.w3.org/2000/svg' viewBox='0 0 24 216'%3e%3ctext fill='%23fff' style='font: 900 16px sans-serif' text-anchor='end' transform='matrix(0 -1 1 0 18 5)'%3eAirplane%3c/text%3e%3c/svg%3e</v>
      </c>
      <c r="H76" s="8" t="s">
        <v>32</v>
      </c>
      <c r="I76" s="8">
        <f t="shared" ref="I76:J76" si="77">len(B76)</f>
        <v>8</v>
      </c>
      <c r="J76" s="8">
        <f t="shared" si="77"/>
        <v>92</v>
      </c>
      <c r="K76" s="8" t="s">
        <v>1977</v>
      </c>
    </row>
    <row r="77">
      <c r="A77" s="7" t="b">
        <v>0</v>
      </c>
      <c r="B77" s="8" t="s">
        <v>1978</v>
      </c>
      <c r="C77" s="8" t="s">
        <v>1979</v>
      </c>
      <c r="D77" s="8" t="str">
        <f>Q&amp;$K77&amp;Q&amp;":{"&amp;Q&amp;$B$2&amp;Q&amp;":"&amp;Q&amp;$B77&amp;Q&amp;","&amp;Q&amp;$C$2&amp;Q&amp;":"&amp;Q&amp;$C77&amp;Q&amp;","&amp;Q&amp;"sets"&amp;Q&amp;":"&amp;Q&amp;substitute(SUBSTITUTE($H77,"[",""),"]","")&amp;Q&amp;"},"</f>
        <v>"kcde":{"label":"Airplanes","extra":"I want to sit by the window!","sets":"Junior"},</v>
      </c>
      <c r="E77" s="9" t="str">
        <f t="shared" si="2"/>
        <v>data:image/svg+xml,%3csvg xmlns='http://www.w3.org/2000/svg' viewBox='0 0 24 216'%3e%3ctext fill='%23fff' style='font: 900 16px sans-serif' text-anchor='end' transform='matrix(0 -1 1 0 18 5)'%3eAirplanes%3c/text%3e%3c/svg%3e</v>
      </c>
      <c r="F77" s="14" t="str">
        <f t="shared" si="3"/>
        <v>https://svgtext.heliohost.us/cgi-bin/gen.perl?text=Airplanes</v>
      </c>
      <c r="G77" s="11" t="str">
        <f t="shared" si="4"/>
        <v>data:image/svg+xml,%3csvg xmlns='http://www.w3.org/2000/svg' viewBox='0 0 24 216'%3e%3ctext fill='%23fff' style='font: 900 16px sans-serif' text-anchor='end' transform='matrix(0 -1 1 0 18 5)'%3eAirplanes%3c/text%3e%3c/svg%3e</v>
      </c>
      <c r="H77" s="8" t="s">
        <v>84</v>
      </c>
      <c r="I77" s="8">
        <f t="shared" ref="I77:J77" si="78">len(B77)</f>
        <v>9</v>
      </c>
      <c r="J77" s="8">
        <f t="shared" si="78"/>
        <v>28</v>
      </c>
      <c r="K77" s="8" t="s">
        <v>1980</v>
      </c>
    </row>
    <row r="78">
      <c r="A78" s="7" t="b">
        <v>0</v>
      </c>
      <c r="B78" s="8" t="s">
        <v>1981</v>
      </c>
      <c r="C78" s="7" t="s">
        <v>1982</v>
      </c>
      <c r="D78" s="8" t="str">
        <f>Q&amp;$K78&amp;Q&amp;":{"&amp;Q&amp;$B$2&amp;Q&amp;":"&amp;Q&amp;$B78&amp;Q&amp;","&amp;Q&amp;$C$2&amp;Q&amp;":"&amp;Q&amp;$C78&amp;Q&amp;","&amp;Q&amp;"sets"&amp;Q&amp;":"&amp;Q&amp;substitute(SUBSTITUTE($H78,"[",""),"]","")&amp;Q&amp;"},"</f>
        <v>"gauy":{"label":"Al Pacino","extra":"1940-, Oscar winning American actor and star of “The Godfather,” “Dog Day Afternoon” and “Scent Of A Woman.” One very intense guy.","sets":"Expansion Set 1, Party Set"},</v>
      </c>
      <c r="E78" s="9" t="str">
        <f t="shared" si="2"/>
        <v>data:image/svg+xml,%3csvg xmlns='http://www.w3.org/2000/svg' viewBox='0 0 24 216'%3e%3ctext fill='%23fff' style='font: 900 16px sans-serif' text-anchor='end' transform='matrix(0 -1 1 0 18 5)'%3eAl Pacino%3c/text%3e%3c/svg%3e</v>
      </c>
      <c r="F78" s="14" t="str">
        <f t="shared" si="3"/>
        <v>https://svgtext.heliohost.us/cgi-bin/gen.perl?text=Al%20Pacino</v>
      </c>
      <c r="G78" s="11" t="str">
        <f t="shared" si="4"/>
        <v>data:image/svg+xml,%3csvg xmlns='http://www.w3.org/2000/svg' viewBox='0 0 24 216'%3e%3ctext fill='%23fff' style='font: 900 16px sans-serif' text-anchor='end' transform='matrix(0 -1 1 0 18 5)'%3eAl Pacino%3c/text%3e%3c/svg%3e</v>
      </c>
      <c r="H78" s="8" t="s">
        <v>25</v>
      </c>
      <c r="I78" s="8">
        <f t="shared" ref="I78:J78" si="79">len(B78)</f>
        <v>9</v>
      </c>
      <c r="J78" s="8">
        <f t="shared" si="79"/>
        <v>130</v>
      </c>
      <c r="K78" s="8" t="s">
        <v>1983</v>
      </c>
    </row>
    <row r="79">
      <c r="A79" s="7" t="b">
        <v>1</v>
      </c>
      <c r="B79" s="8" t="s">
        <v>1984</v>
      </c>
      <c r="C79" s="8" t="s">
        <v>1985</v>
      </c>
      <c r="D79" s="8" t="str">
        <f>Q&amp;$K79&amp;Q&amp;":{"&amp;Q&amp;$B$2&amp;Q&amp;":"&amp;Q&amp;$B79&amp;Q&amp;","&amp;Q&amp;$C$2&amp;Q&amp;":"&amp;Q&amp;$C79&amp;Q&amp;","&amp;Q&amp;"sets"&amp;Q&amp;":"&amp;Q&amp;substitute(SUBSTITUTE($H79,"[",""),"]","")&amp;Q&amp;"},"</f>
        <v>"fpzc":{"label":"Aladdin","extra":"Folktale character who found a magic lamp with a gentle genie inside.","sets":"Junior"},</v>
      </c>
      <c r="E79" s="9" t="str">
        <f t="shared" si="2"/>
        <v>data:image/svg+xml,%3csvg xmlns='http://www.w3.org/2000/svg' viewBox='0 0 24 216'%3e%3ctext fill='%23fff' style='font: 900 16px sans-serif' text-anchor='end' transform='matrix(0 -1 1 0 18 5)'%3eAladdin%3c/text%3e%3c/svg%3e</v>
      </c>
      <c r="F79" s="14" t="str">
        <f t="shared" si="3"/>
        <v>https://svgtext.heliohost.us/cgi-bin/gen.perl?text=Aladdin</v>
      </c>
      <c r="G79" s="11" t="str">
        <f t="shared" si="4"/>
        <v>data:image/svg+xml,%3csvg xmlns='http://www.w3.org/2000/svg' viewBox='0 0 24 216'%3e%3ctext fill='%23fff' style='font: 900 16px sans-serif' text-anchor='end' transform='matrix(0 -1 1 0 18 5)'%3eAladdin%3c/text%3e%3c/svg%3e</v>
      </c>
      <c r="H79" s="8" t="s">
        <v>84</v>
      </c>
      <c r="I79" s="8">
        <f t="shared" ref="I79:J79" si="80">len(B79)</f>
        <v>7</v>
      </c>
      <c r="J79" s="8">
        <f t="shared" si="80"/>
        <v>69</v>
      </c>
      <c r="K79" s="8" t="s">
        <v>1986</v>
      </c>
    </row>
    <row r="80">
      <c r="A80" s="7" t="b">
        <v>0</v>
      </c>
      <c r="B80" s="8" t="s">
        <v>1987</v>
      </c>
      <c r="C80" s="8" t="s">
        <v>1988</v>
      </c>
      <c r="D80" s="8" t="str">
        <f>Q&amp;$K80&amp;Q&amp;":{"&amp;Q&amp;$B$2&amp;Q&amp;":"&amp;Q&amp;$B80&amp;Q&amp;","&amp;Q&amp;$C$2&amp;Q&amp;":"&amp;Q&amp;$C80&amp;Q&amp;","&amp;Q&amp;"sets"&amp;Q&amp;":"&amp;Q&amp;substitute(SUBSTITUTE($H80,"[",""),"]","")&amp;Q&amp;"},"</f>
        <v>"bqut":{"label":"Alan Greenspan","extra":"1926-, chairman of the U.S. Federal Reserve Board.","sets":"Expansion Set 3, Party Expansion 1"},</v>
      </c>
      <c r="E80" s="9" t="str">
        <f t="shared" si="2"/>
        <v>data:image/svg+xml,%3csvg xmlns='http://www.w3.org/2000/svg' viewBox='0 0 24 216'%3e%3ctext fill='%23fff' style='font: 900 16px sans-serif' text-anchor='end' transform='matrix(0 -1 1 0 18 5)'%3eAlan Greenspan%3c/text%3e%3c/svg%3e</v>
      </c>
      <c r="F80" s="14" t="str">
        <f t="shared" si="3"/>
        <v>https://svgtext.heliohost.us/cgi-bin/gen.perl?text=Alan%20Greenspan</v>
      </c>
      <c r="G80" s="11" t="str">
        <f t="shared" si="4"/>
        <v>data:image/svg+xml,%3csvg xmlns='http://www.w3.org/2000/svg' viewBox='0 0 24 216'%3e%3ctext fill='%23fff' style='font: 900 16px sans-serif' text-anchor='end' transform='matrix(0 -1 1 0 18 5)'%3eAlan Greenspan%3c/text%3e%3c/svg%3e</v>
      </c>
      <c r="H80" s="8" t="s">
        <v>39</v>
      </c>
      <c r="I80" s="8">
        <f t="shared" ref="I80:J80" si="81">len(B80)</f>
        <v>14</v>
      </c>
      <c r="J80" s="8">
        <f t="shared" si="81"/>
        <v>50</v>
      </c>
      <c r="K80" s="8" t="s">
        <v>1989</v>
      </c>
    </row>
    <row r="81">
      <c r="A81" s="7" t="b">
        <v>1</v>
      </c>
      <c r="B81" s="8" t="s">
        <v>1990</v>
      </c>
      <c r="C81" s="7" t="s">
        <v>1991</v>
      </c>
      <c r="D81" s="8" t="str">
        <f>Q&amp;$K81&amp;Q&amp;":{"&amp;Q&amp;$B$2&amp;Q&amp;":"&amp;Q&amp;$B81&amp;Q&amp;","&amp;Q&amp;$C$2&amp;Q&amp;":"&amp;Q&amp;$C81&amp;Q&amp;","&amp;Q&amp;"sets"&amp;Q&amp;":"&amp;Q&amp;substitute(SUBSTITUTE($H81,"[",""),"]","")&amp;Q&amp;"},"</f>
        <v>"duwl":{"label":"Alaska","extra":"The 49th state. It’s the home of Mount McKinley.","sets":"Junior 9+ (2nd)"},</v>
      </c>
      <c r="E81" s="9" t="str">
        <f t="shared" si="2"/>
        <v>data:image/svg+xml,%3csvg xmlns='http://www.w3.org/2000/svg' viewBox='0 0 24 216'%3e%3ctext fill='%23fff' style='font: 900 16px sans-serif' text-anchor='end' transform='matrix(0 -1 1 0 18 5)'%3eAlaska%3c/text%3e%3c/svg%3e</v>
      </c>
      <c r="F81" s="14" t="str">
        <f t="shared" si="3"/>
        <v>https://svgtext.heliohost.us/cgi-bin/gen.perl?text=Alaska</v>
      </c>
      <c r="G81" s="11" t="str">
        <f t="shared" si="4"/>
        <v>data:image/svg+xml,%3csvg xmlns='http://www.w3.org/2000/svg' viewBox='0 0 24 216'%3e%3ctext fill='%23fff' style='font: 900 16px sans-serif' text-anchor='end' transform='matrix(0 -1 1 0 18 5)'%3eAlaska%3c/text%3e%3c/svg%3e</v>
      </c>
      <c r="H81" s="8" t="s">
        <v>32</v>
      </c>
      <c r="I81" s="8">
        <f t="shared" ref="I81:J81" si="82">len(B81)</f>
        <v>6</v>
      </c>
      <c r="J81" s="8">
        <f t="shared" si="82"/>
        <v>48</v>
      </c>
      <c r="K81" s="8" t="s">
        <v>1992</v>
      </c>
    </row>
    <row r="82">
      <c r="A82" s="7" t="b">
        <v>0</v>
      </c>
      <c r="B82" s="8" t="s">
        <v>1993</v>
      </c>
      <c r="C82" s="8" t="s">
        <v>1994</v>
      </c>
      <c r="D82" s="8" t="str">
        <f>Q&amp;$K82&amp;Q&amp;":{"&amp;Q&amp;$B$2&amp;Q&amp;":"&amp;Q&amp;$B82&amp;Q&amp;","&amp;Q&amp;$C$2&amp;Q&amp;":"&amp;Q&amp;$C82&amp;Q&amp;","&amp;Q&amp;"sets"&amp;Q&amp;":"&amp;Q&amp;substitute(SUBSTITUTE($H82,"[",""),"]","")&amp;Q&amp;"},"</f>
        <v>"mqtj":{"label":"Albert Einstein","extra":"1879-1855, German-born American physicist and Nobel laureate who created theories of relativity. Nice hair.","sets":"Basic Set, Party Set"},</v>
      </c>
      <c r="E82" s="9" t="str">
        <f t="shared" si="2"/>
        <v>data:image/svg+xml,%3csvg xmlns='http://www.w3.org/2000/svg' viewBox='0 0 24 216'%3e%3ctext fill='%23fff' style='font: 900 16px sans-serif' text-anchor='end' transform='matrix(0 -1 1 0 18 5)'%3eAlbert Einstein%3c/text%3e%3c/svg%3e</v>
      </c>
      <c r="F82" s="14" t="str">
        <f t="shared" si="3"/>
        <v>https://svgtext.heliohost.us/cgi-bin/gen.perl?text=Albert%20Einstein</v>
      </c>
      <c r="G82" s="11" t="str">
        <f t="shared" si="4"/>
        <v>data:image/svg+xml,%3csvg xmlns='http://www.w3.org/2000/svg' viewBox='0 0 24 216'%3e%3ctext fill='%23fff' style='font: 900 16px sans-serif' text-anchor='end' transform='matrix(0 -1 1 0 18 5)'%3eAlbert Einstein%3c/text%3e%3c/svg%3e</v>
      </c>
      <c r="H82" s="8" t="s">
        <v>29</v>
      </c>
      <c r="I82" s="8">
        <f t="shared" ref="I82:J82" si="83">len(B82)</f>
        <v>15</v>
      </c>
      <c r="J82" s="8">
        <f t="shared" si="83"/>
        <v>107</v>
      </c>
      <c r="K82" s="8" t="s">
        <v>1995</v>
      </c>
    </row>
    <row r="83">
      <c r="A83" s="7" t="b">
        <v>0</v>
      </c>
      <c r="B83" s="8" t="s">
        <v>1996</v>
      </c>
      <c r="C83" s="8" t="s">
        <v>1997</v>
      </c>
      <c r="D83" s="8" t="str">
        <f>Q&amp;$K83&amp;Q&amp;":{"&amp;Q&amp;$B$2&amp;Q&amp;":"&amp;Q&amp;$B83&amp;Q&amp;","&amp;Q&amp;$C$2&amp;Q&amp;":"&amp;Q&amp;$C83&amp;Q&amp;","&amp;Q&amp;"sets"&amp;Q&amp;":"&amp;Q&amp;substitute(SUBSTITUTE($H83,"[",""),"]","")&amp;Q&amp;"},"</f>
        <v>"dkwo":{"label":"Alfred Hitchcock","extra":"1899-1980, British-born American director and producer of brilliant psychological thrillers. Right, mother? MOTHER!","sets":"Basic Set, Party Set"},</v>
      </c>
      <c r="E83" s="9" t="str">
        <f t="shared" si="2"/>
        <v>data:image/svg+xml,%3csvg xmlns='http://www.w3.org/2000/svg' viewBox='0 0 24 216'%3e%3ctext fill='%23fff' style='font: 900 16px sans-serif' text-anchor='end' transform='matrix(0 -1 1 0 18 5)'%3eAlfred Hitchcock%3c/text%3e%3c/svg%3e</v>
      </c>
      <c r="F83" s="14" t="str">
        <f t="shared" si="3"/>
        <v>https://svgtext.heliohost.us/cgi-bin/gen.perl?text=Alfred%20Hitchcock</v>
      </c>
      <c r="G83" s="11" t="str">
        <f t="shared" si="4"/>
        <v>data:image/svg+xml,%3csvg xmlns='http://www.w3.org/2000/svg' viewBox='0 0 24 216'%3e%3ctext fill='%23fff' style='font: 900 16px sans-serif' text-anchor='end' transform='matrix(0 -1 1 0 18 5)'%3eAlfred Hitchcock%3c/text%3e%3c/svg%3e</v>
      </c>
      <c r="H83" s="8" t="s">
        <v>29</v>
      </c>
      <c r="I83" s="8">
        <f t="shared" ref="I83:J83" si="84">len(B83)</f>
        <v>16</v>
      </c>
      <c r="J83" s="8">
        <f t="shared" si="84"/>
        <v>115</v>
      </c>
      <c r="K83" s="8" t="s">
        <v>1998</v>
      </c>
    </row>
    <row r="84">
      <c r="A84" s="7" t="b">
        <v>0</v>
      </c>
      <c r="B84" s="8" t="s">
        <v>1999</v>
      </c>
      <c r="C84" s="8" t="s">
        <v>2000</v>
      </c>
      <c r="D84" s="8" t="str">
        <f>Q&amp;$K84&amp;Q&amp;":{"&amp;Q&amp;$B$2&amp;Q&amp;":"&amp;Q&amp;$B84&amp;Q&amp;","&amp;Q&amp;$C$2&amp;Q&amp;":"&amp;Q&amp;$C84&amp;Q&amp;","&amp;Q&amp;"sets"&amp;Q&amp;":"&amp;Q&amp;substitute(SUBSTITUTE($H84,"[",""),"]","")&amp;Q&amp;"},"</f>
        <v>"nufj":{"label":"Alien Abductions","extra":"There was a blinding lightand she was gone!","sets":"Expansion Set 1, Party Set"},</v>
      </c>
      <c r="E84" s="9" t="str">
        <f t="shared" si="2"/>
        <v>data:image/svg+xml,%3csvg xmlns='http://www.w3.org/2000/svg' viewBox='0 0 24 216'%3e%3ctext fill='%23fff' style='font: 900 16px sans-serif' text-anchor='end' transform='matrix(0 -1 1 0 18 5)'%3eAlien Abductions%3c/text%3e%3c/svg%3e</v>
      </c>
      <c r="F84" s="14" t="str">
        <f t="shared" si="3"/>
        <v>https://svgtext.heliohost.us/cgi-bin/gen.perl?text=Alien%20Abductions</v>
      </c>
      <c r="G84" s="11" t="str">
        <f t="shared" si="4"/>
        <v>data:image/svg+xml,%3csvg xmlns='http://www.w3.org/2000/svg' viewBox='0 0 24 216'%3e%3ctext fill='%23fff' style='font: 900 16px sans-serif' text-anchor='end' transform='matrix(0 -1 1 0 18 5)'%3eAlien Abductions%3c/text%3e%3c/svg%3e</v>
      </c>
      <c r="H84" s="8" t="s">
        <v>25</v>
      </c>
      <c r="I84" s="8">
        <f t="shared" ref="I84:J84" si="85">len(B84)</f>
        <v>16</v>
      </c>
      <c r="J84" s="8">
        <f t="shared" si="85"/>
        <v>43</v>
      </c>
      <c r="K84" s="8" t="s">
        <v>2001</v>
      </c>
    </row>
    <row r="85">
      <c r="A85" s="7" t="b">
        <v>1</v>
      </c>
      <c r="B85" s="8" t="s">
        <v>2002</v>
      </c>
      <c r="C85" s="7" t="s">
        <v>2003</v>
      </c>
      <c r="D85" s="8" t="str">
        <f>Q&amp;$K85&amp;Q&amp;":{"&amp;Q&amp;$B$2&amp;Q&amp;":"&amp;Q&amp;$B85&amp;Q&amp;","&amp;Q&amp;$C$2&amp;Q&amp;":"&amp;Q&amp;$C85&amp;Q&amp;","&amp;Q&amp;"sets"&amp;Q&amp;":"&amp;Q&amp;substitute(SUBSTITUTE($H85,"[",""),"]","")&amp;Q&amp;"},"</f>
        <v>"tqfe":{"label":"Aliens","extra":"They’re not from around here!","sets":"Junior 9+ (1st) &amp; (2nd)"},</v>
      </c>
      <c r="E85" s="9" t="str">
        <f t="shared" si="2"/>
        <v>data:image/svg+xml,%3csvg xmlns='http://www.w3.org/2000/svg' viewBox='0 0 24 216'%3e%3ctext fill='%23fff' style='font: 900 16px sans-serif' text-anchor='end' transform='matrix(0 -1 1 0 18 5)'%3eAliens%3c/text%3e%3c/svg%3e</v>
      </c>
      <c r="F85" s="14" t="str">
        <f t="shared" si="3"/>
        <v>https://svgtext.heliohost.us/cgi-bin/gen.perl?text=Aliens</v>
      </c>
      <c r="G85" s="11" t="str">
        <f t="shared" si="4"/>
        <v>data:image/svg+xml,%3csvg xmlns='http://www.w3.org/2000/svg' viewBox='0 0 24 216'%3e%3ctext fill='%23fff' style='font: 900 16px sans-serif' text-anchor='end' transform='matrix(0 -1 1 0 18 5)'%3eAliens%3c/text%3e%3c/svg%3e</v>
      </c>
      <c r="H85" s="8" t="s">
        <v>42</v>
      </c>
      <c r="I85" s="8">
        <f t="shared" ref="I85:J85" si="86">len(B85)</f>
        <v>6</v>
      </c>
      <c r="J85" s="8">
        <f t="shared" si="86"/>
        <v>29</v>
      </c>
      <c r="K85" s="8" t="s">
        <v>2004</v>
      </c>
    </row>
    <row r="86">
      <c r="A86" s="7" t="b">
        <v>1</v>
      </c>
      <c r="B86" s="8" t="s">
        <v>2005</v>
      </c>
      <c r="C86" s="8" t="s">
        <v>2006</v>
      </c>
      <c r="D86" s="8" t="str">
        <f>Q&amp;$K86&amp;Q&amp;":{"&amp;Q&amp;$B$2&amp;Q&amp;":"&amp;Q&amp;$B86&amp;Q&amp;","&amp;Q&amp;$C$2&amp;Q&amp;":"&amp;Q&amp;$C86&amp;Q&amp;","&amp;Q&amp;"sets"&amp;Q&amp;":"&amp;Q&amp;substitute(SUBSTITUTE($H86,"[",""),"]","")&amp;Q&amp;"},"</f>
        <v>"ekkr":{"label":"Alligators","extra":"Large reptiles with strong jaws and long tails. Their skins are made into shoes and purses.","sets":"Junior 9+ (1st) &amp; (2nd)"},</v>
      </c>
      <c r="E86" s="9" t="str">
        <f t="shared" si="2"/>
        <v>data:image/svg+xml,%3csvg xmlns='http://www.w3.org/2000/svg' viewBox='0 0 24 216'%3e%3ctext fill='%23fff' style='font: 900 16px sans-serif' text-anchor='end' transform='matrix(0 -1 1 0 18 5)'%3eAlligators%3c/text%3e%3c/svg%3e</v>
      </c>
      <c r="F86" s="14" t="str">
        <f t="shared" si="3"/>
        <v>https://svgtext.heliohost.us/cgi-bin/gen.perl?text=Alligators</v>
      </c>
      <c r="G86" s="11" t="str">
        <f t="shared" si="4"/>
        <v>data:image/svg+xml,%3csvg xmlns='http://www.w3.org/2000/svg' viewBox='0 0 24 216'%3e%3ctext fill='%23fff' style='font: 900 16px sans-serif' text-anchor='end' transform='matrix(0 -1 1 0 18 5)'%3eAlligators%3c/text%3e%3c/svg%3e</v>
      </c>
      <c r="H86" s="8" t="s">
        <v>42</v>
      </c>
      <c r="I86" s="8">
        <f t="shared" ref="I86:J86" si="87">len(B86)</f>
        <v>10</v>
      </c>
      <c r="J86" s="8">
        <f t="shared" si="87"/>
        <v>91</v>
      </c>
      <c r="K86" s="8" t="s">
        <v>2007</v>
      </c>
    </row>
    <row r="87">
      <c r="A87" s="7" t="b">
        <v>1</v>
      </c>
      <c r="B87" s="8" t="s">
        <v>2008</v>
      </c>
      <c r="C87" s="7" t="s">
        <v>2009</v>
      </c>
      <c r="D87" s="8" t="str">
        <f>Q&amp;$K87&amp;Q&amp;":{"&amp;Q&amp;$B$2&amp;Q&amp;":"&amp;Q&amp;$B87&amp;Q&amp;","&amp;Q&amp;$C$2&amp;Q&amp;":"&amp;Q&amp;$C87&amp;Q&amp;","&amp;Q&amp;"sets"&amp;Q&amp;":"&amp;Q&amp;substitute(SUBSTITUTE($H87,"[",""),"]","")&amp;Q&amp;"},"</f>
        <v>"ebgr":{"label":"AM &amp; FM","extra":"Making waves in radio.","sets":"Expansion Set 4, Party Expansion 1"},</v>
      </c>
      <c r="E87" s="9" t="str">
        <f t="shared" si="2"/>
        <v>data:image/svg+xml,%3csvg xmlns='http://www.w3.org/2000/svg' viewBox='0 0 24 216'%3e%3ctext fill='%23fff' style='font: 900 16px sans-serif' text-anchor='end' transform='matrix(0 -1 1 0 18 5)'%3eAM %26amp%3B FM%3c/text%3e%3c/svg%3e</v>
      </c>
      <c r="F87" s="14" t="str">
        <f t="shared" si="3"/>
        <v>https://svgtext.heliohost.us/cgi-bin/gen.perl?text=AM%20%26%20FM</v>
      </c>
      <c r="G87" s="11" t="str">
        <f t="shared" si="4"/>
        <v>data:image/svg+xml,%3csvg xmlns='http://www.w3.org/2000/svg' viewBox='0 0 24 216'%3e%3ctext fill='%23fff' style='font: 900 16px sans-serif' text-anchor='end' transform='matrix(0 -1 1 0 18 5)'%3eAM %26amp%3B FM%3c/text%3e%3c/svg%3e</v>
      </c>
      <c r="H87" s="8" t="s">
        <v>63</v>
      </c>
      <c r="I87" s="8">
        <f t="shared" ref="I87:J87" si="88">len(B87)</f>
        <v>7</v>
      </c>
      <c r="J87" s="8">
        <f t="shared" si="88"/>
        <v>22</v>
      </c>
      <c r="K87" s="8" t="s">
        <v>2010</v>
      </c>
    </row>
    <row r="88">
      <c r="A88" s="7" t="b">
        <v>0</v>
      </c>
      <c r="B88" s="8" t="s">
        <v>2011</v>
      </c>
      <c r="C88" s="8" t="s">
        <v>2012</v>
      </c>
      <c r="D88" s="8" t="str">
        <f>Q&amp;$K88&amp;Q&amp;":{"&amp;Q&amp;$B$2&amp;Q&amp;":"&amp;Q&amp;$B88&amp;Q&amp;","&amp;Q&amp;$C$2&amp;Q&amp;":"&amp;Q&amp;$C88&amp;Q&amp;","&amp;Q&amp;"sets"&amp;Q&amp;":"&amp;Q&amp;substitute(SUBSTITUTE($H88,"[",""),"]","")&amp;Q&amp;"},"</f>
        <v>"tlgu":{"label":"Americans","extra":"How many Americans does it take to screw in a light bulb? THAT'S NOT FUNNY! WE'RE SUING!","sets":"Basic Set, Party Set"},</v>
      </c>
      <c r="E88" s="9" t="str">
        <f t="shared" si="2"/>
        <v>data:image/svg+xml,%3csvg xmlns='http://www.w3.org/2000/svg' viewBox='0 0 24 216'%3e%3ctext fill='%23fff' style='font: 900 16px sans-serif' text-anchor='end' transform='matrix(0 -1 1 0 18 5)'%3eAmericans%3c/text%3e%3c/svg%3e</v>
      </c>
      <c r="F88" s="14" t="str">
        <f t="shared" si="3"/>
        <v>https://svgtext.heliohost.us/cgi-bin/gen.perl?text=Americans</v>
      </c>
      <c r="G88" s="11" t="str">
        <f t="shared" si="4"/>
        <v>data:image/svg+xml,%3csvg xmlns='http://www.w3.org/2000/svg' viewBox='0 0 24 216'%3e%3ctext fill='%23fff' style='font: 900 16px sans-serif' text-anchor='end' transform='matrix(0 -1 1 0 18 5)'%3eAmericans%3c/text%3e%3c/svg%3e</v>
      </c>
      <c r="H88" s="8" t="s">
        <v>29</v>
      </c>
      <c r="I88" s="8">
        <f t="shared" ref="I88:J88" si="89">len(B88)</f>
        <v>9</v>
      </c>
      <c r="J88" s="8">
        <f t="shared" si="89"/>
        <v>88</v>
      </c>
      <c r="K88" s="8" t="s">
        <v>2013</v>
      </c>
    </row>
    <row r="89">
      <c r="A89" s="7" t="b">
        <v>0</v>
      </c>
      <c r="B89" s="8" t="s">
        <v>2014</v>
      </c>
      <c r="C89" s="7" t="s">
        <v>2015</v>
      </c>
      <c r="D89" s="8" t="str">
        <f>Q&amp;$K89&amp;Q&amp;":{"&amp;Q&amp;$B$2&amp;Q&amp;":"&amp;Q&amp;$B89&amp;Q&amp;","&amp;Q&amp;$C$2&amp;Q&amp;":"&amp;Q&amp;$C89&amp;Q&amp;","&amp;Q&amp;"sets"&amp;Q&amp;":"&amp;Q&amp;substitute(SUBSTITUTE($H89,"[",""),"]","")&amp;Q&amp;"},"</f>
        <v>"isib":{"label":"Amputations","extra":"“A SCRATCH? Your arm's off!” —Monty Python and the Holy Grail","sets":"Expansion Set 2, Party Set"},</v>
      </c>
      <c r="E89" s="9" t="str">
        <f t="shared" si="2"/>
        <v>data:image/svg+xml,%3csvg xmlns='http://www.w3.org/2000/svg' viewBox='0 0 24 216'%3e%3ctext fill='%23fff' style='font: 900 16px sans-serif' text-anchor='end' transform='matrix(0 -1 1 0 18 5)'%3eAmputations%3c/text%3e%3c/svg%3e</v>
      </c>
      <c r="F89" s="14" t="str">
        <f t="shared" si="3"/>
        <v>https://svgtext.heliohost.us/cgi-bin/gen.perl?text=Amputations</v>
      </c>
      <c r="G89" s="11" t="str">
        <f t="shared" si="4"/>
        <v>data:image/svg+xml,%3csvg xmlns='http://www.w3.org/2000/svg' viewBox='0 0 24 216'%3e%3ctext fill='%23fff' style='font: 900 16px sans-serif' text-anchor='end' transform='matrix(0 -1 1 0 18 5)'%3eAmputations%3c/text%3e%3c/svg%3e</v>
      </c>
      <c r="H89" s="8" t="s">
        <v>17</v>
      </c>
      <c r="I89" s="8">
        <f t="shared" ref="I89:J89" si="90">len(B89)</f>
        <v>11</v>
      </c>
      <c r="J89" s="8">
        <f t="shared" si="90"/>
        <v>61</v>
      </c>
      <c r="K89" s="8" t="s">
        <v>2016</v>
      </c>
    </row>
    <row r="90">
      <c r="A90" s="7" t="b">
        <v>1</v>
      </c>
      <c r="B90" s="8" t="s">
        <v>2017</v>
      </c>
      <c r="C90" s="7" t="s">
        <v>2018</v>
      </c>
      <c r="D90" s="8" t="str">
        <f>Q&amp;$K90&amp;Q&amp;":{"&amp;Q&amp;$B$2&amp;Q&amp;":"&amp;Q&amp;$B90&amp;Q&amp;","&amp;Q&amp;$C$2&amp;Q&amp;":"&amp;Q&amp;$C90&amp;Q&amp;","&amp;Q&amp;"sets"&amp;Q&amp;":"&amp;Q&amp;substitute(SUBSTITUTE($H90,"[",""),"]","")&amp;Q&amp;"},"</f>
        <v>"m{lz":{"label":"Amsterdam","extra":"The capital of the Netherlands, and one of Europe’s most beautiful and notorious cities.","sets":"Expansion Set 3, Party Expansion 1"},</v>
      </c>
      <c r="E90" s="9" t="str">
        <f t="shared" si="2"/>
        <v>data:image/svg+xml,%3csvg xmlns='http://www.w3.org/2000/svg' viewBox='0 0 24 216'%3e%3ctext fill='%23fff' style='font: 900 16px sans-serif' text-anchor='end' transform='matrix(0 -1 1 0 18 5)'%3eAmsterdam%3c/text%3e%3c/svg%3e</v>
      </c>
      <c r="F90" s="14" t="str">
        <f t="shared" si="3"/>
        <v>https://svgtext.heliohost.us/cgi-bin/gen.perl?text=Amsterdam</v>
      </c>
      <c r="G90" s="11" t="str">
        <f t="shared" si="4"/>
        <v>data:image/svg+xml,%3csvg xmlns='http://www.w3.org/2000/svg' viewBox='0 0 24 216'%3e%3ctext fill='%23fff' style='font: 900 16px sans-serif' text-anchor='end' transform='matrix(0 -1 1 0 18 5)'%3eAmsterdam%3c/text%3e%3c/svg%3e</v>
      </c>
      <c r="H90" s="8" t="s">
        <v>39</v>
      </c>
      <c r="I90" s="8">
        <f t="shared" ref="I90:J90" si="91">len(B90)</f>
        <v>9</v>
      </c>
      <c r="J90" s="8">
        <f t="shared" si="91"/>
        <v>88</v>
      </c>
      <c r="K90" s="8" t="s">
        <v>2019</v>
      </c>
    </row>
    <row r="91">
      <c r="A91" s="7" t="b">
        <v>1</v>
      </c>
      <c r="B91" s="8" t="s">
        <v>2020</v>
      </c>
      <c r="C91" s="8" t="s">
        <v>2021</v>
      </c>
      <c r="D91" s="8" t="str">
        <f>Q&amp;$K91&amp;Q&amp;":{"&amp;Q&amp;$B$2&amp;Q&amp;":"&amp;Q&amp;$B91&amp;Q&amp;","&amp;Q&amp;$C$2&amp;Q&amp;":"&amp;Q&amp;$C91&amp;Q&amp;","&amp;Q&amp;"sets"&amp;Q&amp;":"&amp;Q&amp;substitute(SUBSTITUTE($H91,"[",""),"]","")&amp;Q&amp;"},"</f>
        <v>"bb{c":{"label":"An Igloo","extra":"A domed-shaped house made from blocks of hard snow or ice.","sets":"Junior"},</v>
      </c>
      <c r="E91" s="9" t="str">
        <f t="shared" si="2"/>
        <v>data:image/svg+xml,%3csvg xmlns='http://www.w3.org/2000/svg' viewBox='0 0 24 216'%3e%3ctext fill='%23fff' style='font: 900 16px sans-serif' text-anchor='end' transform='matrix(0 -1 1 0 18 5)'%3eAn Igloo%3c/text%3e%3c/svg%3e</v>
      </c>
      <c r="F91" s="14" t="str">
        <f t="shared" si="3"/>
        <v>https://svgtext.heliohost.us/cgi-bin/gen.perl?text=An%20Igloo</v>
      </c>
      <c r="G91" s="11" t="str">
        <f t="shared" si="4"/>
        <v>data:image/svg+xml,%3csvg xmlns='http://www.w3.org/2000/svg' viewBox='0 0 24 216'%3e%3ctext fill='%23fff' style='font: 900 16px sans-serif' text-anchor='end' transform='matrix(0 -1 1 0 18 5)'%3eAn Igloo%3c/text%3e%3c/svg%3e</v>
      </c>
      <c r="H91" s="8" t="s">
        <v>84</v>
      </c>
      <c r="I91" s="8">
        <f t="shared" ref="I91:J91" si="92">len(B91)</f>
        <v>8</v>
      </c>
      <c r="J91" s="8">
        <f t="shared" si="92"/>
        <v>58</v>
      </c>
      <c r="K91" s="8" t="s">
        <v>2022</v>
      </c>
    </row>
    <row r="92">
      <c r="A92" s="7" t="b">
        <v>1</v>
      </c>
      <c r="B92" s="8" t="s">
        <v>2023</v>
      </c>
      <c r="C92" s="7" t="s">
        <v>2024</v>
      </c>
      <c r="D92" s="8" t="str">
        <f>Q&amp;$K92&amp;Q&amp;":{"&amp;Q&amp;$B$2&amp;Q&amp;":"&amp;Q&amp;$B92&amp;Q&amp;","&amp;Q&amp;$C$2&amp;Q&amp;":"&amp;Q&amp;$C92&amp;Q&amp;","&amp;Q&amp;"sets"&amp;Q&amp;":"&amp;Q&amp;substitute(SUBSTITUTE($H92,"[",""),"]","")&amp;Q&amp;"},"</f>
        <v>"rqh{":{"label":"Ancient Rome","extra":"In ancient times, all roads led to Rome, and the traffic has only gotten worse.","sets":"Expansion Set 3, Party Expansion 1"},</v>
      </c>
      <c r="E92" s="9" t="str">
        <f t="shared" si="2"/>
        <v>data:image/svg+xml,%3csvg xmlns='http://www.w3.org/2000/svg' viewBox='0 0 24 216'%3e%3ctext fill='%23fff' style='font: 900 16px sans-serif' text-anchor='end' transform='matrix(0 -1 1 0 18 5)'%3eAncient Rome%3c/text%3e%3c/svg%3e</v>
      </c>
      <c r="F92" s="14" t="str">
        <f t="shared" si="3"/>
        <v>https://svgtext.heliohost.us/cgi-bin/gen.perl?text=Ancient%20Rome</v>
      </c>
      <c r="G92" s="11" t="str">
        <f t="shared" si="4"/>
        <v>data:image/svg+xml,%3csvg xmlns='http://www.w3.org/2000/svg' viewBox='0 0 24 216'%3e%3ctext fill='%23fff' style='font: 900 16px sans-serif' text-anchor='end' transform='matrix(0 -1 1 0 18 5)'%3eAncient Rome%3c/text%3e%3c/svg%3e</v>
      </c>
      <c r="H92" s="8" t="s">
        <v>39</v>
      </c>
      <c r="I92" s="8">
        <f t="shared" ref="I92:J92" si="93">len(B92)</f>
        <v>12</v>
      </c>
      <c r="J92" s="8">
        <f t="shared" si="93"/>
        <v>79</v>
      </c>
      <c r="K92" s="8" t="s">
        <v>2025</v>
      </c>
    </row>
    <row r="93">
      <c r="A93" s="7" t="b">
        <v>0</v>
      </c>
      <c r="B93" s="8" t="s">
        <v>2026</v>
      </c>
      <c r="C93" s="8" t="s">
        <v>2027</v>
      </c>
      <c r="D93" s="8" t="str">
        <f>Q&amp;$K93&amp;Q&amp;":{"&amp;Q&amp;$B$2&amp;Q&amp;":"&amp;Q&amp;$B93&amp;Q&amp;","&amp;Q&amp;$C$2&amp;Q&amp;":"&amp;Q&amp;$C93&amp;Q&amp;","&amp;Q&amp;"sets"&amp;Q&amp;":"&amp;Q&amp;substitute(SUBSTITUTE($H93,"[",""),"]","")&amp;Q&amp;"},"</f>
        <v>"qxho":{"label":"Andy Warhol","extra":"1928-87, American painter and filmmaker, a leader of the pop art movement. Famous for slightly more than 15 minutes.","sets":"Basic Set, Party Set"},</v>
      </c>
      <c r="E93" s="9" t="str">
        <f t="shared" si="2"/>
        <v>data:image/svg+xml,%3csvg xmlns='http://www.w3.org/2000/svg' viewBox='0 0 24 216'%3e%3ctext fill='%23fff' style='font: 900 16px sans-serif' text-anchor='end' transform='matrix(0 -1 1 0 18 5)'%3eAndy Warhol%3c/text%3e%3c/svg%3e</v>
      </c>
      <c r="F93" s="14" t="str">
        <f t="shared" si="3"/>
        <v>https://svgtext.heliohost.us/cgi-bin/gen.perl?text=Andy%20Warhol</v>
      </c>
      <c r="G93" s="11" t="str">
        <f t="shared" si="4"/>
        <v>data:image/svg+xml,%3csvg xmlns='http://www.w3.org/2000/svg' viewBox='0 0 24 216'%3e%3ctext fill='%23fff' style='font: 900 16px sans-serif' text-anchor='end' transform='matrix(0 -1 1 0 18 5)'%3eAndy Warhol%3c/text%3e%3c/svg%3e</v>
      </c>
      <c r="H93" s="8" t="s">
        <v>29</v>
      </c>
      <c r="I93" s="8">
        <f t="shared" ref="I93:J93" si="94">len(B93)</f>
        <v>11</v>
      </c>
      <c r="J93" s="8">
        <f t="shared" si="94"/>
        <v>116</v>
      </c>
      <c r="K93" s="8" t="s">
        <v>2028</v>
      </c>
    </row>
    <row r="94">
      <c r="A94" s="7" t="b">
        <v>0</v>
      </c>
      <c r="B94" s="8" t="s">
        <v>2029</v>
      </c>
      <c r="C94" s="7" t="s">
        <v>2030</v>
      </c>
      <c r="D94" s="8" t="str">
        <f>Q&amp;$K94&amp;Q&amp;":{"&amp;Q&amp;$B$2&amp;Q&amp;":"&amp;Q&amp;$B94&amp;Q&amp;","&amp;Q&amp;$C$2&amp;Q&amp;":"&amp;Q&amp;$C94&amp;Q&amp;","&amp;Q&amp;"sets"&amp;Q&amp;":"&amp;Q&amp;substitute(SUBSTITUTE($H94,"[",""),"]","")&amp;Q&amp;"},"</f>
        <v>"ptcw":{"label":"Angry Hornets","extra":"Who put the bees in their bonnets?","sets":"Expansion Set 2, Party Set"},</v>
      </c>
      <c r="E94" s="9" t="str">
        <f t="shared" si="2"/>
        <v>data:image/svg+xml,%3csvg xmlns='http://www.w3.org/2000/svg' viewBox='0 0 24 216'%3e%3ctext fill='%23fff' style='font: 900 16px sans-serif' text-anchor='end' transform='matrix(0 -1 1 0 18 5)'%3eAngry Hornets%3c/text%3e%3c/svg%3e</v>
      </c>
      <c r="F94" s="14" t="str">
        <f t="shared" si="3"/>
        <v>https://svgtext.heliohost.us/cgi-bin/gen.perl?text=Angry%20Hornets</v>
      </c>
      <c r="G94" s="11" t="str">
        <f t="shared" si="4"/>
        <v>data:image/svg+xml,%3csvg xmlns='http://www.w3.org/2000/svg' viewBox='0 0 24 216'%3e%3ctext fill='%23fff' style='font: 900 16px sans-serif' text-anchor='end' transform='matrix(0 -1 1 0 18 5)'%3eAngry Hornets%3c/text%3e%3c/svg%3e</v>
      </c>
      <c r="H94" s="8" t="s">
        <v>17</v>
      </c>
      <c r="I94" s="8">
        <f t="shared" ref="I94:J94" si="95">len(B94)</f>
        <v>13</v>
      </c>
      <c r="J94" s="8">
        <f t="shared" si="95"/>
        <v>34</v>
      </c>
      <c r="K94" s="8" t="s">
        <v>2031</v>
      </c>
    </row>
    <row r="95">
      <c r="A95" s="7" t="b">
        <v>1</v>
      </c>
      <c r="B95" s="8" t="s">
        <v>2032</v>
      </c>
      <c r="C95" s="8" t="s">
        <v>2033</v>
      </c>
      <c r="D95" s="8" t="str">
        <f>Q&amp;$K95&amp;Q&amp;":{"&amp;Q&amp;$B$2&amp;Q&amp;":"&amp;Q&amp;$B95&amp;Q&amp;","&amp;Q&amp;$C$2&amp;Q&amp;":"&amp;Q&amp;$C95&amp;Q&amp;","&amp;Q&amp;"sets"&amp;Q&amp;":"&amp;Q&amp;substitute(SUBSTITUTE($H95,"[",""),"]","")&amp;Q&amp;"},"</f>
        <v>"ifum":{"label":"Anna &amp; The King","extra":"The 1999 film romanticizing the story of Anna Leonowens and King Mongkut of Siam.","sets":"Expansion Set 4, Party Expansion 1"},</v>
      </c>
      <c r="E95" s="9" t="str">
        <f t="shared" si="2"/>
        <v>data:image/svg+xml,%3csvg xmlns='http://www.w3.org/2000/svg' viewBox='0 0 24 216'%3e%3ctext fill='%23fff' style='font: 900 16px sans-serif' text-anchor='end' transform='matrix(0 -1 1 0 18 5)'%3eAnna %26amp%3B The King%3c/text%3e%3c/svg%3e</v>
      </c>
      <c r="F95" s="14" t="str">
        <f t="shared" si="3"/>
        <v>https://svgtext.heliohost.us/cgi-bin/gen.perl?text=Anna%20%26%20The%20King</v>
      </c>
      <c r="G95" s="11" t="str">
        <f t="shared" si="4"/>
        <v>data:image/svg+xml,%3csvg xmlns='http://www.w3.org/2000/svg' viewBox='0 0 24 216'%3e%3ctext fill='%23fff' style='font: 900 16px sans-serif' text-anchor='end' transform='matrix(0 -1 1 0 18 5)'%3eAnna %26amp%3B The King%3c/text%3e%3c/svg%3e</v>
      </c>
      <c r="H95" s="8" t="s">
        <v>63</v>
      </c>
      <c r="I95" s="8">
        <f t="shared" ref="I95:J95" si="96">len(B95)</f>
        <v>15</v>
      </c>
      <c r="J95" s="8">
        <f t="shared" si="96"/>
        <v>81</v>
      </c>
      <c r="K95" s="8" t="s">
        <v>2034</v>
      </c>
    </row>
    <row r="96">
      <c r="A96" s="7" t="b">
        <v>0</v>
      </c>
      <c r="B96" s="8" t="s">
        <v>2035</v>
      </c>
      <c r="C96" s="8" t="s">
        <v>2036</v>
      </c>
      <c r="D96" s="8" t="str">
        <f>Q&amp;$K96&amp;Q&amp;":{"&amp;Q&amp;$B$2&amp;Q&amp;":"&amp;Q&amp;$B96&amp;Q&amp;","&amp;Q&amp;$C$2&amp;Q&amp;":"&amp;Q&amp;$C96&amp;Q&amp;","&amp;Q&amp;"sets"&amp;Q&amp;":"&amp;Q&amp;substitute(SUBSTITUTE($H96,"[",""),"]","")&amp;Q&amp;"},"</f>
        <v>"ggju":{"label":"Anna Kournikova","extra":"1981-, Russian-born star of the tennis court and internet.","sets":"Expansion Set 3, Party Expansion 1"},</v>
      </c>
      <c r="E96" s="9" t="str">
        <f t="shared" si="2"/>
        <v>data:image/svg+xml,%3csvg xmlns='http://www.w3.org/2000/svg' viewBox='0 0 24 216'%3e%3ctext fill='%23fff' style='font: 900 16px sans-serif' text-anchor='end' transform='matrix(0 -1 1 0 18 5)'%3eAnna Kournikova%3c/text%3e%3c/svg%3e</v>
      </c>
      <c r="F96" s="14" t="str">
        <f t="shared" si="3"/>
        <v>https://svgtext.heliohost.us/cgi-bin/gen.perl?text=Anna%20Kournikova</v>
      </c>
      <c r="G96" s="11" t="str">
        <f t="shared" si="4"/>
        <v>data:image/svg+xml,%3csvg xmlns='http://www.w3.org/2000/svg' viewBox='0 0 24 216'%3e%3ctext fill='%23fff' style='font: 900 16px sans-serif' text-anchor='end' transform='matrix(0 -1 1 0 18 5)'%3eAnna Kournikova%3c/text%3e%3c/svg%3e</v>
      </c>
      <c r="H96" s="8" t="s">
        <v>39</v>
      </c>
      <c r="I96" s="8">
        <f t="shared" ref="I96:J96" si="97">len(B96)</f>
        <v>15</v>
      </c>
      <c r="J96" s="8">
        <f t="shared" si="97"/>
        <v>58</v>
      </c>
      <c r="K96" s="8" t="s">
        <v>2037</v>
      </c>
    </row>
    <row r="97">
      <c r="A97" s="7" t="b">
        <v>0</v>
      </c>
      <c r="B97" s="8" t="s">
        <v>2038</v>
      </c>
      <c r="C97" s="8" t="s">
        <v>2039</v>
      </c>
      <c r="D97" s="8" t="str">
        <f>Q&amp;$K97&amp;Q&amp;":{"&amp;Q&amp;$B$2&amp;Q&amp;":"&amp;Q&amp;$B97&amp;Q&amp;","&amp;Q&amp;$C$2&amp;Q&amp;":"&amp;Q&amp;$C97&amp;Q&amp;","&amp;Q&amp;"sets"&amp;Q&amp;":"&amp;Q&amp;substitute(SUBSTITUTE($H97,"[",""),"]","")&amp;Q&amp;"},"</f>
        <v>"am{l":{"label":"Anne Frank","extra":"1929-45, German Jewish girl who wrote in her diary about her family hiding from the Nazis. She died in a concentration camp.","sets":"Basic Set, Party Set"},</v>
      </c>
      <c r="E97" s="9" t="str">
        <f t="shared" si="2"/>
        <v>data:image/svg+xml,%3csvg xmlns='http://www.w3.org/2000/svg' viewBox='0 0 24 216'%3e%3ctext fill='%23fff' style='font: 900 16px sans-serif' text-anchor='end' transform='matrix(0 -1 1 0 18 5)'%3eAnne Frank%3c/text%3e%3c/svg%3e</v>
      </c>
      <c r="F97" s="14" t="str">
        <f t="shared" si="3"/>
        <v>https://svgtext.heliohost.us/cgi-bin/gen.perl?text=Anne%20Frank</v>
      </c>
      <c r="G97" s="11" t="str">
        <f t="shared" si="4"/>
        <v>data:image/svg+xml,%3csvg xmlns='http://www.w3.org/2000/svg' viewBox='0 0 24 216'%3e%3ctext fill='%23fff' style='font: 900 16px sans-serif' text-anchor='end' transform='matrix(0 -1 1 0 18 5)'%3eAnne Frank%3c/text%3e%3c/svg%3e</v>
      </c>
      <c r="H97" s="8" t="s">
        <v>29</v>
      </c>
      <c r="I97" s="8">
        <f t="shared" ref="I97:J97" si="98">len(B97)</f>
        <v>10</v>
      </c>
      <c r="J97" s="8">
        <f t="shared" si="98"/>
        <v>124</v>
      </c>
      <c r="K97" s="8" t="s">
        <v>2040</v>
      </c>
    </row>
    <row r="98">
      <c r="A98" s="7" t="b">
        <v>0</v>
      </c>
      <c r="B98" s="8" t="s">
        <v>2041</v>
      </c>
      <c r="C98" s="8" t="s">
        <v>2042</v>
      </c>
      <c r="D98" s="8" t="str">
        <f>Q&amp;$K98&amp;Q&amp;":{"&amp;Q&amp;$B$2&amp;Q&amp;":"&amp;Q&amp;$B98&amp;Q&amp;","&amp;Q&amp;$C$2&amp;Q&amp;":"&amp;Q&amp;$C98&amp;Q&amp;","&amp;Q&amp;"sets"&amp;Q&amp;":"&amp;Q&amp;substitute(SUBSTITUTE($H98,"[",""),"]","")&amp;Q&amp;"},"</f>
        <v>"idxr":{"label":"Antarctica","extra":"Home to the lowest temperature ever recorded on earth, -126.9 F.","sets":"Basic Set, Party Set"},</v>
      </c>
      <c r="E98" s="9" t="str">
        <f t="shared" si="2"/>
        <v>data:image/svg+xml,%3csvg xmlns='http://www.w3.org/2000/svg' viewBox='0 0 24 216'%3e%3ctext fill='%23fff' style='font: 900 16px sans-serif' text-anchor='end' transform='matrix(0 -1 1 0 18 5)'%3eAntarctica%3c/text%3e%3c/svg%3e</v>
      </c>
      <c r="F98" s="14" t="str">
        <f t="shared" si="3"/>
        <v>https://svgtext.heliohost.us/cgi-bin/gen.perl?text=Antarctica</v>
      </c>
      <c r="G98" s="11" t="str">
        <f t="shared" si="4"/>
        <v>data:image/svg+xml,%3csvg xmlns='http://www.w3.org/2000/svg' viewBox='0 0 24 216'%3e%3ctext fill='%23fff' style='font: 900 16px sans-serif' text-anchor='end' transform='matrix(0 -1 1 0 18 5)'%3eAntarctica%3c/text%3e%3c/svg%3e</v>
      </c>
      <c r="H98" s="8" t="s">
        <v>29</v>
      </c>
      <c r="I98" s="8">
        <f t="shared" ref="I98:J98" si="99">len(B98)</f>
        <v>10</v>
      </c>
      <c r="J98" s="8">
        <f t="shared" si="99"/>
        <v>64</v>
      </c>
      <c r="K98" s="8" t="s">
        <v>2043</v>
      </c>
    </row>
    <row r="99">
      <c r="A99" s="7" t="b">
        <v>0</v>
      </c>
      <c r="B99" s="8" t="s">
        <v>2044</v>
      </c>
      <c r="C99" s="7" t="s">
        <v>2045</v>
      </c>
      <c r="D99" s="8" t="str">
        <f>Q&amp;$K99&amp;Q&amp;":{"&amp;Q&amp;$B$2&amp;Q&amp;":"&amp;Q&amp;$B99&amp;Q&amp;","&amp;Q&amp;$C$2&amp;Q&amp;":"&amp;Q&amp;$C99&amp;Q&amp;","&amp;Q&amp;"sets"&amp;Q&amp;":"&amp;Q&amp;substitute(SUBSTITUTE($H99,"[",""),"]","")&amp;Q&amp;"},"</f>
        <v>"rxnx":{"label":"Anthony Hopkins","extra":"1937-, British actor starred in “The Elephant Man”, “Howard’s End”, and, of course, “The Silence Of The Lambs.” Knighted in 1992.","sets":"Expansion Set 2, Party Set"},</v>
      </c>
      <c r="E99" s="9" t="str">
        <f t="shared" si="2"/>
        <v>data:image/svg+xml,%3csvg xmlns='http://www.w3.org/2000/svg' viewBox='0 0 24 216'%3e%3ctext fill='%23fff' style='font: 900 16px sans-serif' text-anchor='end' transform='matrix(0 -1 1 0 18 5)'%3eAnthony Hopkins%3c/text%3e%3c/svg%3e</v>
      </c>
      <c r="F99" s="14" t="str">
        <f t="shared" si="3"/>
        <v>https://svgtext.heliohost.us/cgi-bin/gen.perl?text=Anthony%20Hopkins</v>
      </c>
      <c r="G99" s="11" t="str">
        <f t="shared" si="4"/>
        <v>data:image/svg+xml,%3csvg xmlns='http://www.w3.org/2000/svg' viewBox='0 0 24 216'%3e%3ctext fill='%23fff' style='font: 900 16px sans-serif' text-anchor='end' transform='matrix(0 -1 1 0 18 5)'%3eAnthony Hopkins%3c/text%3e%3c/svg%3e</v>
      </c>
      <c r="H99" s="8" t="s">
        <v>17</v>
      </c>
      <c r="I99" s="8">
        <f t="shared" ref="I99:J99" si="100">len(B99)</f>
        <v>15</v>
      </c>
      <c r="J99" s="8">
        <f t="shared" si="100"/>
        <v>129</v>
      </c>
      <c r="K99" s="8" t="s">
        <v>2046</v>
      </c>
    </row>
    <row r="100">
      <c r="A100" s="7" t="b">
        <v>1</v>
      </c>
      <c r="B100" s="8" t="s">
        <v>2047</v>
      </c>
      <c r="C100" s="8" t="s">
        <v>2048</v>
      </c>
      <c r="D100" s="8" t="str">
        <f>Q&amp;$K100&amp;Q&amp;":{"&amp;Q&amp;$B$2&amp;Q&amp;":"&amp;Q&amp;$B100&amp;Q&amp;","&amp;Q&amp;$C$2&amp;Q&amp;":"&amp;Q&amp;$C100&amp;Q&amp;","&amp;Q&amp;"sets"&amp;Q&amp;":"&amp;Q&amp;substitute(SUBSTITUTE($H100,"[",""),"]","")&amp;Q&amp;"},"</f>
        <v>"kriz":{"label":"Anthrax","extra":"A potentially deadly infectious disease caused by spore bacteria. Anthrax has been developed as a biological weapon.","sets":"Expansion Set 3, Party Expansion 1"},</v>
      </c>
      <c r="E100" s="9" t="str">
        <f t="shared" si="2"/>
        <v>data:image/svg+xml,%3csvg xmlns='http://www.w3.org/2000/svg' viewBox='0 0 24 216'%3e%3ctext fill='%23fff' style='font: 900 16px sans-serif' text-anchor='end' transform='matrix(0 -1 1 0 18 5)'%3eAnthrax%3c/text%3e%3c/svg%3e</v>
      </c>
      <c r="F100" s="14" t="str">
        <f t="shared" si="3"/>
        <v>https://svgtext.heliohost.us/cgi-bin/gen.perl?text=Anthrax</v>
      </c>
      <c r="G100" s="11" t="str">
        <f t="shared" si="4"/>
        <v>data:image/svg+xml,%3csvg xmlns='http://www.w3.org/2000/svg' viewBox='0 0 24 216'%3e%3ctext fill='%23fff' style='font: 900 16px sans-serif' text-anchor='end' transform='matrix(0 -1 1 0 18 5)'%3eAnthrax%3c/text%3e%3c/svg%3e</v>
      </c>
      <c r="H100" s="8" t="s">
        <v>39</v>
      </c>
      <c r="I100" s="8">
        <f t="shared" ref="I100:J100" si="101">len(B100)</f>
        <v>7</v>
      </c>
      <c r="J100" s="8">
        <f t="shared" si="101"/>
        <v>116</v>
      </c>
      <c r="K100" s="8" t="s">
        <v>2049</v>
      </c>
    </row>
    <row r="101">
      <c r="A101" s="7" t="b">
        <v>1</v>
      </c>
      <c r="B101" s="8" t="s">
        <v>2050</v>
      </c>
      <c r="C101" s="7" t="s">
        <v>2051</v>
      </c>
      <c r="D101" s="8" t="str">
        <f>Q&amp;$K101&amp;Q&amp;":{"&amp;Q&amp;$B$2&amp;Q&amp;":"&amp;Q&amp;$B101&amp;Q&amp;","&amp;Q&amp;$C$2&amp;Q&amp;":"&amp;Q&amp;$C101&amp;Q&amp;","&amp;Q&amp;"sets"&amp;Q&amp;":"&amp;Q&amp;substitute(SUBSTITUTE($H101,"[",""),"]","")&amp;Q&amp;"},"</f>
        <v>"obcq":{"label":"Antiques Roadshow","extra":"PBS television program where folks bring oddities for appraisal. One person’s trash is another one’s treasure.","sets":"Expansion Set 3, Party Expansion 1"},</v>
      </c>
      <c r="E101" s="9" t="str">
        <f t="shared" si="2"/>
        <v>data:image/svg+xml,%3csvg xmlns='http://www.w3.org/2000/svg' viewBox='0 0 24 216'%3e%3ctext fill='%23fff' style='font: 900 16px sans-serif' text-anchor='end' transform='matrix(0 -1 1 0 18 5)'%3eAntiques Roadshow%3c/text%3e%3c/svg%3e</v>
      </c>
      <c r="F101" s="14" t="str">
        <f t="shared" si="3"/>
        <v>https://svgtext.heliohost.us/cgi-bin/gen.perl?text=Antiques%20Roadshow</v>
      </c>
      <c r="G101" s="11" t="str">
        <f t="shared" si="4"/>
        <v>data:image/svg+xml,%3csvg xmlns='http://www.w3.org/2000/svg' viewBox='0 0 24 216'%3e%3ctext fill='%23fff' style='font: 900 16px sans-serif' text-anchor='end' transform='matrix(0 -1 1 0 18 5)'%3eAntiques Roadshow%3c/text%3e%3c/svg%3e</v>
      </c>
      <c r="H101" s="8" t="s">
        <v>39</v>
      </c>
      <c r="I101" s="8">
        <f t="shared" ref="I101:J101" si="102">len(B101)</f>
        <v>17</v>
      </c>
      <c r="J101" s="8">
        <f t="shared" si="102"/>
        <v>110</v>
      </c>
      <c r="K101" s="8" t="s">
        <v>2052</v>
      </c>
    </row>
    <row r="102">
      <c r="A102" s="7" t="b">
        <v>0</v>
      </c>
      <c r="B102" s="8" t="s">
        <v>2053</v>
      </c>
      <c r="C102" s="7" t="s">
        <v>2054</v>
      </c>
      <c r="D102" s="8" t="str">
        <f>Q&amp;$K102&amp;Q&amp;":{"&amp;Q&amp;$B$2&amp;Q&amp;":"&amp;Q&amp;$B102&amp;Q&amp;","&amp;Q&amp;$C$2&amp;Q&amp;":"&amp;Q&amp;$C102&amp;Q&amp;","&amp;Q&amp;"sets"&amp;Q&amp;":"&amp;Q&amp;substitute(SUBSTITUTE($H102,"[",""),"]","")&amp;Q&amp;"},"</f>
        <v>"hhmh":{"label":"Antony &amp; Cleopatra","extra":"Roman general and Egyptian queen. A love affair that wouldn’t die. Oh, wait, it did.","sets":"Expansion Set 4, Party Expansion 1"},</v>
      </c>
      <c r="E102" s="9" t="str">
        <f t="shared" si="2"/>
        <v>data:image/svg+xml,%3csvg xmlns='http://www.w3.org/2000/svg' viewBox='0 0 24 216'%3e%3ctext fill='%23fff' style='font: 900 16px sans-serif' text-anchor='end' transform='matrix(0 -1 1 0 18 5)'%3eAntony %26amp%3B Cleopatra%3c/text%3e%3c/svg%3e</v>
      </c>
      <c r="F102" s="14" t="str">
        <f t="shared" si="3"/>
        <v>https://svgtext.heliohost.us/cgi-bin/gen.perl?text=Antony%20%26%20Cleopatra</v>
      </c>
      <c r="G102" s="11" t="str">
        <f t="shared" si="4"/>
        <v>data:image/svg+xml,%3csvg xmlns='http://www.w3.org/2000/svg' viewBox='0 0 24 216'%3e%3ctext fill='%23fff' style='font: 900 16px sans-serif' text-anchor='end' transform='matrix(0 -1 1 0 18 5)'%3eAntony %26amp%3B Cleopatra%3c/text%3e%3c/svg%3e</v>
      </c>
      <c r="H102" s="8" t="s">
        <v>63</v>
      </c>
      <c r="I102" s="8">
        <f t="shared" ref="I102:J102" si="103">len(B102)</f>
        <v>18</v>
      </c>
      <c r="J102" s="8">
        <f t="shared" si="103"/>
        <v>84</v>
      </c>
      <c r="K102" s="8" t="s">
        <v>2055</v>
      </c>
    </row>
    <row r="103">
      <c r="A103" s="7" t="b">
        <v>1</v>
      </c>
      <c r="B103" s="8" t="s">
        <v>2056</v>
      </c>
      <c r="C103" s="7" t="s">
        <v>2057</v>
      </c>
      <c r="D103" s="8" t="str">
        <f>Q&amp;$K103&amp;Q&amp;":{"&amp;Q&amp;$B$2&amp;Q&amp;":"&amp;Q&amp;$B103&amp;Q&amp;","&amp;Q&amp;$C$2&amp;Q&amp;":"&amp;Q&amp;$C103&amp;Q&amp;","&amp;Q&amp;"sets"&amp;Q&amp;":"&amp;Q&amp;substitute(SUBSTITUTE($H103,"[",""),"]","")&amp;Q&amp;"},"</f>
        <v>"nhnb":{"label":"Ants","extra":"Some are black and some are red. I don’t want them in my bed!","sets":"Junior"},</v>
      </c>
      <c r="E103" s="9" t="str">
        <f t="shared" si="2"/>
        <v>data:image/svg+xml,%3csvg xmlns='http://www.w3.org/2000/svg' viewBox='0 0 24 216'%3e%3ctext fill='%23fff' style='font: 900 16px sans-serif' text-anchor='end' transform='matrix(0 -1 1 0 18 5)'%3eAnts%3c/text%3e%3c/svg%3e</v>
      </c>
      <c r="F103" s="14" t="str">
        <f t="shared" si="3"/>
        <v>https://svgtext.heliohost.us/cgi-bin/gen.perl?text=Ants</v>
      </c>
      <c r="G103" s="11" t="str">
        <f t="shared" si="4"/>
        <v>data:image/svg+xml,%3csvg xmlns='http://www.w3.org/2000/svg' viewBox='0 0 24 216'%3e%3ctext fill='%23fff' style='font: 900 16px sans-serif' text-anchor='end' transform='matrix(0 -1 1 0 18 5)'%3eAnts%3c/text%3e%3c/svg%3e</v>
      </c>
      <c r="H103" s="8" t="s">
        <v>84</v>
      </c>
      <c r="I103" s="8">
        <f t="shared" ref="I103:J103" si="104">len(B103)</f>
        <v>4</v>
      </c>
      <c r="J103" s="8">
        <f t="shared" si="104"/>
        <v>61</v>
      </c>
      <c r="K103" s="8" t="s">
        <v>2058</v>
      </c>
    </row>
    <row r="104">
      <c r="A104" s="7" t="b">
        <v>0</v>
      </c>
      <c r="B104" s="8" t="s">
        <v>2059</v>
      </c>
      <c r="C104" s="7" t="s">
        <v>2060</v>
      </c>
      <c r="D104" s="8" t="str">
        <f>Q&amp;$K104&amp;Q&amp;":{"&amp;Q&amp;$B$2&amp;Q&amp;":"&amp;Q&amp;$B104&amp;Q&amp;","&amp;Q&amp;$C$2&amp;Q&amp;":"&amp;Q&amp;$C104&amp;Q&amp;","&amp;Q&amp;"sets"&amp;Q&amp;":"&amp;Q&amp;substitute(SUBSTITUTE($H104,"[",""),"]","")&amp;Q&amp;"},"</f>
        <v>"trsk":{"label":"Apple Juice","extra":"Baby’s first juice.","sets":"Junior"},</v>
      </c>
      <c r="E104" s="9" t="str">
        <f t="shared" si="2"/>
        <v>data:image/svg+xml,%3csvg xmlns='http://www.w3.org/2000/svg' viewBox='0 0 24 216'%3e%3ctext fill='%23fff' style='font: 900 16px sans-serif' text-anchor='end' transform='matrix(0 -1 1 0 18 5)'%3eApple Juice%3c/text%3e%3c/svg%3e</v>
      </c>
      <c r="F104" s="14" t="str">
        <f t="shared" si="3"/>
        <v>https://svgtext.heliohost.us/cgi-bin/gen.perl?text=Apple%20Juice</v>
      </c>
      <c r="G104" s="11" t="str">
        <f t="shared" si="4"/>
        <v>data:image/svg+xml,%3csvg xmlns='http://www.w3.org/2000/svg' viewBox='0 0 24 216'%3e%3ctext fill='%23fff' style='font: 900 16px sans-serif' text-anchor='end' transform='matrix(0 -1 1 0 18 5)'%3eApple Juice%3c/text%3e%3c/svg%3e</v>
      </c>
      <c r="H104" s="8" t="s">
        <v>84</v>
      </c>
      <c r="I104" s="8">
        <f t="shared" ref="I104:J104" si="105">len(B104)</f>
        <v>11</v>
      </c>
      <c r="J104" s="8">
        <f t="shared" si="105"/>
        <v>19</v>
      </c>
      <c r="K104" s="8" t="s">
        <v>2061</v>
      </c>
    </row>
    <row r="105">
      <c r="A105" s="7" t="b">
        <v>0</v>
      </c>
      <c r="B105" s="8" t="s">
        <v>2062</v>
      </c>
      <c r="C105" s="7" t="s">
        <v>2063</v>
      </c>
      <c r="D105" s="8" t="str">
        <f>Q&amp;$K105&amp;Q&amp;":{"&amp;Q&amp;$B$2&amp;Q&amp;":"&amp;Q&amp;$B105&amp;Q&amp;","&amp;Q&amp;$C$2&amp;Q&amp;":"&amp;Q&amp;$C105&amp;Q&amp;","&amp;Q&amp;"sets"&amp;Q&amp;":"&amp;Q&amp;substitute(SUBSTITUTE($H105,"[",""),"]","")&amp;Q&amp;"},"</f>
        <v>"ferp":{"label":"Apple Pie","extra":"It's as American as… as… something…","sets":"Expansion Set 1, Party Set"},</v>
      </c>
      <c r="E105" s="9" t="str">
        <f t="shared" si="2"/>
        <v>data:image/svg+xml,%3csvg xmlns='http://www.w3.org/2000/svg' viewBox='0 0 24 216'%3e%3ctext fill='%23fff' style='font: 900 16px sans-serif' text-anchor='end' transform='matrix(0 -1 1 0 18 5)'%3eApple Pie%3c/text%3e%3c/svg%3e</v>
      </c>
      <c r="F105" s="14" t="str">
        <f t="shared" si="3"/>
        <v>https://svgtext.heliohost.us/cgi-bin/gen.perl?text=Apple%20Pie</v>
      </c>
      <c r="G105" s="11" t="str">
        <f t="shared" si="4"/>
        <v>data:image/svg+xml,%3csvg xmlns='http://www.w3.org/2000/svg' viewBox='0 0 24 216'%3e%3ctext fill='%23fff' style='font: 900 16px sans-serif' text-anchor='end' transform='matrix(0 -1 1 0 18 5)'%3eApple Pie%3c/text%3e%3c/svg%3e</v>
      </c>
      <c r="H105" s="8" t="s">
        <v>25</v>
      </c>
      <c r="I105" s="8">
        <f t="shared" ref="I105:J105" si="106">len(B105)</f>
        <v>9</v>
      </c>
      <c r="J105" s="8">
        <f t="shared" si="106"/>
        <v>35</v>
      </c>
      <c r="K105" s="8" t="s">
        <v>2064</v>
      </c>
    </row>
    <row r="106">
      <c r="A106" s="7" t="b">
        <v>0</v>
      </c>
      <c r="B106" s="8" t="s">
        <v>2065</v>
      </c>
      <c r="C106" s="7" t="s">
        <v>2066</v>
      </c>
      <c r="D106" s="8" t="str">
        <f>Q&amp;$K106&amp;Q&amp;":{"&amp;Q&amp;$B$2&amp;Q&amp;":"&amp;Q&amp;$B106&amp;Q&amp;","&amp;Q&amp;$C$2&amp;Q&amp;":"&amp;Q&amp;$C106&amp;Q&amp;","&amp;Q&amp;"sets"&amp;Q&amp;":"&amp;Q&amp;substitute(SUBSTITUTE($H106,"[",""),"]","")&amp;Q&amp;"},"</f>
        <v>"hzqo":{"label":"Apples","extra":"More than 40 million metric tons are produced worldwide every year. How ’bout them apples?","sets":"Basic Set, Party Set"},</v>
      </c>
      <c r="E106" s="9" t="str">
        <f t="shared" si="2"/>
        <v>data:image/svg+xml,%3csvg xmlns='http://www.w3.org/2000/svg' viewBox='0 0 24 216'%3e%3ctext fill='%23fff' style='font: 900 16px sans-serif' text-anchor='end' transform='matrix(0 -1 1 0 18 5)'%3eApples%3c/text%3e%3c/svg%3e</v>
      </c>
      <c r="F106" s="14" t="str">
        <f t="shared" si="3"/>
        <v>https://svgtext.heliohost.us/cgi-bin/gen.perl?text=Apples</v>
      </c>
      <c r="G106" s="11" t="str">
        <f t="shared" si="4"/>
        <v>data:image/svg+xml,%3csvg xmlns='http://www.w3.org/2000/svg' viewBox='0 0 24 216'%3e%3ctext fill='%23fff' style='font: 900 16px sans-serif' text-anchor='end' transform='matrix(0 -1 1 0 18 5)'%3eApples%3c/text%3e%3c/svg%3e</v>
      </c>
      <c r="H106" s="8" t="s">
        <v>29</v>
      </c>
      <c r="I106" s="8">
        <f t="shared" ref="I106:J106" si="107">len(B106)</f>
        <v>6</v>
      </c>
      <c r="J106" s="8">
        <f t="shared" si="107"/>
        <v>90</v>
      </c>
      <c r="K106" s="8" t="s">
        <v>2067</v>
      </c>
    </row>
    <row r="107">
      <c r="A107" s="7" t="b">
        <v>1</v>
      </c>
      <c r="B107" s="8" t="s">
        <v>2065</v>
      </c>
      <c r="C107" s="8" t="s">
        <v>2068</v>
      </c>
      <c r="D107" s="8" t="str">
        <f>Q&amp;$K107&amp;Q&amp;":{"&amp;Q&amp;$B$2&amp;Q&amp;":"&amp;Q&amp;$B107&amp;Q&amp;","&amp;Q&amp;$C$2&amp;Q&amp;":"&amp;Q&amp;$C107&amp;Q&amp;","&amp;Q&amp;"sets"&amp;Q&amp;":"&amp;Q&amp;substitute(SUBSTITUTE($H107,"[",""),"]","")&amp;Q&amp;"},"</f>
        <v>"nwsz":{"label":"Apples","extra":"Johnny Appleseed traveled across the United States planting seeds for apple trees.","sets":"Junior"},</v>
      </c>
      <c r="E107" s="9" t="str">
        <f t="shared" si="2"/>
        <v>data:image/svg+xml,%3csvg xmlns='http://www.w3.org/2000/svg' viewBox='0 0 24 216'%3e%3ctext fill='%23fff' style='font: 900 16px sans-serif' text-anchor='end' transform='matrix(0 -1 1 0 18 5)'%3eApples%3c/text%3e%3c/svg%3e</v>
      </c>
      <c r="F107" s="14" t="str">
        <f t="shared" si="3"/>
        <v>https://svgtext.heliohost.us/cgi-bin/gen.perl?text=Apples</v>
      </c>
      <c r="G107" s="11" t="str">
        <f t="shared" si="4"/>
        <v>data:image/svg+xml,%3csvg xmlns='http://www.w3.org/2000/svg' viewBox='0 0 24 216'%3e%3ctext fill='%23fff' style='font: 900 16px sans-serif' text-anchor='end' transform='matrix(0 -1 1 0 18 5)'%3eApples%3c/text%3e%3c/svg%3e</v>
      </c>
      <c r="H107" s="8" t="s">
        <v>84</v>
      </c>
      <c r="I107" s="8">
        <f t="shared" ref="I107:J107" si="108">len(B107)</f>
        <v>6</v>
      </c>
      <c r="J107" s="8">
        <f t="shared" si="108"/>
        <v>82</v>
      </c>
      <c r="K107" s="8" t="s">
        <v>2069</v>
      </c>
    </row>
    <row r="108">
      <c r="A108" s="7" t="b">
        <v>1</v>
      </c>
      <c r="B108" s="8" t="s">
        <v>2070</v>
      </c>
      <c r="C108" s="7" t="s">
        <v>2071</v>
      </c>
      <c r="D108" s="8" t="str">
        <f>Q&amp;$K108&amp;Q&amp;":{"&amp;Q&amp;$B$2&amp;Q&amp;":"&amp;Q&amp;$B108&amp;Q&amp;","&amp;Q&amp;$C$2&amp;Q&amp;":"&amp;Q&amp;$C108&amp;Q&amp;","&amp;Q&amp;"sets"&amp;Q&amp;":"&amp;Q&amp;substitute(SUBSTITUTE($H108,"[",""),"]","")&amp;Q&amp;"},"</f>
        <v>"oxti":{"label":"Apples &amp; Oranges","extra":"Don't even TRY to compare them.","sets":"Expansion Set 4, Party Expansion 1"},</v>
      </c>
      <c r="E108" s="9" t="str">
        <f t="shared" si="2"/>
        <v>data:image/svg+xml,%3csvg xmlns='http://www.w3.org/2000/svg' viewBox='0 0 24 216'%3e%3ctext fill='%23fff' style='font: 900 16px sans-serif' text-anchor='end' transform='matrix(0 -1 1 0 18 5)'%3eApples %26amp%3B Oranges%3c/text%3e%3c/svg%3e</v>
      </c>
      <c r="F108" s="14" t="str">
        <f t="shared" si="3"/>
        <v>https://svgtext.heliohost.us/cgi-bin/gen.perl?text=Apples%20%26%20Oranges</v>
      </c>
      <c r="G108" s="11" t="str">
        <f t="shared" si="4"/>
        <v>data:image/svg+xml,%3csvg xmlns='http://www.w3.org/2000/svg' viewBox='0 0 24 216'%3e%3ctext fill='%23fff' style='font: 900 16px sans-serif' text-anchor='end' transform='matrix(0 -1 1 0 18 5)'%3eApples %26amp%3B Oranges%3c/text%3e%3c/svg%3e</v>
      </c>
      <c r="H108" s="8" t="s">
        <v>63</v>
      </c>
      <c r="I108" s="8">
        <f t="shared" ref="I108:J108" si="109">len(B108)</f>
        <v>16</v>
      </c>
      <c r="J108" s="8">
        <f t="shared" si="109"/>
        <v>31</v>
      </c>
      <c r="K108" s="8" t="s">
        <v>2072</v>
      </c>
    </row>
    <row r="109">
      <c r="A109" s="7" t="b">
        <v>1</v>
      </c>
      <c r="B109" s="8" t="s">
        <v>2073</v>
      </c>
      <c r="C109" s="7" t="s">
        <v>2074</v>
      </c>
      <c r="D109" s="8" t="str">
        <f>Q&amp;$K109&amp;Q&amp;":{"&amp;Q&amp;$B$2&amp;Q&amp;":"&amp;Q&amp;$B109&amp;Q&amp;","&amp;Q&amp;$C$2&amp;Q&amp;":"&amp;Q&amp;$C109&amp;Q&amp;","&amp;Q&amp;"sets"&amp;Q&amp;":"&amp;Q&amp;substitute(SUBSTITUTE($H109,"[",""),"]","")&amp;Q&amp;"},"</f>
        <v>"qesv":{"label":"Aristotle","extra":"384-322 B.C., ancient Greek philosopher. His writings formed the foundation for much of today’s philosophical and political thought.","sets":"Expansion Set 3, Party Expansion 1"},</v>
      </c>
      <c r="E109" s="9" t="str">
        <f t="shared" si="2"/>
        <v>data:image/svg+xml,%3csvg xmlns='http://www.w3.org/2000/svg' viewBox='0 0 24 216'%3e%3ctext fill='%23fff' style='font: 900 16px sans-serif' text-anchor='end' transform='matrix(0 -1 1 0 18 5)'%3eAristotle%3c/text%3e%3c/svg%3e</v>
      </c>
      <c r="F109" s="14" t="str">
        <f t="shared" si="3"/>
        <v>https://svgtext.heliohost.us/cgi-bin/gen.perl?text=Aristotle</v>
      </c>
      <c r="G109" s="11" t="str">
        <f t="shared" si="4"/>
        <v>data:image/svg+xml,%3csvg xmlns='http://www.w3.org/2000/svg' viewBox='0 0 24 216'%3e%3ctext fill='%23fff' style='font: 900 16px sans-serif' text-anchor='end' transform='matrix(0 -1 1 0 18 5)'%3eAristotle%3c/text%3e%3c/svg%3e</v>
      </c>
      <c r="H109" s="8" t="s">
        <v>39</v>
      </c>
      <c r="I109" s="8">
        <f t="shared" ref="I109:J109" si="110">len(B109)</f>
        <v>9</v>
      </c>
      <c r="J109" s="8">
        <f t="shared" si="110"/>
        <v>132</v>
      </c>
      <c r="K109" s="8" t="s">
        <v>2075</v>
      </c>
    </row>
    <row r="110">
      <c r="A110" s="7" t="b">
        <v>1</v>
      </c>
      <c r="B110" s="8" t="s">
        <v>2076</v>
      </c>
      <c r="C110" s="7" t="s">
        <v>2077</v>
      </c>
      <c r="D110" s="8" t="str">
        <f>Q&amp;$K110&amp;Q&amp;":{"&amp;Q&amp;$B$2&amp;Q&amp;":"&amp;Q&amp;$B110&amp;Q&amp;","&amp;Q&amp;$C$2&amp;Q&amp;":"&amp;Q&amp;$C110&amp;Q&amp;","&amp;Q&amp;"sets"&amp;Q&amp;":"&amp;Q&amp;substitute(SUBSTITUTE($H110,"[",""),"]","")&amp;Q&amp;"},"</f>
        <v>"i{pw":{"label":"Arm &amp; A Leg","extra":"Sure, they were free, but just try replacing them.","sets":"Expansion Set 4, Party Expansion 1"},</v>
      </c>
      <c r="E110" s="9" t="str">
        <f t="shared" si="2"/>
        <v>data:image/svg+xml,%3csvg xmlns='http://www.w3.org/2000/svg' viewBox='0 0 24 216'%3e%3ctext fill='%23fff' style='font: 900 16px sans-serif' text-anchor='end' transform='matrix(0 -1 1 0 18 5)'%3eArm %26amp%3B A Leg%3c/text%3e%3c/svg%3e</v>
      </c>
      <c r="F110" s="14" t="str">
        <f t="shared" si="3"/>
        <v>https://svgtext.heliohost.us/cgi-bin/gen.perl?text=Arm%20%26%20A%20Leg</v>
      </c>
      <c r="G110" s="11" t="str">
        <f t="shared" si="4"/>
        <v>data:image/svg+xml,%3csvg xmlns='http://www.w3.org/2000/svg' viewBox='0 0 24 216'%3e%3ctext fill='%23fff' style='font: 900 16px sans-serif' text-anchor='end' transform='matrix(0 -1 1 0 18 5)'%3eArm %26amp%3B A Leg%3c/text%3e%3c/svg%3e</v>
      </c>
      <c r="H110" s="8" t="s">
        <v>63</v>
      </c>
      <c r="I110" s="8">
        <f t="shared" ref="I110:J110" si="111">len(B110)</f>
        <v>11</v>
      </c>
      <c r="J110" s="8">
        <f t="shared" si="111"/>
        <v>50</v>
      </c>
      <c r="K110" s="8" t="s">
        <v>2078</v>
      </c>
    </row>
    <row r="111">
      <c r="A111" s="7" t="b">
        <v>1</v>
      </c>
      <c r="B111" s="8" t="s">
        <v>2079</v>
      </c>
      <c r="C111" s="7" t="s">
        <v>2080</v>
      </c>
      <c r="D111" s="8" t="str">
        <f>Q&amp;$K111&amp;Q&amp;":{"&amp;Q&amp;$B$2&amp;Q&amp;":"&amp;Q&amp;$B111&amp;Q&amp;","&amp;Q&amp;$C$2&amp;Q&amp;":"&amp;Q&amp;$C111&amp;Q&amp;","&amp;Q&amp;"sets"&amp;Q&amp;":"&amp;Q&amp;substitute(SUBSTITUTE($H111,"[",""),"]","")&amp;Q&amp;"},"</f>
        <v>"elgn":{"label":"Armadillo","extra":"Burrowing mammal with armor-like bony plat covering. Roadkill extraordinaire.","sets":"Expansion Set 3, Party Expansion 1"},</v>
      </c>
      <c r="E111" s="9" t="str">
        <f t="shared" si="2"/>
        <v>data:image/svg+xml,%3csvg xmlns='http://www.w3.org/2000/svg' viewBox='0 0 24 216'%3e%3ctext fill='%23fff' style='font: 900 16px sans-serif' text-anchor='end' transform='matrix(0 -1 1 0 18 5)'%3eArmadillo%3c/text%3e%3c/svg%3e</v>
      </c>
      <c r="F111" s="14" t="str">
        <f t="shared" si="3"/>
        <v>https://svgtext.heliohost.us/cgi-bin/gen.perl?text=Armadillo</v>
      </c>
      <c r="G111" s="11" t="str">
        <f t="shared" si="4"/>
        <v>data:image/svg+xml,%3csvg xmlns='http://www.w3.org/2000/svg' viewBox='0 0 24 216'%3e%3ctext fill='%23fff' style='font: 900 16px sans-serif' text-anchor='end' transform='matrix(0 -1 1 0 18 5)'%3eArmadillo%3c/text%3e%3c/svg%3e</v>
      </c>
      <c r="H111" s="8" t="s">
        <v>39</v>
      </c>
      <c r="I111" s="8">
        <f t="shared" ref="I111:J111" si="112">len(B111)</f>
        <v>9</v>
      </c>
      <c r="J111" s="8">
        <f t="shared" si="112"/>
        <v>77</v>
      </c>
      <c r="K111" s="8" t="s">
        <v>2081</v>
      </c>
    </row>
    <row r="112">
      <c r="A112" s="7" t="b">
        <v>0</v>
      </c>
      <c r="B112" s="8" t="s">
        <v>2082</v>
      </c>
      <c r="C112" s="8" t="s">
        <v>2083</v>
      </c>
      <c r="D112" s="8" t="str">
        <f>Q&amp;$K112&amp;Q&amp;":{"&amp;Q&amp;$B$2&amp;Q&amp;":"&amp;Q&amp;$B112&amp;Q&amp;","&amp;Q&amp;$C$2&amp;Q&amp;":"&amp;Q&amp;$C112&amp;Q&amp;","&amp;Q&amp;"sets"&amp;Q&amp;":"&amp;Q&amp;substitute(SUBSTITUTE($H112,"[",""),"]","")&amp;Q&amp;"},"</f>
        <v>"wnfw":{"label":"Armed Robbery","extra":"You got your Robbery, your Armed Robbery, your Strong Armed Robbery, and, of course, the five finger discount.","sets":"Expansion Set 2, Party Set"},</v>
      </c>
      <c r="E112" s="9" t="str">
        <f t="shared" si="2"/>
        <v>data:image/svg+xml,%3csvg xmlns='http://www.w3.org/2000/svg' viewBox='0 0 24 216'%3e%3ctext fill='%23fff' style='font: 900 16px sans-serif' text-anchor='end' transform='matrix(0 -1 1 0 18 5)'%3eArmed Robbery%3c/text%3e%3c/svg%3e</v>
      </c>
      <c r="F112" s="14" t="str">
        <f t="shared" si="3"/>
        <v>https://svgtext.heliohost.us/cgi-bin/gen.perl?text=Armed%20Robbery</v>
      </c>
      <c r="G112" s="11" t="str">
        <f t="shared" si="4"/>
        <v>data:image/svg+xml,%3csvg xmlns='http://www.w3.org/2000/svg' viewBox='0 0 24 216'%3e%3ctext fill='%23fff' style='font: 900 16px sans-serif' text-anchor='end' transform='matrix(0 -1 1 0 18 5)'%3eArmed Robbery%3c/text%3e%3c/svg%3e</v>
      </c>
      <c r="H112" s="8" t="s">
        <v>17</v>
      </c>
      <c r="I112" s="8">
        <f t="shared" ref="I112:J112" si="113">len(B112)</f>
        <v>13</v>
      </c>
      <c r="J112" s="8">
        <f t="shared" si="113"/>
        <v>110</v>
      </c>
      <c r="K112" s="8" t="s">
        <v>2084</v>
      </c>
    </row>
    <row r="113">
      <c r="A113" s="7" t="b">
        <v>1</v>
      </c>
      <c r="B113" s="8" t="s">
        <v>2085</v>
      </c>
      <c r="C113" s="7" t="s">
        <v>2086</v>
      </c>
      <c r="D113" s="8" t="str">
        <f>Q&amp;$K113&amp;Q&amp;":{"&amp;Q&amp;$B$2&amp;Q&amp;":"&amp;Q&amp;$B113&amp;Q&amp;","&amp;Q&amp;$C$2&amp;Q&amp;":"&amp;Q&amp;$C113&amp;Q&amp;","&amp;Q&amp;"sets"&amp;Q&amp;":"&amp;Q&amp;substitute(SUBSTITUTE($H113,"[",""),"]","")&amp;Q&amp;"},"</f>
        <v>"sypw":{"label":"Arnold Schwarzenegger","extra":"1947-, Austrian born body-builder turned actor. “My body is like breakfast, lunch, and dinner. I don’t think about it, I just have it.”","sets":"Expansion Set 3, Party Expansion 1"},</v>
      </c>
      <c r="E113" s="9" t="str">
        <f t="shared" si="2"/>
        <v>data:image/svg+xml,%3csvg xmlns='http://www.w3.org/2000/svg' viewBox='0 0 24 216'%3e%3ctext fill='%23fff' style='font: 900 16px sans-serif' text-anchor='end' transform='matrix(0 -1 1 0 18 5)'%3eArnold Schwarzenegger%3c/text%3e%3c/svg%3e</v>
      </c>
      <c r="F113" s="14" t="str">
        <f t="shared" si="3"/>
        <v>https://svgtext.heliohost.us/cgi-bin/gen.perl?text=Arnold%20Schwarzenegger</v>
      </c>
      <c r="G113" s="11" t="str">
        <f t="shared" si="4"/>
        <v>data:image/svg+xml,%3csvg xmlns='http://www.w3.org/2000/svg' viewBox='0 0 24 216'%3e%3ctext fill='%23fff' style='font: 900 16px sans-serif' text-anchor='end' transform='matrix(0 -1 1 0 18 5)'%3eArnold Schwarzenegger%3c/text%3e%3c/svg%3e</v>
      </c>
      <c r="H113" s="8" t="s">
        <v>39</v>
      </c>
      <c r="I113" s="8">
        <f t="shared" ref="I113:J113" si="114">len(B113)</f>
        <v>21</v>
      </c>
      <c r="J113" s="8">
        <f t="shared" si="114"/>
        <v>135</v>
      </c>
      <c r="K113" s="8" t="s">
        <v>2087</v>
      </c>
    </row>
    <row r="114">
      <c r="A114" s="7" t="b">
        <v>1</v>
      </c>
      <c r="B114" s="8" t="s">
        <v>2088</v>
      </c>
      <c r="C114" s="7" t="s">
        <v>2089</v>
      </c>
      <c r="D114" s="8" t="str">
        <f>Q&amp;$K114&amp;Q&amp;":{"&amp;Q&amp;$B$2&amp;Q&amp;":"&amp;Q&amp;$B114&amp;Q&amp;","&amp;Q&amp;$C$2&amp;Q&amp;":"&amp;Q&amp;$C114&amp;Q&amp;","&amp;Q&amp;"sets"&amp;Q&amp;":"&amp;Q&amp;substitute(SUBSTITUTE($H114,"[",""),"]","")&amp;Q&amp;"},"</f>
        <v>"otgn":{"label":"Aroma Therapy","extra":"Alternative medicine. Something’s smelly about it.","sets":"Expansion Set 3, Party Expansion 1"},</v>
      </c>
      <c r="E114" s="9" t="str">
        <f t="shared" si="2"/>
        <v>data:image/svg+xml,%3csvg xmlns='http://www.w3.org/2000/svg' viewBox='0 0 24 216'%3e%3ctext fill='%23fff' style='font: 900 16px sans-serif' text-anchor='end' transform='matrix(0 -1 1 0 18 5)'%3eAroma Therapy%3c/text%3e%3c/svg%3e</v>
      </c>
      <c r="F114" s="14" t="str">
        <f t="shared" si="3"/>
        <v>https://svgtext.heliohost.us/cgi-bin/gen.perl?text=Aroma%20Therapy</v>
      </c>
      <c r="G114" s="11" t="str">
        <f t="shared" si="4"/>
        <v>data:image/svg+xml,%3csvg xmlns='http://www.w3.org/2000/svg' viewBox='0 0 24 216'%3e%3ctext fill='%23fff' style='font: 900 16px sans-serif' text-anchor='end' transform='matrix(0 -1 1 0 18 5)'%3eAroma Therapy%3c/text%3e%3c/svg%3e</v>
      </c>
      <c r="H114" s="8" t="s">
        <v>39</v>
      </c>
      <c r="I114" s="8">
        <f t="shared" ref="I114:J114" si="115">len(B114)</f>
        <v>13</v>
      </c>
      <c r="J114" s="8">
        <f t="shared" si="115"/>
        <v>50</v>
      </c>
      <c r="K114" s="8" t="s">
        <v>2090</v>
      </c>
    </row>
    <row r="115">
      <c r="A115" s="7" t="b">
        <v>0</v>
      </c>
      <c r="B115" s="8" t="s">
        <v>2091</v>
      </c>
      <c r="C115" s="8" t="s">
        <v>2092</v>
      </c>
      <c r="D115" s="8" t="str">
        <f>Q&amp;$K115&amp;Q&amp;":{"&amp;Q&amp;$B$2&amp;Q&amp;":"&amp;Q&amp;$B115&amp;Q&amp;","&amp;Q&amp;$C$2&amp;Q&amp;":"&amp;Q&amp;$C115&amp;Q&amp;","&amp;Q&amp;"sets"&amp;Q&amp;":"&amp;Q&amp;substitute(SUBSTITUTE($H115,"[",""),"]","")&amp;Q&amp;"},"</f>
        <v>"ddiw":{"label":"Arsenic &amp; Old Lace","extra":"The hilarious dark comedy written by Joseph Kesselring, or the 1944 film adaptation by Frank Capra.","sets":"Expansion Set 4, Party Expansion 1"},</v>
      </c>
      <c r="E115" s="9" t="str">
        <f t="shared" si="2"/>
        <v>data:image/svg+xml,%3csvg xmlns='http://www.w3.org/2000/svg' viewBox='0 0 24 216'%3e%3ctext fill='%23fff' style='font: 900 16px sans-serif' text-anchor='end' transform='matrix(0 -1 1 0 18 5)'%3eArsenic %26amp%3B Old Lace%3c/text%3e%3c/svg%3e</v>
      </c>
      <c r="F115" s="14" t="str">
        <f t="shared" si="3"/>
        <v>https://svgtext.heliohost.us/cgi-bin/gen.perl?text=Arsenic%20%26%20Old%20Lace</v>
      </c>
      <c r="G115" s="11" t="str">
        <f t="shared" si="4"/>
        <v>data:image/svg+xml,%3csvg xmlns='http://www.w3.org/2000/svg' viewBox='0 0 24 216'%3e%3ctext fill='%23fff' style='font: 900 16px sans-serif' text-anchor='end' transform='matrix(0 -1 1 0 18 5)'%3eArsenic %26amp%3B Old Lace%3c/text%3e%3c/svg%3e</v>
      </c>
      <c r="H115" s="8" t="s">
        <v>63</v>
      </c>
      <c r="I115" s="8">
        <f t="shared" ref="I115:J115" si="116">len(B115)</f>
        <v>18</v>
      </c>
      <c r="J115" s="8">
        <f t="shared" si="116"/>
        <v>99</v>
      </c>
      <c r="K115" s="8" t="s">
        <v>2093</v>
      </c>
    </row>
    <row r="116">
      <c r="A116" s="7" t="b">
        <v>1</v>
      </c>
      <c r="B116" s="8" t="s">
        <v>2094</v>
      </c>
      <c r="C116" s="8" t="s">
        <v>2095</v>
      </c>
      <c r="D116" s="8" t="str">
        <f>Q&amp;$K116&amp;Q&amp;":{"&amp;Q&amp;$B$2&amp;Q&amp;":"&amp;Q&amp;$B116&amp;Q&amp;","&amp;Q&amp;$C$2&amp;Q&amp;":"&amp;Q&amp;$C116&amp;Q&amp;","&amp;Q&amp;"sets"&amp;Q&amp;":"&amp;Q&amp;substitute(SUBSTITUTE($H116,"[",""),"]","")&amp;Q&amp;"},"</f>
        <v>"skey":{"label":"Artists","extra":"So creative!","sets":"Junior 9+ (1st) &amp; (2nd)"},</v>
      </c>
      <c r="E116" s="9" t="str">
        <f t="shared" si="2"/>
        <v>data:image/svg+xml,%3csvg xmlns='http://www.w3.org/2000/svg' viewBox='0 0 24 216'%3e%3ctext fill='%23fff' style='font: 900 16px sans-serif' text-anchor='end' transform='matrix(0 -1 1 0 18 5)'%3eArtists%3c/text%3e%3c/svg%3e</v>
      </c>
      <c r="F116" s="14" t="str">
        <f t="shared" si="3"/>
        <v>https://svgtext.heliohost.us/cgi-bin/gen.perl?text=Artists</v>
      </c>
      <c r="G116" s="11" t="str">
        <f t="shared" si="4"/>
        <v>data:image/svg+xml,%3csvg xmlns='http://www.w3.org/2000/svg' viewBox='0 0 24 216'%3e%3ctext fill='%23fff' style='font: 900 16px sans-serif' text-anchor='end' transform='matrix(0 -1 1 0 18 5)'%3eArtists%3c/text%3e%3c/svg%3e</v>
      </c>
      <c r="H116" s="8" t="s">
        <v>42</v>
      </c>
      <c r="I116" s="8">
        <f t="shared" ref="I116:J116" si="117">len(B116)</f>
        <v>7</v>
      </c>
      <c r="J116" s="8">
        <f t="shared" si="117"/>
        <v>12</v>
      </c>
      <c r="K116" s="8" t="s">
        <v>2096</v>
      </c>
    </row>
    <row r="117">
      <c r="A117" s="7" t="b">
        <v>1</v>
      </c>
      <c r="B117" s="8" t="s">
        <v>2097</v>
      </c>
      <c r="C117" s="7" t="s">
        <v>2098</v>
      </c>
      <c r="D117" s="8" t="str">
        <f>Q&amp;$K117&amp;Q&amp;":{"&amp;Q&amp;$B$2&amp;Q&amp;":"&amp;Q&amp;$B117&amp;Q&amp;","&amp;Q&amp;$C$2&amp;Q&amp;":"&amp;Q&amp;$C117&amp;Q&amp;","&amp;Q&amp;"sets"&amp;Q&amp;":"&amp;Q&amp;substitute(SUBSTITUTE($H117,"[",""),"]","")&amp;Q&amp;"},"</f>
        <v>"yvsk":{"label":"Assault &amp; Battery","extra":"That would be a single “A” battery.","sets":"Expansion Set 4, Party Expansion 1"},</v>
      </c>
      <c r="E117" s="9" t="str">
        <f t="shared" si="2"/>
        <v>data:image/svg+xml,%3csvg xmlns='http://www.w3.org/2000/svg' viewBox='0 0 24 216'%3e%3ctext fill='%23fff' style='font: 900 16px sans-serif' text-anchor='end' transform='matrix(0 -1 1 0 18 5)'%3eAssault %26amp%3B Battery%3c/text%3e%3c/svg%3e</v>
      </c>
      <c r="F117" s="14" t="str">
        <f t="shared" si="3"/>
        <v>https://svgtext.heliohost.us/cgi-bin/gen.perl?text=Assault%20%26%20Battery</v>
      </c>
      <c r="G117" s="11" t="str">
        <f t="shared" si="4"/>
        <v>data:image/svg+xml,%3csvg xmlns='http://www.w3.org/2000/svg' viewBox='0 0 24 216'%3e%3ctext fill='%23fff' style='font: 900 16px sans-serif' text-anchor='end' transform='matrix(0 -1 1 0 18 5)'%3eAssault %26amp%3B Battery%3c/text%3e%3c/svg%3e</v>
      </c>
      <c r="H117" s="8" t="s">
        <v>63</v>
      </c>
      <c r="I117" s="8">
        <f t="shared" ref="I117:J117" si="118">len(B117)</f>
        <v>17</v>
      </c>
      <c r="J117" s="8">
        <f t="shared" si="118"/>
        <v>35</v>
      </c>
      <c r="K117" s="8" t="s">
        <v>2099</v>
      </c>
    </row>
    <row r="118">
      <c r="A118" s="7" t="b">
        <v>0</v>
      </c>
      <c r="B118" s="8" t="s">
        <v>2100</v>
      </c>
      <c r="C118" s="8" t="s">
        <v>2101</v>
      </c>
      <c r="D118" s="8" t="str">
        <f>Q&amp;$K118&amp;Q&amp;":{"&amp;Q&amp;$B$2&amp;Q&amp;":"&amp;Q&amp;$B118&amp;Q&amp;","&amp;Q&amp;$C$2&amp;Q&amp;":"&amp;Q&amp;$C118&amp;Q&amp;","&amp;Q&amp;"sets"&amp;Q&amp;":"&amp;Q&amp;substitute(SUBSTITUTE($H118,"[",""),"]","")&amp;Q&amp;"},"</f>
        <v>"zxuf":{"label":"Assembly Lines","extra":"Faster. FASTER!","sets":"Expansion Set 2, Party Set"},</v>
      </c>
      <c r="E118" s="9" t="str">
        <f t="shared" si="2"/>
        <v>data:image/svg+xml,%3csvg xmlns='http://www.w3.org/2000/svg' viewBox='0 0 24 216'%3e%3ctext fill='%23fff' style='font: 900 16px sans-serif' text-anchor='end' transform='matrix(0 -1 1 0 18 5)'%3eAssembly Lines%3c/text%3e%3c/svg%3e</v>
      </c>
      <c r="F118" s="14" t="str">
        <f t="shared" si="3"/>
        <v>https://svgtext.heliohost.us/cgi-bin/gen.perl?text=Assembly%20Lines</v>
      </c>
      <c r="G118" s="11" t="str">
        <f t="shared" si="4"/>
        <v>data:image/svg+xml,%3csvg xmlns='http://www.w3.org/2000/svg' viewBox='0 0 24 216'%3e%3ctext fill='%23fff' style='font: 900 16px sans-serif' text-anchor='end' transform='matrix(0 -1 1 0 18 5)'%3eAssembly Lines%3c/text%3e%3c/svg%3e</v>
      </c>
      <c r="H118" s="8" t="s">
        <v>17</v>
      </c>
      <c r="I118" s="8">
        <f t="shared" ref="I118:J118" si="119">len(B118)</f>
        <v>14</v>
      </c>
      <c r="J118" s="8">
        <f t="shared" si="119"/>
        <v>15</v>
      </c>
      <c r="K118" s="8" t="s">
        <v>2102</v>
      </c>
    </row>
    <row r="119">
      <c r="A119" s="7" t="b">
        <v>1</v>
      </c>
      <c r="B119" s="8" t="s">
        <v>2103</v>
      </c>
      <c r="C119" s="7" t="s">
        <v>2104</v>
      </c>
      <c r="D119" s="8" t="str">
        <f>Q&amp;$K119&amp;Q&amp;":{"&amp;Q&amp;$B$2&amp;Q&amp;":"&amp;Q&amp;$B119&amp;Q&amp;","&amp;Q&amp;$C$2&amp;Q&amp;":"&amp;Q&amp;$C119&amp;Q&amp;","&amp;Q&amp;"sets"&amp;Q&amp;":"&amp;Q&amp;substitute(SUBSTITUTE($H119,"[",""),"]","")&amp;Q&amp;"},"</f>
        <v>"vvln":{"label":"Astronauts","extra":"It’s a great day for a space walk!","sets":"Junior 9+ (2nd)"},</v>
      </c>
      <c r="E119" s="9" t="str">
        <f t="shared" si="2"/>
        <v>data:image/svg+xml,%3csvg xmlns='http://www.w3.org/2000/svg' viewBox='0 0 24 216'%3e%3ctext fill='%23fff' style='font: 900 16px sans-serif' text-anchor='end' transform='matrix(0 -1 1 0 18 5)'%3eAstronauts%3c/text%3e%3c/svg%3e</v>
      </c>
      <c r="F119" s="14" t="str">
        <f t="shared" si="3"/>
        <v>https://svgtext.heliohost.us/cgi-bin/gen.perl?text=Astronauts</v>
      </c>
      <c r="G119" s="11" t="str">
        <f t="shared" si="4"/>
        <v>data:image/svg+xml,%3csvg xmlns='http://www.w3.org/2000/svg' viewBox='0 0 24 216'%3e%3ctext fill='%23fff' style='font: 900 16px sans-serif' text-anchor='end' transform='matrix(0 -1 1 0 18 5)'%3eAstronauts%3c/text%3e%3c/svg%3e</v>
      </c>
      <c r="H119" s="8" t="s">
        <v>32</v>
      </c>
      <c r="I119" s="8">
        <f t="shared" ref="I119:J119" si="120">len(B119)</f>
        <v>10</v>
      </c>
      <c r="J119" s="8">
        <f t="shared" si="120"/>
        <v>34</v>
      </c>
      <c r="K119" s="8" t="s">
        <v>2105</v>
      </c>
    </row>
    <row r="120">
      <c r="A120" s="7" t="b">
        <v>0</v>
      </c>
      <c r="B120" s="8" t="s">
        <v>2106</v>
      </c>
      <c r="C120" s="7" t="s">
        <v>2107</v>
      </c>
      <c r="D120" s="8" t="str">
        <f>Q&amp;$K120&amp;Q&amp;":{"&amp;Q&amp;$B$2&amp;Q&amp;":"&amp;Q&amp;$B120&amp;Q&amp;","&amp;Q&amp;$C$2&amp;Q&amp;":"&amp;Q&amp;$C120&amp;Q&amp;","&amp;Q&amp;"sets"&amp;Q&amp;":"&amp;Q&amp;substitute(SUBSTITUTE($H120,"[",""),"]","")&amp;Q&amp;"},"</f>
        <v>"houw":{"label":"At My Parent's House","extra":"Like never-never land, you’re never seen as an adult here.","sets":"Basic Set, Party Set"},</v>
      </c>
      <c r="E120" s="9" t="str">
        <f t="shared" si="2"/>
        <v>data:image/svg+xml,%3csvg xmlns='http://www.w3.org/2000/svg' viewBox='0 0 24 216'%3e%3ctext fill='%23fff' style='font: 900 16px sans-serif' text-anchor='end' transform='matrix(0 -1 1 0 18 5)'%3eAt My Parent%27s House%3c/text%3e%3c/svg%3e</v>
      </c>
      <c r="F120" s="14" t="str">
        <f t="shared" si="3"/>
        <v>https://svgtext.heliohost.us/cgi-bin/gen.perl?text=At%20My%20Parent%27s%20House</v>
      </c>
      <c r="G120" s="11" t="str">
        <f t="shared" si="4"/>
        <v>data:image/svg+xml,%3csvg xmlns='http://www.w3.org/2000/svg' viewBox='0 0 24 216'%3e%3ctext fill='%23fff' style='font: 900 16px sans-serif' text-anchor='end' transform='matrix(0 -1 1 0 18 5)'%3eAt My Parent%27s House%3c/text%3e%3c/svg%3e</v>
      </c>
      <c r="H120" s="8" t="s">
        <v>29</v>
      </c>
      <c r="I120" s="8">
        <f t="shared" ref="I120:J120" si="121">len(B120)</f>
        <v>20</v>
      </c>
      <c r="J120" s="8">
        <f t="shared" si="121"/>
        <v>58</v>
      </c>
      <c r="K120" s="8" t="s">
        <v>2108</v>
      </c>
    </row>
    <row r="121">
      <c r="A121" s="7" t="b">
        <v>0</v>
      </c>
      <c r="B121" s="8" t="s">
        <v>2109</v>
      </c>
      <c r="C121" s="7" t="s">
        <v>2110</v>
      </c>
      <c r="D121" s="8" t="str">
        <f>Q&amp;$K121&amp;Q&amp;":{"&amp;Q&amp;$B$2&amp;Q&amp;":"&amp;Q&amp;$B121&amp;Q&amp;","&amp;Q&amp;$C$2&amp;Q&amp;":"&amp;Q&amp;$C121&amp;Q&amp;","&amp;Q&amp;"sets"&amp;Q&amp;":"&amp;Q&amp;substitute(SUBSTITUTE($H121,"[",""),"]","")&amp;Q&amp;"},"</f>
        <v>"ildb":{"label":"Atlantis","extra":"Mythological city where the folks had that sinking feeling.","sets":"Expansion Set 2, Party Set"},</v>
      </c>
      <c r="E121" s="9" t="str">
        <f t="shared" si="2"/>
        <v>data:image/svg+xml,%3csvg xmlns='http://www.w3.org/2000/svg' viewBox='0 0 24 216'%3e%3ctext fill='%23fff' style='font: 900 16px sans-serif' text-anchor='end' transform='matrix(0 -1 1 0 18 5)'%3eAtlantis%3c/text%3e%3c/svg%3e</v>
      </c>
      <c r="F121" s="14" t="str">
        <f t="shared" si="3"/>
        <v>https://svgtext.heliohost.us/cgi-bin/gen.perl?text=Atlantis</v>
      </c>
      <c r="G121" s="11" t="str">
        <f t="shared" si="4"/>
        <v>data:image/svg+xml,%3csvg xmlns='http://www.w3.org/2000/svg' viewBox='0 0 24 216'%3e%3ctext fill='%23fff' style='font: 900 16px sans-serif' text-anchor='end' transform='matrix(0 -1 1 0 18 5)'%3eAtlantis%3c/text%3e%3c/svg%3e</v>
      </c>
      <c r="H121" s="8" t="s">
        <v>17</v>
      </c>
      <c r="I121" s="8">
        <f t="shared" ref="I121:J121" si="122">len(B121)</f>
        <v>8</v>
      </c>
      <c r="J121" s="8">
        <f t="shared" si="122"/>
        <v>59</v>
      </c>
      <c r="K121" s="8" t="s">
        <v>2111</v>
      </c>
    </row>
    <row r="122">
      <c r="A122" s="7" t="b">
        <v>0</v>
      </c>
      <c r="B122" s="8" t="s">
        <v>2112</v>
      </c>
      <c r="C122" s="8" t="s">
        <v>2113</v>
      </c>
      <c r="D122" s="8" t="str">
        <f>Q&amp;$K122&amp;Q&amp;":{"&amp;Q&amp;$B$2&amp;Q&amp;":"&amp;Q&amp;$B122&amp;Q&amp;","&amp;Q&amp;$C$2&amp;Q&amp;":"&amp;Q&amp;$C122&amp;Q&amp;","&amp;Q&amp;"sets"&amp;Q&amp;":"&amp;Q&amp;substitute(SUBSTITUTE($H122,"[",""),"]","")&amp;Q&amp;"},"</f>
        <v>"mapk":{"label":"Atomic Bombs","extra":"The Italian physicist Enrico Fermi succeeded in producing the first nuclear chain reaction in 1942, at the University of Chicago.","sets":"Basic Set, Party Set"},</v>
      </c>
      <c r="E122" s="9" t="str">
        <f t="shared" si="2"/>
        <v>data:image/svg+xml,%3csvg xmlns='http://www.w3.org/2000/svg' viewBox='0 0 24 216'%3e%3ctext fill='%23fff' style='font: 900 16px sans-serif' text-anchor='end' transform='matrix(0 -1 1 0 18 5)'%3eAtomic Bombs%3c/text%3e%3c/svg%3e</v>
      </c>
      <c r="F122" s="14" t="str">
        <f t="shared" si="3"/>
        <v>https://svgtext.heliohost.us/cgi-bin/gen.perl?text=Atomic%20Bombs</v>
      </c>
      <c r="G122" s="11" t="str">
        <f t="shared" si="4"/>
        <v>data:image/svg+xml,%3csvg xmlns='http://www.w3.org/2000/svg' viewBox='0 0 24 216'%3e%3ctext fill='%23fff' style='font: 900 16px sans-serif' text-anchor='end' transform='matrix(0 -1 1 0 18 5)'%3eAtomic Bombs%3c/text%3e%3c/svg%3e</v>
      </c>
      <c r="H122" s="8" t="s">
        <v>29</v>
      </c>
      <c r="I122" s="8">
        <f t="shared" ref="I122:J122" si="123">len(B122)</f>
        <v>12</v>
      </c>
      <c r="J122" s="8">
        <f t="shared" si="123"/>
        <v>129</v>
      </c>
      <c r="K122" s="8" t="s">
        <v>2114</v>
      </c>
    </row>
    <row r="123">
      <c r="A123" s="7" t="b">
        <v>0</v>
      </c>
      <c r="B123" s="8" t="s">
        <v>2115</v>
      </c>
      <c r="C123" s="7" t="s">
        <v>2116</v>
      </c>
      <c r="D123" s="8" t="str">
        <f>Q&amp;$K123&amp;Q&amp;":{"&amp;Q&amp;$B$2&amp;Q&amp;":"&amp;Q&amp;$B123&amp;Q&amp;","&amp;Q&amp;$C$2&amp;Q&amp;":"&amp;Q&amp;$C123&amp;Q&amp;","&amp;Q&amp;"sets"&amp;Q&amp;":"&amp;Q&amp;substitute(SUBSTITUTE($H123,"[",""),"]","")&amp;Q&amp;"},"</f>
        <v>"twtw":{"label":"Attack On Pearl Harbor","extra":"“Yesterday, December 7th, 1941, a date which will live in infamy…” —Franklin D. Roosevelt","sets":"Basic Set, Party Set"},</v>
      </c>
      <c r="E123" s="9" t="str">
        <f t="shared" si="2"/>
        <v>data:image/svg+xml,%3csvg xmlns='http://www.w3.org/2000/svg' viewBox='0 0 24 216'%3e%3ctext fill='%23fff' style='font: 900 16px sans-serif' text-anchor='end' transform='matrix(0 -1 1 0 18 5)'%3eAttack On Pearl Harbor%3c/text%3e%3c/svg%3e</v>
      </c>
      <c r="F123" s="14" t="str">
        <f t="shared" si="3"/>
        <v>https://svgtext.heliohost.us/cgi-bin/gen.perl?text=Attack%20On%20Pearl%20Harbor</v>
      </c>
      <c r="G123" s="11" t="str">
        <f t="shared" si="4"/>
        <v>data:image/svg+xml,%3csvg xmlns='http://www.w3.org/2000/svg' viewBox='0 0 24 216'%3e%3ctext fill='%23fff' style='font: 900 16px sans-serif' text-anchor='end' transform='matrix(0 -1 1 0 18 5)'%3eAttack On Pearl Harbor%3c/text%3e%3c/svg%3e</v>
      </c>
      <c r="H123" s="8" t="s">
        <v>29</v>
      </c>
      <c r="I123" s="8">
        <f t="shared" ref="I123:J123" si="124">len(B123)</f>
        <v>22</v>
      </c>
      <c r="J123" s="8">
        <f t="shared" si="124"/>
        <v>89</v>
      </c>
      <c r="K123" s="8" t="s">
        <v>2117</v>
      </c>
    </row>
    <row r="124">
      <c r="A124" s="7" t="b">
        <v>0</v>
      </c>
      <c r="B124" s="8" t="s">
        <v>2118</v>
      </c>
      <c r="C124" s="8" t="s">
        <v>2119</v>
      </c>
      <c r="D124" s="8" t="str">
        <f>Q&amp;$K124&amp;Q&amp;":{"&amp;Q&amp;$B$2&amp;Q&amp;":"&amp;Q&amp;$B124&amp;Q&amp;","&amp;Q&amp;$C$2&amp;Q&amp;":"&amp;Q&amp;$C124&amp;Q&amp;","&amp;Q&amp;"sets"&amp;Q&amp;":"&amp;Q&amp;substitute(SUBSTITUTE($H124,"[",""),"]","")&amp;Q&amp;"},"</f>
        <v>"mhub":{"label":"Austin Powers","extra":"Fictional British man of mystery. Yeah, bay-beee, yeah!","sets":"Expansion Set 1, Party Set"},</v>
      </c>
      <c r="E124" s="9" t="str">
        <f t="shared" si="2"/>
        <v>data:image/svg+xml,%3csvg xmlns='http://www.w3.org/2000/svg' viewBox='0 0 24 216'%3e%3ctext fill='%23fff' style='font: 900 16px sans-serif' text-anchor='end' transform='matrix(0 -1 1 0 18 5)'%3eAustin Powers%3c/text%3e%3c/svg%3e</v>
      </c>
      <c r="F124" s="14" t="str">
        <f t="shared" si="3"/>
        <v>https://svgtext.heliohost.us/cgi-bin/gen.perl?text=Austin%20Powers</v>
      </c>
      <c r="G124" s="11" t="str">
        <f t="shared" si="4"/>
        <v>data:image/svg+xml,%3csvg xmlns='http://www.w3.org/2000/svg' viewBox='0 0 24 216'%3e%3ctext fill='%23fff' style='font: 900 16px sans-serif' text-anchor='end' transform='matrix(0 -1 1 0 18 5)'%3eAustin Powers%3c/text%3e%3c/svg%3e</v>
      </c>
      <c r="H124" s="8" t="s">
        <v>25</v>
      </c>
      <c r="I124" s="8">
        <f t="shared" ref="I124:J124" si="125">len(B124)</f>
        <v>13</v>
      </c>
      <c r="J124" s="8">
        <f t="shared" si="125"/>
        <v>55</v>
      </c>
      <c r="K124" s="8" t="s">
        <v>2120</v>
      </c>
    </row>
    <row r="125">
      <c r="A125" s="7" t="b">
        <v>0</v>
      </c>
      <c r="B125" s="8" t="s">
        <v>2121</v>
      </c>
      <c r="C125" s="8" t="s">
        <v>2122</v>
      </c>
      <c r="D125" s="8" t="str">
        <f>Q&amp;$K125&amp;Q&amp;":{"&amp;Q&amp;$B$2&amp;Q&amp;":"&amp;Q&amp;$B125&amp;Q&amp;","&amp;Q&amp;$C$2&amp;Q&amp;":"&amp;Q&amp;$C125&amp;Q&amp;","&amp;Q&amp;"sets"&amp;Q&amp;":"&amp;Q&amp;substitute(SUBSTITUTE($H125,"[",""),"]","")&amp;Q&amp;"},"</f>
        <v>"fjec":{"label":"Australian Outback","extra":"Beware of dangerous temperatures, strange animals, and didgeridoos.","sets":"Expansion Set 1, Party Set"},</v>
      </c>
      <c r="E125" s="9" t="str">
        <f t="shared" si="2"/>
        <v>data:image/svg+xml,%3csvg xmlns='http://www.w3.org/2000/svg' viewBox='0 0 24 216'%3e%3ctext fill='%23fff' style='font: 900 16px sans-serif' text-anchor='end' transform='matrix(0 -1 1 0 18 5)'%3eAustralian Outback%3c/text%3e%3c/svg%3e</v>
      </c>
      <c r="F125" s="14" t="str">
        <f t="shared" si="3"/>
        <v>https://svgtext.heliohost.us/cgi-bin/gen.perl?text=Australian%20Outback</v>
      </c>
      <c r="G125" s="11" t="str">
        <f t="shared" si="4"/>
        <v>data:image/svg+xml,%3csvg xmlns='http://www.w3.org/2000/svg' viewBox='0 0 24 216'%3e%3ctext fill='%23fff' style='font: 900 16px sans-serif' text-anchor='end' transform='matrix(0 -1 1 0 18 5)'%3eAustralian Outback%3c/text%3e%3c/svg%3e</v>
      </c>
      <c r="H125" s="8" t="s">
        <v>25</v>
      </c>
      <c r="I125" s="8">
        <f t="shared" ref="I125:J125" si="126">len(B125)</f>
        <v>18</v>
      </c>
      <c r="J125" s="8">
        <f t="shared" si="126"/>
        <v>67</v>
      </c>
      <c r="K125" s="8" t="s">
        <v>2123</v>
      </c>
    </row>
    <row r="126">
      <c r="A126" s="7" t="b">
        <v>0</v>
      </c>
      <c r="B126" s="8" t="s">
        <v>2124</v>
      </c>
      <c r="C126" s="8" t="s">
        <v>2125</v>
      </c>
      <c r="D126" s="8" t="str">
        <f>Q&amp;$K126&amp;Q&amp;":{"&amp;Q&amp;$B$2&amp;Q&amp;":"&amp;Q&amp;$B126&amp;Q&amp;","&amp;Q&amp;$C$2&amp;Q&amp;":"&amp;Q&amp;$C126&amp;Q&amp;","&amp;Q&amp;"sets"&amp;Q&amp;":"&amp;Q&amp;substitute(SUBSTITUTE($H126,"[",""),"]","")&amp;Q&amp;"},"</f>
        <v>"tvvp":{"label":"Babe Ruth","extra":"1895-1948, American baseball legend, and one heck of a candy bar!","sets":"Basic Set, Party Set"},</v>
      </c>
      <c r="E126" s="9" t="str">
        <f t="shared" si="2"/>
        <v>data:image/svg+xml,%3csvg xmlns='http://www.w3.org/2000/svg' viewBox='0 0 24 216'%3e%3ctext fill='%23fff' style='font: 900 16px sans-serif' text-anchor='end' transform='matrix(0 -1 1 0 18 5)'%3eBabe Ruth%3c/text%3e%3c/svg%3e</v>
      </c>
      <c r="F126" s="14" t="str">
        <f t="shared" si="3"/>
        <v>https://svgtext.heliohost.us/cgi-bin/gen.perl?text=Babe%20Ruth</v>
      </c>
      <c r="G126" s="11" t="str">
        <f t="shared" si="4"/>
        <v>data:image/svg+xml,%3csvg xmlns='http://www.w3.org/2000/svg' viewBox='0 0 24 216'%3e%3ctext fill='%23fff' style='font: 900 16px sans-serif' text-anchor='end' transform='matrix(0 -1 1 0 18 5)'%3eBabe Ruth%3c/text%3e%3c/svg%3e</v>
      </c>
      <c r="H126" s="8" t="s">
        <v>29</v>
      </c>
      <c r="I126" s="8">
        <f t="shared" ref="I126:J126" si="127">len(B126)</f>
        <v>9</v>
      </c>
      <c r="J126" s="8">
        <f t="shared" si="127"/>
        <v>65</v>
      </c>
      <c r="K126" s="8" t="s">
        <v>2126</v>
      </c>
    </row>
    <row r="127">
      <c r="A127" s="7" t="b">
        <v>0</v>
      </c>
      <c r="B127" s="8" t="s">
        <v>2127</v>
      </c>
      <c r="C127" s="7" t="s">
        <v>2128</v>
      </c>
      <c r="D127" s="8" t="str">
        <f>Q&amp;$K127&amp;Q&amp;":{"&amp;Q&amp;$B$2&amp;Q&amp;":"&amp;Q&amp;$B127&amp;Q&amp;","&amp;Q&amp;$C$2&amp;Q&amp;":"&amp;Q&amp;$C127&amp;Q&amp;","&amp;Q&amp;"sets"&amp;Q&amp;":"&amp;Q&amp;substitute(SUBSTITUTE($H127,"[",""),"]","")&amp;Q&amp;"},"</f>
        <v>"hycd":{"label":"Babies","extra":"Little bundles of joy… and who needs sleep, anyway?","sets":"Expansion Set 2, Party Set"},</v>
      </c>
      <c r="E127" s="9" t="str">
        <f t="shared" si="2"/>
        <v>data:image/svg+xml,%3csvg xmlns='http://www.w3.org/2000/svg' viewBox='0 0 24 216'%3e%3ctext fill='%23fff' style='font: 900 16px sans-serif' text-anchor='end' transform='matrix(0 -1 1 0 18 5)'%3eBabies%3c/text%3e%3c/svg%3e</v>
      </c>
      <c r="F127" s="14" t="str">
        <f t="shared" si="3"/>
        <v>https://svgtext.heliohost.us/cgi-bin/gen.perl?text=Babies</v>
      </c>
      <c r="G127" s="11" t="str">
        <f t="shared" si="4"/>
        <v>data:image/svg+xml,%3csvg xmlns='http://www.w3.org/2000/svg' viewBox='0 0 24 216'%3e%3ctext fill='%23fff' style='font: 900 16px sans-serif' text-anchor='end' transform='matrix(0 -1 1 0 18 5)'%3eBabies%3c/text%3e%3c/svg%3e</v>
      </c>
      <c r="H127" s="8" t="s">
        <v>17</v>
      </c>
      <c r="I127" s="8">
        <f t="shared" ref="I127:J127" si="128">len(B127)</f>
        <v>6</v>
      </c>
      <c r="J127" s="8">
        <f t="shared" si="128"/>
        <v>51</v>
      </c>
      <c r="K127" s="8" t="s">
        <v>2129</v>
      </c>
    </row>
    <row r="128">
      <c r="A128" s="7" t="b">
        <v>1</v>
      </c>
      <c r="B128" s="8" t="s">
        <v>2127</v>
      </c>
      <c r="C128" s="8" t="s">
        <v>2130</v>
      </c>
      <c r="D128" s="8" t="str">
        <f>Q&amp;$K128&amp;Q&amp;":{"&amp;Q&amp;$B$2&amp;Q&amp;":"&amp;Q&amp;$B128&amp;Q&amp;","&amp;Q&amp;$C$2&amp;Q&amp;":"&amp;Q&amp;$C128&amp;Q&amp;","&amp;Q&amp;"sets"&amp;Q&amp;":"&amp;Q&amp;substitute(SUBSTITUTE($H128,"[",""),"]","")&amp;Q&amp;"},"</f>
        <v>"kigu":{"label":"Babies","extra":"Very young children or infants. They cry a lot!","sets":"Junior"},</v>
      </c>
      <c r="E128" s="9" t="str">
        <f t="shared" si="2"/>
        <v>data:image/svg+xml,%3csvg xmlns='http://www.w3.org/2000/svg' viewBox='0 0 24 216'%3e%3ctext fill='%23fff' style='font: 900 16px sans-serif' text-anchor='end' transform='matrix(0 -1 1 0 18 5)'%3eBabies%3c/text%3e%3c/svg%3e</v>
      </c>
      <c r="F128" s="14" t="str">
        <f t="shared" si="3"/>
        <v>https://svgtext.heliohost.us/cgi-bin/gen.perl?text=Babies</v>
      </c>
      <c r="G128" s="11" t="str">
        <f t="shared" si="4"/>
        <v>data:image/svg+xml,%3csvg xmlns='http://www.w3.org/2000/svg' viewBox='0 0 24 216'%3e%3ctext fill='%23fff' style='font: 900 16px sans-serif' text-anchor='end' transform='matrix(0 -1 1 0 18 5)'%3eBabies%3c/text%3e%3c/svg%3e</v>
      </c>
      <c r="H128" s="8" t="s">
        <v>84</v>
      </c>
      <c r="I128" s="8">
        <f t="shared" ref="I128:J128" si="129">len(B128)</f>
        <v>6</v>
      </c>
      <c r="J128" s="8">
        <f t="shared" si="129"/>
        <v>47</v>
      </c>
      <c r="K128" s="8" t="s">
        <v>2131</v>
      </c>
    </row>
    <row r="129">
      <c r="A129" s="7" t="b">
        <v>1</v>
      </c>
      <c r="B129" s="8" t="s">
        <v>2132</v>
      </c>
      <c r="C129" s="8" t="s">
        <v>2133</v>
      </c>
      <c r="D129" s="8" t="str">
        <f>Q&amp;$K129&amp;Q&amp;":{"&amp;Q&amp;$B$2&amp;Q&amp;":"&amp;Q&amp;$B129&amp;Q&amp;","&amp;Q&amp;$C$2&amp;Q&amp;":"&amp;Q&amp;$C129&amp;Q&amp;","&amp;Q&amp;"sets"&amp;Q&amp;":"&amp;Q&amp;substitute(SUBSTITUTE($H129,"[",""),"]","")&amp;Q&amp;"},"</f>
        <v>"wilu":{"label":"Baby Dolls","extra":"Some of them talk, some of them walk, and some even wet their pants!","sets":"Junior"},</v>
      </c>
      <c r="E129" s="9" t="str">
        <f t="shared" si="2"/>
        <v>data:image/svg+xml,%3csvg xmlns='http://www.w3.org/2000/svg' viewBox='0 0 24 216'%3e%3ctext fill='%23fff' style='font: 900 16px sans-serif' text-anchor='end' transform='matrix(0 -1 1 0 18 5)'%3eBaby Dolls%3c/text%3e%3c/svg%3e</v>
      </c>
      <c r="F129" s="14" t="str">
        <f t="shared" si="3"/>
        <v>https://svgtext.heliohost.us/cgi-bin/gen.perl?text=Baby%20Dolls</v>
      </c>
      <c r="G129" s="11" t="str">
        <f t="shared" si="4"/>
        <v>data:image/svg+xml,%3csvg xmlns='http://www.w3.org/2000/svg' viewBox='0 0 24 216'%3e%3ctext fill='%23fff' style='font: 900 16px sans-serif' text-anchor='end' transform='matrix(0 -1 1 0 18 5)'%3eBaby Dolls%3c/text%3e%3c/svg%3e</v>
      </c>
      <c r="H129" s="8" t="s">
        <v>84</v>
      </c>
      <c r="I129" s="8">
        <f t="shared" ref="I129:J129" si="130">len(B129)</f>
        <v>10</v>
      </c>
      <c r="J129" s="8">
        <f t="shared" si="130"/>
        <v>68</v>
      </c>
      <c r="K129" s="8" t="s">
        <v>2134</v>
      </c>
    </row>
    <row r="130">
      <c r="A130" s="7" t="b">
        <v>1</v>
      </c>
      <c r="B130" s="8" t="s">
        <v>2135</v>
      </c>
      <c r="C130" s="7" t="s">
        <v>2136</v>
      </c>
      <c r="D130" s="8" t="str">
        <f>Q&amp;$K130&amp;Q&amp;":{"&amp;Q&amp;$B$2&amp;Q&amp;":"&amp;Q&amp;$B130&amp;Q&amp;","&amp;Q&amp;$C$2&amp;Q&amp;":"&amp;Q&amp;$C130&amp;Q&amp;","&amp;Q&amp;"sets"&amp;Q&amp;":"&amp;Q&amp;substitute(SUBSTITUTE($H130,"[",""),"]","")&amp;Q&amp;"},"</f>
        <v>"kwvp":{"label":"Baby Food","extra":"Strained peas and mushy meat. Doesn’t that sound good?","sets":"Junior 9+ (1st) &amp; (2nd)"},</v>
      </c>
      <c r="E130" s="9" t="str">
        <f t="shared" si="2"/>
        <v>data:image/svg+xml,%3csvg xmlns='http://www.w3.org/2000/svg' viewBox='0 0 24 216'%3e%3ctext fill='%23fff' style='font: 900 16px sans-serif' text-anchor='end' transform='matrix(0 -1 1 0 18 5)'%3eBaby Food%3c/text%3e%3c/svg%3e</v>
      </c>
      <c r="F130" s="14" t="str">
        <f t="shared" si="3"/>
        <v>https://svgtext.heliohost.us/cgi-bin/gen.perl?text=Baby%20Food</v>
      </c>
      <c r="G130" s="11" t="str">
        <f t="shared" si="4"/>
        <v>data:image/svg+xml,%3csvg xmlns='http://www.w3.org/2000/svg' viewBox='0 0 24 216'%3e%3ctext fill='%23fff' style='font: 900 16px sans-serif' text-anchor='end' transform='matrix(0 -1 1 0 18 5)'%3eBaby Food%3c/text%3e%3c/svg%3e</v>
      </c>
      <c r="H130" s="8" t="s">
        <v>42</v>
      </c>
      <c r="I130" s="8">
        <f t="shared" ref="I130:J130" si="131">len(B130)</f>
        <v>9</v>
      </c>
      <c r="J130" s="8">
        <f t="shared" si="131"/>
        <v>54</v>
      </c>
      <c r="K130" s="8" t="s">
        <v>2137</v>
      </c>
    </row>
    <row r="131">
      <c r="A131" s="7" t="b">
        <v>0</v>
      </c>
      <c r="B131" s="8" t="s">
        <v>2138</v>
      </c>
      <c r="C131" s="7" t="s">
        <v>2139</v>
      </c>
      <c r="D131" s="8" t="str">
        <f>Q&amp;$K131&amp;Q&amp;":{"&amp;Q&amp;$B$2&amp;Q&amp;":"&amp;Q&amp;$B131&amp;Q&amp;","&amp;Q&amp;$C$2&amp;Q&amp;":"&amp;Q&amp;$C131&amp;Q&amp;","&amp;Q&amp;"sets"&amp;Q&amp;":"&amp;Q&amp;substitute(SUBSTITUTE($H131,"[",""),"]","")&amp;Q&amp;"},"</f>
        <v>"ofup":{"label":"Baby Showers","extra":"Baby showers may bring flowers…","sets":"Basic Set, Party Set"},</v>
      </c>
      <c r="E131" s="9" t="str">
        <f t="shared" si="2"/>
        <v>data:image/svg+xml,%3csvg xmlns='http://www.w3.org/2000/svg' viewBox='0 0 24 216'%3e%3ctext fill='%23fff' style='font: 900 16px sans-serif' text-anchor='end' transform='matrix(0 -1 1 0 18 5)'%3eBaby Showers%3c/text%3e%3c/svg%3e</v>
      </c>
      <c r="F131" s="14" t="str">
        <f t="shared" si="3"/>
        <v>https://svgtext.heliohost.us/cgi-bin/gen.perl?text=Baby%20Showers</v>
      </c>
      <c r="G131" s="11" t="str">
        <f t="shared" si="4"/>
        <v>data:image/svg+xml,%3csvg xmlns='http://www.w3.org/2000/svg' viewBox='0 0 24 216'%3e%3ctext fill='%23fff' style='font: 900 16px sans-serif' text-anchor='end' transform='matrix(0 -1 1 0 18 5)'%3eBaby Showers%3c/text%3e%3c/svg%3e</v>
      </c>
      <c r="H131" s="8" t="s">
        <v>29</v>
      </c>
      <c r="I131" s="8">
        <f t="shared" ref="I131:J131" si="132">len(B131)</f>
        <v>12</v>
      </c>
      <c r="J131" s="8">
        <f t="shared" si="132"/>
        <v>31</v>
      </c>
      <c r="K131" s="8" t="s">
        <v>2140</v>
      </c>
    </row>
    <row r="132">
      <c r="A132" s="7" t="b">
        <v>1</v>
      </c>
      <c r="B132" s="8" t="s">
        <v>2141</v>
      </c>
      <c r="C132" s="8" t="s">
        <v>2142</v>
      </c>
      <c r="D132" s="8" t="str">
        <f>Q&amp;$K132&amp;Q&amp;":{"&amp;Q&amp;$B$2&amp;Q&amp;":"&amp;Q&amp;$B132&amp;Q&amp;","&amp;Q&amp;$C$2&amp;Q&amp;":"&amp;Q&amp;$C132&amp;Q&amp;","&amp;Q&amp;"sets"&amp;Q&amp;":"&amp;Q&amp;substitute(SUBSTITUTE($H132,"[",""),"]","")&amp;Q&amp;"},"</f>
        <v>"xqxg":{"label":"Babysitters","extra":"The good ones let you stay up late.","sets":"Junior"},</v>
      </c>
      <c r="E132" s="9" t="str">
        <f t="shared" si="2"/>
        <v>data:image/svg+xml,%3csvg xmlns='http://www.w3.org/2000/svg' viewBox='0 0 24 216'%3e%3ctext fill='%23fff' style='font: 900 16px sans-serif' text-anchor='end' transform='matrix(0 -1 1 0 18 5)'%3eBabysitters%3c/text%3e%3c/svg%3e</v>
      </c>
      <c r="F132" s="14" t="str">
        <f t="shared" si="3"/>
        <v>https://svgtext.heliohost.us/cgi-bin/gen.perl?text=Babysitters</v>
      </c>
      <c r="G132" s="11" t="str">
        <f t="shared" si="4"/>
        <v>data:image/svg+xml,%3csvg xmlns='http://www.w3.org/2000/svg' viewBox='0 0 24 216'%3e%3ctext fill='%23fff' style='font: 900 16px sans-serif' text-anchor='end' transform='matrix(0 -1 1 0 18 5)'%3eBabysitters%3c/text%3e%3c/svg%3e</v>
      </c>
      <c r="H132" s="8" t="s">
        <v>84</v>
      </c>
      <c r="I132" s="8">
        <f t="shared" ref="I132:J132" si="133">len(B132)</f>
        <v>11</v>
      </c>
      <c r="J132" s="8">
        <f t="shared" si="133"/>
        <v>35</v>
      </c>
      <c r="K132" s="8" t="s">
        <v>2143</v>
      </c>
    </row>
    <row r="133">
      <c r="A133" s="7" t="b">
        <v>0</v>
      </c>
      <c r="B133" s="8" t="s">
        <v>2144</v>
      </c>
      <c r="C133" s="8" t="s">
        <v>2145</v>
      </c>
      <c r="D133" s="8" t="str">
        <f>Q&amp;$K133&amp;Q&amp;":{"&amp;Q&amp;$B$2&amp;Q&amp;":"&amp;Q&amp;$B133&amp;Q&amp;","&amp;Q&amp;$C$2&amp;Q&amp;":"&amp;Q&amp;$C133&amp;Q&amp;","&amp;Q&amp;"sets"&amp;Q&amp;":"&amp;Q&amp;substitute(SUBSTITUTE($H133,"[",""),"]","")&amp;Q&amp;"},"</f>
        <v>"owgz":{"label":"Backstreet Boys","extra":"The latest American pop boy band. Which one do you think is the cutest?","sets":"Expansion Set 1, Party Set"},</v>
      </c>
      <c r="E133" s="9" t="str">
        <f t="shared" si="2"/>
        <v>data:image/svg+xml,%3csvg xmlns='http://www.w3.org/2000/svg' viewBox='0 0 24 216'%3e%3ctext fill='%23fff' style='font: 900 16px sans-serif' text-anchor='end' transform='matrix(0 -1 1 0 18 5)'%3eBackstreet Boys%3c/text%3e%3c/svg%3e</v>
      </c>
      <c r="F133" s="14" t="str">
        <f t="shared" si="3"/>
        <v>https://svgtext.heliohost.us/cgi-bin/gen.perl?text=Backstreet%20Boys</v>
      </c>
      <c r="G133" s="11" t="str">
        <f t="shared" si="4"/>
        <v>data:image/svg+xml,%3csvg xmlns='http://www.w3.org/2000/svg' viewBox='0 0 24 216'%3e%3ctext fill='%23fff' style='font: 900 16px sans-serif' text-anchor='end' transform='matrix(0 -1 1 0 18 5)'%3eBackstreet Boys%3c/text%3e%3c/svg%3e</v>
      </c>
      <c r="H133" s="8" t="s">
        <v>25</v>
      </c>
      <c r="I133" s="8">
        <f t="shared" ref="I133:J133" si="134">len(B133)</f>
        <v>15</v>
      </c>
      <c r="J133" s="8">
        <f t="shared" si="134"/>
        <v>71</v>
      </c>
      <c r="K133" s="8" t="s">
        <v>2146</v>
      </c>
    </row>
    <row r="134">
      <c r="A134" s="7" t="b">
        <v>0</v>
      </c>
      <c r="B134" s="8" t="s">
        <v>2147</v>
      </c>
      <c r="C134" s="8" t="s">
        <v>2148</v>
      </c>
      <c r="D134" s="8" t="str">
        <f>Q&amp;$K134&amp;Q&amp;":{"&amp;Q&amp;$B$2&amp;Q&amp;":"&amp;Q&amp;$B134&amp;Q&amp;","&amp;Q&amp;$C$2&amp;Q&amp;":"&amp;Q&amp;$C134&amp;Q&amp;","&amp;Q&amp;"sets"&amp;Q&amp;":"&amp;Q&amp;substitute(SUBSTITUTE($H134,"[",""),"]","")&amp;Q&amp;"},"</f>
        <v>"neey":{"label":"Backyards","extra":"Your playground at home!","sets":"Junior 9+ (1st) &amp; (2nd)"},</v>
      </c>
      <c r="E134" s="9" t="str">
        <f t="shared" si="2"/>
        <v>data:image/svg+xml,%3csvg xmlns='http://www.w3.org/2000/svg' viewBox='0 0 24 216'%3e%3ctext fill='%23fff' style='font: 900 16px sans-serif' text-anchor='end' transform='matrix(0 -1 1 0 18 5)'%3eBackyards%3c/text%3e%3c/svg%3e</v>
      </c>
      <c r="F134" s="14" t="str">
        <f t="shared" si="3"/>
        <v>https://svgtext.heliohost.us/cgi-bin/gen.perl?text=Backyards</v>
      </c>
      <c r="G134" s="11" t="str">
        <f t="shared" si="4"/>
        <v>data:image/svg+xml,%3csvg xmlns='http://www.w3.org/2000/svg' viewBox='0 0 24 216'%3e%3ctext fill='%23fff' style='font: 900 16px sans-serif' text-anchor='end' transform='matrix(0 -1 1 0 18 5)'%3eBackyards%3c/text%3e%3c/svg%3e</v>
      </c>
      <c r="H134" s="8" t="s">
        <v>42</v>
      </c>
      <c r="I134" s="8">
        <f t="shared" ref="I134:J134" si="135">len(B134)</f>
        <v>9</v>
      </c>
      <c r="J134" s="8">
        <f t="shared" si="135"/>
        <v>24</v>
      </c>
      <c r="K134" s="8" t="s">
        <v>2149</v>
      </c>
    </row>
    <row r="135">
      <c r="A135" s="7" t="b">
        <v>1</v>
      </c>
      <c r="B135" s="8" t="s">
        <v>2150</v>
      </c>
      <c r="C135" s="8" t="s">
        <v>2151</v>
      </c>
      <c r="D135" s="8" t="str">
        <f>Q&amp;$K135&amp;Q&amp;":{"&amp;Q&amp;$B$2&amp;Q&amp;":"&amp;Q&amp;$B135&amp;Q&amp;","&amp;Q&amp;$C$2&amp;Q&amp;":"&amp;Q&amp;$C135&amp;Q&amp;","&amp;Q&amp;"sets"&amp;Q&amp;":"&amp;Q&amp;substitute(SUBSTITUTE($H135,"[",""),"]","")&amp;Q&amp;"},"</f>
        <v>"mbfe":{"label":"Bacon","extra":"Meat from a pig, flavored with salt and smoke. Oink!","sets":"Junior 9+ (1st) &amp; (2nd)"},</v>
      </c>
      <c r="E135" s="9" t="str">
        <f t="shared" si="2"/>
        <v>data:image/svg+xml,%3csvg xmlns='http://www.w3.org/2000/svg' viewBox='0 0 24 216'%3e%3ctext fill='%23fff' style='font: 900 16px sans-serif' text-anchor='end' transform='matrix(0 -1 1 0 18 5)'%3eBacon%3c/text%3e%3c/svg%3e</v>
      </c>
      <c r="F135" s="14" t="str">
        <f t="shared" si="3"/>
        <v>https://svgtext.heliohost.us/cgi-bin/gen.perl?text=Bacon</v>
      </c>
      <c r="G135" s="11" t="str">
        <f t="shared" si="4"/>
        <v>data:image/svg+xml,%3csvg xmlns='http://www.w3.org/2000/svg' viewBox='0 0 24 216'%3e%3ctext fill='%23fff' style='font: 900 16px sans-serif' text-anchor='end' transform='matrix(0 -1 1 0 18 5)'%3eBacon%3c/text%3e%3c/svg%3e</v>
      </c>
      <c r="H135" s="8" t="s">
        <v>42</v>
      </c>
      <c r="I135" s="8">
        <f t="shared" ref="I135:J135" si="136">len(B135)</f>
        <v>5</v>
      </c>
      <c r="J135" s="8">
        <f t="shared" si="136"/>
        <v>52</v>
      </c>
      <c r="K135" s="8" t="s">
        <v>2152</v>
      </c>
    </row>
    <row r="136">
      <c r="A136" s="7" t="b">
        <v>0</v>
      </c>
      <c r="B136" s="8" t="s">
        <v>2153</v>
      </c>
      <c r="C136" s="7" t="s">
        <v>2154</v>
      </c>
      <c r="D136" s="8" t="str">
        <f>Q&amp;$K136&amp;Q&amp;":{"&amp;Q&amp;$B$2&amp;Q&amp;":"&amp;Q&amp;$B136&amp;Q&amp;","&amp;Q&amp;$C$2&amp;Q&amp;":"&amp;Q&amp;$C136&amp;Q&amp;","&amp;Q&amp;"sets"&amp;Q&amp;":"&amp;Q&amp;substitute(SUBSTITUTE($H136,"[",""),"]","")&amp;Q&amp;"},"</f>
        <v>"ompy":{"label":"Bad Dogs","extra":"Bad dog, bad dog. What’cha gonna do?","sets":"Basic Set, Party Set"},</v>
      </c>
      <c r="E136" s="9" t="str">
        <f t="shared" si="2"/>
        <v>data:image/svg+xml,%3csvg xmlns='http://www.w3.org/2000/svg' viewBox='0 0 24 216'%3e%3ctext fill='%23fff' style='font: 900 16px sans-serif' text-anchor='end' transform='matrix(0 -1 1 0 18 5)'%3eBad Dogs%3c/text%3e%3c/svg%3e</v>
      </c>
      <c r="F136" s="14" t="str">
        <f t="shared" si="3"/>
        <v>https://svgtext.heliohost.us/cgi-bin/gen.perl?text=Bad%20Dogs</v>
      </c>
      <c r="G136" s="11" t="str">
        <f t="shared" si="4"/>
        <v>data:image/svg+xml,%3csvg xmlns='http://www.w3.org/2000/svg' viewBox='0 0 24 216'%3e%3ctext fill='%23fff' style='font: 900 16px sans-serif' text-anchor='end' transform='matrix(0 -1 1 0 18 5)'%3eBad Dogs%3c/text%3e%3c/svg%3e</v>
      </c>
      <c r="H136" s="8" t="s">
        <v>29</v>
      </c>
      <c r="I136" s="8">
        <f t="shared" ref="I136:J136" si="137">len(B136)</f>
        <v>8</v>
      </c>
      <c r="J136" s="8">
        <f t="shared" si="137"/>
        <v>36</v>
      </c>
      <c r="K136" s="8" t="s">
        <v>2155</v>
      </c>
    </row>
    <row r="137">
      <c r="A137" s="7" t="b">
        <v>0</v>
      </c>
      <c r="B137" s="8" t="s">
        <v>2156</v>
      </c>
      <c r="C137" s="8" t="s">
        <v>2157</v>
      </c>
      <c r="D137" s="8" t="str">
        <f>Q&amp;$K137&amp;Q&amp;":{"&amp;Q&amp;$B$2&amp;Q&amp;":"&amp;Q&amp;$B137&amp;Q&amp;","&amp;Q&amp;$C$2&amp;Q&amp;":"&amp;Q&amp;$C137&amp;Q&amp;","&amp;Q&amp;"sets"&amp;Q&amp;":"&amp;Q&amp;substitute(SUBSTITUTE($H137,"[",""),"]","")&amp;Q&amp;"},"</f>
        <v>"vitz":{"label":"Bad Dreams","extra":"Like good dreams, but with monsters.","sets":"Junior"},</v>
      </c>
      <c r="E137" s="9" t="str">
        <f t="shared" si="2"/>
        <v>data:image/svg+xml,%3csvg xmlns='http://www.w3.org/2000/svg' viewBox='0 0 24 216'%3e%3ctext fill='%23fff' style='font: 900 16px sans-serif' text-anchor='end' transform='matrix(0 -1 1 0 18 5)'%3eBad Dreams%3c/text%3e%3c/svg%3e</v>
      </c>
      <c r="F137" s="14" t="str">
        <f t="shared" si="3"/>
        <v>https://svgtext.heliohost.us/cgi-bin/gen.perl?text=Bad%20Dreams</v>
      </c>
      <c r="G137" s="11" t="str">
        <f t="shared" si="4"/>
        <v>data:image/svg+xml,%3csvg xmlns='http://www.w3.org/2000/svg' viewBox='0 0 24 216'%3e%3ctext fill='%23fff' style='font: 900 16px sans-serif' text-anchor='end' transform='matrix(0 -1 1 0 18 5)'%3eBad Dreams%3c/text%3e%3c/svg%3e</v>
      </c>
      <c r="H137" s="8" t="s">
        <v>84</v>
      </c>
      <c r="I137" s="8">
        <f t="shared" ref="I137:J137" si="138">len(B137)</f>
        <v>10</v>
      </c>
      <c r="J137" s="8">
        <f t="shared" si="138"/>
        <v>36</v>
      </c>
      <c r="K137" s="8" t="s">
        <v>2158</v>
      </c>
    </row>
    <row r="138">
      <c r="A138" s="7" t="b">
        <v>0</v>
      </c>
      <c r="B138" s="8" t="s">
        <v>2159</v>
      </c>
      <c r="C138" s="7" t="s">
        <v>2160</v>
      </c>
      <c r="D138" s="8" t="str">
        <f>Q&amp;$K138&amp;Q&amp;":{"&amp;Q&amp;$B$2&amp;Q&amp;":"&amp;Q&amp;$B138&amp;Q&amp;","&amp;Q&amp;$C$2&amp;Q&amp;":"&amp;Q&amp;$C138&amp;Q&amp;","&amp;Q&amp;"sets"&amp;Q&amp;":"&amp;Q&amp;substitute(SUBSTITUTE($H138,"[",""),"]","")&amp;Q&amp;"},"</f>
        <v>"lift":{"label":"Bagels And Lox","extra":"A perfect snack for salmon-chanted evening…","sets":"Expansion Set 3, Party Expansion 1"},</v>
      </c>
      <c r="E138" s="9" t="str">
        <f t="shared" si="2"/>
        <v>data:image/svg+xml,%3csvg xmlns='http://www.w3.org/2000/svg' viewBox='0 0 24 216'%3e%3ctext fill='%23fff' style='font: 900 16px sans-serif' text-anchor='end' transform='matrix(0 -1 1 0 18 5)'%3eBagels And Lox%3c/text%3e%3c/svg%3e</v>
      </c>
      <c r="F138" s="14" t="str">
        <f t="shared" si="3"/>
        <v>https://svgtext.heliohost.us/cgi-bin/gen.perl?text=Bagels%20And%20Lox</v>
      </c>
      <c r="G138" s="11" t="str">
        <f t="shared" si="4"/>
        <v>data:image/svg+xml,%3csvg xmlns='http://www.w3.org/2000/svg' viewBox='0 0 24 216'%3e%3ctext fill='%23fff' style='font: 900 16px sans-serif' text-anchor='end' transform='matrix(0 -1 1 0 18 5)'%3eBagels And Lox%3c/text%3e%3c/svg%3e</v>
      </c>
      <c r="H138" s="8" t="s">
        <v>39</v>
      </c>
      <c r="I138" s="8">
        <f t="shared" ref="I138:J138" si="139">len(B138)</f>
        <v>14</v>
      </c>
      <c r="J138" s="8">
        <f t="shared" si="139"/>
        <v>43</v>
      </c>
      <c r="K138" s="8" t="s">
        <v>2161</v>
      </c>
    </row>
    <row r="139">
      <c r="A139" s="7" t="b">
        <v>0</v>
      </c>
      <c r="B139" s="8" t="s">
        <v>2162</v>
      </c>
      <c r="C139" s="8" t="s">
        <v>2163</v>
      </c>
      <c r="D139" s="8" t="str">
        <f>Q&amp;$K139&amp;Q&amp;":{"&amp;Q&amp;$B$2&amp;Q&amp;":"&amp;Q&amp;$B139&amp;Q&amp;","&amp;Q&amp;$C$2&amp;Q&amp;":"&amp;Q&amp;$C139&amp;Q&amp;","&amp;Q&amp;"sets"&amp;Q&amp;":"&amp;Q&amp;substitute(SUBSTITUTE($H139,"[",""),"]","")&amp;Q&amp;"},"</f>
        <v>"skkc":{"label":"Bagpipes","extra":"A shrill-toned musical instrument consisting of a leather bag and pipes. Also available in plaid.","sets":"Expansion Set 1, Party Set"},</v>
      </c>
      <c r="E139" s="9" t="str">
        <f t="shared" si="2"/>
        <v>data:image/svg+xml,%3csvg xmlns='http://www.w3.org/2000/svg' viewBox='0 0 24 216'%3e%3ctext fill='%23fff' style='font: 900 16px sans-serif' text-anchor='end' transform='matrix(0 -1 1 0 18 5)'%3eBagpipes%3c/text%3e%3c/svg%3e</v>
      </c>
      <c r="F139" s="14" t="str">
        <f t="shared" si="3"/>
        <v>https://svgtext.heliohost.us/cgi-bin/gen.perl?text=Bagpipes</v>
      </c>
      <c r="G139" s="11" t="str">
        <f t="shared" si="4"/>
        <v>data:image/svg+xml,%3csvg xmlns='http://www.w3.org/2000/svg' viewBox='0 0 24 216'%3e%3ctext fill='%23fff' style='font: 900 16px sans-serif' text-anchor='end' transform='matrix(0 -1 1 0 18 5)'%3eBagpipes%3c/text%3e%3c/svg%3e</v>
      </c>
      <c r="H139" s="8" t="s">
        <v>25</v>
      </c>
      <c r="I139" s="8">
        <f t="shared" ref="I139:J139" si="140">len(B139)</f>
        <v>8</v>
      </c>
      <c r="J139" s="8">
        <f t="shared" si="140"/>
        <v>97</v>
      </c>
      <c r="K139" s="8" t="s">
        <v>2164</v>
      </c>
    </row>
    <row r="140">
      <c r="A140" s="7" t="b">
        <v>0</v>
      </c>
      <c r="B140" s="8" t="s">
        <v>2165</v>
      </c>
      <c r="C140" s="8" t="s">
        <v>2166</v>
      </c>
      <c r="D140" s="8" t="str">
        <f>Q&amp;$K140&amp;Q&amp;":{"&amp;Q&amp;$B$2&amp;Q&amp;":"&amp;Q&amp;$B140&amp;Q&amp;","&amp;Q&amp;$C$2&amp;Q&amp;":"&amp;Q&amp;$C140&amp;Q&amp;","&amp;Q&amp;"sets"&amp;Q&amp;":"&amp;Q&amp;substitute(SUBSTITUTE($H140,"[",""),"]","")&amp;Q&amp;"},"</f>
        <v>"hbrd":{"label":"Baked Beans","extra":"Add a little bacon, brown sugar and Beano!","sets":"Expansion Set 2, Party Set"},</v>
      </c>
      <c r="E140" s="9" t="str">
        <f t="shared" si="2"/>
        <v>data:image/svg+xml,%3csvg xmlns='http://www.w3.org/2000/svg' viewBox='0 0 24 216'%3e%3ctext fill='%23fff' style='font: 900 16px sans-serif' text-anchor='end' transform='matrix(0 -1 1 0 18 5)'%3eBaked Beans%3c/text%3e%3c/svg%3e</v>
      </c>
      <c r="F140" s="14" t="str">
        <f t="shared" si="3"/>
        <v>https://svgtext.heliohost.us/cgi-bin/gen.perl?text=Baked%20Beans</v>
      </c>
      <c r="G140" s="11" t="str">
        <f t="shared" si="4"/>
        <v>data:image/svg+xml,%3csvg xmlns='http://www.w3.org/2000/svg' viewBox='0 0 24 216'%3e%3ctext fill='%23fff' style='font: 900 16px sans-serif' text-anchor='end' transform='matrix(0 -1 1 0 18 5)'%3eBaked Beans%3c/text%3e%3c/svg%3e</v>
      </c>
      <c r="H140" s="8" t="s">
        <v>17</v>
      </c>
      <c r="I140" s="8">
        <f t="shared" ref="I140:J140" si="141">len(B140)</f>
        <v>11</v>
      </c>
      <c r="J140" s="8">
        <f t="shared" si="141"/>
        <v>42</v>
      </c>
      <c r="K140" s="8" t="s">
        <v>2167</v>
      </c>
    </row>
    <row r="141">
      <c r="A141" s="7" t="b">
        <v>0</v>
      </c>
      <c r="B141" s="8" t="s">
        <v>2168</v>
      </c>
      <c r="C141" s="7" t="s">
        <v>2169</v>
      </c>
      <c r="D141" s="8" t="str">
        <f>Q&amp;$K141&amp;Q&amp;":{"&amp;Q&amp;$B$2&amp;Q&amp;":"&amp;Q&amp;$B141&amp;Q&amp;","&amp;Q&amp;$C$2&amp;Q&amp;":"&amp;Q&amp;$C141&amp;Q&amp;","&amp;Q&amp;"sets"&amp;Q&amp;":"&amp;Q&amp;substitute(SUBSTITUTE($H141,"[",""),"]","")&amp;Q&amp;"},"</f>
        <v>"uuru":{"label":"Baked Potatoes","extra":"Hot potato, couch potato, potato head, twice baked, half-baked, …whatever.","sets":"Basic Set, Party Set"},</v>
      </c>
      <c r="E141" s="9" t="str">
        <f t="shared" si="2"/>
        <v>data:image/svg+xml,%3csvg xmlns='http://www.w3.org/2000/svg' viewBox='0 0 24 216'%3e%3ctext fill='%23fff' style='font: 900 16px sans-serif' text-anchor='end' transform='matrix(0 -1 1 0 18 5)'%3eBaked Potatoes%3c/text%3e%3c/svg%3e</v>
      </c>
      <c r="F141" s="14" t="str">
        <f t="shared" si="3"/>
        <v>https://svgtext.heliohost.us/cgi-bin/gen.perl?text=Baked%20Potatoes</v>
      </c>
      <c r="G141" s="11" t="str">
        <f t="shared" si="4"/>
        <v>data:image/svg+xml,%3csvg xmlns='http://www.w3.org/2000/svg' viewBox='0 0 24 216'%3e%3ctext fill='%23fff' style='font: 900 16px sans-serif' text-anchor='end' transform='matrix(0 -1 1 0 18 5)'%3eBaked Potatoes%3c/text%3e%3c/svg%3e</v>
      </c>
      <c r="H141" s="8" t="s">
        <v>29</v>
      </c>
      <c r="I141" s="8">
        <f t="shared" ref="I141:J141" si="142">len(B141)</f>
        <v>14</v>
      </c>
      <c r="J141" s="8">
        <f t="shared" si="142"/>
        <v>74</v>
      </c>
      <c r="K141" s="8" t="s">
        <v>2170</v>
      </c>
    </row>
    <row r="142">
      <c r="A142" s="7" t="b">
        <v>0</v>
      </c>
      <c r="B142" s="8" t="s">
        <v>2171</v>
      </c>
      <c r="C142" s="8" t="s">
        <v>2172</v>
      </c>
      <c r="D142" s="8" t="str">
        <f>Q&amp;$K142&amp;Q&amp;":{"&amp;Q&amp;$B$2&amp;Q&amp;":"&amp;Q&amp;$B142&amp;Q&amp;","&amp;Q&amp;$C$2&amp;Q&amp;":"&amp;Q&amp;$C142&amp;Q&amp;","&amp;Q&amp;"sets"&amp;Q&amp;":"&amp;Q&amp;substitute(SUBSTITUTE($H142,"[",""),"]","")&amp;Q&amp;"},"</f>
        <v>"egpg":{"label":"Baking Cookies","extra":"An experience only surpassed by eating them.","sets":"Expansion Set 1, Party Set"},</v>
      </c>
      <c r="E142" s="9" t="str">
        <f t="shared" si="2"/>
        <v>data:image/svg+xml,%3csvg xmlns='http://www.w3.org/2000/svg' viewBox='0 0 24 216'%3e%3ctext fill='%23fff' style='font: 900 16px sans-serif' text-anchor='end' transform='matrix(0 -1 1 0 18 5)'%3eBaking Cookies%3c/text%3e%3c/svg%3e</v>
      </c>
      <c r="F142" s="14" t="str">
        <f t="shared" si="3"/>
        <v>https://svgtext.heliohost.us/cgi-bin/gen.perl?text=Baking%20Cookies</v>
      </c>
      <c r="G142" s="11" t="str">
        <f t="shared" si="4"/>
        <v>data:image/svg+xml,%3csvg xmlns='http://www.w3.org/2000/svg' viewBox='0 0 24 216'%3e%3ctext fill='%23fff' style='font: 900 16px sans-serif' text-anchor='end' transform='matrix(0 -1 1 0 18 5)'%3eBaking Cookies%3c/text%3e%3c/svg%3e</v>
      </c>
      <c r="H142" s="8" t="s">
        <v>25</v>
      </c>
      <c r="I142" s="8">
        <f t="shared" ref="I142:J142" si="143">len(B142)</f>
        <v>14</v>
      </c>
      <c r="J142" s="8">
        <f t="shared" si="143"/>
        <v>44</v>
      </c>
      <c r="K142" s="8" t="s">
        <v>2173</v>
      </c>
    </row>
    <row r="143">
      <c r="A143" s="7" t="b">
        <v>1</v>
      </c>
      <c r="B143" s="8" t="s">
        <v>2171</v>
      </c>
      <c r="C143" s="8" t="s">
        <v>2174</v>
      </c>
      <c r="D143" s="8" t="str">
        <f>Q&amp;$K143&amp;Q&amp;":{"&amp;Q&amp;$B$2&amp;Q&amp;":"&amp;Q&amp;$B143&amp;Q&amp;","&amp;Q&amp;$C$2&amp;Q&amp;":"&amp;Q&amp;$C143&amp;Q&amp;","&amp;Q&amp;"sets"&amp;Q&amp;":"&amp;Q&amp;substitute(SUBSTITUTE($H143,"[",""),"]","")&amp;Q&amp;"},"</f>
        <v>"ifbq":{"label":"Baking Cookies","extra":"Mix up the dough and put them in the oven.","sets":"Junior"},</v>
      </c>
      <c r="E143" s="9" t="str">
        <f t="shared" si="2"/>
        <v>data:image/svg+xml,%3csvg xmlns='http://www.w3.org/2000/svg' viewBox='0 0 24 216'%3e%3ctext fill='%23fff' style='font: 900 16px sans-serif' text-anchor='end' transform='matrix(0 -1 1 0 18 5)'%3eBaking Cookies%3c/text%3e%3c/svg%3e</v>
      </c>
      <c r="F143" s="14" t="str">
        <f t="shared" si="3"/>
        <v>https://svgtext.heliohost.us/cgi-bin/gen.perl?text=Baking%20Cookies</v>
      </c>
      <c r="G143" s="11" t="str">
        <f t="shared" si="4"/>
        <v>data:image/svg+xml,%3csvg xmlns='http://www.w3.org/2000/svg' viewBox='0 0 24 216'%3e%3ctext fill='%23fff' style='font: 900 16px sans-serif' text-anchor='end' transform='matrix(0 -1 1 0 18 5)'%3eBaking Cookies%3c/text%3e%3c/svg%3e</v>
      </c>
      <c r="H143" s="8" t="s">
        <v>84</v>
      </c>
      <c r="I143" s="8">
        <f t="shared" ref="I143:J143" si="144">len(B143)</f>
        <v>14</v>
      </c>
      <c r="J143" s="8">
        <f t="shared" si="144"/>
        <v>42</v>
      </c>
      <c r="K143" s="8" t="s">
        <v>2175</v>
      </c>
    </row>
    <row r="144">
      <c r="A144" s="7" t="b">
        <v>0</v>
      </c>
      <c r="B144" s="8" t="s">
        <v>2176</v>
      </c>
      <c r="C144" s="8" t="s">
        <v>2177</v>
      </c>
      <c r="D144" s="8" t="str">
        <f>Q&amp;$K144&amp;Q&amp;":{"&amp;Q&amp;$B$2&amp;Q&amp;":"&amp;Q&amp;$B144&amp;Q&amp;","&amp;Q&amp;$C$2&amp;Q&amp;":"&amp;Q&amp;$C144&amp;Q&amp;","&amp;Q&amp;"sets"&amp;Q&amp;":"&amp;Q&amp;substitute(SUBSTITUTE($H144,"[",""),"]","")&amp;Q&amp;"},"</f>
        <v>"khfm":{"label":"Bald Eagles","extra":"Known for their majestic appearance and powerful flight. In 1782, the bald eagle was chosen as the emblem of the United States.","sets":"Expansion Set 1, Party Set"},</v>
      </c>
      <c r="E144" s="9" t="str">
        <f t="shared" si="2"/>
        <v>data:image/svg+xml,%3csvg xmlns='http://www.w3.org/2000/svg' viewBox='0 0 24 216'%3e%3ctext fill='%23fff' style='font: 900 16px sans-serif' text-anchor='end' transform='matrix(0 -1 1 0 18 5)'%3eBald Eagles%3c/text%3e%3c/svg%3e</v>
      </c>
      <c r="F144" s="14" t="str">
        <f t="shared" si="3"/>
        <v>https://svgtext.heliohost.us/cgi-bin/gen.perl?text=Bald%20Eagles</v>
      </c>
      <c r="G144" s="11" t="str">
        <f t="shared" si="4"/>
        <v>data:image/svg+xml,%3csvg xmlns='http://www.w3.org/2000/svg' viewBox='0 0 24 216'%3e%3ctext fill='%23fff' style='font: 900 16px sans-serif' text-anchor='end' transform='matrix(0 -1 1 0 18 5)'%3eBald Eagles%3c/text%3e%3c/svg%3e</v>
      </c>
      <c r="H144" s="8" t="s">
        <v>25</v>
      </c>
      <c r="I144" s="8">
        <f t="shared" ref="I144:J144" si="145">len(B144)</f>
        <v>11</v>
      </c>
      <c r="J144" s="8">
        <f t="shared" si="145"/>
        <v>127</v>
      </c>
      <c r="K144" s="8" t="s">
        <v>2178</v>
      </c>
    </row>
    <row r="145">
      <c r="A145" s="7" t="b">
        <v>1</v>
      </c>
      <c r="B145" s="8" t="s">
        <v>2176</v>
      </c>
      <c r="C145" s="8" t="s">
        <v>2179</v>
      </c>
      <c r="D145" s="8" t="str">
        <f>Q&amp;$K145&amp;Q&amp;":{"&amp;Q&amp;$B$2&amp;Q&amp;":"&amp;Q&amp;$B145&amp;Q&amp;","&amp;Q&amp;$C$2&amp;Q&amp;":"&amp;Q&amp;$C145&amp;Q&amp;","&amp;Q&amp;"sets"&amp;Q&amp;":"&amp;Q&amp;substitute(SUBSTITUTE($H145,"[",""),"]","")&amp;Q&amp;"},"</f>
        <v>"acms":{"label":"Bald Eagles","extra":"They're not really bald. The white feathers on their heads make them look that way.","sets":"Junior 9+ (1st) &amp; (2nd)"},</v>
      </c>
      <c r="E145" s="9" t="str">
        <f t="shared" si="2"/>
        <v>data:image/svg+xml,%3csvg xmlns='http://www.w3.org/2000/svg' viewBox='0 0 24 216'%3e%3ctext fill='%23fff' style='font: 900 16px sans-serif' text-anchor='end' transform='matrix(0 -1 1 0 18 5)'%3eBald Eagles%3c/text%3e%3c/svg%3e</v>
      </c>
      <c r="F145" s="14" t="str">
        <f t="shared" si="3"/>
        <v>https://svgtext.heliohost.us/cgi-bin/gen.perl?text=Bald%20Eagles</v>
      </c>
      <c r="G145" s="11" t="str">
        <f t="shared" si="4"/>
        <v>data:image/svg+xml,%3csvg xmlns='http://www.w3.org/2000/svg' viewBox='0 0 24 216'%3e%3ctext fill='%23fff' style='font: 900 16px sans-serif' text-anchor='end' transform='matrix(0 -1 1 0 18 5)'%3eBald Eagles%3c/text%3e%3c/svg%3e</v>
      </c>
      <c r="H145" s="8" t="s">
        <v>42</v>
      </c>
      <c r="I145" s="8">
        <f t="shared" ref="I145:J145" si="146">len(B145)</f>
        <v>11</v>
      </c>
      <c r="J145" s="8">
        <f t="shared" si="146"/>
        <v>83</v>
      </c>
      <c r="K145" s="8" t="s">
        <v>2180</v>
      </c>
    </row>
    <row r="146">
      <c r="A146" s="7" t="b">
        <v>1</v>
      </c>
      <c r="B146" s="8" t="s">
        <v>2181</v>
      </c>
      <c r="C146" s="7" t="s">
        <v>2182</v>
      </c>
      <c r="D146" s="8" t="str">
        <f>Q&amp;$K146&amp;Q&amp;":{"&amp;Q&amp;$B$2&amp;Q&amp;":"&amp;Q&amp;$B146&amp;Q&amp;","&amp;Q&amp;$C$2&amp;Q&amp;":"&amp;Q&amp;$C146&amp;Q&amp;","&amp;Q&amp;"sets"&amp;Q&amp;":"&amp;Q&amp;substitute(SUBSTITUTE($H146,"[",""),"]","")&amp;Q&amp;"},"</f>
        <v>"sngq":{"label":"Ball &amp; Chain","extra":"Don’t let it get you down.","sets":"Expansion Set 4, Party Expansion 1"},</v>
      </c>
      <c r="E146" s="9" t="str">
        <f t="shared" si="2"/>
        <v>data:image/svg+xml,%3csvg xmlns='http://www.w3.org/2000/svg' viewBox='0 0 24 216'%3e%3ctext fill='%23fff' style='font: 900 16px sans-serif' text-anchor='end' transform='matrix(0 -1 1 0 18 5)'%3eBall %26amp%3B Chain%3c/text%3e%3c/svg%3e</v>
      </c>
      <c r="F146" s="14" t="str">
        <f t="shared" si="3"/>
        <v>https://svgtext.heliohost.us/cgi-bin/gen.perl?text=Ball%20%26%20Chain</v>
      </c>
      <c r="G146" s="11" t="str">
        <f t="shared" si="4"/>
        <v>data:image/svg+xml,%3csvg xmlns='http://www.w3.org/2000/svg' viewBox='0 0 24 216'%3e%3ctext fill='%23fff' style='font: 900 16px sans-serif' text-anchor='end' transform='matrix(0 -1 1 0 18 5)'%3eBall %26amp%3B Chain%3c/text%3e%3c/svg%3e</v>
      </c>
      <c r="H146" s="8" t="s">
        <v>63</v>
      </c>
      <c r="I146" s="8">
        <f t="shared" ref="I146:J146" si="147">len(B146)</f>
        <v>12</v>
      </c>
      <c r="J146" s="8">
        <f t="shared" si="147"/>
        <v>26</v>
      </c>
      <c r="K146" s="8" t="s">
        <v>2183</v>
      </c>
    </row>
    <row r="147">
      <c r="A147" s="7" t="b">
        <v>1</v>
      </c>
      <c r="B147" s="8" t="s">
        <v>2184</v>
      </c>
      <c r="C147" s="8" t="s">
        <v>2185</v>
      </c>
      <c r="D147" s="8" t="str">
        <f>Q&amp;$K147&amp;Q&amp;":{"&amp;Q&amp;$B$2&amp;Q&amp;":"&amp;Q&amp;$B147&amp;Q&amp;","&amp;Q&amp;$C$2&amp;Q&amp;":"&amp;Q&amp;$C147&amp;Q&amp;","&amp;Q&amp;"sets"&amp;Q&amp;":"&amp;Q&amp;substitute(SUBSTITUTE($H147,"[",""),"]","")&amp;Q&amp;"},"</f>
        <v>"bgxv":{"label":"Ballerinas","extra":"It takes years of training before a ballerina can dance in toe shoes.","sets":"Junior 9+ (1st) &amp; (2nd)"},</v>
      </c>
      <c r="E147" s="9" t="str">
        <f t="shared" si="2"/>
        <v>data:image/svg+xml,%3csvg xmlns='http://www.w3.org/2000/svg' viewBox='0 0 24 216'%3e%3ctext fill='%23fff' style='font: 900 16px sans-serif' text-anchor='end' transform='matrix(0 -1 1 0 18 5)'%3eBallerinas%3c/text%3e%3c/svg%3e</v>
      </c>
      <c r="F147" s="14" t="str">
        <f t="shared" si="3"/>
        <v>https://svgtext.heliohost.us/cgi-bin/gen.perl?text=Ballerinas</v>
      </c>
      <c r="G147" s="11" t="str">
        <f t="shared" si="4"/>
        <v>data:image/svg+xml,%3csvg xmlns='http://www.w3.org/2000/svg' viewBox='0 0 24 216'%3e%3ctext fill='%23fff' style='font: 900 16px sans-serif' text-anchor='end' transform='matrix(0 -1 1 0 18 5)'%3eBallerinas%3c/text%3e%3c/svg%3e</v>
      </c>
      <c r="H147" s="8" t="s">
        <v>42</v>
      </c>
      <c r="I147" s="8">
        <f t="shared" ref="I147:J147" si="148">len(B147)</f>
        <v>10</v>
      </c>
      <c r="J147" s="8">
        <f t="shared" si="148"/>
        <v>69</v>
      </c>
      <c r="K147" s="8" t="s">
        <v>2186</v>
      </c>
    </row>
    <row r="148">
      <c r="A148" s="7" t="b">
        <v>0</v>
      </c>
      <c r="B148" s="8" t="s">
        <v>2184</v>
      </c>
      <c r="C148" s="8" t="s">
        <v>2187</v>
      </c>
      <c r="D148" s="8" t="str">
        <f>Q&amp;$K148&amp;Q&amp;":{"&amp;Q&amp;$B$2&amp;Q&amp;":"&amp;Q&amp;$B148&amp;Q&amp;","&amp;Q&amp;$C$2&amp;Q&amp;":"&amp;Q&amp;$C148&amp;Q&amp;","&amp;Q&amp;"sets"&amp;Q&amp;":"&amp;Q&amp;substitute(SUBSTITUTE($H148,"[",""),"]","")&amp;Q&amp;"},"</f>
        <v>"wbfz":{"label":"Ballerinas","extra":"Beautiful, graceful dancers who are always on their toes.","sets":"Expansion Set 1, Party Set"},</v>
      </c>
      <c r="E148" s="9" t="str">
        <f t="shared" si="2"/>
        <v>data:image/svg+xml,%3csvg xmlns='http://www.w3.org/2000/svg' viewBox='0 0 24 216'%3e%3ctext fill='%23fff' style='font: 900 16px sans-serif' text-anchor='end' transform='matrix(0 -1 1 0 18 5)'%3eBallerinas%3c/text%3e%3c/svg%3e</v>
      </c>
      <c r="F148" s="14" t="str">
        <f t="shared" si="3"/>
        <v>https://svgtext.heliohost.us/cgi-bin/gen.perl?text=Ballerinas</v>
      </c>
      <c r="G148" s="11" t="str">
        <f t="shared" si="4"/>
        <v>data:image/svg+xml,%3csvg xmlns='http://www.w3.org/2000/svg' viewBox='0 0 24 216'%3e%3ctext fill='%23fff' style='font: 900 16px sans-serif' text-anchor='end' transform='matrix(0 -1 1 0 18 5)'%3eBallerinas%3c/text%3e%3c/svg%3e</v>
      </c>
      <c r="H148" s="8" t="s">
        <v>25</v>
      </c>
      <c r="I148" s="8">
        <f t="shared" ref="I148:J148" si="149">len(B148)</f>
        <v>10</v>
      </c>
      <c r="J148" s="8">
        <f t="shared" si="149"/>
        <v>57</v>
      </c>
      <c r="K148" s="8" t="s">
        <v>2188</v>
      </c>
    </row>
    <row r="149">
      <c r="A149" s="7" t="b">
        <v>1</v>
      </c>
      <c r="B149" s="8" t="s">
        <v>2189</v>
      </c>
      <c r="C149" s="8" t="s">
        <v>2190</v>
      </c>
      <c r="D149" s="8" t="str">
        <f>Q&amp;$K149&amp;Q&amp;":{"&amp;Q&amp;$B$2&amp;Q&amp;":"&amp;Q&amp;$B149&amp;Q&amp;","&amp;Q&amp;$C$2&amp;Q&amp;":"&amp;Q&amp;$C149&amp;Q&amp;","&amp;Q&amp;"sets"&amp;Q&amp;":"&amp;Q&amp;substitute(SUBSTITUTE($H149,"[",""),"]","")&amp;Q&amp;"},"</f>
        <v>"nszh":{"label":"Balloons","extra":"Lots of colors, shapes, and sizes.","sets":"Junior"},</v>
      </c>
      <c r="E149" s="9" t="str">
        <f t="shared" si="2"/>
        <v>data:image/svg+xml,%3csvg xmlns='http://www.w3.org/2000/svg' viewBox='0 0 24 216'%3e%3ctext fill='%23fff' style='font: 900 16px sans-serif' text-anchor='end' transform='matrix(0 -1 1 0 18 5)'%3eBalloons%3c/text%3e%3c/svg%3e</v>
      </c>
      <c r="F149" s="14" t="str">
        <f t="shared" si="3"/>
        <v>https://svgtext.heliohost.us/cgi-bin/gen.perl?text=Balloons</v>
      </c>
      <c r="G149" s="11" t="str">
        <f t="shared" si="4"/>
        <v>data:image/svg+xml,%3csvg xmlns='http://www.w3.org/2000/svg' viewBox='0 0 24 216'%3e%3ctext fill='%23fff' style='font: 900 16px sans-serif' text-anchor='end' transform='matrix(0 -1 1 0 18 5)'%3eBalloons%3c/text%3e%3c/svg%3e</v>
      </c>
      <c r="H149" s="8" t="s">
        <v>84</v>
      </c>
      <c r="I149" s="8">
        <f t="shared" ref="I149:J149" si="150">len(B149)</f>
        <v>8</v>
      </c>
      <c r="J149" s="8">
        <f t="shared" si="150"/>
        <v>34</v>
      </c>
      <c r="K149" s="8" t="s">
        <v>2191</v>
      </c>
    </row>
    <row r="150">
      <c r="A150" s="7" t="b">
        <v>1</v>
      </c>
      <c r="B150" s="8" t="s">
        <v>2192</v>
      </c>
      <c r="C150" s="8" t="s">
        <v>2193</v>
      </c>
      <c r="D150" s="8" t="str">
        <f>Q&amp;$K150&amp;Q&amp;":{"&amp;Q&amp;$B$2&amp;Q&amp;":"&amp;Q&amp;$B150&amp;Q&amp;","&amp;Q&amp;$C$2&amp;Q&amp;":"&amp;Q&amp;$C150&amp;Q&amp;","&amp;Q&amp;"sets"&amp;Q&amp;":"&amp;Q&amp;substitute(SUBSTITUTE($H150,"[",""),"]","")&amp;Q&amp;"},"</f>
        <v>"jpcf":{"label":"Ballroom Dancing","extra":"Fox-trots, tangos, cha-chas, and more! Are you ready to rumba?","sets":"Expansion Set 3, Party Expansion 1"},</v>
      </c>
      <c r="E150" s="9" t="str">
        <f t="shared" si="2"/>
        <v>data:image/svg+xml,%3csvg xmlns='http://www.w3.org/2000/svg' viewBox='0 0 24 216'%3e%3ctext fill='%23fff' style='font: 900 16px sans-serif' text-anchor='end' transform='matrix(0 -1 1 0 18 5)'%3eBallroom Dancing%3c/text%3e%3c/svg%3e</v>
      </c>
      <c r="F150" s="14" t="str">
        <f t="shared" si="3"/>
        <v>https://svgtext.heliohost.us/cgi-bin/gen.perl?text=Ballroom%20Dancing</v>
      </c>
      <c r="G150" s="11" t="str">
        <f t="shared" si="4"/>
        <v>data:image/svg+xml,%3csvg xmlns='http://www.w3.org/2000/svg' viewBox='0 0 24 216'%3e%3ctext fill='%23fff' style='font: 900 16px sans-serif' text-anchor='end' transform='matrix(0 -1 1 0 18 5)'%3eBallroom Dancing%3c/text%3e%3c/svg%3e</v>
      </c>
      <c r="H150" s="8" t="s">
        <v>39</v>
      </c>
      <c r="I150" s="8">
        <f t="shared" ref="I150:J150" si="151">len(B150)</f>
        <v>16</v>
      </c>
      <c r="J150" s="8">
        <f t="shared" si="151"/>
        <v>62</v>
      </c>
      <c r="K150" s="8" t="s">
        <v>2194</v>
      </c>
    </row>
    <row r="151">
      <c r="A151" s="7" t="b">
        <v>1</v>
      </c>
      <c r="B151" s="8" t="s">
        <v>2195</v>
      </c>
      <c r="C151" s="8" t="s">
        <v>2196</v>
      </c>
      <c r="D151" s="8" t="str">
        <f>Q&amp;$K151&amp;Q&amp;":{"&amp;Q&amp;$B$2&amp;Q&amp;":"&amp;Q&amp;$B151&amp;Q&amp;","&amp;Q&amp;$C$2&amp;Q&amp;":"&amp;Q&amp;$C151&amp;Q&amp;","&amp;Q&amp;"sets"&amp;Q&amp;":"&amp;Q&amp;substitute(SUBSTITUTE($H151,"[",""),"]","")&amp;Q&amp;"},"</f>
        <v>"xcen":{"label":"Bananas","extra":"Monkeys like them a bunch!","sets":"Junior"},</v>
      </c>
      <c r="E151" s="9" t="str">
        <f t="shared" si="2"/>
        <v>data:image/svg+xml,%3csvg xmlns='http://www.w3.org/2000/svg' viewBox='0 0 24 216'%3e%3ctext fill='%23fff' style='font: 900 16px sans-serif' text-anchor='end' transform='matrix(0 -1 1 0 18 5)'%3eBananas%3c/text%3e%3c/svg%3e</v>
      </c>
      <c r="F151" s="14" t="str">
        <f t="shared" si="3"/>
        <v>https://svgtext.heliohost.us/cgi-bin/gen.perl?text=Bananas</v>
      </c>
      <c r="G151" s="11" t="str">
        <f t="shared" si="4"/>
        <v>data:image/svg+xml,%3csvg xmlns='http://www.w3.org/2000/svg' viewBox='0 0 24 216'%3e%3ctext fill='%23fff' style='font: 900 16px sans-serif' text-anchor='end' transform='matrix(0 -1 1 0 18 5)'%3eBananas%3c/text%3e%3c/svg%3e</v>
      </c>
      <c r="H151" s="8" t="s">
        <v>84</v>
      </c>
      <c r="I151" s="8">
        <f t="shared" ref="I151:J151" si="152">len(B151)</f>
        <v>7</v>
      </c>
      <c r="J151" s="8">
        <f t="shared" si="152"/>
        <v>26</v>
      </c>
      <c r="K151" s="8" t="s">
        <v>2197</v>
      </c>
    </row>
    <row r="152">
      <c r="A152" s="7" t="b">
        <v>1</v>
      </c>
      <c r="B152" s="8" t="s">
        <v>2198</v>
      </c>
      <c r="C152" s="8" t="s">
        <v>2199</v>
      </c>
      <c r="D152" s="8" t="str">
        <f>Q&amp;$K152&amp;Q&amp;":{"&amp;Q&amp;$B$2&amp;Q&amp;":"&amp;Q&amp;$B152&amp;Q&amp;","&amp;Q&amp;$C$2&amp;Q&amp;":"&amp;Q&amp;$C152&amp;Q&amp;","&amp;Q&amp;"sets"&amp;Q&amp;":"&amp;Q&amp;substitute(SUBSTITUTE($H152,"[",""),"]","")&amp;Q&amp;"},"</f>
        <v>"ierd":{"label":"Band-Aids","extra":"Available in lots of colors and shapes. A fun way to cover cuts and scrapes.","sets":"Junior 9+ (1st) &amp; (2nd)"},</v>
      </c>
      <c r="E152" s="9" t="str">
        <f t="shared" si="2"/>
        <v>data:image/svg+xml,%3csvg xmlns='http://www.w3.org/2000/svg' viewBox='0 0 24 216'%3e%3ctext fill='%23fff' style='font: 900 16px sans-serif' text-anchor='end' transform='matrix(0 -1 1 0 18 5)'%3eBand-Aids%3c/text%3e%3c/svg%3e</v>
      </c>
      <c r="F152" s="14" t="str">
        <f t="shared" si="3"/>
        <v>https://svgtext.heliohost.us/cgi-bin/gen.perl?text=Band-Aids</v>
      </c>
      <c r="G152" s="11" t="str">
        <f t="shared" si="4"/>
        <v>data:image/svg+xml,%3csvg xmlns='http://www.w3.org/2000/svg' viewBox='0 0 24 216'%3e%3ctext fill='%23fff' style='font: 900 16px sans-serif' text-anchor='end' transform='matrix(0 -1 1 0 18 5)'%3eBand-Aids%3c/text%3e%3c/svg%3e</v>
      </c>
      <c r="H152" s="8" t="s">
        <v>42</v>
      </c>
      <c r="I152" s="8">
        <f t="shared" ref="I152:J152" si="153">len(B152)</f>
        <v>9</v>
      </c>
      <c r="J152" s="8">
        <f t="shared" si="153"/>
        <v>76</v>
      </c>
      <c r="K152" s="8" t="s">
        <v>2200</v>
      </c>
    </row>
    <row r="153">
      <c r="A153" s="7" t="b">
        <v>0</v>
      </c>
      <c r="B153" s="8" t="s">
        <v>2201</v>
      </c>
      <c r="C153" s="8" t="s">
        <v>2202</v>
      </c>
      <c r="D153" s="8" t="str">
        <f>Q&amp;$K153&amp;Q&amp;":{"&amp;Q&amp;$B$2&amp;Q&amp;":"&amp;Q&amp;$B153&amp;Q&amp;","&amp;Q&amp;$C$2&amp;Q&amp;":"&amp;Q&amp;$C153&amp;Q&amp;","&amp;Q&amp;"sets"&amp;Q&amp;":"&amp;Q&amp;substitute(SUBSTITUTE($H153,"[",""),"]","")&amp;Q&amp;"},"</f>
        <v>"rvxk":{"label":"Bangkok","extra":"Capital of Thailand. Location: near the Gulf of Siam. Population: five million. Reputation: seedy.","sets":"Basic Set, Party Set"},</v>
      </c>
      <c r="E153" s="9" t="str">
        <f t="shared" si="2"/>
        <v>data:image/svg+xml,%3csvg xmlns='http://www.w3.org/2000/svg' viewBox='0 0 24 216'%3e%3ctext fill='%23fff' style='font: 900 16px sans-serif' text-anchor='end' transform='matrix(0 -1 1 0 18 5)'%3eBangkok%3c/text%3e%3c/svg%3e</v>
      </c>
      <c r="F153" s="14" t="str">
        <f t="shared" si="3"/>
        <v>https://svgtext.heliohost.us/cgi-bin/gen.perl?text=Bangkok</v>
      </c>
      <c r="G153" s="11" t="str">
        <f t="shared" si="4"/>
        <v>data:image/svg+xml,%3csvg xmlns='http://www.w3.org/2000/svg' viewBox='0 0 24 216'%3e%3ctext fill='%23fff' style='font: 900 16px sans-serif' text-anchor='end' transform='matrix(0 -1 1 0 18 5)'%3eBangkok%3c/text%3e%3c/svg%3e</v>
      </c>
      <c r="H153" s="8" t="s">
        <v>29</v>
      </c>
      <c r="I153" s="8">
        <f t="shared" ref="I153:J153" si="154">len(B153)</f>
        <v>7</v>
      </c>
      <c r="J153" s="8">
        <f t="shared" si="154"/>
        <v>98</v>
      </c>
      <c r="K153" s="8" t="s">
        <v>2203</v>
      </c>
    </row>
    <row r="154">
      <c r="A154" s="7" t="b">
        <v>0</v>
      </c>
      <c r="B154" s="8" t="s">
        <v>2204</v>
      </c>
      <c r="C154" s="7" t="s">
        <v>2205</v>
      </c>
      <c r="D154" s="8" t="str">
        <f>Q&amp;$K154&amp;Q&amp;":{"&amp;Q&amp;$B$2&amp;Q&amp;":"&amp;Q&amp;$B154&amp;Q&amp;","&amp;Q&amp;$C$2&amp;Q&amp;":"&amp;Q&amp;$C154&amp;Q&amp;","&amp;Q&amp;"sets"&amp;Q&amp;":"&amp;Q&amp;substitute(SUBSTITUTE($H154,"[",""),"]","")&amp;Q&amp;"},"</f>
        <v>"qikn":{"label":"Bankruptcy","extra":"It’ll be the debt of you.","sets":"Expansion Set 2, Party Set"},</v>
      </c>
      <c r="E154" s="9" t="str">
        <f t="shared" si="2"/>
        <v>data:image/svg+xml,%3csvg xmlns='http://www.w3.org/2000/svg' viewBox='0 0 24 216'%3e%3ctext fill='%23fff' style='font: 900 16px sans-serif' text-anchor='end' transform='matrix(0 -1 1 0 18 5)'%3eBankruptcy%3c/text%3e%3c/svg%3e</v>
      </c>
      <c r="F154" s="14" t="str">
        <f t="shared" si="3"/>
        <v>https://svgtext.heliohost.us/cgi-bin/gen.perl?text=Bankruptcy</v>
      </c>
      <c r="G154" s="11" t="str">
        <f t="shared" si="4"/>
        <v>data:image/svg+xml,%3csvg xmlns='http://www.w3.org/2000/svg' viewBox='0 0 24 216'%3e%3ctext fill='%23fff' style='font: 900 16px sans-serif' text-anchor='end' transform='matrix(0 -1 1 0 18 5)'%3eBankruptcy%3c/text%3e%3c/svg%3e</v>
      </c>
      <c r="H154" s="8" t="s">
        <v>17</v>
      </c>
      <c r="I154" s="8">
        <f t="shared" ref="I154:J154" si="155">len(B154)</f>
        <v>10</v>
      </c>
      <c r="J154" s="8">
        <f t="shared" si="155"/>
        <v>25</v>
      </c>
      <c r="K154" s="8" t="s">
        <v>2206</v>
      </c>
    </row>
    <row r="155">
      <c r="A155" s="7" t="b">
        <v>0</v>
      </c>
      <c r="B155" s="8" t="s">
        <v>2207</v>
      </c>
      <c r="C155" s="7" t="s">
        <v>2208</v>
      </c>
      <c r="D155" s="8" t="str">
        <f>Q&amp;$K155&amp;Q&amp;":{"&amp;Q&amp;$B$2&amp;Q&amp;":"&amp;Q&amp;$B155&amp;Q&amp;","&amp;Q&amp;$C$2&amp;Q&amp;":"&amp;Q&amp;$C155&amp;Q&amp;","&amp;Q&amp;"sets"&amp;Q&amp;":"&amp;Q&amp;substitute(SUBSTITUTE($H155,"[",""),"]","")&amp;Q&amp;"},"</f>
        <v>"bslc":{"label":"Barbara Walters","extra":"1931-, American television journalist and author. Voted one of the most important women of the century by “Ladies Home Journal.”","sets":"Expansion Set 1, Party Set"},</v>
      </c>
      <c r="E155" s="9" t="str">
        <f t="shared" si="2"/>
        <v>data:image/svg+xml,%3csvg xmlns='http://www.w3.org/2000/svg' viewBox='0 0 24 216'%3e%3ctext fill='%23fff' style='font: 900 16px sans-serif' text-anchor='end' transform='matrix(0 -1 1 0 18 5)'%3eBarbara Walters%3c/text%3e%3c/svg%3e</v>
      </c>
      <c r="F155" s="14" t="str">
        <f t="shared" si="3"/>
        <v>https://svgtext.heliohost.us/cgi-bin/gen.perl?text=Barbara%20Walters</v>
      </c>
      <c r="G155" s="11" t="str">
        <f t="shared" si="4"/>
        <v>data:image/svg+xml,%3csvg xmlns='http://www.w3.org/2000/svg' viewBox='0 0 24 216'%3e%3ctext fill='%23fff' style='font: 900 16px sans-serif' text-anchor='end' transform='matrix(0 -1 1 0 18 5)'%3eBarbara Walters%3c/text%3e%3c/svg%3e</v>
      </c>
      <c r="H155" s="8" t="s">
        <v>25</v>
      </c>
      <c r="I155" s="8">
        <f t="shared" ref="I155:J155" si="156">len(B155)</f>
        <v>15</v>
      </c>
      <c r="J155" s="8">
        <f t="shared" si="156"/>
        <v>128</v>
      </c>
      <c r="K155" s="8" t="s">
        <v>2209</v>
      </c>
    </row>
    <row r="156">
      <c r="A156" s="7" t="b">
        <v>0</v>
      </c>
      <c r="B156" s="8" t="s">
        <v>2210</v>
      </c>
      <c r="C156" s="8" t="s">
        <v>2211</v>
      </c>
      <c r="D156" s="8" t="str">
        <f>Q&amp;$K156&amp;Q&amp;":{"&amp;Q&amp;$B$2&amp;Q&amp;":"&amp;Q&amp;$B156&amp;Q&amp;","&amp;Q&amp;$C$2&amp;Q&amp;":"&amp;Q&amp;$C156&amp;Q&amp;","&amp;Q&amp;"sets"&amp;Q&amp;":"&amp;Q&amp;substitute(SUBSTITUTE($H156,"[",""),"]","")&amp;Q&amp;"},"</f>
        <v>"kduc":{"label":"Barbed Wire","extra":"Wire with sharp points, used for fences. Created havoc on the western frontier.","sets":"Expansion Set 1, Party Set"},</v>
      </c>
      <c r="E156" s="9" t="str">
        <f t="shared" si="2"/>
        <v>data:image/svg+xml,%3csvg xmlns='http://www.w3.org/2000/svg' viewBox='0 0 24 216'%3e%3ctext fill='%23fff' style='font: 900 16px sans-serif' text-anchor='end' transform='matrix(0 -1 1 0 18 5)'%3eBarbed Wire%3c/text%3e%3c/svg%3e</v>
      </c>
      <c r="F156" s="14" t="str">
        <f t="shared" si="3"/>
        <v>https://svgtext.heliohost.us/cgi-bin/gen.perl?text=Barbed%20Wire</v>
      </c>
      <c r="G156" s="11" t="str">
        <f t="shared" si="4"/>
        <v>data:image/svg+xml,%3csvg xmlns='http://www.w3.org/2000/svg' viewBox='0 0 24 216'%3e%3ctext fill='%23fff' style='font: 900 16px sans-serif' text-anchor='end' transform='matrix(0 -1 1 0 18 5)'%3eBarbed Wire%3c/text%3e%3c/svg%3e</v>
      </c>
      <c r="H156" s="8" t="s">
        <v>25</v>
      </c>
      <c r="I156" s="8">
        <f t="shared" ref="I156:J156" si="157">len(B156)</f>
        <v>11</v>
      </c>
      <c r="J156" s="8">
        <f t="shared" si="157"/>
        <v>79</v>
      </c>
      <c r="K156" s="8" t="s">
        <v>2212</v>
      </c>
    </row>
    <row r="157">
      <c r="A157" s="7" t="b">
        <v>1</v>
      </c>
      <c r="B157" s="8" t="s">
        <v>2213</v>
      </c>
      <c r="C157" s="7" t="s">
        <v>2214</v>
      </c>
      <c r="D157" s="8" t="str">
        <f>Q&amp;$K157&amp;Q&amp;":{"&amp;Q&amp;$B$2&amp;Q&amp;":"&amp;Q&amp;$B157&amp;Q&amp;","&amp;Q&amp;$C$2&amp;Q&amp;":"&amp;Q&amp;$C157&amp;Q&amp;","&amp;Q&amp;"sets"&amp;Q&amp;":"&amp;Q&amp;substitute(SUBSTITUTE($H157,"[",""),"]","")&amp;Q&amp;"},"</f>
        <v>"zhma":{"label":"Barbershops","extra":"It’s a beauty shop for guys.","sets":"Junior 9+ (2nd)"},</v>
      </c>
      <c r="E157" s="9" t="str">
        <f t="shared" si="2"/>
        <v>data:image/svg+xml,%3csvg xmlns='http://www.w3.org/2000/svg' viewBox='0 0 24 216'%3e%3ctext fill='%23fff' style='font: 900 16px sans-serif' text-anchor='end' transform='matrix(0 -1 1 0 18 5)'%3eBarbershops%3c/text%3e%3c/svg%3e</v>
      </c>
      <c r="F157" s="14" t="str">
        <f t="shared" si="3"/>
        <v>https://svgtext.heliohost.us/cgi-bin/gen.perl?text=Barbershops</v>
      </c>
      <c r="G157" s="11" t="str">
        <f t="shared" si="4"/>
        <v>data:image/svg+xml,%3csvg xmlns='http://www.w3.org/2000/svg' viewBox='0 0 24 216'%3e%3ctext fill='%23fff' style='font: 900 16px sans-serif' text-anchor='end' transform='matrix(0 -1 1 0 18 5)'%3eBarbershops%3c/text%3e%3c/svg%3e</v>
      </c>
      <c r="H157" s="8" t="s">
        <v>32</v>
      </c>
      <c r="I157" s="8">
        <f t="shared" ref="I157:J157" si="158">len(B157)</f>
        <v>11</v>
      </c>
      <c r="J157" s="8">
        <f t="shared" si="158"/>
        <v>28</v>
      </c>
      <c r="K157" s="8" t="s">
        <v>2215</v>
      </c>
    </row>
    <row r="158">
      <c r="A158" s="7" t="b">
        <v>1</v>
      </c>
      <c r="B158" s="8" t="s">
        <v>2216</v>
      </c>
      <c r="C158" s="7" t="s">
        <v>2217</v>
      </c>
      <c r="D158" s="8" t="str">
        <f>Q&amp;$K158&amp;Q&amp;":{"&amp;Q&amp;$B$2&amp;Q&amp;":"&amp;Q&amp;$B158&amp;Q&amp;","&amp;Q&amp;$C$2&amp;Q&amp;":"&amp;Q&amp;$C158&amp;Q&amp;","&amp;Q&amp;"sets"&amp;Q&amp;":"&amp;Q&amp;substitute(SUBSTITUTE($H158,"[",""),"]","")&amp;Q&amp;"},"</f>
        <v>"lnyb":{"label":"Barbie &amp; Ken","extra":"Ah, to be blond and plastic…","sets":"Expansion Set 4, Party Expansion 1"},</v>
      </c>
      <c r="E158" s="9" t="str">
        <f t="shared" si="2"/>
        <v>data:image/svg+xml,%3csvg xmlns='http://www.w3.org/2000/svg' viewBox='0 0 24 216'%3e%3ctext fill='%23fff' style='font: 900 16px sans-serif' text-anchor='end' transform='matrix(0 -1 1 0 18 5)'%3eBarbie %26amp%3B Ken%3c/text%3e%3c/svg%3e</v>
      </c>
      <c r="F158" s="14" t="str">
        <f t="shared" si="3"/>
        <v>https://svgtext.heliohost.us/cgi-bin/gen.perl?text=Barbie%20%26%20Ken</v>
      </c>
      <c r="G158" s="11" t="str">
        <f t="shared" si="4"/>
        <v>data:image/svg+xml,%3csvg xmlns='http://www.w3.org/2000/svg' viewBox='0 0 24 216'%3e%3ctext fill='%23fff' style='font: 900 16px sans-serif' text-anchor='end' transform='matrix(0 -1 1 0 18 5)'%3eBarbie %26amp%3B Ken%3c/text%3e%3c/svg%3e</v>
      </c>
      <c r="H158" s="8" t="s">
        <v>63</v>
      </c>
      <c r="I158" s="8">
        <f t="shared" ref="I158:J158" si="159">len(B158)</f>
        <v>12</v>
      </c>
      <c r="J158" s="8">
        <f t="shared" si="159"/>
        <v>28</v>
      </c>
      <c r="K158" s="8" t="s">
        <v>2218</v>
      </c>
    </row>
    <row r="159">
      <c r="A159" s="7" t="b">
        <v>0</v>
      </c>
      <c r="B159" s="8" t="s">
        <v>2219</v>
      </c>
      <c r="C159" s="8" t="s">
        <v>2220</v>
      </c>
      <c r="D159" s="8" t="str">
        <f>Q&amp;$K159&amp;Q&amp;":{"&amp;Q&amp;$B$2&amp;Q&amp;":"&amp;Q&amp;$B159&amp;Q&amp;","&amp;Q&amp;$C$2&amp;Q&amp;":"&amp;Q&amp;$C159&amp;Q&amp;","&amp;Q&amp;"sets"&amp;Q&amp;":"&amp;Q&amp;substitute(SUBSTITUTE($H159,"[",""),"]","")&amp;Q&amp;"},"</f>
        <v>"vocv":{"label":"Barbie Dolls","extra":"Tall, thin, fashion dolls with lots of clothes and tiny feet.","sets":"Junior"},</v>
      </c>
      <c r="E159" s="9" t="str">
        <f t="shared" si="2"/>
        <v>data:image/svg+xml,%3csvg xmlns='http://www.w3.org/2000/svg' viewBox='0 0 24 216'%3e%3ctext fill='%23fff' style='font: 900 16px sans-serif' text-anchor='end' transform='matrix(0 -1 1 0 18 5)'%3eBarbie Dolls%3c/text%3e%3c/svg%3e</v>
      </c>
      <c r="F159" s="14" t="str">
        <f t="shared" si="3"/>
        <v>https://svgtext.heliohost.us/cgi-bin/gen.perl?text=Barbie%20Dolls</v>
      </c>
      <c r="G159" s="11" t="str">
        <f t="shared" si="4"/>
        <v>data:image/svg+xml,%3csvg xmlns='http://www.w3.org/2000/svg' viewBox='0 0 24 216'%3e%3ctext fill='%23fff' style='font: 900 16px sans-serif' text-anchor='end' transform='matrix(0 -1 1 0 18 5)'%3eBarbie Dolls%3c/text%3e%3c/svg%3e</v>
      </c>
      <c r="H159" s="8" t="s">
        <v>84</v>
      </c>
      <c r="I159" s="8">
        <f t="shared" ref="I159:J159" si="160">len(B159)</f>
        <v>12</v>
      </c>
      <c r="J159" s="8">
        <f t="shared" si="160"/>
        <v>61</v>
      </c>
      <c r="K159" s="8" t="s">
        <v>2221</v>
      </c>
    </row>
    <row r="160">
      <c r="A160" s="7" t="b">
        <v>0</v>
      </c>
      <c r="B160" s="8" t="s">
        <v>2222</v>
      </c>
      <c r="C160" s="7" t="s">
        <v>2223</v>
      </c>
      <c r="D160" s="8" t="str">
        <f>Q&amp;$K160&amp;Q&amp;":{"&amp;Q&amp;$B$2&amp;Q&amp;":"&amp;Q&amp;$B160&amp;Q&amp;","&amp;Q&amp;$C$2&amp;Q&amp;":"&amp;Q&amp;$C160&amp;Q&amp;","&amp;Q&amp;"sets"&amp;Q&amp;":"&amp;Q&amp;substitute(SUBSTITUTE($H160,"[",""),"]","")&amp;Q&amp;"},"</f>
        <v>"jwql":{"label":"Barfing","extra":"We didn’t want to bring that up…","sets":"Basic Set, Party Set"},</v>
      </c>
      <c r="E160" s="9" t="str">
        <f t="shared" si="2"/>
        <v>data:image/svg+xml,%3csvg xmlns='http://www.w3.org/2000/svg' viewBox='0 0 24 216'%3e%3ctext fill='%23fff' style='font: 900 16px sans-serif' text-anchor='end' transform='matrix(0 -1 1 0 18 5)'%3eBarfing%3c/text%3e%3c/svg%3e</v>
      </c>
      <c r="F160" s="14" t="str">
        <f t="shared" si="3"/>
        <v>https://svgtext.heliohost.us/cgi-bin/gen.perl?text=Barfing</v>
      </c>
      <c r="G160" s="11" t="str">
        <f t="shared" si="4"/>
        <v>data:image/svg+xml,%3csvg xmlns='http://www.w3.org/2000/svg' viewBox='0 0 24 216'%3e%3ctext fill='%23fff' style='font: 900 16px sans-serif' text-anchor='end' transform='matrix(0 -1 1 0 18 5)'%3eBarfing%3c/text%3e%3c/svg%3e</v>
      </c>
      <c r="H160" s="8" t="s">
        <v>29</v>
      </c>
      <c r="I160" s="8">
        <f t="shared" ref="I160:J160" si="161">len(B160)</f>
        <v>7</v>
      </c>
      <c r="J160" s="8">
        <f t="shared" si="161"/>
        <v>32</v>
      </c>
      <c r="K160" s="8" t="s">
        <v>2224</v>
      </c>
    </row>
    <row r="161">
      <c r="A161" s="7" t="b">
        <v>0</v>
      </c>
      <c r="B161" s="8" t="s">
        <v>2225</v>
      </c>
      <c r="C161" s="7" t="s">
        <v>2226</v>
      </c>
      <c r="D161" s="8" t="str">
        <f>Q&amp;$K161&amp;Q&amp;":{"&amp;Q&amp;$B$2&amp;Q&amp;":"&amp;Q&amp;$B161&amp;Q&amp;","&amp;Q&amp;$C$2&amp;Q&amp;":"&amp;Q&amp;$C161&amp;Q&amp;","&amp;Q&amp;"sets"&amp;Q&amp;":"&amp;Q&amp;substitute(SUBSTITUTE($H161,"[",""),"]","")&amp;Q&amp;"},"</f>
        <v>"ms{y":{"label":"Barney","extra":"Purple dinosaur. “I love you, you love me, blah, blah, blah…”","sets":"Basic Set, Party Set"},</v>
      </c>
      <c r="E161" s="9" t="str">
        <f t="shared" si="2"/>
        <v>data:image/svg+xml,%3csvg xmlns='http://www.w3.org/2000/svg' viewBox='0 0 24 216'%3e%3ctext fill='%23fff' style='font: 900 16px sans-serif' text-anchor='end' transform='matrix(0 -1 1 0 18 5)'%3eBarney%3c/text%3e%3c/svg%3e</v>
      </c>
      <c r="F161" s="14" t="str">
        <f t="shared" si="3"/>
        <v>https://svgtext.heliohost.us/cgi-bin/gen.perl?text=Barney</v>
      </c>
      <c r="G161" s="11" t="str">
        <f t="shared" si="4"/>
        <v>data:image/svg+xml,%3csvg xmlns='http://www.w3.org/2000/svg' viewBox='0 0 24 216'%3e%3ctext fill='%23fff' style='font: 900 16px sans-serif' text-anchor='end' transform='matrix(0 -1 1 0 18 5)'%3eBarney%3c/text%3e%3c/svg%3e</v>
      </c>
      <c r="H161" s="8" t="s">
        <v>29</v>
      </c>
      <c r="I161" s="8">
        <f t="shared" ref="I161:J161" si="162">len(B161)</f>
        <v>6</v>
      </c>
      <c r="J161" s="8">
        <f t="shared" si="162"/>
        <v>61</v>
      </c>
      <c r="K161" s="8" t="s">
        <v>2227</v>
      </c>
    </row>
    <row r="162">
      <c r="A162" s="7" t="b">
        <v>0</v>
      </c>
      <c r="B162" s="8" t="s">
        <v>2225</v>
      </c>
      <c r="C162" s="7" t="s">
        <v>2228</v>
      </c>
      <c r="D162" s="8" t="str">
        <f>Q&amp;$K162&amp;Q&amp;":{"&amp;Q&amp;$B$2&amp;Q&amp;":"&amp;Q&amp;$B162&amp;Q&amp;","&amp;Q&amp;$C$2&amp;Q&amp;":"&amp;Q&amp;$C162&amp;Q&amp;","&amp;Q&amp;"sets"&amp;Q&amp;":"&amp;Q&amp;substitute(SUBSTITUTE($H162,"[",""),"]","")&amp;Q&amp;"},"</f>
        <v>"quqo":{"label":"Barney","extra":"A large, purple dinosaur. “I love you, you love me.”","sets":"Junior"},</v>
      </c>
      <c r="E162" s="9" t="str">
        <f t="shared" si="2"/>
        <v>data:image/svg+xml,%3csvg xmlns='http://www.w3.org/2000/svg' viewBox='0 0 24 216'%3e%3ctext fill='%23fff' style='font: 900 16px sans-serif' text-anchor='end' transform='matrix(0 -1 1 0 18 5)'%3eBarney%3c/text%3e%3c/svg%3e</v>
      </c>
      <c r="F162" s="14" t="str">
        <f t="shared" si="3"/>
        <v>https://svgtext.heliohost.us/cgi-bin/gen.perl?text=Barney</v>
      </c>
      <c r="G162" s="11" t="str">
        <f t="shared" si="4"/>
        <v>data:image/svg+xml,%3csvg xmlns='http://www.w3.org/2000/svg' viewBox='0 0 24 216'%3e%3ctext fill='%23fff' style='font: 900 16px sans-serif' text-anchor='end' transform='matrix(0 -1 1 0 18 5)'%3eBarney%3c/text%3e%3c/svg%3e</v>
      </c>
      <c r="H162" s="8" t="s">
        <v>84</v>
      </c>
      <c r="I162" s="8">
        <f t="shared" ref="I162:J162" si="163">len(B162)</f>
        <v>6</v>
      </c>
      <c r="J162" s="8">
        <f t="shared" si="163"/>
        <v>52</v>
      </c>
      <c r="K162" s="8" t="s">
        <v>2229</v>
      </c>
    </row>
    <row r="163">
      <c r="A163" s="7" t="b">
        <v>0</v>
      </c>
      <c r="B163" s="8" t="s">
        <v>2230</v>
      </c>
      <c r="C163" s="7" t="s">
        <v>2231</v>
      </c>
      <c r="D163" s="8" t="str">
        <f>Q&amp;$K163&amp;Q&amp;":{"&amp;Q&amp;$B$2&amp;Q&amp;":"&amp;Q&amp;$B163&amp;Q&amp;","&amp;Q&amp;$C$2&amp;Q&amp;":"&amp;Q&amp;$C163&amp;Q&amp;","&amp;Q&amp;"sets"&amp;Q&amp;":"&amp;Q&amp;substitute(SUBSTITUTE($H163,"[",""),"]","")&amp;Q&amp;"},"</f>
        <v>"mzlr":{"label":"Bart Simpson","extra":"Fictional animated character. “Don’t have a cow, man!”","sets":"Basic Set, Party Set"},</v>
      </c>
      <c r="E163" s="9" t="str">
        <f t="shared" si="2"/>
        <v>data:image/svg+xml,%3csvg xmlns='http://www.w3.org/2000/svg' viewBox='0 0 24 216'%3e%3ctext fill='%23fff' style='font: 900 16px sans-serif' text-anchor='end' transform='matrix(0 -1 1 0 18 5)'%3eBart Simpson%3c/text%3e%3c/svg%3e</v>
      </c>
      <c r="F163" s="14" t="str">
        <f t="shared" si="3"/>
        <v>https://svgtext.heliohost.us/cgi-bin/gen.perl?text=Bart%20Simpson</v>
      </c>
      <c r="G163" s="11" t="str">
        <f t="shared" si="4"/>
        <v>data:image/svg+xml,%3csvg xmlns='http://www.w3.org/2000/svg' viewBox='0 0 24 216'%3e%3ctext fill='%23fff' style='font: 900 16px sans-serif' text-anchor='end' transform='matrix(0 -1 1 0 18 5)'%3eBart Simpson%3c/text%3e%3c/svg%3e</v>
      </c>
      <c r="H163" s="8" t="s">
        <v>29</v>
      </c>
      <c r="I163" s="8">
        <f t="shared" ref="I163:J163" si="164">len(B163)</f>
        <v>12</v>
      </c>
      <c r="J163" s="8">
        <f t="shared" si="164"/>
        <v>54</v>
      </c>
      <c r="K163" s="8" t="s">
        <v>2232</v>
      </c>
    </row>
    <row r="164">
      <c r="A164" s="7" t="b">
        <v>1</v>
      </c>
      <c r="B164" s="8" t="s">
        <v>2233</v>
      </c>
      <c r="C164" s="7" t="s">
        <v>2234</v>
      </c>
      <c r="D164" s="8" t="str">
        <f>Q&amp;$K164&amp;Q&amp;":{"&amp;Q&amp;$B$2&amp;Q&amp;":"&amp;Q&amp;$B164&amp;Q&amp;","&amp;Q&amp;$C$2&amp;Q&amp;":"&amp;Q&amp;$C164&amp;Q&amp;","&amp;Q&amp;"sets"&amp;Q&amp;":"&amp;Q&amp;substitute(SUBSTITUTE($H164,"[",""),"]","")&amp;Q&amp;"},"</f>
        <v>"jmkq":{"label":"Baseball","extra":"Its one, two, three strikes you’re out…","sets":"Expansion Set 3, Party Expansion 1"},</v>
      </c>
      <c r="E164" s="9" t="str">
        <f t="shared" si="2"/>
        <v>data:image/svg+xml,%3csvg xmlns='http://www.w3.org/2000/svg' viewBox='0 0 24 216'%3e%3ctext fill='%23fff' style='font: 900 16px sans-serif' text-anchor='end' transform='matrix(0 -1 1 0 18 5)'%3eBaseball%3c/text%3e%3c/svg%3e</v>
      </c>
      <c r="F164" s="14" t="str">
        <f t="shared" si="3"/>
        <v>https://svgtext.heliohost.us/cgi-bin/gen.perl?text=Baseball</v>
      </c>
      <c r="G164" s="11" t="str">
        <f t="shared" si="4"/>
        <v>data:image/svg+xml,%3csvg xmlns='http://www.w3.org/2000/svg' viewBox='0 0 24 216'%3e%3ctext fill='%23fff' style='font: 900 16px sans-serif' text-anchor='end' transform='matrix(0 -1 1 0 18 5)'%3eBaseball%3c/text%3e%3c/svg%3e</v>
      </c>
      <c r="H164" s="8" t="s">
        <v>39</v>
      </c>
      <c r="I164" s="8">
        <f t="shared" ref="I164:J164" si="165">len(B164)</f>
        <v>8</v>
      </c>
      <c r="J164" s="8">
        <f t="shared" si="165"/>
        <v>39</v>
      </c>
      <c r="K164" s="8" t="s">
        <v>2235</v>
      </c>
    </row>
    <row r="165">
      <c r="A165" s="7" t="b">
        <v>1</v>
      </c>
      <c r="B165" s="8" t="s">
        <v>2236</v>
      </c>
      <c r="C165" s="7" t="s">
        <v>2237</v>
      </c>
      <c r="D165" s="8" t="str">
        <f>Q&amp;$K165&amp;Q&amp;":{"&amp;Q&amp;$B$2&amp;Q&amp;":"&amp;Q&amp;$B165&amp;Q&amp;","&amp;Q&amp;$C$2&amp;Q&amp;":"&amp;Q&amp;$C165&amp;Q&amp;","&amp;Q&amp;"sets"&amp;Q&amp;":"&amp;Q&amp;substitute(SUBSTITUTE($H165,"[",""),"]","")&amp;Q&amp;"},"</f>
        <v>"wnsf":{"label":"Baseball Fields","extra":"It's 90 feet from home plate to first base. But it seems longer when you’re trying to reach it!","sets":"Junior 9+ (2nd)"},</v>
      </c>
      <c r="E165" s="9" t="str">
        <f t="shared" si="2"/>
        <v>data:image/svg+xml,%3csvg xmlns='http://www.w3.org/2000/svg' viewBox='0 0 24 216'%3e%3ctext fill='%23fff' style='font: 900 16px sans-serif' text-anchor='end' transform='matrix(0 -1 1 0 18 5)'%3eBaseball Fields%3c/text%3e%3c/svg%3e</v>
      </c>
      <c r="F165" s="14" t="str">
        <f t="shared" si="3"/>
        <v>https://svgtext.heliohost.us/cgi-bin/gen.perl?text=Baseball%20Fields</v>
      </c>
      <c r="G165" s="11" t="str">
        <f t="shared" si="4"/>
        <v>data:image/svg+xml,%3csvg xmlns='http://www.w3.org/2000/svg' viewBox='0 0 24 216'%3e%3ctext fill='%23fff' style='font: 900 16px sans-serif' text-anchor='end' transform='matrix(0 -1 1 0 18 5)'%3eBaseball Fields%3c/text%3e%3c/svg%3e</v>
      </c>
      <c r="H165" s="8" t="s">
        <v>32</v>
      </c>
      <c r="I165" s="8">
        <f t="shared" ref="I165:J165" si="166">len(B165)</f>
        <v>15</v>
      </c>
      <c r="J165" s="8">
        <f t="shared" si="166"/>
        <v>95</v>
      </c>
      <c r="K165" s="8" t="s">
        <v>2238</v>
      </c>
    </row>
    <row r="166">
      <c r="A166" s="7" t="b">
        <v>1</v>
      </c>
      <c r="B166" s="8" t="s">
        <v>2239</v>
      </c>
      <c r="C166" s="7" t="s">
        <v>2240</v>
      </c>
      <c r="D166" s="8" t="str">
        <f>Q&amp;$K166&amp;Q&amp;":{"&amp;Q&amp;$B$2&amp;Q&amp;":"&amp;Q&amp;$B166&amp;Q&amp;","&amp;Q&amp;$C$2&amp;Q&amp;":"&amp;Q&amp;$C166&amp;Q&amp;","&amp;Q&amp;"sets"&amp;Q&amp;":"&amp;Q&amp;substitute(SUBSTITUTE($H166,"[",""),"]","")&amp;Q&amp;"},"</f>
        <v>"wfaq":{"label":"Baseball Games","extra":"“One, two, three strikes, YOU'RE OUT!”","sets":"Junior 9+ (1st) &amp; (2nd)"},</v>
      </c>
      <c r="E166" s="9" t="str">
        <f t="shared" si="2"/>
        <v>data:image/svg+xml,%3csvg xmlns='http://www.w3.org/2000/svg' viewBox='0 0 24 216'%3e%3ctext fill='%23fff' style='font: 900 16px sans-serif' text-anchor='end' transform='matrix(0 -1 1 0 18 5)'%3eBaseball Games%3c/text%3e%3c/svg%3e</v>
      </c>
      <c r="F166" s="14" t="str">
        <f t="shared" si="3"/>
        <v>https://svgtext.heliohost.us/cgi-bin/gen.perl?text=Baseball%20Games</v>
      </c>
      <c r="G166" s="11" t="str">
        <f t="shared" si="4"/>
        <v>data:image/svg+xml,%3csvg xmlns='http://www.w3.org/2000/svg' viewBox='0 0 24 216'%3e%3ctext fill='%23fff' style='font: 900 16px sans-serif' text-anchor='end' transform='matrix(0 -1 1 0 18 5)'%3eBaseball Games%3c/text%3e%3c/svg%3e</v>
      </c>
      <c r="H166" s="8" t="s">
        <v>42</v>
      </c>
      <c r="I166" s="8">
        <f t="shared" ref="I166:J166" si="167">len(B166)</f>
        <v>14</v>
      </c>
      <c r="J166" s="8">
        <f t="shared" si="167"/>
        <v>38</v>
      </c>
      <c r="K166" s="8" t="s">
        <v>2241</v>
      </c>
    </row>
    <row r="167">
      <c r="A167" s="7" t="b">
        <v>1</v>
      </c>
      <c r="B167" s="8" t="s">
        <v>2242</v>
      </c>
      <c r="C167" s="8" t="s">
        <v>2243</v>
      </c>
      <c r="D167" s="8" t="str">
        <f>Q&amp;$K167&amp;Q&amp;":{"&amp;Q&amp;$B$2&amp;Q&amp;":"&amp;Q&amp;$B167&amp;Q&amp;","&amp;Q&amp;$C$2&amp;Q&amp;":"&amp;Q&amp;$C167&amp;Q&amp;","&amp;Q&amp;"sets"&amp;Q&amp;":"&amp;Q&amp;substitute(SUBSTITUTE($H167,"[",""),"]","")&amp;Q&amp;"},"</f>
        <v>"axww":{"label":"Basketball","extra":"Some basketball players are over seven feet tall.","sets":"Junior 9+ (1st) &amp; (2nd)"},</v>
      </c>
      <c r="E167" s="9" t="str">
        <f t="shared" si="2"/>
        <v>data:image/svg+xml,%3csvg xmlns='http://www.w3.org/2000/svg' viewBox='0 0 24 216'%3e%3ctext fill='%23fff' style='font: 900 16px sans-serif' text-anchor='end' transform='matrix(0 -1 1 0 18 5)'%3eBasketball%3c/text%3e%3c/svg%3e</v>
      </c>
      <c r="F167" s="14" t="str">
        <f t="shared" si="3"/>
        <v>https://svgtext.heliohost.us/cgi-bin/gen.perl?text=Basketball</v>
      </c>
      <c r="G167" s="11" t="str">
        <f t="shared" si="4"/>
        <v>data:image/svg+xml,%3csvg xmlns='http://www.w3.org/2000/svg' viewBox='0 0 24 216'%3e%3ctext fill='%23fff' style='font: 900 16px sans-serif' text-anchor='end' transform='matrix(0 -1 1 0 18 5)'%3eBasketball%3c/text%3e%3c/svg%3e</v>
      </c>
      <c r="H167" s="8" t="s">
        <v>42</v>
      </c>
      <c r="I167" s="8">
        <f t="shared" ref="I167:J167" si="168">len(B167)</f>
        <v>10</v>
      </c>
      <c r="J167" s="8">
        <f t="shared" si="168"/>
        <v>49</v>
      </c>
      <c r="K167" s="8" t="s">
        <v>2244</v>
      </c>
    </row>
    <row r="168">
      <c r="A168" s="7" t="b">
        <v>0</v>
      </c>
      <c r="B168" s="8" t="s">
        <v>2245</v>
      </c>
      <c r="C168" s="7" t="s">
        <v>2246</v>
      </c>
      <c r="D168" s="8" t="str">
        <f>Q&amp;$K168&amp;Q&amp;":{"&amp;Q&amp;$B$2&amp;Q&amp;":"&amp;Q&amp;$B168&amp;Q&amp;","&amp;Q&amp;$C$2&amp;Q&amp;":"&amp;Q&amp;$C168&amp;Q&amp;","&amp;Q&amp;"sets"&amp;Q&amp;":"&amp;Q&amp;substitute(SUBSTITUTE($H168,"[",""),"]","")&amp;Q&amp;"},"</f>
        <v>"ioyf":{"label":"Bates Motel","extra":"The haunt of Alfred Hitchcock’s psycho, Norman Bates… and mother, of course…","sets":"Expansion Set 2, Party Set"},</v>
      </c>
      <c r="E168" s="9" t="str">
        <f t="shared" si="2"/>
        <v>data:image/svg+xml,%3csvg xmlns='http://www.w3.org/2000/svg' viewBox='0 0 24 216'%3e%3ctext fill='%23fff' style='font: 900 16px sans-serif' text-anchor='end' transform='matrix(0 -1 1 0 18 5)'%3eBates Motel%3c/text%3e%3c/svg%3e</v>
      </c>
      <c r="F168" s="14" t="str">
        <f t="shared" si="3"/>
        <v>https://svgtext.heliohost.us/cgi-bin/gen.perl?text=Bates%20Motel</v>
      </c>
      <c r="G168" s="11" t="str">
        <f t="shared" si="4"/>
        <v>data:image/svg+xml,%3csvg xmlns='http://www.w3.org/2000/svg' viewBox='0 0 24 216'%3e%3ctext fill='%23fff' style='font: 900 16px sans-serif' text-anchor='end' transform='matrix(0 -1 1 0 18 5)'%3eBates Motel%3c/text%3e%3c/svg%3e</v>
      </c>
      <c r="H168" s="8" t="s">
        <v>17</v>
      </c>
      <c r="I168" s="8">
        <f t="shared" ref="I168:J168" si="169">len(B168)</f>
        <v>11</v>
      </c>
      <c r="J168" s="8">
        <f t="shared" si="169"/>
        <v>76</v>
      </c>
      <c r="K168" s="8" t="s">
        <v>2247</v>
      </c>
    </row>
    <row r="169">
      <c r="A169" s="7" t="b">
        <v>0</v>
      </c>
      <c r="B169" s="8" t="s">
        <v>2248</v>
      </c>
      <c r="C169" s="7" t="s">
        <v>2249</v>
      </c>
      <c r="D169" s="8" t="str">
        <f>Q&amp;$K169&amp;Q&amp;":{"&amp;Q&amp;$B$2&amp;Q&amp;":"&amp;Q&amp;$B169&amp;Q&amp;","&amp;Q&amp;$C$2&amp;Q&amp;":"&amp;Q&amp;$C169&amp;Q&amp;","&amp;Q&amp;"sets"&amp;Q&amp;":"&amp;Q&amp;substitute(SUBSTITUTE($H169,"[",""),"]","")&amp;Q&amp;"},"</f>
        <v>"izkl":{"label":"Batman","extra":"How does Batman's mother call him home? “Dinner, dinner, dinner, dinner, dinner, dinner, dinner, dinner BATMAN!”","sets":"Expansion Set 2, Party Set"},</v>
      </c>
      <c r="E169" s="9" t="str">
        <f t="shared" si="2"/>
        <v>data:image/svg+xml,%3csvg xmlns='http://www.w3.org/2000/svg' viewBox='0 0 24 216'%3e%3ctext fill='%23fff' style='font: 900 16px sans-serif' text-anchor='end' transform='matrix(0 -1 1 0 18 5)'%3eBatman%3c/text%3e%3c/svg%3e</v>
      </c>
      <c r="F169" s="14" t="str">
        <f t="shared" si="3"/>
        <v>https://svgtext.heliohost.us/cgi-bin/gen.perl?text=Batman</v>
      </c>
      <c r="G169" s="11" t="str">
        <f t="shared" si="4"/>
        <v>data:image/svg+xml,%3csvg xmlns='http://www.w3.org/2000/svg' viewBox='0 0 24 216'%3e%3ctext fill='%23fff' style='font: 900 16px sans-serif' text-anchor='end' transform='matrix(0 -1 1 0 18 5)'%3eBatman%3c/text%3e%3c/svg%3e</v>
      </c>
      <c r="H169" s="8" t="s">
        <v>17</v>
      </c>
      <c r="I169" s="8">
        <f t="shared" ref="I169:J169" si="170">len(B169)</f>
        <v>6</v>
      </c>
      <c r="J169" s="8">
        <f t="shared" si="170"/>
        <v>112</v>
      </c>
      <c r="K169" s="8" t="s">
        <v>2250</v>
      </c>
    </row>
    <row r="170">
      <c r="A170" s="7" t="b">
        <v>0</v>
      </c>
      <c r="B170" s="8" t="s">
        <v>2248</v>
      </c>
      <c r="C170" s="8" t="s">
        <v>2251</v>
      </c>
      <c r="D170" s="8" t="str">
        <f>Q&amp;$K170&amp;Q&amp;":{"&amp;Q&amp;$B$2&amp;Q&amp;":"&amp;Q&amp;$B170&amp;Q&amp;","&amp;Q&amp;$C$2&amp;Q&amp;":"&amp;Q&amp;$C170&amp;Q&amp;","&amp;Q&amp;"sets"&amp;Q&amp;":"&amp;Q&amp;substitute(SUBSTITUTE($H170,"[",""),"]","")&amp;Q&amp;"},"</f>
        <v>"{rjq":{"label":"Batman","extra":"A superhero who wears a black mask and cape. He drives the Batmobile.","sets":"Junior"},</v>
      </c>
      <c r="E170" s="9" t="str">
        <f t="shared" si="2"/>
        <v>data:image/svg+xml,%3csvg xmlns='http://www.w3.org/2000/svg' viewBox='0 0 24 216'%3e%3ctext fill='%23fff' style='font: 900 16px sans-serif' text-anchor='end' transform='matrix(0 -1 1 0 18 5)'%3eBatman%3c/text%3e%3c/svg%3e</v>
      </c>
      <c r="F170" s="14" t="str">
        <f t="shared" si="3"/>
        <v>https://svgtext.heliohost.us/cgi-bin/gen.perl?text=Batman</v>
      </c>
      <c r="G170" s="11" t="str">
        <f t="shared" si="4"/>
        <v>data:image/svg+xml,%3csvg xmlns='http://www.w3.org/2000/svg' viewBox='0 0 24 216'%3e%3ctext fill='%23fff' style='font: 900 16px sans-serif' text-anchor='end' transform='matrix(0 -1 1 0 18 5)'%3eBatman%3c/text%3e%3c/svg%3e</v>
      </c>
      <c r="H170" s="8" t="s">
        <v>84</v>
      </c>
      <c r="I170" s="8">
        <f t="shared" ref="I170:J170" si="171">len(B170)</f>
        <v>6</v>
      </c>
      <c r="J170" s="8">
        <f t="shared" si="171"/>
        <v>69</v>
      </c>
      <c r="K170" s="8" t="s">
        <v>2252</v>
      </c>
    </row>
    <row r="171">
      <c r="A171" s="7" t="b">
        <v>1</v>
      </c>
      <c r="B171" s="8" t="s">
        <v>2253</v>
      </c>
      <c r="C171" s="7" t="s">
        <v>2254</v>
      </c>
      <c r="D171" s="8" t="str">
        <f>Q&amp;$K171&amp;Q&amp;":{"&amp;Q&amp;$B$2&amp;Q&amp;":"&amp;Q&amp;$B171&amp;Q&amp;","&amp;Q&amp;$C$2&amp;Q&amp;":"&amp;Q&amp;$C171&amp;Q&amp;","&amp;Q&amp;"sets"&amp;Q&amp;":"&amp;Q&amp;substitute(SUBSTITUTE($H171,"[",""),"]","")&amp;Q&amp;"},"</f>
        <v>"coqs":{"label":"Batman &amp; Robin","extra":"Superheroes or vigilantes, you make the call.","sets":"Expansion Set 4, Party Expansion 1"},</v>
      </c>
      <c r="E171" s="9" t="str">
        <f t="shared" si="2"/>
        <v>data:image/svg+xml,%3csvg xmlns='http://www.w3.org/2000/svg' viewBox='0 0 24 216'%3e%3ctext fill='%23fff' style='font: 900 16px sans-serif' text-anchor='end' transform='matrix(0 -1 1 0 18 5)'%3eBatman %26amp%3B Robin%3c/text%3e%3c/svg%3e</v>
      </c>
      <c r="F171" s="14" t="str">
        <f t="shared" si="3"/>
        <v>https://svgtext.heliohost.us/cgi-bin/gen.perl?text=Batman%20%26%20Robin</v>
      </c>
      <c r="G171" s="11" t="str">
        <f t="shared" si="4"/>
        <v>data:image/svg+xml,%3csvg xmlns='http://www.w3.org/2000/svg' viewBox='0 0 24 216'%3e%3ctext fill='%23fff' style='font: 900 16px sans-serif' text-anchor='end' transform='matrix(0 -1 1 0 18 5)'%3eBatman %26amp%3B Robin%3c/text%3e%3c/svg%3e</v>
      </c>
      <c r="H171" s="8" t="s">
        <v>63</v>
      </c>
      <c r="I171" s="8">
        <f t="shared" ref="I171:J171" si="172">len(B171)</f>
        <v>14</v>
      </c>
      <c r="J171" s="8">
        <f t="shared" si="172"/>
        <v>45</v>
      </c>
      <c r="K171" s="8" t="s">
        <v>2255</v>
      </c>
    </row>
    <row r="172">
      <c r="A172" s="7" t="b">
        <v>0</v>
      </c>
      <c r="B172" s="8" t="s">
        <v>2256</v>
      </c>
      <c r="C172" s="7" t="s">
        <v>2257</v>
      </c>
      <c r="D172" s="8" t="str">
        <f>Q&amp;$K172&amp;Q&amp;":{"&amp;Q&amp;$B$2&amp;Q&amp;":"&amp;Q&amp;$B172&amp;Q&amp;","&amp;Q&amp;$C$2&amp;Q&amp;":"&amp;Q&amp;$C172&amp;Q&amp;","&amp;Q&amp;"sets"&amp;Q&amp;":"&amp;Q&amp;substitute(SUBSTITUTE($H172,"[",""),"]","")&amp;Q&amp;"},"</f>
        <v>"rvqr":{"label":"Bats","extra":"The little brown bat consumes as many as 600 mosquitoes in an hour. The vampire bat dines elsewhere…","sets":"Expansion Set 1, Party Set"},</v>
      </c>
      <c r="E172" s="9" t="str">
        <f t="shared" si="2"/>
        <v>data:image/svg+xml,%3csvg xmlns='http://www.w3.org/2000/svg' viewBox='0 0 24 216'%3e%3ctext fill='%23fff' style='font: 900 16px sans-serif' text-anchor='end' transform='matrix(0 -1 1 0 18 5)'%3eBats%3c/text%3e%3c/svg%3e</v>
      </c>
      <c r="F172" s="14" t="str">
        <f t="shared" si="3"/>
        <v>https://svgtext.heliohost.us/cgi-bin/gen.perl?text=Bats</v>
      </c>
      <c r="G172" s="11" t="str">
        <f t="shared" si="4"/>
        <v>data:image/svg+xml,%3csvg xmlns='http://www.w3.org/2000/svg' viewBox='0 0 24 216'%3e%3ctext fill='%23fff' style='font: 900 16px sans-serif' text-anchor='end' transform='matrix(0 -1 1 0 18 5)'%3eBats%3c/text%3e%3c/svg%3e</v>
      </c>
      <c r="H172" s="8" t="s">
        <v>25</v>
      </c>
      <c r="I172" s="8">
        <f t="shared" ref="I172:J172" si="173">len(B172)</f>
        <v>4</v>
      </c>
      <c r="J172" s="8">
        <f t="shared" si="173"/>
        <v>100</v>
      </c>
      <c r="K172" s="8" t="s">
        <v>2258</v>
      </c>
    </row>
    <row r="173">
      <c r="A173" s="7" t="b">
        <v>0</v>
      </c>
      <c r="B173" s="8" t="s">
        <v>2256</v>
      </c>
      <c r="C173" s="8" t="s">
        <v>2259</v>
      </c>
      <c r="D173" s="8" t="str">
        <f>Q&amp;$K173&amp;Q&amp;":{"&amp;Q&amp;$B$2&amp;Q&amp;":"&amp;Q&amp;$B173&amp;Q&amp;","&amp;Q&amp;$C$2&amp;Q&amp;":"&amp;Q&amp;$C173&amp;Q&amp;","&amp;Q&amp;"sets"&amp;Q&amp;":"&amp;Q&amp;substitute(SUBSTITUTE($H173,"[",""),"]","")&amp;Q&amp;"},"</f>
        <v>"hhhz":{"label":"Bats","extra":"Either furry little animals that fly, or sticks used to hit baseballs.","sets":"Junior"},</v>
      </c>
      <c r="E173" s="9" t="str">
        <f t="shared" si="2"/>
        <v>data:image/svg+xml,%3csvg xmlns='http://www.w3.org/2000/svg' viewBox='0 0 24 216'%3e%3ctext fill='%23fff' style='font: 900 16px sans-serif' text-anchor='end' transform='matrix(0 -1 1 0 18 5)'%3eBats%3c/text%3e%3c/svg%3e</v>
      </c>
      <c r="F173" s="14" t="str">
        <f t="shared" si="3"/>
        <v>https://svgtext.heliohost.us/cgi-bin/gen.perl?text=Bats</v>
      </c>
      <c r="G173" s="11" t="str">
        <f t="shared" si="4"/>
        <v>data:image/svg+xml,%3csvg xmlns='http://www.w3.org/2000/svg' viewBox='0 0 24 216'%3e%3ctext fill='%23fff' style='font: 900 16px sans-serif' text-anchor='end' transform='matrix(0 -1 1 0 18 5)'%3eBats%3c/text%3e%3c/svg%3e</v>
      </c>
      <c r="H173" s="8" t="s">
        <v>84</v>
      </c>
      <c r="I173" s="8">
        <f t="shared" ref="I173:J173" si="174">len(B173)</f>
        <v>4</v>
      </c>
      <c r="J173" s="8">
        <f t="shared" si="174"/>
        <v>70</v>
      </c>
      <c r="K173" s="8" t="s">
        <v>2260</v>
      </c>
    </row>
    <row r="174">
      <c r="A174" s="7" t="b">
        <v>1</v>
      </c>
      <c r="B174" s="8" t="s">
        <v>2261</v>
      </c>
      <c r="C174" s="7" t="s">
        <v>2262</v>
      </c>
      <c r="D174" s="8" t="str">
        <f>Q&amp;$K174&amp;Q&amp;":{"&amp;Q&amp;$B$2&amp;Q&amp;":"&amp;Q&amp;$B174&amp;Q&amp;","&amp;Q&amp;$C$2&amp;Q&amp;":"&amp;Q&amp;$C174&amp;Q&amp;","&amp;Q&amp;"sets"&amp;Q&amp;":"&amp;Q&amp;substitute(SUBSTITUTE($H174,"[",""),"]","")&amp;Q&amp;"},"</f>
        <v>"pslr":{"label":"Bats &amp; Balls","extra":"At least they don’t go on strike.","sets":"Expansion Set 4, Party Expansion 1"},</v>
      </c>
      <c r="E174" s="9" t="str">
        <f t="shared" si="2"/>
        <v>data:image/svg+xml,%3csvg xmlns='http://www.w3.org/2000/svg' viewBox='0 0 24 216'%3e%3ctext fill='%23fff' style='font: 900 16px sans-serif' text-anchor='end' transform='matrix(0 -1 1 0 18 5)'%3eBats %26amp%3B Balls%3c/text%3e%3c/svg%3e</v>
      </c>
      <c r="F174" s="14" t="str">
        <f t="shared" si="3"/>
        <v>https://svgtext.heliohost.us/cgi-bin/gen.perl?text=Bats%20%26%20Balls</v>
      </c>
      <c r="G174" s="11" t="str">
        <f t="shared" si="4"/>
        <v>data:image/svg+xml,%3csvg xmlns='http://www.w3.org/2000/svg' viewBox='0 0 24 216'%3e%3ctext fill='%23fff' style='font: 900 16px sans-serif' text-anchor='end' transform='matrix(0 -1 1 0 18 5)'%3eBats %26amp%3B Balls%3c/text%3e%3c/svg%3e</v>
      </c>
      <c r="H174" s="8" t="s">
        <v>63</v>
      </c>
      <c r="I174" s="8">
        <f t="shared" ref="I174:J174" si="175">len(B174)</f>
        <v>12</v>
      </c>
      <c r="J174" s="8">
        <f t="shared" si="175"/>
        <v>33</v>
      </c>
      <c r="K174" s="8" t="s">
        <v>2263</v>
      </c>
    </row>
    <row r="175">
      <c r="A175" s="7" t="b">
        <v>1</v>
      </c>
      <c r="B175" s="8" t="s">
        <v>2264</v>
      </c>
      <c r="C175" s="7" t="s">
        <v>2265</v>
      </c>
      <c r="D175" s="8" t="str">
        <f>Q&amp;$K175&amp;Q&amp;":{"&amp;Q&amp;$B$2&amp;Q&amp;":"&amp;Q&amp;$B175&amp;Q&amp;","&amp;Q&amp;$C$2&amp;Q&amp;":"&amp;Q&amp;$C175&amp;Q&amp;","&amp;Q&amp;"sets"&amp;Q&amp;":"&amp;Q&amp;substitute(SUBSTITUTE($H175,"[",""),"]","")&amp;Q&amp;"},"</f>
        <v>"qxlp":{"label":"BB Guns","extra":"“You’ll shoot your eye out!”","sets":"Expansion Set 3, Party Expansion 1"},</v>
      </c>
      <c r="E175" s="9" t="str">
        <f t="shared" si="2"/>
        <v>data:image/svg+xml,%3csvg xmlns='http://www.w3.org/2000/svg' viewBox='0 0 24 216'%3e%3ctext fill='%23fff' style='font: 900 16px sans-serif' text-anchor='end' transform='matrix(0 -1 1 0 18 5)'%3eBB Guns%3c/text%3e%3c/svg%3e</v>
      </c>
      <c r="F175" s="14" t="str">
        <f t="shared" si="3"/>
        <v>https://svgtext.heliohost.us/cgi-bin/gen.perl?text=BB%20Guns</v>
      </c>
      <c r="G175" s="11" t="str">
        <f t="shared" si="4"/>
        <v>data:image/svg+xml,%3csvg xmlns='http://www.w3.org/2000/svg' viewBox='0 0 24 216'%3e%3ctext fill='%23fff' style='font: 900 16px sans-serif' text-anchor='end' transform='matrix(0 -1 1 0 18 5)'%3eBB Guns%3c/text%3e%3c/svg%3e</v>
      </c>
      <c r="H175" s="8" t="s">
        <v>39</v>
      </c>
      <c r="I175" s="8">
        <f t="shared" ref="I175:J175" si="176">len(B175)</f>
        <v>7</v>
      </c>
      <c r="J175" s="8">
        <f t="shared" si="176"/>
        <v>28</v>
      </c>
      <c r="K175" s="8" t="s">
        <v>2266</v>
      </c>
    </row>
    <row r="176">
      <c r="A176" s="7" t="b">
        <v>1</v>
      </c>
      <c r="B176" s="8" t="s">
        <v>2267</v>
      </c>
      <c r="C176" s="8" t="s">
        <v>2268</v>
      </c>
      <c r="D176" s="8" t="str">
        <f>Q&amp;$K176&amp;Q&amp;":{"&amp;Q&amp;$B$2&amp;Q&amp;":"&amp;Q&amp;$B176&amp;Q&amp;","&amp;Q&amp;$C$2&amp;Q&amp;":"&amp;Q&amp;$C176&amp;Q&amp;","&amp;Q&amp;"sets"&amp;Q&amp;":"&amp;Q&amp;substitute(SUBSTITUTE($H176,"[",""),"]","")&amp;Q&amp;"},"</f>
        <v>"dgcb":{"label":"Beach Balls","extra":"Blow them up and watch them blow away!","sets":"Junior 9+ (1st) &amp; (2nd)"},</v>
      </c>
      <c r="E176" s="9" t="str">
        <f t="shared" si="2"/>
        <v>data:image/svg+xml,%3csvg xmlns='http://www.w3.org/2000/svg' viewBox='0 0 24 216'%3e%3ctext fill='%23fff' style='font: 900 16px sans-serif' text-anchor='end' transform='matrix(0 -1 1 0 18 5)'%3eBeach Balls%3c/text%3e%3c/svg%3e</v>
      </c>
      <c r="F176" s="14" t="str">
        <f t="shared" si="3"/>
        <v>https://svgtext.heliohost.us/cgi-bin/gen.perl?text=Beach%20Balls</v>
      </c>
      <c r="G176" s="11" t="str">
        <f t="shared" si="4"/>
        <v>data:image/svg+xml,%3csvg xmlns='http://www.w3.org/2000/svg' viewBox='0 0 24 216'%3e%3ctext fill='%23fff' style='font: 900 16px sans-serif' text-anchor='end' transform='matrix(0 -1 1 0 18 5)'%3eBeach Balls%3c/text%3e%3c/svg%3e</v>
      </c>
      <c r="H176" s="8" t="s">
        <v>42</v>
      </c>
      <c r="I176" s="8">
        <f t="shared" ref="I176:J176" si="177">len(B176)</f>
        <v>11</v>
      </c>
      <c r="J176" s="8">
        <f t="shared" si="177"/>
        <v>38</v>
      </c>
      <c r="K176" s="8" t="s">
        <v>2269</v>
      </c>
    </row>
    <row r="177">
      <c r="A177" s="7" t="b">
        <v>0</v>
      </c>
      <c r="B177" s="8" t="s">
        <v>2270</v>
      </c>
      <c r="C177" s="7" t="s">
        <v>2271</v>
      </c>
      <c r="D177" s="8" t="str">
        <f>Q&amp;$K177&amp;Q&amp;":{"&amp;Q&amp;$B$2&amp;Q&amp;":"&amp;Q&amp;$B177&amp;Q&amp;","&amp;Q&amp;$C$2&amp;Q&amp;":"&amp;Q&amp;$C177&amp;Q&amp;","&amp;Q&amp;"sets"&amp;Q&amp;":"&amp;Q&amp;substitute(SUBSTITUTE($H177,"[",""),"]","")&amp;Q&amp;"},"</f>
        <v>"tvuy":{"label":"Beach Parties","extra":"Up for some “Beach Blanket Bingo,” Annette?","sets":"Expansion Set 1, Party Set"},</v>
      </c>
      <c r="E177" s="9" t="str">
        <f t="shared" si="2"/>
        <v>data:image/svg+xml,%3csvg xmlns='http://www.w3.org/2000/svg' viewBox='0 0 24 216'%3e%3ctext fill='%23fff' style='font: 900 16px sans-serif' text-anchor='end' transform='matrix(0 -1 1 0 18 5)'%3eBeach Parties%3c/text%3e%3c/svg%3e</v>
      </c>
      <c r="F177" s="14" t="str">
        <f t="shared" si="3"/>
        <v>https://svgtext.heliohost.us/cgi-bin/gen.perl?text=Beach%20Parties</v>
      </c>
      <c r="G177" s="11" t="str">
        <f t="shared" si="4"/>
        <v>data:image/svg+xml,%3csvg xmlns='http://www.w3.org/2000/svg' viewBox='0 0 24 216'%3e%3ctext fill='%23fff' style='font: 900 16px sans-serif' text-anchor='end' transform='matrix(0 -1 1 0 18 5)'%3eBeach Parties%3c/text%3e%3c/svg%3e</v>
      </c>
      <c r="H177" s="8" t="s">
        <v>25</v>
      </c>
      <c r="I177" s="8">
        <f t="shared" ref="I177:J177" si="178">len(B177)</f>
        <v>13</v>
      </c>
      <c r="J177" s="8">
        <f t="shared" si="178"/>
        <v>43</v>
      </c>
      <c r="K177" s="8" t="s">
        <v>2272</v>
      </c>
    </row>
    <row r="178">
      <c r="A178" s="7" t="b">
        <v>0</v>
      </c>
      <c r="B178" s="8" t="s">
        <v>2273</v>
      </c>
      <c r="C178" s="7" t="s">
        <v>2274</v>
      </c>
      <c r="D178" s="8" t="str">
        <f>Q&amp;$K178&amp;Q&amp;":{"&amp;Q&amp;$B$2&amp;Q&amp;":"&amp;Q&amp;$B178&amp;Q&amp;","&amp;Q&amp;$C$2&amp;Q&amp;":"&amp;Q&amp;$C178&amp;Q&amp;","&amp;Q&amp;"sets"&amp;Q&amp;":"&amp;Q&amp;substitute(SUBSTITUTE($H178,"[",""),"]","")&amp;Q&amp;"},"</f>
        <v>"cfxe":{"label":"Beanbag Chairs","extra":"For beanbag butts…","sets":"Expansion Set 3, Party Expansion 1"},</v>
      </c>
      <c r="E178" s="9" t="str">
        <f t="shared" si="2"/>
        <v>data:image/svg+xml,%3csvg xmlns='http://www.w3.org/2000/svg' viewBox='0 0 24 216'%3e%3ctext fill='%23fff' style='font: 900 16px sans-serif' text-anchor='end' transform='matrix(0 -1 1 0 18 5)'%3eBeanbag Chairs%3c/text%3e%3c/svg%3e</v>
      </c>
      <c r="F178" s="14" t="str">
        <f t="shared" si="3"/>
        <v>https://svgtext.heliohost.us/cgi-bin/gen.perl?text=Beanbag%20Chairs</v>
      </c>
      <c r="G178" s="11" t="str">
        <f t="shared" si="4"/>
        <v>data:image/svg+xml,%3csvg xmlns='http://www.w3.org/2000/svg' viewBox='0 0 24 216'%3e%3ctext fill='%23fff' style='font: 900 16px sans-serif' text-anchor='end' transform='matrix(0 -1 1 0 18 5)'%3eBeanbag Chairs%3c/text%3e%3c/svg%3e</v>
      </c>
      <c r="H178" s="8" t="s">
        <v>39</v>
      </c>
      <c r="I178" s="8">
        <f t="shared" ref="I178:J178" si="179">len(B178)</f>
        <v>14</v>
      </c>
      <c r="J178" s="8">
        <f t="shared" si="179"/>
        <v>18</v>
      </c>
      <c r="K178" s="8" t="s">
        <v>2275</v>
      </c>
    </row>
    <row r="179">
      <c r="A179" s="7" t="b">
        <v>0</v>
      </c>
      <c r="B179" s="8" t="s">
        <v>2276</v>
      </c>
      <c r="C179" s="8" t="s">
        <v>2277</v>
      </c>
      <c r="D179" s="8" t="str">
        <f>Q&amp;$K179&amp;Q&amp;":{"&amp;Q&amp;$B$2&amp;Q&amp;":"&amp;Q&amp;$B179&amp;Q&amp;","&amp;Q&amp;$C$2&amp;Q&amp;":"&amp;Q&amp;$C179&amp;Q&amp;","&amp;Q&amp;"sets"&amp;Q&amp;":"&amp;Q&amp;substitute(SUBSTITUTE($H179,"[",""),"]","")&amp;Q&amp;"},"</f>
        <v>"yvbv":{"label":"Beanie Babies","extra":"Tiny plush collectible to love and cherish. Don't take that tag off!","sets":"Expansion Set 1, Party Set"},</v>
      </c>
      <c r="E179" s="9" t="str">
        <f t="shared" si="2"/>
        <v>data:image/svg+xml,%3csvg xmlns='http://www.w3.org/2000/svg' viewBox='0 0 24 216'%3e%3ctext fill='%23fff' style='font: 900 16px sans-serif' text-anchor='end' transform='matrix(0 -1 1 0 18 5)'%3eBeanie Babies%3c/text%3e%3c/svg%3e</v>
      </c>
      <c r="F179" s="14" t="str">
        <f t="shared" si="3"/>
        <v>https://svgtext.heliohost.us/cgi-bin/gen.perl?text=Beanie%20Babies</v>
      </c>
      <c r="G179" s="11" t="str">
        <f t="shared" si="4"/>
        <v>data:image/svg+xml,%3csvg xmlns='http://www.w3.org/2000/svg' viewBox='0 0 24 216'%3e%3ctext fill='%23fff' style='font: 900 16px sans-serif' text-anchor='end' transform='matrix(0 -1 1 0 18 5)'%3eBeanie Babies%3c/text%3e%3c/svg%3e</v>
      </c>
      <c r="H179" s="8" t="s">
        <v>25</v>
      </c>
      <c r="I179" s="8">
        <f t="shared" ref="I179:J179" si="180">len(B179)</f>
        <v>13</v>
      </c>
      <c r="J179" s="8">
        <f t="shared" si="180"/>
        <v>68</v>
      </c>
      <c r="K179" s="8" t="s">
        <v>2278</v>
      </c>
    </row>
    <row r="180">
      <c r="A180" s="7" t="b">
        <v>0</v>
      </c>
      <c r="B180" s="8" t="s">
        <v>2276</v>
      </c>
      <c r="C180" s="8" t="s">
        <v>2279</v>
      </c>
      <c r="D180" s="8" t="str">
        <f>Q&amp;$K180&amp;Q&amp;":{"&amp;Q&amp;$B$2&amp;Q&amp;":"&amp;Q&amp;$B180&amp;Q&amp;","&amp;Q&amp;$C$2&amp;Q&amp;":"&amp;Q&amp;$C180&amp;Q&amp;","&amp;Q&amp;"sets"&amp;Q&amp;":"&amp;Q&amp;substitute(SUBSTITUTE($H180,"[",""),"]","")&amp;Q&amp;"},"</f>
        <v>"unpl":{"label":"Beanie Babies","extra":"Little bean bag creatures that can be played with or collected.","sets":"Junior"},</v>
      </c>
      <c r="E180" s="9" t="str">
        <f t="shared" si="2"/>
        <v>data:image/svg+xml,%3csvg xmlns='http://www.w3.org/2000/svg' viewBox='0 0 24 216'%3e%3ctext fill='%23fff' style='font: 900 16px sans-serif' text-anchor='end' transform='matrix(0 -1 1 0 18 5)'%3eBeanie Babies%3c/text%3e%3c/svg%3e</v>
      </c>
      <c r="F180" s="14" t="str">
        <f t="shared" si="3"/>
        <v>https://svgtext.heliohost.us/cgi-bin/gen.perl?text=Beanie%20Babies</v>
      </c>
      <c r="G180" s="11" t="str">
        <f t="shared" si="4"/>
        <v>data:image/svg+xml,%3csvg xmlns='http://www.w3.org/2000/svg' viewBox='0 0 24 216'%3e%3ctext fill='%23fff' style='font: 900 16px sans-serif' text-anchor='end' transform='matrix(0 -1 1 0 18 5)'%3eBeanie Babies%3c/text%3e%3c/svg%3e</v>
      </c>
      <c r="H180" s="8" t="s">
        <v>84</v>
      </c>
      <c r="I180" s="8">
        <f t="shared" ref="I180:J180" si="181">len(B180)</f>
        <v>13</v>
      </c>
      <c r="J180" s="8">
        <f t="shared" si="181"/>
        <v>63</v>
      </c>
      <c r="K180" s="8" t="s">
        <v>2280</v>
      </c>
    </row>
    <row r="181">
      <c r="A181" s="7" t="b">
        <v>1</v>
      </c>
      <c r="B181" s="8" t="s">
        <v>2281</v>
      </c>
      <c r="C181" s="8" t="s">
        <v>2282</v>
      </c>
      <c r="D181" s="8" t="str">
        <f>Q&amp;$K181&amp;Q&amp;":{"&amp;Q&amp;$B$2&amp;Q&amp;":"&amp;Q&amp;$B181&amp;Q&amp;","&amp;Q&amp;$C$2&amp;Q&amp;":"&amp;Q&amp;$C181&amp;Q&amp;","&amp;Q&amp;"sets"&amp;Q&amp;":"&amp;Q&amp;substitute(SUBSTITUTE($H181,"[",""),"]","")&amp;Q&amp;"},"</f>
        <v>"jaqw":{"label":"Bears","extra":"Large, shaggy animals with sharp claws and little tails. Sometimes they are named Teddy.","sets":"Junior"},</v>
      </c>
      <c r="E181" s="9" t="str">
        <f t="shared" si="2"/>
        <v>data:image/svg+xml,%3csvg xmlns='http://www.w3.org/2000/svg' viewBox='0 0 24 216'%3e%3ctext fill='%23fff' style='font: 900 16px sans-serif' text-anchor='end' transform='matrix(0 -1 1 0 18 5)'%3eBears%3c/text%3e%3c/svg%3e</v>
      </c>
      <c r="F181" s="14" t="str">
        <f t="shared" si="3"/>
        <v>https://svgtext.heliohost.us/cgi-bin/gen.perl?text=Bears</v>
      </c>
      <c r="G181" s="11" t="str">
        <f t="shared" si="4"/>
        <v>data:image/svg+xml,%3csvg xmlns='http://www.w3.org/2000/svg' viewBox='0 0 24 216'%3e%3ctext fill='%23fff' style='font: 900 16px sans-serif' text-anchor='end' transform='matrix(0 -1 1 0 18 5)'%3eBears%3c/text%3e%3c/svg%3e</v>
      </c>
      <c r="H181" s="8" t="s">
        <v>84</v>
      </c>
      <c r="I181" s="8">
        <f t="shared" ref="I181:J181" si="182">len(B181)</f>
        <v>5</v>
      </c>
      <c r="J181" s="8">
        <f t="shared" si="182"/>
        <v>88</v>
      </c>
      <c r="K181" s="8" t="s">
        <v>2283</v>
      </c>
    </row>
    <row r="182">
      <c r="A182" s="7" t="b">
        <v>1</v>
      </c>
      <c r="B182" s="8" t="s">
        <v>2284</v>
      </c>
      <c r="C182" s="8" t="s">
        <v>2285</v>
      </c>
      <c r="D182" s="8" t="str">
        <f>Q&amp;$K182&amp;Q&amp;":{"&amp;Q&amp;$B$2&amp;Q&amp;":"&amp;Q&amp;$B182&amp;Q&amp;","&amp;Q&amp;$C$2&amp;Q&amp;":"&amp;Q&amp;$C182&amp;Q&amp;","&amp;Q&amp;"sets"&amp;Q&amp;":"&amp;Q&amp;substitute(SUBSTITUTE($H182,"[",""),"]","")&amp;Q&amp;"},"</f>
        <v>"zlls":{"label":"Beauty &amp; The Beast","extra":"A French fairy tale, animated by Disney in 1991.","sets":"Expansion Set 4, Party Expansion 1"},</v>
      </c>
      <c r="E182" s="9" t="str">
        <f t="shared" si="2"/>
        <v>data:image/svg+xml,%3csvg xmlns='http://www.w3.org/2000/svg' viewBox='0 0 24 216'%3e%3ctext fill='%23fff' style='font: 900 16px sans-serif' text-anchor='end' transform='matrix(0 -1 1 0 18 5)'%3eBeauty %26amp%3B The Beast%3c/text%3e%3c/svg%3e</v>
      </c>
      <c r="F182" s="14" t="str">
        <f t="shared" si="3"/>
        <v>https://svgtext.heliohost.us/cgi-bin/gen.perl?text=Beauty%20%26%20The%20Beast</v>
      </c>
      <c r="G182" s="11" t="str">
        <f t="shared" si="4"/>
        <v>data:image/svg+xml,%3csvg xmlns='http://www.w3.org/2000/svg' viewBox='0 0 24 216'%3e%3ctext fill='%23fff' style='font: 900 16px sans-serif' text-anchor='end' transform='matrix(0 -1 1 0 18 5)'%3eBeauty %26amp%3B The Beast%3c/text%3e%3c/svg%3e</v>
      </c>
      <c r="H182" s="8" t="s">
        <v>63</v>
      </c>
      <c r="I182" s="8">
        <f t="shared" ref="I182:J182" si="183">len(B182)</f>
        <v>18</v>
      </c>
      <c r="J182" s="8">
        <f t="shared" si="183"/>
        <v>48</v>
      </c>
      <c r="K182" s="8" t="s">
        <v>2286</v>
      </c>
    </row>
    <row r="183">
      <c r="A183" s="7" t="b">
        <v>0</v>
      </c>
      <c r="B183" s="8" t="s">
        <v>2287</v>
      </c>
      <c r="C183" s="7" t="s">
        <v>2288</v>
      </c>
      <c r="D183" s="8" t="str">
        <f>Q&amp;$K183&amp;Q&amp;":{"&amp;Q&amp;$B$2&amp;Q&amp;":"&amp;Q&amp;$B183&amp;Q&amp;","&amp;Q&amp;$C$2&amp;Q&amp;":"&amp;Q&amp;$C183&amp;Q&amp;","&amp;Q&amp;"sets"&amp;Q&amp;":"&amp;Q&amp;substitute(SUBSTITUTE($H183,"[",""),"]","")&amp;Q&amp;"},"</f>
        <v>"dxjr":{"label":"Beauty And The Beast","extra":"A tale as old as time… so Disney didn’t have to pay royalties.","sets":"Expansion Set 2, Party Set"},</v>
      </c>
      <c r="E183" s="9" t="str">
        <f t="shared" si="2"/>
        <v>data:image/svg+xml,%3csvg xmlns='http://www.w3.org/2000/svg' viewBox='0 0 24 216'%3e%3ctext fill='%23fff' style='font: 900 16px sans-serif' text-anchor='end' transform='matrix(0 -1 1 0 18 5)'%3eBeauty And The Beast%3c/text%3e%3c/svg%3e</v>
      </c>
      <c r="F183" s="14" t="str">
        <f t="shared" si="3"/>
        <v>https://svgtext.heliohost.us/cgi-bin/gen.perl?text=Beauty%20And%20The%20Beast</v>
      </c>
      <c r="G183" s="11" t="str">
        <f t="shared" si="4"/>
        <v>data:image/svg+xml,%3csvg xmlns='http://www.w3.org/2000/svg' viewBox='0 0 24 216'%3e%3ctext fill='%23fff' style='font: 900 16px sans-serif' text-anchor='end' transform='matrix(0 -1 1 0 18 5)'%3eBeauty And The Beast%3c/text%3e%3c/svg%3e</v>
      </c>
      <c r="H183" s="8" t="s">
        <v>17</v>
      </c>
      <c r="I183" s="8">
        <f t="shared" ref="I183:J183" si="184">len(B183)</f>
        <v>20</v>
      </c>
      <c r="J183" s="8">
        <f t="shared" si="184"/>
        <v>62</v>
      </c>
      <c r="K183" s="8" t="s">
        <v>2289</v>
      </c>
    </row>
    <row r="184">
      <c r="A184" s="7" t="b">
        <v>0</v>
      </c>
      <c r="B184" s="8" t="s">
        <v>2290</v>
      </c>
      <c r="C184" s="7" t="s">
        <v>2291</v>
      </c>
      <c r="D184" s="8" t="str">
        <f>Q&amp;$K184&amp;Q&amp;":{"&amp;Q&amp;$B$2&amp;Q&amp;":"&amp;Q&amp;$B184&amp;Q&amp;","&amp;Q&amp;$C$2&amp;Q&amp;":"&amp;Q&amp;$C184&amp;Q&amp;","&amp;Q&amp;"sets"&amp;Q&amp;":"&amp;Q&amp;substitute(SUBSTITUTE($H184,"[",""),"]","")&amp;Q&amp;"},"</f>
        <v>"fswo":{"label":"Beavis &amp; Butt-Head","extra":"He said “butt.” Huh-huh. Huh-huh.","sets":"Expansion Set 4, Party Expansion 1"},</v>
      </c>
      <c r="E184" s="9" t="str">
        <f t="shared" si="2"/>
        <v>data:image/svg+xml,%3csvg xmlns='http://www.w3.org/2000/svg' viewBox='0 0 24 216'%3e%3ctext fill='%23fff' style='font: 900 16px sans-serif' text-anchor='end' transform='matrix(0 -1 1 0 18 5)'%3eBeavis %26amp%3B Butt-Head%3c/text%3e%3c/svg%3e</v>
      </c>
      <c r="F184" s="14" t="str">
        <f t="shared" si="3"/>
        <v>https://svgtext.heliohost.us/cgi-bin/gen.perl?text=Beavis%20%26%20Butt-Head</v>
      </c>
      <c r="G184" s="11" t="str">
        <f t="shared" si="4"/>
        <v>data:image/svg+xml,%3csvg xmlns='http://www.w3.org/2000/svg' viewBox='0 0 24 216'%3e%3ctext fill='%23fff' style='font: 900 16px sans-serif' text-anchor='end' transform='matrix(0 -1 1 0 18 5)'%3eBeavis %26amp%3B Butt-Head%3c/text%3e%3c/svg%3e</v>
      </c>
      <c r="H184" s="8" t="s">
        <v>63</v>
      </c>
      <c r="I184" s="8">
        <f t="shared" ref="I184:J184" si="185">len(B184)</f>
        <v>18</v>
      </c>
      <c r="J184" s="8">
        <f t="shared" si="185"/>
        <v>33</v>
      </c>
      <c r="K184" s="8" t="s">
        <v>2292</v>
      </c>
    </row>
    <row r="185">
      <c r="A185" s="7" t="b">
        <v>1</v>
      </c>
      <c r="B185" s="8" t="s">
        <v>2293</v>
      </c>
      <c r="C185" s="8" t="s">
        <v>2294</v>
      </c>
      <c r="D185" s="8" t="str">
        <f>Q&amp;$K185&amp;Q&amp;":{"&amp;Q&amp;$B$2&amp;Q&amp;":"&amp;Q&amp;$B185&amp;Q&amp;","&amp;Q&amp;$C$2&amp;Q&amp;":"&amp;Q&amp;$C185&amp;Q&amp;","&amp;Q&amp;"sets"&amp;Q&amp;":"&amp;Q&amp;substitute(SUBSTITUTE($H185,"[",""),"]","")&amp;Q&amp;"},"</f>
        <v>"gwnn":{"label":"Bed &amp; Breakfast","extra":"Not the same as breakfast in bed.","sets":"Expansion Set 4, Party Expansion 1"},</v>
      </c>
      <c r="E185" s="9" t="str">
        <f t="shared" si="2"/>
        <v>data:image/svg+xml,%3csvg xmlns='http://www.w3.org/2000/svg' viewBox='0 0 24 216'%3e%3ctext fill='%23fff' style='font: 900 16px sans-serif' text-anchor='end' transform='matrix(0 -1 1 0 18 5)'%3eBed %26amp%3B Breakfast%3c/text%3e%3c/svg%3e</v>
      </c>
      <c r="F185" s="14" t="str">
        <f t="shared" si="3"/>
        <v>https://svgtext.heliohost.us/cgi-bin/gen.perl?text=Bed%20%26%20Breakfast</v>
      </c>
      <c r="G185" s="11" t="str">
        <f t="shared" si="4"/>
        <v>data:image/svg+xml,%3csvg xmlns='http://www.w3.org/2000/svg' viewBox='0 0 24 216'%3e%3ctext fill='%23fff' style='font: 900 16px sans-serif' text-anchor='end' transform='matrix(0 -1 1 0 18 5)'%3eBed %26amp%3B Breakfast%3c/text%3e%3c/svg%3e</v>
      </c>
      <c r="H185" s="8" t="s">
        <v>63</v>
      </c>
      <c r="I185" s="8">
        <f t="shared" ref="I185:J185" si="186">len(B185)</f>
        <v>15</v>
      </c>
      <c r="J185" s="8">
        <f t="shared" si="186"/>
        <v>33</v>
      </c>
      <c r="K185" s="8" t="s">
        <v>2295</v>
      </c>
    </row>
    <row r="186">
      <c r="A186" s="7" t="b">
        <v>1</v>
      </c>
      <c r="B186" s="8" t="s">
        <v>2296</v>
      </c>
      <c r="C186" s="7" t="s">
        <v>2297</v>
      </c>
      <c r="D186" s="8" t="str">
        <f>Q&amp;$K186&amp;Q&amp;":{"&amp;Q&amp;$B$2&amp;Q&amp;":"&amp;Q&amp;$B186&amp;Q&amp;","&amp;Q&amp;$C$2&amp;Q&amp;":"&amp;Q&amp;$C186&amp;Q&amp;","&amp;Q&amp;"sets"&amp;Q&amp;":"&amp;Q&amp;substitute(SUBSTITUTE($H186,"[",""),"]","")&amp;Q&amp;"},"</f>
        <v>"tdqo":{"label":"Bee Stings","extra":"Leave the bees alone—and they’ll leave you alone.","sets":"Junior 9+ (2nd)"},</v>
      </c>
      <c r="E186" s="9" t="str">
        <f t="shared" si="2"/>
        <v>data:image/svg+xml,%3csvg xmlns='http://www.w3.org/2000/svg' viewBox='0 0 24 216'%3e%3ctext fill='%23fff' style='font: 900 16px sans-serif' text-anchor='end' transform='matrix(0 -1 1 0 18 5)'%3eBee Stings%3c/text%3e%3c/svg%3e</v>
      </c>
      <c r="F186" s="14" t="str">
        <f t="shared" si="3"/>
        <v>https://svgtext.heliohost.us/cgi-bin/gen.perl?text=Bee%20Stings</v>
      </c>
      <c r="G186" s="11" t="str">
        <f t="shared" si="4"/>
        <v>data:image/svg+xml,%3csvg xmlns='http://www.w3.org/2000/svg' viewBox='0 0 24 216'%3e%3ctext fill='%23fff' style='font: 900 16px sans-serif' text-anchor='end' transform='matrix(0 -1 1 0 18 5)'%3eBee Stings%3c/text%3e%3c/svg%3e</v>
      </c>
      <c r="H186" s="8" t="s">
        <v>32</v>
      </c>
      <c r="I186" s="8">
        <f t="shared" ref="I186:J186" si="187">len(B186)</f>
        <v>10</v>
      </c>
      <c r="J186" s="8">
        <f t="shared" si="187"/>
        <v>49</v>
      </c>
      <c r="K186" s="8" t="s">
        <v>2298</v>
      </c>
    </row>
    <row r="187">
      <c r="A187" s="7" t="b">
        <v>1</v>
      </c>
      <c r="B187" s="8" t="s">
        <v>2299</v>
      </c>
      <c r="C187" s="7" t="s">
        <v>2300</v>
      </c>
      <c r="D187" s="8" t="str">
        <f>Q&amp;$K187&amp;Q&amp;":{"&amp;Q&amp;$B$2&amp;Q&amp;":"&amp;Q&amp;$B187&amp;Q&amp;","&amp;Q&amp;$C$2&amp;Q&amp;":"&amp;Q&amp;$C187&amp;Q&amp;","&amp;Q&amp;"sets"&amp;Q&amp;":"&amp;Q&amp;substitute(SUBSTITUTE($H187,"[",""),"]","")&amp;Q&amp;"},"</f>
        <v>"hmoo":{"label":"Beef Stew","extra":"Meat, potatoes, carrots, onions…","sets":"Junior 9+ (2nd)"},</v>
      </c>
      <c r="E187" s="9" t="str">
        <f t="shared" si="2"/>
        <v>data:image/svg+xml,%3csvg xmlns='http://www.w3.org/2000/svg' viewBox='0 0 24 216'%3e%3ctext fill='%23fff' style='font: 900 16px sans-serif' text-anchor='end' transform='matrix(0 -1 1 0 18 5)'%3eBeef Stew%3c/text%3e%3c/svg%3e</v>
      </c>
      <c r="F187" s="14" t="str">
        <f t="shared" si="3"/>
        <v>https://svgtext.heliohost.us/cgi-bin/gen.perl?text=Beef%20Stew</v>
      </c>
      <c r="G187" s="11" t="str">
        <f t="shared" si="4"/>
        <v>data:image/svg+xml,%3csvg xmlns='http://www.w3.org/2000/svg' viewBox='0 0 24 216'%3e%3ctext fill='%23fff' style='font: 900 16px sans-serif' text-anchor='end' transform='matrix(0 -1 1 0 18 5)'%3eBeef Stew%3c/text%3e%3c/svg%3e</v>
      </c>
      <c r="H187" s="8" t="s">
        <v>32</v>
      </c>
      <c r="I187" s="8">
        <f t="shared" ref="I187:J187" si="188">len(B187)</f>
        <v>9</v>
      </c>
      <c r="J187" s="8">
        <f t="shared" si="188"/>
        <v>32</v>
      </c>
      <c r="K187" s="8" t="s">
        <v>2301</v>
      </c>
    </row>
    <row r="188">
      <c r="A188" s="7" t="b">
        <v>0</v>
      </c>
      <c r="B188" s="8" t="s">
        <v>2302</v>
      </c>
      <c r="C188" s="7" t="s">
        <v>2303</v>
      </c>
      <c r="D188" s="8" t="str">
        <f>Q&amp;$K188&amp;Q&amp;":{"&amp;Q&amp;$B$2&amp;Q&amp;":"&amp;Q&amp;$B188&amp;Q&amp;","&amp;Q&amp;$C$2&amp;Q&amp;":"&amp;Q&amp;$C188&amp;Q&amp;","&amp;Q&amp;"sets"&amp;Q&amp;":"&amp;Q&amp;substitute(SUBSTITUTE($H188,"[",""),"]","")&amp;Q&amp;"},"</f>
        <v>"twgz":{"label":"Beer","extra":"“Beer is proof that God loves us and wants us to be happy.”—Benjamin Franklin","sets":"Expansion Set 2, Party Set"},</v>
      </c>
      <c r="E188" s="9" t="str">
        <f t="shared" si="2"/>
        <v>data:image/svg+xml,%3csvg xmlns='http://www.w3.org/2000/svg' viewBox='0 0 24 216'%3e%3ctext fill='%23fff' style='font: 900 16px sans-serif' text-anchor='end' transform='matrix(0 -1 1 0 18 5)'%3eBeer%3c/text%3e%3c/svg%3e</v>
      </c>
      <c r="F188" s="14" t="str">
        <f t="shared" si="3"/>
        <v>https://svgtext.heliohost.us/cgi-bin/gen.perl?text=Beer</v>
      </c>
      <c r="G188" s="11" t="str">
        <f t="shared" si="4"/>
        <v>data:image/svg+xml,%3csvg xmlns='http://www.w3.org/2000/svg' viewBox='0 0 24 216'%3e%3ctext fill='%23fff' style='font: 900 16px sans-serif' text-anchor='end' transform='matrix(0 -1 1 0 18 5)'%3eBeer%3c/text%3e%3c/svg%3e</v>
      </c>
      <c r="H188" s="8" t="s">
        <v>17</v>
      </c>
      <c r="I188" s="8">
        <f t="shared" ref="I188:J188" si="189">len(B188)</f>
        <v>4</v>
      </c>
      <c r="J188" s="8">
        <f t="shared" si="189"/>
        <v>77</v>
      </c>
      <c r="K188" s="8" t="s">
        <v>2304</v>
      </c>
    </row>
    <row r="189">
      <c r="A189" s="7" t="b">
        <v>0</v>
      </c>
      <c r="B189" s="8" t="s">
        <v>2305</v>
      </c>
      <c r="C189" s="7" t="s">
        <v>2306</v>
      </c>
      <c r="D189" s="8" t="str">
        <f>Q&amp;$K189&amp;Q&amp;":{"&amp;Q&amp;$B$2&amp;Q&amp;":"&amp;Q&amp;$B189&amp;Q&amp;","&amp;Q&amp;$C$2&amp;Q&amp;":"&amp;Q&amp;$C189&amp;Q&amp;","&amp;Q&amp;"sets"&amp;Q&amp;":"&amp;Q&amp;substitute(SUBSTITUTE($H189,"[",""),"]","")&amp;Q&amp;"},"</f>
        <v>"rtkj":{"label":"Beer &amp; Pretzels","extra":"“these pretzels are making me thirsty” —Cosmo Kramer, Seinfeld","sets":"Expansion Set 4, Party Expansion 1"},</v>
      </c>
      <c r="E189" s="9" t="str">
        <f t="shared" si="2"/>
        <v>data:image/svg+xml,%3csvg xmlns='http://www.w3.org/2000/svg' viewBox='0 0 24 216'%3e%3ctext fill='%23fff' style='font: 900 16px sans-serif' text-anchor='end' transform='matrix(0 -1 1 0 18 5)'%3eBeer %26amp%3B Pretzels%3c/text%3e%3c/svg%3e</v>
      </c>
      <c r="F189" s="14" t="str">
        <f t="shared" si="3"/>
        <v>https://svgtext.heliohost.us/cgi-bin/gen.perl?text=Beer%20%26%20Pretzels</v>
      </c>
      <c r="G189" s="11" t="str">
        <f t="shared" si="4"/>
        <v>data:image/svg+xml,%3csvg xmlns='http://www.w3.org/2000/svg' viewBox='0 0 24 216'%3e%3ctext fill='%23fff' style='font: 900 16px sans-serif' text-anchor='end' transform='matrix(0 -1 1 0 18 5)'%3eBeer %26amp%3B Pretzels%3c/text%3e%3c/svg%3e</v>
      </c>
      <c r="H189" s="8" t="s">
        <v>63</v>
      </c>
      <c r="I189" s="8">
        <f t="shared" ref="I189:J189" si="190">len(B189)</f>
        <v>15</v>
      </c>
      <c r="J189" s="8">
        <f t="shared" si="190"/>
        <v>62</v>
      </c>
      <c r="K189" s="8" t="s">
        <v>2307</v>
      </c>
    </row>
    <row r="190">
      <c r="A190" s="7" t="b">
        <v>0</v>
      </c>
      <c r="B190" s="8" t="s">
        <v>2308</v>
      </c>
      <c r="C190" s="8" t="s">
        <v>2309</v>
      </c>
      <c r="D190" s="8" t="str">
        <f>Q&amp;$K190&amp;Q&amp;":{"&amp;Q&amp;$B$2&amp;Q&amp;":"&amp;Q&amp;$B190&amp;Q&amp;","&amp;Q&amp;$C$2&amp;Q&amp;":"&amp;Q&amp;$C190&amp;Q&amp;","&amp;Q&amp;"sets"&amp;Q&amp;":"&amp;Q&amp;substitute(SUBSTITUTE($H190,"[",""),"]","")&amp;Q&amp;"},"</f>
        <v>"rvjn":{"label":"Beer Bellies","extra":"Just think of them as microbreweries.","sets":"Expansion Set 1, Party Set"},</v>
      </c>
      <c r="E190" s="9" t="str">
        <f t="shared" si="2"/>
        <v>data:image/svg+xml,%3csvg xmlns='http://www.w3.org/2000/svg' viewBox='0 0 24 216'%3e%3ctext fill='%23fff' style='font: 900 16px sans-serif' text-anchor='end' transform='matrix(0 -1 1 0 18 5)'%3eBeer Bellies%3c/text%3e%3c/svg%3e</v>
      </c>
      <c r="F190" s="14" t="str">
        <f t="shared" si="3"/>
        <v>https://svgtext.heliohost.us/cgi-bin/gen.perl?text=Beer%20Bellies</v>
      </c>
      <c r="G190" s="11" t="str">
        <f t="shared" si="4"/>
        <v>data:image/svg+xml,%3csvg xmlns='http://www.w3.org/2000/svg' viewBox='0 0 24 216'%3e%3ctext fill='%23fff' style='font: 900 16px sans-serif' text-anchor='end' transform='matrix(0 -1 1 0 18 5)'%3eBeer Bellies%3c/text%3e%3c/svg%3e</v>
      </c>
      <c r="H190" s="8" t="s">
        <v>25</v>
      </c>
      <c r="I190" s="8">
        <f t="shared" ref="I190:J190" si="191">len(B190)</f>
        <v>12</v>
      </c>
      <c r="J190" s="8">
        <f t="shared" si="191"/>
        <v>37</v>
      </c>
      <c r="K190" s="8" t="s">
        <v>2310</v>
      </c>
    </row>
    <row r="191">
      <c r="A191" s="7" t="b">
        <v>0</v>
      </c>
      <c r="B191" s="8" t="s">
        <v>2311</v>
      </c>
      <c r="C191" s="8" t="s">
        <v>2312</v>
      </c>
      <c r="D191" s="8" t="str">
        <f>Q&amp;$K191&amp;Q&amp;":{"&amp;Q&amp;$B$2&amp;Q&amp;":"&amp;Q&amp;$B191&amp;Q&amp;","&amp;Q&amp;$C$2&amp;Q&amp;":"&amp;Q&amp;$C191&amp;Q&amp;","&amp;Q&amp;"sets"&amp;Q&amp;":"&amp;Q&amp;substitute(SUBSTITUTE($H191,"[",""),"]","")&amp;Q&amp;"},"</f>
        <v>"vwxf":{"label":"Beethoven","extra":"1770-1827, German composer, considered one of the greatest of the western world.","sets":"Basic Set, Party Set"},</v>
      </c>
      <c r="E191" s="9" t="str">
        <f t="shared" si="2"/>
        <v>data:image/svg+xml,%3csvg xmlns='http://www.w3.org/2000/svg' viewBox='0 0 24 216'%3e%3ctext fill='%23fff' style='font: 900 16px sans-serif' text-anchor='end' transform='matrix(0 -1 1 0 18 5)'%3eBeethoven%3c/text%3e%3c/svg%3e</v>
      </c>
      <c r="F191" s="14" t="str">
        <f t="shared" si="3"/>
        <v>https://svgtext.heliohost.us/cgi-bin/gen.perl?text=Beethoven</v>
      </c>
      <c r="G191" s="11" t="str">
        <f t="shared" si="4"/>
        <v>data:image/svg+xml,%3csvg xmlns='http://www.w3.org/2000/svg' viewBox='0 0 24 216'%3e%3ctext fill='%23fff' style='font: 900 16px sans-serif' text-anchor='end' transform='matrix(0 -1 1 0 18 5)'%3eBeethoven%3c/text%3e%3c/svg%3e</v>
      </c>
      <c r="H191" s="8" t="s">
        <v>29</v>
      </c>
      <c r="I191" s="8">
        <f t="shared" ref="I191:J191" si="192">len(B191)</f>
        <v>9</v>
      </c>
      <c r="J191" s="8">
        <f t="shared" si="192"/>
        <v>80</v>
      </c>
      <c r="K191" s="8" t="s">
        <v>2313</v>
      </c>
    </row>
    <row r="192">
      <c r="A192" s="7" t="b">
        <v>1</v>
      </c>
      <c r="B192" s="8" t="s">
        <v>2314</v>
      </c>
      <c r="C192" s="8" t="s">
        <v>2315</v>
      </c>
      <c r="D192" s="8" t="str">
        <f>Q&amp;$K192&amp;Q&amp;":{"&amp;Q&amp;$B$2&amp;Q&amp;":"&amp;Q&amp;$B192&amp;Q&amp;","&amp;Q&amp;$C$2&amp;Q&amp;":"&amp;Q&amp;$C192&amp;Q&amp;","&amp;Q&amp;"sets"&amp;Q&amp;":"&amp;Q&amp;substitute(SUBSTITUTE($H192,"[",""),"]","")&amp;Q&amp;"},"</f>
        <v>"rfhe":{"label":"Beets","extra":"Round purplish-red vegetables. Do you like beets?","sets":"Junior"},</v>
      </c>
      <c r="E192" s="9" t="str">
        <f t="shared" si="2"/>
        <v>data:image/svg+xml,%3csvg xmlns='http://www.w3.org/2000/svg' viewBox='0 0 24 216'%3e%3ctext fill='%23fff' style='font: 900 16px sans-serif' text-anchor='end' transform='matrix(0 -1 1 0 18 5)'%3eBeets%3c/text%3e%3c/svg%3e</v>
      </c>
      <c r="F192" s="14" t="str">
        <f t="shared" si="3"/>
        <v>https://svgtext.heliohost.us/cgi-bin/gen.perl?text=Beets</v>
      </c>
      <c r="G192" s="11" t="str">
        <f t="shared" si="4"/>
        <v>data:image/svg+xml,%3csvg xmlns='http://www.w3.org/2000/svg' viewBox='0 0 24 216'%3e%3ctext fill='%23fff' style='font: 900 16px sans-serif' text-anchor='end' transform='matrix(0 -1 1 0 18 5)'%3eBeets%3c/text%3e%3c/svg%3e</v>
      </c>
      <c r="H192" s="8" t="s">
        <v>84</v>
      </c>
      <c r="I192" s="8">
        <f t="shared" ref="I192:J192" si="193">len(B192)</f>
        <v>5</v>
      </c>
      <c r="J192" s="8">
        <f t="shared" si="193"/>
        <v>49</v>
      </c>
      <c r="K192" s="8" t="s">
        <v>2316</v>
      </c>
    </row>
    <row r="193">
      <c r="A193" s="7" t="b">
        <v>0</v>
      </c>
      <c r="B193" s="8" t="s">
        <v>2314</v>
      </c>
      <c r="C193" s="7" t="s">
        <v>2317</v>
      </c>
      <c r="D193" s="8" t="str">
        <f>Q&amp;$K193&amp;Q&amp;":{"&amp;Q&amp;$B$2&amp;Q&amp;":"&amp;Q&amp;$B193&amp;Q&amp;","&amp;Q&amp;$C$2&amp;Q&amp;":"&amp;Q&amp;$C193&amp;Q&amp;","&amp;Q&amp;"sets"&amp;Q&amp;":"&amp;Q&amp;substitute(SUBSTITUTE($H193,"[",""),"]","")&amp;Q&amp;"},"</f>
        <v>"hwis":{"label":"Beets","extra":"Beats Brussels sprout.","sets":"Expansion Set 2, Party Set"},</v>
      </c>
      <c r="E193" s="9" t="str">
        <f t="shared" si="2"/>
        <v>data:image/svg+xml,%3csvg xmlns='http://www.w3.org/2000/svg' viewBox='0 0 24 216'%3e%3ctext fill='%23fff' style='font: 900 16px sans-serif' text-anchor='end' transform='matrix(0 -1 1 0 18 5)'%3eBeets%3c/text%3e%3c/svg%3e</v>
      </c>
      <c r="F193" s="14" t="str">
        <f t="shared" si="3"/>
        <v>https://svgtext.heliohost.us/cgi-bin/gen.perl?text=Beets</v>
      </c>
      <c r="G193" s="11" t="str">
        <f t="shared" si="4"/>
        <v>data:image/svg+xml,%3csvg xmlns='http://www.w3.org/2000/svg' viewBox='0 0 24 216'%3e%3ctext fill='%23fff' style='font: 900 16px sans-serif' text-anchor='end' transform='matrix(0 -1 1 0 18 5)'%3eBeets%3c/text%3e%3c/svg%3e</v>
      </c>
      <c r="H193" s="8" t="s">
        <v>17</v>
      </c>
      <c r="I193" s="8">
        <f t="shared" ref="I193:J193" si="194">len(B193)</f>
        <v>5</v>
      </c>
      <c r="J193" s="8">
        <f t="shared" si="194"/>
        <v>22</v>
      </c>
      <c r="K193" s="8" t="s">
        <v>2318</v>
      </c>
    </row>
    <row r="194">
      <c r="A194" s="7" t="b">
        <v>0</v>
      </c>
      <c r="B194" s="8" t="s">
        <v>2319</v>
      </c>
      <c r="C194" s="7" t="s">
        <v>2320</v>
      </c>
      <c r="D194" s="8" t="str">
        <f>Q&amp;$K194&amp;Q&amp;":{"&amp;Q&amp;$B$2&amp;Q&amp;":"&amp;Q&amp;$B194&amp;Q&amp;","&amp;Q&amp;$C$2&amp;Q&amp;":"&amp;Q&amp;$C194&amp;Q&amp;","&amp;Q&amp;"sets"&amp;Q&amp;":"&amp;Q&amp;substitute(SUBSTITUTE($H194,"[",""),"]","")&amp;Q&amp;"},"</f>
        <v>"t{zk":{"label":"Being &amp; Nothingness","extra":"Jean Paul Satre’s 1943 work based on the distinction between things that exist by themselves and those that exist for themselves.","sets":"Expansion Set 4, Party Expansion 1"},</v>
      </c>
      <c r="E194" s="9" t="str">
        <f t="shared" si="2"/>
        <v>data:image/svg+xml,%3csvg xmlns='http://www.w3.org/2000/svg' viewBox='0 0 24 216'%3e%3ctext fill='%23fff' style='font: 900 16px sans-serif' text-anchor='end' transform='matrix(0 -1 1 0 18 5)'%3eBeing %26amp%3B Nothingness%3c/text%3e%3c/svg%3e</v>
      </c>
      <c r="F194" s="14" t="str">
        <f t="shared" si="3"/>
        <v>https://svgtext.heliohost.us/cgi-bin/gen.perl?text=Being%20%26%20Nothingness</v>
      </c>
      <c r="G194" s="11" t="str">
        <f t="shared" si="4"/>
        <v>data:image/svg+xml,%3csvg xmlns='http://www.w3.org/2000/svg' viewBox='0 0 24 216'%3e%3ctext fill='%23fff' style='font: 900 16px sans-serif' text-anchor='end' transform='matrix(0 -1 1 0 18 5)'%3eBeing %26amp%3B Nothingness%3c/text%3e%3c/svg%3e</v>
      </c>
      <c r="H194" s="8" t="s">
        <v>63</v>
      </c>
      <c r="I194" s="8">
        <f t="shared" ref="I194:J194" si="195">len(B194)</f>
        <v>19</v>
      </c>
      <c r="J194" s="8">
        <f t="shared" si="195"/>
        <v>129</v>
      </c>
      <c r="K194" s="8" t="s">
        <v>2321</v>
      </c>
    </row>
    <row r="195">
      <c r="A195" s="7" t="b">
        <v>0</v>
      </c>
      <c r="B195" s="8" t="s">
        <v>2322</v>
      </c>
      <c r="C195" s="7" t="s">
        <v>2323</v>
      </c>
      <c r="D195" s="8" t="str">
        <f>Q&amp;$K195&amp;Q&amp;":{"&amp;Q&amp;$B$2&amp;Q&amp;":"&amp;Q&amp;$B195&amp;Q&amp;","&amp;Q&amp;$C$2&amp;Q&amp;":"&amp;Q&amp;$C195&amp;Q&amp;","&amp;Q&amp;"sets"&amp;Q&amp;":"&amp;Q&amp;substitute(SUBSTITUTE($H195,"[",""),"]","")&amp;Q&amp;"},"</f>
        <v>"ptkz":{"label":"Being In Love","extra":"“Love's like the measles, all the worse when it comes late.”—Douglas Jerrold","sets":"Basic Set, Party Set"},</v>
      </c>
      <c r="E195" s="9" t="str">
        <f t="shared" si="2"/>
        <v>data:image/svg+xml,%3csvg xmlns='http://www.w3.org/2000/svg' viewBox='0 0 24 216'%3e%3ctext fill='%23fff' style='font: 900 16px sans-serif' text-anchor='end' transform='matrix(0 -1 1 0 18 5)'%3eBeing In Love%3c/text%3e%3c/svg%3e</v>
      </c>
      <c r="F195" s="14" t="str">
        <f t="shared" si="3"/>
        <v>https://svgtext.heliohost.us/cgi-bin/gen.perl?text=Being%20In%20Love</v>
      </c>
      <c r="G195" s="11" t="str">
        <f t="shared" si="4"/>
        <v>data:image/svg+xml,%3csvg xmlns='http://www.w3.org/2000/svg' viewBox='0 0 24 216'%3e%3ctext fill='%23fff' style='font: 900 16px sans-serif' text-anchor='end' transform='matrix(0 -1 1 0 18 5)'%3eBeing In Love%3c/text%3e%3c/svg%3e</v>
      </c>
      <c r="H195" s="8" t="s">
        <v>29</v>
      </c>
      <c r="I195" s="8">
        <f t="shared" ref="I195:J195" si="196">len(B195)</f>
        <v>13</v>
      </c>
      <c r="J195" s="8">
        <f t="shared" si="196"/>
        <v>76</v>
      </c>
      <c r="K195" s="8" t="s">
        <v>2324</v>
      </c>
    </row>
    <row r="196">
      <c r="A196" s="7" t="b">
        <v>0</v>
      </c>
      <c r="B196" s="8" t="s">
        <v>2325</v>
      </c>
      <c r="C196" s="7" t="s">
        <v>2326</v>
      </c>
      <c r="D196" s="8" t="str">
        <f>Q&amp;$K196&amp;Q&amp;":{"&amp;Q&amp;$B$2&amp;Q&amp;":"&amp;Q&amp;$B196&amp;Q&amp;","&amp;Q&amp;$C$2&amp;Q&amp;":"&amp;Q&amp;$C196&amp;Q&amp;","&amp;Q&amp;"sets"&amp;Q&amp;":"&amp;Q&amp;substitute(SUBSTITUTE($H196,"[",""),"]","")&amp;Q&amp;"},"</f>
        <v>"uryw":{"label":"Bell-Bottoms","extra":"Bell-bottoms and pea coats. Who would have thought the Navy could be such a trendsetter?","sets":"Expansion Set 1, Party Set"},</v>
      </c>
      <c r="E196" s="9" t="str">
        <f t="shared" si="2"/>
        <v>data:image/svg+xml,%3csvg xmlns='http://www.w3.org/2000/svg' viewBox='0 0 24 216'%3e%3ctext fill='%23fff' style='font: 900 16px sans-serif' text-anchor='end' transform='matrix(0 -1 1 0 18 5)'%3eBell-Bottoms%3c/text%3e%3c/svg%3e</v>
      </c>
      <c r="F196" s="14" t="str">
        <f t="shared" si="3"/>
        <v>https://svgtext.heliohost.us/cgi-bin/gen.perl?text=Bell-Bottoms</v>
      </c>
      <c r="G196" s="11" t="str">
        <f t="shared" si="4"/>
        <v>data:image/svg+xml,%3csvg xmlns='http://www.w3.org/2000/svg' viewBox='0 0 24 216'%3e%3ctext fill='%23fff' style='font: 900 16px sans-serif' text-anchor='end' transform='matrix(0 -1 1 0 18 5)'%3eBell-Bottoms%3c/text%3e%3c/svg%3e</v>
      </c>
      <c r="H196" s="8" t="s">
        <v>25</v>
      </c>
      <c r="I196" s="8">
        <f t="shared" ref="I196:J196" si="197">len(B196)</f>
        <v>12</v>
      </c>
      <c r="J196" s="8">
        <f t="shared" si="197"/>
        <v>88</v>
      </c>
      <c r="K196" s="8" t="s">
        <v>2327</v>
      </c>
    </row>
    <row r="197">
      <c r="A197" s="7" t="b">
        <v>1</v>
      </c>
      <c r="B197" s="8" t="s">
        <v>2328</v>
      </c>
      <c r="C197" s="7" t="s">
        <v>2329</v>
      </c>
      <c r="D197" s="8" t="str">
        <f>Q&amp;$K197&amp;Q&amp;":{"&amp;Q&amp;$B$2&amp;Q&amp;":"&amp;Q&amp;$B197&amp;Q&amp;","&amp;Q&amp;$C$2&amp;Q&amp;":"&amp;Q&amp;$C197&amp;Q&amp;","&amp;Q&amp;"sets"&amp;Q&amp;":"&amp;Q&amp;substitute(SUBSTITUTE($H197,"[",""),"]","")&amp;Q&amp;"},"</f>
        <v>"ehsb":{"label":"Bells &amp; Whistles","extra":"It’s got everything!","sets":"Expansion Set 4, Party Expansion 1"},</v>
      </c>
      <c r="E197" s="9" t="str">
        <f t="shared" si="2"/>
        <v>data:image/svg+xml,%3csvg xmlns='http://www.w3.org/2000/svg' viewBox='0 0 24 216'%3e%3ctext fill='%23fff' style='font: 900 16px sans-serif' text-anchor='end' transform='matrix(0 -1 1 0 18 5)'%3eBells %26amp%3B Whistles%3c/text%3e%3c/svg%3e</v>
      </c>
      <c r="F197" s="14" t="str">
        <f t="shared" si="3"/>
        <v>https://svgtext.heliohost.us/cgi-bin/gen.perl?text=Bells%20%26%20Whistles</v>
      </c>
      <c r="G197" s="11" t="str">
        <f t="shared" si="4"/>
        <v>data:image/svg+xml,%3csvg xmlns='http://www.w3.org/2000/svg' viewBox='0 0 24 216'%3e%3ctext fill='%23fff' style='font: 900 16px sans-serif' text-anchor='end' transform='matrix(0 -1 1 0 18 5)'%3eBells %26amp%3B Whistles%3c/text%3e%3c/svg%3e</v>
      </c>
      <c r="H197" s="8" t="s">
        <v>63</v>
      </c>
      <c r="I197" s="8">
        <f t="shared" ref="I197:J197" si="198">len(B197)</f>
        <v>16</v>
      </c>
      <c r="J197" s="8">
        <f t="shared" si="198"/>
        <v>20</v>
      </c>
      <c r="K197" s="8" t="s">
        <v>2330</v>
      </c>
    </row>
    <row r="198">
      <c r="A198" s="7" t="b">
        <v>1</v>
      </c>
      <c r="B198" s="8" t="s">
        <v>2331</v>
      </c>
      <c r="C198" s="8" t="s">
        <v>2332</v>
      </c>
      <c r="D198" s="8" t="str">
        <f>Q&amp;$K198&amp;Q&amp;":{"&amp;Q&amp;$B$2&amp;Q&amp;":"&amp;Q&amp;$B198&amp;Q&amp;","&amp;Q&amp;$C$2&amp;Q&amp;":"&amp;Q&amp;$C198&amp;Q&amp;","&amp;Q&amp;"sets"&amp;Q&amp;":"&amp;Q&amp;substitute(SUBSTITUTE($H198,"[",""),"]","")&amp;Q&amp;"},"</f>
        <v>"zcco":{"label":"Belt Buckles","extra":"Cowboys like them fancy and pilgrims like them plain.","sets":"Junior 9+ (2nd)"},</v>
      </c>
      <c r="E198" s="9" t="str">
        <f t="shared" si="2"/>
        <v>data:image/svg+xml,%3csvg xmlns='http://www.w3.org/2000/svg' viewBox='0 0 24 216'%3e%3ctext fill='%23fff' style='font: 900 16px sans-serif' text-anchor='end' transform='matrix(0 -1 1 0 18 5)'%3eBelt Buckles%3c/text%3e%3c/svg%3e</v>
      </c>
      <c r="F198" s="14" t="str">
        <f t="shared" si="3"/>
        <v>https://svgtext.heliohost.us/cgi-bin/gen.perl?text=Belt%20Buckles</v>
      </c>
      <c r="G198" s="11" t="str">
        <f t="shared" si="4"/>
        <v>data:image/svg+xml,%3csvg xmlns='http://www.w3.org/2000/svg' viewBox='0 0 24 216'%3e%3ctext fill='%23fff' style='font: 900 16px sans-serif' text-anchor='end' transform='matrix(0 -1 1 0 18 5)'%3eBelt Buckles%3c/text%3e%3c/svg%3e</v>
      </c>
      <c r="H198" s="8" t="s">
        <v>32</v>
      </c>
      <c r="I198" s="8">
        <f t="shared" ref="I198:J198" si="199">len(B198)</f>
        <v>12</v>
      </c>
      <c r="J198" s="8">
        <f t="shared" si="199"/>
        <v>53</v>
      </c>
      <c r="K198" s="8" t="s">
        <v>2333</v>
      </c>
    </row>
    <row r="199">
      <c r="A199" s="7" t="b">
        <v>0</v>
      </c>
      <c r="B199" s="8" t="s">
        <v>2334</v>
      </c>
      <c r="C199" s="7" t="s">
        <v>2335</v>
      </c>
      <c r="D199" s="8" t="str">
        <f>Q&amp;$K199&amp;Q&amp;":{"&amp;Q&amp;$B$2&amp;Q&amp;":"&amp;Q&amp;$B199&amp;Q&amp;","&amp;Q&amp;$C$2&amp;Q&amp;":"&amp;Q&amp;$C199&amp;Q&amp;","&amp;Q&amp;"sets"&amp;Q&amp;":"&amp;Q&amp;substitute(SUBSTITUTE($H199,"[",""),"]","")&amp;Q&amp;"},"</f>
        <v>"lefd":{"label":"Ben Stiller","extra":"1965-, American actor, director, and funny guy of Reality Bites, There’s Something About Mary, and Meet The Parents","sets":"Expansion Set 2, Party Set"},</v>
      </c>
      <c r="E199" s="9" t="str">
        <f t="shared" si="2"/>
        <v>data:image/svg+xml,%3csvg xmlns='http://www.w3.org/2000/svg' viewBox='0 0 24 216'%3e%3ctext fill='%23fff' style='font: 900 16px sans-serif' text-anchor='end' transform='matrix(0 -1 1 0 18 5)'%3eBen Stiller%3c/text%3e%3c/svg%3e</v>
      </c>
      <c r="F199" s="14" t="str">
        <f t="shared" si="3"/>
        <v>https://svgtext.heliohost.us/cgi-bin/gen.perl?text=Ben%20Stiller</v>
      </c>
      <c r="G199" s="11" t="str">
        <f t="shared" si="4"/>
        <v>data:image/svg+xml,%3csvg xmlns='http://www.w3.org/2000/svg' viewBox='0 0 24 216'%3e%3ctext fill='%23fff' style='font: 900 16px sans-serif' text-anchor='end' transform='matrix(0 -1 1 0 18 5)'%3eBen Stiller%3c/text%3e%3c/svg%3e</v>
      </c>
      <c r="H199" s="8" t="s">
        <v>17</v>
      </c>
      <c r="I199" s="8">
        <f t="shared" ref="I199:J199" si="200">len(B199)</f>
        <v>11</v>
      </c>
      <c r="J199" s="8">
        <f t="shared" si="200"/>
        <v>115</v>
      </c>
      <c r="K199" s="8" t="s">
        <v>2336</v>
      </c>
    </row>
    <row r="200">
      <c r="A200" s="7" t="b">
        <v>0</v>
      </c>
      <c r="B200" s="8" t="s">
        <v>2337</v>
      </c>
      <c r="C200" s="7" t="s">
        <v>2338</v>
      </c>
      <c r="D200" s="8" t="str">
        <f>Q&amp;$K200&amp;Q&amp;":{"&amp;Q&amp;$B$2&amp;Q&amp;":"&amp;Q&amp;$B200&amp;Q&amp;","&amp;Q&amp;$C$2&amp;Q&amp;":"&amp;Q&amp;$C200&amp;Q&amp;","&amp;Q&amp;"sets"&amp;Q&amp;":"&amp;Q&amp;substitute(SUBSTITUTE($H200,"[",""),"]","")&amp;Q&amp;"},"</f>
        <v>"{wtt":{"label":"Berlin - 1945","extra":"Adolph Hitler’s last stand. Bunker… I mean -hunker down, soldier.","sets":"Basic Set, Party Set"},</v>
      </c>
      <c r="E200" s="9" t="str">
        <f t="shared" si="2"/>
        <v>data:image/svg+xml,%3csvg xmlns='http://www.w3.org/2000/svg' viewBox='0 0 24 216'%3e%3ctext fill='%23fff' style='font: 900 16px sans-serif' text-anchor='end' transform='matrix(0 -1 1 0 18 5)'%3eBerlin - 1945%3c/text%3e%3c/svg%3e</v>
      </c>
      <c r="F200" s="14" t="str">
        <f t="shared" si="3"/>
        <v>https://svgtext.heliohost.us/cgi-bin/gen.perl?text=Berlin%20-%201945</v>
      </c>
      <c r="G200" s="11" t="str">
        <f t="shared" si="4"/>
        <v>data:image/svg+xml,%3csvg xmlns='http://www.w3.org/2000/svg' viewBox='0 0 24 216'%3e%3ctext fill='%23fff' style='font: 900 16px sans-serif' text-anchor='end' transform='matrix(0 -1 1 0 18 5)'%3eBerlin - 1945%3c/text%3e%3c/svg%3e</v>
      </c>
      <c r="H200" s="8" t="s">
        <v>29</v>
      </c>
      <c r="I200" s="8">
        <f t="shared" ref="I200:J200" si="201">len(B200)</f>
        <v>13</v>
      </c>
      <c r="J200" s="8">
        <f t="shared" si="201"/>
        <v>65</v>
      </c>
      <c r="K200" s="8" t="s">
        <v>2339</v>
      </c>
    </row>
    <row r="201">
      <c r="A201" s="7" t="b">
        <v>1</v>
      </c>
      <c r="B201" s="8" t="s">
        <v>2340</v>
      </c>
      <c r="C201" s="7" t="s">
        <v>2341</v>
      </c>
      <c r="D201" s="8" t="str">
        <f>Q&amp;$K201&amp;Q&amp;":{"&amp;Q&amp;$B$2&amp;Q&amp;":"&amp;Q&amp;$B201&amp;Q&amp;","&amp;Q&amp;$C$2&amp;Q&amp;":"&amp;Q&amp;$C201&amp;Q&amp;","&amp;Q&amp;"sets"&amp;Q&amp;":"&amp;Q&amp;substitute(SUBSTITUTE($H201,"[",""),"]","")&amp;Q&amp;"},"</f>
        <v>"ukjy":{"label":"Bert &amp; Ernie","extra":"Sesame Street’s muppet buddies.","sets":"Expansion Set 4, Party Expansion 1"},</v>
      </c>
      <c r="E201" s="9" t="str">
        <f t="shared" si="2"/>
        <v>data:image/svg+xml,%3csvg xmlns='http://www.w3.org/2000/svg' viewBox='0 0 24 216'%3e%3ctext fill='%23fff' style='font: 900 16px sans-serif' text-anchor='end' transform='matrix(0 -1 1 0 18 5)'%3eBert %26amp%3B Ernie%3c/text%3e%3c/svg%3e</v>
      </c>
      <c r="F201" s="14" t="str">
        <f t="shared" si="3"/>
        <v>https://svgtext.heliohost.us/cgi-bin/gen.perl?text=Bert%20%26%20Ernie</v>
      </c>
      <c r="G201" s="11" t="str">
        <f t="shared" si="4"/>
        <v>data:image/svg+xml,%3csvg xmlns='http://www.w3.org/2000/svg' viewBox='0 0 24 216'%3e%3ctext fill='%23fff' style='font: 900 16px sans-serif' text-anchor='end' transform='matrix(0 -1 1 0 18 5)'%3eBert %26amp%3B Ernie%3c/text%3e%3c/svg%3e</v>
      </c>
      <c r="H201" s="8" t="s">
        <v>63</v>
      </c>
      <c r="I201" s="8">
        <f t="shared" ref="I201:J201" si="202">len(B201)</f>
        <v>12</v>
      </c>
      <c r="J201" s="8">
        <f t="shared" si="202"/>
        <v>31</v>
      </c>
      <c r="K201" s="8" t="s">
        <v>2342</v>
      </c>
    </row>
    <row r="202">
      <c r="A202" s="7" t="b">
        <v>1</v>
      </c>
      <c r="B202" s="8" t="s">
        <v>2343</v>
      </c>
      <c r="C202" s="8" t="s">
        <v>2344</v>
      </c>
      <c r="D202" s="8" t="str">
        <f>Q&amp;$K202&amp;Q&amp;":{"&amp;Q&amp;$B$2&amp;Q&amp;":"&amp;Q&amp;$B202&amp;Q&amp;","&amp;Q&amp;$C$2&amp;Q&amp;":"&amp;Q&amp;$C202&amp;Q&amp;","&amp;Q&amp;"sets"&amp;Q&amp;":"&amp;Q&amp;substitute(SUBSTITUTE($H202,"[",""),"]","")&amp;Q&amp;"},"</f>
        <v>"yqfm":{"label":"Bert And Ernie","extra":"Two nice guys in striped shirts who live on Sesame Street.","sets":"Junior"},</v>
      </c>
      <c r="E202" s="9" t="str">
        <f t="shared" si="2"/>
        <v>data:image/svg+xml,%3csvg xmlns='http://www.w3.org/2000/svg' viewBox='0 0 24 216'%3e%3ctext fill='%23fff' style='font: 900 16px sans-serif' text-anchor='end' transform='matrix(0 -1 1 0 18 5)'%3eBert And Ernie%3c/text%3e%3c/svg%3e</v>
      </c>
      <c r="F202" s="14" t="str">
        <f t="shared" si="3"/>
        <v>https://svgtext.heliohost.us/cgi-bin/gen.perl?text=Bert%20And%20Ernie</v>
      </c>
      <c r="G202" s="11" t="str">
        <f t="shared" si="4"/>
        <v>data:image/svg+xml,%3csvg xmlns='http://www.w3.org/2000/svg' viewBox='0 0 24 216'%3e%3ctext fill='%23fff' style='font: 900 16px sans-serif' text-anchor='end' transform='matrix(0 -1 1 0 18 5)'%3eBert And Ernie%3c/text%3e%3c/svg%3e</v>
      </c>
      <c r="H202" s="8" t="s">
        <v>84</v>
      </c>
      <c r="I202" s="8">
        <f t="shared" ref="I202:J202" si="203">len(B202)</f>
        <v>14</v>
      </c>
      <c r="J202" s="8">
        <f t="shared" si="203"/>
        <v>58</v>
      </c>
      <c r="K202" s="8" t="s">
        <v>2345</v>
      </c>
    </row>
    <row r="203">
      <c r="A203" s="7" t="b">
        <v>0</v>
      </c>
      <c r="B203" s="8" t="s">
        <v>2346</v>
      </c>
      <c r="C203" s="8" t="s">
        <v>2347</v>
      </c>
      <c r="D203" s="8" t="str">
        <f>Q&amp;$K203&amp;Q&amp;":{"&amp;Q&amp;$B$2&amp;Q&amp;":"&amp;Q&amp;$B203&amp;Q&amp;","&amp;Q&amp;$C$2&amp;Q&amp;":"&amp;Q&amp;$C203&amp;Q&amp;","&amp;Q&amp;"sets"&amp;Q&amp;":"&amp;Q&amp;substitute(SUBSTITUTE($H203,"[",""),"]","")&amp;Q&amp;"},"</f>
        <v>"ykan":{"label":"Big Bang Theory","extra":"A cosmological theory for the origin of the universe. An explosive idea!","sets":"Expansion Set 2, Party Set"},</v>
      </c>
      <c r="E203" s="9" t="str">
        <f t="shared" si="2"/>
        <v>data:image/svg+xml,%3csvg xmlns='http://www.w3.org/2000/svg' viewBox='0 0 24 216'%3e%3ctext fill='%23fff' style='font: 900 16px sans-serif' text-anchor='end' transform='matrix(0 -1 1 0 18 5)'%3eBig Bang Theory%3c/text%3e%3c/svg%3e</v>
      </c>
      <c r="F203" s="14" t="str">
        <f t="shared" si="3"/>
        <v>https://svgtext.heliohost.us/cgi-bin/gen.perl?text=Big%20Bang%20Theory</v>
      </c>
      <c r="G203" s="11" t="str">
        <f t="shared" si="4"/>
        <v>data:image/svg+xml,%3csvg xmlns='http://www.w3.org/2000/svg' viewBox='0 0 24 216'%3e%3ctext fill='%23fff' style='font: 900 16px sans-serif' text-anchor='end' transform='matrix(0 -1 1 0 18 5)'%3eBig Bang Theory%3c/text%3e%3c/svg%3e</v>
      </c>
      <c r="H203" s="8" t="s">
        <v>17</v>
      </c>
      <c r="I203" s="8">
        <f t="shared" ref="I203:J203" si="204">len(B203)</f>
        <v>15</v>
      </c>
      <c r="J203" s="8">
        <f t="shared" si="204"/>
        <v>72</v>
      </c>
      <c r="K203" s="8" t="s">
        <v>2348</v>
      </c>
    </row>
    <row r="204">
      <c r="A204" s="7" t="b">
        <v>1</v>
      </c>
      <c r="B204" s="8" t="s">
        <v>2349</v>
      </c>
      <c r="C204" s="8" t="s">
        <v>2350</v>
      </c>
      <c r="D204" s="8" t="str">
        <f>Q&amp;$K204&amp;Q&amp;":{"&amp;Q&amp;$B$2&amp;Q&amp;":"&amp;Q&amp;$B204&amp;Q&amp;","&amp;Q&amp;$C$2&amp;Q&amp;":"&amp;Q&amp;$C204&amp;Q&amp;","&amp;Q&amp;"sets"&amp;Q&amp;":"&amp;Q&amp;substitute(SUBSTITUTE($H204,"[",""),"]","")&amp;Q&amp;"},"</f>
        <v>"yfce":{"label":"Big Bird","extra":"Beloved Sesame Street character, or the not-necessarily-beloved U.S. spy satellite.","sets":"Expansion Set 3, Party Expansion 1"},</v>
      </c>
      <c r="E204" s="9" t="str">
        <f t="shared" si="2"/>
        <v>data:image/svg+xml,%3csvg xmlns='http://www.w3.org/2000/svg' viewBox='0 0 24 216'%3e%3ctext fill='%23fff' style='font: 900 16px sans-serif' text-anchor='end' transform='matrix(0 -1 1 0 18 5)'%3eBig Bird%3c/text%3e%3c/svg%3e</v>
      </c>
      <c r="F204" s="14" t="str">
        <f t="shared" si="3"/>
        <v>https://svgtext.heliohost.us/cgi-bin/gen.perl?text=Big%20Bird</v>
      </c>
      <c r="G204" s="11" t="str">
        <f t="shared" si="4"/>
        <v>data:image/svg+xml,%3csvg xmlns='http://www.w3.org/2000/svg' viewBox='0 0 24 216'%3e%3ctext fill='%23fff' style='font: 900 16px sans-serif' text-anchor='end' transform='matrix(0 -1 1 0 18 5)'%3eBig Bird%3c/text%3e%3c/svg%3e</v>
      </c>
      <c r="H204" s="8" t="s">
        <v>39</v>
      </c>
      <c r="I204" s="8">
        <f t="shared" ref="I204:J204" si="205">len(B204)</f>
        <v>8</v>
      </c>
      <c r="J204" s="8">
        <f t="shared" si="205"/>
        <v>83</v>
      </c>
      <c r="K204" s="8" t="s">
        <v>2351</v>
      </c>
    </row>
    <row r="205">
      <c r="A205" s="7" t="b">
        <v>1</v>
      </c>
      <c r="B205" s="8" t="s">
        <v>2349</v>
      </c>
      <c r="C205" s="8" t="s">
        <v>2352</v>
      </c>
      <c r="D205" s="8" t="str">
        <f>Q&amp;$K205&amp;Q&amp;":{"&amp;Q&amp;$B$2&amp;Q&amp;":"&amp;Q&amp;$B205&amp;Q&amp;","&amp;Q&amp;$C$2&amp;Q&amp;":"&amp;Q&amp;$C205&amp;Q&amp;","&amp;Q&amp;"sets"&amp;Q&amp;":"&amp;Q&amp;substitute(SUBSTITUTE($H205,"[",""),"]","")&amp;Q&amp;"},"</f>
        <v>"hxyt":{"label":"Big Bird","extra":"A very large, yellow bird who lives on Sesame Street with Bert and Ernie.","sets":"Junior"},</v>
      </c>
      <c r="E205" s="9" t="str">
        <f t="shared" si="2"/>
        <v>data:image/svg+xml,%3csvg xmlns='http://www.w3.org/2000/svg' viewBox='0 0 24 216'%3e%3ctext fill='%23fff' style='font: 900 16px sans-serif' text-anchor='end' transform='matrix(0 -1 1 0 18 5)'%3eBig Bird%3c/text%3e%3c/svg%3e</v>
      </c>
      <c r="F205" s="14" t="str">
        <f t="shared" si="3"/>
        <v>https://svgtext.heliohost.us/cgi-bin/gen.perl?text=Big%20Bird</v>
      </c>
      <c r="G205" s="11" t="str">
        <f t="shared" si="4"/>
        <v>data:image/svg+xml,%3csvg xmlns='http://www.w3.org/2000/svg' viewBox='0 0 24 216'%3e%3ctext fill='%23fff' style='font: 900 16px sans-serif' text-anchor='end' transform='matrix(0 -1 1 0 18 5)'%3eBig Bird%3c/text%3e%3c/svg%3e</v>
      </c>
      <c r="H205" s="8" t="s">
        <v>84</v>
      </c>
      <c r="I205" s="8">
        <f t="shared" ref="I205:J205" si="206">len(B205)</f>
        <v>8</v>
      </c>
      <c r="J205" s="8">
        <f t="shared" si="206"/>
        <v>73</v>
      </c>
      <c r="K205" s="8" t="s">
        <v>2353</v>
      </c>
    </row>
    <row r="206">
      <c r="A206" s="7" t="b">
        <v>1</v>
      </c>
      <c r="B206" s="8" t="s">
        <v>2354</v>
      </c>
      <c r="C206" s="8" t="s">
        <v>2355</v>
      </c>
      <c r="D206" s="8" t="str">
        <f>Q&amp;$K206&amp;Q&amp;":{"&amp;Q&amp;$B$2&amp;Q&amp;":"&amp;Q&amp;$B206&amp;Q&amp;","&amp;Q&amp;$C$2&amp;Q&amp;":"&amp;Q&amp;$C206&amp;Q&amp;","&amp;Q&amp;"sets"&amp;Q&amp;":"&amp;Q&amp;substitute(SUBSTITUTE($H206,"[",""),"]","")&amp;Q&amp;"},"</f>
        <v>"gorf":{"label":"Big Cities","extra":"Very large towns, like New York, Los Angeles and Chicago.","sets":"Junior"},</v>
      </c>
      <c r="E206" s="9" t="str">
        <f t="shared" si="2"/>
        <v>data:image/svg+xml,%3csvg xmlns='http://www.w3.org/2000/svg' viewBox='0 0 24 216'%3e%3ctext fill='%23fff' style='font: 900 16px sans-serif' text-anchor='end' transform='matrix(0 -1 1 0 18 5)'%3eBig Cities%3c/text%3e%3c/svg%3e</v>
      </c>
      <c r="F206" s="14" t="str">
        <f t="shared" si="3"/>
        <v>https://svgtext.heliohost.us/cgi-bin/gen.perl?text=Big%20Cities</v>
      </c>
      <c r="G206" s="11" t="str">
        <f t="shared" si="4"/>
        <v>data:image/svg+xml,%3csvg xmlns='http://www.w3.org/2000/svg' viewBox='0 0 24 216'%3e%3ctext fill='%23fff' style='font: 900 16px sans-serif' text-anchor='end' transform='matrix(0 -1 1 0 18 5)'%3eBig Cities%3c/text%3e%3c/svg%3e</v>
      </c>
      <c r="H206" s="8" t="s">
        <v>84</v>
      </c>
      <c r="I206" s="8">
        <f t="shared" ref="I206:J206" si="207">len(B206)</f>
        <v>10</v>
      </c>
      <c r="J206" s="8">
        <f t="shared" si="207"/>
        <v>57</v>
      </c>
      <c r="K206" s="8" t="s">
        <v>2356</v>
      </c>
    </row>
    <row r="207">
      <c r="A207" s="7" t="b">
        <v>0</v>
      </c>
      <c r="B207" s="8" t="s">
        <v>2357</v>
      </c>
      <c r="C207" s="8" t="s">
        <v>2358</v>
      </c>
      <c r="D207" s="8" t="str">
        <f>Q&amp;$K207&amp;Q&amp;":{"&amp;Q&amp;$B$2&amp;Q&amp;":"&amp;Q&amp;$B207&amp;Q&amp;","&amp;Q&amp;$C$2&amp;Q&amp;":"&amp;Q&amp;$C207&amp;Q&amp;","&amp;Q&amp;"sets"&amp;Q&amp;":"&amp;Q&amp;substitute(SUBSTITUTE($H207,"[",""),"]","")&amp;Q&amp;"},"</f>
        <v>"djxt":{"label":"Big Dogs","extra":"An adult Saint Bernard weighs over 170 pounds.","sets":"Junior 9+ (1st) &amp; (2nd)"},</v>
      </c>
      <c r="E207" s="9" t="str">
        <f t="shared" si="2"/>
        <v>data:image/svg+xml,%3csvg xmlns='http://www.w3.org/2000/svg' viewBox='0 0 24 216'%3e%3ctext fill='%23fff' style='font: 900 16px sans-serif' text-anchor='end' transform='matrix(0 -1 1 0 18 5)'%3eBig Dogs%3c/text%3e%3c/svg%3e</v>
      </c>
      <c r="F207" s="14" t="str">
        <f t="shared" si="3"/>
        <v>https://svgtext.heliohost.us/cgi-bin/gen.perl?text=Big%20Dogs</v>
      </c>
      <c r="G207" s="11" t="str">
        <f t="shared" si="4"/>
        <v>data:image/svg+xml,%3csvg xmlns='http://www.w3.org/2000/svg' viewBox='0 0 24 216'%3e%3ctext fill='%23fff' style='font: 900 16px sans-serif' text-anchor='end' transform='matrix(0 -1 1 0 18 5)'%3eBig Dogs%3c/text%3e%3c/svg%3e</v>
      </c>
      <c r="H207" s="8" t="s">
        <v>42</v>
      </c>
      <c r="I207" s="8">
        <f t="shared" ref="I207:J207" si="208">len(B207)</f>
        <v>8</v>
      </c>
      <c r="J207" s="8">
        <f t="shared" si="208"/>
        <v>46</v>
      </c>
      <c r="K207" s="8" t="s">
        <v>2359</v>
      </c>
    </row>
    <row r="208">
      <c r="A208" s="7" t="b">
        <v>0</v>
      </c>
      <c r="B208" s="8" t="s">
        <v>2360</v>
      </c>
      <c r="C208" s="15" t="s">
        <v>2361</v>
      </c>
      <c r="D208" s="8" t="str">
        <f>Q&amp;$K208&amp;Q&amp;":{"&amp;Q&amp;$B$2&amp;Q&amp;":"&amp;Q&amp;$B208&amp;Q&amp;","&amp;Q&amp;$C$2&amp;Q&amp;":"&amp;Q&amp;$C208&amp;Q&amp;","&amp;Q&amp;"sets"&amp;Q&amp;":"&amp;Q&amp;substitute(SUBSTITUTE($H208,"[",""),"]","")&amp;Q&amp;"},"</f>
        <v>"t{ih":{"label":"Big Macs","extra":"T w o  a l l  b e e f  p a t t i e s  s p e c i a l  s a u c e  l e t t u c e  c h e e s e  p i c k l e s  o n i o n s  o n  a  s e s a m e  s e e d  b u n .","sets":"Expansion Set 2, Party Set"},</v>
      </c>
      <c r="E208" s="9" t="str">
        <f t="shared" si="2"/>
        <v>data:image/svg+xml,%3csvg xmlns='http://www.w3.org/2000/svg' viewBox='0 0 24 216'%3e%3ctext fill='%23fff' style='font: 900 16px sans-serif' text-anchor='end' transform='matrix(0 -1 1 0 18 5)'%3eBig Macs%3c/text%3e%3c/svg%3e</v>
      </c>
      <c r="F208" s="14" t="str">
        <f t="shared" si="3"/>
        <v>https://svgtext.heliohost.us/cgi-bin/gen.perl?text=Big%20Macs</v>
      </c>
      <c r="G208" s="11" t="str">
        <f t="shared" si="4"/>
        <v>data:image/svg+xml,%3csvg xmlns='http://www.w3.org/2000/svg' viewBox='0 0 24 216'%3e%3ctext fill='%23fff' style='font: 900 16px sans-serif' text-anchor='end' transform='matrix(0 -1 1 0 18 5)'%3eBig Macs%3c/text%3e%3c/svg%3e</v>
      </c>
      <c r="H208" s="8" t="s">
        <v>17</v>
      </c>
      <c r="I208" s="8">
        <f t="shared" ref="I208:J208" si="209">len(B208)</f>
        <v>8</v>
      </c>
      <c r="J208" s="8">
        <f t="shared" si="209"/>
        <v>157</v>
      </c>
      <c r="K208" s="8" t="s">
        <v>2362</v>
      </c>
    </row>
    <row r="209">
      <c r="A209" s="7" t="b">
        <v>0</v>
      </c>
      <c r="B209" s="8" t="s">
        <v>2363</v>
      </c>
      <c r="C209" s="8" t="s">
        <v>2364</v>
      </c>
      <c r="D209" s="8" t="str">
        <f>Q&amp;$K209&amp;Q&amp;":{"&amp;Q&amp;$B$2&amp;Q&amp;":"&amp;Q&amp;$B209&amp;Q&amp;","&amp;Q&amp;$C$2&amp;Q&amp;":"&amp;Q&amp;$C209&amp;Q&amp;","&amp;Q&amp;"sets"&amp;Q&amp;":"&amp;Q&amp;substitute(SUBSTITUTE($H209,"[",""),"]","")&amp;Q&amp;"},"</f>
        <v>"beuk":{"label":"Bigfoot","extra":"Legendary North American monster, a.k.a. Sasquatch or the Abominable Snowman.","sets":"Expansion Set 1, Party Set"},</v>
      </c>
      <c r="E209" s="9" t="str">
        <f t="shared" si="2"/>
        <v>data:image/svg+xml,%3csvg xmlns='http://www.w3.org/2000/svg' viewBox='0 0 24 216'%3e%3ctext fill='%23fff' style='font: 900 16px sans-serif' text-anchor='end' transform='matrix(0 -1 1 0 18 5)'%3eBigfoot%3c/text%3e%3c/svg%3e</v>
      </c>
      <c r="F209" s="14" t="str">
        <f t="shared" si="3"/>
        <v>https://svgtext.heliohost.us/cgi-bin/gen.perl?text=Bigfoot</v>
      </c>
      <c r="G209" s="11" t="str">
        <f t="shared" si="4"/>
        <v>data:image/svg+xml,%3csvg xmlns='http://www.w3.org/2000/svg' viewBox='0 0 24 216'%3e%3ctext fill='%23fff' style='font: 900 16px sans-serif' text-anchor='end' transform='matrix(0 -1 1 0 18 5)'%3eBigfoot%3c/text%3e%3c/svg%3e</v>
      </c>
      <c r="H209" s="8" t="s">
        <v>25</v>
      </c>
      <c r="I209" s="8">
        <f t="shared" ref="I209:J209" si="210">len(B209)</f>
        <v>7</v>
      </c>
      <c r="J209" s="8">
        <f t="shared" si="210"/>
        <v>77</v>
      </c>
      <c r="K209" s="8" t="s">
        <v>2365</v>
      </c>
    </row>
    <row r="210">
      <c r="A210" s="7" t="b">
        <v>1</v>
      </c>
      <c r="B210" s="8" t="s">
        <v>2366</v>
      </c>
      <c r="C210" s="7" t="s">
        <v>2367</v>
      </c>
      <c r="D210" s="8" t="str">
        <f>Q&amp;$K210&amp;Q&amp;":{"&amp;Q&amp;$B$2&amp;Q&amp;":"&amp;Q&amp;$B210&amp;Q&amp;","&amp;Q&amp;$C$2&amp;Q&amp;":"&amp;Q&amp;$C210&amp;Q&amp;","&amp;Q&amp;"sets"&amp;Q&amp;":"&amp;Q&amp;substitute(SUBSTITUTE($H210,"[",""),"]","")&amp;Q&amp;"},"</f>
        <v>"ixur":{"label":"Bill &amp; Ted","extra":"Characters in Keanu Reeves’ excellent time-travel adventure film. Yeah, dude.","sets":"Expansion Set 4, Party Expansion 1"},</v>
      </c>
      <c r="E210" s="9" t="str">
        <f t="shared" si="2"/>
        <v>data:image/svg+xml,%3csvg xmlns='http://www.w3.org/2000/svg' viewBox='0 0 24 216'%3e%3ctext fill='%23fff' style='font: 900 16px sans-serif' text-anchor='end' transform='matrix(0 -1 1 0 18 5)'%3eBill %26amp%3B Ted%3c/text%3e%3c/svg%3e</v>
      </c>
      <c r="F210" s="14" t="str">
        <f t="shared" si="3"/>
        <v>https://svgtext.heliohost.us/cgi-bin/gen.perl?text=Bill%20%26%20Ted</v>
      </c>
      <c r="G210" s="11" t="str">
        <f t="shared" si="4"/>
        <v>data:image/svg+xml,%3csvg xmlns='http://www.w3.org/2000/svg' viewBox='0 0 24 216'%3e%3ctext fill='%23fff' style='font: 900 16px sans-serif' text-anchor='end' transform='matrix(0 -1 1 0 18 5)'%3eBill %26amp%3B Ted%3c/text%3e%3c/svg%3e</v>
      </c>
      <c r="H210" s="8" t="s">
        <v>63</v>
      </c>
      <c r="I210" s="8">
        <f t="shared" ref="I210:J210" si="211">len(B210)</f>
        <v>10</v>
      </c>
      <c r="J210" s="8">
        <f t="shared" si="211"/>
        <v>77</v>
      </c>
      <c r="K210" s="8" t="s">
        <v>2368</v>
      </c>
    </row>
    <row r="211">
      <c r="A211" s="7" t="b">
        <v>0</v>
      </c>
      <c r="B211" s="8" t="s">
        <v>2369</v>
      </c>
      <c r="C211" s="8" t="s">
        <v>2370</v>
      </c>
      <c r="D211" s="8" t="str">
        <f>Q&amp;$K211&amp;Q&amp;":{"&amp;Q&amp;$B$2&amp;Q&amp;":"&amp;Q&amp;$B211&amp;Q&amp;","&amp;Q&amp;$C$2&amp;Q&amp;":"&amp;Q&amp;$C211&amp;Q&amp;","&amp;Q&amp;"sets"&amp;Q&amp;":"&amp;Q&amp;substitute(SUBSTITUTE($H211,"[",""),"]","")&amp;Q&amp;"},"</f>
        <v>"jfjf":{"label":"Bill Clinton","extra":"1946-, popular, yet embattled, 42nd president of the United States.","sets":"Basic Set, Party Set"},</v>
      </c>
      <c r="E211" s="9" t="str">
        <f t="shared" si="2"/>
        <v>data:image/svg+xml,%3csvg xmlns='http://www.w3.org/2000/svg' viewBox='0 0 24 216'%3e%3ctext fill='%23fff' style='font: 900 16px sans-serif' text-anchor='end' transform='matrix(0 -1 1 0 18 5)'%3eBill Clinton%3c/text%3e%3c/svg%3e</v>
      </c>
      <c r="F211" s="14" t="str">
        <f t="shared" si="3"/>
        <v>https://svgtext.heliohost.us/cgi-bin/gen.perl?text=Bill%20Clinton</v>
      </c>
      <c r="G211" s="11" t="str">
        <f t="shared" si="4"/>
        <v>data:image/svg+xml,%3csvg xmlns='http://www.w3.org/2000/svg' viewBox='0 0 24 216'%3e%3ctext fill='%23fff' style='font: 900 16px sans-serif' text-anchor='end' transform='matrix(0 -1 1 0 18 5)'%3eBill Clinton%3c/text%3e%3c/svg%3e</v>
      </c>
      <c r="H211" s="8" t="s">
        <v>29</v>
      </c>
      <c r="I211" s="8">
        <f t="shared" ref="I211:J211" si="212">len(B211)</f>
        <v>12</v>
      </c>
      <c r="J211" s="8">
        <f t="shared" si="212"/>
        <v>67</v>
      </c>
      <c r="K211" s="8" t="s">
        <v>2371</v>
      </c>
    </row>
    <row r="212">
      <c r="A212" s="7" t="b">
        <v>0</v>
      </c>
      <c r="B212" s="8" t="s">
        <v>2372</v>
      </c>
      <c r="C212" s="8" t="s">
        <v>2373</v>
      </c>
      <c r="D212" s="8" t="str">
        <f>Q&amp;$K212&amp;Q&amp;":{"&amp;Q&amp;$B$2&amp;Q&amp;":"&amp;Q&amp;$B212&amp;Q&amp;","&amp;Q&amp;$C$2&amp;Q&amp;":"&amp;Q&amp;$C212&amp;Q&amp;","&amp;Q&amp;"sets"&amp;Q&amp;":"&amp;Q&amp;substitute(SUBSTITUTE($H212,"[",""),"]","")&amp;Q&amp;"},"</f>
        <v>"zenz":{"label":"Bill Gates","extra":"1955-, chairman and chief software architect of Microsoft Corporation. A very rich guy.","sets":"Basic Set, Party Set"},</v>
      </c>
      <c r="E212" s="9" t="str">
        <f t="shared" si="2"/>
        <v>data:image/svg+xml,%3csvg xmlns='http://www.w3.org/2000/svg' viewBox='0 0 24 216'%3e%3ctext fill='%23fff' style='font: 900 16px sans-serif' text-anchor='end' transform='matrix(0 -1 1 0 18 5)'%3eBill Gates%3c/text%3e%3c/svg%3e</v>
      </c>
      <c r="F212" s="14" t="str">
        <f t="shared" si="3"/>
        <v>https://svgtext.heliohost.us/cgi-bin/gen.perl?text=Bill%20Gates</v>
      </c>
      <c r="G212" s="11" t="str">
        <f t="shared" si="4"/>
        <v>data:image/svg+xml,%3csvg xmlns='http://www.w3.org/2000/svg' viewBox='0 0 24 216'%3e%3ctext fill='%23fff' style='font: 900 16px sans-serif' text-anchor='end' transform='matrix(0 -1 1 0 18 5)'%3eBill Gates%3c/text%3e%3c/svg%3e</v>
      </c>
      <c r="H212" s="8" t="s">
        <v>29</v>
      </c>
      <c r="I212" s="8">
        <f t="shared" ref="I212:J212" si="213">len(B212)</f>
        <v>10</v>
      </c>
      <c r="J212" s="8">
        <f t="shared" si="213"/>
        <v>87</v>
      </c>
      <c r="K212" s="8" t="s">
        <v>2374</v>
      </c>
    </row>
    <row r="213">
      <c r="A213" s="7" t="b">
        <v>0</v>
      </c>
      <c r="B213" s="8" t="s">
        <v>2375</v>
      </c>
      <c r="C213" s="8" t="s">
        <v>2376</v>
      </c>
      <c r="D213" s="8" t="str">
        <f>Q&amp;$K213&amp;Q&amp;":{"&amp;Q&amp;$B$2&amp;Q&amp;":"&amp;Q&amp;$B213&amp;Q&amp;","&amp;Q&amp;$C$2&amp;Q&amp;":"&amp;Q&amp;$C213&amp;Q&amp;","&amp;Q&amp;"sets"&amp;Q&amp;":"&amp;Q&amp;substitute(SUBSTITUTE($H213,"[",""),"]","")&amp;Q&amp;"},"</f>
        <v>"jtru":{"label":"Bill Murray","extra":"1950-, American actor and comedian. Star of Ghostbusters, Stripes, Groundhog Day, and Lost In Translation.","sets":"Expansion Set 2, Party Set"},</v>
      </c>
      <c r="E213" s="9" t="str">
        <f t="shared" si="2"/>
        <v>data:image/svg+xml,%3csvg xmlns='http://www.w3.org/2000/svg' viewBox='0 0 24 216'%3e%3ctext fill='%23fff' style='font: 900 16px sans-serif' text-anchor='end' transform='matrix(0 -1 1 0 18 5)'%3eBill Murray%3c/text%3e%3c/svg%3e</v>
      </c>
      <c r="F213" s="14" t="str">
        <f t="shared" si="3"/>
        <v>https://svgtext.heliohost.us/cgi-bin/gen.perl?text=Bill%20Murray</v>
      </c>
      <c r="G213" s="11" t="str">
        <f t="shared" si="4"/>
        <v>data:image/svg+xml,%3csvg xmlns='http://www.w3.org/2000/svg' viewBox='0 0 24 216'%3e%3ctext fill='%23fff' style='font: 900 16px sans-serif' text-anchor='end' transform='matrix(0 -1 1 0 18 5)'%3eBill Murray%3c/text%3e%3c/svg%3e</v>
      </c>
      <c r="H213" s="8" t="s">
        <v>17</v>
      </c>
      <c r="I213" s="8">
        <f t="shared" ref="I213:J213" si="214">len(B213)</f>
        <v>11</v>
      </c>
      <c r="J213" s="8">
        <f t="shared" si="214"/>
        <v>106</v>
      </c>
      <c r="K213" s="8" t="s">
        <v>2377</v>
      </c>
    </row>
    <row r="214">
      <c r="A214" s="7" t="b">
        <v>0</v>
      </c>
      <c r="B214" s="8" t="s">
        <v>2378</v>
      </c>
      <c r="C214" s="7" t="s">
        <v>2379</v>
      </c>
      <c r="D214" s="8" t="str">
        <f>Q&amp;$K214&amp;Q&amp;":{"&amp;Q&amp;$B$2&amp;Q&amp;":"&amp;Q&amp;$B214&amp;Q&amp;","&amp;Q&amp;$C$2&amp;Q&amp;":"&amp;Q&amp;$C214&amp;Q&amp;","&amp;Q&amp;"sets"&amp;Q&amp;":"&amp;Q&amp;substitute(SUBSTITUTE($H214,"[",""),"]","")&amp;Q&amp;"},"</f>
        <v>"vbcg":{"label":"Billboards","extra":"Only 1,254 miles to Wall Drug…","sets":"Basic Set, Party Set"},</v>
      </c>
      <c r="E214" s="9" t="str">
        <f t="shared" si="2"/>
        <v>data:image/svg+xml,%3csvg xmlns='http://www.w3.org/2000/svg' viewBox='0 0 24 216'%3e%3ctext fill='%23fff' style='font: 900 16px sans-serif' text-anchor='end' transform='matrix(0 -1 1 0 18 5)'%3eBillboards%3c/text%3e%3c/svg%3e</v>
      </c>
      <c r="F214" s="14" t="str">
        <f t="shared" si="3"/>
        <v>https://svgtext.heliohost.us/cgi-bin/gen.perl?text=Billboards</v>
      </c>
      <c r="G214" s="11" t="str">
        <f t="shared" si="4"/>
        <v>data:image/svg+xml,%3csvg xmlns='http://www.w3.org/2000/svg' viewBox='0 0 24 216'%3e%3ctext fill='%23fff' style='font: 900 16px sans-serif' text-anchor='end' transform='matrix(0 -1 1 0 18 5)'%3eBillboards%3c/text%3e%3c/svg%3e</v>
      </c>
      <c r="H214" s="8" t="s">
        <v>29</v>
      </c>
      <c r="I214" s="8">
        <f t="shared" ref="I214:J214" si="215">len(B214)</f>
        <v>10</v>
      </c>
      <c r="J214" s="8">
        <f t="shared" si="215"/>
        <v>30</v>
      </c>
      <c r="K214" s="8" t="s">
        <v>2380</v>
      </c>
    </row>
    <row r="215">
      <c r="A215" s="7" t="b">
        <v>0</v>
      </c>
      <c r="B215" s="8" t="s">
        <v>2381</v>
      </c>
      <c r="C215" s="7" t="s">
        <v>2382</v>
      </c>
      <c r="D215" s="8" t="str">
        <f>Q&amp;$K215&amp;Q&amp;":{"&amp;Q&amp;$B$2&amp;Q&amp;":"&amp;Q&amp;$B215&amp;Q&amp;","&amp;Q&amp;$C$2&amp;Q&amp;":"&amp;Q&amp;$C215&amp;Q&amp;","&amp;Q&amp;"sets"&amp;Q&amp;":"&amp;Q&amp;substitute(SUBSTITUTE($H215,"[",""),"]","")&amp;Q&amp;"},"</f>
        <v>"reuk":{"label":"Billy Crystal","extra":"1947-, American comedian, actor and director. He looks maaaaah-velous.","sets":"Expansion Set 3, Party Expansion 1"},</v>
      </c>
      <c r="E215" s="9" t="str">
        <f t="shared" si="2"/>
        <v>data:image/svg+xml,%3csvg xmlns='http://www.w3.org/2000/svg' viewBox='0 0 24 216'%3e%3ctext fill='%23fff' style='font: 900 16px sans-serif' text-anchor='end' transform='matrix(0 -1 1 0 18 5)'%3eBilly Crystal%3c/text%3e%3c/svg%3e</v>
      </c>
      <c r="F215" s="14" t="str">
        <f t="shared" si="3"/>
        <v>https://svgtext.heliohost.us/cgi-bin/gen.perl?text=Billy%20Crystal</v>
      </c>
      <c r="G215" s="11" t="str">
        <f t="shared" si="4"/>
        <v>data:image/svg+xml,%3csvg xmlns='http://www.w3.org/2000/svg' viewBox='0 0 24 216'%3e%3ctext fill='%23fff' style='font: 900 16px sans-serif' text-anchor='end' transform='matrix(0 -1 1 0 18 5)'%3eBilly Crystal%3c/text%3e%3c/svg%3e</v>
      </c>
      <c r="H215" s="8" t="s">
        <v>39</v>
      </c>
      <c r="I215" s="8">
        <f t="shared" ref="I215:J215" si="216">len(B215)</f>
        <v>13</v>
      </c>
      <c r="J215" s="8">
        <f t="shared" si="216"/>
        <v>70</v>
      </c>
      <c r="K215" s="8" t="s">
        <v>2383</v>
      </c>
    </row>
    <row r="216">
      <c r="A216" s="7" t="b">
        <v>0</v>
      </c>
      <c r="B216" s="8" t="s">
        <v>2384</v>
      </c>
      <c r="C216" s="7" t="s">
        <v>2385</v>
      </c>
      <c r="D216" s="8" t="str">
        <f>Q&amp;$K216&amp;Q&amp;":{"&amp;Q&amp;$B$2&amp;Q&amp;":"&amp;Q&amp;$B216&amp;Q&amp;","&amp;Q&amp;$C$2&amp;Q&amp;":"&amp;Q&amp;$C216&amp;Q&amp;","&amp;Q&amp;"sets"&amp;Q&amp;":"&amp;Q&amp;substitute(SUBSTITUTE($H216,"[",""),"]","")&amp;Q&amp;"},"</f>
        <v>"ubrr":{"label":"Bingo","extra":"“There was a farmer, had a dog, and Bingo was his name-o…”","sets":"Expansion Set 2, Party Set"},</v>
      </c>
      <c r="E216" s="9" t="str">
        <f t="shared" si="2"/>
        <v>data:image/svg+xml,%3csvg xmlns='http://www.w3.org/2000/svg' viewBox='0 0 24 216'%3e%3ctext fill='%23fff' style='font: 900 16px sans-serif' text-anchor='end' transform='matrix(0 -1 1 0 18 5)'%3eBingo%3c/text%3e%3c/svg%3e</v>
      </c>
      <c r="F216" s="14" t="str">
        <f t="shared" si="3"/>
        <v>https://svgtext.heliohost.us/cgi-bin/gen.perl?text=Bingo</v>
      </c>
      <c r="G216" s="11" t="str">
        <f t="shared" si="4"/>
        <v>data:image/svg+xml,%3csvg xmlns='http://www.w3.org/2000/svg' viewBox='0 0 24 216'%3e%3ctext fill='%23fff' style='font: 900 16px sans-serif' text-anchor='end' transform='matrix(0 -1 1 0 18 5)'%3eBingo%3c/text%3e%3c/svg%3e</v>
      </c>
      <c r="H216" s="8" t="s">
        <v>17</v>
      </c>
      <c r="I216" s="8">
        <f t="shared" ref="I216:J216" si="217">len(B216)</f>
        <v>5</v>
      </c>
      <c r="J216" s="8">
        <f t="shared" si="217"/>
        <v>58</v>
      </c>
      <c r="K216" s="8" t="s">
        <v>2386</v>
      </c>
    </row>
    <row r="217">
      <c r="A217" s="7" t="b">
        <v>0</v>
      </c>
      <c r="B217" s="8" t="s">
        <v>2384</v>
      </c>
      <c r="C217" s="8" t="s">
        <v>2387</v>
      </c>
      <c r="D217" s="8" t="str">
        <f>Q&amp;$K217&amp;Q&amp;":{"&amp;Q&amp;$B$2&amp;Q&amp;":"&amp;Q&amp;$B217&amp;Q&amp;","&amp;Q&amp;$C$2&amp;Q&amp;":"&amp;Q&amp;$C217&amp;Q&amp;","&amp;Q&amp;"sets"&amp;Q&amp;":"&amp;Q&amp;substitute(SUBSTITUTE($H217,"[",""),"]","")&amp;Q&amp;"},"</f>
        <v>"pixd":{"label":"Bingo","extra":"Get five in a row. BINGO!","sets":"Junior 9+ (2nd)"},</v>
      </c>
      <c r="E217" s="9" t="str">
        <f t="shared" si="2"/>
        <v>data:image/svg+xml,%3csvg xmlns='http://www.w3.org/2000/svg' viewBox='0 0 24 216'%3e%3ctext fill='%23fff' style='font: 900 16px sans-serif' text-anchor='end' transform='matrix(0 -1 1 0 18 5)'%3eBingo%3c/text%3e%3c/svg%3e</v>
      </c>
      <c r="F217" s="14" t="str">
        <f t="shared" si="3"/>
        <v>https://svgtext.heliohost.us/cgi-bin/gen.perl?text=Bingo</v>
      </c>
      <c r="G217" s="11" t="str">
        <f t="shared" si="4"/>
        <v>data:image/svg+xml,%3csvg xmlns='http://www.w3.org/2000/svg' viewBox='0 0 24 216'%3e%3ctext fill='%23fff' style='font: 900 16px sans-serif' text-anchor='end' transform='matrix(0 -1 1 0 18 5)'%3eBingo%3c/text%3e%3c/svg%3e</v>
      </c>
      <c r="H217" s="8" t="s">
        <v>32</v>
      </c>
      <c r="I217" s="8">
        <f t="shared" ref="I217:J217" si="218">len(B217)</f>
        <v>5</v>
      </c>
      <c r="J217" s="8">
        <f t="shared" si="218"/>
        <v>25</v>
      </c>
      <c r="K217" s="8" t="s">
        <v>2388</v>
      </c>
    </row>
    <row r="218">
      <c r="A218" s="7" t="b">
        <v>0</v>
      </c>
      <c r="B218" s="8" t="s">
        <v>2389</v>
      </c>
      <c r="C218" s="8" t="s">
        <v>2390</v>
      </c>
      <c r="D218" s="8" t="str">
        <f>Q&amp;$K218&amp;Q&amp;":{"&amp;Q&amp;$B$2&amp;Q&amp;":"&amp;Q&amp;$B218&amp;Q&amp;","&amp;Q&amp;$C$2&amp;Q&amp;":"&amp;Q&amp;$C218&amp;Q&amp;","&amp;Q&amp;"sets"&amp;Q&amp;":"&amp;Q&amp;substitute(SUBSTITUTE($H218,"[",""),"]","")&amp;Q&amp;"},"</f>
        <v>"hwuz":{"label":"Bird Watching","extra":"A hobby that relies on a wing and a prayer.","sets":"Expansion Set 1, Party Set"},</v>
      </c>
      <c r="E218" s="9" t="str">
        <f t="shared" si="2"/>
        <v>data:image/svg+xml,%3csvg xmlns='http://www.w3.org/2000/svg' viewBox='0 0 24 216'%3e%3ctext fill='%23fff' style='font: 900 16px sans-serif' text-anchor='end' transform='matrix(0 -1 1 0 18 5)'%3eBird Watching%3c/text%3e%3c/svg%3e</v>
      </c>
      <c r="F218" s="14" t="str">
        <f t="shared" si="3"/>
        <v>https://svgtext.heliohost.us/cgi-bin/gen.perl?text=Bird%20Watching</v>
      </c>
      <c r="G218" s="11" t="str">
        <f t="shared" si="4"/>
        <v>data:image/svg+xml,%3csvg xmlns='http://www.w3.org/2000/svg' viewBox='0 0 24 216'%3e%3ctext fill='%23fff' style='font: 900 16px sans-serif' text-anchor='end' transform='matrix(0 -1 1 0 18 5)'%3eBird Watching%3c/text%3e%3c/svg%3e</v>
      </c>
      <c r="H218" s="8" t="s">
        <v>25</v>
      </c>
      <c r="I218" s="8">
        <f t="shared" ref="I218:J218" si="219">len(B218)</f>
        <v>13</v>
      </c>
      <c r="J218" s="8">
        <f t="shared" si="219"/>
        <v>43</v>
      </c>
      <c r="K218" s="8" t="s">
        <v>2391</v>
      </c>
    </row>
    <row r="219">
      <c r="A219" s="7" t="b">
        <v>1</v>
      </c>
      <c r="B219" s="8" t="s">
        <v>2392</v>
      </c>
      <c r="C219" s="7" t="s">
        <v>2393</v>
      </c>
      <c r="D219" s="8" t="str">
        <f>Q&amp;$K219&amp;Q&amp;":{"&amp;Q&amp;$B$2&amp;Q&amp;":"&amp;Q&amp;$B219&amp;Q&amp;","&amp;Q&amp;$C$2&amp;Q&amp;":"&amp;Q&amp;$C219&amp;Q&amp;","&amp;Q&amp;"sets"&amp;Q&amp;":"&amp;Q&amp;substitute(SUBSTITUTE($H219,"[",""),"]","")&amp;Q&amp;"},"</f>
        <v>"wsbb":{"label":"Birds","extra":"“Birds of a feather, flock together.”","sets":"Junior"},</v>
      </c>
      <c r="E219" s="9" t="str">
        <f t="shared" si="2"/>
        <v>data:image/svg+xml,%3csvg xmlns='http://www.w3.org/2000/svg' viewBox='0 0 24 216'%3e%3ctext fill='%23fff' style='font: 900 16px sans-serif' text-anchor='end' transform='matrix(0 -1 1 0 18 5)'%3eBirds%3c/text%3e%3c/svg%3e</v>
      </c>
      <c r="F219" s="14" t="str">
        <f t="shared" si="3"/>
        <v>https://svgtext.heliohost.us/cgi-bin/gen.perl?text=Birds</v>
      </c>
      <c r="G219" s="11" t="str">
        <f t="shared" si="4"/>
        <v>data:image/svg+xml,%3csvg xmlns='http://www.w3.org/2000/svg' viewBox='0 0 24 216'%3e%3ctext fill='%23fff' style='font: 900 16px sans-serif' text-anchor='end' transform='matrix(0 -1 1 0 18 5)'%3eBirds%3c/text%3e%3c/svg%3e</v>
      </c>
      <c r="H219" s="8" t="s">
        <v>84</v>
      </c>
      <c r="I219" s="8">
        <f t="shared" ref="I219:J219" si="220">len(B219)</f>
        <v>5</v>
      </c>
      <c r="J219" s="8">
        <f t="shared" si="220"/>
        <v>37</v>
      </c>
      <c r="K219" s="8" t="s">
        <v>2394</v>
      </c>
    </row>
    <row r="220">
      <c r="A220" s="7" t="b">
        <v>1</v>
      </c>
      <c r="B220" s="8" t="s">
        <v>2395</v>
      </c>
      <c r="C220" s="8" t="s">
        <v>2396</v>
      </c>
      <c r="D220" s="8" t="str">
        <f>Q&amp;$K220&amp;Q&amp;":{"&amp;Q&amp;$B$2&amp;Q&amp;":"&amp;Q&amp;$B220&amp;Q&amp;","&amp;Q&amp;$C$2&amp;Q&amp;":"&amp;Q&amp;$C220&amp;Q&amp;","&amp;Q&amp;"sets"&amp;Q&amp;":"&amp;Q&amp;substitute(SUBSTITUTE($H220,"[",""),"]","")&amp;Q&amp;"},"</f>
        <v>"ubjq":{"label":"Birthday Cake","extra":"What kind of cake, white or chocolate?","sets":"Junior"},</v>
      </c>
      <c r="E220" s="9" t="str">
        <f t="shared" si="2"/>
        <v>data:image/svg+xml,%3csvg xmlns='http://www.w3.org/2000/svg' viewBox='0 0 24 216'%3e%3ctext fill='%23fff' style='font: 900 16px sans-serif' text-anchor='end' transform='matrix(0 -1 1 0 18 5)'%3eBirthday Cake%3c/text%3e%3c/svg%3e</v>
      </c>
      <c r="F220" s="14" t="str">
        <f t="shared" si="3"/>
        <v>https://svgtext.heliohost.us/cgi-bin/gen.perl?text=Birthday%20Cake</v>
      </c>
      <c r="G220" s="11" t="str">
        <f t="shared" si="4"/>
        <v>data:image/svg+xml,%3csvg xmlns='http://www.w3.org/2000/svg' viewBox='0 0 24 216'%3e%3ctext fill='%23fff' style='font: 900 16px sans-serif' text-anchor='end' transform='matrix(0 -1 1 0 18 5)'%3eBirthday Cake%3c/text%3e%3c/svg%3e</v>
      </c>
      <c r="H220" s="8" t="s">
        <v>84</v>
      </c>
      <c r="I220" s="8">
        <f t="shared" ref="I220:J220" si="221">len(B220)</f>
        <v>13</v>
      </c>
      <c r="J220" s="8">
        <f t="shared" si="221"/>
        <v>38</v>
      </c>
      <c r="K220" s="8" t="s">
        <v>2397</v>
      </c>
    </row>
    <row r="221">
      <c r="A221" s="7" t="b">
        <v>1</v>
      </c>
      <c r="B221" s="8" t="s">
        <v>2398</v>
      </c>
      <c r="C221" s="7" t="s">
        <v>2399</v>
      </c>
      <c r="D221" s="8" t="str">
        <f>Q&amp;$K221&amp;Q&amp;":{"&amp;Q&amp;$B$2&amp;Q&amp;":"&amp;Q&amp;$B221&amp;Q&amp;","&amp;Q&amp;$C$2&amp;Q&amp;":"&amp;Q&amp;$C221&amp;Q&amp;","&amp;Q&amp;"sets"&amp;Q&amp;":"&amp;Q&amp;substitute(SUBSTITUTE($H221,"[",""),"]","")&amp;Q&amp;"},"</f>
        <v>"egwa":{"label":"Black Cats","extra":"It’s bad luck if they cross your path. You might step in a hairball!","sets":"Expansion Set 3, Party Expansion 1"},</v>
      </c>
      <c r="E221" s="9" t="str">
        <f t="shared" si="2"/>
        <v>data:image/svg+xml,%3csvg xmlns='http://www.w3.org/2000/svg' viewBox='0 0 24 216'%3e%3ctext fill='%23fff' style='font: 900 16px sans-serif' text-anchor='end' transform='matrix(0 -1 1 0 18 5)'%3eBlack Cats%3c/text%3e%3c/svg%3e</v>
      </c>
      <c r="F221" s="14" t="str">
        <f t="shared" si="3"/>
        <v>https://svgtext.heliohost.us/cgi-bin/gen.perl?text=Black%20Cats</v>
      </c>
      <c r="G221" s="11" t="str">
        <f t="shared" si="4"/>
        <v>data:image/svg+xml,%3csvg xmlns='http://www.w3.org/2000/svg' viewBox='0 0 24 216'%3e%3ctext fill='%23fff' style='font: 900 16px sans-serif' text-anchor='end' transform='matrix(0 -1 1 0 18 5)'%3eBlack Cats%3c/text%3e%3c/svg%3e</v>
      </c>
      <c r="H221" s="8" t="s">
        <v>39</v>
      </c>
      <c r="I221" s="8">
        <f t="shared" ref="I221:J221" si="222">len(B221)</f>
        <v>10</v>
      </c>
      <c r="J221" s="8">
        <f t="shared" si="222"/>
        <v>68</v>
      </c>
      <c r="K221" s="8" t="s">
        <v>2400</v>
      </c>
    </row>
    <row r="222">
      <c r="A222" s="7" t="b">
        <v>1</v>
      </c>
      <c r="B222" s="8" t="s">
        <v>2398</v>
      </c>
      <c r="C222" s="7" t="s">
        <v>2401</v>
      </c>
      <c r="D222" s="8" t="str">
        <f>Q&amp;$K222&amp;Q&amp;":{"&amp;Q&amp;$B$2&amp;Q&amp;":"&amp;Q&amp;$B222&amp;Q&amp;","&amp;Q&amp;$C$2&amp;Q&amp;":"&amp;Q&amp;$C222&amp;Q&amp;","&amp;Q&amp;"sets"&amp;Q&amp;":"&amp;Q&amp;substitute(SUBSTITUTE($H222,"[",""),"]","")&amp;Q&amp;"},"</f>
        <v>"aklz":{"label":"Black Cats","extra":"They’re not really bad luck!","sets":"Junior 9+ (2nd)"},</v>
      </c>
      <c r="E222" s="9" t="str">
        <f t="shared" si="2"/>
        <v>data:image/svg+xml,%3csvg xmlns='http://www.w3.org/2000/svg' viewBox='0 0 24 216'%3e%3ctext fill='%23fff' style='font: 900 16px sans-serif' text-anchor='end' transform='matrix(0 -1 1 0 18 5)'%3eBlack Cats%3c/text%3e%3c/svg%3e</v>
      </c>
      <c r="F222" s="14" t="str">
        <f t="shared" si="3"/>
        <v>https://svgtext.heliohost.us/cgi-bin/gen.perl?text=Black%20Cats</v>
      </c>
      <c r="G222" s="11" t="str">
        <f t="shared" si="4"/>
        <v>data:image/svg+xml,%3csvg xmlns='http://www.w3.org/2000/svg' viewBox='0 0 24 216'%3e%3ctext fill='%23fff' style='font: 900 16px sans-serif' text-anchor='end' transform='matrix(0 -1 1 0 18 5)'%3eBlack Cats%3c/text%3e%3c/svg%3e</v>
      </c>
      <c r="H222" s="8" t="s">
        <v>32</v>
      </c>
      <c r="I222" s="8">
        <f t="shared" ref="I222:J222" si="223">len(B222)</f>
        <v>10</v>
      </c>
      <c r="J222" s="8">
        <f t="shared" si="223"/>
        <v>28</v>
      </c>
      <c r="K222" s="8" t="s">
        <v>2402</v>
      </c>
    </row>
    <row r="223">
      <c r="A223" s="7" t="b">
        <v>0</v>
      </c>
      <c r="B223" s="8" t="s">
        <v>2403</v>
      </c>
      <c r="C223" s="8" t="s">
        <v>2404</v>
      </c>
      <c r="D223" s="8" t="str">
        <f>Q&amp;$K223&amp;Q&amp;":{"&amp;Q&amp;$B$2&amp;Q&amp;":"&amp;Q&amp;$B223&amp;Q&amp;","&amp;Q&amp;$C$2&amp;Q&amp;":"&amp;Q&amp;$C223&amp;Q&amp;","&amp;Q&amp;"sets"&amp;Q&amp;":"&amp;Q&amp;substitute(SUBSTITUTE($H223,"[",""),"]","")&amp;Q&amp;"},"</f>
        <v>"uwtp":{"label":"Black Holes","extra":"The gravitational field of a black hole is so strong that nothing, including light, can escape from its vicinity.","sets":"Basic Set, Party Set"},</v>
      </c>
      <c r="E223" s="9" t="str">
        <f t="shared" si="2"/>
        <v>data:image/svg+xml,%3csvg xmlns='http://www.w3.org/2000/svg' viewBox='0 0 24 216'%3e%3ctext fill='%23fff' style='font: 900 16px sans-serif' text-anchor='end' transform='matrix(0 -1 1 0 18 5)'%3eBlack Holes%3c/text%3e%3c/svg%3e</v>
      </c>
      <c r="F223" s="14" t="str">
        <f t="shared" si="3"/>
        <v>https://svgtext.heliohost.us/cgi-bin/gen.perl?text=Black%20Holes</v>
      </c>
      <c r="G223" s="11" t="str">
        <f t="shared" si="4"/>
        <v>data:image/svg+xml,%3csvg xmlns='http://www.w3.org/2000/svg' viewBox='0 0 24 216'%3e%3ctext fill='%23fff' style='font: 900 16px sans-serif' text-anchor='end' transform='matrix(0 -1 1 0 18 5)'%3eBlack Holes%3c/text%3e%3c/svg%3e</v>
      </c>
      <c r="H223" s="8" t="s">
        <v>29</v>
      </c>
      <c r="I223" s="8">
        <f t="shared" ref="I223:J223" si="224">len(B223)</f>
        <v>11</v>
      </c>
      <c r="J223" s="8">
        <f t="shared" si="224"/>
        <v>113</v>
      </c>
      <c r="K223" s="8" t="s">
        <v>2405</v>
      </c>
    </row>
    <row r="224">
      <c r="A224" s="7" t="b">
        <v>0</v>
      </c>
      <c r="B224" s="8" t="s">
        <v>2406</v>
      </c>
      <c r="C224" s="7" t="s">
        <v>2407</v>
      </c>
      <c r="D224" s="8" t="str">
        <f>Q&amp;$K224&amp;Q&amp;":{"&amp;Q&amp;$B$2&amp;Q&amp;":"&amp;Q&amp;$B224&amp;Q&amp;","&amp;Q&amp;$C$2&amp;Q&amp;":"&amp;Q&amp;$C224&amp;Q&amp;","&amp;Q&amp;"sets"&amp;Q&amp;":"&amp;Q&amp;substitute(SUBSTITUTE($H224,"[",""),"]","")&amp;Q&amp;"},"</f>
        <v>"nhsb":{"label":"Black Licorice","extra":"Alexander the Great and Julius Caesar both endorsed the beneficial properties of Licorice. No word on black jelly beans…","sets":"Expansion Set 3, Party Expansion 1"},</v>
      </c>
      <c r="E224" s="9" t="str">
        <f t="shared" si="2"/>
        <v>data:image/svg+xml,%3csvg xmlns='http://www.w3.org/2000/svg' viewBox='0 0 24 216'%3e%3ctext fill='%23fff' style='font: 900 16px sans-serif' text-anchor='end' transform='matrix(0 -1 1 0 18 5)'%3eBlack Licorice%3c/text%3e%3c/svg%3e</v>
      </c>
      <c r="F224" s="14" t="str">
        <f t="shared" si="3"/>
        <v>https://svgtext.heliohost.us/cgi-bin/gen.perl?text=Black%20Licorice</v>
      </c>
      <c r="G224" s="11" t="str">
        <f t="shared" si="4"/>
        <v>data:image/svg+xml,%3csvg xmlns='http://www.w3.org/2000/svg' viewBox='0 0 24 216'%3e%3ctext fill='%23fff' style='font: 900 16px sans-serif' text-anchor='end' transform='matrix(0 -1 1 0 18 5)'%3eBlack Licorice%3c/text%3e%3c/svg%3e</v>
      </c>
      <c r="H224" s="8" t="s">
        <v>39</v>
      </c>
      <c r="I224" s="8">
        <f t="shared" ref="I224:J224" si="225">len(B224)</f>
        <v>14</v>
      </c>
      <c r="J224" s="8">
        <f t="shared" si="225"/>
        <v>120</v>
      </c>
      <c r="K224" s="8" t="s">
        <v>2408</v>
      </c>
    </row>
    <row r="225">
      <c r="A225" s="7" t="b">
        <v>0</v>
      </c>
      <c r="B225" s="8" t="s">
        <v>2409</v>
      </c>
      <c r="C225" s="7" t="s">
        <v>2410</v>
      </c>
      <c r="D225" s="8" t="str">
        <f>Q&amp;$K225&amp;Q&amp;":{"&amp;Q&amp;$B$2&amp;Q&amp;":"&amp;Q&amp;$B225&amp;Q&amp;","&amp;Q&amp;$C$2&amp;Q&amp;":"&amp;Q&amp;$C225&amp;Q&amp;","&amp;Q&amp;"sets"&amp;Q&amp;":"&amp;Q&amp;substitute(SUBSTITUTE($H225,"[",""),"]","")&amp;Q&amp;"},"</f>
        <v>"jxkl":{"label":"Black Lingerie","extra":"Victoria’s REAL secret: selling skimpy negligees at hefty price…","sets":"Expansion Set 3, Party Expansion 1"},</v>
      </c>
      <c r="E225" s="9" t="str">
        <f t="shared" si="2"/>
        <v>data:image/svg+xml,%3csvg xmlns='http://www.w3.org/2000/svg' viewBox='0 0 24 216'%3e%3ctext fill='%23fff' style='font: 900 16px sans-serif' text-anchor='end' transform='matrix(0 -1 1 0 18 5)'%3eBlack Lingerie%3c/text%3e%3c/svg%3e</v>
      </c>
      <c r="F225" s="14" t="str">
        <f t="shared" si="3"/>
        <v>https://svgtext.heliohost.us/cgi-bin/gen.perl?text=Black%20Lingerie</v>
      </c>
      <c r="G225" s="11" t="str">
        <f t="shared" si="4"/>
        <v>data:image/svg+xml,%3csvg xmlns='http://www.w3.org/2000/svg' viewBox='0 0 24 216'%3e%3ctext fill='%23fff' style='font: 900 16px sans-serif' text-anchor='end' transform='matrix(0 -1 1 0 18 5)'%3eBlack Lingerie%3c/text%3e%3c/svg%3e</v>
      </c>
      <c r="H225" s="8" t="s">
        <v>39</v>
      </c>
      <c r="I225" s="8">
        <f t="shared" ref="I225:J225" si="226">len(B225)</f>
        <v>14</v>
      </c>
      <c r="J225" s="8">
        <f t="shared" si="226"/>
        <v>64</v>
      </c>
      <c r="K225" s="8" t="s">
        <v>2411</v>
      </c>
    </row>
    <row r="226">
      <c r="A226" s="7" t="b">
        <v>0</v>
      </c>
      <c r="B226" s="8" t="s">
        <v>2412</v>
      </c>
      <c r="C226" s="7" t="s">
        <v>2413</v>
      </c>
      <c r="D226" s="8" t="str">
        <f>Q&amp;$K226&amp;Q&amp;":{"&amp;Q&amp;$B$2&amp;Q&amp;":"&amp;Q&amp;$B226&amp;Q&amp;","&amp;Q&amp;$C$2&amp;Q&amp;":"&amp;Q&amp;$C226&amp;Q&amp;","&amp;Q&amp;"sets"&amp;Q&amp;":"&amp;Q&amp;substitute(SUBSTITUTE($H226,"[",""),"]","")&amp;Q&amp;"},"</f>
        <v>"nzpk":{"label":"Black Velvet","extra":"Smooth, silky and sophisticated… until you paint an Elvis on it.","sets":"Expansion Set 2, Party Set"},</v>
      </c>
      <c r="E226" s="9" t="str">
        <f t="shared" si="2"/>
        <v>data:image/svg+xml,%3csvg xmlns='http://www.w3.org/2000/svg' viewBox='0 0 24 216'%3e%3ctext fill='%23fff' style='font: 900 16px sans-serif' text-anchor='end' transform='matrix(0 -1 1 0 18 5)'%3eBlack Velvet%3c/text%3e%3c/svg%3e</v>
      </c>
      <c r="F226" s="14" t="str">
        <f t="shared" si="3"/>
        <v>https://svgtext.heliohost.us/cgi-bin/gen.perl?text=Black%20Velvet</v>
      </c>
      <c r="G226" s="11" t="str">
        <f t="shared" si="4"/>
        <v>data:image/svg+xml,%3csvg xmlns='http://www.w3.org/2000/svg' viewBox='0 0 24 216'%3e%3ctext fill='%23fff' style='font: 900 16px sans-serif' text-anchor='end' transform='matrix(0 -1 1 0 18 5)'%3eBlack Velvet%3c/text%3e%3c/svg%3e</v>
      </c>
      <c r="H226" s="8" t="s">
        <v>17</v>
      </c>
      <c r="I226" s="8">
        <f t="shared" ref="I226:J226" si="227">len(B226)</f>
        <v>12</v>
      </c>
      <c r="J226" s="8">
        <f t="shared" si="227"/>
        <v>64</v>
      </c>
      <c r="K226" s="8" t="s">
        <v>2414</v>
      </c>
    </row>
    <row r="227">
      <c r="A227" s="7" t="b">
        <v>1</v>
      </c>
      <c r="B227" s="8" t="s">
        <v>2415</v>
      </c>
      <c r="C227" s="8" t="s">
        <v>2416</v>
      </c>
      <c r="D227" s="8" t="str">
        <f>Q&amp;$K227&amp;Q&amp;":{"&amp;Q&amp;$B$2&amp;Q&amp;":"&amp;Q&amp;$B227&amp;Q&amp;","&amp;Q&amp;$C$2&amp;Q&amp;":"&amp;Q&amp;$C227&amp;Q&amp;","&amp;Q&amp;"sets"&amp;Q&amp;":"&amp;Q&amp;substitute(SUBSTITUTE($H227,"[",""),"]","")&amp;Q&amp;"},"</f>
        <v>"izfo":{"label":"Blackouts","extra":"They can occur at any","sets":"Expansion Set 3, Party Expansion 1"},</v>
      </c>
      <c r="E227" s="9" t="str">
        <f t="shared" si="2"/>
        <v>data:image/svg+xml,%3csvg xmlns='http://www.w3.org/2000/svg' viewBox='0 0 24 216'%3e%3ctext fill='%23fff' style='font: 900 16px sans-serif' text-anchor='end' transform='matrix(0 -1 1 0 18 5)'%3eBlackouts%3c/text%3e%3c/svg%3e</v>
      </c>
      <c r="F227" s="14" t="str">
        <f t="shared" si="3"/>
        <v>https://svgtext.heliohost.us/cgi-bin/gen.perl?text=Blackouts</v>
      </c>
      <c r="G227" s="11" t="str">
        <f t="shared" si="4"/>
        <v>data:image/svg+xml,%3csvg xmlns='http://www.w3.org/2000/svg' viewBox='0 0 24 216'%3e%3ctext fill='%23fff' style='font: 900 16px sans-serif' text-anchor='end' transform='matrix(0 -1 1 0 18 5)'%3eBlackouts%3c/text%3e%3c/svg%3e</v>
      </c>
      <c r="H227" s="8" t="s">
        <v>39</v>
      </c>
      <c r="I227" s="8">
        <f t="shared" ref="I227:J227" si="228">len(B227)</f>
        <v>9</v>
      </c>
      <c r="J227" s="8">
        <f t="shared" si="228"/>
        <v>21</v>
      </c>
      <c r="K227" s="8" t="s">
        <v>2417</v>
      </c>
    </row>
    <row r="228">
      <c r="A228" s="7" t="b">
        <v>0</v>
      </c>
      <c r="B228" s="8" t="s">
        <v>2418</v>
      </c>
      <c r="C228" s="8" t="s">
        <v>2419</v>
      </c>
      <c r="D228" s="8" t="str">
        <f>Q&amp;$K228&amp;Q&amp;":{"&amp;Q&amp;$B$2&amp;Q&amp;":"&amp;Q&amp;$B228&amp;Q&amp;","&amp;Q&amp;$C$2&amp;Q&amp;":"&amp;Q&amp;$C228&amp;Q&amp;","&amp;Q&amp;"sets"&amp;Q&amp;":"&amp;Q&amp;substitute(SUBSTITUTE($H228,"[",""),"]","")&amp;Q&amp;"},"</f>
        <v>"pwxw":{"label":"Blizzard","extra":"Extreme cold, strong winds, and a head snowfall. Also known as Canada.","sets":"Basic Set, Party Set"},</v>
      </c>
      <c r="E228" s="9" t="str">
        <f t="shared" si="2"/>
        <v>data:image/svg+xml,%3csvg xmlns='http://www.w3.org/2000/svg' viewBox='0 0 24 216'%3e%3ctext fill='%23fff' style='font: 900 16px sans-serif' text-anchor='end' transform='matrix(0 -1 1 0 18 5)'%3eBlizzard%3c/text%3e%3c/svg%3e</v>
      </c>
      <c r="F228" s="14" t="str">
        <f t="shared" si="3"/>
        <v>https://svgtext.heliohost.us/cgi-bin/gen.perl?text=Blizzard</v>
      </c>
      <c r="G228" s="11" t="str">
        <f t="shared" si="4"/>
        <v>data:image/svg+xml,%3csvg xmlns='http://www.w3.org/2000/svg' viewBox='0 0 24 216'%3e%3ctext fill='%23fff' style='font: 900 16px sans-serif' text-anchor='end' transform='matrix(0 -1 1 0 18 5)'%3eBlizzard%3c/text%3e%3c/svg%3e</v>
      </c>
      <c r="H228" s="8" t="s">
        <v>29</v>
      </c>
      <c r="I228" s="8">
        <f t="shared" ref="I228:J228" si="229">len(B228)</f>
        <v>8</v>
      </c>
      <c r="J228" s="8">
        <f t="shared" si="229"/>
        <v>70</v>
      </c>
      <c r="K228" s="8" t="s">
        <v>2420</v>
      </c>
    </row>
    <row r="229">
      <c r="A229" s="7" t="b">
        <v>0</v>
      </c>
      <c r="B229" s="8" t="s">
        <v>2421</v>
      </c>
      <c r="C229" s="8" t="s">
        <v>2422</v>
      </c>
      <c r="D229" s="8" t="str">
        <f>Q&amp;$K229&amp;Q&amp;":{"&amp;Q&amp;$B$2&amp;Q&amp;":"&amp;Q&amp;$B229&amp;Q&amp;","&amp;Q&amp;$C$2&amp;Q&amp;":"&amp;Q&amp;$C229&amp;Q&amp;","&amp;Q&amp;"sets"&amp;Q&amp;":"&amp;Q&amp;substitute(SUBSTITUTE($H229,"[",""),"]","")&amp;Q&amp;"},"</f>
        <v>"uain":{"label":"Blood","extra":"A healthy human body contains between five and six quarts of blood. Bloody right they do!","sets":"Basic Set, Party Set"},</v>
      </c>
      <c r="E229" s="9" t="str">
        <f t="shared" si="2"/>
        <v>data:image/svg+xml,%3csvg xmlns='http://www.w3.org/2000/svg' viewBox='0 0 24 216'%3e%3ctext fill='%23fff' style='font: 900 16px sans-serif' text-anchor='end' transform='matrix(0 -1 1 0 18 5)'%3eBlood%3c/text%3e%3c/svg%3e</v>
      </c>
      <c r="F229" s="14" t="str">
        <f t="shared" si="3"/>
        <v>https://svgtext.heliohost.us/cgi-bin/gen.perl?text=Blood</v>
      </c>
      <c r="G229" s="11" t="str">
        <f t="shared" si="4"/>
        <v>data:image/svg+xml,%3csvg xmlns='http://www.w3.org/2000/svg' viewBox='0 0 24 216'%3e%3ctext fill='%23fff' style='font: 900 16px sans-serif' text-anchor='end' transform='matrix(0 -1 1 0 18 5)'%3eBlood%3c/text%3e%3c/svg%3e</v>
      </c>
      <c r="H229" s="8" t="s">
        <v>29</v>
      </c>
      <c r="I229" s="8">
        <f t="shared" ref="I229:J229" si="230">len(B229)</f>
        <v>5</v>
      </c>
      <c r="J229" s="8">
        <f t="shared" si="230"/>
        <v>89</v>
      </c>
      <c r="K229" s="8" t="s">
        <v>2423</v>
      </c>
    </row>
    <row r="230">
      <c r="A230" s="7" t="b">
        <v>1</v>
      </c>
      <c r="B230" s="8" t="s">
        <v>2421</v>
      </c>
      <c r="C230" s="8" t="s">
        <v>2424</v>
      </c>
      <c r="D230" s="8" t="str">
        <f>Q&amp;$K230&amp;Q&amp;":{"&amp;Q&amp;$B$2&amp;Q&amp;":"&amp;Q&amp;$B230&amp;Q&amp;","&amp;Q&amp;$C$2&amp;Q&amp;":"&amp;Q&amp;$C230&amp;Q&amp;","&amp;Q&amp;"sets"&amp;Q&amp;":"&amp;Q&amp;substitute(SUBSTITUTE($H230,"[",""),"]","")&amp;Q&amp;"},"</f>
        <v>"gmdb":{"label":"Blood","extra":"Blood carries oxygen and nutrients throughout the body.","sets":"Junior 9+ (2nd)"},</v>
      </c>
      <c r="E230" s="9" t="str">
        <f t="shared" si="2"/>
        <v>data:image/svg+xml,%3csvg xmlns='http://www.w3.org/2000/svg' viewBox='0 0 24 216'%3e%3ctext fill='%23fff' style='font: 900 16px sans-serif' text-anchor='end' transform='matrix(0 -1 1 0 18 5)'%3eBlood%3c/text%3e%3c/svg%3e</v>
      </c>
      <c r="F230" s="14" t="str">
        <f t="shared" si="3"/>
        <v>https://svgtext.heliohost.us/cgi-bin/gen.perl?text=Blood</v>
      </c>
      <c r="G230" s="11" t="str">
        <f t="shared" si="4"/>
        <v>data:image/svg+xml,%3csvg xmlns='http://www.w3.org/2000/svg' viewBox='0 0 24 216'%3e%3ctext fill='%23fff' style='font: 900 16px sans-serif' text-anchor='end' transform='matrix(0 -1 1 0 18 5)'%3eBlood%3c/text%3e%3c/svg%3e</v>
      </c>
      <c r="H230" s="8" t="s">
        <v>32</v>
      </c>
      <c r="I230" s="8">
        <f t="shared" ref="I230:J230" si="231">len(B230)</f>
        <v>5</v>
      </c>
      <c r="J230" s="8">
        <f t="shared" si="231"/>
        <v>55</v>
      </c>
      <c r="K230" s="8" t="s">
        <v>2425</v>
      </c>
    </row>
    <row r="231">
      <c r="A231" s="7" t="b">
        <v>1</v>
      </c>
      <c r="B231" s="8" t="s">
        <v>2426</v>
      </c>
      <c r="C231" s="7" t="s">
        <v>2427</v>
      </c>
      <c r="D231" s="8" t="str">
        <f>Q&amp;$K231&amp;Q&amp;":{"&amp;Q&amp;$B$2&amp;Q&amp;":"&amp;Q&amp;$B231&amp;Q&amp;","&amp;Q&amp;$C$2&amp;Q&amp;":"&amp;Q&amp;$C231&amp;Q&amp;","&amp;Q&amp;"sets"&amp;Q&amp;":"&amp;Q&amp;substitute(SUBSTITUTE($H231,"[",""),"]","")&amp;Q&amp;"},"</f>
        <v>"wthd":{"label":"Blood &amp; Tears","extra":"Don’t forget the sweat.","sets":"Expansion Set 4, Party Expansion 1"},</v>
      </c>
      <c r="E231" s="9" t="str">
        <f t="shared" si="2"/>
        <v>data:image/svg+xml,%3csvg xmlns='http://www.w3.org/2000/svg' viewBox='0 0 24 216'%3e%3ctext fill='%23fff' style='font: 900 16px sans-serif' text-anchor='end' transform='matrix(0 -1 1 0 18 5)'%3eBlood %26amp%3B Tears%3c/text%3e%3c/svg%3e</v>
      </c>
      <c r="F231" s="14" t="str">
        <f t="shared" si="3"/>
        <v>https://svgtext.heliohost.us/cgi-bin/gen.perl?text=Blood%20%26%20Tears</v>
      </c>
      <c r="G231" s="11" t="str">
        <f t="shared" si="4"/>
        <v>data:image/svg+xml,%3csvg xmlns='http://www.w3.org/2000/svg' viewBox='0 0 24 216'%3e%3ctext fill='%23fff' style='font: 900 16px sans-serif' text-anchor='end' transform='matrix(0 -1 1 0 18 5)'%3eBlood %26amp%3B Tears%3c/text%3e%3c/svg%3e</v>
      </c>
      <c r="H231" s="8" t="s">
        <v>63</v>
      </c>
      <c r="I231" s="8">
        <f t="shared" ref="I231:J231" si="232">len(B231)</f>
        <v>13</v>
      </c>
      <c r="J231" s="8">
        <f t="shared" si="232"/>
        <v>23</v>
      </c>
      <c r="K231" s="8" t="s">
        <v>2428</v>
      </c>
    </row>
    <row r="232">
      <c r="A232" s="7" t="b">
        <v>1</v>
      </c>
      <c r="B232" s="8" t="s">
        <v>2429</v>
      </c>
      <c r="C232" s="8" t="s">
        <v>2430</v>
      </c>
      <c r="D232" s="8" t="str">
        <f>Q&amp;$K232&amp;Q&amp;":{"&amp;Q&amp;$B$2&amp;Q&amp;":"&amp;Q&amp;$B232&amp;Q&amp;","&amp;Q&amp;$C$2&amp;Q&amp;":"&amp;Q&amp;$C232&amp;Q&amp;","&amp;Q&amp;"sets"&amp;Q&amp;":"&amp;Q&amp;substitute(SUBSTITUTE($H232,"[",""),"]","")&amp;Q&amp;"},"</f>
        <v>"ngxd":{"label":"Blowing Bubbles","extra":"The bigger the better!","sets":"Junior"},</v>
      </c>
      <c r="E232" s="9" t="str">
        <f t="shared" si="2"/>
        <v>data:image/svg+xml,%3csvg xmlns='http://www.w3.org/2000/svg' viewBox='0 0 24 216'%3e%3ctext fill='%23fff' style='font: 900 16px sans-serif' text-anchor='end' transform='matrix(0 -1 1 0 18 5)'%3eBlowing Bubbles%3c/text%3e%3c/svg%3e</v>
      </c>
      <c r="F232" s="14" t="str">
        <f t="shared" si="3"/>
        <v>https://svgtext.heliohost.us/cgi-bin/gen.perl?text=Blowing%20Bubbles</v>
      </c>
      <c r="G232" s="11" t="str">
        <f t="shared" si="4"/>
        <v>data:image/svg+xml,%3csvg xmlns='http://www.w3.org/2000/svg' viewBox='0 0 24 216'%3e%3ctext fill='%23fff' style='font: 900 16px sans-serif' text-anchor='end' transform='matrix(0 -1 1 0 18 5)'%3eBlowing Bubbles%3c/text%3e%3c/svg%3e</v>
      </c>
      <c r="H232" s="8" t="s">
        <v>84</v>
      </c>
      <c r="I232" s="8">
        <f t="shared" ref="I232:J232" si="233">len(B232)</f>
        <v>15</v>
      </c>
      <c r="J232" s="8">
        <f t="shared" si="233"/>
        <v>22</v>
      </c>
      <c r="K232" s="8" t="s">
        <v>2431</v>
      </c>
    </row>
    <row r="233">
      <c r="A233" s="7" t="b">
        <v>1</v>
      </c>
      <c r="B233" s="8" t="s">
        <v>2432</v>
      </c>
      <c r="C233" s="8" t="s">
        <v>2433</v>
      </c>
      <c r="D233" s="8" t="str">
        <f>Q&amp;$K233&amp;Q&amp;":{"&amp;Q&amp;$B$2&amp;Q&amp;":"&amp;Q&amp;$B233&amp;Q&amp;","&amp;Q&amp;$C$2&amp;Q&amp;":"&amp;Q&amp;$C233&amp;Q&amp;","&amp;Q&amp;"sets"&amp;Q&amp;":"&amp;Q&amp;substitute(SUBSTITUTE($H233,"[",""),"]","")&amp;Q&amp;"},"</f>
        <v>"kacg":{"label":"Blowing Your Nose","extra":"Please use a tissue!","sets":"Junior"},</v>
      </c>
      <c r="E233" s="9" t="str">
        <f t="shared" si="2"/>
        <v>data:image/svg+xml,%3csvg xmlns='http://www.w3.org/2000/svg' viewBox='0 0 24 216'%3e%3ctext fill='%23fff' style='font: 900 16px sans-serif' text-anchor='end' transform='matrix(0 -1 1 0 18 5)'%3eBlowing Your Nose%3c/text%3e%3c/svg%3e</v>
      </c>
      <c r="F233" s="14" t="str">
        <f t="shared" si="3"/>
        <v>https://svgtext.heliohost.us/cgi-bin/gen.perl?text=Blowing%20Your%20Nose</v>
      </c>
      <c r="G233" s="11" t="str">
        <f t="shared" si="4"/>
        <v>data:image/svg+xml,%3csvg xmlns='http://www.w3.org/2000/svg' viewBox='0 0 24 216'%3e%3ctext fill='%23fff' style='font: 900 16px sans-serif' text-anchor='end' transform='matrix(0 -1 1 0 18 5)'%3eBlowing Your Nose%3c/text%3e%3c/svg%3e</v>
      </c>
      <c r="H233" s="8" t="s">
        <v>84</v>
      </c>
      <c r="I233" s="8">
        <f t="shared" ref="I233:J233" si="234">len(B233)</f>
        <v>17</v>
      </c>
      <c r="J233" s="8">
        <f t="shared" si="234"/>
        <v>20</v>
      </c>
      <c r="K233" s="8" t="s">
        <v>2434</v>
      </c>
    </row>
    <row r="234">
      <c r="A234" s="7" t="b">
        <v>1</v>
      </c>
      <c r="B234" s="8" t="s">
        <v>2435</v>
      </c>
      <c r="C234" s="7" t="s">
        <v>2436</v>
      </c>
      <c r="D234" s="8" t="str">
        <f>Q&amp;$K234&amp;Q&amp;":{"&amp;Q&amp;$B$2&amp;Q&amp;":"&amp;Q&amp;$B234&amp;Q&amp;","&amp;Q&amp;$C$2&amp;Q&amp;":"&amp;Q&amp;$C234&amp;Q&amp;","&amp;Q&amp;"sets"&amp;Q&amp;":"&amp;Q&amp;substitute(SUBSTITUTE($H234,"[",""),"]","")&amp;Q&amp;"},"</f>
        <v>"royg":{"label":"Blue Velvet","extra":"An elegant, textured fabric, Bobby Vinton love song, or David Lynch’s bizarre 1986 film about the dark side of small-town America.","sets":"Expansion Set 3, Party Expansion 1"},</v>
      </c>
      <c r="E234" s="9" t="str">
        <f t="shared" si="2"/>
        <v>data:image/svg+xml,%3csvg xmlns='http://www.w3.org/2000/svg' viewBox='0 0 24 216'%3e%3ctext fill='%23fff' style='font: 900 16px sans-serif' text-anchor='end' transform='matrix(0 -1 1 0 18 5)'%3eBlue Velvet%3c/text%3e%3c/svg%3e</v>
      </c>
      <c r="F234" s="14" t="str">
        <f t="shared" si="3"/>
        <v>https://svgtext.heliohost.us/cgi-bin/gen.perl?text=Blue%20Velvet</v>
      </c>
      <c r="G234" s="11" t="str">
        <f t="shared" si="4"/>
        <v>data:image/svg+xml,%3csvg xmlns='http://www.w3.org/2000/svg' viewBox='0 0 24 216'%3e%3ctext fill='%23fff' style='font: 900 16px sans-serif' text-anchor='end' transform='matrix(0 -1 1 0 18 5)'%3eBlue Velvet%3c/text%3e%3c/svg%3e</v>
      </c>
      <c r="H234" s="8" t="s">
        <v>39</v>
      </c>
      <c r="I234" s="8">
        <f t="shared" ref="I234:J234" si="235">len(B234)</f>
        <v>11</v>
      </c>
      <c r="J234" s="8">
        <f t="shared" si="235"/>
        <v>130</v>
      </c>
      <c r="K234" s="8" t="s">
        <v>2437</v>
      </c>
    </row>
    <row r="235">
      <c r="A235" s="7" t="b">
        <v>1</v>
      </c>
      <c r="B235" s="8" t="s">
        <v>2438</v>
      </c>
      <c r="C235" s="8" t="s">
        <v>2439</v>
      </c>
      <c r="D235" s="8" t="str">
        <f>Q&amp;$K235&amp;Q&amp;":{"&amp;Q&amp;$B$2&amp;Q&amp;":"&amp;Q&amp;$B235&amp;Q&amp;","&amp;Q&amp;$C$2&amp;Q&amp;":"&amp;Q&amp;$C235&amp;Q&amp;","&amp;Q&amp;"sets"&amp;Q&amp;":"&amp;Q&amp;substitute(SUBSTITUTE($H235,"[",""),"]","")&amp;Q&amp;"},"</f>
        <v>"zbds":{"label":"Blueberries","extra":"Blueberries will stain your teeth. Smile!","sets":"Junior 9+ (1st) &amp; (2nd)"},</v>
      </c>
      <c r="E235" s="9" t="str">
        <f t="shared" si="2"/>
        <v>data:image/svg+xml,%3csvg xmlns='http://www.w3.org/2000/svg' viewBox='0 0 24 216'%3e%3ctext fill='%23fff' style='font: 900 16px sans-serif' text-anchor='end' transform='matrix(0 -1 1 0 18 5)'%3eBlueberries%3c/text%3e%3c/svg%3e</v>
      </c>
      <c r="F235" s="14" t="str">
        <f t="shared" si="3"/>
        <v>https://svgtext.heliohost.us/cgi-bin/gen.perl?text=Blueberries</v>
      </c>
      <c r="G235" s="11" t="str">
        <f t="shared" si="4"/>
        <v>data:image/svg+xml,%3csvg xmlns='http://www.w3.org/2000/svg' viewBox='0 0 24 216'%3e%3ctext fill='%23fff' style='font: 900 16px sans-serif' text-anchor='end' transform='matrix(0 -1 1 0 18 5)'%3eBlueberries%3c/text%3e%3c/svg%3e</v>
      </c>
      <c r="H235" s="8" t="s">
        <v>42</v>
      </c>
      <c r="I235" s="8">
        <f t="shared" ref="I235:J235" si="236">len(B235)</f>
        <v>11</v>
      </c>
      <c r="J235" s="8">
        <f t="shared" si="236"/>
        <v>41</v>
      </c>
      <c r="K235" s="8" t="s">
        <v>2440</v>
      </c>
    </row>
    <row r="236">
      <c r="A236" s="7" t="b">
        <v>0</v>
      </c>
      <c r="B236" s="8" t="s">
        <v>2441</v>
      </c>
      <c r="C236" s="7" t="s">
        <v>2442</v>
      </c>
      <c r="D236" s="8" t="str">
        <f>Q&amp;$K236&amp;Q&amp;":{"&amp;Q&amp;$B$2&amp;Q&amp;":"&amp;Q&amp;$B236&amp;Q&amp;","&amp;Q&amp;$C$2&amp;Q&amp;":"&amp;Q&amp;$C236&amp;Q&amp;","&amp;Q&amp;"sets"&amp;Q&amp;":"&amp;Q&amp;substitute(SUBSTITUTE($H236,"[",""),"]","")&amp;Q&amp;"},"</f>
        <v>"vscn":{"label":"Board Games","extra":"Games have been played for thousands of years. Some games of Monopoly just SEEM that long.","sets":"Expansion Set 2, Party Set"},</v>
      </c>
      <c r="E236" s="9" t="str">
        <f t="shared" si="2"/>
        <v>data:image/svg+xml,%3csvg xmlns='http://www.w3.org/2000/svg' viewBox='0 0 24 216'%3e%3ctext fill='%23fff' style='font: 900 16px sans-serif' text-anchor='end' transform='matrix(0 -1 1 0 18 5)'%3eBoard Games%3c/text%3e%3c/svg%3e</v>
      </c>
      <c r="F236" s="14" t="str">
        <f t="shared" si="3"/>
        <v>https://svgtext.heliohost.us/cgi-bin/gen.perl?text=Board%20Games</v>
      </c>
      <c r="G236" s="11" t="str">
        <f t="shared" si="4"/>
        <v>data:image/svg+xml,%3csvg xmlns='http://www.w3.org/2000/svg' viewBox='0 0 24 216'%3e%3ctext fill='%23fff' style='font: 900 16px sans-serif' text-anchor='end' transform='matrix(0 -1 1 0 18 5)'%3eBoard Games%3c/text%3e%3c/svg%3e</v>
      </c>
      <c r="H236" s="8" t="s">
        <v>17</v>
      </c>
      <c r="I236" s="8">
        <f t="shared" ref="I236:J236" si="237">len(B236)</f>
        <v>11</v>
      </c>
      <c r="J236" s="8">
        <f t="shared" si="237"/>
        <v>90</v>
      </c>
      <c r="K236" s="8" t="s">
        <v>2443</v>
      </c>
    </row>
    <row r="237">
      <c r="A237" s="7" t="b">
        <v>1</v>
      </c>
      <c r="B237" s="8" t="s">
        <v>2444</v>
      </c>
      <c r="C237" s="7" t="s">
        <v>2445</v>
      </c>
      <c r="D237" s="8" t="str">
        <f>Q&amp;$K237&amp;Q&amp;":{"&amp;Q&amp;$B$2&amp;Q&amp;":"&amp;Q&amp;$B237&amp;Q&amp;","&amp;Q&amp;$C$2&amp;Q&amp;":"&amp;Q&amp;$C237&amp;Q&amp;","&amp;Q&amp;"sets"&amp;Q&amp;":"&amp;Q&amp;substitute(SUBSTITUTE($H237,"[",""),"]","")&amp;Q&amp;"},"</f>
        <v>"uoiw":{"label":"Boardwalk &amp; Park Place","extra":"Top of the line in the real estate game.","sets":"Expansion Set 4, Party Expansion 1"},</v>
      </c>
      <c r="E237" s="9" t="str">
        <f t="shared" si="2"/>
        <v>data:image/svg+xml,%3csvg xmlns='http://www.w3.org/2000/svg' viewBox='0 0 24 216'%3e%3ctext fill='%23fff' style='font: 900 16px sans-serif' text-anchor='end' transform='matrix(0 -1 1 0 18 5)'%3eBoardwalk %26amp%3B Park Place%3c/text%3e%3c/svg%3e</v>
      </c>
      <c r="F237" s="14" t="str">
        <f t="shared" si="3"/>
        <v>https://svgtext.heliohost.us/cgi-bin/gen.perl?text=Boardwalk%20%26%20Park%20Place</v>
      </c>
      <c r="G237" s="11" t="str">
        <f t="shared" si="4"/>
        <v>data:image/svg+xml,%3csvg xmlns='http://www.w3.org/2000/svg' viewBox='0 0 24 216'%3e%3ctext fill='%23fff' style='font: 900 16px sans-serif' text-anchor='end' transform='matrix(0 -1 1 0 18 5)'%3eBoardwalk %26amp%3B Park Place%3c/text%3e%3c/svg%3e</v>
      </c>
      <c r="H237" s="8" t="s">
        <v>63</v>
      </c>
      <c r="I237" s="8">
        <f t="shared" ref="I237:J237" si="238">len(B237)</f>
        <v>22</v>
      </c>
      <c r="J237" s="8">
        <f t="shared" si="238"/>
        <v>40</v>
      </c>
      <c r="K237" s="8" t="s">
        <v>2446</v>
      </c>
    </row>
    <row r="238">
      <c r="A238" s="7" t="b">
        <v>1</v>
      </c>
      <c r="B238" s="8" t="s">
        <v>2447</v>
      </c>
      <c r="C238" s="7" t="s">
        <v>2448</v>
      </c>
      <c r="D238" s="8" t="str">
        <f>Q&amp;$K238&amp;Q&amp;":{"&amp;Q&amp;$B$2&amp;Q&amp;":"&amp;Q&amp;$B238&amp;Q&amp;","&amp;Q&amp;$C$2&amp;Q&amp;":"&amp;Q&amp;$C238&amp;Q&amp;","&amp;Q&amp;"sets"&amp;Q&amp;":"&amp;Q&amp;substitute(SUBSTITUTE($H238,"[",""),"]","")&amp;Q&amp;"},"</f>
        <v>"rhsc":{"label":"Boats","extra":"“Row, row, row your boat!”","sets":"Junior"},</v>
      </c>
      <c r="E238" s="9" t="str">
        <f t="shared" si="2"/>
        <v>data:image/svg+xml,%3csvg xmlns='http://www.w3.org/2000/svg' viewBox='0 0 24 216'%3e%3ctext fill='%23fff' style='font: 900 16px sans-serif' text-anchor='end' transform='matrix(0 -1 1 0 18 5)'%3eBoats%3c/text%3e%3c/svg%3e</v>
      </c>
      <c r="F238" s="14" t="str">
        <f t="shared" si="3"/>
        <v>https://svgtext.heliohost.us/cgi-bin/gen.perl?text=Boats</v>
      </c>
      <c r="G238" s="11" t="str">
        <f t="shared" si="4"/>
        <v>data:image/svg+xml,%3csvg xmlns='http://www.w3.org/2000/svg' viewBox='0 0 24 216'%3e%3ctext fill='%23fff' style='font: 900 16px sans-serif' text-anchor='end' transform='matrix(0 -1 1 0 18 5)'%3eBoats%3c/text%3e%3c/svg%3e</v>
      </c>
      <c r="H238" s="8" t="s">
        <v>84</v>
      </c>
      <c r="I238" s="8">
        <f t="shared" ref="I238:J238" si="239">len(B238)</f>
        <v>5</v>
      </c>
      <c r="J238" s="8">
        <f t="shared" si="239"/>
        <v>26</v>
      </c>
      <c r="K238" s="8" t="s">
        <v>2449</v>
      </c>
    </row>
    <row r="239">
      <c r="A239" s="7" t="b">
        <v>1</v>
      </c>
      <c r="B239" s="8" t="s">
        <v>2450</v>
      </c>
      <c r="C239" s="7" t="s">
        <v>2451</v>
      </c>
      <c r="D239" s="8" t="str">
        <f>Q&amp;$K239&amp;Q&amp;":{"&amp;Q&amp;$B$2&amp;Q&amp;":"&amp;Q&amp;$B239&amp;Q&amp;","&amp;Q&amp;$C$2&amp;Q&amp;":"&amp;Q&amp;$C239&amp;Q&amp;","&amp;Q&amp;"sets"&amp;Q&amp;":"&amp;Q&amp;substitute(SUBSTITUTE($H239,"[",""),"]","")&amp;Q&amp;"},"</f>
        <v>"z{rs":{"label":"Body &amp; Soul","extra":"Just tryin’ to keep it all together.","sets":"Expansion Set 4, Party Expansion 1"},</v>
      </c>
      <c r="E239" s="9" t="str">
        <f t="shared" si="2"/>
        <v>data:image/svg+xml,%3csvg xmlns='http://www.w3.org/2000/svg' viewBox='0 0 24 216'%3e%3ctext fill='%23fff' style='font: 900 16px sans-serif' text-anchor='end' transform='matrix(0 -1 1 0 18 5)'%3eBody %26amp%3B Soul%3c/text%3e%3c/svg%3e</v>
      </c>
      <c r="F239" s="14" t="str">
        <f t="shared" si="3"/>
        <v>https://svgtext.heliohost.us/cgi-bin/gen.perl?text=Body%20%26%20Soul</v>
      </c>
      <c r="G239" s="11" t="str">
        <f t="shared" si="4"/>
        <v>data:image/svg+xml,%3csvg xmlns='http://www.w3.org/2000/svg' viewBox='0 0 24 216'%3e%3ctext fill='%23fff' style='font: 900 16px sans-serif' text-anchor='end' transform='matrix(0 -1 1 0 18 5)'%3eBody %26amp%3B Soul%3c/text%3e%3c/svg%3e</v>
      </c>
      <c r="H239" s="8" t="s">
        <v>63</v>
      </c>
      <c r="I239" s="8">
        <f t="shared" ref="I239:J239" si="240">len(B239)</f>
        <v>11</v>
      </c>
      <c r="J239" s="8">
        <f t="shared" si="240"/>
        <v>36</v>
      </c>
      <c r="K239" s="8" t="s">
        <v>2452</v>
      </c>
    </row>
    <row r="240">
      <c r="A240" s="7" t="b">
        <v>0</v>
      </c>
      <c r="B240" s="8" t="s">
        <v>2453</v>
      </c>
      <c r="C240" s="8" t="s">
        <v>2454</v>
      </c>
      <c r="D240" s="8" t="str">
        <f>Q&amp;$K240&amp;Q&amp;":{"&amp;Q&amp;$B$2&amp;Q&amp;":"&amp;Q&amp;$B240&amp;Q&amp;","&amp;Q&amp;$C$2&amp;Q&amp;":"&amp;Q&amp;$C240&amp;Q&amp;","&amp;Q&amp;"sets"&amp;Q&amp;":"&amp;Q&amp;substitute(SUBSTITUTE($H240,"[",""),"]","")&amp;Q&amp;"},"</f>
        <v>"gcqw":{"label":"Body Odor","extra":"Over $1.6 billion is spent each year on antiperspirants in the United States. That stinks!","sets":"Expansion Set 2, Party Set"},</v>
      </c>
      <c r="E240" s="9" t="str">
        <f t="shared" si="2"/>
        <v>data:image/svg+xml,%3csvg xmlns='http://www.w3.org/2000/svg' viewBox='0 0 24 216'%3e%3ctext fill='%23fff' style='font: 900 16px sans-serif' text-anchor='end' transform='matrix(0 -1 1 0 18 5)'%3eBody Odor%3c/text%3e%3c/svg%3e</v>
      </c>
      <c r="F240" s="14" t="str">
        <f t="shared" si="3"/>
        <v>https://svgtext.heliohost.us/cgi-bin/gen.perl?text=Body%20Odor</v>
      </c>
      <c r="G240" s="11" t="str">
        <f t="shared" si="4"/>
        <v>data:image/svg+xml,%3csvg xmlns='http://www.w3.org/2000/svg' viewBox='0 0 24 216'%3e%3ctext fill='%23fff' style='font: 900 16px sans-serif' text-anchor='end' transform='matrix(0 -1 1 0 18 5)'%3eBody Odor%3c/text%3e%3c/svg%3e</v>
      </c>
      <c r="H240" s="8" t="s">
        <v>17</v>
      </c>
      <c r="I240" s="8">
        <f t="shared" ref="I240:J240" si="241">len(B240)</f>
        <v>9</v>
      </c>
      <c r="J240" s="8">
        <f t="shared" si="241"/>
        <v>90</v>
      </c>
      <c r="K240" s="8" t="s">
        <v>2455</v>
      </c>
    </row>
    <row r="241">
      <c r="A241" s="7" t="b">
        <v>0</v>
      </c>
      <c r="B241" s="8" t="s">
        <v>2456</v>
      </c>
      <c r="C241" s="8" t="s">
        <v>2457</v>
      </c>
      <c r="D241" s="8" t="str">
        <f>Q&amp;$K241&amp;Q&amp;":{"&amp;Q&amp;$B$2&amp;Q&amp;":"&amp;Q&amp;$B241&amp;Q&amp;","&amp;Q&amp;$C$2&amp;Q&amp;":"&amp;Q&amp;$C241&amp;Q&amp;","&amp;Q&amp;"sets"&amp;Q&amp;":"&amp;Q&amp;substitute(SUBSTITUTE($H241,"[",""),"]","")&amp;Q&amp;"},"</f>
        <v>"lumd":{"label":"Body Piercing","extra":"YOU STUCK WHAT? WHERE?","sets":"Expansion Set 2, Party Set"},</v>
      </c>
      <c r="E241" s="9" t="str">
        <f t="shared" si="2"/>
        <v>data:image/svg+xml,%3csvg xmlns='http://www.w3.org/2000/svg' viewBox='0 0 24 216'%3e%3ctext fill='%23fff' style='font: 900 16px sans-serif' text-anchor='end' transform='matrix(0 -1 1 0 18 5)'%3eBody Piercing%3c/text%3e%3c/svg%3e</v>
      </c>
      <c r="F241" s="14" t="str">
        <f t="shared" si="3"/>
        <v>https://svgtext.heliohost.us/cgi-bin/gen.perl?text=Body%20Piercing</v>
      </c>
      <c r="G241" s="11" t="str">
        <f t="shared" si="4"/>
        <v>data:image/svg+xml,%3csvg xmlns='http://www.w3.org/2000/svg' viewBox='0 0 24 216'%3e%3ctext fill='%23fff' style='font: 900 16px sans-serif' text-anchor='end' transform='matrix(0 -1 1 0 18 5)'%3eBody Piercing%3c/text%3e%3c/svg%3e</v>
      </c>
      <c r="H241" s="8" t="s">
        <v>17</v>
      </c>
      <c r="I241" s="8">
        <f t="shared" ref="I241:J241" si="242">len(B241)</f>
        <v>13</v>
      </c>
      <c r="J241" s="8">
        <f t="shared" si="242"/>
        <v>22</v>
      </c>
      <c r="K241" s="8" t="s">
        <v>2458</v>
      </c>
    </row>
    <row r="242">
      <c r="A242" s="7" t="b">
        <v>1</v>
      </c>
      <c r="B242" s="8" t="s">
        <v>2459</v>
      </c>
      <c r="C242" s="7" t="s">
        <v>2460</v>
      </c>
      <c r="D242" s="8" t="str">
        <f>Q&amp;$K242&amp;Q&amp;":{"&amp;Q&amp;$B$2&amp;Q&amp;":"&amp;Q&amp;$B242&amp;Q&amp;","&amp;Q&amp;$C$2&amp;Q&amp;":"&amp;Q&amp;$C242&amp;Q&amp;","&amp;Q&amp;"sets"&amp;Q&amp;":"&amp;Q&amp;substitute(SUBSTITUTE($H242,"[",""),"]","")&amp;Q&amp;"},"</f>
        <v>"orbl":{"label":"Body Snatchers","extra":"We’d be worried, but nobody would want to snatch OUR bodies…","sets":"Expansion Set 3, Party Expansion 1"},</v>
      </c>
      <c r="E242" s="9" t="str">
        <f t="shared" si="2"/>
        <v>data:image/svg+xml,%3csvg xmlns='http://www.w3.org/2000/svg' viewBox='0 0 24 216'%3e%3ctext fill='%23fff' style='font: 900 16px sans-serif' text-anchor='end' transform='matrix(0 -1 1 0 18 5)'%3eBody Snatchers%3c/text%3e%3c/svg%3e</v>
      </c>
      <c r="F242" s="14" t="str">
        <f t="shared" si="3"/>
        <v>https://svgtext.heliohost.us/cgi-bin/gen.perl?text=Body%20Snatchers</v>
      </c>
      <c r="G242" s="11" t="str">
        <f t="shared" si="4"/>
        <v>data:image/svg+xml,%3csvg xmlns='http://www.w3.org/2000/svg' viewBox='0 0 24 216'%3e%3ctext fill='%23fff' style='font: 900 16px sans-serif' text-anchor='end' transform='matrix(0 -1 1 0 18 5)'%3eBody Snatchers%3c/text%3e%3c/svg%3e</v>
      </c>
      <c r="H242" s="8" t="s">
        <v>39</v>
      </c>
      <c r="I242" s="8">
        <f t="shared" ref="I242:J242" si="243">len(B242)</f>
        <v>14</v>
      </c>
      <c r="J242" s="8">
        <f t="shared" si="243"/>
        <v>60</v>
      </c>
      <c r="K242" s="8" t="s">
        <v>2461</v>
      </c>
    </row>
    <row r="243">
      <c r="A243" s="7" t="b">
        <v>0</v>
      </c>
      <c r="B243" s="8" t="s">
        <v>2462</v>
      </c>
      <c r="C243" s="7" t="s">
        <v>2463</v>
      </c>
      <c r="D243" s="8" t="str">
        <f>Q&amp;$K243&amp;Q&amp;":{"&amp;Q&amp;$B$2&amp;Q&amp;":"&amp;Q&amp;$B243&amp;Q&amp;","&amp;Q&amp;$C$2&amp;Q&amp;":"&amp;Q&amp;$C243&amp;Q&amp;","&amp;Q&amp;"sets"&amp;Q&amp;":"&amp;Q&amp;substitute(SUBSTITUTE($H243,"[",""),"]","")&amp;Q&amp;"},"</f>
        <v>"sdrd":{"label":"Body Surfing","extra":"When you’re too cheap to buy a surfboard.","sets":"Basic Set, Party Set"},</v>
      </c>
      <c r="E243" s="9" t="str">
        <f t="shared" si="2"/>
        <v>data:image/svg+xml,%3csvg xmlns='http://www.w3.org/2000/svg' viewBox='0 0 24 216'%3e%3ctext fill='%23fff' style='font: 900 16px sans-serif' text-anchor='end' transform='matrix(0 -1 1 0 18 5)'%3eBody Surfing%3c/text%3e%3c/svg%3e</v>
      </c>
      <c r="F243" s="14" t="str">
        <f t="shared" si="3"/>
        <v>https://svgtext.heliohost.us/cgi-bin/gen.perl?text=Body%20Surfing</v>
      </c>
      <c r="G243" s="11" t="str">
        <f t="shared" si="4"/>
        <v>data:image/svg+xml,%3csvg xmlns='http://www.w3.org/2000/svg' viewBox='0 0 24 216'%3e%3ctext fill='%23fff' style='font: 900 16px sans-serif' text-anchor='end' transform='matrix(0 -1 1 0 18 5)'%3eBody Surfing%3c/text%3e%3c/svg%3e</v>
      </c>
      <c r="H243" s="8" t="s">
        <v>29</v>
      </c>
      <c r="I243" s="8">
        <f t="shared" ref="I243:J243" si="244">len(B243)</f>
        <v>12</v>
      </c>
      <c r="J243" s="8">
        <f t="shared" si="244"/>
        <v>41</v>
      </c>
      <c r="K243" s="8" t="s">
        <v>2464</v>
      </c>
    </row>
    <row r="244">
      <c r="A244" s="7" t="b">
        <v>1</v>
      </c>
      <c r="B244" s="8" t="s">
        <v>2465</v>
      </c>
      <c r="C244" s="7" t="s">
        <v>2466</v>
      </c>
      <c r="D244" s="8" t="str">
        <f>Q&amp;$K244&amp;Q&amp;":{"&amp;Q&amp;$B$2&amp;Q&amp;":"&amp;Q&amp;$B244&amp;Q&amp;","&amp;Q&amp;$C$2&amp;Q&amp;":"&amp;Q&amp;$C244&amp;Q&amp;","&amp;Q&amp;"sets"&amp;Q&amp;":"&amp;Q&amp;substitute(SUBSTITUTE($H244,"[",""),"]","")&amp;Q&amp;"},"</f>
        <v>"bdxb":{"label":"Bodybuilders","extra":"If you build it they will come.","sets":"Expansion Set 3, Party Expansion 1"},</v>
      </c>
      <c r="E244" s="9" t="str">
        <f t="shared" si="2"/>
        <v>data:image/svg+xml,%3csvg xmlns='http://www.w3.org/2000/svg' viewBox='0 0 24 216'%3e%3ctext fill='%23fff' style='font: 900 16px sans-serif' text-anchor='end' transform='matrix(0 -1 1 0 18 5)'%3eBodybuilders%3c/text%3e%3c/svg%3e</v>
      </c>
      <c r="F244" s="14" t="str">
        <f t="shared" si="3"/>
        <v>https://svgtext.heliohost.us/cgi-bin/gen.perl?text=Bodybuilders</v>
      </c>
      <c r="G244" s="11" t="str">
        <f t="shared" si="4"/>
        <v>data:image/svg+xml,%3csvg xmlns='http://www.w3.org/2000/svg' viewBox='0 0 24 216'%3e%3ctext fill='%23fff' style='font: 900 16px sans-serif' text-anchor='end' transform='matrix(0 -1 1 0 18 5)'%3eBodybuilders%3c/text%3e%3c/svg%3e</v>
      </c>
      <c r="H244" s="8" t="s">
        <v>39</v>
      </c>
      <c r="I244" s="8">
        <f t="shared" ref="I244:J244" si="245">len(B244)</f>
        <v>12</v>
      </c>
      <c r="J244" s="8">
        <f t="shared" si="245"/>
        <v>31</v>
      </c>
      <c r="K244" s="8" t="s">
        <v>2467</v>
      </c>
    </row>
    <row r="245">
      <c r="A245" s="7" t="b">
        <v>0</v>
      </c>
      <c r="B245" s="8" t="s">
        <v>2468</v>
      </c>
      <c r="C245" s="7" t="s">
        <v>2469</v>
      </c>
      <c r="D245" s="8" t="str">
        <f>Q&amp;$K245&amp;Q&amp;":{"&amp;Q&amp;$B$2&amp;Q&amp;":"&amp;Q&amp;$B245&amp;Q&amp;","&amp;Q&amp;$C$2&amp;Q&amp;":"&amp;Q&amp;$C245&amp;Q&amp;","&amp;Q&amp;"sets"&amp;Q&amp;":"&amp;Q&amp;substitute(SUBSTITUTE($H245,"[",""),"]","")&amp;Q&amp;"},"</f>
        <v>"nxqp":{"label":"Bonbons","extra":"Sweets for the sweet…","sets":"Basic Set, Party Set"},</v>
      </c>
      <c r="E245" s="9" t="str">
        <f t="shared" si="2"/>
        <v>data:image/svg+xml,%3csvg xmlns='http://www.w3.org/2000/svg' viewBox='0 0 24 216'%3e%3ctext fill='%23fff' style='font: 900 16px sans-serif' text-anchor='end' transform='matrix(0 -1 1 0 18 5)'%3eBonbons%3c/text%3e%3c/svg%3e</v>
      </c>
      <c r="F245" s="14" t="str">
        <f t="shared" si="3"/>
        <v>https://svgtext.heliohost.us/cgi-bin/gen.perl?text=Bonbons</v>
      </c>
      <c r="G245" s="11" t="str">
        <f t="shared" si="4"/>
        <v>data:image/svg+xml,%3csvg xmlns='http://www.w3.org/2000/svg' viewBox='0 0 24 216'%3e%3ctext fill='%23fff' style='font: 900 16px sans-serif' text-anchor='end' transform='matrix(0 -1 1 0 18 5)'%3eBonbons%3c/text%3e%3c/svg%3e</v>
      </c>
      <c r="H245" s="8" t="s">
        <v>29</v>
      </c>
      <c r="I245" s="8">
        <f t="shared" ref="I245:J245" si="246">len(B245)</f>
        <v>7</v>
      </c>
      <c r="J245" s="8">
        <f t="shared" si="246"/>
        <v>21</v>
      </c>
      <c r="K245" s="8" t="s">
        <v>2470</v>
      </c>
    </row>
    <row r="246">
      <c r="A246" s="7" t="b">
        <v>0</v>
      </c>
      <c r="B246" s="8" t="s">
        <v>2471</v>
      </c>
      <c r="C246" s="8" t="s">
        <v>2472</v>
      </c>
      <c r="D246" s="8" t="str">
        <f>Q&amp;$K246&amp;Q&amp;":{"&amp;Q&amp;$B$2&amp;Q&amp;":"&amp;Q&amp;$B246&amp;Q&amp;","&amp;Q&amp;$C$2&amp;Q&amp;":"&amp;Q&amp;$C246&amp;Q&amp;","&amp;Q&amp;"sets"&amp;Q&amp;":"&amp;Q&amp;substitute(SUBSTITUTE($H246,"[",""),"]","")&amp;Q&amp;"},"</f>
        <v>"{moc":{"label":"Bongos","extra":"Small drums played with the fingers. Used in Latin American and African music. The choice of American beat poets.","sets":"Expansion Set 1, Party Set"},</v>
      </c>
      <c r="E246" s="9" t="str">
        <f t="shared" si="2"/>
        <v>data:image/svg+xml,%3csvg xmlns='http://www.w3.org/2000/svg' viewBox='0 0 24 216'%3e%3ctext fill='%23fff' style='font: 900 16px sans-serif' text-anchor='end' transform='matrix(0 -1 1 0 18 5)'%3eBongos%3c/text%3e%3c/svg%3e</v>
      </c>
      <c r="F246" s="14" t="str">
        <f t="shared" si="3"/>
        <v>https://svgtext.heliohost.us/cgi-bin/gen.perl?text=Bongos</v>
      </c>
      <c r="G246" s="11" t="str">
        <f t="shared" si="4"/>
        <v>data:image/svg+xml,%3csvg xmlns='http://www.w3.org/2000/svg' viewBox='0 0 24 216'%3e%3ctext fill='%23fff' style='font: 900 16px sans-serif' text-anchor='end' transform='matrix(0 -1 1 0 18 5)'%3eBongos%3c/text%3e%3c/svg%3e</v>
      </c>
      <c r="H246" s="8" t="s">
        <v>25</v>
      </c>
      <c r="I246" s="8">
        <f t="shared" ref="I246:J246" si="247">len(B246)</f>
        <v>6</v>
      </c>
      <c r="J246" s="8">
        <f t="shared" si="247"/>
        <v>113</v>
      </c>
      <c r="K246" s="8" t="s">
        <v>2473</v>
      </c>
    </row>
    <row r="247">
      <c r="A247" s="7" t="b">
        <v>0</v>
      </c>
      <c r="B247" s="8" t="s">
        <v>2474</v>
      </c>
      <c r="C247" s="8" t="s">
        <v>2475</v>
      </c>
      <c r="D247" s="8" t="str">
        <f>Q&amp;$K247&amp;Q&amp;":{"&amp;Q&amp;$B$2&amp;Q&amp;":"&amp;Q&amp;$B247&amp;Q&amp;","&amp;Q&amp;$C$2&amp;Q&amp;":"&amp;Q&amp;$C247&amp;Q&amp;","&amp;Q&amp;"sets"&amp;Q&amp;":"&amp;Q&amp;substitute(SUBSTITUTE($H247,"[",""),"]","")&amp;Q&amp;"},"</f>
        <v>"ywzs":{"label":"Bonnie &amp; Clyde","extra":"American outlaws of the 1920s, played by Faye Dunaway and Warren Beatty in the 1967 film.","sets":"Expansion Set 4, Party Expansion 1"},</v>
      </c>
      <c r="E247" s="9" t="str">
        <f t="shared" si="2"/>
        <v>data:image/svg+xml,%3csvg xmlns='http://www.w3.org/2000/svg' viewBox='0 0 24 216'%3e%3ctext fill='%23fff' style='font: 900 16px sans-serif' text-anchor='end' transform='matrix(0 -1 1 0 18 5)'%3eBonnie %26amp%3B Clyde%3c/text%3e%3c/svg%3e</v>
      </c>
      <c r="F247" s="14" t="str">
        <f t="shared" si="3"/>
        <v>https://svgtext.heliohost.us/cgi-bin/gen.perl?text=Bonnie%20%26%20Clyde</v>
      </c>
      <c r="G247" s="11" t="str">
        <f t="shared" si="4"/>
        <v>data:image/svg+xml,%3csvg xmlns='http://www.w3.org/2000/svg' viewBox='0 0 24 216'%3e%3ctext fill='%23fff' style='font: 900 16px sans-serif' text-anchor='end' transform='matrix(0 -1 1 0 18 5)'%3eBonnie %26amp%3B Clyde%3c/text%3e%3c/svg%3e</v>
      </c>
      <c r="H247" s="8" t="s">
        <v>63</v>
      </c>
      <c r="I247" s="8">
        <f t="shared" ref="I247:J247" si="248">len(B247)</f>
        <v>14</v>
      </c>
      <c r="J247" s="8">
        <f t="shared" si="248"/>
        <v>89</v>
      </c>
      <c r="K247" s="8" t="s">
        <v>2476</v>
      </c>
    </row>
    <row r="248">
      <c r="A248" s="7" t="b">
        <v>1</v>
      </c>
      <c r="B248" s="8" t="s">
        <v>2477</v>
      </c>
      <c r="C248" s="8" t="s">
        <v>2478</v>
      </c>
      <c r="D248" s="8" t="str">
        <f>Q&amp;$K248&amp;Q&amp;":{"&amp;Q&amp;$B$2&amp;Q&amp;":"&amp;Q&amp;$B248&amp;Q&amp;","&amp;Q&amp;$C$2&amp;Q&amp;":"&amp;Q&amp;$C248&amp;Q&amp;","&amp;Q&amp;"sets"&amp;Q&amp;":"&amp;Q&amp;substitute(SUBSTITUTE($H248,"[",""),"]","")&amp;Q&amp;"},"</f>
        <v>"kgwh":{"label":"Bora Bora","extra":"Volcanic island in the Pacific. Good oranges and vanilla.","sets":"Expansion Set 3, Party Expansion 1"},</v>
      </c>
      <c r="E248" s="9" t="str">
        <f t="shared" si="2"/>
        <v>data:image/svg+xml,%3csvg xmlns='http://www.w3.org/2000/svg' viewBox='0 0 24 216'%3e%3ctext fill='%23fff' style='font: 900 16px sans-serif' text-anchor='end' transform='matrix(0 -1 1 0 18 5)'%3eBora Bora%3c/text%3e%3c/svg%3e</v>
      </c>
      <c r="F248" s="14" t="str">
        <f t="shared" si="3"/>
        <v>https://svgtext.heliohost.us/cgi-bin/gen.perl?text=Bora%20Bora</v>
      </c>
      <c r="G248" s="11" t="str">
        <f t="shared" si="4"/>
        <v>data:image/svg+xml,%3csvg xmlns='http://www.w3.org/2000/svg' viewBox='0 0 24 216'%3e%3ctext fill='%23fff' style='font: 900 16px sans-serif' text-anchor='end' transform='matrix(0 -1 1 0 18 5)'%3eBora Bora%3c/text%3e%3c/svg%3e</v>
      </c>
      <c r="H248" s="8" t="s">
        <v>39</v>
      </c>
      <c r="I248" s="8">
        <f t="shared" ref="I248:J248" si="249">len(B248)</f>
        <v>9</v>
      </c>
      <c r="J248" s="8">
        <f t="shared" si="249"/>
        <v>57</v>
      </c>
      <c r="K248" s="8" t="s">
        <v>2479</v>
      </c>
    </row>
    <row r="249">
      <c r="A249" s="7" t="b">
        <v>0</v>
      </c>
      <c r="B249" s="8" t="s">
        <v>2480</v>
      </c>
      <c r="C249" s="8" t="s">
        <v>2481</v>
      </c>
      <c r="D249" s="8" t="str">
        <f>Q&amp;$K249&amp;Q&amp;":{"&amp;Q&amp;$B$2&amp;Q&amp;":"&amp;Q&amp;$B249&amp;Q&amp;","&amp;Q&amp;$C$2&amp;Q&amp;":"&amp;Q&amp;$C249&amp;Q&amp;","&amp;Q&amp;"sets"&amp;Q&amp;":"&amp;Q&amp;substitute(SUBSTITUTE($H249,"[",""),"]","")&amp;Q&amp;"},"</f>
        <v>"vqdi":{"label":"Bottled Water","extra":"How much are you willing to pay for something you can get for free?","sets":"Expansion Set 2, Party Set"},</v>
      </c>
      <c r="E249" s="9" t="str">
        <f t="shared" si="2"/>
        <v>data:image/svg+xml,%3csvg xmlns='http://www.w3.org/2000/svg' viewBox='0 0 24 216'%3e%3ctext fill='%23fff' style='font: 900 16px sans-serif' text-anchor='end' transform='matrix(0 -1 1 0 18 5)'%3eBottled Water%3c/text%3e%3c/svg%3e</v>
      </c>
      <c r="F249" s="14" t="str">
        <f t="shared" si="3"/>
        <v>https://svgtext.heliohost.us/cgi-bin/gen.perl?text=Bottled%20Water</v>
      </c>
      <c r="G249" s="11" t="str">
        <f t="shared" si="4"/>
        <v>data:image/svg+xml,%3csvg xmlns='http://www.w3.org/2000/svg' viewBox='0 0 24 216'%3e%3ctext fill='%23fff' style='font: 900 16px sans-serif' text-anchor='end' transform='matrix(0 -1 1 0 18 5)'%3eBottled Water%3c/text%3e%3c/svg%3e</v>
      </c>
      <c r="H249" s="8" t="s">
        <v>17</v>
      </c>
      <c r="I249" s="8">
        <f t="shared" ref="I249:J249" si="250">len(B249)</f>
        <v>13</v>
      </c>
      <c r="J249" s="8">
        <f t="shared" si="250"/>
        <v>67</v>
      </c>
      <c r="K249" s="8" t="s">
        <v>2482</v>
      </c>
    </row>
    <row r="250">
      <c r="A250" s="7" t="b">
        <v>1</v>
      </c>
      <c r="B250" s="8" t="s">
        <v>2483</v>
      </c>
      <c r="C250" s="8" t="s">
        <v>2484</v>
      </c>
      <c r="D250" s="8" t="str">
        <f>Q&amp;$K250&amp;Q&amp;":{"&amp;Q&amp;$B$2&amp;Q&amp;":"&amp;Q&amp;$B250&amp;Q&amp;","&amp;Q&amp;$C$2&amp;Q&amp;":"&amp;Q&amp;$C250&amp;Q&amp;","&amp;Q&amp;"sets"&amp;Q&amp;":"&amp;Q&amp;substitute(SUBSTITUTE($H250,"[",""),"]","")&amp;Q&amp;"},"</f>
        <v>"tcfo":{"label":"Bow &amp; Arrows","extra":"More effective than sticks and stones.","sets":"Expansion Set 4, Party Expansion 1"},</v>
      </c>
      <c r="E250" s="9" t="str">
        <f t="shared" si="2"/>
        <v>data:image/svg+xml,%3csvg xmlns='http://www.w3.org/2000/svg' viewBox='0 0 24 216'%3e%3ctext fill='%23fff' style='font: 900 16px sans-serif' text-anchor='end' transform='matrix(0 -1 1 0 18 5)'%3eBow %26amp%3B Arrows%3c/text%3e%3c/svg%3e</v>
      </c>
      <c r="F250" s="14" t="str">
        <f t="shared" si="3"/>
        <v>https://svgtext.heliohost.us/cgi-bin/gen.perl?text=Bow%20%26%20Arrows</v>
      </c>
      <c r="G250" s="11" t="str">
        <f t="shared" si="4"/>
        <v>data:image/svg+xml,%3csvg xmlns='http://www.w3.org/2000/svg' viewBox='0 0 24 216'%3e%3ctext fill='%23fff' style='font: 900 16px sans-serif' text-anchor='end' transform='matrix(0 -1 1 0 18 5)'%3eBow %26amp%3B Arrows%3c/text%3e%3c/svg%3e</v>
      </c>
      <c r="H250" s="8" t="s">
        <v>63</v>
      </c>
      <c r="I250" s="8">
        <f t="shared" ref="I250:J250" si="251">len(B250)</f>
        <v>12</v>
      </c>
      <c r="J250" s="8">
        <f t="shared" si="251"/>
        <v>38</v>
      </c>
      <c r="K250" s="8" t="s">
        <v>2485</v>
      </c>
    </row>
    <row r="251">
      <c r="A251" s="7" t="b">
        <v>1</v>
      </c>
      <c r="B251" s="8" t="s">
        <v>2486</v>
      </c>
      <c r="C251" s="8" t="s">
        <v>2487</v>
      </c>
      <c r="D251" s="8" t="str">
        <f>Q&amp;$K251&amp;Q&amp;":{"&amp;Q&amp;$B$2&amp;Q&amp;":"&amp;Q&amp;$B251&amp;Q&amp;","&amp;Q&amp;$C$2&amp;Q&amp;":"&amp;Q&amp;$C251&amp;Q&amp;","&amp;Q&amp;"sets"&amp;Q&amp;":"&amp;Q&amp;substitute(SUBSTITUTE($H251,"[",""),"]","")&amp;Q&amp;"},"</f>
        <v>"ckim":{"label":"Bowling","extra":"A game played by rolling a heavy ball so that it knocks down wooden pins. A perfect score is 300.","sets":"Junior 9+ (1st) &amp; (2nd)"},</v>
      </c>
      <c r="E251" s="9" t="str">
        <f t="shared" si="2"/>
        <v>data:image/svg+xml,%3csvg xmlns='http://www.w3.org/2000/svg' viewBox='0 0 24 216'%3e%3ctext fill='%23fff' style='font: 900 16px sans-serif' text-anchor='end' transform='matrix(0 -1 1 0 18 5)'%3eBowling%3c/text%3e%3c/svg%3e</v>
      </c>
      <c r="F251" s="14" t="str">
        <f t="shared" si="3"/>
        <v>https://svgtext.heliohost.us/cgi-bin/gen.perl?text=Bowling</v>
      </c>
      <c r="G251" s="11" t="str">
        <f t="shared" si="4"/>
        <v>data:image/svg+xml,%3csvg xmlns='http://www.w3.org/2000/svg' viewBox='0 0 24 216'%3e%3ctext fill='%23fff' style='font: 900 16px sans-serif' text-anchor='end' transform='matrix(0 -1 1 0 18 5)'%3eBowling%3c/text%3e%3c/svg%3e</v>
      </c>
      <c r="H251" s="8" t="s">
        <v>42</v>
      </c>
      <c r="I251" s="8">
        <f t="shared" ref="I251:J251" si="252">len(B251)</f>
        <v>7</v>
      </c>
      <c r="J251" s="8">
        <f t="shared" si="252"/>
        <v>97</v>
      </c>
      <c r="K251" s="8" t="s">
        <v>2488</v>
      </c>
    </row>
    <row r="252">
      <c r="A252" s="7" t="b">
        <v>1</v>
      </c>
      <c r="B252" s="8" t="s">
        <v>2486</v>
      </c>
      <c r="C252" s="7" t="s">
        <v>2489</v>
      </c>
      <c r="D252" s="8" t="str">
        <f>Q&amp;$K252&amp;Q&amp;":{"&amp;Q&amp;$B$2&amp;Q&amp;":"&amp;Q&amp;$B252&amp;Q&amp;","&amp;Q&amp;$C$2&amp;Q&amp;":"&amp;Q&amp;$C252&amp;Q&amp;","&amp;Q&amp;"sets"&amp;Q&amp;":"&amp;Q&amp;substitute(SUBSTITUTE($H252,"[",""),"]","")&amp;Q&amp;"},"</f>
        <v>"cjib":{"label":"Bowling","extra":"Three strikes and you’re in.","sets":"Expansion Set 3, Party Expansion 1"},</v>
      </c>
      <c r="E252" s="9" t="str">
        <f t="shared" si="2"/>
        <v>data:image/svg+xml,%3csvg xmlns='http://www.w3.org/2000/svg' viewBox='0 0 24 216'%3e%3ctext fill='%23fff' style='font: 900 16px sans-serif' text-anchor='end' transform='matrix(0 -1 1 0 18 5)'%3eBowling%3c/text%3e%3c/svg%3e</v>
      </c>
      <c r="F252" s="14" t="str">
        <f t="shared" si="3"/>
        <v>https://svgtext.heliohost.us/cgi-bin/gen.perl?text=Bowling</v>
      </c>
      <c r="G252" s="11" t="str">
        <f t="shared" si="4"/>
        <v>data:image/svg+xml,%3csvg xmlns='http://www.w3.org/2000/svg' viewBox='0 0 24 216'%3e%3ctext fill='%23fff' style='font: 900 16px sans-serif' text-anchor='end' transform='matrix(0 -1 1 0 18 5)'%3eBowling%3c/text%3e%3c/svg%3e</v>
      </c>
      <c r="H252" s="8" t="s">
        <v>39</v>
      </c>
      <c r="I252" s="8">
        <f t="shared" ref="I252:J252" si="253">len(B252)</f>
        <v>7</v>
      </c>
      <c r="J252" s="8">
        <f t="shared" si="253"/>
        <v>28</v>
      </c>
      <c r="K252" s="8" t="s">
        <v>2490</v>
      </c>
    </row>
    <row r="253">
      <c r="A253" s="7" t="b">
        <v>0</v>
      </c>
      <c r="B253" s="8" t="s">
        <v>2491</v>
      </c>
      <c r="C253" s="7" t="s">
        <v>2492</v>
      </c>
      <c r="D253" s="8" t="str">
        <f>Q&amp;$K253&amp;Q&amp;":{"&amp;Q&amp;$B$2&amp;Q&amp;":"&amp;Q&amp;$B253&amp;Q&amp;","&amp;Q&amp;$C$2&amp;Q&amp;":"&amp;Q&amp;$C253&amp;Q&amp;","&amp;Q&amp;"sets"&amp;Q&amp;":"&amp;Q&amp;substitute(SUBSTITUTE($H253,"[",""),"]","")&amp;Q&amp;"},"</f>
        <v>"uqqy":{"label":"Boxing","extra":"An ancient and honorable sport not just for boys anymore…","sets":"Expansion Set 2, Party Set"},</v>
      </c>
      <c r="E253" s="9" t="str">
        <f t="shared" si="2"/>
        <v>data:image/svg+xml,%3csvg xmlns='http://www.w3.org/2000/svg' viewBox='0 0 24 216'%3e%3ctext fill='%23fff' style='font: 900 16px sans-serif' text-anchor='end' transform='matrix(0 -1 1 0 18 5)'%3eBoxing%3c/text%3e%3c/svg%3e</v>
      </c>
      <c r="F253" s="14" t="str">
        <f t="shared" si="3"/>
        <v>https://svgtext.heliohost.us/cgi-bin/gen.perl?text=Boxing</v>
      </c>
      <c r="G253" s="11" t="str">
        <f t="shared" si="4"/>
        <v>data:image/svg+xml,%3csvg xmlns='http://www.w3.org/2000/svg' viewBox='0 0 24 216'%3e%3ctext fill='%23fff' style='font: 900 16px sans-serif' text-anchor='end' transform='matrix(0 -1 1 0 18 5)'%3eBoxing%3c/text%3e%3c/svg%3e</v>
      </c>
      <c r="H253" s="8" t="s">
        <v>17</v>
      </c>
      <c r="I253" s="8">
        <f t="shared" ref="I253:J253" si="254">len(B253)</f>
        <v>6</v>
      </c>
      <c r="J253" s="8">
        <f t="shared" si="254"/>
        <v>57</v>
      </c>
      <c r="K253" s="8" t="s">
        <v>2493</v>
      </c>
    </row>
    <row r="254">
      <c r="A254" s="7" t="b">
        <v>0</v>
      </c>
      <c r="B254" s="8" t="s">
        <v>2494</v>
      </c>
      <c r="C254" s="8" t="s">
        <v>2495</v>
      </c>
      <c r="D254" s="8" t="str">
        <f>Q&amp;$K254&amp;Q&amp;":{"&amp;Q&amp;$B$2&amp;Q&amp;":"&amp;Q&amp;$B254&amp;Q&amp;","&amp;Q&amp;$C$2&amp;Q&amp;":"&amp;Q&amp;$C254&amp;Q&amp;","&amp;Q&amp;"sets"&amp;Q&amp;":"&amp;Q&amp;substitute(SUBSTITUTE($H254,"[",""),"]","")&amp;Q&amp;"},"</f>
        <v>"ktyh":{"label":"Boy Scouts","extra":"International organization for boys and young men founded in England in 1908, to foster character, citizenship and outdoor life.","sets":"Expansion Set 2, Party Set"},</v>
      </c>
      <c r="E254" s="9" t="str">
        <f t="shared" si="2"/>
        <v>data:image/svg+xml,%3csvg xmlns='http://www.w3.org/2000/svg' viewBox='0 0 24 216'%3e%3ctext fill='%23fff' style='font: 900 16px sans-serif' text-anchor='end' transform='matrix(0 -1 1 0 18 5)'%3eBoy Scouts%3c/text%3e%3c/svg%3e</v>
      </c>
      <c r="F254" s="14" t="str">
        <f t="shared" si="3"/>
        <v>https://svgtext.heliohost.us/cgi-bin/gen.perl?text=Boy%20Scouts</v>
      </c>
      <c r="G254" s="11" t="str">
        <f t="shared" si="4"/>
        <v>data:image/svg+xml,%3csvg xmlns='http://www.w3.org/2000/svg' viewBox='0 0 24 216'%3e%3ctext fill='%23fff' style='font: 900 16px sans-serif' text-anchor='end' transform='matrix(0 -1 1 0 18 5)'%3eBoy Scouts%3c/text%3e%3c/svg%3e</v>
      </c>
      <c r="H254" s="8" t="s">
        <v>17</v>
      </c>
      <c r="I254" s="8">
        <f t="shared" ref="I254:J254" si="255">len(B254)</f>
        <v>10</v>
      </c>
      <c r="J254" s="8">
        <f t="shared" si="255"/>
        <v>128</v>
      </c>
      <c r="K254" s="8" t="s">
        <v>2496</v>
      </c>
    </row>
    <row r="255">
      <c r="A255" s="7" t="b">
        <v>1</v>
      </c>
      <c r="B255" s="8" t="s">
        <v>2494</v>
      </c>
      <c r="C255" s="7" t="s">
        <v>2497</v>
      </c>
      <c r="D255" s="8" t="str">
        <f>Q&amp;$K255&amp;Q&amp;":{"&amp;Q&amp;$B$2&amp;Q&amp;":"&amp;Q&amp;$B255&amp;Q&amp;","&amp;Q&amp;$C$2&amp;Q&amp;":"&amp;Q&amp;$C255&amp;Q&amp;","&amp;Q&amp;"sets"&amp;Q&amp;":"&amp;Q&amp;substitute(SUBSTITUTE($H255,"[",""),"]","")&amp;Q&amp;"},"</f>
        <v>"urzd":{"label":"Boy Scouts","extra":"On my honor, I will do my best… and learn to camp.","sets":"Junior 9+ (2nd)"},</v>
      </c>
      <c r="E255" s="9" t="str">
        <f t="shared" si="2"/>
        <v>data:image/svg+xml,%3csvg xmlns='http://www.w3.org/2000/svg' viewBox='0 0 24 216'%3e%3ctext fill='%23fff' style='font: 900 16px sans-serif' text-anchor='end' transform='matrix(0 -1 1 0 18 5)'%3eBoy Scouts%3c/text%3e%3c/svg%3e</v>
      </c>
      <c r="F255" s="14" t="str">
        <f t="shared" si="3"/>
        <v>https://svgtext.heliohost.us/cgi-bin/gen.perl?text=Boy%20Scouts</v>
      </c>
      <c r="G255" s="11" t="str">
        <f t="shared" si="4"/>
        <v>data:image/svg+xml,%3csvg xmlns='http://www.w3.org/2000/svg' viewBox='0 0 24 216'%3e%3ctext fill='%23fff' style='font: 900 16px sans-serif' text-anchor='end' transform='matrix(0 -1 1 0 18 5)'%3eBoy Scouts%3c/text%3e%3c/svg%3e</v>
      </c>
      <c r="H255" s="8" t="s">
        <v>32</v>
      </c>
      <c r="I255" s="8">
        <f t="shared" ref="I255:J255" si="256">len(B255)</f>
        <v>10</v>
      </c>
      <c r="J255" s="8">
        <f t="shared" si="256"/>
        <v>50</v>
      </c>
      <c r="K255" s="8" t="s">
        <v>2498</v>
      </c>
    </row>
    <row r="256">
      <c r="A256" s="7" t="b">
        <v>0</v>
      </c>
      <c r="B256" s="8" t="s">
        <v>2499</v>
      </c>
      <c r="C256" s="7" t="s">
        <v>2500</v>
      </c>
      <c r="D256" s="8" t="str">
        <f>Q&amp;$K256&amp;Q&amp;":{"&amp;Q&amp;$B$2&amp;Q&amp;":"&amp;Q&amp;$B256&amp;Q&amp;","&amp;Q&amp;$C$2&amp;Q&amp;":"&amp;Q&amp;$C256&amp;Q&amp;","&amp;Q&amp;"sets"&amp;Q&amp;":"&amp;Q&amp;substitute(SUBSTITUTE($H256,"[",""),"]","")&amp;Q&amp;"},"</f>
        <v>"xpcw":{"label":"Boyfriends","extra":"“My boyfriend’s back and you’re gonna be in trouble.” —The Angels","sets":"Expansion Set 2, Party Set"},</v>
      </c>
      <c r="E256" s="9" t="str">
        <f t="shared" si="2"/>
        <v>data:image/svg+xml,%3csvg xmlns='http://www.w3.org/2000/svg' viewBox='0 0 24 216'%3e%3ctext fill='%23fff' style='font: 900 16px sans-serif' text-anchor='end' transform='matrix(0 -1 1 0 18 5)'%3eBoyfriends%3c/text%3e%3c/svg%3e</v>
      </c>
      <c r="F256" s="14" t="str">
        <f t="shared" si="3"/>
        <v>https://svgtext.heliohost.us/cgi-bin/gen.perl?text=Boyfriends</v>
      </c>
      <c r="G256" s="11" t="str">
        <f t="shared" si="4"/>
        <v>data:image/svg+xml,%3csvg xmlns='http://www.w3.org/2000/svg' viewBox='0 0 24 216'%3e%3ctext fill='%23fff' style='font: 900 16px sans-serif' text-anchor='end' transform='matrix(0 -1 1 0 18 5)'%3eBoyfriends%3c/text%3e%3c/svg%3e</v>
      </c>
      <c r="H256" s="8" t="s">
        <v>17</v>
      </c>
      <c r="I256" s="8">
        <f t="shared" ref="I256:J256" si="257">len(B256)</f>
        <v>10</v>
      </c>
      <c r="J256" s="8">
        <f t="shared" si="257"/>
        <v>65</v>
      </c>
      <c r="K256" s="8" t="s">
        <v>2501</v>
      </c>
    </row>
    <row r="257">
      <c r="A257" s="7" t="b">
        <v>1</v>
      </c>
      <c r="B257" s="8" t="s">
        <v>2499</v>
      </c>
      <c r="C257" s="8" t="s">
        <v>2502</v>
      </c>
      <c r="D257" s="8" t="str">
        <f>Q&amp;$K257&amp;Q&amp;":{"&amp;Q&amp;$B$2&amp;Q&amp;":"&amp;Q&amp;$B257&amp;Q&amp;","&amp;Q&amp;$C$2&amp;Q&amp;":"&amp;Q&amp;$C257&amp;Q&amp;","&amp;Q&amp;"sets"&amp;Q&amp;":"&amp;Q&amp;substitute(SUBSTITUTE($H257,"[",""),"]","")&amp;Q&amp;"},"</f>
        <v>"ycqa":{"label":"Boyfriends","extra":"We're just friends!","sets":"Junior 9+ (2nd)"},</v>
      </c>
      <c r="E257" s="9" t="str">
        <f t="shared" si="2"/>
        <v>data:image/svg+xml,%3csvg xmlns='http://www.w3.org/2000/svg' viewBox='0 0 24 216'%3e%3ctext fill='%23fff' style='font: 900 16px sans-serif' text-anchor='end' transform='matrix(0 -1 1 0 18 5)'%3eBoyfriends%3c/text%3e%3c/svg%3e</v>
      </c>
      <c r="F257" s="14" t="str">
        <f t="shared" si="3"/>
        <v>https://svgtext.heliohost.us/cgi-bin/gen.perl?text=Boyfriends</v>
      </c>
      <c r="G257" s="11" t="str">
        <f t="shared" si="4"/>
        <v>data:image/svg+xml,%3csvg xmlns='http://www.w3.org/2000/svg' viewBox='0 0 24 216'%3e%3ctext fill='%23fff' style='font: 900 16px sans-serif' text-anchor='end' transform='matrix(0 -1 1 0 18 5)'%3eBoyfriends%3c/text%3e%3c/svg%3e</v>
      </c>
      <c r="H257" s="8" t="s">
        <v>32</v>
      </c>
      <c r="I257" s="8">
        <f t="shared" ref="I257:J257" si="258">len(B257)</f>
        <v>10</v>
      </c>
      <c r="J257" s="8">
        <f t="shared" si="258"/>
        <v>19</v>
      </c>
      <c r="K257" s="8" t="s">
        <v>2503</v>
      </c>
    </row>
    <row r="258">
      <c r="A258" s="7" t="b">
        <v>1</v>
      </c>
      <c r="B258" s="8" t="s">
        <v>2504</v>
      </c>
      <c r="C258" s="7" t="s">
        <v>2505</v>
      </c>
      <c r="D258" s="8" t="str">
        <f>Q&amp;$K258&amp;Q&amp;":{"&amp;Q&amp;$B$2&amp;Q&amp;":"&amp;Q&amp;$B258&amp;Q&amp;","&amp;Q&amp;$C$2&amp;Q&amp;":"&amp;Q&amp;$C258&amp;Q&amp;","&amp;Q&amp;"sets"&amp;Q&amp;":"&amp;Q&amp;substitute(SUBSTITUTE($H258,"[",""),"]","")&amp;Q&amp;"},"</f>
        <v>"wpij":{"label":"Boys","extra":"“Snips and snails and puppy dog tails.”","sets":"Junior"},</v>
      </c>
      <c r="E258" s="9" t="str">
        <f t="shared" si="2"/>
        <v>data:image/svg+xml,%3csvg xmlns='http://www.w3.org/2000/svg' viewBox='0 0 24 216'%3e%3ctext fill='%23fff' style='font: 900 16px sans-serif' text-anchor='end' transform='matrix(0 -1 1 0 18 5)'%3eBoys%3c/text%3e%3c/svg%3e</v>
      </c>
      <c r="F258" s="14" t="str">
        <f t="shared" si="3"/>
        <v>https://svgtext.heliohost.us/cgi-bin/gen.perl?text=Boys</v>
      </c>
      <c r="G258" s="11" t="str">
        <f t="shared" si="4"/>
        <v>data:image/svg+xml,%3csvg xmlns='http://www.w3.org/2000/svg' viewBox='0 0 24 216'%3e%3ctext fill='%23fff' style='font: 900 16px sans-serif' text-anchor='end' transform='matrix(0 -1 1 0 18 5)'%3eBoys%3c/text%3e%3c/svg%3e</v>
      </c>
      <c r="H258" s="8" t="s">
        <v>84</v>
      </c>
      <c r="I258" s="8">
        <f t="shared" ref="I258:J258" si="259">len(B258)</f>
        <v>4</v>
      </c>
      <c r="J258" s="8">
        <f t="shared" si="259"/>
        <v>39</v>
      </c>
      <c r="K258" s="8" t="s">
        <v>2506</v>
      </c>
    </row>
    <row r="259">
      <c r="A259" s="7" t="b">
        <v>1</v>
      </c>
      <c r="B259" s="8" t="s">
        <v>2507</v>
      </c>
      <c r="C259" s="8" t="s">
        <v>2508</v>
      </c>
      <c r="D259" s="8" t="str">
        <f>Q&amp;$K259&amp;Q&amp;":{"&amp;Q&amp;$B$2&amp;Q&amp;":"&amp;Q&amp;$B259&amp;Q&amp;","&amp;Q&amp;$C$2&amp;Q&amp;":"&amp;Q&amp;$C259&amp;Q&amp;","&amp;Q&amp;"sets"&amp;Q&amp;":"&amp;Q&amp;substitute(SUBSTITUTE($H259,"[",""),"]","")&amp;Q&amp;"},"</f>
        <v>"ixdx":{"label":"Braces","extra":"No more gum, no caramels, no corn on the cob.","sets":"Junior 9+ (1st) &amp; (2nd)"},</v>
      </c>
      <c r="E259" s="9" t="str">
        <f t="shared" si="2"/>
        <v>data:image/svg+xml,%3csvg xmlns='http://www.w3.org/2000/svg' viewBox='0 0 24 216'%3e%3ctext fill='%23fff' style='font: 900 16px sans-serif' text-anchor='end' transform='matrix(0 -1 1 0 18 5)'%3eBraces%3c/text%3e%3c/svg%3e</v>
      </c>
      <c r="F259" s="14" t="str">
        <f t="shared" si="3"/>
        <v>https://svgtext.heliohost.us/cgi-bin/gen.perl?text=Braces</v>
      </c>
      <c r="G259" s="11" t="str">
        <f t="shared" si="4"/>
        <v>data:image/svg+xml,%3csvg xmlns='http://www.w3.org/2000/svg' viewBox='0 0 24 216'%3e%3ctext fill='%23fff' style='font: 900 16px sans-serif' text-anchor='end' transform='matrix(0 -1 1 0 18 5)'%3eBraces%3c/text%3e%3c/svg%3e</v>
      </c>
      <c r="H259" s="8" t="s">
        <v>42</v>
      </c>
      <c r="I259" s="8">
        <f t="shared" ref="I259:J259" si="260">len(B259)</f>
        <v>6</v>
      </c>
      <c r="J259" s="8">
        <f t="shared" si="260"/>
        <v>45</v>
      </c>
      <c r="K259" s="8" t="s">
        <v>2509</v>
      </c>
    </row>
    <row r="260">
      <c r="A260" s="7" t="b">
        <v>0</v>
      </c>
      <c r="B260" s="8" t="s">
        <v>2510</v>
      </c>
      <c r="C260" s="8" t="s">
        <v>2511</v>
      </c>
      <c r="D260" s="8" t="str">
        <f>Q&amp;$K260&amp;Q&amp;":{"&amp;Q&amp;$B$2&amp;Q&amp;":"&amp;Q&amp;$B260&amp;Q&amp;","&amp;Q&amp;$C$2&amp;Q&amp;":"&amp;Q&amp;$C260&amp;Q&amp;","&amp;Q&amp;"sets"&amp;Q&amp;":"&amp;Q&amp;substitute(SUBSTITUTE($H260,"[",""),"]","")&amp;Q&amp;"},"</f>
        <v>"rwbx":{"label":"Brad Pitt","extra":"1963-, American actor and heart-throb.","sets":"Basic Set, Party Set"},</v>
      </c>
      <c r="E260" s="9" t="str">
        <f t="shared" si="2"/>
        <v>data:image/svg+xml,%3csvg xmlns='http://www.w3.org/2000/svg' viewBox='0 0 24 216'%3e%3ctext fill='%23fff' style='font: 900 16px sans-serif' text-anchor='end' transform='matrix(0 -1 1 0 18 5)'%3eBrad Pitt%3c/text%3e%3c/svg%3e</v>
      </c>
      <c r="F260" s="14" t="str">
        <f t="shared" si="3"/>
        <v>https://svgtext.heliohost.us/cgi-bin/gen.perl?text=Brad%20Pitt</v>
      </c>
      <c r="G260" s="11" t="str">
        <f t="shared" si="4"/>
        <v>data:image/svg+xml,%3csvg xmlns='http://www.w3.org/2000/svg' viewBox='0 0 24 216'%3e%3ctext fill='%23fff' style='font: 900 16px sans-serif' text-anchor='end' transform='matrix(0 -1 1 0 18 5)'%3eBrad Pitt%3c/text%3e%3c/svg%3e</v>
      </c>
      <c r="H260" s="8" t="s">
        <v>29</v>
      </c>
      <c r="I260" s="8">
        <f t="shared" ref="I260:J260" si="261">len(B260)</f>
        <v>9</v>
      </c>
      <c r="J260" s="8">
        <f t="shared" si="261"/>
        <v>38</v>
      </c>
      <c r="K260" s="8" t="s">
        <v>2512</v>
      </c>
    </row>
    <row r="261">
      <c r="A261" s="7" t="b">
        <v>0</v>
      </c>
      <c r="B261" s="8" t="s">
        <v>2513</v>
      </c>
      <c r="C261" s="7" t="s">
        <v>2514</v>
      </c>
      <c r="D261" s="8" t="str">
        <f>Q&amp;$K261&amp;Q&amp;":{"&amp;Q&amp;$B$2&amp;Q&amp;":"&amp;Q&amp;$B261&amp;Q&amp;","&amp;Q&amp;$C$2&amp;Q&amp;":"&amp;Q&amp;$C261&amp;Q&amp;","&amp;Q&amp;"sets"&amp;Q&amp;":"&amp;Q&amp;substitute(SUBSTITUTE($H261,"[",""),"]","")&amp;Q&amp;"},"</f>
        <v>"qeus":{"label":"Brain Surgeons","extra":"Hey, it ain’t brain surgery… oh… wait a second…","sets":"Expansion Set 1, Party Set"},</v>
      </c>
      <c r="E261" s="9" t="str">
        <f t="shared" si="2"/>
        <v>data:image/svg+xml,%3csvg xmlns='http://www.w3.org/2000/svg' viewBox='0 0 24 216'%3e%3ctext fill='%23fff' style='font: 900 16px sans-serif' text-anchor='end' transform='matrix(0 -1 1 0 18 5)'%3eBrain Surgeons%3c/text%3e%3c/svg%3e</v>
      </c>
      <c r="F261" s="14" t="str">
        <f t="shared" si="3"/>
        <v>https://svgtext.heliohost.us/cgi-bin/gen.perl?text=Brain%20Surgeons</v>
      </c>
      <c r="G261" s="11" t="str">
        <f t="shared" si="4"/>
        <v>data:image/svg+xml,%3csvg xmlns='http://www.w3.org/2000/svg' viewBox='0 0 24 216'%3e%3ctext fill='%23fff' style='font: 900 16px sans-serif' text-anchor='end' transform='matrix(0 -1 1 0 18 5)'%3eBrain Surgeons%3c/text%3e%3c/svg%3e</v>
      </c>
      <c r="H261" s="8" t="s">
        <v>25</v>
      </c>
      <c r="I261" s="8">
        <f t="shared" ref="I261:J261" si="262">len(B261)</f>
        <v>14</v>
      </c>
      <c r="J261" s="8">
        <f t="shared" si="262"/>
        <v>47</v>
      </c>
      <c r="K261" s="8" t="s">
        <v>2515</v>
      </c>
    </row>
    <row r="262">
      <c r="A262" s="7" t="b">
        <v>0</v>
      </c>
      <c r="B262" s="8" t="s">
        <v>2516</v>
      </c>
      <c r="C262" s="7" t="s">
        <v>2517</v>
      </c>
      <c r="D262" s="8" t="str">
        <f>Q&amp;$K262&amp;Q&amp;":{"&amp;Q&amp;$B$2&amp;Q&amp;":"&amp;Q&amp;$B262&amp;Q&amp;","&amp;Q&amp;$C$2&amp;Q&amp;":"&amp;Q&amp;$C262&amp;Q&amp;","&amp;Q&amp;"sets"&amp;Q&amp;":"&amp;Q&amp;substitute(SUBSTITUTE($H262,"[",""),"]","")&amp;Q&amp;"},"</f>
        <v>"vcnm":{"label":"Brains","extra":"Vital to human existence and mad scientists.","sets":"Expansion Set 2, Party Set"},</v>
      </c>
      <c r="E262" s="9" t="str">
        <f t="shared" si="2"/>
        <v>data:image/svg+xml,%3csvg xmlns='http://www.w3.org/2000/svg' viewBox='0 0 24 216'%3e%3ctext fill='%23fff' style='font: 900 16px sans-serif' text-anchor='end' transform='matrix(0 -1 1 0 18 5)'%3eBrains%3c/text%3e%3c/svg%3e</v>
      </c>
      <c r="F262" s="14" t="str">
        <f t="shared" si="3"/>
        <v>https://svgtext.heliohost.us/cgi-bin/gen.perl?text=Brains</v>
      </c>
      <c r="G262" s="11" t="str">
        <f t="shared" si="4"/>
        <v>data:image/svg+xml,%3csvg xmlns='http://www.w3.org/2000/svg' viewBox='0 0 24 216'%3e%3ctext fill='%23fff' style='font: 900 16px sans-serif' text-anchor='end' transform='matrix(0 -1 1 0 18 5)'%3eBrains%3c/text%3e%3c/svg%3e</v>
      </c>
      <c r="H262" s="8" t="s">
        <v>17</v>
      </c>
      <c r="I262" s="8">
        <f t="shared" ref="I262:J262" si="263">len(B262)</f>
        <v>6</v>
      </c>
      <c r="J262" s="8">
        <f t="shared" si="263"/>
        <v>44</v>
      </c>
      <c r="K262" s="8" t="s">
        <v>2518</v>
      </c>
    </row>
    <row r="263">
      <c r="A263" s="7" t="b">
        <v>1</v>
      </c>
      <c r="B263" s="8" t="s">
        <v>2516</v>
      </c>
      <c r="C263" s="7" t="s">
        <v>2519</v>
      </c>
      <c r="D263" s="8" t="str">
        <f>Q&amp;$K263&amp;Q&amp;":{"&amp;Q&amp;$B$2&amp;Q&amp;":"&amp;Q&amp;$B263&amp;Q&amp;","&amp;Q&amp;$C$2&amp;Q&amp;":"&amp;Q&amp;$C263&amp;Q&amp;","&amp;Q&amp;"sets"&amp;Q&amp;":"&amp;Q&amp;substitute(SUBSTITUTE($H263,"[",""),"]","")&amp;Q&amp;"},"</f>
        <v>"jtjx":{"label":"Brains","extra":"It’s all in your head.","sets":"Junior 9+ (1st) &amp; (2nd)"},</v>
      </c>
      <c r="E263" s="9" t="str">
        <f t="shared" si="2"/>
        <v>data:image/svg+xml,%3csvg xmlns='http://www.w3.org/2000/svg' viewBox='0 0 24 216'%3e%3ctext fill='%23fff' style='font: 900 16px sans-serif' text-anchor='end' transform='matrix(0 -1 1 0 18 5)'%3eBrains%3c/text%3e%3c/svg%3e</v>
      </c>
      <c r="F263" s="14" t="str">
        <f t="shared" si="3"/>
        <v>https://svgtext.heliohost.us/cgi-bin/gen.perl?text=Brains</v>
      </c>
      <c r="G263" s="11" t="str">
        <f t="shared" si="4"/>
        <v>data:image/svg+xml,%3csvg xmlns='http://www.w3.org/2000/svg' viewBox='0 0 24 216'%3e%3ctext fill='%23fff' style='font: 900 16px sans-serif' text-anchor='end' transform='matrix(0 -1 1 0 18 5)'%3eBrains%3c/text%3e%3c/svg%3e</v>
      </c>
      <c r="H263" s="8" t="s">
        <v>42</v>
      </c>
      <c r="I263" s="8">
        <f t="shared" ref="I263:J263" si="264">len(B263)</f>
        <v>6</v>
      </c>
      <c r="J263" s="8">
        <f t="shared" si="264"/>
        <v>22</v>
      </c>
      <c r="K263" s="8" t="s">
        <v>2520</v>
      </c>
    </row>
    <row r="264">
      <c r="A264" s="7" t="b">
        <v>1</v>
      </c>
      <c r="B264" s="8" t="s">
        <v>2521</v>
      </c>
      <c r="C264" s="8" t="s">
        <v>2522</v>
      </c>
      <c r="D264" s="8" t="str">
        <f>Q&amp;$K264&amp;Q&amp;":{"&amp;Q&amp;$B$2&amp;Q&amp;":"&amp;Q&amp;$B264&amp;Q&amp;","&amp;Q&amp;$C$2&amp;Q&amp;":"&amp;Q&amp;$C264&amp;Q&amp;","&amp;Q&amp;"sets"&amp;Q&amp;":"&amp;Q&amp;substitute(SUBSTITUTE($H264,"[",""),"]","")&amp;Q&amp;"},"</f>
        <v>"wljv":{"label":"Bread &amp; Water","extra":"Make that a baguette and a bottle of Perrier.","sets":"Expansion Set 4, Party Expansion 1"},</v>
      </c>
      <c r="E264" s="9" t="str">
        <f t="shared" si="2"/>
        <v>data:image/svg+xml,%3csvg xmlns='http://www.w3.org/2000/svg' viewBox='0 0 24 216'%3e%3ctext fill='%23fff' style='font: 900 16px sans-serif' text-anchor='end' transform='matrix(0 -1 1 0 18 5)'%3eBread %26amp%3B Water%3c/text%3e%3c/svg%3e</v>
      </c>
      <c r="F264" s="14" t="str">
        <f t="shared" si="3"/>
        <v>https://svgtext.heliohost.us/cgi-bin/gen.perl?text=Bread%20%26%20Water</v>
      </c>
      <c r="G264" s="11" t="str">
        <f t="shared" si="4"/>
        <v>data:image/svg+xml,%3csvg xmlns='http://www.w3.org/2000/svg' viewBox='0 0 24 216'%3e%3ctext fill='%23fff' style='font: 900 16px sans-serif' text-anchor='end' transform='matrix(0 -1 1 0 18 5)'%3eBread %26amp%3B Water%3c/text%3e%3c/svg%3e</v>
      </c>
      <c r="H264" s="8" t="s">
        <v>63</v>
      </c>
      <c r="I264" s="8">
        <f t="shared" ref="I264:J264" si="265">len(B264)</f>
        <v>13</v>
      </c>
      <c r="J264" s="8">
        <f t="shared" si="265"/>
        <v>45</v>
      </c>
      <c r="K264" s="8" t="s">
        <v>2523</v>
      </c>
    </row>
    <row r="265">
      <c r="A265" s="7" t="b">
        <v>1</v>
      </c>
      <c r="B265" s="8" t="s">
        <v>2524</v>
      </c>
      <c r="C265" s="7" t="s">
        <v>2525</v>
      </c>
      <c r="D265" s="8" t="str">
        <f>Q&amp;$K265&amp;Q&amp;":{"&amp;Q&amp;$B$2&amp;Q&amp;":"&amp;Q&amp;$B265&amp;Q&amp;","&amp;Q&amp;$C$2&amp;Q&amp;":"&amp;Q&amp;$C265&amp;Q&amp;","&amp;Q&amp;"sets"&amp;Q&amp;":"&amp;Q&amp;substitute(SUBSTITUTE($H265,"[",""),"]","")&amp;Q&amp;"},"</f>
        <v>"qqoy":{"label":"Breaking &amp; Entering","extra":"“Honest, Officer, I lost my keys.”","sets":"Expansion Set 4, Party Expansion 1"},</v>
      </c>
      <c r="E265" s="9" t="str">
        <f t="shared" si="2"/>
        <v>data:image/svg+xml,%3csvg xmlns='http://www.w3.org/2000/svg' viewBox='0 0 24 216'%3e%3ctext fill='%23fff' style='font: 900 16px sans-serif' text-anchor='end' transform='matrix(0 -1 1 0 18 5)'%3eBreaking %26amp%3B Entering%3c/text%3e%3c/svg%3e</v>
      </c>
      <c r="F265" s="14" t="str">
        <f t="shared" si="3"/>
        <v>https://svgtext.heliohost.us/cgi-bin/gen.perl?text=Breaking%20%26%20Entering</v>
      </c>
      <c r="G265" s="11" t="str">
        <f t="shared" si="4"/>
        <v>data:image/svg+xml,%3csvg xmlns='http://www.w3.org/2000/svg' viewBox='0 0 24 216'%3e%3ctext fill='%23fff' style='font: 900 16px sans-serif' text-anchor='end' transform='matrix(0 -1 1 0 18 5)'%3eBreaking %26amp%3B Entering%3c/text%3e%3c/svg%3e</v>
      </c>
      <c r="H265" s="8" t="s">
        <v>63</v>
      </c>
      <c r="I265" s="8">
        <f t="shared" ref="I265:J265" si="266">len(B265)</f>
        <v>19</v>
      </c>
      <c r="J265" s="8">
        <f t="shared" si="266"/>
        <v>34</v>
      </c>
      <c r="K265" s="8" t="s">
        <v>2526</v>
      </c>
    </row>
    <row r="266">
      <c r="A266" s="7" t="b">
        <v>1</v>
      </c>
      <c r="B266" s="8" t="s">
        <v>2527</v>
      </c>
      <c r="C266" s="7" t="s">
        <v>2528</v>
      </c>
      <c r="D266" s="8" t="str">
        <f>Q&amp;$K266&amp;Q&amp;":{"&amp;Q&amp;$B$2&amp;Q&amp;":"&amp;Q&amp;$B266&amp;Q&amp;","&amp;Q&amp;$C$2&amp;Q&amp;":"&amp;Q&amp;$C266&amp;Q&amp;","&amp;Q&amp;"sets"&amp;Q&amp;":"&amp;Q&amp;substitute(SUBSTITUTE($H266,"[",""),"]","")&amp;Q&amp;"},"</f>
        <v>"unfq":{"label":"Bride &amp; Groom","extra":"“With this ring…”","sets":"Expansion Set 4, Party Expansion 1"},</v>
      </c>
      <c r="E266" s="9" t="str">
        <f t="shared" si="2"/>
        <v>data:image/svg+xml,%3csvg xmlns='http://www.w3.org/2000/svg' viewBox='0 0 24 216'%3e%3ctext fill='%23fff' style='font: 900 16px sans-serif' text-anchor='end' transform='matrix(0 -1 1 0 18 5)'%3eBride %26amp%3B Groom%3c/text%3e%3c/svg%3e</v>
      </c>
      <c r="F266" s="14" t="str">
        <f t="shared" si="3"/>
        <v>https://svgtext.heliohost.us/cgi-bin/gen.perl?text=Bride%20%26%20Groom</v>
      </c>
      <c r="G266" s="11" t="str">
        <f t="shared" si="4"/>
        <v>data:image/svg+xml,%3csvg xmlns='http://www.w3.org/2000/svg' viewBox='0 0 24 216'%3e%3ctext fill='%23fff' style='font: 900 16px sans-serif' text-anchor='end' transform='matrix(0 -1 1 0 18 5)'%3eBride %26amp%3B Groom%3c/text%3e%3c/svg%3e</v>
      </c>
      <c r="H266" s="8" t="s">
        <v>63</v>
      </c>
      <c r="I266" s="8">
        <f t="shared" ref="I266:J266" si="267">len(B266)</f>
        <v>13</v>
      </c>
      <c r="J266" s="8">
        <f t="shared" si="267"/>
        <v>17</v>
      </c>
      <c r="K266" s="8" t="s">
        <v>2529</v>
      </c>
    </row>
    <row r="267">
      <c r="A267" s="7" t="b">
        <v>0</v>
      </c>
      <c r="B267" s="8" t="s">
        <v>2530</v>
      </c>
      <c r="C267" s="8" t="s">
        <v>2531</v>
      </c>
      <c r="D267" s="8" t="str">
        <f>Q&amp;$K267&amp;Q&amp;":{"&amp;Q&amp;$B$2&amp;Q&amp;":"&amp;Q&amp;$B267&amp;Q&amp;","&amp;Q&amp;$C$2&amp;Q&amp;":"&amp;Q&amp;$C267&amp;Q&amp;","&amp;Q&amp;"sets"&amp;Q&amp;":"&amp;Q&amp;substitute(SUBSTITUTE($H267,"[",""),"]","")&amp;Q&amp;"},"</f>
        <v>"mtlf":{"label":"Britney Spears","extra":"1981-, American singer. From mouseketeer to international pop star.","sets":"Expansion Set 1, Party Set"},</v>
      </c>
      <c r="E267" s="9" t="str">
        <f t="shared" si="2"/>
        <v>data:image/svg+xml,%3csvg xmlns='http://www.w3.org/2000/svg' viewBox='0 0 24 216'%3e%3ctext fill='%23fff' style='font: 900 16px sans-serif' text-anchor='end' transform='matrix(0 -1 1 0 18 5)'%3eBritney Spears%3c/text%3e%3c/svg%3e</v>
      </c>
      <c r="F267" s="14" t="str">
        <f t="shared" si="3"/>
        <v>https://svgtext.heliohost.us/cgi-bin/gen.perl?text=Britney%20Spears</v>
      </c>
      <c r="G267" s="11" t="str">
        <f t="shared" si="4"/>
        <v>data:image/svg+xml,%3csvg xmlns='http://www.w3.org/2000/svg' viewBox='0 0 24 216'%3e%3ctext fill='%23fff' style='font: 900 16px sans-serif' text-anchor='end' transform='matrix(0 -1 1 0 18 5)'%3eBritney Spears%3c/text%3e%3c/svg%3e</v>
      </c>
      <c r="H267" s="8" t="s">
        <v>25</v>
      </c>
      <c r="I267" s="8">
        <f t="shared" ref="I267:J267" si="268">len(B267)</f>
        <v>14</v>
      </c>
      <c r="J267" s="8">
        <f t="shared" si="268"/>
        <v>67</v>
      </c>
      <c r="K267" s="8" t="s">
        <v>2532</v>
      </c>
    </row>
    <row r="268">
      <c r="A268" s="7" t="b">
        <v>0</v>
      </c>
      <c r="B268" s="8" t="s">
        <v>2533</v>
      </c>
      <c r="C268" s="7" t="s">
        <v>2534</v>
      </c>
      <c r="D268" s="8" t="str">
        <f>Q&amp;$K268&amp;Q&amp;":{"&amp;Q&amp;$B$2&amp;Q&amp;":"&amp;Q&amp;$B268&amp;Q&amp;","&amp;Q&amp;$C$2&amp;Q&amp;":"&amp;Q&amp;$C268&amp;Q&amp;","&amp;Q&amp;"sets"&amp;Q&amp;":"&amp;Q&amp;substitute(SUBSTITUTE($H268,"[",""),"]","")&amp;Q&amp;"},"</f>
        <v>"xfg{":{"label":"Broadway","extra":"The New York theater district. “They say the neon lights shine bright on Broadway.” —Barry Mann","sets":"Expansion Set 2, Party Set"},</v>
      </c>
      <c r="E268" s="9" t="str">
        <f t="shared" si="2"/>
        <v>data:image/svg+xml,%3csvg xmlns='http://www.w3.org/2000/svg' viewBox='0 0 24 216'%3e%3ctext fill='%23fff' style='font: 900 16px sans-serif' text-anchor='end' transform='matrix(0 -1 1 0 18 5)'%3eBroadway%3c/text%3e%3c/svg%3e</v>
      </c>
      <c r="F268" s="14" t="str">
        <f t="shared" si="3"/>
        <v>https://svgtext.heliohost.us/cgi-bin/gen.perl?text=Broadway</v>
      </c>
      <c r="G268" s="11" t="str">
        <f t="shared" si="4"/>
        <v>data:image/svg+xml,%3csvg xmlns='http://www.w3.org/2000/svg' viewBox='0 0 24 216'%3e%3ctext fill='%23fff' style='font: 900 16px sans-serif' text-anchor='end' transform='matrix(0 -1 1 0 18 5)'%3eBroadway%3c/text%3e%3c/svg%3e</v>
      </c>
      <c r="H268" s="8" t="s">
        <v>17</v>
      </c>
      <c r="I268" s="8">
        <f t="shared" ref="I268:J268" si="269">len(B268)</f>
        <v>8</v>
      </c>
      <c r="J268" s="8">
        <f t="shared" si="269"/>
        <v>95</v>
      </c>
      <c r="K268" s="8" t="s">
        <v>2535</v>
      </c>
    </row>
    <row r="269">
      <c r="A269" s="7" t="b">
        <v>0</v>
      </c>
      <c r="B269" s="8" t="s">
        <v>2536</v>
      </c>
      <c r="C269" s="7" t="s">
        <v>2537</v>
      </c>
      <c r="D269" s="8" t="str">
        <f>Q&amp;$K269&amp;Q&amp;":{"&amp;Q&amp;$B$2&amp;Q&amp;":"&amp;Q&amp;$B269&amp;Q&amp;","&amp;Q&amp;$C$2&amp;Q&amp;":"&amp;Q&amp;$C269&amp;Q&amp;","&amp;Q&amp;"sets"&amp;Q&amp;":"&amp;Q&amp;substitute(SUBSTITUTE($H269,"[",""),"]","")&amp;Q&amp;"},"</f>
        <v>"oglo":{"label":"Brooks &amp; Dunn","extra":"Extremely successful country &amp; honky-tonk music duo. “If they don’t dance, you’re dead.” —Ronnie Dunn","sets":"Expansion Set 4, Party Expansion 1"},</v>
      </c>
      <c r="E269" s="9" t="str">
        <f t="shared" si="2"/>
        <v>data:image/svg+xml,%3csvg xmlns='http://www.w3.org/2000/svg' viewBox='0 0 24 216'%3e%3ctext fill='%23fff' style='font: 900 16px sans-serif' text-anchor='end' transform='matrix(0 -1 1 0 18 5)'%3eBrooks %26amp%3B Dunn%3c/text%3e%3c/svg%3e</v>
      </c>
      <c r="F269" s="14" t="str">
        <f t="shared" si="3"/>
        <v>https://svgtext.heliohost.us/cgi-bin/gen.perl?text=Brooks%20%26%20Dunn</v>
      </c>
      <c r="G269" s="11" t="str">
        <f t="shared" si="4"/>
        <v>data:image/svg+xml,%3csvg xmlns='http://www.w3.org/2000/svg' viewBox='0 0 24 216'%3e%3ctext fill='%23fff' style='font: 900 16px sans-serif' text-anchor='end' transform='matrix(0 -1 1 0 18 5)'%3eBrooks %26amp%3B Dunn%3c/text%3e%3c/svg%3e</v>
      </c>
      <c r="H269" s="8" t="s">
        <v>63</v>
      </c>
      <c r="I269" s="8">
        <f t="shared" ref="I269:J269" si="270">len(B269)</f>
        <v>13</v>
      </c>
      <c r="J269" s="8">
        <f t="shared" si="270"/>
        <v>101</v>
      </c>
      <c r="K269" s="8" t="s">
        <v>2538</v>
      </c>
    </row>
    <row r="270">
      <c r="A270" s="7" t="b">
        <v>1</v>
      </c>
      <c r="B270" s="8" t="s">
        <v>2539</v>
      </c>
      <c r="C270" s="8" t="s">
        <v>2540</v>
      </c>
      <c r="D270" s="8" t="str">
        <f>Q&amp;$K270&amp;Q&amp;":{"&amp;Q&amp;$B$2&amp;Q&amp;":"&amp;Q&amp;$B270&amp;Q&amp;","&amp;Q&amp;$C$2&amp;Q&amp;":"&amp;Q&amp;$C270&amp;Q&amp;","&amp;Q&amp;"sets"&amp;Q&amp;":"&amp;Q&amp;substitute(SUBSTITUTE($H270,"[",""),"]","")&amp;Q&amp;"},"</f>
        <v>"nqwc":{"label":"Brothers","extra":"Oh, brother!","sets":"Junior 9+ (1st) &amp; (2nd)"},</v>
      </c>
      <c r="E270" s="9" t="str">
        <f t="shared" si="2"/>
        <v>data:image/svg+xml,%3csvg xmlns='http://www.w3.org/2000/svg' viewBox='0 0 24 216'%3e%3ctext fill='%23fff' style='font: 900 16px sans-serif' text-anchor='end' transform='matrix(0 -1 1 0 18 5)'%3eBrothers%3c/text%3e%3c/svg%3e</v>
      </c>
      <c r="F270" s="14" t="str">
        <f t="shared" si="3"/>
        <v>https://svgtext.heliohost.us/cgi-bin/gen.perl?text=Brothers</v>
      </c>
      <c r="G270" s="11" t="str">
        <f t="shared" si="4"/>
        <v>data:image/svg+xml,%3csvg xmlns='http://www.w3.org/2000/svg' viewBox='0 0 24 216'%3e%3ctext fill='%23fff' style='font: 900 16px sans-serif' text-anchor='end' transform='matrix(0 -1 1 0 18 5)'%3eBrothers%3c/text%3e%3c/svg%3e</v>
      </c>
      <c r="H270" s="8" t="s">
        <v>42</v>
      </c>
      <c r="I270" s="8">
        <f t="shared" ref="I270:J270" si="271">len(B270)</f>
        <v>8</v>
      </c>
      <c r="J270" s="8">
        <f t="shared" si="271"/>
        <v>12</v>
      </c>
      <c r="K270" s="8" t="s">
        <v>2541</v>
      </c>
    </row>
    <row r="271">
      <c r="A271" s="7" t="b">
        <v>1</v>
      </c>
      <c r="B271" s="8" t="s">
        <v>2542</v>
      </c>
      <c r="C271" s="7" t="s">
        <v>2543</v>
      </c>
      <c r="D271" s="8" t="str">
        <f>Q&amp;$K271&amp;Q&amp;":{"&amp;Q&amp;$B$2&amp;Q&amp;":"&amp;Q&amp;$B271&amp;Q&amp;","&amp;Q&amp;$C$2&amp;Q&amp;":"&amp;Q&amp;$C271&amp;Q&amp;","&amp;Q&amp;"sets"&amp;Q&amp;":"&amp;Q&amp;substitute(SUBSTITUTE($H271,"[",""),"]","")&amp;Q&amp;"},"</f>
        <v>"mxij":{"label":"Brothers &amp; Sisters","extra":"“You can pick your friends, but…”","sets":"Expansion Set 4, Party Expansion 1"},</v>
      </c>
      <c r="E271" s="9" t="str">
        <f t="shared" si="2"/>
        <v>data:image/svg+xml,%3csvg xmlns='http://www.w3.org/2000/svg' viewBox='0 0 24 216'%3e%3ctext fill='%23fff' style='font: 900 16px sans-serif' text-anchor='end' transform='matrix(0 -1 1 0 18 5)'%3eBrothers %26amp%3B Sisters%3c/text%3e%3c/svg%3e</v>
      </c>
      <c r="F271" s="14" t="str">
        <f t="shared" si="3"/>
        <v>https://svgtext.heliohost.us/cgi-bin/gen.perl?text=Brothers%20%26%20Sisters</v>
      </c>
      <c r="G271" s="11" t="str">
        <f t="shared" si="4"/>
        <v>data:image/svg+xml,%3csvg xmlns='http://www.w3.org/2000/svg' viewBox='0 0 24 216'%3e%3ctext fill='%23fff' style='font: 900 16px sans-serif' text-anchor='end' transform='matrix(0 -1 1 0 18 5)'%3eBrothers %26amp%3B Sisters%3c/text%3e%3c/svg%3e</v>
      </c>
      <c r="H271" s="8" t="s">
        <v>63</v>
      </c>
      <c r="I271" s="8">
        <f t="shared" ref="I271:J271" si="272">len(B271)</f>
        <v>18</v>
      </c>
      <c r="J271" s="8">
        <f t="shared" si="272"/>
        <v>33</v>
      </c>
      <c r="K271" s="8" t="s">
        <v>2544</v>
      </c>
    </row>
    <row r="272">
      <c r="A272" s="7" t="b">
        <v>0</v>
      </c>
      <c r="B272" s="8" t="s">
        <v>2545</v>
      </c>
      <c r="C272" s="7" t="s">
        <v>2546</v>
      </c>
      <c r="D272" s="8" t="str">
        <f>Q&amp;$K272&amp;Q&amp;":{"&amp;Q&amp;$B$2&amp;Q&amp;":"&amp;Q&amp;$B272&amp;Q&amp;","&amp;Q&amp;$C$2&amp;Q&amp;":"&amp;Q&amp;$C272&amp;Q&amp;","&amp;Q&amp;"sets"&amp;Q&amp;":"&amp;Q&amp;substitute(SUBSTITUTE($H272,"[",""),"]","")&amp;Q&amp;"},"</f>
        <v>"xeyu":{"label":"Bruce Willis","extra":"1955-, Diehard American action movie star who has moonlighted on TV. He also starred in “Pulp Fiction”, “Armageddon” and “The Sixth Sense.”","sets":"Expansion Set 2, Party Set"},</v>
      </c>
      <c r="E272" s="9" t="str">
        <f t="shared" si="2"/>
        <v>data:image/svg+xml,%3csvg xmlns='http://www.w3.org/2000/svg' viewBox='0 0 24 216'%3e%3ctext fill='%23fff' style='font: 900 16px sans-serif' text-anchor='end' transform='matrix(0 -1 1 0 18 5)'%3eBruce Willis%3c/text%3e%3c/svg%3e</v>
      </c>
      <c r="F272" s="14" t="str">
        <f t="shared" si="3"/>
        <v>https://svgtext.heliohost.us/cgi-bin/gen.perl?text=Bruce%20Willis</v>
      </c>
      <c r="G272" s="11" t="str">
        <f t="shared" si="4"/>
        <v>data:image/svg+xml,%3csvg xmlns='http://www.w3.org/2000/svg' viewBox='0 0 24 216'%3e%3ctext fill='%23fff' style='font: 900 16px sans-serif' text-anchor='end' transform='matrix(0 -1 1 0 18 5)'%3eBruce Willis%3c/text%3e%3c/svg%3e</v>
      </c>
      <c r="H272" s="8" t="s">
        <v>17</v>
      </c>
      <c r="I272" s="8">
        <f t="shared" ref="I272:J272" si="273">len(B272)</f>
        <v>12</v>
      </c>
      <c r="J272" s="8">
        <f t="shared" si="273"/>
        <v>139</v>
      </c>
      <c r="K272" s="8" t="s">
        <v>2547</v>
      </c>
    </row>
    <row r="273">
      <c r="A273" s="7" t="b">
        <v>1</v>
      </c>
      <c r="B273" s="8" t="s">
        <v>2548</v>
      </c>
      <c r="C273" s="8" t="s">
        <v>2549</v>
      </c>
      <c r="D273" s="8" t="str">
        <f>Q&amp;$K273&amp;Q&amp;":{"&amp;Q&amp;$B$2&amp;Q&amp;":"&amp;Q&amp;$B273&amp;Q&amp;","&amp;Q&amp;$C$2&amp;Q&amp;":"&amp;Q&amp;$C273&amp;Q&amp;","&amp;Q&amp;"sets"&amp;Q&amp;":"&amp;Q&amp;substitute(SUBSTITUTE($H273,"[",""),"]","")&amp;Q&amp;"},"</f>
        <v>"wqwg":{"label":"Bruises","extra":"The dark color of a bruise is caused by broken blood vessels under the skin.","sets":"Junior 9+ (2nd)"},</v>
      </c>
      <c r="E273" s="9" t="str">
        <f t="shared" si="2"/>
        <v>data:image/svg+xml,%3csvg xmlns='http://www.w3.org/2000/svg' viewBox='0 0 24 216'%3e%3ctext fill='%23fff' style='font: 900 16px sans-serif' text-anchor='end' transform='matrix(0 -1 1 0 18 5)'%3eBruises%3c/text%3e%3c/svg%3e</v>
      </c>
      <c r="F273" s="14" t="str">
        <f t="shared" si="3"/>
        <v>https://svgtext.heliohost.us/cgi-bin/gen.perl?text=Bruises</v>
      </c>
      <c r="G273" s="11" t="str">
        <f t="shared" si="4"/>
        <v>data:image/svg+xml,%3csvg xmlns='http://www.w3.org/2000/svg' viewBox='0 0 24 216'%3e%3ctext fill='%23fff' style='font: 900 16px sans-serif' text-anchor='end' transform='matrix(0 -1 1 0 18 5)'%3eBruises%3c/text%3e%3c/svg%3e</v>
      </c>
      <c r="H273" s="8" t="s">
        <v>32</v>
      </c>
      <c r="I273" s="8">
        <f t="shared" ref="I273:J273" si="274">len(B273)</f>
        <v>7</v>
      </c>
      <c r="J273" s="8">
        <f t="shared" si="274"/>
        <v>76</v>
      </c>
      <c r="K273" s="8" t="s">
        <v>2550</v>
      </c>
    </row>
    <row r="274">
      <c r="A274" s="7" t="b">
        <v>1</v>
      </c>
      <c r="B274" s="8" t="s">
        <v>2551</v>
      </c>
      <c r="C274" s="8" t="s">
        <v>2552</v>
      </c>
      <c r="D274" s="8" t="str">
        <f>Q&amp;$K274&amp;Q&amp;":{"&amp;Q&amp;$B$2&amp;Q&amp;":"&amp;Q&amp;$B274&amp;Q&amp;","&amp;Q&amp;$C$2&amp;Q&amp;":"&amp;Q&amp;$C274&amp;Q&amp;","&amp;Q&amp;"sets"&amp;Q&amp;":"&amp;Q&amp;substitute(SUBSTITUTE($H274,"[",""),"]","")&amp;Q&amp;"},"</f>
        <v>"rmkz":{"label":"Brushing Your Teeth","extra":"Oh! What's that gunk stuck on your teeth?","sets":"Junior 9+ (1st) &amp; (2nd)"},</v>
      </c>
      <c r="E274" s="9" t="str">
        <f t="shared" si="2"/>
        <v>data:image/svg+xml,%3csvg xmlns='http://www.w3.org/2000/svg' viewBox='0 0 24 216'%3e%3ctext fill='%23fff' style='font: 900 16px sans-serif' text-anchor='end' transform='matrix(0 -1 1 0 18 5)'%3eBrushing Your Teeth%3c/text%3e%3c/svg%3e</v>
      </c>
      <c r="F274" s="14" t="str">
        <f t="shared" si="3"/>
        <v>https://svgtext.heliohost.us/cgi-bin/gen.perl?text=Brushing%20Your%20Teeth</v>
      </c>
      <c r="G274" s="11" t="str">
        <f t="shared" si="4"/>
        <v>data:image/svg+xml,%3csvg xmlns='http://www.w3.org/2000/svg' viewBox='0 0 24 216'%3e%3ctext fill='%23fff' style='font: 900 16px sans-serif' text-anchor='end' transform='matrix(0 -1 1 0 18 5)'%3eBrushing Your Teeth%3c/text%3e%3c/svg%3e</v>
      </c>
      <c r="H274" s="8" t="s">
        <v>42</v>
      </c>
      <c r="I274" s="8">
        <f t="shared" ref="I274:J274" si="275">len(B274)</f>
        <v>19</v>
      </c>
      <c r="J274" s="8">
        <f t="shared" si="275"/>
        <v>41</v>
      </c>
      <c r="K274" s="8" t="s">
        <v>2553</v>
      </c>
    </row>
    <row r="275">
      <c r="A275" s="7" t="b">
        <v>1</v>
      </c>
      <c r="B275" s="8" t="s">
        <v>2554</v>
      </c>
      <c r="C275" s="8" t="s">
        <v>2555</v>
      </c>
      <c r="D275" s="8" t="str">
        <f>Q&amp;$K275&amp;Q&amp;":{"&amp;Q&amp;$B$2&amp;Q&amp;":"&amp;Q&amp;$B275&amp;Q&amp;","&amp;Q&amp;$C$2&amp;Q&amp;":"&amp;Q&amp;$C275&amp;Q&amp;","&amp;Q&amp;"sets"&amp;Q&amp;":"&amp;Q&amp;substitute(SUBSTITUTE($H275,"[",""),"]","")&amp;Q&amp;"},"</f>
        <v>"epxs":{"label":"Bubble Bath","extra":"Just add water!","sets":"Junior 9+ (2nd)"},</v>
      </c>
      <c r="E275" s="9" t="str">
        <f t="shared" si="2"/>
        <v>data:image/svg+xml,%3csvg xmlns='http://www.w3.org/2000/svg' viewBox='0 0 24 216'%3e%3ctext fill='%23fff' style='font: 900 16px sans-serif' text-anchor='end' transform='matrix(0 -1 1 0 18 5)'%3eBubble Bath%3c/text%3e%3c/svg%3e</v>
      </c>
      <c r="F275" s="14" t="str">
        <f t="shared" si="3"/>
        <v>https://svgtext.heliohost.us/cgi-bin/gen.perl?text=Bubble%20Bath</v>
      </c>
      <c r="G275" s="11" t="str">
        <f t="shared" si="4"/>
        <v>data:image/svg+xml,%3csvg xmlns='http://www.w3.org/2000/svg' viewBox='0 0 24 216'%3e%3ctext fill='%23fff' style='font: 900 16px sans-serif' text-anchor='end' transform='matrix(0 -1 1 0 18 5)'%3eBubble Bath%3c/text%3e%3c/svg%3e</v>
      </c>
      <c r="H275" s="8" t="s">
        <v>32</v>
      </c>
      <c r="I275" s="8">
        <f t="shared" ref="I275:J275" si="276">len(B275)</f>
        <v>11</v>
      </c>
      <c r="J275" s="8">
        <f t="shared" si="276"/>
        <v>15</v>
      </c>
      <c r="K275" s="8" t="s">
        <v>2556</v>
      </c>
    </row>
    <row r="276">
      <c r="A276" s="7" t="b">
        <v>1</v>
      </c>
      <c r="B276" s="8" t="s">
        <v>2557</v>
      </c>
      <c r="C276" s="8" t="s">
        <v>2558</v>
      </c>
      <c r="D276" s="8" t="str">
        <f>Q&amp;$K276&amp;Q&amp;":{"&amp;Q&amp;$B$2&amp;Q&amp;":"&amp;Q&amp;$B276&amp;Q&amp;","&amp;Q&amp;$C$2&amp;Q&amp;":"&amp;Q&amp;$C276&amp;Q&amp;","&amp;Q&amp;"sets"&amp;Q&amp;":"&amp;Q&amp;substitute(SUBSTITUTE($H276,"[",""),"]","")&amp;Q&amp;"},"</f>
        <v>"jgoz":{"label":"Bubble Gum","extra":"Chewing is easy, blowing bubbles is hard, getting it out of your hair is even harder.","sets":"Junior 9+ (1st) &amp; (2nd)"},</v>
      </c>
      <c r="E276" s="9" t="str">
        <f t="shared" si="2"/>
        <v>data:image/svg+xml,%3csvg xmlns='http://www.w3.org/2000/svg' viewBox='0 0 24 216'%3e%3ctext fill='%23fff' style='font: 900 16px sans-serif' text-anchor='end' transform='matrix(0 -1 1 0 18 5)'%3eBubble Gum%3c/text%3e%3c/svg%3e</v>
      </c>
      <c r="F276" s="14" t="str">
        <f t="shared" si="3"/>
        <v>https://svgtext.heliohost.us/cgi-bin/gen.perl?text=Bubble%20Gum</v>
      </c>
      <c r="G276" s="11" t="str">
        <f t="shared" si="4"/>
        <v>data:image/svg+xml,%3csvg xmlns='http://www.w3.org/2000/svg' viewBox='0 0 24 216'%3e%3ctext fill='%23fff' style='font: 900 16px sans-serif' text-anchor='end' transform='matrix(0 -1 1 0 18 5)'%3eBubble Gum%3c/text%3e%3c/svg%3e</v>
      </c>
      <c r="H276" s="8" t="s">
        <v>42</v>
      </c>
      <c r="I276" s="8">
        <f t="shared" ref="I276:J276" si="277">len(B276)</f>
        <v>10</v>
      </c>
      <c r="J276" s="8">
        <f t="shared" si="277"/>
        <v>85</v>
      </c>
      <c r="K276" s="8" t="s">
        <v>2559</v>
      </c>
    </row>
    <row r="277">
      <c r="A277" s="7" t="b">
        <v>0</v>
      </c>
      <c r="B277" s="8" t="s">
        <v>2557</v>
      </c>
      <c r="C277" s="8" t="s">
        <v>2560</v>
      </c>
      <c r="D277" s="8" t="str">
        <f>Q&amp;$K277&amp;Q&amp;":{"&amp;Q&amp;$B$2&amp;Q&amp;":"&amp;Q&amp;$B277&amp;Q&amp;","&amp;Q&amp;$C$2&amp;Q&amp;":"&amp;Q&amp;$C277&amp;Q&amp;","&amp;Q&amp;"sets"&amp;Q&amp;":"&amp;Q&amp;substitute(SUBSTITUTE($H277,"[",""),"]","")&amp;Q&amp;"},"</f>
        <v>"uqoi":{"label":"Bubble Gum","extra":"Crack it, snap it, pop it, and blow it!","sets":"Expansion Set 2, Party Set"},</v>
      </c>
      <c r="E277" s="9" t="str">
        <f t="shared" si="2"/>
        <v>data:image/svg+xml,%3csvg xmlns='http://www.w3.org/2000/svg' viewBox='0 0 24 216'%3e%3ctext fill='%23fff' style='font: 900 16px sans-serif' text-anchor='end' transform='matrix(0 -1 1 0 18 5)'%3eBubble Gum%3c/text%3e%3c/svg%3e</v>
      </c>
      <c r="F277" s="14" t="str">
        <f t="shared" si="3"/>
        <v>https://svgtext.heliohost.us/cgi-bin/gen.perl?text=Bubble%20Gum</v>
      </c>
      <c r="G277" s="11" t="str">
        <f t="shared" si="4"/>
        <v>data:image/svg+xml,%3csvg xmlns='http://www.w3.org/2000/svg' viewBox='0 0 24 216'%3e%3ctext fill='%23fff' style='font: 900 16px sans-serif' text-anchor='end' transform='matrix(0 -1 1 0 18 5)'%3eBubble Gum%3c/text%3e%3c/svg%3e</v>
      </c>
      <c r="H277" s="8" t="s">
        <v>17</v>
      </c>
      <c r="I277" s="8">
        <f t="shared" ref="I277:J277" si="278">len(B277)</f>
        <v>10</v>
      </c>
      <c r="J277" s="8">
        <f t="shared" si="278"/>
        <v>39</v>
      </c>
      <c r="K277" s="8" t="s">
        <v>2561</v>
      </c>
    </row>
    <row r="278">
      <c r="A278" s="7" t="b">
        <v>0</v>
      </c>
      <c r="B278" s="8" t="s">
        <v>2562</v>
      </c>
      <c r="C278" s="7" t="s">
        <v>2563</v>
      </c>
      <c r="D278" s="8" t="str">
        <f>Q&amp;$K278&amp;Q&amp;":{"&amp;Q&amp;$B$2&amp;Q&amp;":"&amp;Q&amp;$B278&amp;Q&amp;","&amp;Q&amp;$C$2&amp;Q&amp;":"&amp;Q&amp;$C278&amp;Q&amp;","&amp;Q&amp;"sets"&amp;Q&amp;":"&amp;Q&amp;substitute(SUBSTITUTE($H278,"[",""),"]","")&amp;Q&amp;"},"</f>
        <v>"whiz":{"label":"Bubbles","extra":"“Tiny bubbles, in the wine/ Tiny bubble make me feel fine…” —Don Ho","sets":"Basic Set, Party Set"},</v>
      </c>
      <c r="E278" s="9" t="str">
        <f t="shared" si="2"/>
        <v>data:image/svg+xml,%3csvg xmlns='http://www.w3.org/2000/svg' viewBox='0 0 24 216'%3e%3ctext fill='%23fff' style='font: 900 16px sans-serif' text-anchor='end' transform='matrix(0 -1 1 0 18 5)'%3eBubbles%3c/text%3e%3c/svg%3e</v>
      </c>
      <c r="F278" s="14" t="str">
        <f t="shared" si="3"/>
        <v>https://svgtext.heliohost.us/cgi-bin/gen.perl?text=Bubbles</v>
      </c>
      <c r="G278" s="11" t="str">
        <f t="shared" si="4"/>
        <v>data:image/svg+xml,%3csvg xmlns='http://www.w3.org/2000/svg' viewBox='0 0 24 216'%3e%3ctext fill='%23fff' style='font: 900 16px sans-serif' text-anchor='end' transform='matrix(0 -1 1 0 18 5)'%3eBubbles%3c/text%3e%3c/svg%3e</v>
      </c>
      <c r="H278" s="8" t="s">
        <v>29</v>
      </c>
      <c r="I278" s="8">
        <f t="shared" ref="I278:J278" si="279">len(B278)</f>
        <v>7</v>
      </c>
      <c r="J278" s="8">
        <f t="shared" si="279"/>
        <v>67</v>
      </c>
      <c r="K278" s="8" t="s">
        <v>2564</v>
      </c>
    </row>
    <row r="279">
      <c r="A279" s="7" t="b">
        <v>1</v>
      </c>
      <c r="B279" s="8" t="s">
        <v>2565</v>
      </c>
      <c r="C279" s="7" t="s">
        <v>2566</v>
      </c>
      <c r="D279" s="8" t="str">
        <f>Q&amp;$K279&amp;Q&amp;":{"&amp;Q&amp;$B$2&amp;Q&amp;":"&amp;Q&amp;$B279&amp;Q&amp;","&amp;Q&amp;$C$2&amp;Q&amp;":"&amp;Q&amp;$C279&amp;Q&amp;","&amp;Q&amp;"sets"&amp;Q&amp;":"&amp;Q&amp;substitute(SUBSTITUTE($H279,"[",""),"]","")&amp;Q&amp;"},"</f>
        <v>"ushb":{"label":"Buddies","extra":"Good friends people and pets.","sets":"Junior"},</v>
      </c>
      <c r="E279" s="9" t="str">
        <f t="shared" si="2"/>
        <v>data:image/svg+xml,%3csvg xmlns='http://www.w3.org/2000/svg' viewBox='0 0 24 216'%3e%3ctext fill='%23fff' style='font: 900 16px sans-serif' text-anchor='end' transform='matrix(0 -1 1 0 18 5)'%3eBuddies%3c/text%3e%3c/svg%3e</v>
      </c>
      <c r="F279" s="14" t="str">
        <f t="shared" si="3"/>
        <v>https://svgtext.heliohost.us/cgi-bin/gen.perl?text=Buddies</v>
      </c>
      <c r="G279" s="11" t="str">
        <f t="shared" si="4"/>
        <v>data:image/svg+xml,%3csvg xmlns='http://www.w3.org/2000/svg' viewBox='0 0 24 216'%3e%3ctext fill='%23fff' style='font: 900 16px sans-serif' text-anchor='end' transform='matrix(0 -1 1 0 18 5)'%3eBuddies%3c/text%3e%3c/svg%3e</v>
      </c>
      <c r="H279" s="8" t="s">
        <v>84</v>
      </c>
      <c r="I279" s="8">
        <f t="shared" ref="I279:J279" si="280">len(B279)</f>
        <v>7</v>
      </c>
      <c r="J279" s="8">
        <f t="shared" si="280"/>
        <v>29</v>
      </c>
      <c r="K279" s="8" t="s">
        <v>2567</v>
      </c>
    </row>
    <row r="280">
      <c r="A280" s="7" t="b">
        <v>1</v>
      </c>
      <c r="B280" s="8" t="s">
        <v>2568</v>
      </c>
      <c r="C280" s="8" t="s">
        <v>2569</v>
      </c>
      <c r="D280" s="8" t="str">
        <f>Q&amp;$K280&amp;Q&amp;":{"&amp;Q&amp;$B$2&amp;Q&amp;":"&amp;Q&amp;$B280&amp;Q&amp;","&amp;Q&amp;$C$2&amp;Q&amp;":"&amp;Q&amp;$C280&amp;Q&amp;","&amp;Q&amp;"sets"&amp;Q&amp;":"&amp;Q&amp;substitute(SUBSTITUTE($H280,"[",""),"]","")&amp;Q&amp;"},"</f>
        <v>"xvtr":{"label":"Buffalo","extra":"A large animal with a big, shaggy head and a hump on its back, native to North America.","sets":"Junior 9+ (1st) &amp; (2nd)"},</v>
      </c>
      <c r="E280" s="9" t="str">
        <f t="shared" si="2"/>
        <v>data:image/svg+xml,%3csvg xmlns='http://www.w3.org/2000/svg' viewBox='0 0 24 216'%3e%3ctext fill='%23fff' style='font: 900 16px sans-serif' text-anchor='end' transform='matrix(0 -1 1 0 18 5)'%3eBuffalo%3c/text%3e%3c/svg%3e</v>
      </c>
      <c r="F280" s="14" t="str">
        <f t="shared" si="3"/>
        <v>https://svgtext.heliohost.us/cgi-bin/gen.perl?text=Buffalo</v>
      </c>
      <c r="G280" s="11" t="str">
        <f t="shared" si="4"/>
        <v>data:image/svg+xml,%3csvg xmlns='http://www.w3.org/2000/svg' viewBox='0 0 24 216'%3e%3ctext fill='%23fff' style='font: 900 16px sans-serif' text-anchor='end' transform='matrix(0 -1 1 0 18 5)'%3eBuffalo%3c/text%3e%3c/svg%3e</v>
      </c>
      <c r="H280" s="8" t="s">
        <v>42</v>
      </c>
      <c r="I280" s="8">
        <f t="shared" ref="I280:J280" si="281">len(B280)</f>
        <v>7</v>
      </c>
      <c r="J280" s="8">
        <f t="shared" si="281"/>
        <v>87</v>
      </c>
      <c r="K280" s="8" t="s">
        <v>2570</v>
      </c>
    </row>
    <row r="281">
      <c r="A281" s="7" t="b">
        <v>1</v>
      </c>
      <c r="B281" s="8" t="s">
        <v>2571</v>
      </c>
      <c r="C281" s="7" t="s">
        <v>2572</v>
      </c>
      <c r="D281" s="8" t="str">
        <f>Q&amp;$K281&amp;Q&amp;":{"&amp;Q&amp;$B$2&amp;Q&amp;":"&amp;Q&amp;$B281&amp;Q&amp;","&amp;Q&amp;$C$2&amp;Q&amp;":"&amp;Q&amp;$C281&amp;Q&amp;","&amp;Q&amp;"sets"&amp;Q&amp;":"&amp;Q&amp;substitute(SUBSTITUTE($H281,"[",""),"]","")&amp;Q&amp;"},"</f>
        <v>"v{ll":{"label":"Bugs","extra":"Ants, beetles, spiders, and roaches. It’s “A Bug’s Life.”","sets":"Junior"},</v>
      </c>
      <c r="E281" s="9" t="str">
        <f t="shared" si="2"/>
        <v>data:image/svg+xml,%3csvg xmlns='http://www.w3.org/2000/svg' viewBox='0 0 24 216'%3e%3ctext fill='%23fff' style='font: 900 16px sans-serif' text-anchor='end' transform='matrix(0 -1 1 0 18 5)'%3eBugs%3c/text%3e%3c/svg%3e</v>
      </c>
      <c r="F281" s="14" t="str">
        <f t="shared" si="3"/>
        <v>https://svgtext.heliohost.us/cgi-bin/gen.perl?text=Bugs</v>
      </c>
      <c r="G281" s="11" t="str">
        <f t="shared" si="4"/>
        <v>data:image/svg+xml,%3csvg xmlns='http://www.w3.org/2000/svg' viewBox='0 0 24 216'%3e%3ctext fill='%23fff' style='font: 900 16px sans-serif' text-anchor='end' transform='matrix(0 -1 1 0 18 5)'%3eBugs%3c/text%3e%3c/svg%3e</v>
      </c>
      <c r="H281" s="8" t="s">
        <v>84</v>
      </c>
      <c r="I281" s="8">
        <f t="shared" ref="I281:J281" si="282">len(B281)</f>
        <v>4</v>
      </c>
      <c r="J281" s="8">
        <f t="shared" si="282"/>
        <v>57</v>
      </c>
      <c r="K281" s="8" t="s">
        <v>2573</v>
      </c>
    </row>
    <row r="282">
      <c r="A282" s="7" t="b">
        <v>1</v>
      </c>
      <c r="B282" s="8" t="s">
        <v>2574</v>
      </c>
      <c r="C282" s="7" t="s">
        <v>2575</v>
      </c>
      <c r="D282" s="8" t="str">
        <f>Q&amp;$K282&amp;Q&amp;":{"&amp;Q&amp;$B$2&amp;Q&amp;":"&amp;Q&amp;$B282&amp;Q&amp;","&amp;Q&amp;$C$2&amp;Q&amp;":"&amp;Q&amp;$C282&amp;Q&amp;","&amp;Q&amp;"sets"&amp;Q&amp;":"&amp;Q&amp;substitute(SUBSTITUTE($H282,"[",""),"]","")&amp;Q&amp;"},"</f>
        <v>"gmyd":{"label":"Bugs Bunny","extra":"A tall, skinny cartoon rabbit. “What’s up, Doc?”","sets":"Junior"},</v>
      </c>
      <c r="E282" s="9" t="str">
        <f t="shared" si="2"/>
        <v>data:image/svg+xml,%3csvg xmlns='http://www.w3.org/2000/svg' viewBox='0 0 24 216'%3e%3ctext fill='%23fff' style='font: 900 16px sans-serif' text-anchor='end' transform='matrix(0 -1 1 0 18 5)'%3eBugs Bunny%3c/text%3e%3c/svg%3e</v>
      </c>
      <c r="F282" s="14" t="str">
        <f t="shared" si="3"/>
        <v>https://svgtext.heliohost.us/cgi-bin/gen.perl?text=Bugs%20Bunny</v>
      </c>
      <c r="G282" s="11" t="str">
        <f t="shared" si="4"/>
        <v>data:image/svg+xml,%3csvg xmlns='http://www.w3.org/2000/svg' viewBox='0 0 24 216'%3e%3ctext fill='%23fff' style='font: 900 16px sans-serif' text-anchor='end' transform='matrix(0 -1 1 0 18 5)'%3eBugs Bunny%3c/text%3e%3c/svg%3e</v>
      </c>
      <c r="H282" s="8" t="s">
        <v>84</v>
      </c>
      <c r="I282" s="8">
        <f t="shared" ref="I282:J282" si="283">len(B282)</f>
        <v>10</v>
      </c>
      <c r="J282" s="8">
        <f t="shared" si="283"/>
        <v>48</v>
      </c>
      <c r="K282" s="8" t="s">
        <v>2576</v>
      </c>
    </row>
    <row r="283">
      <c r="A283" s="7" t="b">
        <v>1</v>
      </c>
      <c r="B283" s="8" t="s">
        <v>2577</v>
      </c>
      <c r="C283" s="8" t="s">
        <v>2578</v>
      </c>
      <c r="D283" s="8" t="str">
        <f>Q&amp;$K283&amp;Q&amp;":{"&amp;Q&amp;$B$2&amp;Q&amp;":"&amp;Q&amp;$B283&amp;Q&amp;","&amp;Q&amp;$C$2&amp;Q&amp;":"&amp;Q&amp;$C283&amp;Q&amp;","&amp;Q&amp;"sets"&amp;Q&amp;":"&amp;Q&amp;substitute(SUBSTITUTE($H283,"[",""),"]","")&amp;Q&amp;"},"</f>
        <v>"keey":{"label":"Bullfighting","extra":"A traditional sport in some Spanish speaking countries.","sets":"Junior 9+ (2nd)"},</v>
      </c>
      <c r="E283" s="9" t="str">
        <f t="shared" si="2"/>
        <v>data:image/svg+xml,%3csvg xmlns='http://www.w3.org/2000/svg' viewBox='0 0 24 216'%3e%3ctext fill='%23fff' style='font: 900 16px sans-serif' text-anchor='end' transform='matrix(0 -1 1 0 18 5)'%3eBullfighting%3c/text%3e%3c/svg%3e</v>
      </c>
      <c r="F283" s="14" t="str">
        <f t="shared" si="3"/>
        <v>https://svgtext.heliohost.us/cgi-bin/gen.perl?text=Bullfighting</v>
      </c>
      <c r="G283" s="11" t="str">
        <f t="shared" si="4"/>
        <v>data:image/svg+xml,%3csvg xmlns='http://www.w3.org/2000/svg' viewBox='0 0 24 216'%3e%3ctext fill='%23fff' style='font: 900 16px sans-serif' text-anchor='end' transform='matrix(0 -1 1 0 18 5)'%3eBullfighting%3c/text%3e%3c/svg%3e</v>
      </c>
      <c r="H283" s="8" t="s">
        <v>32</v>
      </c>
      <c r="I283" s="8">
        <f t="shared" ref="I283:J283" si="284">len(B283)</f>
        <v>12</v>
      </c>
      <c r="J283" s="8">
        <f t="shared" si="284"/>
        <v>55</v>
      </c>
      <c r="K283" s="8" t="s">
        <v>2579</v>
      </c>
    </row>
    <row r="284">
      <c r="A284" s="7" t="b">
        <v>1</v>
      </c>
      <c r="B284" s="8" t="s">
        <v>2580</v>
      </c>
      <c r="C284" s="8" t="s">
        <v>2581</v>
      </c>
      <c r="D284" s="8" t="str">
        <f>Q&amp;$K284&amp;Q&amp;":{"&amp;Q&amp;$B$2&amp;Q&amp;":"&amp;Q&amp;$B284&amp;Q&amp;","&amp;Q&amp;$C$2&amp;Q&amp;":"&amp;Q&amp;$C284&amp;Q&amp;","&amp;Q&amp;"sets"&amp;Q&amp;":"&amp;Q&amp;substitute(SUBSTITUTE($H284,"[",""),"]","")&amp;Q&amp;"},"</f>
        <v>"ihke":{"label":"Bulls &amp; Bears","extra":"On or off Wall Street.","sets":"Expansion Set 4, Party Expansion 1"},</v>
      </c>
      <c r="E284" s="9" t="str">
        <f t="shared" si="2"/>
        <v>data:image/svg+xml,%3csvg xmlns='http://www.w3.org/2000/svg' viewBox='0 0 24 216'%3e%3ctext fill='%23fff' style='font: 900 16px sans-serif' text-anchor='end' transform='matrix(0 -1 1 0 18 5)'%3eBulls %26amp%3B Bears%3c/text%3e%3c/svg%3e</v>
      </c>
      <c r="F284" s="14" t="str">
        <f t="shared" si="3"/>
        <v>https://svgtext.heliohost.us/cgi-bin/gen.perl?text=Bulls%20%26%20Bears</v>
      </c>
      <c r="G284" s="11" t="str">
        <f t="shared" si="4"/>
        <v>data:image/svg+xml,%3csvg xmlns='http://www.w3.org/2000/svg' viewBox='0 0 24 216'%3e%3ctext fill='%23fff' style='font: 900 16px sans-serif' text-anchor='end' transform='matrix(0 -1 1 0 18 5)'%3eBulls %26amp%3B Bears%3c/text%3e%3c/svg%3e</v>
      </c>
      <c r="H284" s="8" t="s">
        <v>63</v>
      </c>
      <c r="I284" s="8">
        <f t="shared" ref="I284:J284" si="285">len(B284)</f>
        <v>13</v>
      </c>
      <c r="J284" s="8">
        <f t="shared" si="285"/>
        <v>22</v>
      </c>
      <c r="K284" s="8" t="s">
        <v>2582</v>
      </c>
    </row>
    <row r="285">
      <c r="A285" s="7" t="b">
        <v>0</v>
      </c>
      <c r="B285" s="8" t="s">
        <v>2583</v>
      </c>
      <c r="C285" s="7" t="s">
        <v>2584</v>
      </c>
      <c r="D285" s="8" t="str">
        <f>Q&amp;$K285&amp;Q&amp;":{"&amp;Q&amp;$B$2&amp;Q&amp;":"&amp;Q&amp;$B285&amp;Q&amp;","&amp;Q&amp;$C$2&amp;Q&amp;":"&amp;Q&amp;$C285&amp;Q&amp;","&amp;Q&amp;"sets"&amp;Q&amp;":"&amp;Q&amp;substitute(SUBSTITUTE($H285,"[",""),"]","")&amp;Q&amp;"},"</f>
        <v>"zdbx":{"label":"Bullwinkle","extra":"As in the cartoon “The Adventures of Rocky and Bullwinkle” the moose half of moose and squirrel.","sets":"Expansion Set 1, Party Set"},</v>
      </c>
      <c r="E285" s="9" t="str">
        <f t="shared" si="2"/>
        <v>data:image/svg+xml,%3csvg xmlns='http://www.w3.org/2000/svg' viewBox='0 0 24 216'%3e%3ctext fill='%23fff' style='font: 900 16px sans-serif' text-anchor='end' transform='matrix(0 -1 1 0 18 5)'%3eBullwinkle%3c/text%3e%3c/svg%3e</v>
      </c>
      <c r="F285" s="14" t="str">
        <f t="shared" si="3"/>
        <v>https://svgtext.heliohost.us/cgi-bin/gen.perl?text=Bullwinkle</v>
      </c>
      <c r="G285" s="11" t="str">
        <f t="shared" si="4"/>
        <v>data:image/svg+xml,%3csvg xmlns='http://www.w3.org/2000/svg' viewBox='0 0 24 216'%3e%3ctext fill='%23fff' style='font: 900 16px sans-serif' text-anchor='end' transform='matrix(0 -1 1 0 18 5)'%3eBullwinkle%3c/text%3e%3c/svg%3e</v>
      </c>
      <c r="H285" s="8" t="s">
        <v>25</v>
      </c>
      <c r="I285" s="8">
        <f t="shared" ref="I285:J285" si="286">len(B285)</f>
        <v>10</v>
      </c>
      <c r="J285" s="8">
        <f t="shared" si="286"/>
        <v>96</v>
      </c>
      <c r="K285" s="8" t="s">
        <v>2585</v>
      </c>
    </row>
    <row r="286">
      <c r="A286" s="7" t="b">
        <v>1</v>
      </c>
      <c r="B286" s="8" t="s">
        <v>2586</v>
      </c>
      <c r="C286" s="8" t="s">
        <v>2587</v>
      </c>
      <c r="D286" s="8" t="str">
        <f>Q&amp;$K286&amp;Q&amp;":{"&amp;Q&amp;$B$2&amp;Q&amp;":"&amp;Q&amp;$B286&amp;Q&amp;","&amp;Q&amp;$C$2&amp;Q&amp;":"&amp;Q&amp;$C286&amp;Q&amp;","&amp;Q&amp;"sets"&amp;Q&amp;":"&amp;Q&amp;substitute(SUBSTITUTE($H286,"[",""),"]","")&amp;Q&amp;"},"</f>
        <v>"gdzg":{"label":"Bumble Bees","extra":"Large, fuzzy bees with yellow and black stripes. Watch outthey sting!","sets":"Junior"},</v>
      </c>
      <c r="E286" s="9" t="str">
        <f t="shared" si="2"/>
        <v>data:image/svg+xml,%3csvg xmlns='http://www.w3.org/2000/svg' viewBox='0 0 24 216'%3e%3ctext fill='%23fff' style='font: 900 16px sans-serif' text-anchor='end' transform='matrix(0 -1 1 0 18 5)'%3eBumble Bees%3c/text%3e%3c/svg%3e</v>
      </c>
      <c r="F286" s="14" t="str">
        <f t="shared" si="3"/>
        <v>https://svgtext.heliohost.us/cgi-bin/gen.perl?text=Bumble%20Bees</v>
      </c>
      <c r="G286" s="11" t="str">
        <f t="shared" si="4"/>
        <v>data:image/svg+xml,%3csvg xmlns='http://www.w3.org/2000/svg' viewBox='0 0 24 216'%3e%3ctext fill='%23fff' style='font: 900 16px sans-serif' text-anchor='end' transform='matrix(0 -1 1 0 18 5)'%3eBumble Bees%3c/text%3e%3c/svg%3e</v>
      </c>
      <c r="H286" s="8" t="s">
        <v>84</v>
      </c>
      <c r="I286" s="8">
        <f t="shared" ref="I286:J286" si="287">len(B286)</f>
        <v>11</v>
      </c>
      <c r="J286" s="8">
        <f t="shared" si="287"/>
        <v>69</v>
      </c>
      <c r="K286" s="8" t="s">
        <v>2588</v>
      </c>
    </row>
    <row r="287">
      <c r="A287" s="7" t="b">
        <v>1</v>
      </c>
      <c r="B287" s="8" t="s">
        <v>2589</v>
      </c>
      <c r="C287" s="7" t="s">
        <v>2590</v>
      </c>
      <c r="D287" s="8" t="str">
        <f>Q&amp;$K287&amp;Q&amp;":{"&amp;Q&amp;$B$2&amp;Q&amp;":"&amp;Q&amp;$B287&amp;Q&amp;","&amp;Q&amp;$C$2&amp;Q&amp;":"&amp;Q&amp;$C287&amp;Q&amp;","&amp;Q&amp;"sets"&amp;Q&amp;":"&amp;Q&amp;substitute(SUBSTITUTE($H287,"[",""),"]","")&amp;Q&amp;"},"</f>
        <v>"mrvt":{"label":"Bumper Cars","extra":"Much like rush hour in Chicago.","sets":"Expansion Set 3, Party Expansion 1"},</v>
      </c>
      <c r="E287" s="9" t="str">
        <f t="shared" si="2"/>
        <v>data:image/svg+xml,%3csvg xmlns='http://www.w3.org/2000/svg' viewBox='0 0 24 216'%3e%3ctext fill='%23fff' style='font: 900 16px sans-serif' text-anchor='end' transform='matrix(0 -1 1 0 18 5)'%3eBumper Cars%3c/text%3e%3c/svg%3e</v>
      </c>
      <c r="F287" s="14" t="str">
        <f t="shared" si="3"/>
        <v>https://svgtext.heliohost.us/cgi-bin/gen.perl?text=Bumper%20Cars</v>
      </c>
      <c r="G287" s="11" t="str">
        <f t="shared" si="4"/>
        <v>data:image/svg+xml,%3csvg xmlns='http://www.w3.org/2000/svg' viewBox='0 0 24 216'%3e%3ctext fill='%23fff' style='font: 900 16px sans-serif' text-anchor='end' transform='matrix(0 -1 1 0 18 5)'%3eBumper Cars%3c/text%3e%3c/svg%3e</v>
      </c>
      <c r="H287" s="8" t="s">
        <v>39</v>
      </c>
      <c r="I287" s="8">
        <f t="shared" ref="I287:J287" si="288">len(B287)</f>
        <v>11</v>
      </c>
      <c r="J287" s="8">
        <f t="shared" si="288"/>
        <v>31</v>
      </c>
      <c r="K287" s="8" t="s">
        <v>2591</v>
      </c>
    </row>
    <row r="288">
      <c r="A288" s="7" t="b">
        <v>0</v>
      </c>
      <c r="B288" s="8" t="s">
        <v>2592</v>
      </c>
      <c r="C288" s="8" t="s">
        <v>2593</v>
      </c>
      <c r="D288" s="8" t="str">
        <f>Q&amp;$K288&amp;Q&amp;":{"&amp;Q&amp;$B$2&amp;Q&amp;":"&amp;Q&amp;$B288&amp;Q&amp;","&amp;Q&amp;$C$2&amp;Q&amp;":"&amp;Q&amp;$C288&amp;Q&amp;","&amp;Q&amp;"sets"&amp;Q&amp;":"&amp;Q&amp;substitute(SUBSTITUTE($H288,"[",""),"]","")&amp;Q&amp;"},"</f>
        <v>"qeh{":{"label":"Bumper Stickers","extra":"Your personal billboard!","sets":"Expansion Set 1, Party Set"},</v>
      </c>
      <c r="E288" s="9" t="str">
        <f t="shared" si="2"/>
        <v>data:image/svg+xml,%3csvg xmlns='http://www.w3.org/2000/svg' viewBox='0 0 24 216'%3e%3ctext fill='%23fff' style='font: 900 16px sans-serif' text-anchor='end' transform='matrix(0 -1 1 0 18 5)'%3eBumper Stickers%3c/text%3e%3c/svg%3e</v>
      </c>
      <c r="F288" s="14" t="str">
        <f t="shared" si="3"/>
        <v>https://svgtext.heliohost.us/cgi-bin/gen.perl?text=Bumper%20Stickers</v>
      </c>
      <c r="G288" s="11" t="str">
        <f t="shared" si="4"/>
        <v>data:image/svg+xml,%3csvg xmlns='http://www.w3.org/2000/svg' viewBox='0 0 24 216'%3e%3ctext fill='%23fff' style='font: 900 16px sans-serif' text-anchor='end' transform='matrix(0 -1 1 0 18 5)'%3eBumper Stickers%3c/text%3e%3c/svg%3e</v>
      </c>
      <c r="H288" s="8" t="s">
        <v>25</v>
      </c>
      <c r="I288" s="8">
        <f t="shared" ref="I288:J288" si="289">len(B288)</f>
        <v>15</v>
      </c>
      <c r="J288" s="8">
        <f t="shared" si="289"/>
        <v>24</v>
      </c>
      <c r="K288" s="8" t="s">
        <v>2594</v>
      </c>
    </row>
    <row r="289">
      <c r="A289" s="7" t="b">
        <v>0</v>
      </c>
      <c r="B289" s="8" t="s">
        <v>2595</v>
      </c>
      <c r="C289" s="8" t="s">
        <v>2596</v>
      </c>
      <c r="D289" s="8" t="str">
        <f>Q&amp;$K289&amp;Q&amp;":{"&amp;Q&amp;$B$2&amp;Q&amp;":"&amp;Q&amp;$B289&amp;Q&amp;","&amp;Q&amp;$C$2&amp;Q&amp;":"&amp;Q&amp;$C289&amp;Q&amp;","&amp;Q&amp;"sets"&amp;Q&amp;":"&amp;Q&amp;substitute(SUBSTITUTE($H289,"[",""),"]","")&amp;Q&amp;"},"</f>
        <v>"aovy":{"label":"Bungee Jumping","extra":"Another sport hanging on by a thread.","sets":"Basic Set, Party Set"},</v>
      </c>
      <c r="E289" s="9" t="str">
        <f t="shared" si="2"/>
        <v>data:image/svg+xml,%3csvg xmlns='http://www.w3.org/2000/svg' viewBox='0 0 24 216'%3e%3ctext fill='%23fff' style='font: 900 16px sans-serif' text-anchor='end' transform='matrix(0 -1 1 0 18 5)'%3eBungee Jumping%3c/text%3e%3c/svg%3e</v>
      </c>
      <c r="F289" s="14" t="str">
        <f t="shared" si="3"/>
        <v>https://svgtext.heliohost.us/cgi-bin/gen.perl?text=Bungee%20Jumping</v>
      </c>
      <c r="G289" s="11" t="str">
        <f t="shared" si="4"/>
        <v>data:image/svg+xml,%3csvg xmlns='http://www.w3.org/2000/svg' viewBox='0 0 24 216'%3e%3ctext fill='%23fff' style='font: 900 16px sans-serif' text-anchor='end' transform='matrix(0 -1 1 0 18 5)'%3eBungee Jumping%3c/text%3e%3c/svg%3e</v>
      </c>
      <c r="H289" s="8" t="s">
        <v>29</v>
      </c>
      <c r="I289" s="8">
        <f t="shared" ref="I289:J289" si="290">len(B289)</f>
        <v>14</v>
      </c>
      <c r="J289" s="8">
        <f t="shared" si="290"/>
        <v>37</v>
      </c>
      <c r="K289" s="8" t="s">
        <v>2597</v>
      </c>
    </row>
    <row r="290">
      <c r="A290" s="7" t="b">
        <v>1</v>
      </c>
      <c r="B290" s="8" t="s">
        <v>2598</v>
      </c>
      <c r="C290" s="8" t="s">
        <v>2599</v>
      </c>
      <c r="D290" s="8" t="str">
        <f>Q&amp;$K290&amp;Q&amp;":{"&amp;Q&amp;$B$2&amp;Q&amp;":"&amp;Q&amp;$B290&amp;Q&amp;","&amp;Q&amp;$C$2&amp;Q&amp;":"&amp;Q&amp;$C290&amp;Q&amp;","&amp;Q&amp;"sets"&amp;Q&amp;":"&amp;Q&amp;substitute(SUBSTITUTE($H290,"[",""),"]","")&amp;Q&amp;"},"</f>
        <v>"sdzo":{"label":"Bunk Beds","extra":"Two single beds, one on top of the other. I want the top!","sets":"Junior 9+ (1st) &amp; (2nd)"},</v>
      </c>
      <c r="E290" s="9" t="str">
        <f t="shared" si="2"/>
        <v>data:image/svg+xml,%3csvg xmlns='http://www.w3.org/2000/svg' viewBox='0 0 24 216'%3e%3ctext fill='%23fff' style='font: 900 16px sans-serif' text-anchor='end' transform='matrix(0 -1 1 0 18 5)'%3eBunk Beds%3c/text%3e%3c/svg%3e</v>
      </c>
      <c r="F290" s="14" t="str">
        <f t="shared" si="3"/>
        <v>https://svgtext.heliohost.us/cgi-bin/gen.perl?text=Bunk%20Beds</v>
      </c>
      <c r="G290" s="11" t="str">
        <f t="shared" si="4"/>
        <v>data:image/svg+xml,%3csvg xmlns='http://www.w3.org/2000/svg' viewBox='0 0 24 216'%3e%3ctext fill='%23fff' style='font: 900 16px sans-serif' text-anchor='end' transform='matrix(0 -1 1 0 18 5)'%3eBunk Beds%3c/text%3e%3c/svg%3e</v>
      </c>
      <c r="H290" s="8" t="s">
        <v>42</v>
      </c>
      <c r="I290" s="8">
        <f t="shared" ref="I290:J290" si="291">len(B290)</f>
        <v>9</v>
      </c>
      <c r="J290" s="8">
        <f t="shared" si="291"/>
        <v>57</v>
      </c>
      <c r="K290" s="8" t="s">
        <v>2600</v>
      </c>
    </row>
    <row r="291">
      <c r="A291" s="7" t="b">
        <v>1</v>
      </c>
      <c r="B291" s="8" t="s">
        <v>2601</v>
      </c>
      <c r="C291" s="7" t="s">
        <v>2602</v>
      </c>
      <c r="D291" s="8" t="str">
        <f>Q&amp;$K291&amp;Q&amp;":{"&amp;Q&amp;$B$2&amp;Q&amp;":"&amp;Q&amp;$B291&amp;Q&amp;","&amp;Q&amp;$C$2&amp;Q&amp;":"&amp;Q&amp;$C291&amp;Q&amp;","&amp;Q&amp;"sets"&amp;Q&amp;":"&amp;Q&amp;substitute(SUBSTITUTE($H291,"[",""),"]","")&amp;Q&amp;"},"</f>
        <v>"kmez":{"label":"Burger &amp; Fries","extra":"“You want flies with that?”","sets":"Expansion Set 4, Party Expansion 1"},</v>
      </c>
      <c r="E291" s="9" t="str">
        <f t="shared" si="2"/>
        <v>data:image/svg+xml,%3csvg xmlns='http://www.w3.org/2000/svg' viewBox='0 0 24 216'%3e%3ctext fill='%23fff' style='font: 900 16px sans-serif' text-anchor='end' transform='matrix(0 -1 1 0 18 5)'%3eBurger %26amp%3B Fries%3c/text%3e%3c/svg%3e</v>
      </c>
      <c r="F291" s="14" t="str">
        <f t="shared" si="3"/>
        <v>https://svgtext.heliohost.us/cgi-bin/gen.perl?text=Burger%20%26%20Fries</v>
      </c>
      <c r="G291" s="11" t="str">
        <f t="shared" si="4"/>
        <v>data:image/svg+xml,%3csvg xmlns='http://www.w3.org/2000/svg' viewBox='0 0 24 216'%3e%3ctext fill='%23fff' style='font: 900 16px sans-serif' text-anchor='end' transform='matrix(0 -1 1 0 18 5)'%3eBurger %26amp%3B Fries%3c/text%3e%3c/svg%3e</v>
      </c>
      <c r="H291" s="8" t="s">
        <v>63</v>
      </c>
      <c r="I291" s="8">
        <f t="shared" ref="I291:J291" si="292">len(B291)</f>
        <v>14</v>
      </c>
      <c r="J291" s="8">
        <f t="shared" si="292"/>
        <v>27</v>
      </c>
      <c r="K291" s="8" t="s">
        <v>2603</v>
      </c>
    </row>
    <row r="292">
      <c r="A292" s="7" t="b">
        <v>1</v>
      </c>
      <c r="B292" s="8" t="s">
        <v>2604</v>
      </c>
      <c r="C292" s="8" t="s">
        <v>2605</v>
      </c>
      <c r="D292" s="8" t="str">
        <f>Q&amp;$K292&amp;Q&amp;":{"&amp;Q&amp;$B$2&amp;Q&amp;":"&amp;Q&amp;$B292&amp;Q&amp;","&amp;Q&amp;$C$2&amp;Q&amp;":"&amp;Q&amp;$C292&amp;Q&amp;","&amp;Q&amp;"sets"&amp;Q&amp;":"&amp;Q&amp;substitute(SUBSTITUTE($H292,"[",""),"]","")&amp;Q&amp;"},"</f>
        <v>"eunm":{"label":"Burned Toast","extra":"Want some burned bacon with that?","sets":"Junior 9+ (1st) &amp; (2nd)"},</v>
      </c>
      <c r="E292" s="9" t="str">
        <f t="shared" si="2"/>
        <v>data:image/svg+xml,%3csvg xmlns='http://www.w3.org/2000/svg' viewBox='0 0 24 216'%3e%3ctext fill='%23fff' style='font: 900 16px sans-serif' text-anchor='end' transform='matrix(0 -1 1 0 18 5)'%3eBurned Toast%3c/text%3e%3c/svg%3e</v>
      </c>
      <c r="F292" s="14" t="str">
        <f t="shared" si="3"/>
        <v>https://svgtext.heliohost.us/cgi-bin/gen.perl?text=Burned%20Toast</v>
      </c>
      <c r="G292" s="11" t="str">
        <f t="shared" si="4"/>
        <v>data:image/svg+xml,%3csvg xmlns='http://www.w3.org/2000/svg' viewBox='0 0 24 216'%3e%3ctext fill='%23fff' style='font: 900 16px sans-serif' text-anchor='end' transform='matrix(0 -1 1 0 18 5)'%3eBurned Toast%3c/text%3e%3c/svg%3e</v>
      </c>
      <c r="H292" s="8" t="s">
        <v>42</v>
      </c>
      <c r="I292" s="8">
        <f t="shared" ref="I292:J292" si="293">len(B292)</f>
        <v>12</v>
      </c>
      <c r="J292" s="8">
        <f t="shared" si="293"/>
        <v>33</v>
      </c>
      <c r="K292" s="8" t="s">
        <v>2606</v>
      </c>
    </row>
    <row r="293">
      <c r="A293" s="7" t="b">
        <v>1</v>
      </c>
      <c r="B293" s="8" t="s">
        <v>2607</v>
      </c>
      <c r="C293" s="7" t="s">
        <v>2608</v>
      </c>
      <c r="D293" s="8" t="str">
        <f>Q&amp;$K293&amp;Q&amp;":{"&amp;Q&amp;$B$2&amp;Q&amp;":"&amp;Q&amp;$B293&amp;Q&amp;","&amp;Q&amp;$C$2&amp;Q&amp;":"&amp;Q&amp;$C293&amp;Q&amp;","&amp;Q&amp;"sets"&amp;Q&amp;":"&amp;Q&amp;substitute(SUBSTITUTE($H293,"[",""),"]","")&amp;Q&amp;"},"</f>
        <v>"{wgz":{"label":"Bus Drivers","extra":"Don’t bother the bus driver.","sets":"Junior 9+ (1st) &amp; (2nd)"},</v>
      </c>
      <c r="E293" s="9" t="str">
        <f t="shared" si="2"/>
        <v>data:image/svg+xml,%3csvg xmlns='http://www.w3.org/2000/svg' viewBox='0 0 24 216'%3e%3ctext fill='%23fff' style='font: 900 16px sans-serif' text-anchor='end' transform='matrix(0 -1 1 0 18 5)'%3eBus Drivers%3c/text%3e%3c/svg%3e</v>
      </c>
      <c r="F293" s="14" t="str">
        <f t="shared" si="3"/>
        <v>https://svgtext.heliohost.us/cgi-bin/gen.perl?text=Bus%20Drivers</v>
      </c>
      <c r="G293" s="11" t="str">
        <f t="shared" si="4"/>
        <v>data:image/svg+xml,%3csvg xmlns='http://www.w3.org/2000/svg' viewBox='0 0 24 216'%3e%3ctext fill='%23fff' style='font: 900 16px sans-serif' text-anchor='end' transform='matrix(0 -1 1 0 18 5)'%3eBus Drivers%3c/text%3e%3c/svg%3e</v>
      </c>
      <c r="H293" s="8" t="s">
        <v>42</v>
      </c>
      <c r="I293" s="8">
        <f t="shared" ref="I293:J293" si="294">len(B293)</f>
        <v>11</v>
      </c>
      <c r="J293" s="8">
        <f t="shared" si="294"/>
        <v>28</v>
      </c>
      <c r="K293" s="8" t="s">
        <v>2609</v>
      </c>
    </row>
    <row r="294">
      <c r="A294" s="7" t="b">
        <v>1</v>
      </c>
      <c r="B294" s="8" t="s">
        <v>2610</v>
      </c>
      <c r="C294" s="7" t="s">
        <v>2611</v>
      </c>
      <c r="D294" s="8" t="str">
        <f>Q&amp;$K294&amp;Q&amp;":{"&amp;Q&amp;$B$2&amp;Q&amp;":"&amp;Q&amp;$B294&amp;Q&amp;","&amp;Q&amp;$C$2&amp;Q&amp;":"&amp;Q&amp;$C294&amp;Q&amp;","&amp;Q&amp;"sets"&amp;Q&amp;":"&amp;Q&amp;substitute(SUBSTITUTE($H294,"[",""),"]","")&amp;Q&amp;"},"</f>
        <v>"mrhh":{"label":"Butter","extra":"What’s better than butter?","sets":"Junior 9+ (1st) &amp; (2nd)"},</v>
      </c>
      <c r="E294" s="9" t="str">
        <f t="shared" si="2"/>
        <v>data:image/svg+xml,%3csvg xmlns='http://www.w3.org/2000/svg' viewBox='0 0 24 216'%3e%3ctext fill='%23fff' style='font: 900 16px sans-serif' text-anchor='end' transform='matrix(0 -1 1 0 18 5)'%3eButter%3c/text%3e%3c/svg%3e</v>
      </c>
      <c r="F294" s="14" t="str">
        <f t="shared" si="3"/>
        <v>https://svgtext.heliohost.us/cgi-bin/gen.perl?text=Butter</v>
      </c>
      <c r="G294" s="11" t="str">
        <f t="shared" si="4"/>
        <v>data:image/svg+xml,%3csvg xmlns='http://www.w3.org/2000/svg' viewBox='0 0 24 216'%3e%3ctext fill='%23fff' style='font: 900 16px sans-serif' text-anchor='end' transform='matrix(0 -1 1 0 18 5)'%3eButter%3c/text%3e%3c/svg%3e</v>
      </c>
      <c r="H294" s="8" t="s">
        <v>42</v>
      </c>
      <c r="I294" s="8">
        <f t="shared" ref="I294:J294" si="295">len(B294)</f>
        <v>6</v>
      </c>
      <c r="J294" s="8">
        <f t="shared" si="295"/>
        <v>26</v>
      </c>
      <c r="K294" s="8" t="s">
        <v>2612</v>
      </c>
    </row>
    <row r="295">
      <c r="A295" s="7" t="b">
        <v>1</v>
      </c>
      <c r="B295" s="8" t="s">
        <v>2613</v>
      </c>
      <c r="C295" s="8" t="s">
        <v>2614</v>
      </c>
      <c r="D295" s="8" t="str">
        <f>Q&amp;$K295&amp;Q&amp;":{"&amp;Q&amp;$B$2&amp;Q&amp;":"&amp;Q&amp;$B295&amp;Q&amp;","&amp;Q&amp;$C$2&amp;Q&amp;":"&amp;Q&amp;$C295&amp;Q&amp;","&amp;Q&amp;"sets"&amp;Q&amp;":"&amp;Q&amp;substitute(SUBSTITUTE($H295,"[",""),"]","")&amp;Q&amp;"},"</f>
        <v>"uxdp":{"label":"Butterflies","extra":"Butterflies flutter by.","sets":"Junior 9+ (1st) &amp; (2nd)"},</v>
      </c>
      <c r="E295" s="9" t="str">
        <f t="shared" si="2"/>
        <v>data:image/svg+xml,%3csvg xmlns='http://www.w3.org/2000/svg' viewBox='0 0 24 216'%3e%3ctext fill='%23fff' style='font: 900 16px sans-serif' text-anchor='end' transform='matrix(0 -1 1 0 18 5)'%3eButterflies%3c/text%3e%3c/svg%3e</v>
      </c>
      <c r="F295" s="14" t="str">
        <f t="shared" si="3"/>
        <v>https://svgtext.heliohost.us/cgi-bin/gen.perl?text=Butterflies</v>
      </c>
      <c r="G295" s="11" t="str">
        <f t="shared" si="4"/>
        <v>data:image/svg+xml,%3csvg xmlns='http://www.w3.org/2000/svg' viewBox='0 0 24 216'%3e%3ctext fill='%23fff' style='font: 900 16px sans-serif' text-anchor='end' transform='matrix(0 -1 1 0 18 5)'%3eButterflies%3c/text%3e%3c/svg%3e</v>
      </c>
      <c r="H295" s="8" t="s">
        <v>42</v>
      </c>
      <c r="I295" s="8">
        <f t="shared" ref="I295:J295" si="296">len(B295)</f>
        <v>11</v>
      </c>
      <c r="J295" s="8">
        <f t="shared" si="296"/>
        <v>23</v>
      </c>
      <c r="K295" s="8" t="s">
        <v>2615</v>
      </c>
    </row>
    <row r="296">
      <c r="A296" s="7" t="b">
        <v>1</v>
      </c>
      <c r="B296" s="8" t="s">
        <v>2616</v>
      </c>
      <c r="C296" s="8" t="s">
        <v>2617</v>
      </c>
      <c r="D296" s="8" t="str">
        <f>Q&amp;$K296&amp;Q&amp;":{"&amp;Q&amp;$B$2&amp;Q&amp;":"&amp;Q&amp;$B296&amp;Q&amp;","&amp;Q&amp;$C$2&amp;Q&amp;":"&amp;Q&amp;$C296&amp;Q&amp;","&amp;Q&amp;"sets"&amp;Q&amp;":"&amp;Q&amp;substitute(SUBSTITUTE($H296,"[",""),"]","")&amp;Q&amp;"},"</f>
        <v>"{wze":{"label":"Buttons &amp; Bows","extra":"Cute as a button, or a bow.","sets":"Expansion Set 4, Party Expansion 1"},</v>
      </c>
      <c r="E296" s="9" t="str">
        <f t="shared" si="2"/>
        <v>data:image/svg+xml,%3csvg xmlns='http://www.w3.org/2000/svg' viewBox='0 0 24 216'%3e%3ctext fill='%23fff' style='font: 900 16px sans-serif' text-anchor='end' transform='matrix(0 -1 1 0 18 5)'%3eButtons %26amp%3B Bows%3c/text%3e%3c/svg%3e</v>
      </c>
      <c r="F296" s="14" t="str">
        <f t="shared" si="3"/>
        <v>https://svgtext.heliohost.us/cgi-bin/gen.perl?text=Buttons%20%26%20Bows</v>
      </c>
      <c r="G296" s="11" t="str">
        <f t="shared" si="4"/>
        <v>data:image/svg+xml,%3csvg xmlns='http://www.w3.org/2000/svg' viewBox='0 0 24 216'%3e%3ctext fill='%23fff' style='font: 900 16px sans-serif' text-anchor='end' transform='matrix(0 -1 1 0 18 5)'%3eButtons %26amp%3B Bows%3c/text%3e%3c/svg%3e</v>
      </c>
      <c r="H296" s="8" t="s">
        <v>63</v>
      </c>
      <c r="I296" s="8">
        <f t="shared" ref="I296:J296" si="297">len(B296)</f>
        <v>14</v>
      </c>
      <c r="J296" s="8">
        <f t="shared" si="297"/>
        <v>27</v>
      </c>
      <c r="K296" s="8" t="s">
        <v>2618</v>
      </c>
    </row>
    <row r="297">
      <c r="A297" s="7" t="b">
        <v>0</v>
      </c>
      <c r="B297" s="8" t="s">
        <v>2619</v>
      </c>
      <c r="C297" s="8" t="s">
        <v>2620</v>
      </c>
      <c r="D297" s="8" t="str">
        <f>Q&amp;$K297&amp;Q&amp;":{"&amp;Q&amp;$B$2&amp;Q&amp;":"&amp;Q&amp;$B297&amp;Q&amp;","&amp;Q&amp;$C$2&amp;Q&amp;":"&amp;Q&amp;$C297&amp;Q&amp;","&amp;Q&amp;"sets"&amp;Q&amp;":"&amp;Q&amp;substitute(SUBSTITUTE($H297,"[",""),"]","")&amp;Q&amp;"},"</f>
        <v>"zcll":{"label":"Buying A House","extra":"If only we had the money, we could get a mortgage.","sets":"Expansion Set 1, Party Set"},</v>
      </c>
      <c r="E297" s="9" t="str">
        <f t="shared" si="2"/>
        <v>data:image/svg+xml,%3csvg xmlns='http://www.w3.org/2000/svg' viewBox='0 0 24 216'%3e%3ctext fill='%23fff' style='font: 900 16px sans-serif' text-anchor='end' transform='matrix(0 -1 1 0 18 5)'%3eBuying A House%3c/text%3e%3c/svg%3e</v>
      </c>
      <c r="F297" s="14" t="str">
        <f t="shared" si="3"/>
        <v>https://svgtext.heliohost.us/cgi-bin/gen.perl?text=Buying%20A%20House</v>
      </c>
      <c r="G297" s="11" t="str">
        <f t="shared" si="4"/>
        <v>data:image/svg+xml,%3csvg xmlns='http://www.w3.org/2000/svg' viewBox='0 0 24 216'%3e%3ctext fill='%23fff' style='font: 900 16px sans-serif' text-anchor='end' transform='matrix(0 -1 1 0 18 5)'%3eBuying A House%3c/text%3e%3c/svg%3e</v>
      </c>
      <c r="H297" s="8" t="s">
        <v>25</v>
      </c>
      <c r="I297" s="8">
        <f t="shared" ref="I297:J297" si="298">len(B297)</f>
        <v>14</v>
      </c>
      <c r="J297" s="8">
        <f t="shared" si="298"/>
        <v>50</v>
      </c>
      <c r="K297" s="8" t="s">
        <v>2621</v>
      </c>
    </row>
    <row r="298">
      <c r="A298" s="7" t="b">
        <v>1</v>
      </c>
      <c r="B298" s="8" t="s">
        <v>2622</v>
      </c>
      <c r="C298" s="7" t="s">
        <v>2623</v>
      </c>
      <c r="D298" s="8" t="str">
        <f>Q&amp;$K298&amp;Q&amp;":{"&amp;Q&amp;$B$2&amp;Q&amp;":"&amp;Q&amp;$B298&amp;Q&amp;","&amp;Q&amp;$C$2&amp;Q&amp;":"&amp;Q&amp;$C298&amp;Q&amp;","&amp;Q&amp;"sets"&amp;Q&amp;":"&amp;Q&amp;substitute(SUBSTITUTE($H298,"[",""),"]","")&amp;Q&amp;"},"</f>
        <v>"jdu{":{"label":"Buzz Lightyear","extra":"The animated star of Toy Story. “To infinity and beyond!”","sets":"Junior 9+ (2nd)"},</v>
      </c>
      <c r="E298" s="9" t="str">
        <f t="shared" si="2"/>
        <v>data:image/svg+xml,%3csvg xmlns='http://www.w3.org/2000/svg' viewBox='0 0 24 216'%3e%3ctext fill='%23fff' style='font: 900 16px sans-serif' text-anchor='end' transform='matrix(0 -1 1 0 18 5)'%3eBuzz Lightyear%3c/text%3e%3c/svg%3e</v>
      </c>
      <c r="F298" s="14" t="str">
        <f t="shared" si="3"/>
        <v>https://svgtext.heliohost.us/cgi-bin/gen.perl?text=Buzz%20Lightyear</v>
      </c>
      <c r="G298" s="11" t="str">
        <f t="shared" si="4"/>
        <v>data:image/svg+xml,%3csvg xmlns='http://www.w3.org/2000/svg' viewBox='0 0 24 216'%3e%3ctext fill='%23fff' style='font: 900 16px sans-serif' text-anchor='end' transform='matrix(0 -1 1 0 18 5)'%3eBuzz Lightyear%3c/text%3e%3c/svg%3e</v>
      </c>
      <c r="H298" s="8" t="s">
        <v>32</v>
      </c>
      <c r="I298" s="8">
        <f t="shared" ref="I298:J298" si="299">len(B298)</f>
        <v>14</v>
      </c>
      <c r="J298" s="8">
        <f t="shared" si="299"/>
        <v>57</v>
      </c>
      <c r="K298" s="8" t="s">
        <v>2624</v>
      </c>
    </row>
    <row r="299">
      <c r="A299" s="7" t="b">
        <v>0</v>
      </c>
      <c r="B299" s="8" t="s">
        <v>2625</v>
      </c>
      <c r="C299" s="7" t="s">
        <v>2626</v>
      </c>
      <c r="D299" s="8" t="str">
        <f>Q&amp;$K299&amp;Q&amp;":{"&amp;Q&amp;$B$2&amp;Q&amp;":"&amp;Q&amp;$B299&amp;Q&amp;","&amp;Q&amp;$C$2&amp;Q&amp;":"&amp;Q&amp;$C299&amp;Q&amp;","&amp;Q&amp;"sets"&amp;Q&amp;":"&amp;Q&amp;substitute(SUBSTITUTE($H299,"[",""),"]","")&amp;Q&amp;"},"</f>
        <v>"bshm":{"label":"Cabbage","extra":"From the French word caboche, meaning “big head.”","sets":"Expansion Set 2, Party Set"},</v>
      </c>
      <c r="E299" s="9" t="str">
        <f t="shared" si="2"/>
        <v>data:image/svg+xml,%3csvg xmlns='http://www.w3.org/2000/svg' viewBox='0 0 24 216'%3e%3ctext fill='%23fff' style='font: 900 16px sans-serif' text-anchor='end' transform='matrix(0 -1 1 0 18 5)'%3eCabbage%3c/text%3e%3c/svg%3e</v>
      </c>
      <c r="F299" s="14" t="str">
        <f t="shared" si="3"/>
        <v>https://svgtext.heliohost.us/cgi-bin/gen.perl?text=Cabbage</v>
      </c>
      <c r="G299" s="11" t="str">
        <f t="shared" si="4"/>
        <v>data:image/svg+xml,%3csvg xmlns='http://www.w3.org/2000/svg' viewBox='0 0 24 216'%3e%3ctext fill='%23fff' style='font: 900 16px sans-serif' text-anchor='end' transform='matrix(0 -1 1 0 18 5)'%3eCabbage%3c/text%3e%3c/svg%3e</v>
      </c>
      <c r="H299" s="8" t="s">
        <v>17</v>
      </c>
      <c r="I299" s="8">
        <f t="shared" ref="I299:J299" si="300">len(B299)</f>
        <v>7</v>
      </c>
      <c r="J299" s="8">
        <f t="shared" si="300"/>
        <v>49</v>
      </c>
      <c r="K299" s="8" t="s">
        <v>2627</v>
      </c>
    </row>
    <row r="300">
      <c r="A300" s="7" t="b">
        <v>0</v>
      </c>
      <c r="B300" s="8" t="s">
        <v>2628</v>
      </c>
      <c r="C300" s="8" t="s">
        <v>2629</v>
      </c>
      <c r="D300" s="8" t="str">
        <f>Q&amp;$K300&amp;Q&amp;":{"&amp;Q&amp;$B$2&amp;Q&amp;":"&amp;Q&amp;$B300&amp;Q&amp;","&amp;Q&amp;$C$2&amp;Q&amp;":"&amp;Q&amp;$C300&amp;Q&amp;","&amp;Q&amp;"sets"&amp;Q&amp;":"&amp;Q&amp;substitute(SUBSTITUTE($H300,"[",""),"]","")&amp;Q&amp;"},"</f>
        <v>"dfto":{"label":"Cactus","extra":"Require little care and exhibit bizarre forms. As such, they are often mistaken for Survivalists.","sets":"Basic Set, Party Set"},</v>
      </c>
      <c r="E300" s="9" t="str">
        <f t="shared" si="2"/>
        <v>data:image/svg+xml,%3csvg xmlns='http://www.w3.org/2000/svg' viewBox='0 0 24 216'%3e%3ctext fill='%23fff' style='font: 900 16px sans-serif' text-anchor='end' transform='matrix(0 -1 1 0 18 5)'%3eCactus%3c/text%3e%3c/svg%3e</v>
      </c>
      <c r="F300" s="14" t="str">
        <f t="shared" si="3"/>
        <v>https://svgtext.heliohost.us/cgi-bin/gen.perl?text=Cactus</v>
      </c>
      <c r="G300" s="11" t="str">
        <f t="shared" si="4"/>
        <v>data:image/svg+xml,%3csvg xmlns='http://www.w3.org/2000/svg' viewBox='0 0 24 216'%3e%3ctext fill='%23fff' style='font: 900 16px sans-serif' text-anchor='end' transform='matrix(0 -1 1 0 18 5)'%3eCactus%3c/text%3e%3c/svg%3e</v>
      </c>
      <c r="H300" s="8" t="s">
        <v>29</v>
      </c>
      <c r="I300" s="8">
        <f t="shared" ref="I300:J300" si="301">len(B300)</f>
        <v>6</v>
      </c>
      <c r="J300" s="8">
        <f t="shared" si="301"/>
        <v>97</v>
      </c>
      <c r="K300" s="8" t="s">
        <v>2630</v>
      </c>
    </row>
    <row r="301">
      <c r="A301" s="7" t="b">
        <v>0</v>
      </c>
      <c r="B301" s="8" t="s">
        <v>2631</v>
      </c>
      <c r="C301" s="8" t="s">
        <v>2632</v>
      </c>
      <c r="D301" s="8" t="str">
        <f>Q&amp;$K301&amp;Q&amp;":{"&amp;Q&amp;$B$2&amp;Q&amp;":"&amp;Q&amp;$B301&amp;Q&amp;","&amp;Q&amp;$C$2&amp;Q&amp;":"&amp;Q&amp;$C301&amp;Q&amp;","&amp;Q&amp;"sets"&amp;Q&amp;":"&amp;Q&amp;substitute(SUBSTITUTE($H301,"[",""),"]","")&amp;Q&amp;"},"</f>
        <v>"ctln":{"label":"California","extra":"Sacramento is its capital, Los Angeles its largest city. Here we come.","sets":"Basic Set, Party Set"},</v>
      </c>
      <c r="E301" s="9" t="str">
        <f t="shared" si="2"/>
        <v>data:image/svg+xml,%3csvg xmlns='http://www.w3.org/2000/svg' viewBox='0 0 24 216'%3e%3ctext fill='%23fff' style='font: 900 16px sans-serif' text-anchor='end' transform='matrix(0 -1 1 0 18 5)'%3eCalifornia%3c/text%3e%3c/svg%3e</v>
      </c>
      <c r="F301" s="14" t="str">
        <f t="shared" si="3"/>
        <v>https://svgtext.heliohost.us/cgi-bin/gen.perl?text=California</v>
      </c>
      <c r="G301" s="11" t="str">
        <f t="shared" si="4"/>
        <v>data:image/svg+xml,%3csvg xmlns='http://www.w3.org/2000/svg' viewBox='0 0 24 216'%3e%3ctext fill='%23fff' style='font: 900 16px sans-serif' text-anchor='end' transform='matrix(0 -1 1 0 18 5)'%3eCalifornia%3c/text%3e%3c/svg%3e</v>
      </c>
      <c r="H301" s="8" t="s">
        <v>29</v>
      </c>
      <c r="I301" s="8">
        <f t="shared" ref="I301:J301" si="302">len(B301)</f>
        <v>10</v>
      </c>
      <c r="J301" s="8">
        <f t="shared" si="302"/>
        <v>70</v>
      </c>
      <c r="K301" s="8" t="s">
        <v>2633</v>
      </c>
    </row>
    <row r="302">
      <c r="A302" s="7" t="b">
        <v>1</v>
      </c>
      <c r="B302" s="8" t="s">
        <v>2634</v>
      </c>
      <c r="C302" s="7" t="s">
        <v>2635</v>
      </c>
      <c r="D302" s="8" t="str">
        <f>Q&amp;$K302&amp;Q&amp;":{"&amp;Q&amp;$B$2&amp;Q&amp;":"&amp;Q&amp;$B302&amp;Q&amp;","&amp;Q&amp;$C$2&amp;Q&amp;":"&amp;Q&amp;$C302&amp;Q&amp;","&amp;Q&amp;"sets"&amp;Q&amp;":"&amp;Q&amp;substitute(SUBSTITUTE($H302,"[",""),"]","")&amp;Q&amp;"},"</f>
        <v>"gqkf":{"label":"Calvin &amp; Hobbs","extra":"Bill Waterson’s late, great comic strip featuring a little boy and his tiger.","sets":"Expansion Set 4, Party Expansion 1"},</v>
      </c>
      <c r="E302" s="9" t="str">
        <f t="shared" si="2"/>
        <v>data:image/svg+xml,%3csvg xmlns='http://www.w3.org/2000/svg' viewBox='0 0 24 216'%3e%3ctext fill='%23fff' style='font: 900 16px sans-serif' text-anchor='end' transform='matrix(0 -1 1 0 18 5)'%3eCalvin %26amp%3B Hobbs%3c/text%3e%3c/svg%3e</v>
      </c>
      <c r="F302" s="14" t="str">
        <f t="shared" si="3"/>
        <v>https://svgtext.heliohost.us/cgi-bin/gen.perl?text=Calvin%20%26%20Hobbs</v>
      </c>
      <c r="G302" s="11" t="str">
        <f t="shared" si="4"/>
        <v>data:image/svg+xml,%3csvg xmlns='http://www.w3.org/2000/svg' viewBox='0 0 24 216'%3e%3ctext fill='%23fff' style='font: 900 16px sans-serif' text-anchor='end' transform='matrix(0 -1 1 0 18 5)'%3eCalvin %26amp%3B Hobbs%3c/text%3e%3c/svg%3e</v>
      </c>
      <c r="H302" s="8" t="s">
        <v>63</v>
      </c>
      <c r="I302" s="8">
        <f t="shared" ref="I302:J302" si="303">len(B302)</f>
        <v>14</v>
      </c>
      <c r="J302" s="8">
        <f t="shared" si="303"/>
        <v>77</v>
      </c>
      <c r="K302" s="8" t="s">
        <v>2636</v>
      </c>
    </row>
    <row r="303">
      <c r="A303" s="7" t="b">
        <v>1</v>
      </c>
      <c r="B303" s="8" t="s">
        <v>2637</v>
      </c>
      <c r="C303" s="7" t="s">
        <v>2638</v>
      </c>
      <c r="D303" s="8" t="str">
        <f>Q&amp;$K303&amp;Q&amp;":{"&amp;Q&amp;$B$2&amp;Q&amp;":"&amp;Q&amp;$B303&amp;Q&amp;","&amp;Q&amp;$C$2&amp;Q&amp;":"&amp;Q&amp;$C303&amp;Q&amp;","&amp;Q&amp;"sets"&amp;Q&amp;":"&amp;Q&amp;substitute(SUBSTITUTE($H303,"[",""),"]","")&amp;Q&amp;"},"</f>
        <v>"xxfw":{"label":"Camelot","extra":"“On second though, let’s not go to Camelot. ’Tis a silly place.” —King Arthur, Monty Python and the Holy Grail","sets":"Expansion Set 3, Party Expansion 1"},</v>
      </c>
      <c r="E303" s="9" t="str">
        <f t="shared" si="2"/>
        <v>data:image/svg+xml,%3csvg xmlns='http://www.w3.org/2000/svg' viewBox='0 0 24 216'%3e%3ctext fill='%23fff' style='font: 900 16px sans-serif' text-anchor='end' transform='matrix(0 -1 1 0 18 5)'%3eCamelot%3c/text%3e%3c/svg%3e</v>
      </c>
      <c r="F303" s="14" t="str">
        <f t="shared" si="3"/>
        <v>https://svgtext.heliohost.us/cgi-bin/gen.perl?text=Camelot</v>
      </c>
      <c r="G303" s="11" t="str">
        <f t="shared" si="4"/>
        <v>data:image/svg+xml,%3csvg xmlns='http://www.w3.org/2000/svg' viewBox='0 0 24 216'%3e%3ctext fill='%23fff' style='font: 900 16px sans-serif' text-anchor='end' transform='matrix(0 -1 1 0 18 5)'%3eCamelot%3c/text%3e%3c/svg%3e</v>
      </c>
      <c r="H303" s="8" t="s">
        <v>39</v>
      </c>
      <c r="I303" s="8">
        <f t="shared" ref="I303:J303" si="304">len(B303)</f>
        <v>7</v>
      </c>
      <c r="J303" s="8">
        <f t="shared" si="304"/>
        <v>110</v>
      </c>
      <c r="K303" s="8" t="s">
        <v>2639</v>
      </c>
    </row>
    <row r="304">
      <c r="A304" s="7" t="b">
        <v>1</v>
      </c>
      <c r="B304" s="8" t="s">
        <v>2640</v>
      </c>
      <c r="C304" s="8" t="s">
        <v>2641</v>
      </c>
      <c r="D304" s="8" t="str">
        <f>Q&amp;$K304&amp;Q&amp;":{"&amp;Q&amp;$B$2&amp;Q&amp;":"&amp;Q&amp;$B304&amp;Q&amp;","&amp;Q&amp;$C$2&amp;Q&amp;":"&amp;Q&amp;$C304&amp;Q&amp;","&amp;Q&amp;"sets"&amp;Q&amp;":"&amp;Q&amp;substitute(SUBSTITUTE($H304,"[",""),"]","")&amp;Q&amp;"},"</f>
        <v>"gzke":{"label":"Camels","extra":"One hump or two?","sets":"Junior 9+ (2nd)"},</v>
      </c>
      <c r="E304" s="9" t="str">
        <f t="shared" si="2"/>
        <v>data:image/svg+xml,%3csvg xmlns='http://www.w3.org/2000/svg' viewBox='0 0 24 216'%3e%3ctext fill='%23fff' style='font: 900 16px sans-serif' text-anchor='end' transform='matrix(0 -1 1 0 18 5)'%3eCamels%3c/text%3e%3c/svg%3e</v>
      </c>
      <c r="F304" s="14" t="str">
        <f t="shared" si="3"/>
        <v>https://svgtext.heliohost.us/cgi-bin/gen.perl?text=Camels</v>
      </c>
      <c r="G304" s="11" t="str">
        <f t="shared" si="4"/>
        <v>data:image/svg+xml,%3csvg xmlns='http://www.w3.org/2000/svg' viewBox='0 0 24 216'%3e%3ctext fill='%23fff' style='font: 900 16px sans-serif' text-anchor='end' transform='matrix(0 -1 1 0 18 5)'%3eCamels%3c/text%3e%3c/svg%3e</v>
      </c>
      <c r="H304" s="8" t="s">
        <v>32</v>
      </c>
      <c r="I304" s="8">
        <f t="shared" ref="I304:J304" si="305">len(B304)</f>
        <v>6</v>
      </c>
      <c r="J304" s="8">
        <f t="shared" si="305"/>
        <v>16</v>
      </c>
      <c r="K304" s="8" t="s">
        <v>2642</v>
      </c>
    </row>
    <row r="305">
      <c r="A305" s="7" t="b">
        <v>1</v>
      </c>
      <c r="B305" s="8" t="s">
        <v>2643</v>
      </c>
      <c r="C305" s="7" t="s">
        <v>2644</v>
      </c>
      <c r="D305" s="8" t="str">
        <f>Q&amp;$K305&amp;Q&amp;":{"&amp;Q&amp;$B$2&amp;Q&amp;":"&amp;Q&amp;$B305&amp;Q&amp;","&amp;Q&amp;$C$2&amp;Q&amp;":"&amp;Q&amp;$C305&amp;Q&amp;","&amp;Q&amp;"sets"&amp;Q&amp;":"&amp;Q&amp;substitute(SUBSTITUTE($H305,"[",""),"]","")&amp;Q&amp;"},"</f>
        <v>"tiuv":{"label":"Cameras","extra":"“And this is a picture from our summer vacation…”","sets":"Junior 9+ (2nd)"},</v>
      </c>
      <c r="E305" s="9" t="str">
        <f t="shared" si="2"/>
        <v>data:image/svg+xml,%3csvg xmlns='http://www.w3.org/2000/svg' viewBox='0 0 24 216'%3e%3ctext fill='%23fff' style='font: 900 16px sans-serif' text-anchor='end' transform='matrix(0 -1 1 0 18 5)'%3eCameras%3c/text%3e%3c/svg%3e</v>
      </c>
      <c r="F305" s="14" t="str">
        <f t="shared" si="3"/>
        <v>https://svgtext.heliohost.us/cgi-bin/gen.perl?text=Cameras</v>
      </c>
      <c r="G305" s="11" t="str">
        <f t="shared" si="4"/>
        <v>data:image/svg+xml,%3csvg xmlns='http://www.w3.org/2000/svg' viewBox='0 0 24 216'%3e%3ctext fill='%23fff' style='font: 900 16px sans-serif' text-anchor='end' transform='matrix(0 -1 1 0 18 5)'%3eCameras%3c/text%3e%3c/svg%3e</v>
      </c>
      <c r="H305" s="8" t="s">
        <v>32</v>
      </c>
      <c r="I305" s="8">
        <f t="shared" ref="I305:J305" si="306">len(B305)</f>
        <v>7</v>
      </c>
      <c r="J305" s="8">
        <f t="shared" si="306"/>
        <v>49</v>
      </c>
      <c r="K305" s="8" t="s">
        <v>2645</v>
      </c>
    </row>
    <row r="306">
      <c r="A306" s="7" t="b">
        <v>1</v>
      </c>
      <c r="B306" s="8" t="s">
        <v>2646</v>
      </c>
      <c r="C306" s="7" t="s">
        <v>2647</v>
      </c>
      <c r="D306" s="8" t="str">
        <f>Q&amp;$K306&amp;Q&amp;":{"&amp;Q&amp;$B$2&amp;Q&amp;":"&amp;Q&amp;$B306&amp;Q&amp;","&amp;Q&amp;$C$2&amp;Q&amp;":"&amp;Q&amp;$C306&amp;Q&amp;","&amp;Q&amp;"sets"&amp;Q&amp;":"&amp;Q&amp;substitute(SUBSTITUTE($H306,"[",""),"]","")&amp;Q&amp;"},"</f>
        <v>"yezo":{"label":"Campfire","extra":"S’mores and songs. Gather ’round!","sets":"Junior 9+ (2nd)"},</v>
      </c>
      <c r="E306" s="9" t="str">
        <f t="shared" si="2"/>
        <v>data:image/svg+xml,%3csvg xmlns='http://www.w3.org/2000/svg' viewBox='0 0 24 216'%3e%3ctext fill='%23fff' style='font: 900 16px sans-serif' text-anchor='end' transform='matrix(0 -1 1 0 18 5)'%3eCampfire%3c/text%3e%3c/svg%3e</v>
      </c>
      <c r="F306" s="14" t="str">
        <f t="shared" si="3"/>
        <v>https://svgtext.heliohost.us/cgi-bin/gen.perl?text=Campfire</v>
      </c>
      <c r="G306" s="11" t="str">
        <f t="shared" si="4"/>
        <v>data:image/svg+xml,%3csvg xmlns='http://www.w3.org/2000/svg' viewBox='0 0 24 216'%3e%3ctext fill='%23fff' style='font: 900 16px sans-serif' text-anchor='end' transform='matrix(0 -1 1 0 18 5)'%3eCampfire%3c/text%3e%3c/svg%3e</v>
      </c>
      <c r="H306" s="8" t="s">
        <v>32</v>
      </c>
      <c r="I306" s="8">
        <f t="shared" ref="I306:J306" si="307">len(B306)</f>
        <v>8</v>
      </c>
      <c r="J306" s="8">
        <f t="shared" si="307"/>
        <v>33</v>
      </c>
      <c r="K306" s="8" t="s">
        <v>2648</v>
      </c>
    </row>
    <row r="307">
      <c r="A307" s="7" t="b">
        <v>1</v>
      </c>
      <c r="B307" s="8" t="s">
        <v>2649</v>
      </c>
      <c r="C307" s="8" t="s">
        <v>2650</v>
      </c>
      <c r="D307" s="8" t="str">
        <f>Q&amp;$K307&amp;Q&amp;":{"&amp;Q&amp;$B$2&amp;Q&amp;":"&amp;Q&amp;$B307&amp;Q&amp;","&amp;Q&amp;$C$2&amp;Q&amp;":"&amp;Q&amp;$C307&amp;Q&amp;","&amp;Q&amp;"sets"&amp;Q&amp;":"&amp;Q&amp;substitute(SUBSTITUTE($H307,"[",""),"]","")&amp;Q&amp;"},"</f>
        <v>"puhx":{"label":"Camping","extra":"Shhh! Did you hear that noise?","sets":"Junior 9+ (1st) &amp; (2nd)"},</v>
      </c>
      <c r="E307" s="9" t="str">
        <f t="shared" si="2"/>
        <v>data:image/svg+xml,%3csvg xmlns='http://www.w3.org/2000/svg' viewBox='0 0 24 216'%3e%3ctext fill='%23fff' style='font: 900 16px sans-serif' text-anchor='end' transform='matrix(0 -1 1 0 18 5)'%3eCamping%3c/text%3e%3c/svg%3e</v>
      </c>
      <c r="F307" s="14" t="str">
        <f t="shared" si="3"/>
        <v>https://svgtext.heliohost.us/cgi-bin/gen.perl?text=Camping</v>
      </c>
      <c r="G307" s="11" t="str">
        <f t="shared" si="4"/>
        <v>data:image/svg+xml,%3csvg xmlns='http://www.w3.org/2000/svg' viewBox='0 0 24 216'%3e%3ctext fill='%23fff' style='font: 900 16px sans-serif' text-anchor='end' transform='matrix(0 -1 1 0 18 5)'%3eCamping%3c/text%3e%3c/svg%3e</v>
      </c>
      <c r="H307" s="8" t="s">
        <v>42</v>
      </c>
      <c r="I307" s="8">
        <f t="shared" ref="I307:J307" si="308">len(B307)</f>
        <v>7</v>
      </c>
      <c r="J307" s="8">
        <f t="shared" si="308"/>
        <v>30</v>
      </c>
      <c r="K307" s="8" t="s">
        <v>2651</v>
      </c>
    </row>
    <row r="308">
      <c r="A308" s="7" t="b">
        <v>0</v>
      </c>
      <c r="B308" s="8" t="s">
        <v>2652</v>
      </c>
      <c r="C308" s="8" t="s">
        <v>2653</v>
      </c>
      <c r="D308" s="8" t="str">
        <f>Q&amp;$K308&amp;Q&amp;":{"&amp;Q&amp;$B$2&amp;Q&amp;":"&amp;Q&amp;$B308&amp;Q&amp;","&amp;Q&amp;$C$2&amp;Q&amp;":"&amp;Q&amp;$C308&amp;Q&amp;","&amp;Q&amp;"sets"&amp;Q&amp;":"&amp;Q&amp;substitute(SUBSTITUTE($H308,"[",""),"]","")&amp;Q&amp;"},"</f>
        <v>"ecdt":{"label":"Camping Trip","extra":"When you just have to get s'more nature.","sets":"Expansion Set 2, Party Set"},</v>
      </c>
      <c r="E308" s="9" t="str">
        <f t="shared" si="2"/>
        <v>data:image/svg+xml,%3csvg xmlns='http://www.w3.org/2000/svg' viewBox='0 0 24 216'%3e%3ctext fill='%23fff' style='font: 900 16px sans-serif' text-anchor='end' transform='matrix(0 -1 1 0 18 5)'%3eCamping Trip%3c/text%3e%3c/svg%3e</v>
      </c>
      <c r="F308" s="14" t="str">
        <f t="shared" si="3"/>
        <v>https://svgtext.heliohost.us/cgi-bin/gen.perl?text=Camping%20Trip</v>
      </c>
      <c r="G308" s="11" t="str">
        <f t="shared" si="4"/>
        <v>data:image/svg+xml,%3csvg xmlns='http://www.w3.org/2000/svg' viewBox='0 0 24 216'%3e%3ctext fill='%23fff' style='font: 900 16px sans-serif' text-anchor='end' transform='matrix(0 -1 1 0 18 5)'%3eCamping Trip%3c/text%3e%3c/svg%3e</v>
      </c>
      <c r="H308" s="8" t="s">
        <v>17</v>
      </c>
      <c r="I308" s="8">
        <f t="shared" ref="I308:J308" si="309">len(B308)</f>
        <v>12</v>
      </c>
      <c r="J308" s="8">
        <f t="shared" si="309"/>
        <v>40</v>
      </c>
      <c r="K308" s="8" t="s">
        <v>2654</v>
      </c>
    </row>
    <row r="309">
      <c r="A309" s="7" t="b">
        <v>0</v>
      </c>
      <c r="B309" s="8" t="s">
        <v>2655</v>
      </c>
      <c r="C309" s="8" t="s">
        <v>2656</v>
      </c>
      <c r="D309" s="8" t="str">
        <f>Q&amp;$K309&amp;Q&amp;":{"&amp;Q&amp;$B$2&amp;Q&amp;":"&amp;Q&amp;$B309&amp;Q&amp;","&amp;Q&amp;$C$2&amp;Q&amp;":"&amp;Q&amp;$C309&amp;Q&amp;","&amp;Q&amp;"sets"&amp;Q&amp;":"&amp;Q&amp;substitute(SUBSTITUTE($H309,"[",""),"]","")&amp;Q&amp;"},"</f>
        <v>"ffzv":{"label":"Canada","extra":"Largest country in North America. Canada is located north of the U.S.","sets":"Junior 9+ (1st) &amp; (2nd)"},</v>
      </c>
      <c r="E309" s="9" t="str">
        <f t="shared" si="2"/>
        <v>data:image/svg+xml,%3csvg xmlns='http://www.w3.org/2000/svg' viewBox='0 0 24 216'%3e%3ctext fill='%23fff' style='font: 900 16px sans-serif' text-anchor='end' transform='matrix(0 -1 1 0 18 5)'%3eCanada%3c/text%3e%3c/svg%3e</v>
      </c>
      <c r="F309" s="14" t="str">
        <f t="shared" si="3"/>
        <v>https://svgtext.heliohost.us/cgi-bin/gen.perl?text=Canada</v>
      </c>
      <c r="G309" s="11" t="str">
        <f t="shared" si="4"/>
        <v>data:image/svg+xml,%3csvg xmlns='http://www.w3.org/2000/svg' viewBox='0 0 24 216'%3e%3ctext fill='%23fff' style='font: 900 16px sans-serif' text-anchor='end' transform='matrix(0 -1 1 0 18 5)'%3eCanada%3c/text%3e%3c/svg%3e</v>
      </c>
      <c r="H309" s="8" t="s">
        <v>42</v>
      </c>
      <c r="I309" s="8">
        <f t="shared" ref="I309:J309" si="310">len(B309)</f>
        <v>6</v>
      </c>
      <c r="J309" s="8">
        <f t="shared" si="310"/>
        <v>69</v>
      </c>
      <c r="K309" s="8" t="s">
        <v>2657</v>
      </c>
    </row>
    <row r="310">
      <c r="A310" s="7" t="b">
        <v>0</v>
      </c>
      <c r="B310" s="8" t="s">
        <v>2655</v>
      </c>
      <c r="C310" s="8" t="s">
        <v>2658</v>
      </c>
      <c r="D310" s="8" t="str">
        <f>Q&amp;$K310&amp;Q&amp;":{"&amp;Q&amp;$B$2&amp;Q&amp;":"&amp;Q&amp;$B310&amp;Q&amp;","&amp;Q&amp;$C$2&amp;Q&amp;":"&amp;Q&amp;$C310&amp;Q&amp;","&amp;Q&amp;"sets"&amp;Q&amp;":"&amp;Q&amp;substitute(SUBSTITUTE($H310,"[",""),"]","")&amp;Q&amp;"},"</f>
        <v>"xpek":{"label":"Canada","extra":"Federated country of North America. The Great White Northeh?","sets":"Basic Set, Party Set"},</v>
      </c>
      <c r="E310" s="9" t="str">
        <f t="shared" si="2"/>
        <v>data:image/svg+xml,%3csvg xmlns='http://www.w3.org/2000/svg' viewBox='0 0 24 216'%3e%3ctext fill='%23fff' style='font: 900 16px sans-serif' text-anchor='end' transform='matrix(0 -1 1 0 18 5)'%3eCanada%3c/text%3e%3c/svg%3e</v>
      </c>
      <c r="F310" s="14" t="str">
        <f t="shared" si="3"/>
        <v>https://svgtext.heliohost.us/cgi-bin/gen.perl?text=Canada</v>
      </c>
      <c r="G310" s="11" t="str">
        <f t="shared" si="4"/>
        <v>data:image/svg+xml,%3csvg xmlns='http://www.w3.org/2000/svg' viewBox='0 0 24 216'%3e%3ctext fill='%23fff' style='font: 900 16px sans-serif' text-anchor='end' transform='matrix(0 -1 1 0 18 5)'%3eCanada%3c/text%3e%3c/svg%3e</v>
      </c>
      <c r="H310" s="8" t="s">
        <v>29</v>
      </c>
      <c r="I310" s="8">
        <f t="shared" ref="I310:J310" si="311">len(B310)</f>
        <v>6</v>
      </c>
      <c r="J310" s="8">
        <f t="shared" si="311"/>
        <v>60</v>
      </c>
      <c r="K310" s="8" t="s">
        <v>2659</v>
      </c>
    </row>
    <row r="311">
      <c r="A311" s="7" t="b">
        <v>0</v>
      </c>
      <c r="B311" s="8" t="s">
        <v>2660</v>
      </c>
      <c r="C311" s="8" t="s">
        <v>2661</v>
      </c>
      <c r="D311" s="8" t="str">
        <f>Q&amp;$K311&amp;Q&amp;":{"&amp;Q&amp;$B$2&amp;Q&amp;":"&amp;Q&amp;$B311&amp;Q&amp;","&amp;Q&amp;$C$2&amp;Q&amp;":"&amp;Q&amp;$C311&amp;Q&amp;","&amp;Q&amp;"sets"&amp;Q&amp;":"&amp;Q&amp;substitute(SUBSTITUTE($H311,"[",""),"]","")&amp;Q&amp;"},"</f>
        <v>"jmxk":{"label":"Canadians","extra":"How many Canadians does it take to screw in a lightbulb? Fifteen. Fourteen to chip it out of the ice, and one to screw it in.","sets":"Basic Set, Party Set"},</v>
      </c>
      <c r="E311" s="9" t="str">
        <f t="shared" si="2"/>
        <v>data:image/svg+xml,%3csvg xmlns='http://www.w3.org/2000/svg' viewBox='0 0 24 216'%3e%3ctext fill='%23fff' style='font: 900 16px sans-serif' text-anchor='end' transform='matrix(0 -1 1 0 18 5)'%3eCanadians%3c/text%3e%3c/svg%3e</v>
      </c>
      <c r="F311" s="14" t="str">
        <f t="shared" si="3"/>
        <v>https://svgtext.heliohost.us/cgi-bin/gen.perl?text=Canadians</v>
      </c>
      <c r="G311" s="11" t="str">
        <f t="shared" si="4"/>
        <v>data:image/svg+xml,%3csvg xmlns='http://www.w3.org/2000/svg' viewBox='0 0 24 216'%3e%3ctext fill='%23fff' style='font: 900 16px sans-serif' text-anchor='end' transform='matrix(0 -1 1 0 18 5)'%3eCanadians%3c/text%3e%3c/svg%3e</v>
      </c>
      <c r="H311" s="8" t="s">
        <v>29</v>
      </c>
      <c r="I311" s="8">
        <f t="shared" ref="I311:J311" si="312">len(B311)</f>
        <v>9</v>
      </c>
      <c r="J311" s="8">
        <f t="shared" si="312"/>
        <v>125</v>
      </c>
      <c r="K311" s="8" t="s">
        <v>2662</v>
      </c>
    </row>
    <row r="312">
      <c r="A312" s="7" t="b">
        <v>0</v>
      </c>
      <c r="B312" s="8" t="s">
        <v>2663</v>
      </c>
      <c r="C312" s="8" t="s">
        <v>2664</v>
      </c>
      <c r="D312" s="8" t="str">
        <f>Q&amp;$K312&amp;Q&amp;":{"&amp;Q&amp;$B$2&amp;Q&amp;":"&amp;Q&amp;$B312&amp;Q&amp;","&amp;Q&amp;$C$2&amp;Q&amp;":"&amp;Q&amp;$C312&amp;Q&amp;","&amp;Q&amp;"sets"&amp;Q&amp;":"&amp;Q&amp;substitute(SUBSTITUTE($H312,"[",""),"]","")&amp;Q&amp;"},"</f>
        <v>"qnzo":{"label":"Candles","extra":"How many candles are on your birthday cake?","sets":"Junior"},</v>
      </c>
      <c r="E312" s="9" t="str">
        <f t="shared" si="2"/>
        <v>data:image/svg+xml,%3csvg xmlns='http://www.w3.org/2000/svg' viewBox='0 0 24 216'%3e%3ctext fill='%23fff' style='font: 900 16px sans-serif' text-anchor='end' transform='matrix(0 -1 1 0 18 5)'%3eCandles%3c/text%3e%3c/svg%3e</v>
      </c>
      <c r="F312" s="14" t="str">
        <f t="shared" si="3"/>
        <v>https://svgtext.heliohost.us/cgi-bin/gen.perl?text=Candles</v>
      </c>
      <c r="G312" s="11" t="str">
        <f t="shared" si="4"/>
        <v>data:image/svg+xml,%3csvg xmlns='http://www.w3.org/2000/svg' viewBox='0 0 24 216'%3e%3ctext fill='%23fff' style='font: 900 16px sans-serif' text-anchor='end' transform='matrix(0 -1 1 0 18 5)'%3eCandles%3c/text%3e%3c/svg%3e</v>
      </c>
      <c r="H312" s="8" t="s">
        <v>84</v>
      </c>
      <c r="I312" s="8">
        <f t="shared" ref="I312:J312" si="313">len(B312)</f>
        <v>7</v>
      </c>
      <c r="J312" s="8">
        <f t="shared" si="313"/>
        <v>43</v>
      </c>
      <c r="K312" s="8" t="s">
        <v>2665</v>
      </c>
    </row>
    <row r="313">
      <c r="A313" s="7" t="b">
        <v>1</v>
      </c>
      <c r="B313" s="8" t="s">
        <v>2666</v>
      </c>
      <c r="C313" s="8" t="s">
        <v>2667</v>
      </c>
      <c r="D313" s="8" t="str">
        <f>Q&amp;$K313&amp;Q&amp;":{"&amp;Q&amp;$B$2&amp;Q&amp;":"&amp;Q&amp;$B313&amp;Q&amp;","&amp;Q&amp;$C$2&amp;Q&amp;":"&amp;Q&amp;$C313&amp;Q&amp;","&amp;Q&amp;"sets"&amp;Q&amp;":"&amp;Q&amp;substitute(SUBSTITUTE($H313,"[",""),"]","")&amp;Q&amp;"},"</f>
        <v>"ckce":{"label":"Candy","extra":"Lollipops, jelly beans, chocolates, and lots more. All the good stuff!","sets":"Junior"},</v>
      </c>
      <c r="E313" s="9" t="str">
        <f t="shared" si="2"/>
        <v>data:image/svg+xml,%3csvg xmlns='http://www.w3.org/2000/svg' viewBox='0 0 24 216'%3e%3ctext fill='%23fff' style='font: 900 16px sans-serif' text-anchor='end' transform='matrix(0 -1 1 0 18 5)'%3eCandy%3c/text%3e%3c/svg%3e</v>
      </c>
      <c r="F313" s="14" t="str">
        <f t="shared" si="3"/>
        <v>https://svgtext.heliohost.us/cgi-bin/gen.perl?text=Candy</v>
      </c>
      <c r="G313" s="11" t="str">
        <f t="shared" si="4"/>
        <v>data:image/svg+xml,%3csvg xmlns='http://www.w3.org/2000/svg' viewBox='0 0 24 216'%3e%3ctext fill='%23fff' style='font: 900 16px sans-serif' text-anchor='end' transform='matrix(0 -1 1 0 18 5)'%3eCandy%3c/text%3e%3c/svg%3e</v>
      </c>
      <c r="H313" s="8" t="s">
        <v>84</v>
      </c>
      <c r="I313" s="8">
        <f t="shared" ref="I313:J313" si="314">len(B313)</f>
        <v>5</v>
      </c>
      <c r="J313" s="8">
        <f t="shared" si="314"/>
        <v>70</v>
      </c>
      <c r="K313" s="8" t="s">
        <v>2668</v>
      </c>
    </row>
    <row r="314">
      <c r="A314" s="7" t="b">
        <v>0</v>
      </c>
      <c r="B314" s="8" t="s">
        <v>2669</v>
      </c>
      <c r="C314" s="8" t="s">
        <v>2670</v>
      </c>
      <c r="D314" s="8" t="str">
        <f>Q&amp;$K314&amp;Q&amp;":{"&amp;Q&amp;$B$2&amp;Q&amp;":"&amp;Q&amp;$B314&amp;Q&amp;","&amp;Q&amp;$C$2&amp;Q&amp;":"&amp;Q&amp;$C314&amp;Q&amp;","&amp;Q&amp;"sets"&amp;Q&amp;":"&amp;Q&amp;substitute(SUBSTITUTE($H314,"[",""),"]","")&amp;Q&amp;"},"</f>
        <v>"wxwx":{"label":"Candy Corn","extra":"It may be corn but it's not a vegetable.","sets":"Junior 9+ (1st) &amp; (2nd)"},</v>
      </c>
      <c r="E314" s="9" t="str">
        <f t="shared" si="2"/>
        <v>data:image/svg+xml,%3csvg xmlns='http://www.w3.org/2000/svg' viewBox='0 0 24 216'%3e%3ctext fill='%23fff' style='font: 900 16px sans-serif' text-anchor='end' transform='matrix(0 -1 1 0 18 5)'%3eCandy Corn%3c/text%3e%3c/svg%3e</v>
      </c>
      <c r="F314" s="14" t="str">
        <f t="shared" si="3"/>
        <v>https://svgtext.heliohost.us/cgi-bin/gen.perl?text=Candy%20Corn</v>
      </c>
      <c r="G314" s="11" t="str">
        <f t="shared" si="4"/>
        <v>data:image/svg+xml,%3csvg xmlns='http://www.w3.org/2000/svg' viewBox='0 0 24 216'%3e%3ctext fill='%23fff' style='font: 900 16px sans-serif' text-anchor='end' transform='matrix(0 -1 1 0 18 5)'%3eCandy Corn%3c/text%3e%3c/svg%3e</v>
      </c>
      <c r="H314" s="8" t="s">
        <v>42</v>
      </c>
      <c r="I314" s="8">
        <f t="shared" ref="I314:J314" si="315">len(B314)</f>
        <v>10</v>
      </c>
      <c r="J314" s="8">
        <f t="shared" si="315"/>
        <v>40</v>
      </c>
      <c r="K314" s="8" t="s">
        <v>2671</v>
      </c>
    </row>
    <row r="315">
      <c r="A315" s="7" t="b">
        <v>1</v>
      </c>
      <c r="B315" s="8" t="s">
        <v>2672</v>
      </c>
      <c r="C315" s="8" t="s">
        <v>2673</v>
      </c>
      <c r="D315" s="8" t="str">
        <f>Q&amp;$K315&amp;Q&amp;":{"&amp;Q&amp;$B$2&amp;Q&amp;":"&amp;Q&amp;$B315&amp;Q&amp;","&amp;Q&amp;$C$2&amp;Q&amp;":"&amp;Q&amp;$C315&amp;Q&amp;","&amp;Q&amp;"sets"&amp;Q&amp;":"&amp;Q&amp;substitute(SUBSTITUTE($H315,"[",""),"]","")&amp;Q&amp;"},"</f>
        <v>"bevr":{"label":"Canoes","extra":"Light, narrow boats. Don't stand up!","sets":"Junior 9+ (1st) &amp; (2nd)"},</v>
      </c>
      <c r="E315" s="9" t="str">
        <f t="shared" si="2"/>
        <v>data:image/svg+xml,%3csvg xmlns='http://www.w3.org/2000/svg' viewBox='0 0 24 216'%3e%3ctext fill='%23fff' style='font: 900 16px sans-serif' text-anchor='end' transform='matrix(0 -1 1 0 18 5)'%3eCanoes%3c/text%3e%3c/svg%3e</v>
      </c>
      <c r="F315" s="14" t="str">
        <f t="shared" si="3"/>
        <v>https://svgtext.heliohost.us/cgi-bin/gen.perl?text=Canoes</v>
      </c>
      <c r="G315" s="11" t="str">
        <f t="shared" si="4"/>
        <v>data:image/svg+xml,%3csvg xmlns='http://www.w3.org/2000/svg' viewBox='0 0 24 216'%3e%3ctext fill='%23fff' style='font: 900 16px sans-serif' text-anchor='end' transform='matrix(0 -1 1 0 18 5)'%3eCanoes%3c/text%3e%3c/svg%3e</v>
      </c>
      <c r="H315" s="8" t="s">
        <v>42</v>
      </c>
      <c r="I315" s="8">
        <f t="shared" ref="I315:J315" si="316">len(B315)</f>
        <v>6</v>
      </c>
      <c r="J315" s="8">
        <f t="shared" si="316"/>
        <v>36</v>
      </c>
      <c r="K315" s="8" t="s">
        <v>2674</v>
      </c>
    </row>
    <row r="316">
      <c r="A316" s="7" t="b">
        <v>0</v>
      </c>
      <c r="B316" s="8" t="s">
        <v>2675</v>
      </c>
      <c r="C316" s="7" t="s">
        <v>2676</v>
      </c>
      <c r="D316" s="8" t="str">
        <f>Q&amp;$K316&amp;Q&amp;":{"&amp;Q&amp;$B$2&amp;Q&amp;":"&amp;Q&amp;$B316&amp;Q&amp;","&amp;Q&amp;$C$2&amp;Q&amp;":"&amp;Q&amp;$C316&amp;Q&amp;","&amp;Q&amp;"sets"&amp;Q&amp;":"&amp;Q&amp;substitute(SUBSTITUTE($H316,"[",""),"]","")&amp;Q&amp;"},"</f>
        <v>"fiz{":{"label":"Captain Kirk","extra":"Fictional starship captain. “Beam me up Scotty, there is no intelligent life on this planet!” —bumper sticker, 1980s","sets":"Basic Set, Party Set"},</v>
      </c>
      <c r="E316" s="9" t="str">
        <f t="shared" si="2"/>
        <v>data:image/svg+xml,%3csvg xmlns='http://www.w3.org/2000/svg' viewBox='0 0 24 216'%3e%3ctext fill='%23fff' style='font: 900 16px sans-serif' text-anchor='end' transform='matrix(0 -1 1 0 18 5)'%3eCaptain Kirk%3c/text%3e%3c/svg%3e</v>
      </c>
      <c r="F316" s="14" t="str">
        <f t="shared" si="3"/>
        <v>https://svgtext.heliohost.us/cgi-bin/gen.perl?text=Captain%20Kirk</v>
      </c>
      <c r="G316" s="11" t="str">
        <f t="shared" si="4"/>
        <v>data:image/svg+xml,%3csvg xmlns='http://www.w3.org/2000/svg' viewBox='0 0 24 216'%3e%3ctext fill='%23fff' style='font: 900 16px sans-serif' text-anchor='end' transform='matrix(0 -1 1 0 18 5)'%3eCaptain Kirk%3c/text%3e%3c/svg%3e</v>
      </c>
      <c r="H316" s="8" t="s">
        <v>29</v>
      </c>
      <c r="I316" s="8">
        <f t="shared" ref="I316:J316" si="317">len(B316)</f>
        <v>12</v>
      </c>
      <c r="J316" s="8">
        <f t="shared" si="317"/>
        <v>116</v>
      </c>
      <c r="K316" s="8" t="s">
        <v>2677</v>
      </c>
    </row>
    <row r="317">
      <c r="A317" s="7" t="b">
        <v>0</v>
      </c>
      <c r="B317" s="8" t="s">
        <v>2678</v>
      </c>
      <c r="C317" s="8" t="s">
        <v>2679</v>
      </c>
      <c r="D317" s="8" t="str">
        <f>Q&amp;$K317&amp;Q&amp;":{"&amp;Q&amp;$B$2&amp;Q&amp;":"&amp;Q&amp;$B317&amp;Q&amp;","&amp;Q&amp;$C$2&amp;Q&amp;":"&amp;Q&amp;$C317&amp;Q&amp;","&amp;Q&amp;"sets"&amp;Q&amp;":"&amp;Q&amp;substitute(SUBSTITUTE($H317,"[",""),"]","")&amp;Q&amp;"},"</f>
        <v>"qhkr":{"label":"Car Bombs","extra":"Not including the Ford Pinto, of course.","sets":"Expansion Set 1, Party Set"},</v>
      </c>
      <c r="E317" s="9" t="str">
        <f t="shared" si="2"/>
        <v>data:image/svg+xml,%3csvg xmlns='http://www.w3.org/2000/svg' viewBox='0 0 24 216'%3e%3ctext fill='%23fff' style='font: 900 16px sans-serif' text-anchor='end' transform='matrix(0 -1 1 0 18 5)'%3eCar Bombs%3c/text%3e%3c/svg%3e</v>
      </c>
      <c r="F317" s="14" t="str">
        <f t="shared" si="3"/>
        <v>https://svgtext.heliohost.us/cgi-bin/gen.perl?text=Car%20Bombs</v>
      </c>
      <c r="G317" s="11" t="str">
        <f t="shared" si="4"/>
        <v>data:image/svg+xml,%3csvg xmlns='http://www.w3.org/2000/svg' viewBox='0 0 24 216'%3e%3ctext fill='%23fff' style='font: 900 16px sans-serif' text-anchor='end' transform='matrix(0 -1 1 0 18 5)'%3eCar Bombs%3c/text%3e%3c/svg%3e</v>
      </c>
      <c r="H317" s="8" t="s">
        <v>25</v>
      </c>
      <c r="I317" s="8">
        <f t="shared" ref="I317:J317" si="318">len(B317)</f>
        <v>9</v>
      </c>
      <c r="J317" s="8">
        <f t="shared" si="318"/>
        <v>40</v>
      </c>
      <c r="K317" s="8" t="s">
        <v>2680</v>
      </c>
    </row>
    <row r="318">
      <c r="A318" s="7" t="b">
        <v>1</v>
      </c>
      <c r="B318" s="8" t="s">
        <v>2681</v>
      </c>
      <c r="C318" s="8" t="s">
        <v>2682</v>
      </c>
      <c r="D318" s="8" t="str">
        <f>Q&amp;$K318&amp;Q&amp;":{"&amp;Q&amp;$B$2&amp;Q&amp;":"&amp;Q&amp;$B318&amp;Q&amp;","&amp;Q&amp;$C$2&amp;Q&amp;":"&amp;Q&amp;$C318&amp;Q&amp;","&amp;Q&amp;"sets"&amp;Q&amp;":"&amp;Q&amp;substitute(SUBSTITUTE($H318,"[",""),"]","")&amp;Q&amp;"},"</f>
        <v>"kpel":{"label":"Car Crash","extra":"Always wear your seatbelt.","sets":"Junior 9+ (1st) &amp; (2nd)"},</v>
      </c>
      <c r="E318" s="9" t="str">
        <f t="shared" si="2"/>
        <v>data:image/svg+xml,%3csvg xmlns='http://www.w3.org/2000/svg' viewBox='0 0 24 216'%3e%3ctext fill='%23fff' style='font: 900 16px sans-serif' text-anchor='end' transform='matrix(0 -1 1 0 18 5)'%3eCar Crash%3c/text%3e%3c/svg%3e</v>
      </c>
      <c r="F318" s="14" t="str">
        <f t="shared" si="3"/>
        <v>https://svgtext.heliohost.us/cgi-bin/gen.perl?text=Car%20Crash</v>
      </c>
      <c r="G318" s="11" t="str">
        <f t="shared" si="4"/>
        <v>data:image/svg+xml,%3csvg xmlns='http://www.w3.org/2000/svg' viewBox='0 0 24 216'%3e%3ctext fill='%23fff' style='font: 900 16px sans-serif' text-anchor='end' transform='matrix(0 -1 1 0 18 5)'%3eCar Crash%3c/text%3e%3c/svg%3e</v>
      </c>
      <c r="H318" s="8" t="s">
        <v>42</v>
      </c>
      <c r="I318" s="8">
        <f t="shared" ref="I318:J318" si="319">len(B318)</f>
        <v>9</v>
      </c>
      <c r="J318" s="8">
        <f t="shared" si="319"/>
        <v>26</v>
      </c>
      <c r="K318" s="8" t="s">
        <v>2683</v>
      </c>
    </row>
    <row r="319">
      <c r="A319" s="7" t="b">
        <v>0</v>
      </c>
      <c r="B319" s="8" t="s">
        <v>2684</v>
      </c>
      <c r="C319" s="8" t="s">
        <v>2685</v>
      </c>
      <c r="D319" s="8" t="str">
        <f>Q&amp;$K319&amp;Q&amp;":{"&amp;Q&amp;$B$2&amp;Q&amp;":"&amp;Q&amp;$B319&amp;Q&amp;","&amp;Q&amp;$C$2&amp;Q&amp;":"&amp;Q&amp;$C319&amp;Q&amp;","&amp;Q&amp;"sets"&amp;Q&amp;":"&amp;Q&amp;substitute(SUBSTITUTE($H319,"[",""),"]","")&amp;Q&amp;"},"</f>
        <v>"fhvz":{"label":"Car Horns","extra":"Blow it, buddy!","sets":"Basic Set, Party Set"},</v>
      </c>
      <c r="E319" s="9" t="str">
        <f t="shared" si="2"/>
        <v>data:image/svg+xml,%3csvg xmlns='http://www.w3.org/2000/svg' viewBox='0 0 24 216'%3e%3ctext fill='%23fff' style='font: 900 16px sans-serif' text-anchor='end' transform='matrix(0 -1 1 0 18 5)'%3eCar Horns%3c/text%3e%3c/svg%3e</v>
      </c>
      <c r="F319" s="14" t="str">
        <f t="shared" si="3"/>
        <v>https://svgtext.heliohost.us/cgi-bin/gen.perl?text=Car%20Horns</v>
      </c>
      <c r="G319" s="11" t="str">
        <f t="shared" si="4"/>
        <v>data:image/svg+xml,%3csvg xmlns='http://www.w3.org/2000/svg' viewBox='0 0 24 216'%3e%3ctext fill='%23fff' style='font: 900 16px sans-serif' text-anchor='end' transform='matrix(0 -1 1 0 18 5)'%3eCar Horns%3c/text%3e%3c/svg%3e</v>
      </c>
      <c r="H319" s="8" t="s">
        <v>29</v>
      </c>
      <c r="I319" s="8">
        <f t="shared" ref="I319:J319" si="320">len(B319)</f>
        <v>9</v>
      </c>
      <c r="J319" s="8">
        <f t="shared" si="320"/>
        <v>15</v>
      </c>
      <c r="K319" s="8" t="s">
        <v>2686</v>
      </c>
    </row>
    <row r="320">
      <c r="A320" s="7" t="b">
        <v>1</v>
      </c>
      <c r="B320" s="8" t="s">
        <v>2687</v>
      </c>
      <c r="C320" s="7" t="s">
        <v>2688</v>
      </c>
      <c r="D320" s="8" t="str">
        <f>Q&amp;$K320&amp;Q&amp;":{"&amp;Q&amp;$B$2&amp;Q&amp;":"&amp;Q&amp;$B320&amp;Q&amp;","&amp;Q&amp;$C$2&amp;Q&amp;":"&amp;Q&amp;$C320&amp;Q&amp;","&amp;Q&amp;"sets"&amp;Q&amp;":"&amp;Q&amp;substitute(SUBSTITUTE($H320,"[",""),"]","")&amp;Q&amp;"},"</f>
        <v>"fs{n":{"label":"Card Games","extra":"“Apples to Apples” might be fun!","sets":"Junior 9+ (1st) &amp; (2nd)"},</v>
      </c>
      <c r="E320" s="9" t="str">
        <f t="shared" si="2"/>
        <v>data:image/svg+xml,%3csvg xmlns='http://www.w3.org/2000/svg' viewBox='0 0 24 216'%3e%3ctext fill='%23fff' style='font: 900 16px sans-serif' text-anchor='end' transform='matrix(0 -1 1 0 18 5)'%3eCard Games%3c/text%3e%3c/svg%3e</v>
      </c>
      <c r="F320" s="14" t="str">
        <f t="shared" si="3"/>
        <v>https://svgtext.heliohost.us/cgi-bin/gen.perl?text=Card%20Games</v>
      </c>
      <c r="G320" s="11" t="str">
        <f t="shared" si="4"/>
        <v>data:image/svg+xml,%3csvg xmlns='http://www.w3.org/2000/svg' viewBox='0 0 24 216'%3e%3ctext fill='%23fff' style='font: 900 16px sans-serif' text-anchor='end' transform='matrix(0 -1 1 0 18 5)'%3eCard Games%3c/text%3e%3c/svg%3e</v>
      </c>
      <c r="H320" s="8" t="s">
        <v>42</v>
      </c>
      <c r="I320" s="8">
        <f t="shared" ref="I320:J320" si="321">len(B320)</f>
        <v>10</v>
      </c>
      <c r="J320" s="8">
        <f t="shared" si="321"/>
        <v>32</v>
      </c>
      <c r="K320" s="8" t="s">
        <v>2689</v>
      </c>
    </row>
    <row r="321">
      <c r="A321" s="7" t="b">
        <v>0</v>
      </c>
      <c r="B321" s="8" t="s">
        <v>2690</v>
      </c>
      <c r="C321" s="8" t="s">
        <v>2691</v>
      </c>
      <c r="D321" s="8" t="str">
        <f>Q&amp;$K321&amp;Q&amp;":{"&amp;Q&amp;$B$2&amp;Q&amp;":"&amp;Q&amp;$B321&amp;Q&amp;","&amp;Q&amp;$C$2&amp;Q&amp;":"&amp;Q&amp;$C321&amp;Q&amp;","&amp;Q&amp;"sets"&amp;Q&amp;":"&amp;Q&amp;substitute(SUBSTITUTE($H321,"[",""),"]","")&amp;Q&amp;"},"</f>
        <v>"pmbh":{"label":"Carl Sagan","extra":"1934-96, American astronomer and pioneer exobiologist. Touched many lives. Billions and billions of them.","sets":"Basic Set, Party Set"},</v>
      </c>
      <c r="E321" s="9" t="str">
        <f t="shared" si="2"/>
        <v>data:image/svg+xml,%3csvg xmlns='http://www.w3.org/2000/svg' viewBox='0 0 24 216'%3e%3ctext fill='%23fff' style='font: 900 16px sans-serif' text-anchor='end' transform='matrix(0 -1 1 0 18 5)'%3eCarl Sagan%3c/text%3e%3c/svg%3e</v>
      </c>
      <c r="F321" s="14" t="str">
        <f t="shared" si="3"/>
        <v>https://svgtext.heliohost.us/cgi-bin/gen.perl?text=Carl%20Sagan</v>
      </c>
      <c r="G321" s="11" t="str">
        <f t="shared" si="4"/>
        <v>data:image/svg+xml,%3csvg xmlns='http://www.w3.org/2000/svg' viewBox='0 0 24 216'%3e%3ctext fill='%23fff' style='font: 900 16px sans-serif' text-anchor='end' transform='matrix(0 -1 1 0 18 5)'%3eCarl Sagan%3c/text%3e%3c/svg%3e</v>
      </c>
      <c r="H321" s="8" t="s">
        <v>29</v>
      </c>
      <c r="I321" s="8">
        <f t="shared" ref="I321:J321" si="322">len(B321)</f>
        <v>10</v>
      </c>
      <c r="J321" s="8">
        <f t="shared" si="322"/>
        <v>105</v>
      </c>
      <c r="K321" s="8" t="s">
        <v>2692</v>
      </c>
    </row>
    <row r="322">
      <c r="A322" s="7" t="b">
        <v>0</v>
      </c>
      <c r="B322" s="8" t="s">
        <v>2693</v>
      </c>
      <c r="C322" s="7" t="s">
        <v>2694</v>
      </c>
      <c r="D322" s="8" t="str">
        <f>Q&amp;$K322&amp;Q&amp;":{"&amp;Q&amp;$B$2&amp;Q&amp;":"&amp;Q&amp;$B322&amp;Q&amp;","&amp;Q&amp;$C$2&amp;Q&amp;":"&amp;Q&amp;$C322&amp;Q&amp;","&amp;Q&amp;"sets"&amp;Q&amp;":"&amp;Q&amp;substitute(SUBSTITUTE($H322,"[",""),"]","")&amp;Q&amp;"},"</f>
        <v>"bejs":{"label":"Carlos Santana","extra":"1947-, guitar legend and member of the Rock and Roll Hall of Fame. Truly Supernatural.","sets":"Expansion Set 3, Party Expansion 1"},</v>
      </c>
      <c r="E322" s="9" t="str">
        <f t="shared" si="2"/>
        <v>data:image/svg+xml,%3csvg xmlns='http://www.w3.org/2000/svg' viewBox='0 0 24 216'%3e%3ctext fill='%23fff' style='font: 900 16px sans-serif' text-anchor='end' transform='matrix(0 -1 1 0 18 5)'%3eCarlos Santana%3c/text%3e%3c/svg%3e</v>
      </c>
      <c r="F322" s="14" t="str">
        <f t="shared" si="3"/>
        <v>https://svgtext.heliohost.us/cgi-bin/gen.perl?text=Carlos%20Santana</v>
      </c>
      <c r="G322" s="11" t="str">
        <f t="shared" si="4"/>
        <v>data:image/svg+xml,%3csvg xmlns='http://www.w3.org/2000/svg' viewBox='0 0 24 216'%3e%3ctext fill='%23fff' style='font: 900 16px sans-serif' text-anchor='end' transform='matrix(0 -1 1 0 18 5)'%3eCarlos Santana%3c/text%3e%3c/svg%3e</v>
      </c>
      <c r="H322" s="8" t="s">
        <v>39</v>
      </c>
      <c r="I322" s="8">
        <f t="shared" ref="I322:J322" si="323">len(B322)</f>
        <v>14</v>
      </c>
      <c r="J322" s="8">
        <f t="shared" si="323"/>
        <v>86</v>
      </c>
      <c r="K322" s="8" t="s">
        <v>2695</v>
      </c>
    </row>
    <row r="323">
      <c r="A323" s="7" t="b">
        <v>0</v>
      </c>
      <c r="B323" s="8" t="s">
        <v>2696</v>
      </c>
      <c r="C323" s="7" t="s">
        <v>2697</v>
      </c>
      <c r="D323" s="8" t="str">
        <f>Q&amp;$K323&amp;Q&amp;":{"&amp;Q&amp;$B$2&amp;Q&amp;":"&amp;Q&amp;$B323&amp;Q&amp;","&amp;Q&amp;$C$2&amp;Q&amp;":"&amp;Q&amp;$C323&amp;Q&amp;","&amp;Q&amp;"sets"&amp;Q&amp;":"&amp;Q&amp;substitute(SUBSTITUTE($H323,"[",""),"]","")&amp;Q&amp;"},"</f>
        <v>"rnyz":{"label":"Carnival Workers","extra":"Step right up…","sets":"Expansion Set 1, Party Set"},</v>
      </c>
      <c r="E323" s="9" t="str">
        <f t="shared" si="2"/>
        <v>data:image/svg+xml,%3csvg xmlns='http://www.w3.org/2000/svg' viewBox='0 0 24 216'%3e%3ctext fill='%23fff' style='font: 900 16px sans-serif' text-anchor='end' transform='matrix(0 -1 1 0 18 5)'%3eCarnival Workers%3c/text%3e%3c/svg%3e</v>
      </c>
      <c r="F323" s="14" t="str">
        <f t="shared" si="3"/>
        <v>https://svgtext.heliohost.us/cgi-bin/gen.perl?text=Carnival%20Workers</v>
      </c>
      <c r="G323" s="11" t="str">
        <f t="shared" si="4"/>
        <v>data:image/svg+xml,%3csvg xmlns='http://www.w3.org/2000/svg' viewBox='0 0 24 216'%3e%3ctext fill='%23fff' style='font: 900 16px sans-serif' text-anchor='end' transform='matrix(0 -1 1 0 18 5)'%3eCarnival Workers%3c/text%3e%3c/svg%3e</v>
      </c>
      <c r="H323" s="8" t="s">
        <v>25</v>
      </c>
      <c r="I323" s="8">
        <f t="shared" ref="I323:J323" si="324">len(B323)</f>
        <v>16</v>
      </c>
      <c r="J323" s="8">
        <f t="shared" si="324"/>
        <v>14</v>
      </c>
      <c r="K323" s="8" t="s">
        <v>2698</v>
      </c>
    </row>
    <row r="324">
      <c r="A324" s="7" t="b">
        <v>1</v>
      </c>
      <c r="B324" s="8" t="s">
        <v>2699</v>
      </c>
      <c r="C324" s="7" t="s">
        <v>2700</v>
      </c>
      <c r="D324" s="8" t="str">
        <f>Q&amp;$K324&amp;Q&amp;":{"&amp;Q&amp;$B$2&amp;Q&amp;":"&amp;Q&amp;$B324&amp;Q&amp;","&amp;Q&amp;$C$2&amp;Q&amp;":"&amp;Q&amp;$C324&amp;Q&amp;","&amp;Q&amp;"sets"&amp;Q&amp;":"&amp;Q&amp;substitute(SUBSTITUTE($H324,"[",""),"]","")&amp;Q&amp;"},"</f>
        <v>"twtm":{"label":"Carpenters","extra":"Hammering and sawing- it’s just wood work.","sets":"Junior 9+ (2nd)"},</v>
      </c>
      <c r="E324" s="9" t="str">
        <f t="shared" si="2"/>
        <v>data:image/svg+xml,%3csvg xmlns='http://www.w3.org/2000/svg' viewBox='0 0 24 216'%3e%3ctext fill='%23fff' style='font: 900 16px sans-serif' text-anchor='end' transform='matrix(0 -1 1 0 18 5)'%3eCarpenters%3c/text%3e%3c/svg%3e</v>
      </c>
      <c r="F324" s="14" t="str">
        <f t="shared" si="3"/>
        <v>https://svgtext.heliohost.us/cgi-bin/gen.perl?text=Carpenters</v>
      </c>
      <c r="G324" s="11" t="str">
        <f t="shared" si="4"/>
        <v>data:image/svg+xml,%3csvg xmlns='http://www.w3.org/2000/svg' viewBox='0 0 24 216'%3e%3ctext fill='%23fff' style='font: 900 16px sans-serif' text-anchor='end' transform='matrix(0 -1 1 0 18 5)'%3eCarpenters%3c/text%3e%3c/svg%3e</v>
      </c>
      <c r="H324" s="8" t="s">
        <v>32</v>
      </c>
      <c r="I324" s="8">
        <f t="shared" ref="I324:J324" si="325">len(B324)</f>
        <v>10</v>
      </c>
      <c r="J324" s="8">
        <f t="shared" si="325"/>
        <v>42</v>
      </c>
      <c r="K324" s="8" t="s">
        <v>2701</v>
      </c>
    </row>
    <row r="325">
      <c r="A325" s="7" t="b">
        <v>1</v>
      </c>
      <c r="B325" s="8" t="s">
        <v>2702</v>
      </c>
      <c r="C325" s="7" t="s">
        <v>2703</v>
      </c>
      <c r="D325" s="8" t="str">
        <f>Q&amp;$K325&amp;Q&amp;":{"&amp;Q&amp;$B$2&amp;Q&amp;":"&amp;Q&amp;$B325&amp;Q&amp;","&amp;Q&amp;$C$2&amp;Q&amp;":"&amp;Q&amp;$C325&amp;Q&amp;","&amp;Q&amp;"sets"&amp;Q&amp;":"&amp;Q&amp;substitute(SUBSTITUTE($H325,"[",""),"]","")&amp;Q&amp;"},"</f>
        <v>"xtwx":{"label":"Carrot &amp; A Stick","extra":"The ultimate motivator… for a donkey.","sets":"Expansion Set 4, Party Expansion 1"},</v>
      </c>
      <c r="E325" s="9" t="str">
        <f t="shared" si="2"/>
        <v>data:image/svg+xml,%3csvg xmlns='http://www.w3.org/2000/svg' viewBox='0 0 24 216'%3e%3ctext fill='%23fff' style='font: 900 16px sans-serif' text-anchor='end' transform='matrix(0 -1 1 0 18 5)'%3eCarrot %26amp%3B A Stick%3c/text%3e%3c/svg%3e</v>
      </c>
      <c r="F325" s="14" t="str">
        <f t="shared" si="3"/>
        <v>https://svgtext.heliohost.us/cgi-bin/gen.perl?text=Carrot%20%26%20A%20Stick</v>
      </c>
      <c r="G325" s="11" t="str">
        <f t="shared" si="4"/>
        <v>data:image/svg+xml,%3csvg xmlns='http://www.w3.org/2000/svg' viewBox='0 0 24 216'%3e%3ctext fill='%23fff' style='font: 900 16px sans-serif' text-anchor='end' transform='matrix(0 -1 1 0 18 5)'%3eCarrot %26amp%3B A Stick%3c/text%3e%3c/svg%3e</v>
      </c>
      <c r="H325" s="8" t="s">
        <v>63</v>
      </c>
      <c r="I325" s="8">
        <f t="shared" ref="I325:J325" si="326">len(B325)</f>
        <v>16</v>
      </c>
      <c r="J325" s="8">
        <f t="shared" si="326"/>
        <v>37</v>
      </c>
      <c r="K325" s="8" t="s">
        <v>2704</v>
      </c>
    </row>
    <row r="326">
      <c r="A326" s="7" t="b">
        <v>1</v>
      </c>
      <c r="B326" s="8" t="s">
        <v>2705</v>
      </c>
      <c r="C326" s="7" t="s">
        <v>2706</v>
      </c>
      <c r="D326" s="8" t="str">
        <f>Q&amp;$K326&amp;Q&amp;":{"&amp;Q&amp;$B$2&amp;Q&amp;":"&amp;Q&amp;$B326&amp;Q&amp;","&amp;Q&amp;$C$2&amp;Q&amp;":"&amp;Q&amp;$C326&amp;Q&amp;","&amp;Q&amp;"sets"&amp;Q&amp;":"&amp;Q&amp;substitute(SUBSTITUTE($H326,"[",""),"]","")&amp;Q&amp;"},"</f>
        <v>"tydc":{"label":"Carrots","extra":"Bugs Bunny’s favorite food.","sets":"Junior 9+ (1st) &amp; (2nd)"},</v>
      </c>
      <c r="E326" s="9" t="str">
        <f t="shared" si="2"/>
        <v>data:image/svg+xml,%3csvg xmlns='http://www.w3.org/2000/svg' viewBox='0 0 24 216'%3e%3ctext fill='%23fff' style='font: 900 16px sans-serif' text-anchor='end' transform='matrix(0 -1 1 0 18 5)'%3eCarrots%3c/text%3e%3c/svg%3e</v>
      </c>
      <c r="F326" s="14" t="str">
        <f t="shared" si="3"/>
        <v>https://svgtext.heliohost.us/cgi-bin/gen.perl?text=Carrots</v>
      </c>
      <c r="G326" s="11" t="str">
        <f t="shared" si="4"/>
        <v>data:image/svg+xml,%3csvg xmlns='http://www.w3.org/2000/svg' viewBox='0 0 24 216'%3e%3ctext fill='%23fff' style='font: 900 16px sans-serif' text-anchor='end' transform='matrix(0 -1 1 0 18 5)'%3eCarrots%3c/text%3e%3c/svg%3e</v>
      </c>
      <c r="H326" s="8" t="s">
        <v>42</v>
      </c>
      <c r="I326" s="8">
        <f t="shared" ref="I326:J326" si="327">len(B326)</f>
        <v>7</v>
      </c>
      <c r="J326" s="8">
        <f t="shared" si="327"/>
        <v>27</v>
      </c>
      <c r="K326" s="8" t="s">
        <v>2707</v>
      </c>
    </row>
    <row r="327">
      <c r="A327" s="7" t="b">
        <v>0</v>
      </c>
      <c r="B327" s="8" t="s">
        <v>2708</v>
      </c>
      <c r="C327" s="7" t="s">
        <v>2709</v>
      </c>
      <c r="D327" s="8" t="str">
        <f>Q&amp;$K327&amp;Q&amp;":{"&amp;Q&amp;$B$2&amp;Q&amp;":"&amp;Q&amp;$B327&amp;Q&amp;","&amp;Q&amp;$C$2&amp;Q&amp;":"&amp;Q&amp;$C327&amp;Q&amp;","&amp;Q&amp;"sets"&amp;Q&amp;":"&amp;Q&amp;substitute(SUBSTITUTE($H327,"[",""),"]","")&amp;Q&amp;"},"</f>
        <v>"vgnh":{"label":"Cary Grant","extra":"1904-86, British-born American actor known for his debonair manner. He can be found “North by Northwest”.","sets":"Expansion Set 2, Party Set"},</v>
      </c>
      <c r="E327" s="9" t="str">
        <f t="shared" si="2"/>
        <v>data:image/svg+xml,%3csvg xmlns='http://www.w3.org/2000/svg' viewBox='0 0 24 216'%3e%3ctext fill='%23fff' style='font: 900 16px sans-serif' text-anchor='end' transform='matrix(0 -1 1 0 18 5)'%3eCary Grant%3c/text%3e%3c/svg%3e</v>
      </c>
      <c r="F327" s="14" t="str">
        <f t="shared" si="3"/>
        <v>https://svgtext.heliohost.us/cgi-bin/gen.perl?text=Cary%20Grant</v>
      </c>
      <c r="G327" s="11" t="str">
        <f t="shared" si="4"/>
        <v>data:image/svg+xml,%3csvg xmlns='http://www.w3.org/2000/svg' viewBox='0 0 24 216'%3e%3ctext fill='%23fff' style='font: 900 16px sans-serif' text-anchor='end' transform='matrix(0 -1 1 0 18 5)'%3eCary Grant%3c/text%3e%3c/svg%3e</v>
      </c>
      <c r="H327" s="8" t="s">
        <v>17</v>
      </c>
      <c r="I327" s="8">
        <f t="shared" ref="I327:J327" si="328">len(B327)</f>
        <v>10</v>
      </c>
      <c r="J327" s="8">
        <f t="shared" si="328"/>
        <v>105</v>
      </c>
      <c r="K327" s="8" t="s">
        <v>2710</v>
      </c>
    </row>
    <row r="328">
      <c r="A328" s="7" t="b">
        <v>0</v>
      </c>
      <c r="B328" s="8" t="s">
        <v>2711</v>
      </c>
      <c r="C328" s="7" t="s">
        <v>2712</v>
      </c>
      <c r="D328" s="8" t="str">
        <f>Q&amp;$K328&amp;Q&amp;":{"&amp;Q&amp;$B$2&amp;Q&amp;":"&amp;Q&amp;$B328&amp;Q&amp;","&amp;Q&amp;$C$2&amp;Q&amp;":"&amp;Q&amp;$C328&amp;Q&amp;","&amp;Q&amp;"sets"&amp;Q&amp;":"&amp;Q&amp;substitute(SUBSTITUTE($H328,"[",""),"]","")&amp;Q&amp;"},"</f>
        <v>"zypk":{"label":"Casablanca","extra":"The largest city in Morocco, and one heck of a good movie. “Of all the gin joints in all the towns in all the world…”","sets":"Expansion Set 2, Party Set"},</v>
      </c>
      <c r="E328" s="9" t="str">
        <f t="shared" si="2"/>
        <v>data:image/svg+xml,%3csvg xmlns='http://www.w3.org/2000/svg' viewBox='0 0 24 216'%3e%3ctext fill='%23fff' style='font: 900 16px sans-serif' text-anchor='end' transform='matrix(0 -1 1 0 18 5)'%3eCasablanca%3c/text%3e%3c/svg%3e</v>
      </c>
      <c r="F328" s="14" t="str">
        <f t="shared" si="3"/>
        <v>https://svgtext.heliohost.us/cgi-bin/gen.perl?text=Casablanca</v>
      </c>
      <c r="G328" s="11" t="str">
        <f t="shared" si="4"/>
        <v>data:image/svg+xml,%3csvg xmlns='http://www.w3.org/2000/svg' viewBox='0 0 24 216'%3e%3ctext fill='%23fff' style='font: 900 16px sans-serif' text-anchor='end' transform='matrix(0 -1 1 0 18 5)'%3eCasablanca%3c/text%3e%3c/svg%3e</v>
      </c>
      <c r="H328" s="8" t="s">
        <v>17</v>
      </c>
      <c r="I328" s="8">
        <f t="shared" ref="I328:J328" si="329">len(B328)</f>
        <v>10</v>
      </c>
      <c r="J328" s="8">
        <f t="shared" si="329"/>
        <v>117</v>
      </c>
      <c r="K328" s="8" t="s">
        <v>2713</v>
      </c>
    </row>
    <row r="329">
      <c r="A329" s="7" t="b">
        <v>0</v>
      </c>
      <c r="B329" s="8" t="s">
        <v>2714</v>
      </c>
      <c r="C329" s="8" t="s">
        <v>2715</v>
      </c>
      <c r="D329" s="8" t="str">
        <f>Q&amp;$K329&amp;Q&amp;":{"&amp;Q&amp;$B$2&amp;Q&amp;":"&amp;Q&amp;$B329&amp;Q&amp;","&amp;Q&amp;$C$2&amp;Q&amp;":"&amp;Q&amp;$C329&amp;Q&amp;","&amp;Q&amp;"sets"&amp;Q&amp;":"&amp;Q&amp;substitute(SUBSTITUTE($H329,"[",""),"]","")&amp;Q&amp;"},"</f>
        <v>"eqyz":{"label":"Casinos","extra":"Slots and slots of fun.","sets":"Expansion Set 1, Party Set"},</v>
      </c>
      <c r="E329" s="9" t="str">
        <f t="shared" si="2"/>
        <v>data:image/svg+xml,%3csvg xmlns='http://www.w3.org/2000/svg' viewBox='0 0 24 216'%3e%3ctext fill='%23fff' style='font: 900 16px sans-serif' text-anchor='end' transform='matrix(0 -1 1 0 18 5)'%3eCasinos%3c/text%3e%3c/svg%3e</v>
      </c>
      <c r="F329" s="14" t="str">
        <f t="shared" si="3"/>
        <v>https://svgtext.heliohost.us/cgi-bin/gen.perl?text=Casinos</v>
      </c>
      <c r="G329" s="11" t="str">
        <f t="shared" si="4"/>
        <v>data:image/svg+xml,%3csvg xmlns='http://www.w3.org/2000/svg' viewBox='0 0 24 216'%3e%3ctext fill='%23fff' style='font: 900 16px sans-serif' text-anchor='end' transform='matrix(0 -1 1 0 18 5)'%3eCasinos%3c/text%3e%3c/svg%3e</v>
      </c>
      <c r="H329" s="8" t="s">
        <v>25</v>
      </c>
      <c r="I329" s="8">
        <f t="shared" ref="I329:J329" si="330">len(B329)</f>
        <v>7</v>
      </c>
      <c r="J329" s="8">
        <f t="shared" si="330"/>
        <v>23</v>
      </c>
      <c r="K329" s="8" t="s">
        <v>2716</v>
      </c>
    </row>
    <row r="330">
      <c r="A330" s="7" t="b">
        <v>0</v>
      </c>
      <c r="B330" s="8" t="s">
        <v>2717</v>
      </c>
      <c r="C330" s="7" t="s">
        <v>2718</v>
      </c>
      <c r="D330" s="8" t="str">
        <f>Q&amp;$K330&amp;Q&amp;":{"&amp;Q&amp;$B$2&amp;Q&amp;":"&amp;Q&amp;$B330&amp;Q&amp;","&amp;Q&amp;$C$2&amp;Q&amp;":"&amp;Q&amp;$C330&amp;Q&amp;","&amp;Q&amp;"sets"&amp;Q&amp;":"&amp;Q&amp;substitute(SUBSTITUTE($H330,"[",""),"]","")&amp;Q&amp;"},"</f>
        <v>"rqwn":{"label":"Castles","extra":"Kings, queens, knights in shining armor, and little square hamburgers.","sets":"Expansion Set 2, Party Set"},</v>
      </c>
      <c r="E330" s="9" t="str">
        <f t="shared" si="2"/>
        <v>data:image/svg+xml,%3csvg xmlns='http://www.w3.org/2000/svg' viewBox='0 0 24 216'%3e%3ctext fill='%23fff' style='font: 900 16px sans-serif' text-anchor='end' transform='matrix(0 -1 1 0 18 5)'%3eCastles%3c/text%3e%3c/svg%3e</v>
      </c>
      <c r="F330" s="14" t="str">
        <f t="shared" si="3"/>
        <v>https://svgtext.heliohost.us/cgi-bin/gen.perl?text=Castles</v>
      </c>
      <c r="G330" s="11" t="str">
        <f t="shared" si="4"/>
        <v>data:image/svg+xml,%3csvg xmlns='http://www.w3.org/2000/svg' viewBox='0 0 24 216'%3e%3ctext fill='%23fff' style='font: 900 16px sans-serif' text-anchor='end' transform='matrix(0 -1 1 0 18 5)'%3eCastles%3c/text%3e%3c/svg%3e</v>
      </c>
      <c r="H330" s="8" t="s">
        <v>17</v>
      </c>
      <c r="I330" s="8">
        <f t="shared" ref="I330:J330" si="331">len(B330)</f>
        <v>7</v>
      </c>
      <c r="J330" s="8">
        <f t="shared" si="331"/>
        <v>70</v>
      </c>
      <c r="K330" s="8" t="s">
        <v>2719</v>
      </c>
    </row>
    <row r="331">
      <c r="A331" s="7" t="b">
        <v>1</v>
      </c>
      <c r="B331" s="8" t="s">
        <v>2717</v>
      </c>
      <c r="C331" s="8" t="s">
        <v>2720</v>
      </c>
      <c r="D331" s="8" t="str">
        <f>Q&amp;$K331&amp;Q&amp;":{"&amp;Q&amp;$B$2&amp;Q&amp;":"&amp;Q&amp;$B331&amp;Q&amp;","&amp;Q&amp;$C$2&amp;Q&amp;":"&amp;Q&amp;$C331&amp;Q&amp;","&amp;Q&amp;"sets"&amp;Q&amp;":"&amp;Q&amp;substitute(SUBSTITUTE($H331,"[",""),"]","")&amp;Q&amp;"},"</f>
        <v>"{fct":{"label":"Castles","extra":"Some have towers, dungeons and moats.","sets":"Junior 9+ (1st) &amp; (2nd)"},</v>
      </c>
      <c r="E331" s="9" t="str">
        <f t="shared" si="2"/>
        <v>data:image/svg+xml,%3csvg xmlns='http://www.w3.org/2000/svg' viewBox='0 0 24 216'%3e%3ctext fill='%23fff' style='font: 900 16px sans-serif' text-anchor='end' transform='matrix(0 -1 1 0 18 5)'%3eCastles%3c/text%3e%3c/svg%3e</v>
      </c>
      <c r="F331" s="14" t="str">
        <f t="shared" si="3"/>
        <v>https://svgtext.heliohost.us/cgi-bin/gen.perl?text=Castles</v>
      </c>
      <c r="G331" s="11" t="str">
        <f t="shared" si="4"/>
        <v>data:image/svg+xml,%3csvg xmlns='http://www.w3.org/2000/svg' viewBox='0 0 24 216'%3e%3ctext fill='%23fff' style='font: 900 16px sans-serif' text-anchor='end' transform='matrix(0 -1 1 0 18 5)'%3eCastles%3c/text%3e%3c/svg%3e</v>
      </c>
      <c r="H331" s="8" t="s">
        <v>42</v>
      </c>
      <c r="I331" s="8">
        <f t="shared" ref="I331:J331" si="332">len(B331)</f>
        <v>7</v>
      </c>
      <c r="J331" s="8">
        <f t="shared" si="332"/>
        <v>37</v>
      </c>
      <c r="K331" s="8" t="s">
        <v>2721</v>
      </c>
    </row>
    <row r="332">
      <c r="A332" s="7" t="b">
        <v>1</v>
      </c>
      <c r="B332" s="8" t="s">
        <v>2722</v>
      </c>
      <c r="C332" s="7" t="s">
        <v>2723</v>
      </c>
      <c r="D332" s="8" t="str">
        <f>Q&amp;$K332&amp;Q&amp;":{"&amp;Q&amp;$B$2&amp;Q&amp;":"&amp;Q&amp;$B332&amp;Q&amp;","&amp;Q&amp;$C$2&amp;Q&amp;":"&amp;Q&amp;$C332&amp;Q&amp;","&amp;Q&amp;"sets"&amp;Q&amp;":"&amp;Q&amp;substitute(SUBSTITUTE($H332,"[",""),"]","")&amp;Q&amp;"},"</f>
        <v>"immo":{"label":"Cat &amp; Mouse","extra":"It’s just a game.","sets":"Expansion Set 4, Party Expansion 1"},</v>
      </c>
      <c r="E332" s="9" t="str">
        <f t="shared" si="2"/>
        <v>data:image/svg+xml,%3csvg xmlns='http://www.w3.org/2000/svg' viewBox='0 0 24 216'%3e%3ctext fill='%23fff' style='font: 900 16px sans-serif' text-anchor='end' transform='matrix(0 -1 1 0 18 5)'%3eCat %26amp%3B Mouse%3c/text%3e%3c/svg%3e</v>
      </c>
      <c r="F332" s="14" t="str">
        <f t="shared" si="3"/>
        <v>https://svgtext.heliohost.us/cgi-bin/gen.perl?text=Cat%20%26%20Mouse</v>
      </c>
      <c r="G332" s="11" t="str">
        <f t="shared" si="4"/>
        <v>data:image/svg+xml,%3csvg xmlns='http://www.w3.org/2000/svg' viewBox='0 0 24 216'%3e%3ctext fill='%23fff' style='font: 900 16px sans-serif' text-anchor='end' transform='matrix(0 -1 1 0 18 5)'%3eCat %26amp%3B Mouse%3c/text%3e%3c/svg%3e</v>
      </c>
      <c r="H332" s="8" t="s">
        <v>63</v>
      </c>
      <c r="I332" s="8">
        <f t="shared" ref="I332:J332" si="333">len(B332)</f>
        <v>11</v>
      </c>
      <c r="J332" s="8">
        <f t="shared" si="333"/>
        <v>17</v>
      </c>
      <c r="K332" s="8" t="s">
        <v>2724</v>
      </c>
    </row>
    <row r="333">
      <c r="A333" s="7" t="b">
        <v>1</v>
      </c>
      <c r="B333" s="8" t="s">
        <v>2725</v>
      </c>
      <c r="C333" s="8" t="s">
        <v>2726</v>
      </c>
      <c r="D333" s="8" t="str">
        <f>Q&amp;$K333&amp;Q&amp;":{"&amp;Q&amp;$B$2&amp;Q&amp;":"&amp;Q&amp;$B333&amp;Q&amp;","&amp;Q&amp;$C$2&amp;Q&amp;":"&amp;Q&amp;$C333&amp;Q&amp;","&amp;Q&amp;"sets"&amp;Q&amp;":"&amp;Q&amp;substitute(SUBSTITUTE($H333,"[",""),"]","")&amp;Q&amp;"},"</f>
        <v>"uquv":{"label":"Catfish","extra":"Fish with feelers that look like whiskers.","sets":"Junior"},</v>
      </c>
      <c r="E333" s="9" t="str">
        <f t="shared" si="2"/>
        <v>data:image/svg+xml,%3csvg xmlns='http://www.w3.org/2000/svg' viewBox='0 0 24 216'%3e%3ctext fill='%23fff' style='font: 900 16px sans-serif' text-anchor='end' transform='matrix(0 -1 1 0 18 5)'%3eCatfish%3c/text%3e%3c/svg%3e</v>
      </c>
      <c r="F333" s="14" t="str">
        <f t="shared" si="3"/>
        <v>https://svgtext.heliohost.us/cgi-bin/gen.perl?text=Catfish</v>
      </c>
      <c r="G333" s="11" t="str">
        <f t="shared" si="4"/>
        <v>data:image/svg+xml,%3csvg xmlns='http://www.w3.org/2000/svg' viewBox='0 0 24 216'%3e%3ctext fill='%23fff' style='font: 900 16px sans-serif' text-anchor='end' transform='matrix(0 -1 1 0 18 5)'%3eCatfish%3c/text%3e%3c/svg%3e</v>
      </c>
      <c r="H333" s="8" t="s">
        <v>84</v>
      </c>
      <c r="I333" s="8">
        <f t="shared" ref="I333:J333" si="334">len(B333)</f>
        <v>7</v>
      </c>
      <c r="J333" s="8">
        <f t="shared" si="334"/>
        <v>42</v>
      </c>
      <c r="K333" s="8" t="s">
        <v>2727</v>
      </c>
    </row>
    <row r="334">
      <c r="A334" s="7" t="b">
        <v>0</v>
      </c>
      <c r="B334" s="8" t="s">
        <v>2728</v>
      </c>
      <c r="C334" s="7" t="s">
        <v>2729</v>
      </c>
      <c r="D334" s="8" t="str">
        <f>Q&amp;$K334&amp;Q&amp;":{"&amp;Q&amp;$B$2&amp;Q&amp;":"&amp;Q&amp;$B334&amp;Q&amp;","&amp;Q&amp;$C$2&amp;Q&amp;":"&amp;Q&amp;$C334&amp;Q&amp;","&amp;Q&amp;"sets"&amp;Q&amp;":"&amp;Q&amp;substitute(SUBSTITUTE($H334,"[",""),"]","")&amp;Q&amp;"},"</f>
        <v>"jnlv":{"label":"Catherine Zeta-Jones","extra":"1969-, Welsh born actor, famous for her stunning good looks, as seen in The Mask Of Zorro, Entrapment and Traffic.","sets":"Expansion Set 3, Party Expansion 1"},</v>
      </c>
      <c r="E334" s="9" t="str">
        <f t="shared" si="2"/>
        <v>data:image/svg+xml,%3csvg xmlns='http://www.w3.org/2000/svg' viewBox='0 0 24 216'%3e%3ctext fill='%23fff' style='font: 900 16px sans-serif' text-anchor='end' transform='matrix(0 -1 1 0 18 5)'%3eCatherine Zeta-Jones%3c/text%3e%3c/svg%3e</v>
      </c>
      <c r="F334" s="14" t="str">
        <f t="shared" si="3"/>
        <v>https://svgtext.heliohost.us/cgi-bin/gen.perl?text=Catherine%20Zeta-Jones</v>
      </c>
      <c r="G334" s="11" t="str">
        <f t="shared" si="4"/>
        <v>data:image/svg+xml,%3csvg xmlns='http://www.w3.org/2000/svg' viewBox='0 0 24 216'%3e%3ctext fill='%23fff' style='font: 900 16px sans-serif' text-anchor='end' transform='matrix(0 -1 1 0 18 5)'%3eCatherine Zeta-Jones%3c/text%3e%3c/svg%3e</v>
      </c>
      <c r="H334" s="8" t="s">
        <v>39</v>
      </c>
      <c r="I334" s="8">
        <f t="shared" ref="I334:J334" si="335">len(B334)</f>
        <v>20</v>
      </c>
      <c r="J334" s="8">
        <f t="shared" si="335"/>
        <v>114</v>
      </c>
      <c r="K334" s="8" t="s">
        <v>2730</v>
      </c>
    </row>
    <row r="335">
      <c r="A335" s="7" t="b">
        <v>1</v>
      </c>
      <c r="B335" s="8" t="s">
        <v>2731</v>
      </c>
      <c r="C335" s="8" t="s">
        <v>2732</v>
      </c>
      <c r="D335" s="8" t="str">
        <f>Q&amp;$K335&amp;Q&amp;":{"&amp;Q&amp;$B$2&amp;Q&amp;":"&amp;Q&amp;$B335&amp;Q&amp;","&amp;Q&amp;$C$2&amp;Q&amp;":"&amp;Q&amp;$C335&amp;Q&amp;","&amp;Q&amp;"sets"&amp;Q&amp;":"&amp;Q&amp;substitute(SUBSTITUTE($H335,"[",""),"]","")&amp;Q&amp;"},"</f>
        <v>"vkbn":{"label":"Cats &amp; Dogs","extra":"Is it raining?","sets":"Expansion Set 4, Party Expansion 1"},</v>
      </c>
      <c r="E335" s="9" t="str">
        <f t="shared" si="2"/>
        <v>data:image/svg+xml,%3csvg xmlns='http://www.w3.org/2000/svg' viewBox='0 0 24 216'%3e%3ctext fill='%23fff' style='font: 900 16px sans-serif' text-anchor='end' transform='matrix(0 -1 1 0 18 5)'%3eCats %26amp%3B Dogs%3c/text%3e%3c/svg%3e</v>
      </c>
      <c r="F335" s="14" t="str">
        <f t="shared" si="3"/>
        <v>https://svgtext.heliohost.us/cgi-bin/gen.perl?text=Cats%20%26%20Dogs</v>
      </c>
      <c r="G335" s="11" t="str">
        <f t="shared" si="4"/>
        <v>data:image/svg+xml,%3csvg xmlns='http://www.w3.org/2000/svg' viewBox='0 0 24 216'%3e%3ctext fill='%23fff' style='font: 900 16px sans-serif' text-anchor='end' transform='matrix(0 -1 1 0 18 5)'%3eCats %26amp%3B Dogs%3c/text%3e%3c/svg%3e</v>
      </c>
      <c r="H335" s="8" t="s">
        <v>63</v>
      </c>
      <c r="I335" s="8">
        <f t="shared" ref="I335:J335" si="336">len(B335)</f>
        <v>11</v>
      </c>
      <c r="J335" s="8">
        <f t="shared" si="336"/>
        <v>14</v>
      </c>
      <c r="K335" s="8" t="s">
        <v>2733</v>
      </c>
    </row>
    <row r="336">
      <c r="A336" s="7" t="b">
        <v>1</v>
      </c>
      <c r="B336" s="8" t="s">
        <v>2734</v>
      </c>
      <c r="C336" s="8" t="s">
        <v>2735</v>
      </c>
      <c r="D336" s="8" t="str">
        <f>Q&amp;$K336&amp;Q&amp;":{"&amp;Q&amp;$B$2&amp;Q&amp;":"&amp;Q&amp;$B336&amp;Q&amp;","&amp;Q&amp;$C$2&amp;Q&amp;":"&amp;Q&amp;$C336&amp;Q&amp;","&amp;Q&amp;"sets"&amp;Q&amp;":"&amp;Q&amp;substitute(SUBSTITUTE($H336,"[",""),"]","")&amp;Q&amp;"},"</f>
        <v>"biji":{"label":"Catsup","extra":"Catsup is made from tomatoes, onions, sugar, and spices.","sets":"Junior 9+ (2nd)"},</v>
      </c>
      <c r="E336" s="9" t="str">
        <f t="shared" si="2"/>
        <v>data:image/svg+xml,%3csvg xmlns='http://www.w3.org/2000/svg' viewBox='0 0 24 216'%3e%3ctext fill='%23fff' style='font: 900 16px sans-serif' text-anchor='end' transform='matrix(0 -1 1 0 18 5)'%3eCatsup%3c/text%3e%3c/svg%3e</v>
      </c>
      <c r="F336" s="14" t="str">
        <f t="shared" si="3"/>
        <v>https://svgtext.heliohost.us/cgi-bin/gen.perl?text=Catsup</v>
      </c>
      <c r="G336" s="11" t="str">
        <f t="shared" si="4"/>
        <v>data:image/svg+xml,%3csvg xmlns='http://www.w3.org/2000/svg' viewBox='0 0 24 216'%3e%3ctext fill='%23fff' style='font: 900 16px sans-serif' text-anchor='end' transform='matrix(0 -1 1 0 18 5)'%3eCatsup%3c/text%3e%3c/svg%3e</v>
      </c>
      <c r="H336" s="8" t="s">
        <v>32</v>
      </c>
      <c r="I336" s="8">
        <f t="shared" ref="I336:J336" si="337">len(B336)</f>
        <v>6</v>
      </c>
      <c r="J336" s="8">
        <f t="shared" si="337"/>
        <v>56</v>
      </c>
      <c r="K336" s="8" t="s">
        <v>2736</v>
      </c>
    </row>
    <row r="337">
      <c r="A337" s="7" t="b">
        <v>1</v>
      </c>
      <c r="B337" s="8" t="s">
        <v>2737</v>
      </c>
      <c r="C337" s="7" t="s">
        <v>2738</v>
      </c>
      <c r="D337" s="8" t="str">
        <f>Q&amp;$K337&amp;Q&amp;":{"&amp;Q&amp;$B$2&amp;Q&amp;":"&amp;Q&amp;$B337&amp;Q&amp;","&amp;Q&amp;$C$2&amp;Q&amp;":"&amp;Q&amp;$C337&amp;Q&amp;","&amp;Q&amp;"sets"&amp;Q&amp;":"&amp;Q&amp;substitute(SUBSTITUTE($H337,"[",""),"]","")&amp;Q&amp;"},"</f>
        <v>"xvxc":{"label":"Catsup &amp; Mustard","extra":"The salsa revolution brought down their condiment empire.","sets":"Expansion Set 4, Party Expansion 1"},</v>
      </c>
      <c r="E337" s="9" t="str">
        <f t="shared" si="2"/>
        <v>data:image/svg+xml,%3csvg xmlns='http://www.w3.org/2000/svg' viewBox='0 0 24 216'%3e%3ctext fill='%23fff' style='font: 900 16px sans-serif' text-anchor='end' transform='matrix(0 -1 1 0 18 5)'%3eCatsup %26amp%3B Mustard%3c/text%3e%3c/svg%3e</v>
      </c>
      <c r="F337" s="14" t="str">
        <f t="shared" si="3"/>
        <v>https://svgtext.heliohost.us/cgi-bin/gen.perl?text=Catsup%20%26%20Mustard</v>
      </c>
      <c r="G337" s="11" t="str">
        <f t="shared" si="4"/>
        <v>data:image/svg+xml,%3csvg xmlns='http://www.w3.org/2000/svg' viewBox='0 0 24 216'%3e%3ctext fill='%23fff' style='font: 900 16px sans-serif' text-anchor='end' transform='matrix(0 -1 1 0 18 5)'%3eCatsup %26amp%3B Mustard%3c/text%3e%3c/svg%3e</v>
      </c>
      <c r="H337" s="8" t="s">
        <v>63</v>
      </c>
      <c r="I337" s="8">
        <f t="shared" ref="I337:J337" si="338">len(B337)</f>
        <v>16</v>
      </c>
      <c r="J337" s="8">
        <f t="shared" si="338"/>
        <v>57</v>
      </c>
      <c r="K337" s="8" t="s">
        <v>2739</v>
      </c>
    </row>
    <row r="338">
      <c r="A338" s="7" t="b">
        <v>1</v>
      </c>
      <c r="B338" s="8" t="s">
        <v>2740</v>
      </c>
      <c r="C338" s="8" t="s">
        <v>2741</v>
      </c>
      <c r="D338" s="8" t="str">
        <f>Q&amp;$K338&amp;Q&amp;":{"&amp;Q&amp;$B$2&amp;Q&amp;":"&amp;Q&amp;$B338&amp;Q&amp;","&amp;Q&amp;$C$2&amp;Q&amp;":"&amp;Q&amp;$C338&amp;Q&amp;","&amp;Q&amp;"sets"&amp;Q&amp;":"&amp;Q&amp;substitute(SUBSTITUTE($H338,"[",""),"]","")&amp;Q&amp;"},"</f>
        <v>"ilnp":{"label":"Cattle Ranch","extra":"Home on the range.","sets":"Junior 9+ (2nd)"},</v>
      </c>
      <c r="E338" s="9" t="str">
        <f t="shared" si="2"/>
        <v>data:image/svg+xml,%3csvg xmlns='http://www.w3.org/2000/svg' viewBox='0 0 24 216'%3e%3ctext fill='%23fff' style='font: 900 16px sans-serif' text-anchor='end' transform='matrix(0 -1 1 0 18 5)'%3eCattle Ranch%3c/text%3e%3c/svg%3e</v>
      </c>
      <c r="F338" s="14" t="str">
        <f t="shared" si="3"/>
        <v>https://svgtext.heliohost.us/cgi-bin/gen.perl?text=Cattle%20Ranch</v>
      </c>
      <c r="G338" s="11" t="str">
        <f t="shared" si="4"/>
        <v>data:image/svg+xml,%3csvg xmlns='http://www.w3.org/2000/svg' viewBox='0 0 24 216'%3e%3ctext fill='%23fff' style='font: 900 16px sans-serif' text-anchor='end' transform='matrix(0 -1 1 0 18 5)'%3eCattle Ranch%3c/text%3e%3c/svg%3e</v>
      </c>
      <c r="H338" s="8" t="s">
        <v>32</v>
      </c>
      <c r="I338" s="8">
        <f t="shared" ref="I338:J338" si="339">len(B338)</f>
        <v>12</v>
      </c>
      <c r="J338" s="8">
        <f t="shared" si="339"/>
        <v>18</v>
      </c>
      <c r="K338" s="8" t="s">
        <v>2742</v>
      </c>
    </row>
    <row r="339">
      <c r="A339" s="7" t="b">
        <v>1</v>
      </c>
      <c r="B339" s="8" t="s">
        <v>2743</v>
      </c>
      <c r="C339" s="7" t="s">
        <v>2744</v>
      </c>
      <c r="D339" s="8" t="str">
        <f>Q&amp;$K339&amp;Q&amp;":{"&amp;Q&amp;$B$2&amp;Q&amp;":"&amp;Q&amp;$B339&amp;Q&amp;","&amp;Q&amp;$C$2&amp;Q&amp;":"&amp;Q&amp;$C339&amp;Q&amp;","&amp;Q&amp;"sets"&amp;Q&amp;":"&amp;Q&amp;substitute(SUBSTITUTE($H339,"[",""),"]","")&amp;Q&amp;"},"</f>
        <v>"nkem":{"label":"Cauliflower","extra":"Goes down easy when it's cheesy.","sets":"Expansion Set 3, Party Expansion 1"},</v>
      </c>
      <c r="E339" s="9" t="str">
        <f t="shared" si="2"/>
        <v>data:image/svg+xml,%3csvg xmlns='http://www.w3.org/2000/svg' viewBox='0 0 24 216'%3e%3ctext fill='%23fff' style='font: 900 16px sans-serif' text-anchor='end' transform='matrix(0 -1 1 0 18 5)'%3eCauliflower%3c/text%3e%3c/svg%3e</v>
      </c>
      <c r="F339" s="14" t="str">
        <f t="shared" si="3"/>
        <v>https://svgtext.heliohost.us/cgi-bin/gen.perl?text=Cauliflower</v>
      </c>
      <c r="G339" s="11" t="str">
        <f t="shared" si="4"/>
        <v>data:image/svg+xml,%3csvg xmlns='http://www.w3.org/2000/svg' viewBox='0 0 24 216'%3e%3ctext fill='%23fff' style='font: 900 16px sans-serif' text-anchor='end' transform='matrix(0 -1 1 0 18 5)'%3eCauliflower%3c/text%3e%3c/svg%3e</v>
      </c>
      <c r="H339" s="8" t="s">
        <v>39</v>
      </c>
      <c r="I339" s="8">
        <f t="shared" ref="I339:J339" si="340">len(B339)</f>
        <v>11</v>
      </c>
      <c r="J339" s="8">
        <f t="shared" si="340"/>
        <v>32</v>
      </c>
      <c r="K339" s="8" t="s">
        <v>2745</v>
      </c>
    </row>
    <row r="340">
      <c r="A340" s="7" t="b">
        <v>0</v>
      </c>
      <c r="B340" s="8" t="s">
        <v>2746</v>
      </c>
      <c r="C340" s="8" t="s">
        <v>2747</v>
      </c>
      <c r="D340" s="8" t="str">
        <f>Q&amp;$K340&amp;Q&amp;":{"&amp;Q&amp;$B$2&amp;Q&amp;":"&amp;Q&amp;$B340&amp;Q&amp;","&amp;Q&amp;$C$2&amp;Q&amp;":"&amp;Q&amp;$C340&amp;Q&amp;","&amp;Q&amp;"sets"&amp;Q&amp;":"&amp;Q&amp;substitute(SUBSTITUTE($H340,"[",""),"]","")&amp;Q&amp;"},"</f>
        <v>"qwcg":{"label":"Caves","extra":"Stalactites, stalagmites. Which go up and which go down?","sets":"Expansion Set 1, Party Set"},</v>
      </c>
      <c r="E340" s="9" t="str">
        <f t="shared" si="2"/>
        <v>data:image/svg+xml,%3csvg xmlns='http://www.w3.org/2000/svg' viewBox='0 0 24 216'%3e%3ctext fill='%23fff' style='font: 900 16px sans-serif' text-anchor='end' transform='matrix(0 -1 1 0 18 5)'%3eCaves%3c/text%3e%3c/svg%3e</v>
      </c>
      <c r="F340" s="14" t="str">
        <f t="shared" si="3"/>
        <v>https://svgtext.heliohost.us/cgi-bin/gen.perl?text=Caves</v>
      </c>
      <c r="G340" s="11" t="str">
        <f t="shared" si="4"/>
        <v>data:image/svg+xml,%3csvg xmlns='http://www.w3.org/2000/svg' viewBox='0 0 24 216'%3e%3ctext fill='%23fff' style='font: 900 16px sans-serif' text-anchor='end' transform='matrix(0 -1 1 0 18 5)'%3eCaves%3c/text%3e%3c/svg%3e</v>
      </c>
      <c r="H340" s="8" t="s">
        <v>25</v>
      </c>
      <c r="I340" s="8">
        <f t="shared" ref="I340:J340" si="341">len(B340)</f>
        <v>5</v>
      </c>
      <c r="J340" s="8">
        <f t="shared" si="341"/>
        <v>56</v>
      </c>
      <c r="K340" s="8" t="s">
        <v>2748</v>
      </c>
    </row>
    <row r="341">
      <c r="A341" s="7" t="b">
        <v>1</v>
      </c>
      <c r="B341" s="8" t="s">
        <v>2746</v>
      </c>
      <c r="C341" s="8" t="s">
        <v>2749</v>
      </c>
      <c r="D341" s="8" t="str">
        <f>Q&amp;$K341&amp;Q&amp;":{"&amp;Q&amp;$B$2&amp;Q&amp;":"&amp;Q&amp;$B341&amp;Q&amp;","&amp;Q&amp;$C$2&amp;Q&amp;":"&amp;Q&amp;$C341&amp;Q&amp;","&amp;Q&amp;"sets"&amp;Q&amp;":"&amp;Q&amp;substitute(SUBSTITUTE($H341,"[",""),"]","")&amp;Q&amp;"},"</f>
        <v>"wazq":{"label":"Caves","extra":"Dark and cool, and sometimes home to bats.","sets":"Junior 9+ (1st) &amp; (2nd)"},</v>
      </c>
      <c r="E341" s="9" t="str">
        <f t="shared" si="2"/>
        <v>data:image/svg+xml,%3csvg xmlns='http://www.w3.org/2000/svg' viewBox='0 0 24 216'%3e%3ctext fill='%23fff' style='font: 900 16px sans-serif' text-anchor='end' transform='matrix(0 -1 1 0 18 5)'%3eCaves%3c/text%3e%3c/svg%3e</v>
      </c>
      <c r="F341" s="14" t="str">
        <f t="shared" si="3"/>
        <v>https://svgtext.heliohost.us/cgi-bin/gen.perl?text=Caves</v>
      </c>
      <c r="G341" s="11" t="str">
        <f t="shared" si="4"/>
        <v>data:image/svg+xml,%3csvg xmlns='http://www.w3.org/2000/svg' viewBox='0 0 24 216'%3e%3ctext fill='%23fff' style='font: 900 16px sans-serif' text-anchor='end' transform='matrix(0 -1 1 0 18 5)'%3eCaves%3c/text%3e%3c/svg%3e</v>
      </c>
      <c r="H341" s="8" t="s">
        <v>42</v>
      </c>
      <c r="I341" s="8">
        <f t="shared" ref="I341:J341" si="342">len(B341)</f>
        <v>5</v>
      </c>
      <c r="J341" s="8">
        <f t="shared" si="342"/>
        <v>42</v>
      </c>
      <c r="K341" s="8" t="s">
        <v>2750</v>
      </c>
    </row>
    <row r="342">
      <c r="A342" s="7" t="b">
        <v>1</v>
      </c>
      <c r="B342" s="8" t="s">
        <v>2751</v>
      </c>
      <c r="C342" s="7" t="s">
        <v>2752</v>
      </c>
      <c r="D342" s="8" t="str">
        <f>Q&amp;$K342&amp;Q&amp;":{"&amp;Q&amp;$B$2&amp;Q&amp;":"&amp;Q&amp;$B342&amp;Q&amp;","&amp;Q&amp;$C$2&amp;Q&amp;":"&amp;Q&amp;$C342&amp;Q&amp;","&amp;Q&amp;"sets"&amp;Q&amp;":"&amp;Q&amp;substitute(SUBSTITUTE($H342,"[",""),"]","")&amp;Q&amp;"},"</f>
        <v>"wb{h":{"label":"Caviar","extra":"It's not JUST fish eggs. It’s… fish eggs… that cost a fortune…","sets":"Expansion Set 3, Party Expansion 1"},</v>
      </c>
      <c r="E342" s="9" t="str">
        <f t="shared" si="2"/>
        <v>data:image/svg+xml,%3csvg xmlns='http://www.w3.org/2000/svg' viewBox='0 0 24 216'%3e%3ctext fill='%23fff' style='font: 900 16px sans-serif' text-anchor='end' transform='matrix(0 -1 1 0 18 5)'%3eCaviar%3c/text%3e%3c/svg%3e</v>
      </c>
      <c r="F342" s="14" t="str">
        <f t="shared" si="3"/>
        <v>https://svgtext.heliohost.us/cgi-bin/gen.perl?text=Caviar</v>
      </c>
      <c r="G342" s="11" t="str">
        <f t="shared" si="4"/>
        <v>data:image/svg+xml,%3csvg xmlns='http://www.w3.org/2000/svg' viewBox='0 0 24 216'%3e%3ctext fill='%23fff' style='font: 900 16px sans-serif' text-anchor='end' transform='matrix(0 -1 1 0 18 5)'%3eCaviar%3c/text%3e%3c/svg%3e</v>
      </c>
      <c r="H342" s="8" t="s">
        <v>39</v>
      </c>
      <c r="I342" s="8">
        <f t="shared" ref="I342:J342" si="343">len(B342)</f>
        <v>6</v>
      </c>
      <c r="J342" s="8">
        <f t="shared" si="343"/>
        <v>62</v>
      </c>
      <c r="K342" s="8" t="s">
        <v>2753</v>
      </c>
    </row>
    <row r="343">
      <c r="A343" s="7" t="b">
        <v>1</v>
      </c>
      <c r="B343" s="8" t="s">
        <v>2754</v>
      </c>
      <c r="C343" s="8" t="s">
        <v>2755</v>
      </c>
      <c r="D343" s="8" t="str">
        <f>Q&amp;$K343&amp;Q&amp;":{"&amp;Q&amp;$B$2&amp;Q&amp;":"&amp;Q&amp;$B343&amp;Q&amp;","&amp;Q&amp;$C$2&amp;Q&amp;":"&amp;Q&amp;$C343&amp;Q&amp;","&amp;Q&amp;"sets"&amp;Q&amp;":"&amp;Q&amp;substitute(SUBSTITUTE($H343,"[",""),"]","")&amp;Q&amp;"},"</f>
        <v>"fvug":{"label":"Cavities","extra":"But I did brush my teeth!","sets":"Junior 9+ (2nd)"},</v>
      </c>
      <c r="E343" s="9" t="str">
        <f t="shared" si="2"/>
        <v>data:image/svg+xml,%3csvg xmlns='http://www.w3.org/2000/svg' viewBox='0 0 24 216'%3e%3ctext fill='%23fff' style='font: 900 16px sans-serif' text-anchor='end' transform='matrix(0 -1 1 0 18 5)'%3eCavities%3c/text%3e%3c/svg%3e</v>
      </c>
      <c r="F343" s="14" t="str">
        <f t="shared" si="3"/>
        <v>https://svgtext.heliohost.us/cgi-bin/gen.perl?text=Cavities</v>
      </c>
      <c r="G343" s="11" t="str">
        <f t="shared" si="4"/>
        <v>data:image/svg+xml,%3csvg xmlns='http://www.w3.org/2000/svg' viewBox='0 0 24 216'%3e%3ctext fill='%23fff' style='font: 900 16px sans-serif' text-anchor='end' transform='matrix(0 -1 1 0 18 5)'%3eCavities%3c/text%3e%3c/svg%3e</v>
      </c>
      <c r="H343" s="8" t="s">
        <v>32</v>
      </c>
      <c r="I343" s="8">
        <f t="shared" ref="I343:J343" si="344">len(B343)</f>
        <v>8</v>
      </c>
      <c r="J343" s="8">
        <f t="shared" si="344"/>
        <v>25</v>
      </c>
      <c r="K343" s="8" t="s">
        <v>2756</v>
      </c>
    </row>
    <row r="344">
      <c r="A344" s="7" t="b">
        <v>1</v>
      </c>
      <c r="B344" s="8" t="s">
        <v>2757</v>
      </c>
      <c r="C344" s="8" t="s">
        <v>2758</v>
      </c>
      <c r="D344" s="8" t="str">
        <f>Q&amp;$K344&amp;Q&amp;":{"&amp;Q&amp;$B$2&amp;Q&amp;":"&amp;Q&amp;$B344&amp;Q&amp;","&amp;Q&amp;$C$2&amp;Q&amp;":"&amp;Q&amp;$C344&amp;Q&amp;","&amp;Q&amp;"sets"&amp;Q&amp;":"&amp;Q&amp;substitute(SUBSTITUTE($H344,"[",""),"]","")&amp;Q&amp;"},"</f>
        <v>"nnv{":{"label":"CD Players","extra":"Your portable, personal stereo system.","sets":"Junior 9+ (2nd)"},</v>
      </c>
      <c r="E344" s="9" t="str">
        <f t="shared" si="2"/>
        <v>data:image/svg+xml,%3csvg xmlns='http://www.w3.org/2000/svg' viewBox='0 0 24 216'%3e%3ctext fill='%23fff' style='font: 900 16px sans-serif' text-anchor='end' transform='matrix(0 -1 1 0 18 5)'%3eCD Players%3c/text%3e%3c/svg%3e</v>
      </c>
      <c r="F344" s="14" t="str">
        <f t="shared" si="3"/>
        <v>https://svgtext.heliohost.us/cgi-bin/gen.perl?text=CD%20Players</v>
      </c>
      <c r="G344" s="11" t="str">
        <f t="shared" si="4"/>
        <v>data:image/svg+xml,%3csvg xmlns='http://www.w3.org/2000/svg' viewBox='0 0 24 216'%3e%3ctext fill='%23fff' style='font: 900 16px sans-serif' text-anchor='end' transform='matrix(0 -1 1 0 18 5)'%3eCD Players%3c/text%3e%3c/svg%3e</v>
      </c>
      <c r="H344" s="8" t="s">
        <v>32</v>
      </c>
      <c r="I344" s="8">
        <f t="shared" ref="I344:J344" si="345">len(B344)</f>
        <v>10</v>
      </c>
      <c r="J344" s="8">
        <f t="shared" si="345"/>
        <v>38</v>
      </c>
      <c r="K344" s="8" t="s">
        <v>2759</v>
      </c>
    </row>
    <row r="345">
      <c r="A345" s="7" t="b">
        <v>0</v>
      </c>
      <c r="B345" s="8" t="s">
        <v>2760</v>
      </c>
      <c r="C345" s="7" t="s">
        <v>2761</v>
      </c>
      <c r="D345" s="8" t="str">
        <f>Q&amp;$K345&amp;Q&amp;":{"&amp;Q&amp;$B$2&amp;Q&amp;":"&amp;Q&amp;$B345&amp;Q&amp;","&amp;Q&amp;$C$2&amp;Q&amp;":"&amp;Q&amp;$C345&amp;Q&amp;","&amp;Q&amp;"sets"&amp;Q&amp;":"&amp;Q&amp;substitute(SUBSTITUTE($H345,"[",""),"]","")&amp;Q&amp;"},"</f>
        <v>"wmpo":{"label":"Celine Dion","extra":"1968-, Canadian singer whose heart will go on, and on…","sets":"Basic Set, Party Set"},</v>
      </c>
      <c r="E345" s="9" t="str">
        <f t="shared" si="2"/>
        <v>data:image/svg+xml,%3csvg xmlns='http://www.w3.org/2000/svg' viewBox='0 0 24 216'%3e%3ctext fill='%23fff' style='font: 900 16px sans-serif' text-anchor='end' transform='matrix(0 -1 1 0 18 5)'%3eCeline Dion%3c/text%3e%3c/svg%3e</v>
      </c>
      <c r="F345" s="14" t="str">
        <f t="shared" si="3"/>
        <v>https://svgtext.heliohost.us/cgi-bin/gen.perl?text=Celine%20Dion</v>
      </c>
      <c r="G345" s="11" t="str">
        <f t="shared" si="4"/>
        <v>data:image/svg+xml,%3csvg xmlns='http://www.w3.org/2000/svg' viewBox='0 0 24 216'%3e%3ctext fill='%23fff' style='font: 900 16px sans-serif' text-anchor='end' transform='matrix(0 -1 1 0 18 5)'%3eCeline Dion%3c/text%3e%3c/svg%3e</v>
      </c>
      <c r="H345" s="8" t="s">
        <v>29</v>
      </c>
      <c r="I345" s="8">
        <f t="shared" ref="I345:J345" si="346">len(B345)</f>
        <v>11</v>
      </c>
      <c r="J345" s="8">
        <f t="shared" si="346"/>
        <v>54</v>
      </c>
      <c r="K345" s="8" t="s">
        <v>2762</v>
      </c>
    </row>
    <row r="346">
      <c r="A346" s="7" t="b">
        <v>0</v>
      </c>
      <c r="B346" s="8" t="s">
        <v>2763</v>
      </c>
      <c r="C346" s="8" t="s">
        <v>2764</v>
      </c>
      <c r="D346" s="8" t="str">
        <f>Q&amp;$K346&amp;Q&amp;":{"&amp;Q&amp;$B$2&amp;Q&amp;":"&amp;Q&amp;$B346&amp;Q&amp;","&amp;Q&amp;$C$2&amp;Q&amp;":"&amp;Q&amp;$C346&amp;Q&amp;","&amp;Q&amp;"sets"&amp;Q&amp;":"&amp;Q&amp;substitute(SUBSTITUTE($H346,"[",""),"]","")&amp;Q&amp;"},"</f>
        <v>"lipe":{"label":"Cell Phones","extra":"Get off the phone or get off the road!","sets":"Expansion Set 1, Party Set"},</v>
      </c>
      <c r="E346" s="9" t="str">
        <f t="shared" si="2"/>
        <v>data:image/svg+xml,%3csvg xmlns='http://www.w3.org/2000/svg' viewBox='0 0 24 216'%3e%3ctext fill='%23fff' style='font: 900 16px sans-serif' text-anchor='end' transform='matrix(0 -1 1 0 18 5)'%3eCell Phones%3c/text%3e%3c/svg%3e</v>
      </c>
      <c r="F346" s="14" t="str">
        <f t="shared" si="3"/>
        <v>https://svgtext.heliohost.us/cgi-bin/gen.perl?text=Cell%20Phones</v>
      </c>
      <c r="G346" s="11" t="str">
        <f t="shared" si="4"/>
        <v>data:image/svg+xml,%3csvg xmlns='http://www.w3.org/2000/svg' viewBox='0 0 24 216'%3e%3ctext fill='%23fff' style='font: 900 16px sans-serif' text-anchor='end' transform='matrix(0 -1 1 0 18 5)'%3eCell Phones%3c/text%3e%3c/svg%3e</v>
      </c>
      <c r="H346" s="8" t="s">
        <v>25</v>
      </c>
      <c r="I346" s="8">
        <f t="shared" ref="I346:J346" si="347">len(B346)</f>
        <v>11</v>
      </c>
      <c r="J346" s="8">
        <f t="shared" si="347"/>
        <v>38</v>
      </c>
      <c r="K346" s="8" t="s">
        <v>2765</v>
      </c>
    </row>
    <row r="347">
      <c r="A347" s="7" t="b">
        <v>1</v>
      </c>
      <c r="B347" s="8" t="s">
        <v>2763</v>
      </c>
      <c r="C347" s="7" t="s">
        <v>2766</v>
      </c>
      <c r="D347" s="8" t="str">
        <f>Q&amp;$K347&amp;Q&amp;":{"&amp;Q&amp;$B$2&amp;Q&amp;":"&amp;Q&amp;$B347&amp;Q&amp;","&amp;Q&amp;$C$2&amp;Q&amp;":"&amp;Q&amp;$C347&amp;Q&amp;","&amp;Q&amp;"sets"&amp;Q&amp;":"&amp;Q&amp;substitute(SUBSTITUTE($H347,"[",""),"]","")&amp;Q&amp;"},"</f>
        <v>"jbzy":{"label":"Cell Phones","extra":"Call home if you’re going to be late.","sets":"Junior 9+ (2nd)"},</v>
      </c>
      <c r="E347" s="9" t="str">
        <f t="shared" si="2"/>
        <v>data:image/svg+xml,%3csvg xmlns='http://www.w3.org/2000/svg' viewBox='0 0 24 216'%3e%3ctext fill='%23fff' style='font: 900 16px sans-serif' text-anchor='end' transform='matrix(0 -1 1 0 18 5)'%3eCell Phones%3c/text%3e%3c/svg%3e</v>
      </c>
      <c r="F347" s="14" t="str">
        <f t="shared" si="3"/>
        <v>https://svgtext.heliohost.us/cgi-bin/gen.perl?text=Cell%20Phones</v>
      </c>
      <c r="G347" s="11" t="str">
        <f t="shared" si="4"/>
        <v>data:image/svg+xml,%3csvg xmlns='http://www.w3.org/2000/svg' viewBox='0 0 24 216'%3e%3ctext fill='%23fff' style='font: 900 16px sans-serif' text-anchor='end' transform='matrix(0 -1 1 0 18 5)'%3eCell Phones%3c/text%3e%3c/svg%3e</v>
      </c>
      <c r="H347" s="8" t="s">
        <v>32</v>
      </c>
      <c r="I347" s="8">
        <f t="shared" ref="I347:J347" si="348">len(B347)</f>
        <v>11</v>
      </c>
      <c r="J347" s="8">
        <f t="shared" si="348"/>
        <v>37</v>
      </c>
      <c r="K347" s="8" t="s">
        <v>2767</v>
      </c>
    </row>
    <row r="348">
      <c r="A348" s="7" t="b">
        <v>0</v>
      </c>
      <c r="B348" s="8" t="s">
        <v>2768</v>
      </c>
      <c r="C348" s="7" t="s">
        <v>2769</v>
      </c>
      <c r="D348" s="8" t="str">
        <f>Q&amp;$K348&amp;Q&amp;":{"&amp;Q&amp;$B$2&amp;Q&amp;":"&amp;Q&amp;$B348&amp;Q&amp;","&amp;Q&amp;$C$2&amp;Q&amp;":"&amp;Q&amp;$C348&amp;Q&amp;","&amp;Q&amp;"sets"&amp;Q&amp;":"&amp;Q&amp;substitute(SUBSTITUTE($H348,"[",""),"]","")&amp;Q&amp;"},"</f>
        <v>"szor":{"label":"Cesar Chavez","extra":"1927-93, American labor leader who led the 1965 nationwide boycott of California grapes… a bunch of sour grapes!","sets":"Expansion Set 1, Party Set"},</v>
      </c>
      <c r="E348" s="9" t="str">
        <f t="shared" si="2"/>
        <v>data:image/svg+xml,%3csvg xmlns='http://www.w3.org/2000/svg' viewBox='0 0 24 216'%3e%3ctext fill='%23fff' style='font: 900 16px sans-serif' text-anchor='end' transform='matrix(0 -1 1 0 18 5)'%3eCesar Chavez%3c/text%3e%3c/svg%3e</v>
      </c>
      <c r="F348" s="14" t="str">
        <f t="shared" si="3"/>
        <v>https://svgtext.heliohost.us/cgi-bin/gen.perl?text=Cesar%20Chavez</v>
      </c>
      <c r="G348" s="11" t="str">
        <f t="shared" si="4"/>
        <v>data:image/svg+xml,%3csvg xmlns='http://www.w3.org/2000/svg' viewBox='0 0 24 216'%3e%3ctext fill='%23fff' style='font: 900 16px sans-serif' text-anchor='end' transform='matrix(0 -1 1 0 18 5)'%3eCesar Chavez%3c/text%3e%3c/svg%3e</v>
      </c>
      <c r="H348" s="8" t="s">
        <v>25</v>
      </c>
      <c r="I348" s="8">
        <f t="shared" ref="I348:J348" si="349">len(B348)</f>
        <v>12</v>
      </c>
      <c r="J348" s="8">
        <f t="shared" si="349"/>
        <v>112</v>
      </c>
      <c r="K348" s="8" t="s">
        <v>2770</v>
      </c>
    </row>
    <row r="349">
      <c r="A349" s="7" t="b">
        <v>0</v>
      </c>
      <c r="B349" s="8" t="s">
        <v>2771</v>
      </c>
      <c r="C349" s="8" t="s">
        <v>2772</v>
      </c>
      <c r="D349" s="8" t="str">
        <f>Q&amp;$K349&amp;Q&amp;":{"&amp;Q&amp;$B$2&amp;Q&amp;":"&amp;Q&amp;$B349&amp;Q&amp;","&amp;Q&amp;$C$2&amp;Q&amp;":"&amp;Q&amp;$C349&amp;Q&amp;","&amp;Q&amp;"sets"&amp;Q&amp;":"&amp;Q&amp;substitute(SUBSTITUTE($H349,"[",""),"]","")&amp;Q&amp;"},"</f>
        <v>"wbpz":{"label":"Chain Letters","extra":"Send this game to ten of your friends and good luck will follow. Honest!","sets":"Expansion Set 1, Party Set"},</v>
      </c>
      <c r="E349" s="9" t="str">
        <f t="shared" si="2"/>
        <v>data:image/svg+xml,%3csvg xmlns='http://www.w3.org/2000/svg' viewBox='0 0 24 216'%3e%3ctext fill='%23fff' style='font: 900 16px sans-serif' text-anchor='end' transform='matrix(0 -1 1 0 18 5)'%3eChain Letters%3c/text%3e%3c/svg%3e</v>
      </c>
      <c r="F349" s="14" t="str">
        <f t="shared" si="3"/>
        <v>https://svgtext.heliohost.us/cgi-bin/gen.perl?text=Chain%20Letters</v>
      </c>
      <c r="G349" s="11" t="str">
        <f t="shared" si="4"/>
        <v>data:image/svg+xml,%3csvg xmlns='http://www.w3.org/2000/svg' viewBox='0 0 24 216'%3e%3ctext fill='%23fff' style='font: 900 16px sans-serif' text-anchor='end' transform='matrix(0 -1 1 0 18 5)'%3eChain Letters%3c/text%3e%3c/svg%3e</v>
      </c>
      <c r="H349" s="8" t="s">
        <v>25</v>
      </c>
      <c r="I349" s="8">
        <f t="shared" ref="I349:J349" si="350">len(B349)</f>
        <v>13</v>
      </c>
      <c r="J349" s="8">
        <f t="shared" si="350"/>
        <v>72</v>
      </c>
      <c r="K349" s="8" t="s">
        <v>2773</v>
      </c>
    </row>
    <row r="350">
      <c r="A350" s="7" t="b">
        <v>1</v>
      </c>
      <c r="B350" s="8" t="s">
        <v>2774</v>
      </c>
      <c r="C350" s="7" t="s">
        <v>2775</v>
      </c>
      <c r="D350" s="8" t="str">
        <f>Q&amp;$K350&amp;Q&amp;":{"&amp;Q&amp;$B$2&amp;Q&amp;":"&amp;Q&amp;$B350&amp;Q&amp;","&amp;Q&amp;$C$2&amp;Q&amp;":"&amp;Q&amp;$C350&amp;Q&amp;","&amp;Q&amp;"sets"&amp;Q&amp;":"&amp;Q&amp;substitute(SUBSTITUTE($H350,"[",""),"]","")&amp;Q&amp;"},"</f>
        <v>"fwmg":{"label":"Chain Link Fences","extra":"Good fences make good neighbors.","sets":"Expansion Set 3, Party Expansion 1"},</v>
      </c>
      <c r="E350" s="9" t="str">
        <f t="shared" si="2"/>
        <v>data:image/svg+xml,%3csvg xmlns='http://www.w3.org/2000/svg' viewBox='0 0 24 216'%3e%3ctext fill='%23fff' style='font: 900 16px sans-serif' text-anchor='end' transform='matrix(0 -1 1 0 18 5)'%3eChain Link Fences%3c/text%3e%3c/svg%3e</v>
      </c>
      <c r="F350" s="14" t="str">
        <f t="shared" si="3"/>
        <v>https://svgtext.heliohost.us/cgi-bin/gen.perl?text=Chain%20Link%20Fences</v>
      </c>
      <c r="G350" s="11" t="str">
        <f t="shared" si="4"/>
        <v>data:image/svg+xml,%3csvg xmlns='http://www.w3.org/2000/svg' viewBox='0 0 24 216'%3e%3ctext fill='%23fff' style='font: 900 16px sans-serif' text-anchor='end' transform='matrix(0 -1 1 0 18 5)'%3eChain Link Fences%3c/text%3e%3c/svg%3e</v>
      </c>
      <c r="H350" s="8" t="s">
        <v>39</v>
      </c>
      <c r="I350" s="8">
        <f t="shared" ref="I350:J350" si="351">len(B350)</f>
        <v>17</v>
      </c>
      <c r="J350" s="8">
        <f t="shared" si="351"/>
        <v>32</v>
      </c>
      <c r="K350" s="8" t="s">
        <v>2776</v>
      </c>
    </row>
    <row r="351">
      <c r="A351" s="7" t="b">
        <v>0</v>
      </c>
      <c r="B351" s="8" t="s">
        <v>2777</v>
      </c>
      <c r="C351" s="8" t="s">
        <v>2778</v>
      </c>
      <c r="D351" s="8" t="str">
        <f>Q&amp;$K351&amp;Q&amp;":{"&amp;Q&amp;$B$2&amp;Q&amp;":"&amp;Q&amp;$B351&amp;Q&amp;","&amp;Q&amp;$C$2&amp;Q&amp;":"&amp;Q&amp;$C351&amp;Q&amp;","&amp;Q&amp;"sets"&amp;Q&amp;":"&amp;Q&amp;substitute(SUBSTITUTE($H351,"[",""),"]","")&amp;Q&amp;"},"</f>
        <v>"wgih":{"label":"Chains","extra":"Gold or iron: name your shackles.","sets":"Basic Set, Party Set"},</v>
      </c>
      <c r="E351" s="9" t="str">
        <f t="shared" si="2"/>
        <v>data:image/svg+xml,%3csvg xmlns='http://www.w3.org/2000/svg' viewBox='0 0 24 216'%3e%3ctext fill='%23fff' style='font: 900 16px sans-serif' text-anchor='end' transform='matrix(0 -1 1 0 18 5)'%3eChains%3c/text%3e%3c/svg%3e</v>
      </c>
      <c r="F351" s="14" t="str">
        <f t="shared" si="3"/>
        <v>https://svgtext.heliohost.us/cgi-bin/gen.perl?text=Chains</v>
      </c>
      <c r="G351" s="11" t="str">
        <f t="shared" si="4"/>
        <v>data:image/svg+xml,%3csvg xmlns='http://www.w3.org/2000/svg' viewBox='0 0 24 216'%3e%3ctext fill='%23fff' style='font: 900 16px sans-serif' text-anchor='end' transform='matrix(0 -1 1 0 18 5)'%3eChains%3c/text%3e%3c/svg%3e</v>
      </c>
      <c r="H351" s="8" t="s">
        <v>29</v>
      </c>
      <c r="I351" s="8">
        <f t="shared" ref="I351:J351" si="352">len(B351)</f>
        <v>6</v>
      </c>
      <c r="J351" s="8">
        <f t="shared" si="352"/>
        <v>33</v>
      </c>
      <c r="K351" s="8" t="s">
        <v>2779</v>
      </c>
    </row>
    <row r="352">
      <c r="A352" s="7" t="b">
        <v>0</v>
      </c>
      <c r="B352" s="8" t="s">
        <v>2780</v>
      </c>
      <c r="C352" s="7" t="s">
        <v>2781</v>
      </c>
      <c r="D352" s="8" t="str">
        <f>Q&amp;$K352&amp;Q&amp;":{"&amp;Q&amp;$B$2&amp;Q&amp;":"&amp;Q&amp;$B352&amp;Q&amp;","&amp;Q&amp;$C$2&amp;Q&amp;":"&amp;Q&amp;$C352&amp;Q&amp;","&amp;Q&amp;"sets"&amp;Q&amp;":"&amp;Q&amp;substitute(SUBSTITUTE($H352,"[",""),"]","")&amp;Q&amp;"},"</f>
        <v>"ylne":{"label":"Challenger Explosion","extra":"“Without a wish, without a will/ I stood upon that silent hill/ and stared into the sky…” —Ralph Hodgeson","sets":"Basic Set, Party Set"},</v>
      </c>
      <c r="E352" s="9" t="str">
        <f t="shared" si="2"/>
        <v>data:image/svg+xml,%3csvg xmlns='http://www.w3.org/2000/svg' viewBox='0 0 24 216'%3e%3ctext fill='%23fff' style='font: 900 16px sans-serif' text-anchor='end' transform='matrix(0 -1 1 0 18 5)'%3eChallenger Explosion%3c/text%3e%3c/svg%3e</v>
      </c>
      <c r="F352" s="14" t="str">
        <f t="shared" si="3"/>
        <v>https://svgtext.heliohost.us/cgi-bin/gen.perl?text=Challenger%20Explosion</v>
      </c>
      <c r="G352" s="11" t="str">
        <f t="shared" si="4"/>
        <v>data:image/svg+xml,%3csvg xmlns='http://www.w3.org/2000/svg' viewBox='0 0 24 216'%3e%3ctext fill='%23fff' style='font: 900 16px sans-serif' text-anchor='end' transform='matrix(0 -1 1 0 18 5)'%3eChallenger Explosion%3c/text%3e%3c/svg%3e</v>
      </c>
      <c r="H352" s="8" t="s">
        <v>29</v>
      </c>
      <c r="I352" s="8">
        <f t="shared" ref="I352:J352" si="353">len(B352)</f>
        <v>20</v>
      </c>
      <c r="J352" s="8">
        <f t="shared" si="353"/>
        <v>105</v>
      </c>
      <c r="K352" s="8" t="s">
        <v>2782</v>
      </c>
    </row>
    <row r="353">
      <c r="A353" s="7" t="b">
        <v>0</v>
      </c>
      <c r="B353" s="8" t="s">
        <v>2783</v>
      </c>
      <c r="C353" s="8" t="s">
        <v>2784</v>
      </c>
      <c r="D353" s="8" t="str">
        <f>Q&amp;$K353&amp;Q&amp;":{"&amp;Q&amp;$B$2&amp;Q&amp;":"&amp;Q&amp;$B353&amp;Q&amp;","&amp;Q&amp;$C$2&amp;Q&amp;":"&amp;Q&amp;$C353&amp;Q&amp;","&amp;Q&amp;"sets"&amp;Q&amp;":"&amp;Q&amp;substitute(SUBSTITUTE($H353,"[",""),"]","")&amp;Q&amp;"},"</f>
        <v>"nawq":{"label":"Chameleons","extra":"The chameleon is a lizard that changes color when frightenedor is that a politician?","sets":"Expansion Set 1, Party Set"},</v>
      </c>
      <c r="E353" s="9" t="str">
        <f t="shared" si="2"/>
        <v>data:image/svg+xml,%3csvg xmlns='http://www.w3.org/2000/svg' viewBox='0 0 24 216'%3e%3ctext fill='%23fff' style='font: 900 16px sans-serif' text-anchor='end' transform='matrix(0 -1 1 0 18 5)'%3eChameleons%3c/text%3e%3c/svg%3e</v>
      </c>
      <c r="F353" s="14" t="str">
        <f t="shared" si="3"/>
        <v>https://svgtext.heliohost.us/cgi-bin/gen.perl?text=Chameleons</v>
      </c>
      <c r="G353" s="11" t="str">
        <f t="shared" si="4"/>
        <v>data:image/svg+xml,%3csvg xmlns='http://www.w3.org/2000/svg' viewBox='0 0 24 216'%3e%3ctext fill='%23fff' style='font: 900 16px sans-serif' text-anchor='end' transform='matrix(0 -1 1 0 18 5)'%3eChameleons%3c/text%3e%3c/svg%3e</v>
      </c>
      <c r="H353" s="8" t="s">
        <v>25</v>
      </c>
      <c r="I353" s="8">
        <f t="shared" ref="I353:J353" si="354">len(B353)</f>
        <v>10</v>
      </c>
      <c r="J353" s="8">
        <f t="shared" si="354"/>
        <v>84</v>
      </c>
      <c r="K353" s="8" t="s">
        <v>2785</v>
      </c>
    </row>
    <row r="354">
      <c r="A354" s="7" t="b">
        <v>0</v>
      </c>
      <c r="B354" s="8" t="s">
        <v>2786</v>
      </c>
      <c r="C354" s="8" t="s">
        <v>2787</v>
      </c>
      <c r="D354" s="8" t="str">
        <f>Q&amp;$K354&amp;Q&amp;":{"&amp;Q&amp;$B$2&amp;Q&amp;":"&amp;Q&amp;$B354&amp;Q&amp;","&amp;Q&amp;$C$2&amp;Q&amp;":"&amp;Q&amp;$C354&amp;Q&amp;","&amp;Q&amp;"sets"&amp;Q&amp;":"&amp;Q&amp;substitute(SUBSTITUTE($H354,"[",""),"]","")&amp;Q&amp;"},"</f>
        <v>"awi{":{"label":"Charging Rhinos","extra":"How do you stop a rhino from charging? Take away its credit cards.","sets":"Basic Set, Party Set"},</v>
      </c>
      <c r="E354" s="9" t="str">
        <f t="shared" si="2"/>
        <v>data:image/svg+xml,%3csvg xmlns='http://www.w3.org/2000/svg' viewBox='0 0 24 216'%3e%3ctext fill='%23fff' style='font: 900 16px sans-serif' text-anchor='end' transform='matrix(0 -1 1 0 18 5)'%3eCharging Rhinos%3c/text%3e%3c/svg%3e</v>
      </c>
      <c r="F354" s="14" t="str">
        <f t="shared" si="3"/>
        <v>https://svgtext.heliohost.us/cgi-bin/gen.perl?text=Charging%20Rhinos</v>
      </c>
      <c r="G354" s="11" t="str">
        <f t="shared" si="4"/>
        <v>data:image/svg+xml,%3csvg xmlns='http://www.w3.org/2000/svg' viewBox='0 0 24 216'%3e%3ctext fill='%23fff' style='font: 900 16px sans-serif' text-anchor='end' transform='matrix(0 -1 1 0 18 5)'%3eCharging Rhinos%3c/text%3e%3c/svg%3e</v>
      </c>
      <c r="H354" s="8" t="s">
        <v>29</v>
      </c>
      <c r="I354" s="8">
        <f t="shared" ref="I354:J354" si="355">len(B354)</f>
        <v>15</v>
      </c>
      <c r="J354" s="8">
        <f t="shared" si="355"/>
        <v>66</v>
      </c>
      <c r="K354" s="8" t="s">
        <v>2788</v>
      </c>
    </row>
    <row r="355">
      <c r="A355" s="7" t="b">
        <v>1</v>
      </c>
      <c r="B355" s="8" t="s">
        <v>2789</v>
      </c>
      <c r="C355" s="8" t="s">
        <v>2790</v>
      </c>
      <c r="D355" s="8" t="str">
        <f>Q&amp;$K355&amp;Q&amp;":{"&amp;Q&amp;$B$2&amp;Q&amp;":"&amp;Q&amp;$B355&amp;Q&amp;","&amp;Q&amp;$C$2&amp;Q&amp;":"&amp;Q&amp;$C355&amp;Q&amp;","&amp;Q&amp;"sets"&amp;Q&amp;":"&amp;Q&amp;substitute(SUBSTITUTE($H355,"[",""),"]","")&amp;Q&amp;"},"</f>
        <v>"mrtq":{"label":"Charles &amp; Diana","extra":"A right royal marriage.","sets":"Expansion Set 4, Party Expansion 1"},</v>
      </c>
      <c r="E355" s="9" t="str">
        <f t="shared" si="2"/>
        <v>data:image/svg+xml,%3csvg xmlns='http://www.w3.org/2000/svg' viewBox='0 0 24 216'%3e%3ctext fill='%23fff' style='font: 900 16px sans-serif' text-anchor='end' transform='matrix(0 -1 1 0 18 5)'%3eCharles %26amp%3B Diana%3c/text%3e%3c/svg%3e</v>
      </c>
      <c r="F355" s="14" t="str">
        <f t="shared" si="3"/>
        <v>https://svgtext.heliohost.us/cgi-bin/gen.perl?text=Charles%20%26%20Diana</v>
      </c>
      <c r="G355" s="11" t="str">
        <f t="shared" si="4"/>
        <v>data:image/svg+xml,%3csvg xmlns='http://www.w3.org/2000/svg' viewBox='0 0 24 216'%3e%3ctext fill='%23fff' style='font: 900 16px sans-serif' text-anchor='end' transform='matrix(0 -1 1 0 18 5)'%3eCharles %26amp%3B Diana%3c/text%3e%3c/svg%3e</v>
      </c>
      <c r="H355" s="8" t="s">
        <v>63</v>
      </c>
      <c r="I355" s="8">
        <f t="shared" ref="I355:J355" si="356">len(B355)</f>
        <v>15</v>
      </c>
      <c r="J355" s="8">
        <f t="shared" si="356"/>
        <v>23</v>
      </c>
      <c r="K355" s="8" t="s">
        <v>2791</v>
      </c>
    </row>
    <row r="356">
      <c r="A356" s="7" t="b">
        <v>1</v>
      </c>
      <c r="B356" s="8" t="s">
        <v>2792</v>
      </c>
      <c r="C356" s="7" t="s">
        <v>2793</v>
      </c>
      <c r="D356" s="8" t="str">
        <f>Q&amp;$K356&amp;Q&amp;":{"&amp;Q&amp;$B$2&amp;Q&amp;":"&amp;Q&amp;$B356&amp;Q&amp;","&amp;Q&amp;$C$2&amp;Q&amp;":"&amp;Q&amp;$C356&amp;Q&amp;","&amp;Q&amp;"sets"&amp;Q&amp;":"&amp;Q&amp;substitute(SUBSTITUTE($H356,"[",""),"]","")&amp;Q&amp;"},"</f>
        <v>"jqmx":{"label":"Charlie Brown","extra":"“Peanuts” cartoon character, friend of Linus and Lucy.","sets":"Junior"},</v>
      </c>
      <c r="E356" s="9" t="str">
        <f t="shared" si="2"/>
        <v>data:image/svg+xml,%3csvg xmlns='http://www.w3.org/2000/svg' viewBox='0 0 24 216'%3e%3ctext fill='%23fff' style='font: 900 16px sans-serif' text-anchor='end' transform='matrix(0 -1 1 0 18 5)'%3eCharlie Brown%3c/text%3e%3c/svg%3e</v>
      </c>
      <c r="F356" s="14" t="str">
        <f t="shared" si="3"/>
        <v>https://svgtext.heliohost.us/cgi-bin/gen.perl?text=Charlie%20Brown</v>
      </c>
      <c r="G356" s="11" t="str">
        <f t="shared" si="4"/>
        <v>data:image/svg+xml,%3csvg xmlns='http://www.w3.org/2000/svg' viewBox='0 0 24 216'%3e%3ctext fill='%23fff' style='font: 900 16px sans-serif' text-anchor='end' transform='matrix(0 -1 1 0 18 5)'%3eCharlie Brown%3c/text%3e%3c/svg%3e</v>
      </c>
      <c r="H356" s="8" t="s">
        <v>84</v>
      </c>
      <c r="I356" s="8">
        <f t="shared" ref="I356:J356" si="357">len(B356)</f>
        <v>13</v>
      </c>
      <c r="J356" s="8">
        <f t="shared" si="357"/>
        <v>54</v>
      </c>
      <c r="K356" s="8" t="s">
        <v>2794</v>
      </c>
    </row>
    <row r="357">
      <c r="A357" s="7" t="b">
        <v>1</v>
      </c>
      <c r="B357" s="7" t="s">
        <v>2795</v>
      </c>
      <c r="C357" s="8" t="s">
        <v>2796</v>
      </c>
      <c r="D357" s="8" t="str">
        <f>Q&amp;$K357&amp;Q&amp;":{"&amp;Q&amp;$B$2&amp;Q&amp;":"&amp;Q&amp;$B357&amp;Q&amp;","&amp;Q&amp;$C$2&amp;Q&amp;":"&amp;Q&amp;$C357&amp;Q&amp;","&amp;Q&amp;"sets"&amp;Q&amp;":"&amp;Q&amp;substitute(SUBSTITUTE($H357,"[",""),"]","")&amp;Q&amp;"},"</f>
        <v>"udte":{"label":"Charlotte’s Web","extra":"Award-winning book by E.B. White featuring Charlotte the spider, and a pig named Wilbur.","sets":"Junior 9+ (2nd)"},</v>
      </c>
      <c r="E357" s="9" t="str">
        <f t="shared" si="2"/>
        <v>data:image/svg+xml,%3csvg xmlns='http://www.w3.org/2000/svg' viewBox='0 0 24 216'%3e%3ctext fill='%23fff' style='font: 900 16px sans-serif' text-anchor='end' transform='matrix(0 -1 1 0 18 5)'%3eCharlotte%E2%80%99s Web%3c/text%3e%3c/svg%3e</v>
      </c>
      <c r="F357" s="14" t="str">
        <f t="shared" si="3"/>
        <v>https://svgtext.heliohost.us/cgi-bin/gen.perl?text=Charlotte%E2%80%99s%20Web</v>
      </c>
      <c r="G357" s="11" t="str">
        <f t="shared" si="4"/>
        <v>data:image/svg+xml,%3csvg xmlns='http://www.w3.org/2000/svg' viewBox='0 0 24 216'%3e%3ctext fill='%23fff' style='font: 900 16px sans-serif' text-anchor='end' transform='matrix(0 -1 1 0 18 5)'%3eCharlotte%E2%80%99s Web%3c/text%3e%3c/svg%3e</v>
      </c>
      <c r="H357" s="8" t="s">
        <v>32</v>
      </c>
      <c r="I357" s="8">
        <f t="shared" ref="I357:J357" si="358">len(B357)</f>
        <v>15</v>
      </c>
      <c r="J357" s="8">
        <f t="shared" si="358"/>
        <v>88</v>
      </c>
      <c r="K357" s="8" t="s">
        <v>2797</v>
      </c>
    </row>
    <row r="358">
      <c r="A358" s="7" t="b">
        <v>1</v>
      </c>
      <c r="B358" s="8" t="s">
        <v>2798</v>
      </c>
      <c r="C358" s="7" t="s">
        <v>2799</v>
      </c>
      <c r="D358" s="8" t="str">
        <f>Q&amp;$K358&amp;Q&amp;":{"&amp;Q&amp;$B$2&amp;Q&amp;":"&amp;Q&amp;$B358&amp;Q&amp;","&amp;Q&amp;$C$2&amp;Q&amp;":"&amp;Q&amp;$C358&amp;Q&amp;","&amp;Q&amp;"sets"&amp;Q&amp;":"&amp;Q&amp;substitute(SUBSTITUTE($H358,"[",""),"]","")&amp;Q&amp;"},"</f>
        <v>"vsko":{"label":"Chat Rooms","extra":"Electronic speakeasies for the information age.","sets":"Expansion Set 3, Party Expansion 1"},</v>
      </c>
      <c r="E358" s="9" t="str">
        <f t="shared" si="2"/>
        <v>data:image/svg+xml,%3csvg xmlns='http://www.w3.org/2000/svg' viewBox='0 0 24 216'%3e%3ctext fill='%23fff' style='font: 900 16px sans-serif' text-anchor='end' transform='matrix(0 -1 1 0 18 5)'%3eChat Rooms%3c/text%3e%3c/svg%3e</v>
      </c>
      <c r="F358" s="14" t="str">
        <f t="shared" si="3"/>
        <v>https://svgtext.heliohost.us/cgi-bin/gen.perl?text=Chat%20Rooms</v>
      </c>
      <c r="G358" s="11" t="str">
        <f t="shared" si="4"/>
        <v>data:image/svg+xml,%3csvg xmlns='http://www.w3.org/2000/svg' viewBox='0 0 24 216'%3e%3ctext fill='%23fff' style='font: 900 16px sans-serif' text-anchor='end' transform='matrix(0 -1 1 0 18 5)'%3eChat Rooms%3c/text%3e%3c/svg%3e</v>
      </c>
      <c r="H358" s="8" t="s">
        <v>39</v>
      </c>
      <c r="I358" s="8">
        <f t="shared" ref="I358:J358" si="359">len(B358)</f>
        <v>10</v>
      </c>
      <c r="J358" s="8">
        <f t="shared" si="359"/>
        <v>47</v>
      </c>
      <c r="K358" s="8" t="s">
        <v>2800</v>
      </c>
    </row>
    <row r="359">
      <c r="A359" s="7" t="b">
        <v>1</v>
      </c>
      <c r="B359" s="8" t="s">
        <v>2801</v>
      </c>
      <c r="C359" s="7" t="s">
        <v>2802</v>
      </c>
      <c r="D359" s="8" t="str">
        <f>Q&amp;$K359&amp;Q&amp;":{"&amp;Q&amp;$B$2&amp;Q&amp;":"&amp;Q&amp;$B359&amp;Q&amp;","&amp;Q&amp;$C$2&amp;Q&amp;":"&amp;Q&amp;$C359&amp;Q&amp;","&amp;Q&amp;"sets"&amp;Q&amp;":"&amp;Q&amp;substitute(SUBSTITUTE($H359,"[",""),"]","")&amp;Q&amp;"},"</f>
        <v>"ciuc":{"label":"Cheerleaders","extra":"“Go, Team, Go!”","sets":"Junior 9+ (1st) &amp; (2nd)"},</v>
      </c>
      <c r="E359" s="9" t="str">
        <f t="shared" si="2"/>
        <v>data:image/svg+xml,%3csvg xmlns='http://www.w3.org/2000/svg' viewBox='0 0 24 216'%3e%3ctext fill='%23fff' style='font: 900 16px sans-serif' text-anchor='end' transform='matrix(0 -1 1 0 18 5)'%3eCheerleaders%3c/text%3e%3c/svg%3e</v>
      </c>
      <c r="F359" s="14" t="str">
        <f t="shared" si="3"/>
        <v>https://svgtext.heliohost.us/cgi-bin/gen.perl?text=Cheerleaders</v>
      </c>
      <c r="G359" s="11" t="str">
        <f t="shared" si="4"/>
        <v>data:image/svg+xml,%3csvg xmlns='http://www.w3.org/2000/svg' viewBox='0 0 24 216'%3e%3ctext fill='%23fff' style='font: 900 16px sans-serif' text-anchor='end' transform='matrix(0 -1 1 0 18 5)'%3eCheerleaders%3c/text%3e%3c/svg%3e</v>
      </c>
      <c r="H359" s="8" t="s">
        <v>42</v>
      </c>
      <c r="I359" s="8">
        <f t="shared" ref="I359:J359" si="360">len(B359)</f>
        <v>12</v>
      </c>
      <c r="J359" s="8">
        <f t="shared" si="360"/>
        <v>15</v>
      </c>
      <c r="K359" s="8" t="s">
        <v>2803</v>
      </c>
    </row>
    <row r="360">
      <c r="A360" s="7" t="b">
        <v>1</v>
      </c>
      <c r="B360" s="8" t="s">
        <v>2804</v>
      </c>
      <c r="C360" s="8" t="s">
        <v>2805</v>
      </c>
      <c r="D360" s="8" t="str">
        <f>Q&amp;$K360&amp;Q&amp;":{"&amp;Q&amp;$B$2&amp;Q&amp;":"&amp;Q&amp;$B360&amp;Q&amp;","&amp;Q&amp;$C$2&amp;Q&amp;":"&amp;Q&amp;$C360&amp;Q&amp;","&amp;Q&amp;"sets"&amp;Q&amp;":"&amp;Q&amp;substitute(SUBSTITUTE($H360,"[",""),"]","")&amp;Q&amp;"},"</f>
        <v>"utat":{"label":"Cheese","extra":"Swiss cheese, American cheese, cottage cheese. Say cheese!","sets":"Junior"},</v>
      </c>
      <c r="E360" s="9" t="str">
        <f t="shared" si="2"/>
        <v>data:image/svg+xml,%3csvg xmlns='http://www.w3.org/2000/svg' viewBox='0 0 24 216'%3e%3ctext fill='%23fff' style='font: 900 16px sans-serif' text-anchor='end' transform='matrix(0 -1 1 0 18 5)'%3eCheese%3c/text%3e%3c/svg%3e</v>
      </c>
      <c r="F360" s="14" t="str">
        <f t="shared" si="3"/>
        <v>https://svgtext.heliohost.us/cgi-bin/gen.perl?text=Cheese</v>
      </c>
      <c r="G360" s="11" t="str">
        <f t="shared" si="4"/>
        <v>data:image/svg+xml,%3csvg xmlns='http://www.w3.org/2000/svg' viewBox='0 0 24 216'%3e%3ctext fill='%23fff' style='font: 900 16px sans-serif' text-anchor='end' transform='matrix(0 -1 1 0 18 5)'%3eCheese%3c/text%3e%3c/svg%3e</v>
      </c>
      <c r="H360" s="8" t="s">
        <v>84</v>
      </c>
      <c r="I360" s="8">
        <f t="shared" ref="I360:J360" si="361">len(B360)</f>
        <v>6</v>
      </c>
      <c r="J360" s="8">
        <f t="shared" si="361"/>
        <v>58</v>
      </c>
      <c r="K360" s="8" t="s">
        <v>2806</v>
      </c>
    </row>
    <row r="361">
      <c r="A361" s="7" t="b">
        <v>1</v>
      </c>
      <c r="B361" s="8" t="s">
        <v>2807</v>
      </c>
      <c r="C361" s="8" t="s">
        <v>2808</v>
      </c>
      <c r="D361" s="8" t="str">
        <f>Q&amp;$K361&amp;Q&amp;":{"&amp;Q&amp;$B$2&amp;Q&amp;":"&amp;Q&amp;$B361&amp;Q&amp;","&amp;Q&amp;$C$2&amp;Q&amp;":"&amp;Q&amp;$C361&amp;Q&amp;","&amp;Q&amp;"sets"&amp;Q&amp;":"&amp;Q&amp;substitute(SUBSTITUTE($H361,"[",""),"]","")&amp;Q&amp;"},"</f>
        <v>"drzo":{"label":"Cheese Sandwich","extra":"Two pieces of bread and a slice of cheese. Grill it, if you want.","sets":"Junior 9+ (1st) &amp; (2nd)"},</v>
      </c>
      <c r="E361" s="9" t="str">
        <f t="shared" si="2"/>
        <v>data:image/svg+xml,%3csvg xmlns='http://www.w3.org/2000/svg' viewBox='0 0 24 216'%3e%3ctext fill='%23fff' style='font: 900 16px sans-serif' text-anchor='end' transform='matrix(0 -1 1 0 18 5)'%3eCheese Sandwich%3c/text%3e%3c/svg%3e</v>
      </c>
      <c r="F361" s="14" t="str">
        <f t="shared" si="3"/>
        <v>https://svgtext.heliohost.us/cgi-bin/gen.perl?text=Cheese%20Sandwich</v>
      </c>
      <c r="G361" s="11" t="str">
        <f t="shared" si="4"/>
        <v>data:image/svg+xml,%3csvg xmlns='http://www.w3.org/2000/svg' viewBox='0 0 24 216'%3e%3ctext fill='%23fff' style='font: 900 16px sans-serif' text-anchor='end' transform='matrix(0 -1 1 0 18 5)'%3eCheese Sandwich%3c/text%3e%3c/svg%3e</v>
      </c>
      <c r="H361" s="8" t="s">
        <v>42</v>
      </c>
      <c r="I361" s="8">
        <f t="shared" ref="I361:J361" si="362">len(B361)</f>
        <v>15</v>
      </c>
      <c r="J361" s="8">
        <f t="shared" si="362"/>
        <v>65</v>
      </c>
      <c r="K361" s="8" t="s">
        <v>2809</v>
      </c>
    </row>
    <row r="362">
      <c r="A362" s="7" t="b">
        <v>0</v>
      </c>
      <c r="B362" s="8" t="s">
        <v>2810</v>
      </c>
      <c r="C362" s="8" t="s">
        <v>2811</v>
      </c>
      <c r="D362" s="8" t="str">
        <f>Q&amp;$K362&amp;Q&amp;":{"&amp;Q&amp;$B$2&amp;Q&amp;":"&amp;Q&amp;$B362&amp;Q&amp;","&amp;Q&amp;$C$2&amp;Q&amp;":"&amp;Q&amp;$C362&amp;Q&amp;","&amp;Q&amp;"sets"&amp;Q&amp;":"&amp;Q&amp;substitute(SUBSTITUTE($H362,"[",""),"]","")&amp;Q&amp;"},"</f>
        <v>"jbva":{"label":"Cheesecake","extra":"A really tasty dish.","sets":"Expansion Set 1, Party Set"},</v>
      </c>
      <c r="E362" s="9" t="str">
        <f t="shared" si="2"/>
        <v>data:image/svg+xml,%3csvg xmlns='http://www.w3.org/2000/svg' viewBox='0 0 24 216'%3e%3ctext fill='%23fff' style='font: 900 16px sans-serif' text-anchor='end' transform='matrix(0 -1 1 0 18 5)'%3eCheesecake%3c/text%3e%3c/svg%3e</v>
      </c>
      <c r="F362" s="14" t="str">
        <f t="shared" si="3"/>
        <v>https://svgtext.heliohost.us/cgi-bin/gen.perl?text=Cheesecake</v>
      </c>
      <c r="G362" s="11" t="str">
        <f t="shared" si="4"/>
        <v>data:image/svg+xml,%3csvg xmlns='http://www.w3.org/2000/svg' viewBox='0 0 24 216'%3e%3ctext fill='%23fff' style='font: 900 16px sans-serif' text-anchor='end' transform='matrix(0 -1 1 0 18 5)'%3eCheesecake%3c/text%3e%3c/svg%3e</v>
      </c>
      <c r="H362" s="8" t="s">
        <v>25</v>
      </c>
      <c r="I362" s="8">
        <f t="shared" ref="I362:J362" si="363">len(B362)</f>
        <v>10</v>
      </c>
      <c r="J362" s="8">
        <f t="shared" si="363"/>
        <v>20</v>
      </c>
      <c r="K362" s="8" t="s">
        <v>2812</v>
      </c>
    </row>
    <row r="363">
      <c r="A363" s="7" t="b">
        <v>0</v>
      </c>
      <c r="B363" s="8" t="s">
        <v>2813</v>
      </c>
      <c r="C363" s="8" t="s">
        <v>2814</v>
      </c>
      <c r="D363" s="8" t="str">
        <f>Q&amp;$K363&amp;Q&amp;":{"&amp;Q&amp;$B$2&amp;Q&amp;":"&amp;Q&amp;$B363&amp;Q&amp;","&amp;Q&amp;$C$2&amp;Q&amp;":"&amp;Q&amp;$C363&amp;Q&amp;","&amp;Q&amp;"sets"&amp;Q&amp;":"&amp;Q&amp;substitute(SUBSTITUTE($H363,"[",""),"]","")&amp;Q&amp;"},"</f>
        <v>"ypbs":{"label":"Cher","extra":"1946-, American singer and actor, she makes aging look good.","sets":"Basic Set, Party Set"},</v>
      </c>
      <c r="E363" s="9" t="str">
        <f t="shared" si="2"/>
        <v>data:image/svg+xml,%3csvg xmlns='http://www.w3.org/2000/svg' viewBox='0 0 24 216'%3e%3ctext fill='%23fff' style='font: 900 16px sans-serif' text-anchor='end' transform='matrix(0 -1 1 0 18 5)'%3eCher%3c/text%3e%3c/svg%3e</v>
      </c>
      <c r="F363" s="14" t="str">
        <f t="shared" si="3"/>
        <v>https://svgtext.heliohost.us/cgi-bin/gen.perl?text=Cher</v>
      </c>
      <c r="G363" s="11" t="str">
        <f t="shared" si="4"/>
        <v>data:image/svg+xml,%3csvg xmlns='http://www.w3.org/2000/svg' viewBox='0 0 24 216'%3e%3ctext fill='%23fff' style='font: 900 16px sans-serif' text-anchor='end' transform='matrix(0 -1 1 0 18 5)'%3eCher%3c/text%3e%3c/svg%3e</v>
      </c>
      <c r="H363" s="8" t="s">
        <v>29</v>
      </c>
      <c r="I363" s="8">
        <f t="shared" ref="I363:J363" si="364">len(B363)</f>
        <v>4</v>
      </c>
      <c r="J363" s="8">
        <f t="shared" si="364"/>
        <v>60</v>
      </c>
      <c r="K363" s="8" t="s">
        <v>2815</v>
      </c>
    </row>
    <row r="364">
      <c r="A364" s="7" t="b">
        <v>1</v>
      </c>
      <c r="B364" s="8" t="s">
        <v>2816</v>
      </c>
      <c r="C364" s="8" t="s">
        <v>2817</v>
      </c>
      <c r="D364" s="8" t="str">
        <f>Q&amp;$K364&amp;Q&amp;":{"&amp;Q&amp;$B$2&amp;Q&amp;":"&amp;Q&amp;$B364&amp;Q&amp;","&amp;Q&amp;$C$2&amp;Q&amp;":"&amp;Q&amp;$C364&amp;Q&amp;","&amp;Q&amp;"sets"&amp;Q&amp;":"&amp;Q&amp;substitute(SUBSTITUTE($H364,"[",""),"]","")&amp;Q&amp;"},"</f>
        <v>"vjty":{"label":"Cherries","extra":"And a cherry on top!","sets":"Junior 9+ (2nd)"},</v>
      </c>
      <c r="E364" s="9" t="str">
        <f t="shared" si="2"/>
        <v>data:image/svg+xml,%3csvg xmlns='http://www.w3.org/2000/svg' viewBox='0 0 24 216'%3e%3ctext fill='%23fff' style='font: 900 16px sans-serif' text-anchor='end' transform='matrix(0 -1 1 0 18 5)'%3eCherries%3c/text%3e%3c/svg%3e</v>
      </c>
      <c r="F364" s="14" t="str">
        <f t="shared" si="3"/>
        <v>https://svgtext.heliohost.us/cgi-bin/gen.perl?text=Cherries</v>
      </c>
      <c r="G364" s="11" t="str">
        <f t="shared" si="4"/>
        <v>data:image/svg+xml,%3csvg xmlns='http://www.w3.org/2000/svg' viewBox='0 0 24 216'%3e%3ctext fill='%23fff' style='font: 900 16px sans-serif' text-anchor='end' transform='matrix(0 -1 1 0 18 5)'%3eCherries%3c/text%3e%3c/svg%3e</v>
      </c>
      <c r="H364" s="8" t="s">
        <v>32</v>
      </c>
      <c r="I364" s="8">
        <f t="shared" ref="I364:J364" si="365">len(B364)</f>
        <v>8</v>
      </c>
      <c r="J364" s="8">
        <f t="shared" si="365"/>
        <v>20</v>
      </c>
      <c r="K364" s="8" t="s">
        <v>2818</v>
      </c>
    </row>
    <row r="365">
      <c r="A365" s="7" t="b">
        <v>1</v>
      </c>
      <c r="B365" s="8" t="s">
        <v>2819</v>
      </c>
      <c r="C365" s="8" t="s">
        <v>2820</v>
      </c>
      <c r="D365" s="8" t="str">
        <f>Q&amp;$K365&amp;Q&amp;":{"&amp;Q&amp;$B$2&amp;Q&amp;":"&amp;Q&amp;$B365&amp;Q&amp;","&amp;Q&amp;$C$2&amp;Q&amp;":"&amp;Q&amp;$C365&amp;Q&amp;","&amp;Q&amp;"sets"&amp;Q&amp;":"&amp;Q&amp;substitute(SUBSTITUTE($H365,"[",""),"]","")&amp;Q&amp;"},"</f>
        <v>"vlec":{"label":"Cherry Pie","extra":"A flaky pastry filled with cherries.","sets":"Junior"},</v>
      </c>
      <c r="E365" s="9" t="str">
        <f t="shared" si="2"/>
        <v>data:image/svg+xml,%3csvg xmlns='http://www.w3.org/2000/svg' viewBox='0 0 24 216'%3e%3ctext fill='%23fff' style='font: 900 16px sans-serif' text-anchor='end' transform='matrix(0 -1 1 0 18 5)'%3eCherry Pie%3c/text%3e%3c/svg%3e</v>
      </c>
      <c r="F365" s="14" t="str">
        <f t="shared" si="3"/>
        <v>https://svgtext.heliohost.us/cgi-bin/gen.perl?text=Cherry%20Pie</v>
      </c>
      <c r="G365" s="11" t="str">
        <f t="shared" si="4"/>
        <v>data:image/svg+xml,%3csvg xmlns='http://www.w3.org/2000/svg' viewBox='0 0 24 216'%3e%3ctext fill='%23fff' style='font: 900 16px sans-serif' text-anchor='end' transform='matrix(0 -1 1 0 18 5)'%3eCherry Pie%3c/text%3e%3c/svg%3e</v>
      </c>
      <c r="H365" s="8" t="s">
        <v>84</v>
      </c>
      <c r="I365" s="8">
        <f t="shared" ref="I365:J365" si="366">len(B365)</f>
        <v>10</v>
      </c>
      <c r="J365" s="8">
        <f t="shared" si="366"/>
        <v>36</v>
      </c>
      <c r="K365" s="8" t="s">
        <v>2821</v>
      </c>
    </row>
    <row r="366">
      <c r="A366" s="7" t="b">
        <v>1</v>
      </c>
      <c r="B366" s="8" t="s">
        <v>2822</v>
      </c>
      <c r="C366" s="8" t="s">
        <v>2823</v>
      </c>
      <c r="D366" s="8" t="str">
        <f>Q&amp;$K366&amp;Q&amp;":{"&amp;Q&amp;$B$2&amp;Q&amp;":"&amp;Q&amp;$B366&amp;Q&amp;","&amp;Q&amp;$C$2&amp;Q&amp;":"&amp;Q&amp;$C366&amp;Q&amp;","&amp;Q&amp;"sets"&amp;Q&amp;":"&amp;Q&amp;substitute(SUBSTITUTE($H366,"[",""),"]","")&amp;Q&amp;"},"</f>
        <v>"gxzs":{"label":"Chewing Your Fingernails","extra":"Hungry?","sets":"Junior 9+ (2nd)"},</v>
      </c>
      <c r="E366" s="9" t="str">
        <f t="shared" si="2"/>
        <v>data:image/svg+xml,%3csvg xmlns='http://www.w3.org/2000/svg' viewBox='0 0 24 216'%3e%3ctext fill='%23fff' style='font: 900 16px sans-serif' text-anchor='end' transform='matrix(0 -1 1 0 18 5)'%3eChewing Your Fingernails%3c/text%3e%3c/svg%3e</v>
      </c>
      <c r="F366" s="14" t="str">
        <f t="shared" si="3"/>
        <v>https://svgtext.heliohost.us/cgi-bin/gen.perl?text=Chewing%20Your%20Fingernails</v>
      </c>
      <c r="G366" s="11" t="str">
        <f t="shared" si="4"/>
        <v>data:image/svg+xml,%3csvg xmlns='http://www.w3.org/2000/svg' viewBox='0 0 24 216'%3e%3ctext fill='%23fff' style='font: 900 16px sans-serif' text-anchor='end' transform='matrix(0 -1 1 0 18 5)'%3eChewing Your Fingernails%3c/text%3e%3c/svg%3e</v>
      </c>
      <c r="H366" s="8" t="s">
        <v>32</v>
      </c>
      <c r="I366" s="8">
        <f t="shared" ref="I366:J366" si="367">len(B366)</f>
        <v>24</v>
      </c>
      <c r="J366" s="8">
        <f t="shared" si="367"/>
        <v>7</v>
      </c>
      <c r="K366" s="8" t="s">
        <v>2824</v>
      </c>
    </row>
    <row r="367">
      <c r="A367" s="7" t="b">
        <v>0</v>
      </c>
      <c r="B367" s="8" t="s">
        <v>2825</v>
      </c>
      <c r="C367" s="8" t="s">
        <v>2826</v>
      </c>
      <c r="D367" s="8" t="str">
        <f>Q&amp;$K367&amp;Q&amp;":{"&amp;Q&amp;$B$2&amp;Q&amp;":"&amp;Q&amp;$B367&amp;Q&amp;","&amp;Q&amp;$C$2&amp;Q&amp;":"&amp;Q&amp;$C367&amp;Q&amp;","&amp;Q&amp;"sets"&amp;Q&amp;":"&amp;Q&amp;substitute(SUBSTITUTE($H367,"[",""),"]","")&amp;Q&amp;"},"</f>
        <v>"tohb":{"label":"Chicago","extra":"Third largest city in the United States. Our kind of town.","sets":"Basic Set, Party Set"},</v>
      </c>
      <c r="E367" s="9" t="str">
        <f t="shared" si="2"/>
        <v>data:image/svg+xml,%3csvg xmlns='http://www.w3.org/2000/svg' viewBox='0 0 24 216'%3e%3ctext fill='%23fff' style='font: 900 16px sans-serif' text-anchor='end' transform='matrix(0 -1 1 0 18 5)'%3eChicago%3c/text%3e%3c/svg%3e</v>
      </c>
      <c r="F367" s="14" t="str">
        <f t="shared" si="3"/>
        <v>https://svgtext.heliohost.us/cgi-bin/gen.perl?text=Chicago</v>
      </c>
      <c r="G367" s="11" t="str">
        <f t="shared" si="4"/>
        <v>data:image/svg+xml,%3csvg xmlns='http://www.w3.org/2000/svg' viewBox='0 0 24 216'%3e%3ctext fill='%23fff' style='font: 900 16px sans-serif' text-anchor='end' transform='matrix(0 -1 1 0 18 5)'%3eChicago%3c/text%3e%3c/svg%3e</v>
      </c>
      <c r="H367" s="8" t="s">
        <v>29</v>
      </c>
      <c r="I367" s="8">
        <f t="shared" ref="I367:J367" si="368">len(B367)</f>
        <v>7</v>
      </c>
      <c r="J367" s="8">
        <f t="shared" si="368"/>
        <v>58</v>
      </c>
      <c r="K367" s="8" t="s">
        <v>2827</v>
      </c>
    </row>
    <row r="368">
      <c r="A368" s="7" t="b">
        <v>1</v>
      </c>
      <c r="B368" s="8" t="s">
        <v>2828</v>
      </c>
      <c r="C368" s="8" t="s">
        <v>2829</v>
      </c>
      <c r="D368" s="8" t="str">
        <f>Q&amp;$K368&amp;Q&amp;":{"&amp;Q&amp;$B$2&amp;Q&amp;":"&amp;Q&amp;$B368&amp;Q&amp;","&amp;Q&amp;$C$2&amp;Q&amp;":"&amp;Q&amp;$C368&amp;Q&amp;","&amp;Q&amp;"sets"&amp;Q&amp;":"&amp;Q&amp;substitute(SUBSTITUTE($H368,"[",""),"]","")&amp;Q&amp;"},"</f>
        <v>"kekq":{"label":"Chicken Nuggets","extra":"Bite-sized pieces of fried chicken. Finger food!","sets":"Junior 9+ (2nd)"},</v>
      </c>
      <c r="E368" s="9" t="str">
        <f t="shared" si="2"/>
        <v>data:image/svg+xml,%3csvg xmlns='http://www.w3.org/2000/svg' viewBox='0 0 24 216'%3e%3ctext fill='%23fff' style='font: 900 16px sans-serif' text-anchor='end' transform='matrix(0 -1 1 0 18 5)'%3eChicken Nuggets%3c/text%3e%3c/svg%3e</v>
      </c>
      <c r="F368" s="14" t="str">
        <f t="shared" si="3"/>
        <v>https://svgtext.heliohost.us/cgi-bin/gen.perl?text=Chicken%20Nuggets</v>
      </c>
      <c r="G368" s="11" t="str">
        <f t="shared" si="4"/>
        <v>data:image/svg+xml,%3csvg xmlns='http://www.w3.org/2000/svg' viewBox='0 0 24 216'%3e%3ctext fill='%23fff' style='font: 900 16px sans-serif' text-anchor='end' transform='matrix(0 -1 1 0 18 5)'%3eChicken Nuggets%3c/text%3e%3c/svg%3e</v>
      </c>
      <c r="H368" s="8" t="s">
        <v>32</v>
      </c>
      <c r="I368" s="8">
        <f t="shared" ref="I368:J368" si="369">len(B368)</f>
        <v>15</v>
      </c>
      <c r="J368" s="8">
        <f t="shared" si="369"/>
        <v>48</v>
      </c>
      <c r="K368" s="8" t="s">
        <v>2830</v>
      </c>
    </row>
    <row r="369">
      <c r="A369" s="7" t="b">
        <v>0</v>
      </c>
      <c r="B369" s="8" t="s">
        <v>2831</v>
      </c>
      <c r="C369" s="7" t="s">
        <v>2832</v>
      </c>
      <c r="D369" s="8" t="str">
        <f>Q&amp;$K369&amp;Q&amp;":{"&amp;Q&amp;$B$2&amp;Q&amp;":"&amp;Q&amp;$B369&amp;Q&amp;","&amp;Q&amp;$C$2&amp;Q&amp;":"&amp;Q&amp;$C369&amp;Q&amp;","&amp;Q&amp;"sets"&amp;Q&amp;":"&amp;Q&amp;substitute(SUBSTITUTE($H369,"[",""),"]","")&amp;Q&amp;"},"</f>
        <v>"nsvj":{"label":"Chicken Pox","extra":"Infectious disease usually contracted in childhood. Just don’t scratch ’em!","sets":"Expansion Set 1, Party Set"},</v>
      </c>
      <c r="E369" s="9" t="str">
        <f t="shared" si="2"/>
        <v>data:image/svg+xml,%3csvg xmlns='http://www.w3.org/2000/svg' viewBox='0 0 24 216'%3e%3ctext fill='%23fff' style='font: 900 16px sans-serif' text-anchor='end' transform='matrix(0 -1 1 0 18 5)'%3eChicken Pox%3c/text%3e%3c/svg%3e</v>
      </c>
      <c r="F369" s="14" t="str">
        <f t="shared" si="3"/>
        <v>https://svgtext.heliohost.us/cgi-bin/gen.perl?text=Chicken%20Pox</v>
      </c>
      <c r="G369" s="11" t="str">
        <f t="shared" si="4"/>
        <v>data:image/svg+xml,%3csvg xmlns='http://www.w3.org/2000/svg' viewBox='0 0 24 216'%3e%3ctext fill='%23fff' style='font: 900 16px sans-serif' text-anchor='end' transform='matrix(0 -1 1 0 18 5)'%3eChicken Pox%3c/text%3e%3c/svg%3e</v>
      </c>
      <c r="H369" s="8" t="s">
        <v>25</v>
      </c>
      <c r="I369" s="8">
        <f t="shared" ref="I369:J369" si="370">len(B369)</f>
        <v>11</v>
      </c>
      <c r="J369" s="8">
        <f t="shared" si="370"/>
        <v>75</v>
      </c>
      <c r="K369" s="8" t="s">
        <v>2833</v>
      </c>
    </row>
    <row r="370">
      <c r="A370" s="7" t="b">
        <v>1</v>
      </c>
      <c r="B370" s="8" t="s">
        <v>2831</v>
      </c>
      <c r="C370" s="7" t="s">
        <v>2834</v>
      </c>
      <c r="D370" s="8" t="str">
        <f>Q&amp;$K370&amp;Q&amp;":{"&amp;Q&amp;$B$2&amp;Q&amp;":"&amp;Q&amp;$B370&amp;Q&amp;","&amp;Q&amp;$C$2&amp;Q&amp;":"&amp;Q&amp;$C370&amp;Q&amp;","&amp;Q&amp;"sets"&amp;Q&amp;":"&amp;Q&amp;substitute(SUBSTITUTE($H370,"[",""),"]","")&amp;Q&amp;"},"</f>
        <v>"iyhj":{"label":"Chicken Pox","extra":"An illness that comes with a fever and itchy red bumps. Don’t scratch!","sets":"Junior 9+ (1st) &amp; (2nd)"},</v>
      </c>
      <c r="E370" s="9" t="str">
        <f t="shared" si="2"/>
        <v>data:image/svg+xml,%3csvg xmlns='http://www.w3.org/2000/svg' viewBox='0 0 24 216'%3e%3ctext fill='%23fff' style='font: 900 16px sans-serif' text-anchor='end' transform='matrix(0 -1 1 0 18 5)'%3eChicken Pox%3c/text%3e%3c/svg%3e</v>
      </c>
      <c r="F370" s="14" t="str">
        <f t="shared" si="3"/>
        <v>https://svgtext.heliohost.us/cgi-bin/gen.perl?text=Chicken%20Pox</v>
      </c>
      <c r="G370" s="11" t="str">
        <f t="shared" si="4"/>
        <v>data:image/svg+xml,%3csvg xmlns='http://www.w3.org/2000/svg' viewBox='0 0 24 216'%3e%3ctext fill='%23fff' style='font: 900 16px sans-serif' text-anchor='end' transform='matrix(0 -1 1 0 18 5)'%3eChicken Pox%3c/text%3e%3c/svg%3e</v>
      </c>
      <c r="H370" s="8" t="s">
        <v>42</v>
      </c>
      <c r="I370" s="8">
        <f t="shared" ref="I370:J370" si="371">len(B370)</f>
        <v>11</v>
      </c>
      <c r="J370" s="8">
        <f t="shared" si="371"/>
        <v>70</v>
      </c>
      <c r="K370" s="8" t="s">
        <v>2835</v>
      </c>
    </row>
    <row r="371">
      <c r="A371" s="7" t="b">
        <v>0</v>
      </c>
      <c r="B371" s="8" t="s">
        <v>2836</v>
      </c>
      <c r="C371" s="8" t="s">
        <v>2837</v>
      </c>
      <c r="D371" s="8" t="str">
        <f>Q&amp;$K371&amp;Q&amp;":{"&amp;Q&amp;$B$2&amp;Q&amp;":"&amp;Q&amp;$B371&amp;Q&amp;","&amp;Q&amp;$C$2&amp;Q&amp;":"&amp;Q&amp;$C371&amp;Q&amp;","&amp;Q&amp;"sets"&amp;Q&amp;":"&amp;Q&amp;substitute(SUBSTITUTE($H371,"[",""),"]","")&amp;Q&amp;"},"</f>
        <v>"hgcf":{"label":"Chickens","extra":"From incubator to rotisserie in 56 days! Run, chicken, run!","sets":"Expansion Set 2, Party Set"},</v>
      </c>
      <c r="E371" s="9" t="str">
        <f t="shared" si="2"/>
        <v>data:image/svg+xml,%3csvg xmlns='http://www.w3.org/2000/svg' viewBox='0 0 24 216'%3e%3ctext fill='%23fff' style='font: 900 16px sans-serif' text-anchor='end' transform='matrix(0 -1 1 0 18 5)'%3eChickens%3c/text%3e%3c/svg%3e</v>
      </c>
      <c r="F371" s="14" t="str">
        <f t="shared" si="3"/>
        <v>https://svgtext.heliohost.us/cgi-bin/gen.perl?text=Chickens</v>
      </c>
      <c r="G371" s="11" t="str">
        <f t="shared" si="4"/>
        <v>data:image/svg+xml,%3csvg xmlns='http://www.w3.org/2000/svg' viewBox='0 0 24 216'%3e%3ctext fill='%23fff' style='font: 900 16px sans-serif' text-anchor='end' transform='matrix(0 -1 1 0 18 5)'%3eChickens%3c/text%3e%3c/svg%3e</v>
      </c>
      <c r="H371" s="8" t="s">
        <v>17</v>
      </c>
      <c r="I371" s="8">
        <f t="shared" ref="I371:J371" si="372">len(B371)</f>
        <v>8</v>
      </c>
      <c r="J371" s="8">
        <f t="shared" si="372"/>
        <v>59</v>
      </c>
      <c r="K371" s="8" t="s">
        <v>2838</v>
      </c>
    </row>
    <row r="372">
      <c r="A372" s="7" t="b">
        <v>1</v>
      </c>
      <c r="B372" s="8" t="s">
        <v>2836</v>
      </c>
      <c r="C372" s="8" t="s">
        <v>2839</v>
      </c>
      <c r="D372" s="8" t="str">
        <f>Q&amp;$K372&amp;Q&amp;":{"&amp;Q&amp;$B$2&amp;Q&amp;":"&amp;Q&amp;$B372&amp;Q&amp;","&amp;Q&amp;$C$2&amp;Q&amp;":"&amp;Q&amp;$C372&amp;Q&amp;","&amp;Q&amp;"sets"&amp;Q&amp;":"&amp;Q&amp;substitute(SUBSTITUTE($H372,"[",""),"]","")&amp;Q&amp;"},"</f>
        <v>"wovb":{"label":"Chickens","extra":"Hens and roosters. Cluck-cluck, cock-a-doodle-do!","sets":"Junior"},</v>
      </c>
      <c r="E372" s="9" t="str">
        <f t="shared" si="2"/>
        <v>data:image/svg+xml,%3csvg xmlns='http://www.w3.org/2000/svg' viewBox='0 0 24 216'%3e%3ctext fill='%23fff' style='font: 900 16px sans-serif' text-anchor='end' transform='matrix(0 -1 1 0 18 5)'%3eChickens%3c/text%3e%3c/svg%3e</v>
      </c>
      <c r="F372" s="14" t="str">
        <f t="shared" si="3"/>
        <v>https://svgtext.heliohost.us/cgi-bin/gen.perl?text=Chickens</v>
      </c>
      <c r="G372" s="11" t="str">
        <f t="shared" si="4"/>
        <v>data:image/svg+xml,%3csvg xmlns='http://www.w3.org/2000/svg' viewBox='0 0 24 216'%3e%3ctext fill='%23fff' style='font: 900 16px sans-serif' text-anchor='end' transform='matrix(0 -1 1 0 18 5)'%3eChickens%3c/text%3e%3c/svg%3e</v>
      </c>
      <c r="H372" s="8" t="s">
        <v>84</v>
      </c>
      <c r="I372" s="8">
        <f t="shared" ref="I372:J372" si="373">len(B372)</f>
        <v>8</v>
      </c>
      <c r="J372" s="8">
        <f t="shared" si="373"/>
        <v>49</v>
      </c>
      <c r="K372" s="8" t="s">
        <v>2840</v>
      </c>
    </row>
    <row r="373">
      <c r="A373" s="7" t="b">
        <v>0</v>
      </c>
      <c r="B373" s="8" t="s">
        <v>2841</v>
      </c>
      <c r="C373" s="7" t="s">
        <v>2842</v>
      </c>
      <c r="D373" s="8" t="str">
        <f>Q&amp;$K373&amp;Q&amp;":{"&amp;Q&amp;$B$2&amp;Q&amp;":"&amp;Q&amp;$B373&amp;Q&amp;","&amp;Q&amp;$C$2&amp;Q&amp;":"&amp;Q&amp;$C373&amp;Q&amp;","&amp;Q&amp;"sets"&amp;Q&amp;":"&amp;Q&amp;substitute(SUBSTITUTE($H373,"[",""),"]","")&amp;Q&amp;"},"</f>
        <v>"woaw":{"label":"Chimpanzees","extra":"Sure, they’re related to us; but they don’t write, and they NEVER call!","sets":"Basic Set, Party Set"},</v>
      </c>
      <c r="E373" s="9" t="str">
        <f t="shared" si="2"/>
        <v>data:image/svg+xml,%3csvg xmlns='http://www.w3.org/2000/svg' viewBox='0 0 24 216'%3e%3ctext fill='%23fff' style='font: 900 16px sans-serif' text-anchor='end' transform='matrix(0 -1 1 0 18 5)'%3eChimpanzees%3c/text%3e%3c/svg%3e</v>
      </c>
      <c r="F373" s="14" t="str">
        <f t="shared" si="3"/>
        <v>https://svgtext.heliohost.us/cgi-bin/gen.perl?text=Chimpanzees</v>
      </c>
      <c r="G373" s="11" t="str">
        <f t="shared" si="4"/>
        <v>data:image/svg+xml,%3csvg xmlns='http://www.w3.org/2000/svg' viewBox='0 0 24 216'%3e%3ctext fill='%23fff' style='font: 900 16px sans-serif' text-anchor='end' transform='matrix(0 -1 1 0 18 5)'%3eChimpanzees%3c/text%3e%3c/svg%3e</v>
      </c>
      <c r="H373" s="8" t="s">
        <v>29</v>
      </c>
      <c r="I373" s="8">
        <f t="shared" ref="I373:J373" si="374">len(B373)</f>
        <v>11</v>
      </c>
      <c r="J373" s="8">
        <f t="shared" si="374"/>
        <v>71</v>
      </c>
      <c r="K373" s="8" t="s">
        <v>2843</v>
      </c>
    </row>
    <row r="374">
      <c r="A374" s="7" t="b">
        <v>0</v>
      </c>
      <c r="B374" s="8" t="s">
        <v>2844</v>
      </c>
      <c r="C374" s="7" t="s">
        <v>2845</v>
      </c>
      <c r="D374" s="8" t="str">
        <f>Q&amp;$K374&amp;Q&amp;":{"&amp;Q&amp;$B$2&amp;Q&amp;":"&amp;Q&amp;$B374&amp;Q&amp;","&amp;Q&amp;$C$2&amp;Q&amp;":"&amp;Q&amp;$C374&amp;Q&amp;","&amp;Q&amp;"sets"&amp;Q&amp;":"&amp;Q&amp;substitute(SUBSTITUTE($H374,"[",""),"]","")&amp;Q&amp;"},"</f>
        <v>"swwh":{"label":"China","extra":"The most populous country in the world. More than one-fifth of the world’s total population lives within its borders.","sets":"Basic Set, Party Set"},</v>
      </c>
      <c r="E374" s="9" t="str">
        <f t="shared" si="2"/>
        <v>data:image/svg+xml,%3csvg xmlns='http://www.w3.org/2000/svg' viewBox='0 0 24 216'%3e%3ctext fill='%23fff' style='font: 900 16px sans-serif' text-anchor='end' transform='matrix(0 -1 1 0 18 5)'%3eChina%3c/text%3e%3c/svg%3e</v>
      </c>
      <c r="F374" s="14" t="str">
        <f t="shared" si="3"/>
        <v>https://svgtext.heliohost.us/cgi-bin/gen.perl?text=China</v>
      </c>
      <c r="G374" s="11" t="str">
        <f t="shared" si="4"/>
        <v>data:image/svg+xml,%3csvg xmlns='http://www.w3.org/2000/svg' viewBox='0 0 24 216'%3e%3ctext fill='%23fff' style='font: 900 16px sans-serif' text-anchor='end' transform='matrix(0 -1 1 0 18 5)'%3eChina%3c/text%3e%3c/svg%3e</v>
      </c>
      <c r="H374" s="8" t="s">
        <v>29</v>
      </c>
      <c r="I374" s="8">
        <f t="shared" ref="I374:J374" si="375">len(B374)</f>
        <v>5</v>
      </c>
      <c r="J374" s="8">
        <f t="shared" si="375"/>
        <v>117</v>
      </c>
      <c r="K374" s="8" t="s">
        <v>2846</v>
      </c>
    </row>
    <row r="375">
      <c r="A375" s="7" t="b">
        <v>1</v>
      </c>
      <c r="B375" s="8" t="s">
        <v>2844</v>
      </c>
      <c r="C375" s="7" t="s">
        <v>2847</v>
      </c>
      <c r="D375" s="8" t="str">
        <f>Q&amp;$K375&amp;Q&amp;":{"&amp;Q&amp;$B$2&amp;Q&amp;":"&amp;Q&amp;$B375&amp;Q&amp;","&amp;Q&amp;$C$2&amp;Q&amp;":"&amp;Q&amp;$C375&amp;Q&amp;","&amp;Q&amp;"sets"&amp;Q&amp;":"&amp;Q&amp;substitute(SUBSTITUTE($H375,"[",""),"]","")&amp;Q&amp;"},"</f>
        <v>"fjtp":{"label":"China","extra":"There are over one billion people living in the People’s Republic of China.","sets":"Junior 9+ (2nd)"},</v>
      </c>
      <c r="E375" s="9" t="str">
        <f t="shared" si="2"/>
        <v>data:image/svg+xml,%3csvg xmlns='http://www.w3.org/2000/svg' viewBox='0 0 24 216'%3e%3ctext fill='%23fff' style='font: 900 16px sans-serif' text-anchor='end' transform='matrix(0 -1 1 0 18 5)'%3eChina%3c/text%3e%3c/svg%3e</v>
      </c>
      <c r="F375" s="14" t="str">
        <f t="shared" si="3"/>
        <v>https://svgtext.heliohost.us/cgi-bin/gen.perl?text=China</v>
      </c>
      <c r="G375" s="11" t="str">
        <f t="shared" si="4"/>
        <v>data:image/svg+xml,%3csvg xmlns='http://www.w3.org/2000/svg' viewBox='0 0 24 216'%3e%3ctext fill='%23fff' style='font: 900 16px sans-serif' text-anchor='end' transform='matrix(0 -1 1 0 18 5)'%3eChina%3c/text%3e%3c/svg%3e</v>
      </c>
      <c r="H375" s="8" t="s">
        <v>32</v>
      </c>
      <c r="I375" s="8">
        <f t="shared" ref="I375:J375" si="376">len(B375)</f>
        <v>5</v>
      </c>
      <c r="J375" s="8">
        <f t="shared" si="376"/>
        <v>75</v>
      </c>
      <c r="K375" s="8" t="s">
        <v>2848</v>
      </c>
    </row>
    <row r="376">
      <c r="A376" s="7" t="b">
        <v>0</v>
      </c>
      <c r="B376" s="8" t="s">
        <v>2849</v>
      </c>
      <c r="C376" s="7" t="s">
        <v>2850</v>
      </c>
      <c r="D376" s="8" t="str">
        <f>Q&amp;$K376&amp;Q&amp;":{"&amp;Q&amp;$B$2&amp;Q&amp;":"&amp;Q&amp;$B376&amp;Q&amp;","&amp;Q&amp;$C$2&amp;Q&amp;":"&amp;Q&amp;$C376&amp;Q&amp;","&amp;Q&amp;"sets"&amp;Q&amp;":"&amp;Q&amp;substitute(SUBSTITUTE($H376,"[",""),"]","")&amp;Q&amp;"},"</f>
        <v>"xfyo":{"label":"Chinatown","extra":"International travel, just around the corner.","sets":"Expansion Set 2, Party Set"},</v>
      </c>
      <c r="E376" s="9" t="str">
        <f t="shared" si="2"/>
        <v>data:image/svg+xml,%3csvg xmlns='http://www.w3.org/2000/svg' viewBox='0 0 24 216'%3e%3ctext fill='%23fff' style='font: 900 16px sans-serif' text-anchor='end' transform='matrix(0 -1 1 0 18 5)'%3eChinatown%3c/text%3e%3c/svg%3e</v>
      </c>
      <c r="F376" s="14" t="str">
        <f t="shared" si="3"/>
        <v>https://svgtext.heliohost.us/cgi-bin/gen.perl?text=Chinatown</v>
      </c>
      <c r="G376" s="11" t="str">
        <f t="shared" si="4"/>
        <v>data:image/svg+xml,%3csvg xmlns='http://www.w3.org/2000/svg' viewBox='0 0 24 216'%3e%3ctext fill='%23fff' style='font: 900 16px sans-serif' text-anchor='end' transform='matrix(0 -1 1 0 18 5)'%3eChinatown%3c/text%3e%3c/svg%3e</v>
      </c>
      <c r="H376" s="8" t="s">
        <v>17</v>
      </c>
      <c r="I376" s="8">
        <f t="shared" ref="I376:J376" si="377">len(B376)</f>
        <v>9</v>
      </c>
      <c r="J376" s="8">
        <f t="shared" si="377"/>
        <v>45</v>
      </c>
      <c r="K376" s="8" t="s">
        <v>2851</v>
      </c>
    </row>
    <row r="377">
      <c r="A377" s="7" t="b">
        <v>1</v>
      </c>
      <c r="B377" s="8" t="s">
        <v>2852</v>
      </c>
      <c r="C377" s="8" t="s">
        <v>2853</v>
      </c>
      <c r="D377" s="8" t="str">
        <f>Q&amp;$K377&amp;Q&amp;":{"&amp;Q&amp;$B$2&amp;Q&amp;":"&amp;Q&amp;$B377&amp;Q&amp;","&amp;Q&amp;$C$2&amp;Q&amp;":"&amp;Q&amp;$C377&amp;Q&amp;","&amp;Q&amp;"sets"&amp;Q&amp;":"&amp;Q&amp;substitute(SUBSTITUTE($H377,"[",""),"]","")&amp;Q&amp;"},"</f>
        <v>"zsmw":{"label":"Chips &amp; Dip","extra":"No double dipping!","sets":"Expansion Set 4, Party Expansion 1"},</v>
      </c>
      <c r="E377" s="9" t="str">
        <f t="shared" si="2"/>
        <v>data:image/svg+xml,%3csvg xmlns='http://www.w3.org/2000/svg' viewBox='0 0 24 216'%3e%3ctext fill='%23fff' style='font: 900 16px sans-serif' text-anchor='end' transform='matrix(0 -1 1 0 18 5)'%3eChips %26amp%3B Dip%3c/text%3e%3c/svg%3e</v>
      </c>
      <c r="F377" s="14" t="str">
        <f t="shared" si="3"/>
        <v>https://svgtext.heliohost.us/cgi-bin/gen.perl?text=Chips%20%26%20Dip</v>
      </c>
      <c r="G377" s="11" t="str">
        <f t="shared" si="4"/>
        <v>data:image/svg+xml,%3csvg xmlns='http://www.w3.org/2000/svg' viewBox='0 0 24 216'%3e%3ctext fill='%23fff' style='font: 900 16px sans-serif' text-anchor='end' transform='matrix(0 -1 1 0 18 5)'%3eChips %26amp%3B Dip%3c/text%3e%3c/svg%3e</v>
      </c>
      <c r="H377" s="8" t="s">
        <v>63</v>
      </c>
      <c r="I377" s="8">
        <f t="shared" ref="I377:J377" si="378">len(B377)</f>
        <v>11</v>
      </c>
      <c r="J377" s="8">
        <f t="shared" si="378"/>
        <v>18</v>
      </c>
      <c r="K377" s="8" t="s">
        <v>2854</v>
      </c>
    </row>
    <row r="378">
      <c r="A378" s="7" t="b">
        <v>1</v>
      </c>
      <c r="B378" s="8" t="s">
        <v>2855</v>
      </c>
      <c r="C378" s="8" t="s">
        <v>2856</v>
      </c>
      <c r="D378" s="8" t="str">
        <f>Q&amp;$K378&amp;Q&amp;":{"&amp;Q&amp;$B$2&amp;Q&amp;":"&amp;Q&amp;$B378&amp;Q&amp;","&amp;Q&amp;$C$2&amp;Q&amp;":"&amp;Q&amp;$C378&amp;Q&amp;","&amp;Q&amp;"sets"&amp;Q&amp;":"&amp;Q&amp;substitute(SUBSTITUTE($H378,"[",""),"]","")&amp;Q&amp;"},"</f>
        <v>"sxpp":{"label":"Chips &amp; Salsa","extra":"Nacho average snack!","sets":"Expansion Set 4, Party Expansion 1"},</v>
      </c>
      <c r="E378" s="9" t="str">
        <f t="shared" si="2"/>
        <v>data:image/svg+xml,%3csvg xmlns='http://www.w3.org/2000/svg' viewBox='0 0 24 216'%3e%3ctext fill='%23fff' style='font: 900 16px sans-serif' text-anchor='end' transform='matrix(0 -1 1 0 18 5)'%3eChips %26amp%3B Salsa%3c/text%3e%3c/svg%3e</v>
      </c>
      <c r="F378" s="14" t="str">
        <f t="shared" si="3"/>
        <v>https://svgtext.heliohost.us/cgi-bin/gen.perl?text=Chips%20%26%20Salsa</v>
      </c>
      <c r="G378" s="11" t="str">
        <f t="shared" si="4"/>
        <v>data:image/svg+xml,%3csvg xmlns='http://www.w3.org/2000/svg' viewBox='0 0 24 216'%3e%3ctext fill='%23fff' style='font: 900 16px sans-serif' text-anchor='end' transform='matrix(0 -1 1 0 18 5)'%3eChips %26amp%3B Salsa%3c/text%3e%3c/svg%3e</v>
      </c>
      <c r="H378" s="8" t="s">
        <v>63</v>
      </c>
      <c r="I378" s="8">
        <f t="shared" ref="I378:J378" si="379">len(B378)</f>
        <v>13</v>
      </c>
      <c r="J378" s="8">
        <f t="shared" si="379"/>
        <v>20</v>
      </c>
      <c r="K378" s="8" t="s">
        <v>2857</v>
      </c>
    </row>
    <row r="379">
      <c r="A379" s="7" t="b">
        <v>1</v>
      </c>
      <c r="B379" s="8" t="s">
        <v>2858</v>
      </c>
      <c r="C379" s="8" t="s">
        <v>2859</v>
      </c>
      <c r="D379" s="8" t="str">
        <f>Q&amp;$K379&amp;Q&amp;":{"&amp;Q&amp;$B$2&amp;Q&amp;":"&amp;Q&amp;$B379&amp;Q&amp;","&amp;Q&amp;$C$2&amp;Q&amp;":"&amp;Q&amp;$C379&amp;Q&amp;","&amp;Q&amp;"sets"&amp;Q&amp;":"&amp;Q&amp;substitute(SUBSTITUTE($H379,"[",""),"]","")&amp;Q&amp;"},"</f>
        <v>"pctg":{"label":"Chocolate Milk","extra":"Good for you and tastes good too!","sets":"Junior 9+ (1st) &amp; (2nd)"},</v>
      </c>
      <c r="E379" s="9" t="str">
        <f t="shared" si="2"/>
        <v>data:image/svg+xml,%3csvg xmlns='http://www.w3.org/2000/svg' viewBox='0 0 24 216'%3e%3ctext fill='%23fff' style='font: 900 16px sans-serif' text-anchor='end' transform='matrix(0 -1 1 0 18 5)'%3eChocolate Milk%3c/text%3e%3c/svg%3e</v>
      </c>
      <c r="F379" s="14" t="str">
        <f t="shared" si="3"/>
        <v>https://svgtext.heliohost.us/cgi-bin/gen.perl?text=Chocolate%20Milk</v>
      </c>
      <c r="G379" s="11" t="str">
        <f t="shared" si="4"/>
        <v>data:image/svg+xml,%3csvg xmlns='http://www.w3.org/2000/svg' viewBox='0 0 24 216'%3e%3ctext fill='%23fff' style='font: 900 16px sans-serif' text-anchor='end' transform='matrix(0 -1 1 0 18 5)'%3eChocolate Milk%3c/text%3e%3c/svg%3e</v>
      </c>
      <c r="H379" s="8" t="s">
        <v>42</v>
      </c>
      <c r="I379" s="8">
        <f t="shared" ref="I379:J379" si="380">len(B379)</f>
        <v>14</v>
      </c>
      <c r="J379" s="8">
        <f t="shared" si="380"/>
        <v>33</v>
      </c>
      <c r="K379" s="8" t="s">
        <v>2860</v>
      </c>
    </row>
    <row r="380">
      <c r="A380" s="7" t="b">
        <v>0</v>
      </c>
      <c r="B380" s="8" t="s">
        <v>2861</v>
      </c>
      <c r="C380" s="7" t="s">
        <v>2862</v>
      </c>
      <c r="D380" s="8" t="str">
        <f>Q&amp;$K380&amp;Q&amp;":{"&amp;Q&amp;$B$2&amp;Q&amp;":"&amp;Q&amp;$B380&amp;Q&amp;","&amp;Q&amp;$C$2&amp;Q&amp;":"&amp;Q&amp;$C380&amp;Q&amp;","&amp;Q&amp;"sets"&amp;Q&amp;":"&amp;Q&amp;substitute(SUBSTITUTE($H380,"[",""),"]","")&amp;Q&amp;"},"</f>
        <v>"xpsg":{"label":"Choir Boys","extra":"They sound angelic, but…","sets":"Expansion Set 2, Party Set"},</v>
      </c>
      <c r="E380" s="9" t="str">
        <f t="shared" si="2"/>
        <v>data:image/svg+xml,%3csvg xmlns='http://www.w3.org/2000/svg' viewBox='0 0 24 216'%3e%3ctext fill='%23fff' style='font: 900 16px sans-serif' text-anchor='end' transform='matrix(0 -1 1 0 18 5)'%3eChoir Boys%3c/text%3e%3c/svg%3e</v>
      </c>
      <c r="F380" s="14" t="str">
        <f t="shared" si="3"/>
        <v>https://svgtext.heliohost.us/cgi-bin/gen.perl?text=Choir%20Boys</v>
      </c>
      <c r="G380" s="11" t="str">
        <f t="shared" si="4"/>
        <v>data:image/svg+xml,%3csvg xmlns='http://www.w3.org/2000/svg' viewBox='0 0 24 216'%3e%3ctext fill='%23fff' style='font: 900 16px sans-serif' text-anchor='end' transform='matrix(0 -1 1 0 18 5)'%3eChoir Boys%3c/text%3e%3c/svg%3e</v>
      </c>
      <c r="H380" s="8" t="s">
        <v>17</v>
      </c>
      <c r="I380" s="8">
        <f t="shared" ref="I380:J380" si="381">len(B380)</f>
        <v>10</v>
      </c>
      <c r="J380" s="8">
        <f t="shared" si="381"/>
        <v>24</v>
      </c>
      <c r="K380" s="8" t="s">
        <v>2863</v>
      </c>
    </row>
    <row r="381">
      <c r="A381" s="7" t="b">
        <v>1</v>
      </c>
      <c r="B381" s="8" t="s">
        <v>2864</v>
      </c>
      <c r="C381" s="8" t="s">
        <v>2865</v>
      </c>
      <c r="D381" s="8" t="str">
        <f>Q&amp;$K381&amp;Q&amp;":{"&amp;Q&amp;$B$2&amp;Q&amp;":"&amp;Q&amp;$B381&amp;Q&amp;","&amp;Q&amp;$C$2&amp;Q&amp;":"&amp;Q&amp;$C381&amp;Q&amp;","&amp;Q&amp;"sets"&amp;Q&amp;":"&amp;Q&amp;substitute(SUBSTITUTE($H381,"[",""),"]","")&amp;Q&amp;"},"</f>
        <v>"buhm":{"label":"Chopsticks","extra":"A pair of small, slender sticks used for eating. Just try eating peas.","sets":"Junior 9+ (2nd)"},</v>
      </c>
      <c r="E381" s="9" t="str">
        <f t="shared" si="2"/>
        <v>data:image/svg+xml,%3csvg xmlns='http://www.w3.org/2000/svg' viewBox='0 0 24 216'%3e%3ctext fill='%23fff' style='font: 900 16px sans-serif' text-anchor='end' transform='matrix(0 -1 1 0 18 5)'%3eChopsticks%3c/text%3e%3c/svg%3e</v>
      </c>
      <c r="F381" s="14" t="str">
        <f t="shared" si="3"/>
        <v>https://svgtext.heliohost.us/cgi-bin/gen.perl?text=Chopsticks</v>
      </c>
      <c r="G381" s="11" t="str">
        <f t="shared" si="4"/>
        <v>data:image/svg+xml,%3csvg xmlns='http://www.w3.org/2000/svg' viewBox='0 0 24 216'%3e%3ctext fill='%23fff' style='font: 900 16px sans-serif' text-anchor='end' transform='matrix(0 -1 1 0 18 5)'%3eChopsticks%3c/text%3e%3c/svg%3e</v>
      </c>
      <c r="H381" s="8" t="s">
        <v>32</v>
      </c>
      <c r="I381" s="8">
        <f t="shared" ref="I381:J381" si="382">len(B381)</f>
        <v>10</v>
      </c>
      <c r="J381" s="8">
        <f t="shared" si="382"/>
        <v>70</v>
      </c>
      <c r="K381" s="8" t="s">
        <v>2866</v>
      </c>
    </row>
    <row r="382">
      <c r="A382" s="7" t="b">
        <v>0</v>
      </c>
      <c r="B382" s="8" t="s">
        <v>2867</v>
      </c>
      <c r="C382" s="8" t="s">
        <v>2868</v>
      </c>
      <c r="D382" s="8" t="str">
        <f>Q&amp;$K382&amp;Q&amp;":{"&amp;Q&amp;$B$2&amp;Q&amp;":"&amp;Q&amp;$B382&amp;Q&amp;","&amp;Q&amp;$C$2&amp;Q&amp;":"&amp;Q&amp;$C382&amp;Q&amp;","&amp;Q&amp;"sets"&amp;Q&amp;":"&amp;Q&amp;substitute(SUBSTITUTE($H382,"[",""),"]","")&amp;Q&amp;"},"</f>
        <v>"lpfz":{"label":"Chorus Girls","extra":"Long legs and high kicks!","sets":"Expansion Set 2, Party Set"},</v>
      </c>
      <c r="E382" s="9" t="str">
        <f t="shared" si="2"/>
        <v>data:image/svg+xml,%3csvg xmlns='http://www.w3.org/2000/svg' viewBox='0 0 24 216'%3e%3ctext fill='%23fff' style='font: 900 16px sans-serif' text-anchor='end' transform='matrix(0 -1 1 0 18 5)'%3eChorus Girls%3c/text%3e%3c/svg%3e</v>
      </c>
      <c r="F382" s="14" t="str">
        <f t="shared" si="3"/>
        <v>https://svgtext.heliohost.us/cgi-bin/gen.perl?text=Chorus%20Girls</v>
      </c>
      <c r="G382" s="11" t="str">
        <f t="shared" si="4"/>
        <v>data:image/svg+xml,%3csvg xmlns='http://www.w3.org/2000/svg' viewBox='0 0 24 216'%3e%3ctext fill='%23fff' style='font: 900 16px sans-serif' text-anchor='end' transform='matrix(0 -1 1 0 18 5)'%3eChorus Girls%3c/text%3e%3c/svg%3e</v>
      </c>
      <c r="H382" s="8" t="s">
        <v>17</v>
      </c>
      <c r="I382" s="8">
        <f t="shared" ref="I382:J382" si="383">len(B382)</f>
        <v>12</v>
      </c>
      <c r="J382" s="8">
        <f t="shared" si="383"/>
        <v>25</v>
      </c>
      <c r="K382" s="8" t="s">
        <v>2869</v>
      </c>
    </row>
    <row r="383">
      <c r="A383" s="7" t="b">
        <v>1</v>
      </c>
      <c r="B383" s="8" t="s">
        <v>2870</v>
      </c>
      <c r="C383" s="8" t="s">
        <v>2871</v>
      </c>
      <c r="D383" s="8" t="str">
        <f>Q&amp;$K383&amp;Q&amp;":{"&amp;Q&amp;$B$2&amp;Q&amp;":"&amp;Q&amp;$B383&amp;Q&amp;","&amp;Q&amp;$C$2&amp;Q&amp;":"&amp;Q&amp;$C383&amp;Q&amp;","&amp;Q&amp;"sets"&amp;Q&amp;":"&amp;Q&amp;substitute(SUBSTITUTE($H383,"[",""),"]","")&amp;Q&amp;"},"</f>
        <v>"ykxv":{"label":"Christmas","extra":"December 25th, a Christian holiday that is celebrated around the world.","sets":"Junior"},</v>
      </c>
      <c r="E383" s="9" t="str">
        <f t="shared" si="2"/>
        <v>data:image/svg+xml,%3csvg xmlns='http://www.w3.org/2000/svg' viewBox='0 0 24 216'%3e%3ctext fill='%23fff' style='font: 900 16px sans-serif' text-anchor='end' transform='matrix(0 -1 1 0 18 5)'%3eChristmas%3c/text%3e%3c/svg%3e</v>
      </c>
      <c r="F383" s="14" t="str">
        <f t="shared" si="3"/>
        <v>https://svgtext.heliohost.us/cgi-bin/gen.perl?text=Christmas</v>
      </c>
      <c r="G383" s="11" t="str">
        <f t="shared" si="4"/>
        <v>data:image/svg+xml,%3csvg xmlns='http://www.w3.org/2000/svg' viewBox='0 0 24 216'%3e%3ctext fill='%23fff' style='font: 900 16px sans-serif' text-anchor='end' transform='matrix(0 -1 1 0 18 5)'%3eChristmas%3c/text%3e%3c/svg%3e</v>
      </c>
      <c r="H383" s="8" t="s">
        <v>84</v>
      </c>
      <c r="I383" s="8">
        <f t="shared" ref="I383:J383" si="384">len(B383)</f>
        <v>9</v>
      </c>
      <c r="J383" s="8">
        <f t="shared" si="384"/>
        <v>71</v>
      </c>
      <c r="K383" s="8" t="s">
        <v>2872</v>
      </c>
    </row>
    <row r="384">
      <c r="A384" s="7" t="b">
        <v>1</v>
      </c>
      <c r="B384" s="8" t="s">
        <v>2873</v>
      </c>
      <c r="C384" s="7" t="s">
        <v>2874</v>
      </c>
      <c r="D384" s="8" t="str">
        <f>Q&amp;$K384&amp;Q&amp;":{"&amp;Q&amp;$B$2&amp;Q&amp;":"&amp;Q&amp;$B384&amp;Q&amp;","&amp;Q&amp;$C$2&amp;Q&amp;":"&amp;Q&amp;$C384&amp;Q&amp;","&amp;Q&amp;"sets"&amp;Q&amp;":"&amp;Q&amp;substitute(SUBSTITUTE($H384,"[",""),"]","")&amp;Q&amp;"},"</f>
        <v>"wfyi":{"label":"Churches","extra":"“Here is the church, and here is the steeple…”","sets":"Junior 9+ (2nd)"},</v>
      </c>
      <c r="E384" s="9" t="str">
        <f t="shared" si="2"/>
        <v>data:image/svg+xml,%3csvg xmlns='http://www.w3.org/2000/svg' viewBox='0 0 24 216'%3e%3ctext fill='%23fff' style='font: 900 16px sans-serif' text-anchor='end' transform='matrix(0 -1 1 0 18 5)'%3eChurches%3c/text%3e%3c/svg%3e</v>
      </c>
      <c r="F384" s="14" t="str">
        <f t="shared" si="3"/>
        <v>https://svgtext.heliohost.us/cgi-bin/gen.perl?text=Churches</v>
      </c>
      <c r="G384" s="11" t="str">
        <f t="shared" si="4"/>
        <v>data:image/svg+xml,%3csvg xmlns='http://www.w3.org/2000/svg' viewBox='0 0 24 216'%3e%3ctext fill='%23fff' style='font: 900 16px sans-serif' text-anchor='end' transform='matrix(0 -1 1 0 18 5)'%3eChurches%3c/text%3e%3c/svg%3e</v>
      </c>
      <c r="H384" s="8" t="s">
        <v>32</v>
      </c>
      <c r="I384" s="8">
        <f t="shared" ref="I384:J384" si="385">len(B384)</f>
        <v>8</v>
      </c>
      <c r="J384" s="8">
        <f t="shared" si="385"/>
        <v>46</v>
      </c>
      <c r="K384" s="8" t="s">
        <v>2875</v>
      </c>
    </row>
    <row r="385">
      <c r="A385" s="7" t="b">
        <v>1</v>
      </c>
      <c r="B385" s="8" t="s">
        <v>2876</v>
      </c>
      <c r="C385" s="7" t="s">
        <v>2877</v>
      </c>
      <c r="D385" s="8" t="str">
        <f>Q&amp;$K385&amp;Q&amp;":{"&amp;Q&amp;$B$2&amp;Q&amp;":"&amp;Q&amp;$B385&amp;Q&amp;","&amp;Q&amp;$C$2&amp;Q&amp;":"&amp;Q&amp;$C385&amp;Q&amp;","&amp;Q&amp;"sets"&amp;Q&amp;":"&amp;Q&amp;substitute(SUBSTITUTE($H385,"[",""),"]","")&amp;Q&amp;"},"</f>
        <v>"qhee":{"label":"Chutes &amp; Ladders","extra":"A game of ups and downs.","sets":"Expansion Set 4, Party Expansion 1"},</v>
      </c>
      <c r="E385" s="9" t="str">
        <f t="shared" si="2"/>
        <v>data:image/svg+xml,%3csvg xmlns='http://www.w3.org/2000/svg' viewBox='0 0 24 216'%3e%3ctext fill='%23fff' style='font: 900 16px sans-serif' text-anchor='end' transform='matrix(0 -1 1 0 18 5)'%3eChutes %26amp%3B Ladders%3c/text%3e%3c/svg%3e</v>
      </c>
      <c r="F385" s="14" t="str">
        <f t="shared" si="3"/>
        <v>https://svgtext.heliohost.us/cgi-bin/gen.perl?text=Chutes%20%26%20Ladders</v>
      </c>
      <c r="G385" s="11" t="str">
        <f t="shared" si="4"/>
        <v>data:image/svg+xml,%3csvg xmlns='http://www.w3.org/2000/svg' viewBox='0 0 24 216'%3e%3ctext fill='%23fff' style='font: 900 16px sans-serif' text-anchor='end' transform='matrix(0 -1 1 0 18 5)'%3eChutes %26amp%3B Ladders%3c/text%3e%3c/svg%3e</v>
      </c>
      <c r="H385" s="8" t="s">
        <v>63</v>
      </c>
      <c r="I385" s="8">
        <f t="shared" ref="I385:J385" si="386">len(B385)</f>
        <v>16</v>
      </c>
      <c r="J385" s="8">
        <f t="shared" si="386"/>
        <v>24</v>
      </c>
      <c r="K385" s="8" t="s">
        <v>2878</v>
      </c>
    </row>
    <row r="386">
      <c r="A386" s="7" t="b">
        <v>0</v>
      </c>
      <c r="B386" s="8" t="s">
        <v>2879</v>
      </c>
      <c r="C386" s="8" t="s">
        <v>2880</v>
      </c>
      <c r="D386" s="8" t="str">
        <f>Q&amp;$K386&amp;Q&amp;":{"&amp;Q&amp;$B$2&amp;Q&amp;":"&amp;Q&amp;$B386&amp;Q&amp;","&amp;Q&amp;$C$2&amp;Q&amp;":"&amp;Q&amp;$C386&amp;Q&amp;","&amp;Q&amp;"sets"&amp;Q&amp;":"&amp;Q&amp;substitute(SUBSTITUTE($H386,"[",""),"]","")&amp;Q&amp;"},"</f>
        <v>"uqud":{"label":"Cigarette Burns","extra":"Another reason to give up smoking.","sets":"Expansion Set 2, Party Set"},</v>
      </c>
      <c r="E386" s="9" t="str">
        <f t="shared" si="2"/>
        <v>data:image/svg+xml,%3csvg xmlns='http://www.w3.org/2000/svg' viewBox='0 0 24 216'%3e%3ctext fill='%23fff' style='font: 900 16px sans-serif' text-anchor='end' transform='matrix(0 -1 1 0 18 5)'%3eCigarette Burns%3c/text%3e%3c/svg%3e</v>
      </c>
      <c r="F386" s="14" t="str">
        <f t="shared" si="3"/>
        <v>https://svgtext.heliohost.us/cgi-bin/gen.perl?text=Cigarette%20Burns</v>
      </c>
      <c r="G386" s="11" t="str">
        <f t="shared" si="4"/>
        <v>data:image/svg+xml,%3csvg xmlns='http://www.w3.org/2000/svg' viewBox='0 0 24 216'%3e%3ctext fill='%23fff' style='font: 900 16px sans-serif' text-anchor='end' transform='matrix(0 -1 1 0 18 5)'%3eCigarette Burns%3c/text%3e%3c/svg%3e</v>
      </c>
      <c r="H386" s="8" t="s">
        <v>17</v>
      </c>
      <c r="I386" s="8">
        <f t="shared" ref="I386:J386" si="387">len(B386)</f>
        <v>15</v>
      </c>
      <c r="J386" s="8">
        <f t="shared" si="387"/>
        <v>34</v>
      </c>
      <c r="K386" s="8" t="s">
        <v>2881</v>
      </c>
    </row>
    <row r="387">
      <c r="A387" s="7" t="b">
        <v>0</v>
      </c>
      <c r="B387" s="8" t="s">
        <v>2882</v>
      </c>
      <c r="C387" s="8" t="s">
        <v>2883</v>
      </c>
      <c r="D387" s="8" t="str">
        <f>Q&amp;$K387&amp;Q&amp;":{"&amp;Q&amp;$B$2&amp;Q&amp;":"&amp;Q&amp;$B387&amp;Q&amp;","&amp;Q&amp;$C$2&amp;Q&amp;":"&amp;Q&amp;$C387&amp;Q&amp;","&amp;Q&amp;"sets"&amp;Q&amp;":"&amp;Q&amp;substitute(SUBSTITUTE($H387,"[",""),"]","")&amp;Q&amp;"},"</f>
        <v>"kjpw":{"label":"Cigarettes","extra":"Mind if I smoke?","sets":"Basic Set, Party Set"},</v>
      </c>
      <c r="E387" s="9" t="str">
        <f t="shared" si="2"/>
        <v>data:image/svg+xml,%3csvg xmlns='http://www.w3.org/2000/svg' viewBox='0 0 24 216'%3e%3ctext fill='%23fff' style='font: 900 16px sans-serif' text-anchor='end' transform='matrix(0 -1 1 0 18 5)'%3eCigarettes%3c/text%3e%3c/svg%3e</v>
      </c>
      <c r="F387" s="14" t="str">
        <f t="shared" si="3"/>
        <v>https://svgtext.heliohost.us/cgi-bin/gen.perl?text=Cigarettes</v>
      </c>
      <c r="G387" s="11" t="str">
        <f t="shared" si="4"/>
        <v>data:image/svg+xml,%3csvg xmlns='http://www.w3.org/2000/svg' viewBox='0 0 24 216'%3e%3ctext fill='%23fff' style='font: 900 16px sans-serif' text-anchor='end' transform='matrix(0 -1 1 0 18 5)'%3eCigarettes%3c/text%3e%3c/svg%3e</v>
      </c>
      <c r="H387" s="8" t="s">
        <v>29</v>
      </c>
      <c r="I387" s="8">
        <f t="shared" ref="I387:J387" si="388">len(B387)</f>
        <v>10</v>
      </c>
      <c r="J387" s="8">
        <f t="shared" si="388"/>
        <v>16</v>
      </c>
      <c r="K387" s="8" t="s">
        <v>2884</v>
      </c>
    </row>
    <row r="388">
      <c r="A388" s="7" t="b">
        <v>0</v>
      </c>
      <c r="B388" s="8" t="s">
        <v>2885</v>
      </c>
      <c r="C388" s="8" t="s">
        <v>2886</v>
      </c>
      <c r="D388" s="8" t="str">
        <f>Q&amp;$K388&amp;Q&amp;":{"&amp;Q&amp;$B$2&amp;Q&amp;":"&amp;Q&amp;$B388&amp;Q&amp;","&amp;Q&amp;$C$2&amp;Q&amp;":"&amp;Q&amp;$C388&amp;Q&amp;","&amp;Q&amp;"sets"&amp;Q&amp;":"&amp;Q&amp;substitute(SUBSTITUTE($H388,"[",""),"]","")&amp;Q&amp;"},"</f>
        <v>"jswg":{"label":"Cinco de Mayo","extra":"Marks the victory of the Mexican Army over the French at the Battle of Puebla, in 1862.","sets":"Basic Set, Party Set"},</v>
      </c>
      <c r="E388" s="9" t="str">
        <f t="shared" si="2"/>
        <v>data:image/svg+xml,%3csvg xmlns='http://www.w3.org/2000/svg' viewBox='0 0 24 216'%3e%3ctext fill='%23fff' style='font: 900 16px sans-serif' text-anchor='end' transform='matrix(0 -1 1 0 18 5)'%3eCinco de Mayo%3c/text%3e%3c/svg%3e</v>
      </c>
      <c r="F388" s="14" t="str">
        <f t="shared" si="3"/>
        <v>https://svgtext.heliohost.us/cgi-bin/gen.perl?text=Cinco%20de%20Mayo</v>
      </c>
      <c r="G388" s="11" t="str">
        <f t="shared" si="4"/>
        <v>data:image/svg+xml,%3csvg xmlns='http://www.w3.org/2000/svg' viewBox='0 0 24 216'%3e%3ctext fill='%23fff' style='font: 900 16px sans-serif' text-anchor='end' transform='matrix(0 -1 1 0 18 5)'%3eCinco de Mayo%3c/text%3e%3c/svg%3e</v>
      </c>
      <c r="H388" s="8" t="s">
        <v>29</v>
      </c>
      <c r="I388" s="8">
        <f t="shared" ref="I388:J388" si="389">len(B388)</f>
        <v>13</v>
      </c>
      <c r="J388" s="8">
        <f t="shared" si="389"/>
        <v>87</v>
      </c>
      <c r="K388" s="8" t="s">
        <v>2887</v>
      </c>
    </row>
    <row r="389">
      <c r="A389" s="7" t="b">
        <v>1</v>
      </c>
      <c r="B389" s="8" t="s">
        <v>2888</v>
      </c>
      <c r="C389" s="8" t="s">
        <v>2889</v>
      </c>
      <c r="D389" s="8" t="str">
        <f>Q&amp;$K389&amp;Q&amp;":{"&amp;Q&amp;$B$2&amp;Q&amp;":"&amp;Q&amp;$B389&amp;Q&amp;","&amp;Q&amp;$C$2&amp;Q&amp;":"&amp;Q&amp;$C389&amp;Q&amp;","&amp;Q&amp;"sets"&amp;Q&amp;":"&amp;Q&amp;substitute(SUBSTITUTE($H389,"[",""),"]","")&amp;Q&amp;"},"</f>
        <v>"qadr":{"label":"Cinderella","extra":"A storybook character who is helped by her fairy godmother. Bibbidi-bobbidi-boo!","sets":"Junior"},</v>
      </c>
      <c r="E389" s="9" t="str">
        <f t="shared" si="2"/>
        <v>data:image/svg+xml,%3csvg xmlns='http://www.w3.org/2000/svg' viewBox='0 0 24 216'%3e%3ctext fill='%23fff' style='font: 900 16px sans-serif' text-anchor='end' transform='matrix(0 -1 1 0 18 5)'%3eCinderella%3c/text%3e%3c/svg%3e</v>
      </c>
      <c r="F389" s="14" t="str">
        <f t="shared" si="3"/>
        <v>https://svgtext.heliohost.us/cgi-bin/gen.perl?text=Cinderella</v>
      </c>
      <c r="G389" s="11" t="str">
        <f t="shared" si="4"/>
        <v>data:image/svg+xml,%3csvg xmlns='http://www.w3.org/2000/svg' viewBox='0 0 24 216'%3e%3ctext fill='%23fff' style='font: 900 16px sans-serif' text-anchor='end' transform='matrix(0 -1 1 0 18 5)'%3eCinderella%3c/text%3e%3c/svg%3e</v>
      </c>
      <c r="H389" s="8" t="s">
        <v>84</v>
      </c>
      <c r="I389" s="8">
        <f t="shared" ref="I389:J389" si="390">len(B389)</f>
        <v>10</v>
      </c>
      <c r="J389" s="8">
        <f t="shared" si="390"/>
        <v>80</v>
      </c>
      <c r="K389" s="8" t="s">
        <v>2890</v>
      </c>
    </row>
    <row r="390">
      <c r="A390" s="7" t="b">
        <v>0</v>
      </c>
      <c r="B390" s="8" t="s">
        <v>2891</v>
      </c>
      <c r="C390" s="8" t="s">
        <v>2892</v>
      </c>
      <c r="D390" s="8" t="str">
        <f>Q&amp;$K390&amp;Q&amp;":{"&amp;Q&amp;$B$2&amp;Q&amp;":"&amp;Q&amp;$B390&amp;Q&amp;","&amp;Q&amp;$C$2&amp;Q&amp;":"&amp;Q&amp;$C390&amp;Q&amp;","&amp;Q&amp;"sets"&amp;Q&amp;":"&amp;Q&amp;substitute(SUBSTITUTE($H390,"[",""),"]","")&amp;Q&amp;"},"</f>
        <v>"qscl":{"label":"Cindy Crawford","extra":"1966-, American Supermodel. What dreams are made of.","sets":"Basic Set, Party Set"},</v>
      </c>
      <c r="E390" s="9" t="str">
        <f t="shared" si="2"/>
        <v>data:image/svg+xml,%3csvg xmlns='http://www.w3.org/2000/svg' viewBox='0 0 24 216'%3e%3ctext fill='%23fff' style='font: 900 16px sans-serif' text-anchor='end' transform='matrix(0 -1 1 0 18 5)'%3eCindy Crawford%3c/text%3e%3c/svg%3e</v>
      </c>
      <c r="F390" s="14" t="str">
        <f t="shared" si="3"/>
        <v>https://svgtext.heliohost.us/cgi-bin/gen.perl?text=Cindy%20Crawford</v>
      </c>
      <c r="G390" s="11" t="str">
        <f t="shared" si="4"/>
        <v>data:image/svg+xml,%3csvg xmlns='http://www.w3.org/2000/svg' viewBox='0 0 24 216'%3e%3ctext fill='%23fff' style='font: 900 16px sans-serif' text-anchor='end' transform='matrix(0 -1 1 0 18 5)'%3eCindy Crawford%3c/text%3e%3c/svg%3e</v>
      </c>
      <c r="H390" s="8" t="s">
        <v>29</v>
      </c>
      <c r="I390" s="8">
        <f t="shared" ref="I390:J390" si="391">len(B390)</f>
        <v>14</v>
      </c>
      <c r="J390" s="8">
        <f t="shared" si="391"/>
        <v>52</v>
      </c>
      <c r="K390" s="8" t="s">
        <v>2893</v>
      </c>
    </row>
    <row r="391">
      <c r="A391" s="7" t="b">
        <v>1</v>
      </c>
      <c r="B391" s="8" t="s">
        <v>2894</v>
      </c>
      <c r="C391" s="7" t="s">
        <v>2895</v>
      </c>
      <c r="D391" s="8" t="str">
        <f>Q&amp;$K391&amp;Q&amp;":{"&amp;Q&amp;$B$2&amp;Q&amp;":"&amp;Q&amp;$B391&amp;Q&amp;","&amp;Q&amp;$C$2&amp;Q&amp;":"&amp;Q&amp;$C391&amp;Q&amp;","&amp;Q&amp;"sets"&amp;Q&amp;":"&amp;Q&amp;substitute(SUBSTITUTE($H391,"[",""),"]","")&amp;Q&amp;"},"</f>
        <v>"banc":{"label":"Circus Peanuts","extra":"Chewy, orange marshmallow things shaped like peanuts. Seldom found at the circus.","sets":"Expansion Set 3, Party Expansion 1"},</v>
      </c>
      <c r="E391" s="9" t="str">
        <f t="shared" si="2"/>
        <v>data:image/svg+xml,%3csvg xmlns='http://www.w3.org/2000/svg' viewBox='0 0 24 216'%3e%3ctext fill='%23fff' style='font: 900 16px sans-serif' text-anchor='end' transform='matrix(0 -1 1 0 18 5)'%3eCircus Peanuts%3c/text%3e%3c/svg%3e</v>
      </c>
      <c r="F391" s="14" t="str">
        <f t="shared" si="3"/>
        <v>https://svgtext.heliohost.us/cgi-bin/gen.perl?text=Circus%20Peanuts</v>
      </c>
      <c r="G391" s="11" t="str">
        <f t="shared" si="4"/>
        <v>data:image/svg+xml,%3csvg xmlns='http://www.w3.org/2000/svg' viewBox='0 0 24 216'%3e%3ctext fill='%23fff' style='font: 900 16px sans-serif' text-anchor='end' transform='matrix(0 -1 1 0 18 5)'%3eCircus Peanuts%3c/text%3e%3c/svg%3e</v>
      </c>
      <c r="H391" s="8" t="s">
        <v>39</v>
      </c>
      <c r="I391" s="8">
        <f t="shared" ref="I391:J391" si="392">len(B391)</f>
        <v>14</v>
      </c>
      <c r="J391" s="8">
        <f t="shared" si="392"/>
        <v>81</v>
      </c>
      <c r="K391" s="8" t="s">
        <v>2896</v>
      </c>
    </row>
    <row r="392">
      <c r="A392" s="7" t="b">
        <v>0</v>
      </c>
      <c r="B392" s="8" t="s">
        <v>2897</v>
      </c>
      <c r="C392" s="7" t="s">
        <v>2898</v>
      </c>
      <c r="D392" s="8" t="str">
        <f>Q&amp;$K392&amp;Q&amp;":{"&amp;Q&amp;$B$2&amp;Q&amp;":"&amp;Q&amp;$B392&amp;Q&amp;","&amp;Q&amp;$C$2&amp;Q&amp;":"&amp;Q&amp;$C392&amp;Q&amp;","&amp;Q&amp;"sets"&amp;Q&amp;":"&amp;Q&amp;substitute(SUBSTITUTE($H392,"[",""),"]","")&amp;Q&amp;"},"</f>
        <v>"kj{g":{"label":"Clark Gable","extra":"1901-60, American film actor, noted as a romantic lead. Frankly, my dear, he didn’t give a damn.","sets":"Basic Set, Party Set"},</v>
      </c>
      <c r="E392" s="9" t="str">
        <f t="shared" si="2"/>
        <v>data:image/svg+xml,%3csvg xmlns='http://www.w3.org/2000/svg' viewBox='0 0 24 216'%3e%3ctext fill='%23fff' style='font: 900 16px sans-serif' text-anchor='end' transform='matrix(0 -1 1 0 18 5)'%3eClark Gable%3c/text%3e%3c/svg%3e</v>
      </c>
      <c r="F392" s="14" t="str">
        <f t="shared" si="3"/>
        <v>https://svgtext.heliohost.us/cgi-bin/gen.perl?text=Clark%20Gable</v>
      </c>
      <c r="G392" s="11" t="str">
        <f t="shared" si="4"/>
        <v>data:image/svg+xml,%3csvg xmlns='http://www.w3.org/2000/svg' viewBox='0 0 24 216'%3e%3ctext fill='%23fff' style='font: 900 16px sans-serif' text-anchor='end' transform='matrix(0 -1 1 0 18 5)'%3eClark Gable%3c/text%3e%3c/svg%3e</v>
      </c>
      <c r="H392" s="8" t="s">
        <v>29</v>
      </c>
      <c r="I392" s="8">
        <f t="shared" ref="I392:J392" si="393">len(B392)</f>
        <v>11</v>
      </c>
      <c r="J392" s="8">
        <f t="shared" si="393"/>
        <v>96</v>
      </c>
      <c r="K392" s="8" t="s">
        <v>2899</v>
      </c>
    </row>
    <row r="393">
      <c r="A393" s="7" t="b">
        <v>0</v>
      </c>
      <c r="B393" s="8" t="s">
        <v>2900</v>
      </c>
      <c r="C393" s="8" t="s">
        <v>2901</v>
      </c>
      <c r="D393" s="8" t="str">
        <f>Q&amp;$K393&amp;Q&amp;":{"&amp;Q&amp;$B$2&amp;Q&amp;":"&amp;Q&amp;$B393&amp;Q&amp;","&amp;Q&amp;$C$2&amp;Q&amp;":"&amp;Q&amp;$C393&amp;Q&amp;","&amp;Q&amp;"sets"&amp;Q&amp;":"&amp;Q&amp;substitute(SUBSTITUTE($H393,"[",""),"]","")&amp;Q&amp;"},"</f>
        <v>"yxcb":{"label":"Claude Monet","extra":"1840-1926, French painter, regarded as one of the leaders on the impressionist movement.","sets":"Basic Set, Party Set"},</v>
      </c>
      <c r="E393" s="9" t="str">
        <f t="shared" si="2"/>
        <v>data:image/svg+xml,%3csvg xmlns='http://www.w3.org/2000/svg' viewBox='0 0 24 216'%3e%3ctext fill='%23fff' style='font: 900 16px sans-serif' text-anchor='end' transform='matrix(0 -1 1 0 18 5)'%3eClaude Monet%3c/text%3e%3c/svg%3e</v>
      </c>
      <c r="F393" s="14" t="str">
        <f t="shared" si="3"/>
        <v>https://svgtext.heliohost.us/cgi-bin/gen.perl?text=Claude%20Monet</v>
      </c>
      <c r="G393" s="11" t="str">
        <f t="shared" si="4"/>
        <v>data:image/svg+xml,%3csvg xmlns='http://www.w3.org/2000/svg' viewBox='0 0 24 216'%3e%3ctext fill='%23fff' style='font: 900 16px sans-serif' text-anchor='end' transform='matrix(0 -1 1 0 18 5)'%3eClaude Monet%3c/text%3e%3c/svg%3e</v>
      </c>
      <c r="H393" s="8" t="s">
        <v>29</v>
      </c>
      <c r="I393" s="8">
        <f t="shared" ref="I393:J393" si="394">len(B393)</f>
        <v>12</v>
      </c>
      <c r="J393" s="8">
        <f t="shared" si="394"/>
        <v>88</v>
      </c>
      <c r="K393" s="8" t="s">
        <v>2902</v>
      </c>
    </row>
    <row r="394">
      <c r="A394" s="7" t="b">
        <v>1</v>
      </c>
      <c r="B394" s="8" t="s">
        <v>2903</v>
      </c>
      <c r="C394" s="8" t="s">
        <v>2904</v>
      </c>
      <c r="D394" s="8" t="str">
        <f>Q&amp;$K394&amp;Q&amp;":{"&amp;Q&amp;$B$2&amp;Q&amp;":"&amp;Q&amp;$B394&amp;Q&amp;","&amp;Q&amp;$C$2&amp;Q&amp;":"&amp;Q&amp;$C394&amp;Q&amp;","&amp;Q&amp;"sets"&amp;Q&amp;":"&amp;Q&amp;substitute(SUBSTITUTE($H394,"[",""),"]","")&amp;Q&amp;"},"</f>
        <v>"mxic":{"label":"Clay","extra":"The oven where pottery is hardened is called a kiln.","sets":"Junior 9+ (1st) &amp; (2nd)"},</v>
      </c>
      <c r="E394" s="9" t="str">
        <f t="shared" si="2"/>
        <v>data:image/svg+xml,%3csvg xmlns='http://www.w3.org/2000/svg' viewBox='0 0 24 216'%3e%3ctext fill='%23fff' style='font: 900 16px sans-serif' text-anchor='end' transform='matrix(0 -1 1 0 18 5)'%3eClay%3c/text%3e%3c/svg%3e</v>
      </c>
      <c r="F394" s="14" t="str">
        <f t="shared" si="3"/>
        <v>https://svgtext.heliohost.us/cgi-bin/gen.perl?text=Clay</v>
      </c>
      <c r="G394" s="11" t="str">
        <f t="shared" si="4"/>
        <v>data:image/svg+xml,%3csvg xmlns='http://www.w3.org/2000/svg' viewBox='0 0 24 216'%3e%3ctext fill='%23fff' style='font: 900 16px sans-serif' text-anchor='end' transform='matrix(0 -1 1 0 18 5)'%3eClay%3c/text%3e%3c/svg%3e</v>
      </c>
      <c r="H394" s="8" t="s">
        <v>42</v>
      </c>
      <c r="I394" s="8">
        <f t="shared" ref="I394:J394" si="395">len(B394)</f>
        <v>4</v>
      </c>
      <c r="J394" s="8">
        <f t="shared" si="395"/>
        <v>52</v>
      </c>
      <c r="K394" s="8" t="s">
        <v>2905</v>
      </c>
    </row>
    <row r="395">
      <c r="A395" s="7" t="b">
        <v>0</v>
      </c>
      <c r="B395" s="8" t="s">
        <v>2906</v>
      </c>
      <c r="C395" s="8" t="s">
        <v>2907</v>
      </c>
      <c r="D395" s="8" t="str">
        <f>Q&amp;$K395&amp;Q&amp;":{"&amp;Q&amp;$B$2&amp;Q&amp;":"&amp;Q&amp;$B395&amp;Q&amp;","&amp;Q&amp;$C$2&amp;Q&amp;":"&amp;Q&amp;$C395&amp;Q&amp;","&amp;Q&amp;"sets"&amp;Q&amp;":"&amp;Q&amp;substitute(SUBSTITUTE($H395,"[",""),"]","")&amp;Q&amp;"},"</f>
        <v>"zhmv":{"label":"Cleaning The Bathroom","extra":"It's YOUR turn!","sets":"Expansion Set 2, Party Set"},</v>
      </c>
      <c r="E395" s="9" t="str">
        <f t="shared" si="2"/>
        <v>data:image/svg+xml,%3csvg xmlns='http://www.w3.org/2000/svg' viewBox='0 0 24 216'%3e%3ctext fill='%23fff' style='font: 900 16px sans-serif' text-anchor='end' transform='matrix(0 -1 1 0 18 5)'%3eCleaning The Bathroom%3c/text%3e%3c/svg%3e</v>
      </c>
      <c r="F395" s="14" t="str">
        <f t="shared" si="3"/>
        <v>https://svgtext.heliohost.us/cgi-bin/gen.perl?text=Cleaning%20The%20Bathroom</v>
      </c>
      <c r="G395" s="11" t="str">
        <f t="shared" si="4"/>
        <v>data:image/svg+xml,%3csvg xmlns='http://www.w3.org/2000/svg' viewBox='0 0 24 216'%3e%3ctext fill='%23fff' style='font: 900 16px sans-serif' text-anchor='end' transform='matrix(0 -1 1 0 18 5)'%3eCleaning The Bathroom%3c/text%3e%3c/svg%3e</v>
      </c>
      <c r="H395" s="8" t="s">
        <v>17</v>
      </c>
      <c r="I395" s="8">
        <f t="shared" ref="I395:J395" si="396">len(B395)</f>
        <v>21</v>
      </c>
      <c r="J395" s="8">
        <f t="shared" si="396"/>
        <v>15</v>
      </c>
      <c r="K395" s="8" t="s">
        <v>2908</v>
      </c>
    </row>
    <row r="396">
      <c r="A396" s="7" t="b">
        <v>1</v>
      </c>
      <c r="B396" s="8" t="s">
        <v>2909</v>
      </c>
      <c r="C396" s="7" t="s">
        <v>2910</v>
      </c>
      <c r="D396" s="8" t="str">
        <f>Q&amp;$K396&amp;Q&amp;":{"&amp;Q&amp;$B$2&amp;Q&amp;":"&amp;Q&amp;$B396&amp;Q&amp;","&amp;Q&amp;$C$2&amp;Q&amp;":"&amp;Q&amp;$C396&amp;Q&amp;","&amp;Q&amp;"sets"&amp;Q&amp;":"&amp;Q&amp;substitute(SUBSTITUTE($H396,"[",""),"]","")&amp;Q&amp;"},"</f>
        <v>"qrqh":{"label":"Cleaning Your Room","extra":"It’s no fun, but you have to do it.","sets":"Junior"},</v>
      </c>
      <c r="E396" s="9" t="str">
        <f t="shared" si="2"/>
        <v>data:image/svg+xml,%3csvg xmlns='http://www.w3.org/2000/svg' viewBox='0 0 24 216'%3e%3ctext fill='%23fff' style='font: 900 16px sans-serif' text-anchor='end' transform='matrix(0 -1 1 0 18 5)'%3eCleaning Your Room%3c/text%3e%3c/svg%3e</v>
      </c>
      <c r="F396" s="14" t="str">
        <f t="shared" si="3"/>
        <v>https://svgtext.heliohost.us/cgi-bin/gen.perl?text=Cleaning%20Your%20Room</v>
      </c>
      <c r="G396" s="11" t="str">
        <f t="shared" si="4"/>
        <v>data:image/svg+xml,%3csvg xmlns='http://www.w3.org/2000/svg' viewBox='0 0 24 216'%3e%3ctext fill='%23fff' style='font: 900 16px sans-serif' text-anchor='end' transform='matrix(0 -1 1 0 18 5)'%3eCleaning Your Room%3c/text%3e%3c/svg%3e</v>
      </c>
      <c r="H396" s="8" t="s">
        <v>84</v>
      </c>
      <c r="I396" s="8">
        <f t="shared" ref="I396:J396" si="397">len(B396)</f>
        <v>18</v>
      </c>
      <c r="J396" s="8">
        <f t="shared" si="397"/>
        <v>35</v>
      </c>
      <c r="K396" s="8" t="s">
        <v>2911</v>
      </c>
    </row>
    <row r="397">
      <c r="A397" s="7" t="b">
        <v>0</v>
      </c>
      <c r="B397" s="8" t="s">
        <v>2912</v>
      </c>
      <c r="C397" s="8" t="s">
        <v>2913</v>
      </c>
      <c r="D397" s="8" t="str">
        <f>Q&amp;$K397&amp;Q&amp;":{"&amp;Q&amp;$B$2&amp;Q&amp;":"&amp;Q&amp;$B397&amp;Q&amp;","&amp;Q&amp;$C$2&amp;Q&amp;":"&amp;Q&amp;$C397&amp;Q&amp;","&amp;Q&amp;"sets"&amp;Q&amp;":"&amp;Q&amp;substitute(SUBSTITUTE($H397,"[",""),"]","")&amp;Q&amp;"},"</f>
        <v>"bnmh":{"label":"Cleopatra","extra":"c. 69-30 BC, Queen of Egypt, noted for love affairs with Julius Caesar and Mark Antony, which came back to bite her in the asp.","sets":"Basic Set, Party Set"},</v>
      </c>
      <c r="E397" s="9" t="str">
        <f t="shared" si="2"/>
        <v>data:image/svg+xml,%3csvg xmlns='http://www.w3.org/2000/svg' viewBox='0 0 24 216'%3e%3ctext fill='%23fff' style='font: 900 16px sans-serif' text-anchor='end' transform='matrix(0 -1 1 0 18 5)'%3eCleopatra%3c/text%3e%3c/svg%3e</v>
      </c>
      <c r="F397" s="14" t="str">
        <f t="shared" si="3"/>
        <v>https://svgtext.heliohost.us/cgi-bin/gen.perl?text=Cleopatra</v>
      </c>
      <c r="G397" s="11" t="str">
        <f t="shared" si="4"/>
        <v>data:image/svg+xml,%3csvg xmlns='http://www.w3.org/2000/svg' viewBox='0 0 24 216'%3e%3ctext fill='%23fff' style='font: 900 16px sans-serif' text-anchor='end' transform='matrix(0 -1 1 0 18 5)'%3eCleopatra%3c/text%3e%3c/svg%3e</v>
      </c>
      <c r="H397" s="8" t="s">
        <v>29</v>
      </c>
      <c r="I397" s="8">
        <f t="shared" ref="I397:J397" si="398">len(B397)</f>
        <v>9</v>
      </c>
      <c r="J397" s="8">
        <f t="shared" si="398"/>
        <v>127</v>
      </c>
      <c r="K397" s="8" t="s">
        <v>2914</v>
      </c>
    </row>
    <row r="398">
      <c r="A398" s="7" t="b">
        <v>0</v>
      </c>
      <c r="B398" s="8" t="s">
        <v>2915</v>
      </c>
      <c r="C398" s="7" t="s">
        <v>2916</v>
      </c>
      <c r="D398" s="8" t="str">
        <f>Q&amp;$K398&amp;Q&amp;":{"&amp;Q&amp;$B$2&amp;Q&amp;":"&amp;Q&amp;$B398&amp;Q&amp;","&amp;Q&amp;$C$2&amp;Q&amp;":"&amp;Q&amp;$C398&amp;Q&amp;","&amp;Q&amp;"sets"&amp;Q&amp;":"&amp;Q&amp;substitute(SUBSTITUTE($H398,"[",""),"]","")&amp;Q&amp;"},"</f>
        <v>"gobx":{"label":"Cleveland","extra":"“Cleveland rocks! Cleveland rocks!” —The Drew Carey Show","sets":"Expansion Set 3, Party Expansion 1"},</v>
      </c>
      <c r="E398" s="9" t="str">
        <f t="shared" si="2"/>
        <v>data:image/svg+xml,%3csvg xmlns='http://www.w3.org/2000/svg' viewBox='0 0 24 216'%3e%3ctext fill='%23fff' style='font: 900 16px sans-serif' text-anchor='end' transform='matrix(0 -1 1 0 18 5)'%3eCleveland%3c/text%3e%3c/svg%3e</v>
      </c>
      <c r="F398" s="14" t="str">
        <f t="shared" si="3"/>
        <v>https://svgtext.heliohost.us/cgi-bin/gen.perl?text=Cleveland</v>
      </c>
      <c r="G398" s="11" t="str">
        <f t="shared" si="4"/>
        <v>data:image/svg+xml,%3csvg xmlns='http://www.w3.org/2000/svg' viewBox='0 0 24 216'%3e%3ctext fill='%23fff' style='font: 900 16px sans-serif' text-anchor='end' transform='matrix(0 -1 1 0 18 5)'%3eCleveland%3c/text%3e%3c/svg%3e</v>
      </c>
      <c r="H398" s="8" t="s">
        <v>39</v>
      </c>
      <c r="I398" s="8">
        <f t="shared" ref="I398:J398" si="399">len(B398)</f>
        <v>9</v>
      </c>
      <c r="J398" s="8">
        <f t="shared" si="399"/>
        <v>56</v>
      </c>
      <c r="K398" s="8" t="s">
        <v>2917</v>
      </c>
    </row>
    <row r="399">
      <c r="A399" s="7" t="b">
        <v>1</v>
      </c>
      <c r="B399" s="8" t="s">
        <v>2918</v>
      </c>
      <c r="C399" s="7" t="s">
        <v>2919</v>
      </c>
      <c r="D399" s="8" t="str">
        <f>Q&amp;$K399&amp;Q&amp;":{"&amp;Q&amp;$B$2&amp;Q&amp;":"&amp;Q&amp;$B399&amp;Q&amp;","&amp;Q&amp;$C$2&amp;Q&amp;":"&amp;Q&amp;$C399&amp;Q&amp;","&amp;Q&amp;"sets"&amp;Q&amp;":"&amp;Q&amp;substitute(SUBSTITUTE($H399,"[",""),"]","")&amp;Q&amp;"},"</f>
        <v>"kfui":{"label":"Climbing A Ladder","extra":"Don’t look down!","sets":"Junior 9+ (1st) &amp; (2nd)"},</v>
      </c>
      <c r="E399" s="9" t="str">
        <f t="shared" si="2"/>
        <v>data:image/svg+xml,%3csvg xmlns='http://www.w3.org/2000/svg' viewBox='0 0 24 216'%3e%3ctext fill='%23fff' style='font: 900 16px sans-serif' text-anchor='end' transform='matrix(0 -1 1 0 18 5)'%3eClimbing A Ladder%3c/text%3e%3c/svg%3e</v>
      </c>
      <c r="F399" s="14" t="str">
        <f t="shared" si="3"/>
        <v>https://svgtext.heliohost.us/cgi-bin/gen.perl?text=Climbing%20A%20Ladder</v>
      </c>
      <c r="G399" s="11" t="str">
        <f t="shared" si="4"/>
        <v>data:image/svg+xml,%3csvg xmlns='http://www.w3.org/2000/svg' viewBox='0 0 24 216'%3e%3ctext fill='%23fff' style='font: 900 16px sans-serif' text-anchor='end' transform='matrix(0 -1 1 0 18 5)'%3eClimbing A Ladder%3c/text%3e%3c/svg%3e</v>
      </c>
      <c r="H399" s="8" t="s">
        <v>42</v>
      </c>
      <c r="I399" s="8">
        <f t="shared" ref="I399:J399" si="400">len(B399)</f>
        <v>17</v>
      </c>
      <c r="J399" s="8">
        <f t="shared" si="400"/>
        <v>16</v>
      </c>
      <c r="K399" s="8" t="s">
        <v>2920</v>
      </c>
    </row>
    <row r="400">
      <c r="A400" s="7" t="b">
        <v>1</v>
      </c>
      <c r="B400" s="8" t="s">
        <v>2921</v>
      </c>
      <c r="C400" s="7" t="s">
        <v>2922</v>
      </c>
      <c r="D400" s="8" t="str">
        <f>Q&amp;$K400&amp;Q&amp;":{"&amp;Q&amp;$B$2&amp;Q&amp;":"&amp;Q&amp;$B400&amp;Q&amp;","&amp;Q&amp;$C$2&amp;Q&amp;":"&amp;Q&amp;$C400&amp;Q&amp;","&amp;Q&amp;"sets"&amp;Q&amp;":"&amp;Q&amp;substitute(SUBSTITUTE($H400,"[",""),"]","")&amp;Q&amp;"},"</f>
        <v>"omis":{"label":"Climbing A Tree","extra":"Don’t go out on a limb!","sets":"Junior 9+ (2nd)"},</v>
      </c>
      <c r="E400" s="9" t="str">
        <f t="shared" si="2"/>
        <v>data:image/svg+xml,%3csvg xmlns='http://www.w3.org/2000/svg' viewBox='0 0 24 216'%3e%3ctext fill='%23fff' style='font: 900 16px sans-serif' text-anchor='end' transform='matrix(0 -1 1 0 18 5)'%3eClimbing A Tree%3c/text%3e%3c/svg%3e</v>
      </c>
      <c r="F400" s="14" t="str">
        <f t="shared" si="3"/>
        <v>https://svgtext.heliohost.us/cgi-bin/gen.perl?text=Climbing%20A%20Tree</v>
      </c>
      <c r="G400" s="11" t="str">
        <f t="shared" si="4"/>
        <v>data:image/svg+xml,%3csvg xmlns='http://www.w3.org/2000/svg' viewBox='0 0 24 216'%3e%3ctext fill='%23fff' style='font: 900 16px sans-serif' text-anchor='end' transform='matrix(0 -1 1 0 18 5)'%3eClimbing A Tree%3c/text%3e%3c/svg%3e</v>
      </c>
      <c r="H400" s="8" t="s">
        <v>32</v>
      </c>
      <c r="I400" s="8">
        <f t="shared" ref="I400:J400" si="401">len(B400)</f>
        <v>15</v>
      </c>
      <c r="J400" s="8">
        <f t="shared" si="401"/>
        <v>23</v>
      </c>
      <c r="K400" s="8" t="s">
        <v>2923</v>
      </c>
    </row>
    <row r="401">
      <c r="A401" s="7" t="b">
        <v>0</v>
      </c>
      <c r="B401" s="8" t="s">
        <v>2924</v>
      </c>
      <c r="C401" s="8" t="s">
        <v>2925</v>
      </c>
      <c r="D401" s="8" t="str">
        <f>Q&amp;$K401&amp;Q&amp;":{"&amp;Q&amp;$B$2&amp;Q&amp;":"&amp;Q&amp;$B401&amp;Q&amp;","&amp;Q&amp;$C$2&amp;Q&amp;":"&amp;Q&amp;$C401&amp;Q&amp;","&amp;Q&amp;"sets"&amp;Q&amp;":"&amp;Q&amp;substitute(SUBSTITUTE($H401,"[",""),"]","")&amp;Q&amp;"},"</f>
        <v>"fzyx":{"label":"Clint Eastwood","extra":"1930-, American film actor and director, past mayor of Carmel, California. Has earned fistfuls of dollars.","sets":"Basic Set, Party Set"},</v>
      </c>
      <c r="E401" s="9" t="str">
        <f t="shared" si="2"/>
        <v>data:image/svg+xml,%3csvg xmlns='http://www.w3.org/2000/svg' viewBox='0 0 24 216'%3e%3ctext fill='%23fff' style='font: 900 16px sans-serif' text-anchor='end' transform='matrix(0 -1 1 0 18 5)'%3eClint Eastwood%3c/text%3e%3c/svg%3e</v>
      </c>
      <c r="F401" s="14" t="str">
        <f t="shared" si="3"/>
        <v>https://svgtext.heliohost.us/cgi-bin/gen.perl?text=Clint%20Eastwood</v>
      </c>
      <c r="G401" s="11" t="str">
        <f t="shared" si="4"/>
        <v>data:image/svg+xml,%3csvg xmlns='http://www.w3.org/2000/svg' viewBox='0 0 24 216'%3e%3ctext fill='%23fff' style='font: 900 16px sans-serif' text-anchor='end' transform='matrix(0 -1 1 0 18 5)'%3eClint Eastwood%3c/text%3e%3c/svg%3e</v>
      </c>
      <c r="H401" s="8" t="s">
        <v>29</v>
      </c>
      <c r="I401" s="8">
        <f t="shared" ref="I401:J401" si="402">len(B401)</f>
        <v>14</v>
      </c>
      <c r="J401" s="8">
        <f t="shared" si="402"/>
        <v>106</v>
      </c>
      <c r="K401" s="8" t="s">
        <v>2926</v>
      </c>
    </row>
    <row r="402">
      <c r="A402" s="7" t="b">
        <v>0</v>
      </c>
      <c r="B402" s="8" t="s">
        <v>2927</v>
      </c>
      <c r="C402" s="8" t="s">
        <v>2928</v>
      </c>
      <c r="D402" s="8" t="str">
        <f>Q&amp;$K402&amp;Q&amp;":{"&amp;Q&amp;$B$2&amp;Q&amp;":"&amp;Q&amp;$B402&amp;Q&amp;","&amp;Q&amp;$C$2&amp;Q&amp;":"&amp;Q&amp;$C402&amp;Q&amp;","&amp;Q&amp;"sets"&amp;Q&amp;":"&amp;Q&amp;substitute(SUBSTITUTE($H402,"[",""),"]","")&amp;Q&amp;"},"</f>
        <v>"cfcf":{"label":"Cloned Sheep","extra":"Dolly good show!","sets":"Expansion Set 3, Party Expansion 1"},</v>
      </c>
      <c r="E402" s="9" t="str">
        <f t="shared" si="2"/>
        <v>data:image/svg+xml,%3csvg xmlns='http://www.w3.org/2000/svg' viewBox='0 0 24 216'%3e%3ctext fill='%23fff' style='font: 900 16px sans-serif' text-anchor='end' transform='matrix(0 -1 1 0 18 5)'%3eCloned Sheep%3c/text%3e%3c/svg%3e</v>
      </c>
      <c r="F402" s="14" t="str">
        <f t="shared" si="3"/>
        <v>https://svgtext.heliohost.us/cgi-bin/gen.perl?text=Cloned%20Sheep</v>
      </c>
      <c r="G402" s="11" t="str">
        <f t="shared" si="4"/>
        <v>data:image/svg+xml,%3csvg xmlns='http://www.w3.org/2000/svg' viewBox='0 0 24 216'%3e%3ctext fill='%23fff' style='font: 900 16px sans-serif' text-anchor='end' transform='matrix(0 -1 1 0 18 5)'%3eCloned Sheep%3c/text%3e%3c/svg%3e</v>
      </c>
      <c r="H402" s="8" t="s">
        <v>39</v>
      </c>
      <c r="I402" s="8">
        <f t="shared" ref="I402:J402" si="403">len(B402)</f>
        <v>12</v>
      </c>
      <c r="J402" s="8">
        <f t="shared" si="403"/>
        <v>16</v>
      </c>
      <c r="K402" s="8" t="s">
        <v>2929</v>
      </c>
    </row>
    <row r="403">
      <c r="A403" s="7" t="b">
        <v>1</v>
      </c>
      <c r="B403" s="8" t="s">
        <v>2930</v>
      </c>
      <c r="C403" s="8" t="s">
        <v>2931</v>
      </c>
      <c r="D403" s="8" t="str">
        <f>Q&amp;$K403&amp;Q&amp;":{"&amp;Q&amp;$B$2&amp;Q&amp;":"&amp;Q&amp;$B403&amp;Q&amp;","&amp;Q&amp;$C$2&amp;Q&amp;":"&amp;Q&amp;$C403&amp;Q&amp;","&amp;Q&amp;"sets"&amp;Q&amp;":"&amp;Q&amp;substitute(SUBSTITUTE($H403,"[",""),"]","")&amp;Q&amp;"},"</f>
        <v>"zptq":{"label":"Clouds","extra":"I see an elephant! And that one looks like a rabbit.","sets":"Junior 9+ (1st) &amp; (2nd)"},</v>
      </c>
      <c r="E403" s="9" t="str">
        <f t="shared" si="2"/>
        <v>data:image/svg+xml,%3csvg xmlns='http://www.w3.org/2000/svg' viewBox='0 0 24 216'%3e%3ctext fill='%23fff' style='font: 900 16px sans-serif' text-anchor='end' transform='matrix(0 -1 1 0 18 5)'%3eClouds%3c/text%3e%3c/svg%3e</v>
      </c>
      <c r="F403" s="14" t="str">
        <f t="shared" si="3"/>
        <v>https://svgtext.heliohost.us/cgi-bin/gen.perl?text=Clouds</v>
      </c>
      <c r="G403" s="11" t="str">
        <f t="shared" si="4"/>
        <v>data:image/svg+xml,%3csvg xmlns='http://www.w3.org/2000/svg' viewBox='0 0 24 216'%3e%3ctext fill='%23fff' style='font: 900 16px sans-serif' text-anchor='end' transform='matrix(0 -1 1 0 18 5)'%3eClouds%3c/text%3e%3c/svg%3e</v>
      </c>
      <c r="H403" s="8" t="s">
        <v>42</v>
      </c>
      <c r="I403" s="8">
        <f t="shared" ref="I403:J403" si="404">len(B403)</f>
        <v>6</v>
      </c>
      <c r="J403" s="8">
        <f t="shared" si="404"/>
        <v>52</v>
      </c>
      <c r="K403" s="8" t="s">
        <v>2932</v>
      </c>
    </row>
    <row r="404">
      <c r="A404" s="7" t="b">
        <v>0</v>
      </c>
      <c r="B404" s="8" t="s">
        <v>2933</v>
      </c>
      <c r="C404" s="7" t="s">
        <v>2934</v>
      </c>
      <c r="D404" s="8" t="str">
        <f>Q&amp;$K404&amp;Q&amp;":{"&amp;Q&amp;$B$2&amp;Q&amp;":"&amp;Q&amp;$B404&amp;Q&amp;","&amp;Q&amp;$C$2&amp;Q&amp;":"&amp;Q&amp;$C404&amp;Q&amp;","&amp;Q&amp;"sets"&amp;Q&amp;":"&amp;Q&amp;substitute(SUBSTITUTE($H404,"[",""),"]","")&amp;Q&amp;"},"</f>
        <v>"uvlp":{"label":"Clowns","extra":"They would be really funny if they weren’t so darn scary.","sets":"Expansion Set 1, Party Set"},</v>
      </c>
      <c r="E404" s="9" t="str">
        <f t="shared" si="2"/>
        <v>data:image/svg+xml,%3csvg xmlns='http://www.w3.org/2000/svg' viewBox='0 0 24 216'%3e%3ctext fill='%23fff' style='font: 900 16px sans-serif' text-anchor='end' transform='matrix(0 -1 1 0 18 5)'%3eClowns%3c/text%3e%3c/svg%3e</v>
      </c>
      <c r="F404" s="14" t="str">
        <f t="shared" si="3"/>
        <v>https://svgtext.heliohost.us/cgi-bin/gen.perl?text=Clowns</v>
      </c>
      <c r="G404" s="11" t="str">
        <f t="shared" si="4"/>
        <v>data:image/svg+xml,%3csvg xmlns='http://www.w3.org/2000/svg' viewBox='0 0 24 216'%3e%3ctext fill='%23fff' style='font: 900 16px sans-serif' text-anchor='end' transform='matrix(0 -1 1 0 18 5)'%3eClowns%3c/text%3e%3c/svg%3e</v>
      </c>
      <c r="H404" s="8" t="s">
        <v>25</v>
      </c>
      <c r="I404" s="8">
        <f t="shared" ref="I404:J404" si="405">len(B404)</f>
        <v>6</v>
      </c>
      <c r="J404" s="8">
        <f t="shared" si="405"/>
        <v>57</v>
      </c>
      <c r="K404" s="8" t="s">
        <v>2935</v>
      </c>
    </row>
    <row r="405">
      <c r="A405" s="7" t="b">
        <v>1</v>
      </c>
      <c r="B405" s="8" t="s">
        <v>2933</v>
      </c>
      <c r="C405" s="8" t="s">
        <v>2936</v>
      </c>
      <c r="D405" s="8" t="str">
        <f>Q&amp;$K405&amp;Q&amp;":{"&amp;Q&amp;$B$2&amp;Q&amp;":"&amp;Q&amp;$B405&amp;Q&amp;","&amp;Q&amp;$C$2&amp;Q&amp;":"&amp;Q&amp;$C405&amp;Q&amp;","&amp;Q&amp;"sets"&amp;Q&amp;":"&amp;Q&amp;substitute(SUBSTITUTE($H405,"[",""),"]","")&amp;Q&amp;"},"</f>
        <v>"llen":{"label":"Clowns","extra":"They often dress in silly outfits and paint their faces!","sets":"Junior"},</v>
      </c>
      <c r="E405" s="9" t="str">
        <f t="shared" si="2"/>
        <v>data:image/svg+xml,%3csvg xmlns='http://www.w3.org/2000/svg' viewBox='0 0 24 216'%3e%3ctext fill='%23fff' style='font: 900 16px sans-serif' text-anchor='end' transform='matrix(0 -1 1 0 18 5)'%3eClowns%3c/text%3e%3c/svg%3e</v>
      </c>
      <c r="F405" s="14" t="str">
        <f t="shared" si="3"/>
        <v>https://svgtext.heliohost.us/cgi-bin/gen.perl?text=Clowns</v>
      </c>
      <c r="G405" s="11" t="str">
        <f t="shared" si="4"/>
        <v>data:image/svg+xml,%3csvg xmlns='http://www.w3.org/2000/svg' viewBox='0 0 24 216'%3e%3ctext fill='%23fff' style='font: 900 16px sans-serif' text-anchor='end' transform='matrix(0 -1 1 0 18 5)'%3eClowns%3c/text%3e%3c/svg%3e</v>
      </c>
      <c r="H405" s="8" t="s">
        <v>84</v>
      </c>
      <c r="I405" s="8">
        <f t="shared" ref="I405:J405" si="406">len(B405)</f>
        <v>6</v>
      </c>
      <c r="J405" s="8">
        <f t="shared" si="406"/>
        <v>56</v>
      </c>
      <c r="K405" s="8" t="s">
        <v>2937</v>
      </c>
    </row>
    <row r="406">
      <c r="A406" s="7" t="b">
        <v>0</v>
      </c>
      <c r="B406" s="8" t="s">
        <v>2938</v>
      </c>
      <c r="C406" s="8" t="s">
        <v>2939</v>
      </c>
      <c r="D406" s="8" t="str">
        <f>Q&amp;$K406&amp;Q&amp;":{"&amp;Q&amp;$B$2&amp;Q&amp;":"&amp;Q&amp;$B406&amp;Q&amp;","&amp;Q&amp;$C$2&amp;Q&amp;":"&amp;Q&amp;$C406&amp;Q&amp;","&amp;Q&amp;"sets"&amp;Q&amp;":"&amp;Q&amp;substitute(SUBSTITUTE($H406,"[",""),"]","")&amp;Q&amp;"},"</f>
        <v>"opzp":{"label":"Cocaine","extra":"Alkaloid obtained from leaves of the coca plant and used as a local anesthetic and abused as a drug.","sets":"Basic Set, Party Set"},</v>
      </c>
      <c r="E406" s="9" t="str">
        <f t="shared" si="2"/>
        <v>data:image/svg+xml,%3csvg xmlns='http://www.w3.org/2000/svg' viewBox='0 0 24 216'%3e%3ctext fill='%23fff' style='font: 900 16px sans-serif' text-anchor='end' transform='matrix(0 -1 1 0 18 5)'%3eCocaine%3c/text%3e%3c/svg%3e</v>
      </c>
      <c r="F406" s="14" t="str">
        <f t="shared" si="3"/>
        <v>https://svgtext.heliohost.us/cgi-bin/gen.perl?text=Cocaine</v>
      </c>
      <c r="G406" s="11" t="str">
        <f t="shared" si="4"/>
        <v>data:image/svg+xml,%3csvg xmlns='http://www.w3.org/2000/svg' viewBox='0 0 24 216'%3e%3ctext fill='%23fff' style='font: 900 16px sans-serif' text-anchor='end' transform='matrix(0 -1 1 0 18 5)'%3eCocaine%3c/text%3e%3c/svg%3e</v>
      </c>
      <c r="H406" s="8" t="s">
        <v>29</v>
      </c>
      <c r="I406" s="8">
        <f t="shared" ref="I406:J406" si="407">len(B406)</f>
        <v>7</v>
      </c>
      <c r="J406" s="8">
        <f t="shared" si="407"/>
        <v>100</v>
      </c>
      <c r="K406" s="8" t="s">
        <v>2940</v>
      </c>
    </row>
    <row r="407">
      <c r="A407" s="7" t="b">
        <v>1</v>
      </c>
      <c r="B407" s="8" t="s">
        <v>2941</v>
      </c>
      <c r="C407" s="7" t="s">
        <v>2942</v>
      </c>
      <c r="D407" s="8" t="str">
        <f>Q&amp;$K407&amp;Q&amp;":{"&amp;Q&amp;$B$2&amp;Q&amp;":"&amp;Q&amp;$B407&amp;Q&amp;","&amp;Q&amp;$C$2&amp;Q&amp;":"&amp;Q&amp;$C407&amp;Q&amp;","&amp;Q&amp;"sets"&amp;Q&amp;":"&amp;Q&amp;substitute(SUBSTITUTE($H407,"[",""),"]","")&amp;Q&amp;"},"</f>
        <v>"qpkw":{"label":"Cockles &amp; Mussels","extra":"“Alive--alive-o!” I think I just lost my appetite.","sets":"Expansion Set 4, Party Expansion 1"},</v>
      </c>
      <c r="E407" s="9" t="str">
        <f t="shared" si="2"/>
        <v>data:image/svg+xml,%3csvg xmlns='http://www.w3.org/2000/svg' viewBox='0 0 24 216'%3e%3ctext fill='%23fff' style='font: 900 16px sans-serif' text-anchor='end' transform='matrix(0 -1 1 0 18 5)'%3eCockles %26amp%3B Mussels%3c/text%3e%3c/svg%3e</v>
      </c>
      <c r="F407" s="14" t="str">
        <f t="shared" si="3"/>
        <v>https://svgtext.heliohost.us/cgi-bin/gen.perl?text=Cockles%20%26%20Mussels</v>
      </c>
      <c r="G407" s="11" t="str">
        <f t="shared" si="4"/>
        <v>data:image/svg+xml,%3csvg xmlns='http://www.w3.org/2000/svg' viewBox='0 0 24 216'%3e%3ctext fill='%23fff' style='font: 900 16px sans-serif' text-anchor='end' transform='matrix(0 -1 1 0 18 5)'%3eCockles %26amp%3B Mussels%3c/text%3e%3c/svg%3e</v>
      </c>
      <c r="H407" s="8" t="s">
        <v>63</v>
      </c>
      <c r="I407" s="8">
        <f t="shared" ref="I407:J407" si="408">len(B407)</f>
        <v>17</v>
      </c>
      <c r="J407" s="8">
        <f t="shared" si="408"/>
        <v>50</v>
      </c>
      <c r="K407" s="8" t="s">
        <v>2943</v>
      </c>
    </row>
    <row r="408">
      <c r="A408" s="7" t="b">
        <v>0</v>
      </c>
      <c r="B408" s="8" t="s">
        <v>2944</v>
      </c>
      <c r="C408" s="8" t="s">
        <v>2945</v>
      </c>
      <c r="D408" s="8" t="str">
        <f>Q&amp;$K408&amp;Q&amp;":{"&amp;Q&amp;$B$2&amp;Q&amp;":"&amp;Q&amp;$B408&amp;Q&amp;","&amp;Q&amp;$C$2&amp;Q&amp;":"&amp;Q&amp;$C408&amp;Q&amp;","&amp;Q&amp;"sets"&amp;Q&amp;":"&amp;Q&amp;substitute(SUBSTITUTE($H408,"[",""),"]","")&amp;Q&amp;"},"</f>
        <v>"tmkc":{"label":"Cockroaches","extra":"Annoying insects that can survive a nuclear war. Fortunately, they can't survive the heel of your shoe.","sets":"Basic Set, Party Set"},</v>
      </c>
      <c r="E408" s="9" t="str">
        <f t="shared" si="2"/>
        <v>data:image/svg+xml,%3csvg xmlns='http://www.w3.org/2000/svg' viewBox='0 0 24 216'%3e%3ctext fill='%23fff' style='font: 900 16px sans-serif' text-anchor='end' transform='matrix(0 -1 1 0 18 5)'%3eCockroaches%3c/text%3e%3c/svg%3e</v>
      </c>
      <c r="F408" s="14" t="str">
        <f t="shared" si="3"/>
        <v>https://svgtext.heliohost.us/cgi-bin/gen.perl?text=Cockroaches</v>
      </c>
      <c r="G408" s="11" t="str">
        <f t="shared" si="4"/>
        <v>data:image/svg+xml,%3csvg xmlns='http://www.w3.org/2000/svg' viewBox='0 0 24 216'%3e%3ctext fill='%23fff' style='font: 900 16px sans-serif' text-anchor='end' transform='matrix(0 -1 1 0 18 5)'%3eCockroaches%3c/text%3e%3c/svg%3e</v>
      </c>
      <c r="H408" s="8" t="s">
        <v>29</v>
      </c>
      <c r="I408" s="8">
        <f t="shared" ref="I408:J408" si="409">len(B408)</f>
        <v>11</v>
      </c>
      <c r="J408" s="8">
        <f t="shared" si="409"/>
        <v>103</v>
      </c>
      <c r="K408" s="8" t="s">
        <v>2946</v>
      </c>
    </row>
    <row r="409">
      <c r="A409" s="7" t="b">
        <v>0</v>
      </c>
      <c r="B409" s="8" t="s">
        <v>2947</v>
      </c>
      <c r="C409" s="7" t="s">
        <v>2948</v>
      </c>
      <c r="D409" s="8" t="str">
        <f>Q&amp;$K409&amp;Q&amp;":{"&amp;Q&amp;$B$2&amp;Q&amp;":"&amp;Q&amp;$B409&amp;Q&amp;","&amp;Q&amp;$C$2&amp;Q&amp;":"&amp;Q&amp;$C409&amp;Q&amp;","&amp;Q&amp;"sets"&amp;Q&amp;":"&amp;Q&amp;substitute(SUBSTITUTE($H409,"[",""),"]","")&amp;Q&amp;"},"</f>
        <v>"ygmu":{"label":"Coconuts","extra":"“Put the lime in the coconut, and drank them both up.” —Harry Nillson","sets":"Expansion Set 2, Party Set"},</v>
      </c>
      <c r="E409" s="9" t="str">
        <f t="shared" si="2"/>
        <v>data:image/svg+xml,%3csvg xmlns='http://www.w3.org/2000/svg' viewBox='0 0 24 216'%3e%3ctext fill='%23fff' style='font: 900 16px sans-serif' text-anchor='end' transform='matrix(0 -1 1 0 18 5)'%3eCoconuts%3c/text%3e%3c/svg%3e</v>
      </c>
      <c r="F409" s="14" t="str">
        <f t="shared" si="3"/>
        <v>https://svgtext.heliohost.us/cgi-bin/gen.perl?text=Coconuts</v>
      </c>
      <c r="G409" s="11" t="str">
        <f t="shared" si="4"/>
        <v>data:image/svg+xml,%3csvg xmlns='http://www.w3.org/2000/svg' viewBox='0 0 24 216'%3e%3ctext fill='%23fff' style='font: 900 16px sans-serif' text-anchor='end' transform='matrix(0 -1 1 0 18 5)'%3eCoconuts%3c/text%3e%3c/svg%3e</v>
      </c>
      <c r="H409" s="8" t="s">
        <v>17</v>
      </c>
      <c r="I409" s="8">
        <f t="shared" ref="I409:J409" si="410">len(B409)</f>
        <v>8</v>
      </c>
      <c r="J409" s="8">
        <f t="shared" si="410"/>
        <v>69</v>
      </c>
      <c r="K409" s="8" t="s">
        <v>2949</v>
      </c>
    </row>
    <row r="410">
      <c r="A410" s="7" t="b">
        <v>1</v>
      </c>
      <c r="B410" s="8" t="s">
        <v>2950</v>
      </c>
      <c r="C410" s="8" t="s">
        <v>2951</v>
      </c>
      <c r="D410" s="8" t="str">
        <f>Q&amp;$K410&amp;Q&amp;":{"&amp;Q&amp;$B$2&amp;Q&amp;":"&amp;Q&amp;$B410&amp;Q&amp;","&amp;Q&amp;$C$2&amp;Q&amp;":"&amp;Q&amp;$C410&amp;Q&amp;","&amp;Q&amp;"sets"&amp;Q&amp;":"&amp;Q&amp;substitute(SUBSTITUTE($H410,"[",""),"]","")&amp;Q&amp;"},"</f>
        <v>"dway":{"label":"Coffee","extra":"Two-thirds of the world's coffee beans are grown in Central and Southern America.","sets":"Junior 9+ (1st) &amp; (2nd)"},</v>
      </c>
      <c r="E410" s="9" t="str">
        <f t="shared" si="2"/>
        <v>data:image/svg+xml,%3csvg xmlns='http://www.w3.org/2000/svg' viewBox='0 0 24 216'%3e%3ctext fill='%23fff' style='font: 900 16px sans-serif' text-anchor='end' transform='matrix(0 -1 1 0 18 5)'%3eCoffee%3c/text%3e%3c/svg%3e</v>
      </c>
      <c r="F410" s="14" t="str">
        <f t="shared" si="3"/>
        <v>https://svgtext.heliohost.us/cgi-bin/gen.perl?text=Coffee</v>
      </c>
      <c r="G410" s="11" t="str">
        <f t="shared" si="4"/>
        <v>data:image/svg+xml,%3csvg xmlns='http://www.w3.org/2000/svg' viewBox='0 0 24 216'%3e%3ctext fill='%23fff' style='font: 900 16px sans-serif' text-anchor='end' transform='matrix(0 -1 1 0 18 5)'%3eCoffee%3c/text%3e%3c/svg%3e</v>
      </c>
      <c r="H410" s="8" t="s">
        <v>42</v>
      </c>
      <c r="I410" s="8">
        <f t="shared" ref="I410:J410" si="411">len(B410)</f>
        <v>6</v>
      </c>
      <c r="J410" s="8">
        <f t="shared" si="411"/>
        <v>81</v>
      </c>
      <c r="K410" s="8" t="s">
        <v>2952</v>
      </c>
    </row>
    <row r="411">
      <c r="A411" s="7" t="b">
        <v>0</v>
      </c>
      <c r="B411" s="8" t="s">
        <v>2953</v>
      </c>
      <c r="C411" s="8" t="s">
        <v>2954</v>
      </c>
      <c r="D411" s="8" t="str">
        <f>Q&amp;$K411&amp;Q&amp;":{"&amp;Q&amp;$B$2&amp;Q&amp;":"&amp;Q&amp;$B411&amp;Q&amp;","&amp;Q&amp;$C$2&amp;Q&amp;":"&amp;Q&amp;$C411&amp;Q&amp;","&amp;Q&amp;"sets"&amp;Q&amp;":"&amp;Q&amp;substitute(SUBSTITUTE($H411,"[",""),"]","")&amp;Q&amp;"},"</f>
        <v>"bcse":{"label":"Cold Pizza","extra":"The breakfast of champions.","sets":"Expansion Set 1, Party Set"},</v>
      </c>
      <c r="E411" s="9" t="str">
        <f t="shared" si="2"/>
        <v>data:image/svg+xml,%3csvg xmlns='http://www.w3.org/2000/svg' viewBox='0 0 24 216'%3e%3ctext fill='%23fff' style='font: 900 16px sans-serif' text-anchor='end' transform='matrix(0 -1 1 0 18 5)'%3eCold Pizza%3c/text%3e%3c/svg%3e</v>
      </c>
      <c r="F411" s="14" t="str">
        <f t="shared" si="3"/>
        <v>https://svgtext.heliohost.us/cgi-bin/gen.perl?text=Cold%20Pizza</v>
      </c>
      <c r="G411" s="11" t="str">
        <f t="shared" si="4"/>
        <v>data:image/svg+xml,%3csvg xmlns='http://www.w3.org/2000/svg' viewBox='0 0 24 216'%3e%3ctext fill='%23fff' style='font: 900 16px sans-serif' text-anchor='end' transform='matrix(0 -1 1 0 18 5)'%3eCold Pizza%3c/text%3e%3c/svg%3e</v>
      </c>
      <c r="H411" s="8" t="s">
        <v>25</v>
      </c>
      <c r="I411" s="8">
        <f t="shared" ref="I411:J411" si="412">len(B411)</f>
        <v>10</v>
      </c>
      <c r="J411" s="8">
        <f t="shared" si="412"/>
        <v>27</v>
      </c>
      <c r="K411" s="8" t="s">
        <v>2955</v>
      </c>
    </row>
    <row r="412">
      <c r="A412" s="7" t="b">
        <v>1</v>
      </c>
      <c r="B412" s="8" t="s">
        <v>2956</v>
      </c>
      <c r="C412" s="7" t="s">
        <v>2957</v>
      </c>
      <c r="D412" s="8" t="str">
        <f>Q&amp;$K412&amp;Q&amp;":{"&amp;Q&amp;$B$2&amp;Q&amp;":"&amp;Q&amp;$B412&amp;Q&amp;","&amp;Q&amp;$C$2&amp;Q&amp;":"&amp;Q&amp;$C412&amp;Q&amp;","&amp;Q&amp;"sets"&amp;Q&amp;":"&amp;Q&amp;substitute(SUBSTITUTE($H412,"[",""),"]","")&amp;Q&amp;"},"</f>
        <v>"yqcw":{"label":"Colin Powell","extra":"1937-, U.S. Secretary of State and Chairman of the Join Chiefs of Staff during the Gulf War. We’d give him four stars.","sets":"Expansion Set 3, Party Expansion 1"},</v>
      </c>
      <c r="E412" s="9" t="str">
        <f t="shared" si="2"/>
        <v>data:image/svg+xml,%3csvg xmlns='http://www.w3.org/2000/svg' viewBox='0 0 24 216'%3e%3ctext fill='%23fff' style='font: 900 16px sans-serif' text-anchor='end' transform='matrix(0 -1 1 0 18 5)'%3eColin Powell%3c/text%3e%3c/svg%3e</v>
      </c>
      <c r="F412" s="14" t="str">
        <f t="shared" si="3"/>
        <v>https://svgtext.heliohost.us/cgi-bin/gen.perl?text=Colin%20Powell</v>
      </c>
      <c r="G412" s="11" t="str">
        <f t="shared" si="4"/>
        <v>data:image/svg+xml,%3csvg xmlns='http://www.w3.org/2000/svg' viewBox='0 0 24 216'%3e%3ctext fill='%23fff' style='font: 900 16px sans-serif' text-anchor='end' transform='matrix(0 -1 1 0 18 5)'%3eColin Powell%3c/text%3e%3c/svg%3e</v>
      </c>
      <c r="H412" s="8" t="s">
        <v>39</v>
      </c>
      <c r="I412" s="8">
        <f t="shared" ref="I412:J412" si="413">len(B412)</f>
        <v>12</v>
      </c>
      <c r="J412" s="8">
        <f t="shared" si="413"/>
        <v>118</v>
      </c>
      <c r="K412" s="8" t="s">
        <v>2958</v>
      </c>
    </row>
    <row r="413">
      <c r="A413" s="7" t="b">
        <v>1</v>
      </c>
      <c r="B413" s="8" t="s">
        <v>2959</v>
      </c>
      <c r="C413" s="8" t="s">
        <v>2960</v>
      </c>
      <c r="D413" s="8" t="str">
        <f>Q&amp;$K413&amp;Q&amp;":{"&amp;Q&amp;$B$2&amp;Q&amp;":"&amp;Q&amp;$B413&amp;Q&amp;","&amp;Q&amp;$C$2&amp;Q&amp;":"&amp;Q&amp;$C413&amp;Q&amp;","&amp;Q&amp;"sets"&amp;Q&amp;":"&amp;Q&amp;substitute(SUBSTITUTE($H413,"[",""),"]","")&amp;Q&amp;"},"</f>
        <v>"zcyt":{"label":"Collection Shells","extra":"She sells seashells by the seashore.","sets":"Junior 9+ (1st) &amp; (2nd)"},</v>
      </c>
      <c r="E413" s="9" t="str">
        <f t="shared" si="2"/>
        <v>data:image/svg+xml,%3csvg xmlns='http://www.w3.org/2000/svg' viewBox='0 0 24 216'%3e%3ctext fill='%23fff' style='font: 900 16px sans-serif' text-anchor='end' transform='matrix(0 -1 1 0 18 5)'%3eCollection Shells%3c/text%3e%3c/svg%3e</v>
      </c>
      <c r="F413" s="14" t="str">
        <f t="shared" si="3"/>
        <v>https://svgtext.heliohost.us/cgi-bin/gen.perl?text=Collection%20Shells</v>
      </c>
      <c r="G413" s="11" t="str">
        <f t="shared" si="4"/>
        <v>data:image/svg+xml,%3csvg xmlns='http://www.w3.org/2000/svg' viewBox='0 0 24 216'%3e%3ctext fill='%23fff' style='font: 900 16px sans-serif' text-anchor='end' transform='matrix(0 -1 1 0 18 5)'%3eCollection Shells%3c/text%3e%3c/svg%3e</v>
      </c>
      <c r="H413" s="8" t="s">
        <v>42</v>
      </c>
      <c r="I413" s="8">
        <f t="shared" ref="I413:J413" si="414">len(B413)</f>
        <v>17</v>
      </c>
      <c r="J413" s="8">
        <f t="shared" si="414"/>
        <v>36</v>
      </c>
      <c r="K413" s="8" t="s">
        <v>2961</v>
      </c>
    </row>
    <row r="414">
      <c r="A414" s="7" t="b">
        <v>1</v>
      </c>
      <c r="B414" s="8" t="s">
        <v>2962</v>
      </c>
      <c r="C414" s="7" t="s">
        <v>2963</v>
      </c>
      <c r="D414" s="8" t="str">
        <f>Q&amp;$K414&amp;Q&amp;":{"&amp;Q&amp;$B$2&amp;Q&amp;":"&amp;Q&amp;$B414&amp;Q&amp;","&amp;Q&amp;$C$2&amp;Q&amp;":"&amp;Q&amp;$C414&amp;Q&amp;","&amp;Q&amp;"sets"&amp;Q&amp;":"&amp;Q&amp;substitute(SUBSTITUTE($H414,"[",""),"]","")&amp;Q&amp;"},"</f>
        <v>"hbfu":{"label":"Comic Books","extra":"THIS looks like a job for… somebody who draws Superman!","sets":"Expansion Set 3, Party Expansion 1"},</v>
      </c>
      <c r="E414" s="9" t="str">
        <f t="shared" si="2"/>
        <v>data:image/svg+xml,%3csvg xmlns='http://www.w3.org/2000/svg' viewBox='0 0 24 216'%3e%3ctext fill='%23fff' style='font: 900 16px sans-serif' text-anchor='end' transform='matrix(0 -1 1 0 18 5)'%3eComic Books%3c/text%3e%3c/svg%3e</v>
      </c>
      <c r="F414" s="14" t="str">
        <f t="shared" si="3"/>
        <v>https://svgtext.heliohost.us/cgi-bin/gen.perl?text=Comic%20Books</v>
      </c>
      <c r="G414" s="11" t="str">
        <f t="shared" si="4"/>
        <v>data:image/svg+xml,%3csvg xmlns='http://www.w3.org/2000/svg' viewBox='0 0 24 216'%3e%3ctext fill='%23fff' style='font: 900 16px sans-serif' text-anchor='end' transform='matrix(0 -1 1 0 18 5)'%3eComic Books%3c/text%3e%3c/svg%3e</v>
      </c>
      <c r="H414" s="8" t="s">
        <v>39</v>
      </c>
      <c r="I414" s="8">
        <f t="shared" ref="I414:J414" si="415">len(B414)</f>
        <v>11</v>
      </c>
      <c r="J414" s="8">
        <f t="shared" si="415"/>
        <v>55</v>
      </c>
      <c r="K414" s="8" t="s">
        <v>2964</v>
      </c>
    </row>
    <row r="415">
      <c r="A415" s="7" t="b">
        <v>0</v>
      </c>
      <c r="B415" s="8" t="s">
        <v>2965</v>
      </c>
      <c r="C415" s="7" t="s">
        <v>2966</v>
      </c>
      <c r="D415" s="8" t="str">
        <f>Q&amp;$K415&amp;Q&amp;":{"&amp;Q&amp;$B$2&amp;Q&amp;":"&amp;Q&amp;$B415&amp;Q&amp;","&amp;Q&amp;$C$2&amp;Q&amp;":"&amp;Q&amp;$C415&amp;Q&amp;","&amp;Q&amp;"sets"&amp;Q&amp;":"&amp;Q&amp;substitute(SUBSTITUTE($H415,"[",""),"]","")&amp;Q&amp;"},"</f>
        <v>"otel":{"label":"Communists","extra":"“From each, according to their ability, to each according to their need.” I need a new Ferrari.","sets":"Basic Set, Party Set"},</v>
      </c>
      <c r="E415" s="9" t="str">
        <f t="shared" si="2"/>
        <v>data:image/svg+xml,%3csvg xmlns='http://www.w3.org/2000/svg' viewBox='0 0 24 216'%3e%3ctext fill='%23fff' style='font: 900 16px sans-serif' text-anchor='end' transform='matrix(0 -1 1 0 18 5)'%3eCommunists%3c/text%3e%3c/svg%3e</v>
      </c>
      <c r="F415" s="14" t="str">
        <f t="shared" si="3"/>
        <v>https://svgtext.heliohost.us/cgi-bin/gen.perl?text=Communists</v>
      </c>
      <c r="G415" s="11" t="str">
        <f t="shared" si="4"/>
        <v>data:image/svg+xml,%3csvg xmlns='http://www.w3.org/2000/svg' viewBox='0 0 24 216'%3e%3ctext fill='%23fff' style='font: 900 16px sans-serif' text-anchor='end' transform='matrix(0 -1 1 0 18 5)'%3eCommunists%3c/text%3e%3c/svg%3e</v>
      </c>
      <c r="H415" s="8" t="s">
        <v>29</v>
      </c>
      <c r="I415" s="8">
        <f t="shared" ref="I415:J415" si="416">len(B415)</f>
        <v>10</v>
      </c>
      <c r="J415" s="8">
        <f t="shared" si="416"/>
        <v>95</v>
      </c>
      <c r="K415" s="8" t="s">
        <v>2967</v>
      </c>
    </row>
    <row r="416">
      <c r="A416" s="7" t="b">
        <v>0</v>
      </c>
      <c r="B416" s="8" t="s">
        <v>2968</v>
      </c>
      <c r="C416" s="7" t="s">
        <v>2969</v>
      </c>
      <c r="D416" s="8" t="str">
        <f>Q&amp;$K416&amp;Q&amp;":{"&amp;Q&amp;$B$2&amp;Q&amp;":"&amp;Q&amp;$B416&amp;Q&amp;","&amp;Q&amp;$C$2&amp;Q&amp;":"&amp;Q&amp;$C416&amp;Q&amp;","&amp;Q&amp;"sets"&amp;Q&amp;":"&amp;Q&amp;substitute(SUBSTITUTE($H416,"[",""),"]","")&amp;Q&amp;"},"</f>
        <v>"vkab":{"label":"Commuting","extra":"The daily grind. And we’re not talking coffee.","sets":"Basic Set, Party Set"},</v>
      </c>
      <c r="E416" s="9" t="str">
        <f t="shared" si="2"/>
        <v>data:image/svg+xml,%3csvg xmlns='http://www.w3.org/2000/svg' viewBox='0 0 24 216'%3e%3ctext fill='%23fff' style='font: 900 16px sans-serif' text-anchor='end' transform='matrix(0 -1 1 0 18 5)'%3eCommuting%3c/text%3e%3c/svg%3e</v>
      </c>
      <c r="F416" s="14" t="str">
        <f t="shared" si="3"/>
        <v>https://svgtext.heliohost.us/cgi-bin/gen.perl?text=Commuting</v>
      </c>
      <c r="G416" s="11" t="str">
        <f t="shared" si="4"/>
        <v>data:image/svg+xml,%3csvg xmlns='http://www.w3.org/2000/svg' viewBox='0 0 24 216'%3e%3ctext fill='%23fff' style='font: 900 16px sans-serif' text-anchor='end' transform='matrix(0 -1 1 0 18 5)'%3eCommuting%3c/text%3e%3c/svg%3e</v>
      </c>
      <c r="H416" s="8" t="s">
        <v>29</v>
      </c>
      <c r="I416" s="8">
        <f t="shared" ref="I416:J416" si="417">len(B416)</f>
        <v>9</v>
      </c>
      <c r="J416" s="8">
        <f t="shared" si="417"/>
        <v>46</v>
      </c>
      <c r="K416" s="8" t="s">
        <v>2970</v>
      </c>
    </row>
    <row r="417">
      <c r="A417" s="7" t="b">
        <v>0</v>
      </c>
      <c r="B417" s="8" t="s">
        <v>2971</v>
      </c>
      <c r="C417" s="7" t="s">
        <v>2972</v>
      </c>
      <c r="D417" s="8" t="str">
        <f>Q&amp;$K417&amp;Q&amp;":{"&amp;Q&amp;$B$2&amp;Q&amp;":"&amp;Q&amp;$B417&amp;Q&amp;","&amp;Q&amp;$C$2&amp;Q&amp;":"&amp;Q&amp;$C417&amp;Q&amp;","&amp;Q&amp;"sets"&amp;Q&amp;":"&amp;Q&amp;substitute(SUBSTITUTE($H417,"[",""),"]","")&amp;Q&amp;"},"</f>
        <v>"rldr":{"label":"Computer Hackers","extra":"We didn’t mean to shut down the entire government…","sets":"Expansion Set 2, Party Set"},</v>
      </c>
      <c r="E417" s="9" t="str">
        <f t="shared" si="2"/>
        <v>data:image/svg+xml,%3csvg xmlns='http://www.w3.org/2000/svg' viewBox='0 0 24 216'%3e%3ctext fill='%23fff' style='font: 900 16px sans-serif' text-anchor='end' transform='matrix(0 -1 1 0 18 5)'%3eComputer Hackers%3c/text%3e%3c/svg%3e</v>
      </c>
      <c r="F417" s="14" t="str">
        <f t="shared" si="3"/>
        <v>https://svgtext.heliohost.us/cgi-bin/gen.perl?text=Computer%20Hackers</v>
      </c>
      <c r="G417" s="11" t="str">
        <f t="shared" si="4"/>
        <v>data:image/svg+xml,%3csvg xmlns='http://www.w3.org/2000/svg' viewBox='0 0 24 216'%3e%3ctext fill='%23fff' style='font: 900 16px sans-serif' text-anchor='end' transform='matrix(0 -1 1 0 18 5)'%3eComputer Hackers%3c/text%3e%3c/svg%3e</v>
      </c>
      <c r="H417" s="8" t="s">
        <v>17</v>
      </c>
      <c r="I417" s="8">
        <f t="shared" ref="I417:J417" si="418">len(B417)</f>
        <v>16</v>
      </c>
      <c r="J417" s="8">
        <f t="shared" si="418"/>
        <v>50</v>
      </c>
      <c r="K417" s="8" t="s">
        <v>2973</v>
      </c>
    </row>
    <row r="418">
      <c r="A418" s="7" t="b">
        <v>0</v>
      </c>
      <c r="B418" s="8" t="s">
        <v>2974</v>
      </c>
      <c r="C418" s="8" t="s">
        <v>2975</v>
      </c>
      <c r="D418" s="8" t="str">
        <f>Q&amp;$K418&amp;Q&amp;":{"&amp;Q&amp;$B$2&amp;Q&amp;":"&amp;Q&amp;$B418&amp;Q&amp;","&amp;Q&amp;$C$2&amp;Q&amp;":"&amp;Q&amp;$C418&amp;Q&amp;","&amp;Q&amp;"sets"&amp;Q&amp;":"&amp;Q&amp;substitute(SUBSTITUTE($H418,"[",""),"]","")&amp;Q&amp;"},"</f>
        <v>"qhrg":{"label":"Computers","extra":"British mathematician Charles Babbage worked out the principles of the modern digital computer in the late 1800s.","sets":"Basic Set, Party Set"},</v>
      </c>
      <c r="E418" s="9" t="str">
        <f t="shared" si="2"/>
        <v>data:image/svg+xml,%3csvg xmlns='http://www.w3.org/2000/svg' viewBox='0 0 24 216'%3e%3ctext fill='%23fff' style='font: 900 16px sans-serif' text-anchor='end' transform='matrix(0 -1 1 0 18 5)'%3eComputers%3c/text%3e%3c/svg%3e</v>
      </c>
      <c r="F418" s="14" t="str">
        <f t="shared" si="3"/>
        <v>https://svgtext.heliohost.us/cgi-bin/gen.perl?text=Computers</v>
      </c>
      <c r="G418" s="11" t="str">
        <f t="shared" si="4"/>
        <v>data:image/svg+xml,%3csvg xmlns='http://www.w3.org/2000/svg' viewBox='0 0 24 216'%3e%3ctext fill='%23fff' style='font: 900 16px sans-serif' text-anchor='end' transform='matrix(0 -1 1 0 18 5)'%3eComputers%3c/text%3e%3c/svg%3e</v>
      </c>
      <c r="H418" s="8" t="s">
        <v>29</v>
      </c>
      <c r="I418" s="8">
        <f t="shared" ref="I418:J418" si="419">len(B418)</f>
        <v>9</v>
      </c>
      <c r="J418" s="8">
        <f t="shared" si="419"/>
        <v>113</v>
      </c>
      <c r="K418" s="8" t="s">
        <v>2976</v>
      </c>
    </row>
    <row r="419">
      <c r="A419" s="7" t="b">
        <v>1</v>
      </c>
      <c r="B419" s="8" t="s">
        <v>2974</v>
      </c>
      <c r="C419" s="8" t="s">
        <v>2977</v>
      </c>
      <c r="D419" s="8" t="str">
        <f>Q&amp;$K419&amp;Q&amp;":{"&amp;Q&amp;$B$2&amp;Q&amp;":"&amp;Q&amp;$B419&amp;Q&amp;","&amp;Q&amp;$C$2&amp;Q&amp;":"&amp;Q&amp;$C419&amp;Q&amp;","&amp;Q&amp;"sets"&amp;Q&amp;":"&amp;Q&amp;substitute(SUBSTITUTE($H419,"[",""),"]","")&amp;Q&amp;"},"</f>
        <v>"ftfe":{"label":"Computers","extra":"Great for games, homework, and e-mail.","sets":"Junior 9+ (1st) &amp; (2nd)"},</v>
      </c>
      <c r="E419" s="9" t="str">
        <f t="shared" si="2"/>
        <v>data:image/svg+xml,%3csvg xmlns='http://www.w3.org/2000/svg' viewBox='0 0 24 216'%3e%3ctext fill='%23fff' style='font: 900 16px sans-serif' text-anchor='end' transform='matrix(0 -1 1 0 18 5)'%3eComputers%3c/text%3e%3c/svg%3e</v>
      </c>
      <c r="F419" s="14" t="str">
        <f t="shared" si="3"/>
        <v>https://svgtext.heliohost.us/cgi-bin/gen.perl?text=Computers</v>
      </c>
      <c r="G419" s="11" t="str">
        <f t="shared" si="4"/>
        <v>data:image/svg+xml,%3csvg xmlns='http://www.w3.org/2000/svg' viewBox='0 0 24 216'%3e%3ctext fill='%23fff' style='font: 900 16px sans-serif' text-anchor='end' transform='matrix(0 -1 1 0 18 5)'%3eComputers%3c/text%3e%3c/svg%3e</v>
      </c>
      <c r="H419" s="8" t="s">
        <v>42</v>
      </c>
      <c r="I419" s="8">
        <f t="shared" ref="I419:J419" si="420">len(B419)</f>
        <v>9</v>
      </c>
      <c r="J419" s="8">
        <f t="shared" si="420"/>
        <v>38</v>
      </c>
      <c r="K419" s="8" t="s">
        <v>2978</v>
      </c>
    </row>
    <row r="420">
      <c r="A420" s="7" t="b">
        <v>0</v>
      </c>
      <c r="B420" s="8" t="s">
        <v>2979</v>
      </c>
      <c r="C420" s="7" t="s">
        <v>2980</v>
      </c>
      <c r="D420" s="8" t="str">
        <f>Q&amp;$K420&amp;Q&amp;":{"&amp;Q&amp;$B$2&amp;Q&amp;":"&amp;Q&amp;$B420&amp;Q&amp;","&amp;Q&amp;$C$2&amp;Q&amp;":"&amp;Q&amp;$C420&amp;Q&amp;","&amp;Q&amp;"sets"&amp;Q&amp;":"&amp;Q&amp;substitute(SUBSTITUTE($H420,"[",""),"]","")&amp;Q&amp;"},"</f>
        <v>"objc":{"label":"Confucius","extra":"c. 551-479 BC, K’ung Fu-Tzu, Chinese philosopher and one of the most influential figures in Chinese history.","sets":"Basic Set, Party Set"},</v>
      </c>
      <c r="E420" s="9" t="str">
        <f t="shared" si="2"/>
        <v>data:image/svg+xml,%3csvg xmlns='http://www.w3.org/2000/svg' viewBox='0 0 24 216'%3e%3ctext fill='%23fff' style='font: 900 16px sans-serif' text-anchor='end' transform='matrix(0 -1 1 0 18 5)'%3eConfucius%3c/text%3e%3c/svg%3e</v>
      </c>
      <c r="F420" s="14" t="str">
        <f t="shared" si="3"/>
        <v>https://svgtext.heliohost.us/cgi-bin/gen.perl?text=Confucius</v>
      </c>
      <c r="G420" s="11" t="str">
        <f t="shared" si="4"/>
        <v>data:image/svg+xml,%3csvg xmlns='http://www.w3.org/2000/svg' viewBox='0 0 24 216'%3e%3ctext fill='%23fff' style='font: 900 16px sans-serif' text-anchor='end' transform='matrix(0 -1 1 0 18 5)'%3eConfucius%3c/text%3e%3c/svg%3e</v>
      </c>
      <c r="H420" s="8" t="s">
        <v>29</v>
      </c>
      <c r="I420" s="8">
        <f t="shared" ref="I420:J420" si="421">len(B420)</f>
        <v>9</v>
      </c>
      <c r="J420" s="8">
        <f t="shared" si="421"/>
        <v>108</v>
      </c>
      <c r="K420" s="8" t="s">
        <v>2981</v>
      </c>
    </row>
    <row r="421">
      <c r="A421" s="7" t="b">
        <v>0</v>
      </c>
      <c r="B421" s="8" t="s">
        <v>2982</v>
      </c>
      <c r="C421" s="8" t="s">
        <v>2983</v>
      </c>
      <c r="D421" s="8" t="str">
        <f>Q&amp;$K421&amp;Q&amp;":{"&amp;Q&amp;$B$2&amp;Q&amp;":"&amp;Q&amp;$B421&amp;Q&amp;","&amp;Q&amp;$C$2&amp;Q&amp;":"&amp;Q&amp;$C421&amp;Q&amp;","&amp;Q&amp;"sets"&amp;Q&amp;":"&amp;Q&amp;substitute(SUBSTITUTE($H421,"[",""),"]","")&amp;Q&amp;"},"</f>
        <v>"cxcp":{"label":"Conspiracy Theories","extra":"Oh, that was just a coincidence!","sets":"Expansion Set 1, Party Set"},</v>
      </c>
      <c r="E421" s="9" t="str">
        <f t="shared" si="2"/>
        <v>data:image/svg+xml,%3csvg xmlns='http://www.w3.org/2000/svg' viewBox='0 0 24 216'%3e%3ctext fill='%23fff' style='font: 900 16px sans-serif' text-anchor='end' transform='matrix(0 -1 1 0 18 5)'%3eConspiracy Theories%3c/text%3e%3c/svg%3e</v>
      </c>
      <c r="F421" s="14" t="str">
        <f t="shared" si="3"/>
        <v>https://svgtext.heliohost.us/cgi-bin/gen.perl?text=Conspiracy%20Theories</v>
      </c>
      <c r="G421" s="11" t="str">
        <f t="shared" si="4"/>
        <v>data:image/svg+xml,%3csvg xmlns='http://www.w3.org/2000/svg' viewBox='0 0 24 216'%3e%3ctext fill='%23fff' style='font: 900 16px sans-serif' text-anchor='end' transform='matrix(0 -1 1 0 18 5)'%3eConspiracy Theories%3c/text%3e%3c/svg%3e</v>
      </c>
      <c r="H421" s="8" t="s">
        <v>25</v>
      </c>
      <c r="I421" s="8">
        <f t="shared" ref="I421:J421" si="422">len(B421)</f>
        <v>19</v>
      </c>
      <c r="J421" s="8">
        <f t="shared" si="422"/>
        <v>32</v>
      </c>
      <c r="K421" s="8" t="s">
        <v>2984</v>
      </c>
    </row>
    <row r="422">
      <c r="A422" s="7" t="b">
        <v>0</v>
      </c>
      <c r="B422" s="8" t="s">
        <v>2985</v>
      </c>
      <c r="C422" s="7" t="s">
        <v>2986</v>
      </c>
      <c r="D422" s="8" t="str">
        <f>Q&amp;$K422&amp;Q&amp;":{"&amp;Q&amp;$B$2&amp;Q&amp;":"&amp;Q&amp;$B422&amp;Q&amp;","&amp;Q&amp;$C$2&amp;Q&amp;":"&amp;Q&amp;$C422&amp;Q&amp;","&amp;Q&amp;"sets"&amp;Q&amp;":"&amp;Q&amp;substitute(SUBSTITUTE($H422,"[",""),"]","")&amp;Q&amp;"},"</f>
        <v>"uvwq":{"label":"Construction Workers","extra":"Hard hats—hard bodies.","sets":"Expansion Set 1, Party Set"},</v>
      </c>
      <c r="E422" s="9" t="str">
        <f t="shared" si="2"/>
        <v>data:image/svg+xml,%3csvg xmlns='http://www.w3.org/2000/svg' viewBox='0 0 24 216'%3e%3ctext fill='%23fff' style='font: 900 16px sans-serif' text-anchor='end' transform='matrix(0 -1 1 0 18 5)'%3eConstruction Workers%3c/text%3e%3c/svg%3e</v>
      </c>
      <c r="F422" s="14" t="str">
        <f t="shared" si="3"/>
        <v>https://svgtext.heliohost.us/cgi-bin/gen.perl?text=Construction%20Workers</v>
      </c>
      <c r="G422" s="11" t="str">
        <f t="shared" si="4"/>
        <v>data:image/svg+xml,%3csvg xmlns='http://www.w3.org/2000/svg' viewBox='0 0 24 216'%3e%3ctext fill='%23fff' style='font: 900 16px sans-serif' text-anchor='end' transform='matrix(0 -1 1 0 18 5)'%3eConstruction Workers%3c/text%3e%3c/svg%3e</v>
      </c>
      <c r="H422" s="8" t="s">
        <v>25</v>
      </c>
      <c r="I422" s="8">
        <f t="shared" ref="I422:J422" si="423">len(B422)</f>
        <v>20</v>
      </c>
      <c r="J422" s="8">
        <f t="shared" si="423"/>
        <v>22</v>
      </c>
      <c r="K422" s="8" t="s">
        <v>2987</v>
      </c>
    </row>
    <row r="423">
      <c r="A423" s="7" t="b">
        <v>1</v>
      </c>
      <c r="B423" s="8" t="s">
        <v>2988</v>
      </c>
      <c r="C423" s="7" t="s">
        <v>2989</v>
      </c>
      <c r="D423" s="8" t="str">
        <f>Q&amp;$K423&amp;Q&amp;":{"&amp;Q&amp;$B$2&amp;Q&amp;":"&amp;Q&amp;$B423&amp;Q&amp;","&amp;Q&amp;$C$2&amp;Q&amp;":"&amp;Q&amp;$C423&amp;Q&amp;","&amp;Q&amp;"sets"&amp;Q&amp;":"&amp;Q&amp;substitute(SUBSTITUTE($H423,"[",""),"]","")&amp;Q&amp;"},"</f>
        <v>"zsol":{"label":"Convenience Stores","extra":"“Thank you come again.”","sets":"Expansion Set 3, Party Expansion 1"},</v>
      </c>
      <c r="E423" s="9" t="str">
        <f t="shared" si="2"/>
        <v>data:image/svg+xml,%3csvg xmlns='http://www.w3.org/2000/svg' viewBox='0 0 24 216'%3e%3ctext fill='%23fff' style='font: 900 16px sans-serif' text-anchor='end' transform='matrix(0 -1 1 0 18 5)'%3eConvenience Stores%3c/text%3e%3c/svg%3e</v>
      </c>
      <c r="F423" s="14" t="str">
        <f t="shared" si="3"/>
        <v>https://svgtext.heliohost.us/cgi-bin/gen.perl?text=Convenience%20Stores</v>
      </c>
      <c r="G423" s="11" t="str">
        <f t="shared" si="4"/>
        <v>data:image/svg+xml,%3csvg xmlns='http://www.w3.org/2000/svg' viewBox='0 0 24 216'%3e%3ctext fill='%23fff' style='font: 900 16px sans-serif' text-anchor='end' transform='matrix(0 -1 1 0 18 5)'%3eConvenience Stores%3c/text%3e%3c/svg%3e</v>
      </c>
      <c r="H423" s="8" t="s">
        <v>39</v>
      </c>
      <c r="I423" s="8">
        <f t="shared" ref="I423:J423" si="424">len(B423)</f>
        <v>18</v>
      </c>
      <c r="J423" s="8">
        <f t="shared" si="424"/>
        <v>23</v>
      </c>
      <c r="K423" s="8" t="s">
        <v>2990</v>
      </c>
    </row>
    <row r="424">
      <c r="A424" s="7" t="b">
        <v>1</v>
      </c>
      <c r="B424" s="8" t="s">
        <v>2991</v>
      </c>
      <c r="C424" s="8" t="s">
        <v>2992</v>
      </c>
      <c r="D424" s="8" t="str">
        <f>Q&amp;$K424&amp;Q&amp;":{"&amp;Q&amp;$B$2&amp;Q&amp;":"&amp;Q&amp;$B424&amp;Q&amp;","&amp;Q&amp;$C$2&amp;Q&amp;":"&amp;Q&amp;$C424&amp;Q&amp;","&amp;Q&amp;"sets"&amp;Q&amp;":"&amp;Q&amp;substitute(SUBSTITUTE($H424,"[",""),"]","")&amp;Q&amp;"},"</f>
        <v>"zphy":{"label":"Cookies","extra":"Chocolate chip, oatmeal, sugar or peanut butter.","sets":"Junior 9+ (1st) &amp; (2nd)"},</v>
      </c>
      <c r="E424" s="9" t="str">
        <f t="shared" si="2"/>
        <v>data:image/svg+xml,%3csvg xmlns='http://www.w3.org/2000/svg' viewBox='0 0 24 216'%3e%3ctext fill='%23fff' style='font: 900 16px sans-serif' text-anchor='end' transform='matrix(0 -1 1 0 18 5)'%3eCookies%3c/text%3e%3c/svg%3e</v>
      </c>
      <c r="F424" s="14" t="str">
        <f t="shared" si="3"/>
        <v>https://svgtext.heliohost.us/cgi-bin/gen.perl?text=Cookies</v>
      </c>
      <c r="G424" s="11" t="str">
        <f t="shared" si="4"/>
        <v>data:image/svg+xml,%3csvg xmlns='http://www.w3.org/2000/svg' viewBox='0 0 24 216'%3e%3ctext fill='%23fff' style='font: 900 16px sans-serif' text-anchor='end' transform='matrix(0 -1 1 0 18 5)'%3eCookies%3c/text%3e%3c/svg%3e</v>
      </c>
      <c r="H424" s="8" t="s">
        <v>42</v>
      </c>
      <c r="I424" s="8">
        <f t="shared" ref="I424:J424" si="425">len(B424)</f>
        <v>7</v>
      </c>
      <c r="J424" s="8">
        <f t="shared" si="425"/>
        <v>48</v>
      </c>
      <c r="K424" s="8" t="s">
        <v>2993</v>
      </c>
    </row>
    <row r="425">
      <c r="A425" s="7" t="b">
        <v>1</v>
      </c>
      <c r="B425" s="8" t="s">
        <v>2994</v>
      </c>
      <c r="C425" s="7" t="s">
        <v>2995</v>
      </c>
      <c r="D425" s="8" t="str">
        <f>Q&amp;$K425&amp;Q&amp;":{"&amp;Q&amp;$B$2&amp;Q&amp;":"&amp;Q&amp;$B425&amp;Q&amp;","&amp;Q&amp;$C$2&amp;Q&amp;":"&amp;Q&amp;$C425&amp;Q&amp;","&amp;Q&amp;"sets"&amp;Q&amp;":"&amp;Q&amp;substitute(SUBSTITUTE($H425,"[",""),"]","")&amp;Q&amp;"},"</f>
        <v>"ufie":{"label":"Cooking Dinner","extra":"What’s for dinner?","sets":"Junior 9+ (1st) &amp; (2nd)"},</v>
      </c>
      <c r="E425" s="9" t="str">
        <f t="shared" si="2"/>
        <v>data:image/svg+xml,%3csvg xmlns='http://www.w3.org/2000/svg' viewBox='0 0 24 216'%3e%3ctext fill='%23fff' style='font: 900 16px sans-serif' text-anchor='end' transform='matrix(0 -1 1 0 18 5)'%3eCooking Dinner%3c/text%3e%3c/svg%3e</v>
      </c>
      <c r="F425" s="14" t="str">
        <f t="shared" si="3"/>
        <v>https://svgtext.heliohost.us/cgi-bin/gen.perl?text=Cooking%20Dinner</v>
      </c>
      <c r="G425" s="11" t="str">
        <f t="shared" si="4"/>
        <v>data:image/svg+xml,%3csvg xmlns='http://www.w3.org/2000/svg' viewBox='0 0 24 216'%3e%3ctext fill='%23fff' style='font: 900 16px sans-serif' text-anchor='end' transform='matrix(0 -1 1 0 18 5)'%3eCooking Dinner%3c/text%3e%3c/svg%3e</v>
      </c>
      <c r="H425" s="8" t="s">
        <v>42</v>
      </c>
      <c r="I425" s="8">
        <f t="shared" ref="I425:J425" si="426">len(B425)</f>
        <v>14</v>
      </c>
      <c r="J425" s="8">
        <f t="shared" si="426"/>
        <v>18</v>
      </c>
      <c r="K425" s="8" t="s">
        <v>2996</v>
      </c>
    </row>
    <row r="426">
      <c r="A426" s="7" t="b">
        <v>1</v>
      </c>
      <c r="B426" s="8" t="s">
        <v>2997</v>
      </c>
      <c r="C426" s="7" t="s">
        <v>2998</v>
      </c>
      <c r="D426" s="8" t="str">
        <f>Q&amp;$K426&amp;Q&amp;":{"&amp;Q&amp;$B$2&amp;Q&amp;":"&amp;Q&amp;$B426&amp;Q&amp;","&amp;Q&amp;$C$2&amp;Q&amp;":"&amp;Q&amp;$C426&amp;Q&amp;","&amp;Q&amp;"sets"&amp;Q&amp;":"&amp;Q&amp;substitute(SUBSTITUTE($H426,"[",""),"]","")&amp;Q&amp;"},"</f>
        <v>"fkjb":{"label":"Cops &amp; Robbers","extra":"When fighting crime was just child’s play.","sets":"Expansion Set 4, Party Expansion 1"},</v>
      </c>
      <c r="E426" s="9" t="str">
        <f t="shared" si="2"/>
        <v>data:image/svg+xml,%3csvg xmlns='http://www.w3.org/2000/svg' viewBox='0 0 24 216'%3e%3ctext fill='%23fff' style='font: 900 16px sans-serif' text-anchor='end' transform='matrix(0 -1 1 0 18 5)'%3eCops %26amp%3B Robbers%3c/text%3e%3c/svg%3e</v>
      </c>
      <c r="F426" s="14" t="str">
        <f t="shared" si="3"/>
        <v>https://svgtext.heliohost.us/cgi-bin/gen.perl?text=Cops%20%26%20Robbers</v>
      </c>
      <c r="G426" s="11" t="str">
        <f t="shared" si="4"/>
        <v>data:image/svg+xml,%3csvg xmlns='http://www.w3.org/2000/svg' viewBox='0 0 24 216'%3e%3ctext fill='%23fff' style='font: 900 16px sans-serif' text-anchor='end' transform='matrix(0 -1 1 0 18 5)'%3eCops %26amp%3B Robbers%3c/text%3e%3c/svg%3e</v>
      </c>
      <c r="H426" s="8" t="s">
        <v>63</v>
      </c>
      <c r="I426" s="8">
        <f t="shared" ref="I426:J426" si="427">len(B426)</f>
        <v>14</v>
      </c>
      <c r="J426" s="8">
        <f t="shared" si="427"/>
        <v>42</v>
      </c>
      <c r="K426" s="8" t="s">
        <v>2999</v>
      </c>
    </row>
    <row r="427">
      <c r="A427" s="7" t="b">
        <v>1</v>
      </c>
      <c r="B427" s="8" t="s">
        <v>3000</v>
      </c>
      <c r="C427" s="8" t="s">
        <v>3001</v>
      </c>
      <c r="D427" s="8" t="str">
        <f>Q&amp;$K427&amp;Q&amp;":{"&amp;Q&amp;$B$2&amp;Q&amp;":"&amp;Q&amp;$B427&amp;Q&amp;","&amp;Q&amp;$C$2&amp;Q&amp;":"&amp;Q&amp;$C427&amp;Q&amp;","&amp;Q&amp;"sets"&amp;Q&amp;":"&amp;Q&amp;substitute(SUBSTITUTE($H427,"[",""),"]","")&amp;Q&amp;"},"</f>
        <v>"vskb":{"label":"Coral Reef","extra":"Composed of the skeletons of marine organisms. Home to lots of tropical fish.","sets":"Junior 9+ (2nd)"},</v>
      </c>
      <c r="E427" s="9" t="str">
        <f t="shared" si="2"/>
        <v>data:image/svg+xml,%3csvg xmlns='http://www.w3.org/2000/svg' viewBox='0 0 24 216'%3e%3ctext fill='%23fff' style='font: 900 16px sans-serif' text-anchor='end' transform='matrix(0 -1 1 0 18 5)'%3eCoral Reef%3c/text%3e%3c/svg%3e</v>
      </c>
      <c r="F427" s="14" t="str">
        <f t="shared" si="3"/>
        <v>https://svgtext.heliohost.us/cgi-bin/gen.perl?text=Coral%20Reef</v>
      </c>
      <c r="G427" s="11" t="str">
        <f t="shared" si="4"/>
        <v>data:image/svg+xml,%3csvg xmlns='http://www.w3.org/2000/svg' viewBox='0 0 24 216'%3e%3ctext fill='%23fff' style='font: 900 16px sans-serif' text-anchor='end' transform='matrix(0 -1 1 0 18 5)'%3eCoral Reef%3c/text%3e%3c/svg%3e</v>
      </c>
      <c r="H427" s="8" t="s">
        <v>32</v>
      </c>
      <c r="I427" s="8">
        <f t="shared" ref="I427:J427" si="428">len(B427)</f>
        <v>10</v>
      </c>
      <c r="J427" s="8">
        <f t="shared" si="428"/>
        <v>77</v>
      </c>
      <c r="K427" s="8" t="s">
        <v>3002</v>
      </c>
    </row>
    <row r="428">
      <c r="A428" s="7" t="b">
        <v>1</v>
      </c>
      <c r="B428" s="8" t="s">
        <v>3003</v>
      </c>
      <c r="C428" s="7" t="s">
        <v>3004</v>
      </c>
      <c r="D428" s="8" t="str">
        <f>Q&amp;$K428&amp;Q&amp;":{"&amp;Q&amp;$B$2&amp;Q&amp;":"&amp;Q&amp;$B428&amp;Q&amp;","&amp;Q&amp;$C$2&amp;Q&amp;":"&amp;Q&amp;$C428&amp;Q&amp;","&amp;Q&amp;"sets"&amp;Q&amp;":"&amp;Q&amp;substitute(SUBSTITUTE($H428,"[",""),"]","")&amp;Q&amp;"},"</f>
        <v>"koqn":{"label":"Corn Fields","extra":"Knee high by the Fourth of July.","sets":"Expansion Set 3, Party Expansion 1"},</v>
      </c>
      <c r="E428" s="9" t="str">
        <f t="shared" si="2"/>
        <v>data:image/svg+xml,%3csvg xmlns='http://www.w3.org/2000/svg' viewBox='0 0 24 216'%3e%3ctext fill='%23fff' style='font: 900 16px sans-serif' text-anchor='end' transform='matrix(0 -1 1 0 18 5)'%3eCorn Fields%3c/text%3e%3c/svg%3e</v>
      </c>
      <c r="F428" s="14" t="str">
        <f t="shared" si="3"/>
        <v>https://svgtext.heliohost.us/cgi-bin/gen.perl?text=Corn%20Fields</v>
      </c>
      <c r="G428" s="11" t="str">
        <f t="shared" si="4"/>
        <v>data:image/svg+xml,%3csvg xmlns='http://www.w3.org/2000/svg' viewBox='0 0 24 216'%3e%3ctext fill='%23fff' style='font: 900 16px sans-serif' text-anchor='end' transform='matrix(0 -1 1 0 18 5)'%3eCorn Fields%3c/text%3e%3c/svg%3e</v>
      </c>
      <c r="H428" s="8" t="s">
        <v>39</v>
      </c>
      <c r="I428" s="8">
        <f t="shared" ref="I428:J428" si="429">len(B428)</f>
        <v>11</v>
      </c>
      <c r="J428" s="8">
        <f t="shared" si="429"/>
        <v>32</v>
      </c>
      <c r="K428" s="8" t="s">
        <v>3005</v>
      </c>
    </row>
    <row r="429">
      <c r="A429" s="7" t="b">
        <v>1</v>
      </c>
      <c r="B429" s="8" t="s">
        <v>3006</v>
      </c>
      <c r="C429" s="7" t="s">
        <v>3007</v>
      </c>
      <c r="D429" s="8" t="str">
        <f>Q&amp;$K429&amp;Q&amp;":{"&amp;Q&amp;$B$2&amp;Q&amp;":"&amp;Q&amp;$B429&amp;Q&amp;","&amp;Q&amp;$C$2&amp;Q&amp;":"&amp;Q&amp;$C429&amp;Q&amp;","&amp;Q&amp;"sets"&amp;Q&amp;":"&amp;Q&amp;substitute(SUBSTITUTE($H429,"[",""),"]","")&amp;Q&amp;"},"</f>
        <v>"icyv":{"label":"Corn Flakes","extra":"Eat them fast or they’ll get soggy.","sets":"Junior 9+ (1st) &amp; (2nd)"},</v>
      </c>
      <c r="E429" s="9" t="str">
        <f t="shared" si="2"/>
        <v>data:image/svg+xml,%3csvg xmlns='http://www.w3.org/2000/svg' viewBox='0 0 24 216'%3e%3ctext fill='%23fff' style='font: 900 16px sans-serif' text-anchor='end' transform='matrix(0 -1 1 0 18 5)'%3eCorn Flakes%3c/text%3e%3c/svg%3e</v>
      </c>
      <c r="F429" s="14" t="str">
        <f t="shared" si="3"/>
        <v>https://svgtext.heliohost.us/cgi-bin/gen.perl?text=Corn%20Flakes</v>
      </c>
      <c r="G429" s="11" t="str">
        <f t="shared" si="4"/>
        <v>data:image/svg+xml,%3csvg xmlns='http://www.w3.org/2000/svg' viewBox='0 0 24 216'%3e%3ctext fill='%23fff' style='font: 900 16px sans-serif' text-anchor='end' transform='matrix(0 -1 1 0 18 5)'%3eCorn Flakes%3c/text%3e%3c/svg%3e</v>
      </c>
      <c r="H429" s="8" t="s">
        <v>42</v>
      </c>
      <c r="I429" s="8">
        <f t="shared" ref="I429:J429" si="430">len(B429)</f>
        <v>11</v>
      </c>
      <c r="J429" s="8">
        <f t="shared" si="430"/>
        <v>35</v>
      </c>
      <c r="K429" s="8" t="s">
        <v>3008</v>
      </c>
    </row>
    <row r="430">
      <c r="A430" s="7" t="b">
        <v>0</v>
      </c>
      <c r="B430" s="8" t="s">
        <v>3009</v>
      </c>
      <c r="C430" s="8" t="s">
        <v>3010</v>
      </c>
      <c r="D430" s="8" t="str">
        <f>Q&amp;$K430&amp;Q&amp;":{"&amp;Q&amp;$B$2&amp;Q&amp;":"&amp;Q&amp;$B430&amp;Q&amp;","&amp;Q&amp;$C$2&amp;Q&amp;":"&amp;Q&amp;$C430&amp;Q&amp;","&amp;Q&amp;"sets"&amp;Q&amp;":"&amp;Q&amp;substitute(SUBSTITUTE($H430,"[",""),"]","")&amp;Q&amp;"},"</f>
        <v>"tqkv":{"label":"Corn On The Cob","extra":"A grain native to the Americas, corn was a staple food for many centuries before corn holders were invented.","sets":"Basic Set, Party Set"},</v>
      </c>
      <c r="E430" s="9" t="str">
        <f t="shared" si="2"/>
        <v>data:image/svg+xml,%3csvg xmlns='http://www.w3.org/2000/svg' viewBox='0 0 24 216'%3e%3ctext fill='%23fff' style='font: 900 16px sans-serif' text-anchor='end' transform='matrix(0 -1 1 0 18 5)'%3eCorn On The Cob%3c/text%3e%3c/svg%3e</v>
      </c>
      <c r="F430" s="14" t="str">
        <f t="shared" si="3"/>
        <v>https://svgtext.heliohost.us/cgi-bin/gen.perl?text=Corn%20On%20The%20Cob</v>
      </c>
      <c r="G430" s="11" t="str">
        <f t="shared" si="4"/>
        <v>data:image/svg+xml,%3csvg xmlns='http://www.w3.org/2000/svg' viewBox='0 0 24 216'%3e%3ctext fill='%23fff' style='font: 900 16px sans-serif' text-anchor='end' transform='matrix(0 -1 1 0 18 5)'%3eCorn On The Cob%3c/text%3e%3c/svg%3e</v>
      </c>
      <c r="H430" s="8" t="s">
        <v>29</v>
      </c>
      <c r="I430" s="8">
        <f t="shared" ref="I430:J430" si="431">len(B430)</f>
        <v>15</v>
      </c>
      <c r="J430" s="8">
        <f t="shared" si="431"/>
        <v>108</v>
      </c>
      <c r="K430" s="8" t="s">
        <v>3011</v>
      </c>
    </row>
    <row r="431">
      <c r="A431" s="7" t="b">
        <v>1</v>
      </c>
      <c r="B431" s="8" t="s">
        <v>3009</v>
      </c>
      <c r="C431" s="7" t="s">
        <v>3012</v>
      </c>
      <c r="D431" s="8" t="str">
        <f>Q&amp;$K431&amp;Q&amp;":{"&amp;Q&amp;$B$2&amp;Q&amp;":"&amp;Q&amp;$B431&amp;Q&amp;","&amp;Q&amp;$C$2&amp;Q&amp;":"&amp;Q&amp;$C431&amp;Q&amp;","&amp;Q&amp;"sets"&amp;Q&amp;":"&amp;Q&amp;substitute(SUBSTITUTE($H431,"[",""),"]","")&amp;Q&amp;"},"</f>
        <v>"pwcn":{"label":"Corn On The Cob","extra":"It’s a summertime treat that gets stuck in your teeth.","sets":"Junior"},</v>
      </c>
      <c r="E431" s="9" t="str">
        <f t="shared" si="2"/>
        <v>data:image/svg+xml,%3csvg xmlns='http://www.w3.org/2000/svg' viewBox='0 0 24 216'%3e%3ctext fill='%23fff' style='font: 900 16px sans-serif' text-anchor='end' transform='matrix(0 -1 1 0 18 5)'%3eCorn On The Cob%3c/text%3e%3c/svg%3e</v>
      </c>
      <c r="F431" s="14" t="str">
        <f t="shared" si="3"/>
        <v>https://svgtext.heliohost.us/cgi-bin/gen.perl?text=Corn%20On%20The%20Cob</v>
      </c>
      <c r="G431" s="11" t="str">
        <f t="shared" si="4"/>
        <v>data:image/svg+xml,%3csvg xmlns='http://www.w3.org/2000/svg' viewBox='0 0 24 216'%3e%3ctext fill='%23fff' style='font: 900 16px sans-serif' text-anchor='end' transform='matrix(0 -1 1 0 18 5)'%3eCorn On The Cob%3c/text%3e%3c/svg%3e</v>
      </c>
      <c r="H431" s="8" t="s">
        <v>84</v>
      </c>
      <c r="I431" s="8">
        <f t="shared" ref="I431:J431" si="432">len(B431)</f>
        <v>15</v>
      </c>
      <c r="J431" s="8">
        <f t="shared" si="432"/>
        <v>54</v>
      </c>
      <c r="K431" s="8" t="s">
        <v>3013</v>
      </c>
    </row>
    <row r="432">
      <c r="A432" s="7" t="b">
        <v>1</v>
      </c>
      <c r="B432" s="8" t="s">
        <v>3014</v>
      </c>
      <c r="C432" s="7" t="s">
        <v>3015</v>
      </c>
      <c r="D432" s="8" t="str">
        <f>Q&amp;$K432&amp;Q&amp;":{"&amp;Q&amp;$B$2&amp;Q&amp;":"&amp;Q&amp;$B432&amp;Q&amp;","&amp;Q&amp;$C$2&amp;Q&amp;":"&amp;Q&amp;$C432&amp;Q&amp;","&amp;Q&amp;"sets"&amp;Q&amp;":"&amp;Q&amp;substitute(SUBSTITUTE($H432,"[",""),"]","")&amp;Q&amp;"},"</f>
        <v>"cjch":{"label":"Corned Beef &amp; Cabbage","extra":"It’s not chopped liver.","sets":"Expansion Set 4, Party Expansion 1"},</v>
      </c>
      <c r="E432" s="9" t="str">
        <f t="shared" si="2"/>
        <v>data:image/svg+xml,%3csvg xmlns='http://www.w3.org/2000/svg' viewBox='0 0 24 216'%3e%3ctext fill='%23fff' style='font: 900 16px sans-serif' text-anchor='end' transform='matrix(0 -1 1 0 18 5)'%3eCorned Beef %26amp%3B Cabbage%3c/text%3e%3c/svg%3e</v>
      </c>
      <c r="F432" s="14" t="str">
        <f t="shared" si="3"/>
        <v>https://svgtext.heliohost.us/cgi-bin/gen.perl?text=Corned%20Beef%20%26%20Cabbage</v>
      </c>
      <c r="G432" s="11" t="str">
        <f t="shared" si="4"/>
        <v>data:image/svg+xml,%3csvg xmlns='http://www.w3.org/2000/svg' viewBox='0 0 24 216'%3e%3ctext fill='%23fff' style='font: 900 16px sans-serif' text-anchor='end' transform='matrix(0 -1 1 0 18 5)'%3eCorned Beef %26amp%3B Cabbage%3c/text%3e%3c/svg%3e</v>
      </c>
      <c r="H432" s="8" t="s">
        <v>63</v>
      </c>
      <c r="I432" s="8">
        <f t="shared" ref="I432:J432" si="433">len(B432)</f>
        <v>21</v>
      </c>
      <c r="J432" s="8">
        <f t="shared" si="433"/>
        <v>23</v>
      </c>
      <c r="K432" s="8" t="s">
        <v>3016</v>
      </c>
    </row>
    <row r="433">
      <c r="A433" s="7" t="b">
        <v>1</v>
      </c>
      <c r="B433" s="8" t="s">
        <v>3017</v>
      </c>
      <c r="C433" s="7" t="s">
        <v>3018</v>
      </c>
      <c r="D433" s="8" t="str">
        <f>Q&amp;$K433&amp;Q&amp;":{"&amp;Q&amp;$B$2&amp;Q&amp;":"&amp;Q&amp;$B433&amp;Q&amp;","&amp;Q&amp;$C$2&amp;Q&amp;":"&amp;Q&amp;$C433&amp;Q&amp;","&amp;Q&amp;"sets"&amp;Q&amp;":"&amp;Q&amp;substitute(SUBSTITUTE($H433,"[",""),"]","")&amp;Q&amp;"},"</f>
        <v>"dcqf":{"label":"Corrugated Cardboard","extra":"When you want to think out of the box…","sets":"Expansion Set 3, Party Expansion 1"},</v>
      </c>
      <c r="E433" s="9" t="str">
        <f t="shared" si="2"/>
        <v>data:image/svg+xml,%3csvg xmlns='http://www.w3.org/2000/svg' viewBox='0 0 24 216'%3e%3ctext fill='%23fff' style='font: 900 16px sans-serif' text-anchor='end' transform='matrix(0 -1 1 0 18 5)'%3eCorrugated Cardboard%3c/text%3e%3c/svg%3e</v>
      </c>
      <c r="F433" s="14" t="str">
        <f t="shared" si="3"/>
        <v>https://svgtext.heliohost.us/cgi-bin/gen.perl?text=Corrugated%20Cardboard</v>
      </c>
      <c r="G433" s="11" t="str">
        <f t="shared" si="4"/>
        <v>data:image/svg+xml,%3csvg xmlns='http://www.w3.org/2000/svg' viewBox='0 0 24 216'%3e%3ctext fill='%23fff' style='font: 900 16px sans-serif' text-anchor='end' transform='matrix(0 -1 1 0 18 5)'%3eCorrugated Cardboard%3c/text%3e%3c/svg%3e</v>
      </c>
      <c r="H433" s="8" t="s">
        <v>39</v>
      </c>
      <c r="I433" s="8">
        <f t="shared" ref="I433:J433" si="434">len(B433)</f>
        <v>20</v>
      </c>
      <c r="J433" s="8">
        <f t="shared" si="434"/>
        <v>38</v>
      </c>
      <c r="K433" s="8" t="s">
        <v>3019</v>
      </c>
    </row>
    <row r="434">
      <c r="A434" s="7" t="b">
        <v>0</v>
      </c>
      <c r="B434" s="8" t="s">
        <v>3020</v>
      </c>
      <c r="C434" s="8" t="s">
        <v>3021</v>
      </c>
      <c r="D434" s="8" t="str">
        <f>Q&amp;$K434&amp;Q&amp;":{"&amp;Q&amp;$B$2&amp;Q&amp;":"&amp;Q&amp;$B434&amp;Q&amp;","&amp;Q&amp;$C$2&amp;Q&amp;":"&amp;Q&amp;$C434&amp;Q&amp;","&amp;Q&amp;"sets"&amp;Q&amp;":"&amp;Q&amp;substitute(SUBSTITUTE($H434,"[",""),"]","")&amp;Q&amp;"},"</f>
        <v>"fqgi":{"label":"Corvettes","extra":"In 1953, Chevrolet introduced the Corverre, the first mass-produced sports car with a fiberglass body. The perfect cure for a midlife crisis.","sets":"Expansion Set 1, Party Set"},</v>
      </c>
      <c r="E434" s="9" t="str">
        <f t="shared" si="2"/>
        <v>data:image/svg+xml,%3csvg xmlns='http://www.w3.org/2000/svg' viewBox='0 0 24 216'%3e%3ctext fill='%23fff' style='font: 900 16px sans-serif' text-anchor='end' transform='matrix(0 -1 1 0 18 5)'%3eCorvettes%3c/text%3e%3c/svg%3e</v>
      </c>
      <c r="F434" s="14" t="str">
        <f t="shared" si="3"/>
        <v>https://svgtext.heliohost.us/cgi-bin/gen.perl?text=Corvettes</v>
      </c>
      <c r="G434" s="11" t="str">
        <f t="shared" si="4"/>
        <v>data:image/svg+xml,%3csvg xmlns='http://www.w3.org/2000/svg' viewBox='0 0 24 216'%3e%3ctext fill='%23fff' style='font: 900 16px sans-serif' text-anchor='end' transform='matrix(0 -1 1 0 18 5)'%3eCorvettes%3c/text%3e%3c/svg%3e</v>
      </c>
      <c r="H434" s="8" t="s">
        <v>25</v>
      </c>
      <c r="I434" s="8">
        <f t="shared" ref="I434:J434" si="435">len(B434)</f>
        <v>9</v>
      </c>
      <c r="J434" s="8">
        <f t="shared" si="435"/>
        <v>141</v>
      </c>
      <c r="K434" s="8" t="s">
        <v>3022</v>
      </c>
    </row>
    <row r="435">
      <c r="A435" s="7" t="b">
        <v>1</v>
      </c>
      <c r="B435" s="8" t="s">
        <v>3023</v>
      </c>
      <c r="C435" s="7" t="s">
        <v>3024</v>
      </c>
      <c r="D435" s="8" t="str">
        <f>Q&amp;$K435&amp;Q&amp;":{"&amp;Q&amp;$B$2&amp;Q&amp;":"&amp;Q&amp;$B435&amp;Q&amp;","&amp;Q&amp;$C$2&amp;Q&amp;":"&amp;Q&amp;$C435&amp;Q&amp;","&amp;Q&amp;"sets"&amp;Q&amp;":"&amp;Q&amp;substitute(SUBSTITUTE($H435,"[",""),"]","")&amp;Q&amp;"},"</f>
        <v>"iwbh":{"label":"Cottage Cheese","extra":"If it’s so popular, where are all the Cottage Cheeseheads?","sets":"Expansion Set 3, Party Expansion 1"},</v>
      </c>
      <c r="E435" s="9" t="str">
        <f t="shared" si="2"/>
        <v>data:image/svg+xml,%3csvg xmlns='http://www.w3.org/2000/svg' viewBox='0 0 24 216'%3e%3ctext fill='%23fff' style='font: 900 16px sans-serif' text-anchor='end' transform='matrix(0 -1 1 0 18 5)'%3eCottage Cheese%3c/text%3e%3c/svg%3e</v>
      </c>
      <c r="F435" s="14" t="str">
        <f t="shared" si="3"/>
        <v>https://svgtext.heliohost.us/cgi-bin/gen.perl?text=Cottage%20Cheese</v>
      </c>
      <c r="G435" s="11" t="str">
        <f t="shared" si="4"/>
        <v>data:image/svg+xml,%3csvg xmlns='http://www.w3.org/2000/svg' viewBox='0 0 24 216'%3e%3ctext fill='%23fff' style='font: 900 16px sans-serif' text-anchor='end' transform='matrix(0 -1 1 0 18 5)'%3eCottage Cheese%3c/text%3e%3c/svg%3e</v>
      </c>
      <c r="H435" s="8" t="s">
        <v>39</v>
      </c>
      <c r="I435" s="8">
        <f t="shared" ref="I435:J435" si="436">len(B435)</f>
        <v>14</v>
      </c>
      <c r="J435" s="8">
        <f t="shared" si="436"/>
        <v>58</v>
      </c>
      <c r="K435" s="8" t="s">
        <v>3025</v>
      </c>
    </row>
    <row r="436">
      <c r="A436" s="7" t="b">
        <v>1</v>
      </c>
      <c r="B436" s="8" t="s">
        <v>3026</v>
      </c>
      <c r="C436" s="8" t="s">
        <v>3027</v>
      </c>
      <c r="D436" s="8" t="str">
        <f>Q&amp;$K436&amp;Q&amp;":{"&amp;Q&amp;$B$2&amp;Q&amp;":"&amp;Q&amp;$B436&amp;Q&amp;","&amp;Q&amp;$C$2&amp;Q&amp;":"&amp;Q&amp;$C436&amp;Q&amp;","&amp;Q&amp;"sets"&amp;Q&amp;":"&amp;Q&amp;substitute(SUBSTITUTE($H436,"[",""),"]","")&amp;Q&amp;"},"</f>
        <v>"fbyb":{"label":"Cotton Candy","extra":"Looks like cotton; tastes like candy.","sets":"Junior"},</v>
      </c>
      <c r="E436" s="9" t="str">
        <f t="shared" si="2"/>
        <v>data:image/svg+xml,%3csvg xmlns='http://www.w3.org/2000/svg' viewBox='0 0 24 216'%3e%3ctext fill='%23fff' style='font: 900 16px sans-serif' text-anchor='end' transform='matrix(0 -1 1 0 18 5)'%3eCotton Candy%3c/text%3e%3c/svg%3e</v>
      </c>
      <c r="F436" s="14" t="str">
        <f t="shared" si="3"/>
        <v>https://svgtext.heliohost.us/cgi-bin/gen.perl?text=Cotton%20Candy</v>
      </c>
      <c r="G436" s="11" t="str">
        <f t="shared" si="4"/>
        <v>data:image/svg+xml,%3csvg xmlns='http://www.w3.org/2000/svg' viewBox='0 0 24 216'%3e%3ctext fill='%23fff' style='font: 900 16px sans-serif' text-anchor='end' transform='matrix(0 -1 1 0 18 5)'%3eCotton Candy%3c/text%3e%3c/svg%3e</v>
      </c>
      <c r="H436" s="8" t="s">
        <v>84</v>
      </c>
      <c r="I436" s="8">
        <f t="shared" ref="I436:J436" si="437">len(B436)</f>
        <v>12</v>
      </c>
      <c r="J436" s="8">
        <f t="shared" si="437"/>
        <v>37</v>
      </c>
      <c r="K436" s="8" t="s">
        <v>3028</v>
      </c>
    </row>
    <row r="437">
      <c r="A437" s="7" t="b">
        <v>1</v>
      </c>
      <c r="B437" s="8" t="s">
        <v>3029</v>
      </c>
      <c r="C437" s="8" t="s">
        <v>3030</v>
      </c>
      <c r="D437" s="8" t="str">
        <f>Q&amp;$K437&amp;Q&amp;":{"&amp;Q&amp;$B$2&amp;Q&amp;":"&amp;Q&amp;$B437&amp;Q&amp;","&amp;Q&amp;$C$2&amp;Q&amp;":"&amp;Q&amp;$C437&amp;Q&amp;","&amp;Q&amp;"sets"&amp;Q&amp;":"&amp;Q&amp;substitute(SUBSTITUTE($H437,"[",""),"]","")&amp;Q&amp;"},"</f>
        <v>"skyb":{"label":"Coughing &amp; Sneezing","extra":"And no cure in sight.","sets":"Expansion Set 4, Party Expansion 1"},</v>
      </c>
      <c r="E437" s="9" t="str">
        <f t="shared" si="2"/>
        <v>data:image/svg+xml,%3csvg xmlns='http://www.w3.org/2000/svg' viewBox='0 0 24 216'%3e%3ctext fill='%23fff' style='font: 900 16px sans-serif' text-anchor='end' transform='matrix(0 -1 1 0 18 5)'%3eCoughing %26amp%3B Sneezing%3c/text%3e%3c/svg%3e</v>
      </c>
      <c r="F437" s="14" t="str">
        <f t="shared" si="3"/>
        <v>https://svgtext.heliohost.us/cgi-bin/gen.perl?text=Coughing%20%26%20Sneezing</v>
      </c>
      <c r="G437" s="11" t="str">
        <f t="shared" si="4"/>
        <v>data:image/svg+xml,%3csvg xmlns='http://www.w3.org/2000/svg' viewBox='0 0 24 216'%3e%3ctext fill='%23fff' style='font: 900 16px sans-serif' text-anchor='end' transform='matrix(0 -1 1 0 18 5)'%3eCoughing %26amp%3B Sneezing%3c/text%3e%3c/svg%3e</v>
      </c>
      <c r="H437" s="8" t="s">
        <v>63</v>
      </c>
      <c r="I437" s="8">
        <f t="shared" ref="I437:J437" si="438">len(B437)</f>
        <v>19</v>
      </c>
      <c r="J437" s="8">
        <f t="shared" si="438"/>
        <v>21</v>
      </c>
      <c r="K437" s="8" t="s">
        <v>3031</v>
      </c>
    </row>
    <row r="438">
      <c r="A438" s="7" t="b">
        <v>0</v>
      </c>
      <c r="B438" s="8" t="s">
        <v>3032</v>
      </c>
      <c r="C438" s="7" t="s">
        <v>3033</v>
      </c>
      <c r="D438" s="8" t="str">
        <f>Q&amp;$K438&amp;Q&amp;":{"&amp;Q&amp;$B$2&amp;Q&amp;":"&amp;Q&amp;$B438&amp;Q&amp;","&amp;Q&amp;$C$2&amp;Q&amp;":"&amp;Q&amp;$C438&amp;Q&amp;","&amp;Q&amp;"sets"&amp;Q&amp;":"&amp;Q&amp;substitute(SUBSTITUTE($H438,"[",""),"]","")&amp;Q&amp;"},"</f>
        <v>"toqz":{"label":"Count Dracula","extra":"“I vant to suck your blood!”","sets":"Expansion Set 1, Party Set"},</v>
      </c>
      <c r="E438" s="9" t="str">
        <f t="shared" si="2"/>
        <v>data:image/svg+xml,%3csvg xmlns='http://www.w3.org/2000/svg' viewBox='0 0 24 216'%3e%3ctext fill='%23fff' style='font: 900 16px sans-serif' text-anchor='end' transform='matrix(0 -1 1 0 18 5)'%3eCount Dracula%3c/text%3e%3c/svg%3e</v>
      </c>
      <c r="F438" s="14" t="str">
        <f t="shared" si="3"/>
        <v>https://svgtext.heliohost.us/cgi-bin/gen.perl?text=Count%20Dracula</v>
      </c>
      <c r="G438" s="11" t="str">
        <f t="shared" si="4"/>
        <v>data:image/svg+xml,%3csvg xmlns='http://www.w3.org/2000/svg' viewBox='0 0 24 216'%3e%3ctext fill='%23fff' style='font: 900 16px sans-serif' text-anchor='end' transform='matrix(0 -1 1 0 18 5)'%3eCount Dracula%3c/text%3e%3c/svg%3e</v>
      </c>
      <c r="H438" s="8" t="s">
        <v>25</v>
      </c>
      <c r="I438" s="8">
        <f t="shared" ref="I438:J438" si="439">len(B438)</f>
        <v>13</v>
      </c>
      <c r="J438" s="8">
        <f t="shared" si="439"/>
        <v>28</v>
      </c>
      <c r="K438" s="8" t="s">
        <v>3034</v>
      </c>
    </row>
    <row r="439">
      <c r="A439" s="7" t="b">
        <v>0</v>
      </c>
      <c r="B439" s="8" t="s">
        <v>3035</v>
      </c>
      <c r="C439" s="7" t="s">
        <v>3036</v>
      </c>
      <c r="D439" s="8" t="str">
        <f>Q&amp;$K439&amp;Q&amp;":{"&amp;Q&amp;$B$2&amp;Q&amp;":"&amp;Q&amp;$B439&amp;Q&amp;","&amp;Q&amp;$C$2&amp;Q&amp;":"&amp;Q&amp;$C439&amp;Q&amp;","&amp;Q&amp;"sets"&amp;Q&amp;":"&amp;Q&amp;substitute(SUBSTITUTE($H439,"[",""),"]","")&amp;Q&amp;"},"</f>
        <v>"bzcd":{"label":"Country Music","extra":"Encompassing styles such as western swing, honky-tonk, bluegrass and rockabilly. Should mention a pickup truck and a dog named “Bo.”","sets":"Expansion Set 2, Party Set"},</v>
      </c>
      <c r="E439" s="9" t="str">
        <f t="shared" si="2"/>
        <v>data:image/svg+xml,%3csvg xmlns='http://www.w3.org/2000/svg' viewBox='0 0 24 216'%3e%3ctext fill='%23fff' style='font: 900 16px sans-serif' text-anchor='end' transform='matrix(0 -1 1 0 18 5)'%3eCountry Music%3c/text%3e%3c/svg%3e</v>
      </c>
      <c r="F439" s="14" t="str">
        <f t="shared" si="3"/>
        <v>https://svgtext.heliohost.us/cgi-bin/gen.perl?text=Country%20Music</v>
      </c>
      <c r="G439" s="11" t="str">
        <f t="shared" si="4"/>
        <v>data:image/svg+xml,%3csvg xmlns='http://www.w3.org/2000/svg' viewBox='0 0 24 216'%3e%3ctext fill='%23fff' style='font: 900 16px sans-serif' text-anchor='end' transform='matrix(0 -1 1 0 18 5)'%3eCountry Music%3c/text%3e%3c/svg%3e</v>
      </c>
      <c r="H439" s="8" t="s">
        <v>17</v>
      </c>
      <c r="I439" s="8">
        <f t="shared" ref="I439:J439" si="440">len(B439)</f>
        <v>13</v>
      </c>
      <c r="J439" s="8">
        <f t="shared" si="440"/>
        <v>132</v>
      </c>
      <c r="K439" s="8" t="s">
        <v>3037</v>
      </c>
    </row>
    <row r="440">
      <c r="A440" s="7" t="b">
        <v>0</v>
      </c>
      <c r="B440" s="8" t="s">
        <v>3038</v>
      </c>
      <c r="C440" s="7" t="s">
        <v>3039</v>
      </c>
      <c r="D440" s="8" t="str">
        <f>Q&amp;$K440&amp;Q&amp;":{"&amp;Q&amp;$B$2&amp;Q&amp;":"&amp;Q&amp;$B440&amp;Q&amp;","&amp;Q&amp;$C$2&amp;Q&amp;":"&amp;Q&amp;$C440&amp;Q&amp;","&amp;Q&amp;"sets"&amp;Q&amp;":"&amp;Q&amp;substitute(SUBSTITUTE($H440,"[",""),"]","")&amp;Q&amp;"},"</f>
        <v>"lkwy":{"label":"Cow-Pies","extra":"When dried, these “cow chips” are hurled discus-like over great distances. It's true.","sets":"Basic Set, Party Set"},</v>
      </c>
      <c r="E440" s="9" t="str">
        <f t="shared" si="2"/>
        <v>data:image/svg+xml,%3csvg xmlns='http://www.w3.org/2000/svg' viewBox='0 0 24 216'%3e%3ctext fill='%23fff' style='font: 900 16px sans-serif' text-anchor='end' transform='matrix(0 -1 1 0 18 5)'%3eCow-Pies%3c/text%3e%3c/svg%3e</v>
      </c>
      <c r="F440" s="14" t="str">
        <f t="shared" si="3"/>
        <v>https://svgtext.heliohost.us/cgi-bin/gen.perl?text=Cow-Pies</v>
      </c>
      <c r="G440" s="11" t="str">
        <f t="shared" si="4"/>
        <v>data:image/svg+xml,%3csvg xmlns='http://www.w3.org/2000/svg' viewBox='0 0 24 216'%3e%3ctext fill='%23fff' style='font: 900 16px sans-serif' text-anchor='end' transform='matrix(0 -1 1 0 18 5)'%3eCow-Pies%3c/text%3e%3c/svg%3e</v>
      </c>
      <c r="H440" s="8" t="s">
        <v>29</v>
      </c>
      <c r="I440" s="8">
        <f t="shared" ref="I440:J440" si="441">len(B440)</f>
        <v>8</v>
      </c>
      <c r="J440" s="8">
        <f t="shared" si="441"/>
        <v>85</v>
      </c>
      <c r="K440" s="8" t="s">
        <v>3040</v>
      </c>
    </row>
    <row r="441">
      <c r="A441" s="7" t="b">
        <v>1</v>
      </c>
      <c r="B441" s="8" t="s">
        <v>3041</v>
      </c>
      <c r="C441" s="8" t="s">
        <v>3042</v>
      </c>
      <c r="D441" s="8" t="str">
        <f>Q&amp;$K441&amp;Q&amp;":{"&amp;Q&amp;$B$2&amp;Q&amp;":"&amp;Q&amp;$B441&amp;Q&amp;","&amp;Q&amp;$C$2&amp;Q&amp;":"&amp;Q&amp;$C441&amp;Q&amp;","&amp;Q&amp;"sets"&amp;Q&amp;":"&amp;Q&amp;substitute(SUBSTITUTE($H441,"[",""),"]","")&amp;Q&amp;"},"</f>
        <v>"yyjg":{"label":"Cowboys","extra":"Men who take care of cattle on a ranch.","sets":"Junior"},</v>
      </c>
      <c r="E441" s="9" t="str">
        <f t="shared" si="2"/>
        <v>data:image/svg+xml,%3csvg xmlns='http://www.w3.org/2000/svg' viewBox='0 0 24 216'%3e%3ctext fill='%23fff' style='font: 900 16px sans-serif' text-anchor='end' transform='matrix(0 -1 1 0 18 5)'%3eCowboys%3c/text%3e%3c/svg%3e</v>
      </c>
      <c r="F441" s="14" t="str">
        <f t="shared" si="3"/>
        <v>https://svgtext.heliohost.us/cgi-bin/gen.perl?text=Cowboys</v>
      </c>
      <c r="G441" s="11" t="str">
        <f t="shared" si="4"/>
        <v>data:image/svg+xml,%3csvg xmlns='http://www.w3.org/2000/svg' viewBox='0 0 24 216'%3e%3ctext fill='%23fff' style='font: 900 16px sans-serif' text-anchor='end' transform='matrix(0 -1 1 0 18 5)'%3eCowboys%3c/text%3e%3c/svg%3e</v>
      </c>
      <c r="H441" s="8" t="s">
        <v>84</v>
      </c>
      <c r="I441" s="8">
        <f t="shared" ref="I441:J441" si="442">len(B441)</f>
        <v>7</v>
      </c>
      <c r="J441" s="8">
        <f t="shared" si="442"/>
        <v>39</v>
      </c>
      <c r="K441" s="8" t="s">
        <v>3043</v>
      </c>
    </row>
    <row r="442">
      <c r="A442" s="7" t="b">
        <v>1</v>
      </c>
      <c r="B442" s="8" t="s">
        <v>3041</v>
      </c>
      <c r="C442" s="7" t="s">
        <v>3044</v>
      </c>
      <c r="D442" s="8" t="str">
        <f>Q&amp;$K442&amp;Q&amp;":{"&amp;Q&amp;$B$2&amp;Q&amp;":"&amp;Q&amp;$B442&amp;Q&amp;","&amp;Q&amp;$C$2&amp;Q&amp;":"&amp;Q&amp;$C442&amp;Q&amp;","&amp;Q&amp;"sets"&amp;Q&amp;":"&amp;Q&amp;substitute(SUBSTITUTE($H442,"[",""),"]","")&amp;Q&amp;"},"</f>
        <v>"asxh":{"label":"Cowboys","extra":"Head ’em up and move ’em out!","sets":"Expansion Set 3, Party Expansion 1"},</v>
      </c>
      <c r="E442" s="9" t="str">
        <f t="shared" si="2"/>
        <v>data:image/svg+xml,%3csvg xmlns='http://www.w3.org/2000/svg' viewBox='0 0 24 216'%3e%3ctext fill='%23fff' style='font: 900 16px sans-serif' text-anchor='end' transform='matrix(0 -1 1 0 18 5)'%3eCowboys%3c/text%3e%3c/svg%3e</v>
      </c>
      <c r="F442" s="14" t="str">
        <f t="shared" si="3"/>
        <v>https://svgtext.heliohost.us/cgi-bin/gen.perl?text=Cowboys</v>
      </c>
      <c r="G442" s="11" t="str">
        <f t="shared" si="4"/>
        <v>data:image/svg+xml,%3csvg xmlns='http://www.w3.org/2000/svg' viewBox='0 0 24 216'%3e%3ctext fill='%23fff' style='font: 900 16px sans-serif' text-anchor='end' transform='matrix(0 -1 1 0 18 5)'%3eCowboys%3c/text%3e%3c/svg%3e</v>
      </c>
      <c r="H442" s="8" t="s">
        <v>39</v>
      </c>
      <c r="I442" s="8">
        <f t="shared" ref="I442:J442" si="443">len(B442)</f>
        <v>7</v>
      </c>
      <c r="J442" s="8">
        <f t="shared" si="443"/>
        <v>29</v>
      </c>
      <c r="K442" s="8" t="s">
        <v>3045</v>
      </c>
    </row>
    <row r="443">
      <c r="A443" s="7" t="b">
        <v>1</v>
      </c>
      <c r="B443" s="8" t="s">
        <v>3046</v>
      </c>
      <c r="C443" s="7" t="s">
        <v>3047</v>
      </c>
      <c r="D443" s="8" t="str">
        <f>Q&amp;$K443&amp;Q&amp;":{"&amp;Q&amp;$B$2&amp;Q&amp;":"&amp;Q&amp;$B443&amp;Q&amp;","&amp;Q&amp;$C$2&amp;Q&amp;":"&amp;Q&amp;$C443&amp;Q&amp;","&amp;Q&amp;"sets"&amp;Q&amp;":"&amp;Q&amp;substitute(SUBSTITUTE($H443,"[",""),"]","")&amp;Q&amp;"},"</f>
        <v>"zkvm":{"label":"Cowboys &amp; Indians","extra":"How the west was won… and lost.","sets":"Expansion Set 4, Party Expansion 1"},</v>
      </c>
      <c r="E443" s="9" t="str">
        <f t="shared" si="2"/>
        <v>data:image/svg+xml,%3csvg xmlns='http://www.w3.org/2000/svg' viewBox='0 0 24 216'%3e%3ctext fill='%23fff' style='font: 900 16px sans-serif' text-anchor='end' transform='matrix(0 -1 1 0 18 5)'%3eCowboys %26amp%3B Indians%3c/text%3e%3c/svg%3e</v>
      </c>
      <c r="F443" s="14" t="str">
        <f t="shared" si="3"/>
        <v>https://svgtext.heliohost.us/cgi-bin/gen.perl?text=Cowboys%20%26%20Indians</v>
      </c>
      <c r="G443" s="11" t="str">
        <f t="shared" si="4"/>
        <v>data:image/svg+xml,%3csvg xmlns='http://www.w3.org/2000/svg' viewBox='0 0 24 216'%3e%3ctext fill='%23fff' style='font: 900 16px sans-serif' text-anchor='end' transform='matrix(0 -1 1 0 18 5)'%3eCowboys %26amp%3B Indians%3c/text%3e%3c/svg%3e</v>
      </c>
      <c r="H443" s="8" t="s">
        <v>63</v>
      </c>
      <c r="I443" s="8">
        <f t="shared" ref="I443:J443" si="444">len(B443)</f>
        <v>17</v>
      </c>
      <c r="J443" s="8">
        <f t="shared" si="444"/>
        <v>31</v>
      </c>
      <c r="K443" s="8" t="s">
        <v>3048</v>
      </c>
    </row>
    <row r="444">
      <c r="A444" s="7" t="b">
        <v>1</v>
      </c>
      <c r="B444" s="8" t="s">
        <v>3049</v>
      </c>
      <c r="C444" s="8" t="s">
        <v>3050</v>
      </c>
      <c r="D444" s="8" t="str">
        <f>Q&amp;$K444&amp;Q&amp;":{"&amp;Q&amp;$B$2&amp;Q&amp;":"&amp;Q&amp;$B444&amp;Q&amp;","&amp;Q&amp;$C$2&amp;Q&amp;":"&amp;Q&amp;$C444&amp;Q&amp;","&amp;Q&amp;"sets"&amp;Q&amp;":"&amp;Q&amp;substitute(SUBSTITUTE($H444,"[",""),"]","")&amp;Q&amp;"},"</f>
        <v>"djms":{"label":"Cows","extra":"Large farm animals raised for milk. Moo.","sets":"Junior"},</v>
      </c>
      <c r="E444" s="9" t="str">
        <f t="shared" si="2"/>
        <v>data:image/svg+xml,%3csvg xmlns='http://www.w3.org/2000/svg' viewBox='0 0 24 216'%3e%3ctext fill='%23fff' style='font: 900 16px sans-serif' text-anchor='end' transform='matrix(0 -1 1 0 18 5)'%3eCows%3c/text%3e%3c/svg%3e</v>
      </c>
      <c r="F444" s="14" t="str">
        <f t="shared" si="3"/>
        <v>https://svgtext.heliohost.us/cgi-bin/gen.perl?text=Cows</v>
      </c>
      <c r="G444" s="11" t="str">
        <f t="shared" si="4"/>
        <v>data:image/svg+xml,%3csvg xmlns='http://www.w3.org/2000/svg' viewBox='0 0 24 216'%3e%3ctext fill='%23fff' style='font: 900 16px sans-serif' text-anchor='end' transform='matrix(0 -1 1 0 18 5)'%3eCows%3c/text%3e%3c/svg%3e</v>
      </c>
      <c r="H444" s="8" t="s">
        <v>84</v>
      </c>
      <c r="I444" s="8">
        <f t="shared" ref="I444:J444" si="445">len(B444)</f>
        <v>4</v>
      </c>
      <c r="J444" s="8">
        <f t="shared" si="445"/>
        <v>40</v>
      </c>
      <c r="K444" s="8" t="s">
        <v>3051</v>
      </c>
    </row>
    <row r="445">
      <c r="A445" s="7" t="b">
        <v>1</v>
      </c>
      <c r="B445" s="8" t="s">
        <v>3052</v>
      </c>
      <c r="C445" s="7" t="s">
        <v>3053</v>
      </c>
      <c r="D445" s="8" t="str">
        <f>Q&amp;$K445&amp;Q&amp;":{"&amp;Q&amp;$B$2&amp;Q&amp;":"&amp;Q&amp;$B445&amp;Q&amp;","&amp;Q&amp;$C$2&amp;Q&amp;":"&amp;Q&amp;$C445&amp;Q&amp;","&amp;Q&amp;"sets"&amp;Q&amp;":"&amp;Q&amp;substitute(SUBSTITUTE($H445,"[",""),"]","")&amp;Q&amp;"},"</f>
        <v>"patj":{"label":"Crabs","extra":"As crustaceans, crabs are related to lobster and shrimp. What do they all have in common? They all go well with butter.","sets":"Expansion Set 3, Party Expansion 1"},</v>
      </c>
      <c r="E445" s="9" t="str">
        <f t="shared" si="2"/>
        <v>data:image/svg+xml,%3csvg xmlns='http://www.w3.org/2000/svg' viewBox='0 0 24 216'%3e%3ctext fill='%23fff' style='font: 900 16px sans-serif' text-anchor='end' transform='matrix(0 -1 1 0 18 5)'%3eCrabs%3c/text%3e%3c/svg%3e</v>
      </c>
      <c r="F445" s="14" t="str">
        <f t="shared" si="3"/>
        <v>https://svgtext.heliohost.us/cgi-bin/gen.perl?text=Crabs</v>
      </c>
      <c r="G445" s="11" t="str">
        <f t="shared" si="4"/>
        <v>data:image/svg+xml,%3csvg xmlns='http://www.w3.org/2000/svg' viewBox='0 0 24 216'%3e%3ctext fill='%23fff' style='font: 900 16px sans-serif' text-anchor='end' transform='matrix(0 -1 1 0 18 5)'%3eCrabs%3c/text%3e%3c/svg%3e</v>
      </c>
      <c r="H445" s="8" t="s">
        <v>39</v>
      </c>
      <c r="I445" s="8">
        <f t="shared" ref="I445:J445" si="446">len(B445)</f>
        <v>5</v>
      </c>
      <c r="J445" s="8">
        <f t="shared" si="446"/>
        <v>119</v>
      </c>
      <c r="K445" s="8" t="s">
        <v>3054</v>
      </c>
    </row>
    <row r="446">
      <c r="A446" s="7" t="b">
        <v>1</v>
      </c>
      <c r="B446" s="8" t="s">
        <v>3055</v>
      </c>
      <c r="C446" s="8" t="s">
        <v>3056</v>
      </c>
      <c r="D446" s="8" t="str">
        <f>Q&amp;$K446&amp;Q&amp;":{"&amp;Q&amp;$B$2&amp;Q&amp;":"&amp;Q&amp;$B446&amp;Q&amp;","&amp;Q&amp;$C$2&amp;Q&amp;":"&amp;Q&amp;$C446&amp;Q&amp;","&amp;Q&amp;"sets"&amp;Q&amp;":"&amp;Q&amp;substitute(SUBSTITUTE($H446,"[",""),"]","")&amp;Q&amp;"},"</f>
        <v>"kjpp":{"label":"Crash &amp; Burn","extra":"Try, try again.","sets":"Expansion Set 4, Party Expansion 1"},</v>
      </c>
      <c r="E446" s="9" t="str">
        <f t="shared" si="2"/>
        <v>data:image/svg+xml,%3csvg xmlns='http://www.w3.org/2000/svg' viewBox='0 0 24 216'%3e%3ctext fill='%23fff' style='font: 900 16px sans-serif' text-anchor='end' transform='matrix(0 -1 1 0 18 5)'%3eCrash %26amp%3B Burn%3c/text%3e%3c/svg%3e</v>
      </c>
      <c r="F446" s="14" t="str">
        <f t="shared" si="3"/>
        <v>https://svgtext.heliohost.us/cgi-bin/gen.perl?text=Crash%20%26%20Burn</v>
      </c>
      <c r="G446" s="11" t="str">
        <f t="shared" si="4"/>
        <v>data:image/svg+xml,%3csvg xmlns='http://www.w3.org/2000/svg' viewBox='0 0 24 216'%3e%3ctext fill='%23fff' style='font: 900 16px sans-serif' text-anchor='end' transform='matrix(0 -1 1 0 18 5)'%3eCrash %26amp%3B Burn%3c/text%3e%3c/svg%3e</v>
      </c>
      <c r="H446" s="8" t="s">
        <v>63</v>
      </c>
      <c r="I446" s="8">
        <f t="shared" ref="I446:J446" si="447">len(B446)</f>
        <v>12</v>
      </c>
      <c r="J446" s="8">
        <f t="shared" si="447"/>
        <v>15</v>
      </c>
      <c r="K446" s="8" t="s">
        <v>3057</v>
      </c>
    </row>
    <row r="447">
      <c r="A447" s="7" t="b">
        <v>0</v>
      </c>
      <c r="B447" s="8" t="s">
        <v>3058</v>
      </c>
      <c r="C447" s="8" t="s">
        <v>3059</v>
      </c>
      <c r="D447" s="8" t="str">
        <f>Q&amp;$K447&amp;Q&amp;":{"&amp;Q&amp;$B$2&amp;Q&amp;":"&amp;Q&amp;$B447&amp;Q&amp;","&amp;Q&amp;$C$2&amp;Q&amp;":"&amp;Q&amp;$C447&amp;Q&amp;","&amp;Q&amp;"sets"&amp;Q&amp;":"&amp;Q&amp;substitute(SUBSTITUTE($H447,"[",""),"]","")&amp;Q&amp;"},"</f>
        <v>"lnsv":{"label":"Crazy Horse","extra":"1849?-77, chief of the Oglala Sioux. A leader in the Native American resistance to the westward expansion on the United States.","sets":"Expansion Set 1, Party Set"},</v>
      </c>
      <c r="E447" s="9" t="str">
        <f t="shared" si="2"/>
        <v>data:image/svg+xml,%3csvg xmlns='http://www.w3.org/2000/svg' viewBox='0 0 24 216'%3e%3ctext fill='%23fff' style='font: 900 16px sans-serif' text-anchor='end' transform='matrix(0 -1 1 0 18 5)'%3eCrazy Horse%3c/text%3e%3c/svg%3e</v>
      </c>
      <c r="F447" s="14" t="str">
        <f t="shared" si="3"/>
        <v>https://svgtext.heliohost.us/cgi-bin/gen.perl?text=Crazy%20Horse</v>
      </c>
      <c r="G447" s="11" t="str">
        <f t="shared" si="4"/>
        <v>data:image/svg+xml,%3csvg xmlns='http://www.w3.org/2000/svg' viewBox='0 0 24 216'%3e%3ctext fill='%23fff' style='font: 900 16px sans-serif' text-anchor='end' transform='matrix(0 -1 1 0 18 5)'%3eCrazy Horse%3c/text%3e%3c/svg%3e</v>
      </c>
      <c r="H447" s="8" t="s">
        <v>25</v>
      </c>
      <c r="I447" s="8">
        <f t="shared" ref="I447:J447" si="448">len(B447)</f>
        <v>11</v>
      </c>
      <c r="J447" s="8">
        <f t="shared" si="448"/>
        <v>127</v>
      </c>
      <c r="K447" s="8" t="s">
        <v>3060</v>
      </c>
    </row>
    <row r="448">
      <c r="A448" s="7" t="b">
        <v>1</v>
      </c>
      <c r="B448" s="8" t="s">
        <v>3061</v>
      </c>
      <c r="C448" s="8" t="s">
        <v>3062</v>
      </c>
      <c r="D448" s="8" t="str">
        <f>Q&amp;$K448&amp;Q&amp;":{"&amp;Q&amp;$B$2&amp;Q&amp;":"&amp;Q&amp;$B448&amp;Q&amp;","&amp;Q&amp;$C$2&amp;Q&amp;":"&amp;Q&amp;$C448&amp;Q&amp;","&amp;Q&amp;"sets"&amp;Q&amp;":"&amp;Q&amp;substitute(SUBSTITUTE($H448,"[",""),"]","")&amp;Q&amp;"},"</f>
        <v>"j{gc":{"label":"Cream &amp; Sugar","extra":"Do you want some coffee with that?","sets":"Expansion Set 4, Party Expansion 1"},</v>
      </c>
      <c r="E448" s="9" t="str">
        <f t="shared" si="2"/>
        <v>data:image/svg+xml,%3csvg xmlns='http://www.w3.org/2000/svg' viewBox='0 0 24 216'%3e%3ctext fill='%23fff' style='font: 900 16px sans-serif' text-anchor='end' transform='matrix(0 -1 1 0 18 5)'%3eCream %26amp%3B Sugar%3c/text%3e%3c/svg%3e</v>
      </c>
      <c r="F448" s="14" t="str">
        <f t="shared" si="3"/>
        <v>https://svgtext.heliohost.us/cgi-bin/gen.perl?text=Cream%20%26%20Sugar</v>
      </c>
      <c r="G448" s="11" t="str">
        <f t="shared" si="4"/>
        <v>data:image/svg+xml,%3csvg xmlns='http://www.w3.org/2000/svg' viewBox='0 0 24 216'%3e%3ctext fill='%23fff' style='font: 900 16px sans-serif' text-anchor='end' transform='matrix(0 -1 1 0 18 5)'%3eCream %26amp%3B Sugar%3c/text%3e%3c/svg%3e</v>
      </c>
      <c r="H448" s="8" t="s">
        <v>63</v>
      </c>
      <c r="I448" s="8">
        <f t="shared" ref="I448:J448" si="449">len(B448)</f>
        <v>13</v>
      </c>
      <c r="J448" s="8">
        <f t="shared" si="449"/>
        <v>34</v>
      </c>
      <c r="K448" s="8" t="s">
        <v>3063</v>
      </c>
    </row>
    <row r="449">
      <c r="A449" s="7" t="b">
        <v>0</v>
      </c>
      <c r="B449" s="8" t="s">
        <v>3064</v>
      </c>
      <c r="C449" s="7" t="s">
        <v>3065</v>
      </c>
      <c r="D449" s="8" t="str">
        <f>Q&amp;$K449&amp;Q&amp;":{"&amp;Q&amp;$B$2&amp;Q&amp;":"&amp;Q&amp;$B449&amp;Q&amp;","&amp;Q&amp;$C$2&amp;Q&amp;":"&amp;Q&amp;$C449&amp;Q&amp;","&amp;Q&amp;"sets"&amp;Q&amp;":"&amp;Q&amp;substitute(SUBSTITUTE($H449,"[",""),"]","")&amp;Q&amp;"},"</f>
        <v>"fpll":{"label":"Creamed Corn","extra":"Eat it, it’s good for you.","sets":"Expansion Set 1, Party Set"},</v>
      </c>
      <c r="E449" s="9" t="str">
        <f t="shared" si="2"/>
        <v>data:image/svg+xml,%3csvg xmlns='http://www.w3.org/2000/svg' viewBox='0 0 24 216'%3e%3ctext fill='%23fff' style='font: 900 16px sans-serif' text-anchor='end' transform='matrix(0 -1 1 0 18 5)'%3eCreamed Corn%3c/text%3e%3c/svg%3e</v>
      </c>
      <c r="F449" s="14" t="str">
        <f t="shared" si="3"/>
        <v>https://svgtext.heliohost.us/cgi-bin/gen.perl?text=Creamed%20Corn</v>
      </c>
      <c r="G449" s="11" t="str">
        <f t="shared" si="4"/>
        <v>data:image/svg+xml,%3csvg xmlns='http://www.w3.org/2000/svg' viewBox='0 0 24 216'%3e%3ctext fill='%23fff' style='font: 900 16px sans-serif' text-anchor='end' transform='matrix(0 -1 1 0 18 5)'%3eCreamed Corn%3c/text%3e%3c/svg%3e</v>
      </c>
      <c r="H449" s="8" t="s">
        <v>25</v>
      </c>
      <c r="I449" s="8">
        <f t="shared" ref="I449:J449" si="450">len(B449)</f>
        <v>12</v>
      </c>
      <c r="J449" s="8">
        <f t="shared" si="450"/>
        <v>26</v>
      </c>
      <c r="K449" s="8" t="s">
        <v>3066</v>
      </c>
    </row>
    <row r="450">
      <c r="A450" s="7" t="b">
        <v>0</v>
      </c>
      <c r="B450" s="8" t="s">
        <v>3067</v>
      </c>
      <c r="C450" s="8" t="s">
        <v>3068</v>
      </c>
      <c r="D450" s="8" t="str">
        <f>Q&amp;$K450&amp;Q&amp;":{"&amp;Q&amp;$B$2&amp;Q&amp;":"&amp;Q&amp;$B450&amp;Q&amp;","&amp;Q&amp;$C$2&amp;Q&amp;":"&amp;Q&amp;$C450&amp;Q&amp;","&amp;Q&amp;"sets"&amp;Q&amp;":"&amp;Q&amp;substitute(SUBSTITUTE($H450,"[",""),"]","")&amp;Q&amp;"},"</f>
        <v>"ucyz":{"label":"Crime &amp; Punishment","extra":"Fyodor Dostoevsky's 1917 classic novel following the tormented life of the murderer Rodion Romanovich Roskolnikov.","sets":"Expansion Set 4, Party Expansion 1"},</v>
      </c>
      <c r="E450" s="9" t="str">
        <f t="shared" si="2"/>
        <v>data:image/svg+xml,%3csvg xmlns='http://www.w3.org/2000/svg' viewBox='0 0 24 216'%3e%3ctext fill='%23fff' style='font: 900 16px sans-serif' text-anchor='end' transform='matrix(0 -1 1 0 18 5)'%3eCrime %26amp%3B Punishment%3c/text%3e%3c/svg%3e</v>
      </c>
      <c r="F450" s="14" t="str">
        <f t="shared" si="3"/>
        <v>https://svgtext.heliohost.us/cgi-bin/gen.perl?text=Crime%20%26%20Punishment</v>
      </c>
      <c r="G450" s="11" t="str">
        <f t="shared" si="4"/>
        <v>data:image/svg+xml,%3csvg xmlns='http://www.w3.org/2000/svg' viewBox='0 0 24 216'%3e%3ctext fill='%23fff' style='font: 900 16px sans-serif' text-anchor='end' transform='matrix(0 -1 1 0 18 5)'%3eCrime %26amp%3B Punishment%3c/text%3e%3c/svg%3e</v>
      </c>
      <c r="H450" s="8" t="s">
        <v>63</v>
      </c>
      <c r="I450" s="8">
        <f t="shared" ref="I450:J450" si="451">len(B450)</f>
        <v>18</v>
      </c>
      <c r="J450" s="8">
        <f t="shared" si="451"/>
        <v>114</v>
      </c>
      <c r="K450" s="8" t="s">
        <v>3069</v>
      </c>
    </row>
    <row r="451">
      <c r="A451" s="7" t="b">
        <v>1</v>
      </c>
      <c r="B451" s="8" t="s">
        <v>3070</v>
      </c>
      <c r="C451" s="7" t="s">
        <v>3071</v>
      </c>
      <c r="D451" s="8" t="str">
        <f>Q&amp;$K451&amp;Q&amp;":{"&amp;Q&amp;$B$2&amp;Q&amp;":"&amp;Q&amp;$B451&amp;Q&amp;","&amp;Q&amp;$C$2&amp;Q&amp;":"&amp;Q&amp;$C451&amp;Q&amp;","&amp;Q&amp;"sets"&amp;Q&amp;":"&amp;Q&amp;substitute(SUBSTITUTE($H451,"[",""),"]","")&amp;Q&amp;"},"</f>
        <v>"yxyh":{"label":"Crying","extra":"“Don't cry over spilled milk.”","sets":"Junior 9+ (1st) &amp; (2nd)"},</v>
      </c>
      <c r="E451" s="9" t="str">
        <f t="shared" si="2"/>
        <v>data:image/svg+xml,%3csvg xmlns='http://www.w3.org/2000/svg' viewBox='0 0 24 216'%3e%3ctext fill='%23fff' style='font: 900 16px sans-serif' text-anchor='end' transform='matrix(0 -1 1 0 18 5)'%3eCrying%3c/text%3e%3c/svg%3e</v>
      </c>
      <c r="F451" s="14" t="str">
        <f t="shared" si="3"/>
        <v>https://svgtext.heliohost.us/cgi-bin/gen.perl?text=Crying</v>
      </c>
      <c r="G451" s="11" t="str">
        <f t="shared" si="4"/>
        <v>data:image/svg+xml,%3csvg xmlns='http://www.w3.org/2000/svg' viewBox='0 0 24 216'%3e%3ctext fill='%23fff' style='font: 900 16px sans-serif' text-anchor='end' transform='matrix(0 -1 1 0 18 5)'%3eCrying%3c/text%3e%3c/svg%3e</v>
      </c>
      <c r="H451" s="8" t="s">
        <v>42</v>
      </c>
      <c r="I451" s="8">
        <f t="shared" ref="I451:J451" si="452">len(B451)</f>
        <v>6</v>
      </c>
      <c r="J451" s="8">
        <f t="shared" si="452"/>
        <v>30</v>
      </c>
      <c r="K451" s="8" t="s">
        <v>3072</v>
      </c>
    </row>
    <row r="452">
      <c r="A452" s="7" t="b">
        <v>0</v>
      </c>
      <c r="B452" s="8" t="s">
        <v>3073</v>
      </c>
      <c r="C452" s="8" t="s">
        <v>3074</v>
      </c>
      <c r="D452" s="8" t="str">
        <f>Q&amp;$K452&amp;Q&amp;":{"&amp;Q&amp;$B$2&amp;Q&amp;":"&amp;Q&amp;$B452&amp;Q&amp;","&amp;Q&amp;$C$2&amp;Q&amp;":"&amp;Q&amp;$C452&amp;Q&amp;","&amp;Q&amp;"sets"&amp;Q&amp;":"&amp;Q&amp;substitute(SUBSTITUTE($H452,"[",""),"]","")&amp;Q&amp;"},"</f>
        <v>"ctvl":{"label":"Crystal Balls","extra":"I see a Green Apple card in your future.","sets":"Expansion Set 2, Party Set"},</v>
      </c>
      <c r="E452" s="9" t="str">
        <f t="shared" si="2"/>
        <v>data:image/svg+xml,%3csvg xmlns='http://www.w3.org/2000/svg' viewBox='0 0 24 216'%3e%3ctext fill='%23fff' style='font: 900 16px sans-serif' text-anchor='end' transform='matrix(0 -1 1 0 18 5)'%3eCrystal Balls%3c/text%3e%3c/svg%3e</v>
      </c>
      <c r="F452" s="14" t="str">
        <f t="shared" si="3"/>
        <v>https://svgtext.heliohost.us/cgi-bin/gen.perl?text=Crystal%20Balls</v>
      </c>
      <c r="G452" s="11" t="str">
        <f t="shared" si="4"/>
        <v>data:image/svg+xml,%3csvg xmlns='http://www.w3.org/2000/svg' viewBox='0 0 24 216'%3e%3ctext fill='%23fff' style='font: 900 16px sans-serif' text-anchor='end' transform='matrix(0 -1 1 0 18 5)'%3eCrystal Balls%3c/text%3e%3c/svg%3e</v>
      </c>
      <c r="H452" s="8" t="s">
        <v>17</v>
      </c>
      <c r="I452" s="8">
        <f t="shared" ref="I452:J452" si="453">len(B452)</f>
        <v>13</v>
      </c>
      <c r="J452" s="8">
        <f t="shared" si="453"/>
        <v>40</v>
      </c>
      <c r="K452" s="8" t="s">
        <v>3075</v>
      </c>
    </row>
    <row r="453">
      <c r="A453" s="7" t="b">
        <v>0</v>
      </c>
      <c r="B453" s="8" t="s">
        <v>3076</v>
      </c>
      <c r="C453" s="7" t="s">
        <v>3077</v>
      </c>
      <c r="D453" s="8" t="str">
        <f>Q&amp;$K453&amp;Q&amp;":{"&amp;Q&amp;$B$2&amp;Q&amp;":"&amp;Q&amp;$B453&amp;Q&amp;","&amp;Q&amp;$C$2&amp;Q&amp;":"&amp;Q&amp;$C453&amp;Q&amp;","&amp;Q&amp;"sets"&amp;Q&amp;":"&amp;Q&amp;substitute(SUBSTITUTE($H453,"[",""),"]","")&amp;Q&amp;"},"</f>
        <v>"fxvf":{"label":"Cuba","extra":"Island republic in the Caribbean, just south of Florida. Beans and rice never tasted so good.","sets":"Expansion Set 2, Party Set"},</v>
      </c>
      <c r="E453" s="9" t="str">
        <f t="shared" si="2"/>
        <v>data:image/svg+xml,%3csvg xmlns='http://www.w3.org/2000/svg' viewBox='0 0 24 216'%3e%3ctext fill='%23fff' style='font: 900 16px sans-serif' text-anchor='end' transform='matrix(0 -1 1 0 18 5)'%3eCuba%3c/text%3e%3c/svg%3e</v>
      </c>
      <c r="F453" s="14" t="str">
        <f t="shared" si="3"/>
        <v>https://svgtext.heliohost.us/cgi-bin/gen.perl?text=Cuba</v>
      </c>
      <c r="G453" s="11" t="str">
        <f t="shared" si="4"/>
        <v>data:image/svg+xml,%3csvg xmlns='http://www.w3.org/2000/svg' viewBox='0 0 24 216'%3e%3ctext fill='%23fff' style='font: 900 16px sans-serif' text-anchor='end' transform='matrix(0 -1 1 0 18 5)'%3eCuba%3c/text%3e%3c/svg%3e</v>
      </c>
      <c r="H453" s="8" t="s">
        <v>17</v>
      </c>
      <c r="I453" s="8">
        <f t="shared" ref="I453:J453" si="454">len(B453)</f>
        <v>4</v>
      </c>
      <c r="J453" s="8">
        <f t="shared" si="454"/>
        <v>93</v>
      </c>
      <c r="K453" s="8" t="s">
        <v>3078</v>
      </c>
    </row>
    <row r="454">
      <c r="A454" s="7" t="b">
        <v>0</v>
      </c>
      <c r="B454" s="8" t="s">
        <v>3079</v>
      </c>
      <c r="C454" s="7" t="s">
        <v>3080</v>
      </c>
      <c r="D454" s="8" t="str">
        <f>Q&amp;$K454&amp;Q&amp;":{"&amp;Q&amp;$B$2&amp;Q&amp;":"&amp;Q&amp;$B454&amp;Q&amp;","&amp;Q&amp;$C$2&amp;Q&amp;":"&amp;Q&amp;$C454&amp;Q&amp;","&amp;Q&amp;"sets"&amp;Q&amp;":"&amp;Q&amp;substitute(SUBSTITUTE($H454,"[",""),"]","")&amp;Q&amp;"},"</f>
        <v>"pvzd":{"label":"Cults","extra":"They seemed nice…","sets":"Expansion Set 1, Party Set"},</v>
      </c>
      <c r="E454" s="9" t="str">
        <f t="shared" si="2"/>
        <v>data:image/svg+xml,%3csvg xmlns='http://www.w3.org/2000/svg' viewBox='0 0 24 216'%3e%3ctext fill='%23fff' style='font: 900 16px sans-serif' text-anchor='end' transform='matrix(0 -1 1 0 18 5)'%3eCults%3c/text%3e%3c/svg%3e</v>
      </c>
      <c r="F454" s="14" t="str">
        <f t="shared" si="3"/>
        <v>https://svgtext.heliohost.us/cgi-bin/gen.perl?text=Cults</v>
      </c>
      <c r="G454" s="11" t="str">
        <f t="shared" si="4"/>
        <v>data:image/svg+xml,%3csvg xmlns='http://www.w3.org/2000/svg' viewBox='0 0 24 216'%3e%3ctext fill='%23fff' style='font: 900 16px sans-serif' text-anchor='end' transform='matrix(0 -1 1 0 18 5)'%3eCults%3c/text%3e%3c/svg%3e</v>
      </c>
      <c r="H454" s="8" t="s">
        <v>25</v>
      </c>
      <c r="I454" s="8">
        <f t="shared" ref="I454:J454" si="455">len(B454)</f>
        <v>5</v>
      </c>
      <c r="J454" s="8">
        <f t="shared" si="455"/>
        <v>17</v>
      </c>
      <c r="K454" s="8" t="s">
        <v>3081</v>
      </c>
    </row>
    <row r="455">
      <c r="A455" s="7" t="b">
        <v>1</v>
      </c>
      <c r="B455" s="8" t="s">
        <v>3082</v>
      </c>
      <c r="C455" s="8" t="s">
        <v>3083</v>
      </c>
      <c r="D455" s="8" t="str">
        <f>Q&amp;$K455&amp;Q&amp;":{"&amp;Q&amp;$B$2&amp;Q&amp;":"&amp;Q&amp;$B455&amp;Q&amp;","&amp;Q&amp;$C$2&amp;Q&amp;":"&amp;Q&amp;$C455&amp;Q&amp;","&amp;Q&amp;"sets"&amp;Q&amp;":"&amp;Q&amp;substitute(SUBSTITUTE($H455,"[",""),"]","")&amp;Q&amp;"},"</f>
        <v>"bedh":{"label":"Cup &amp; Saucer","extra":"Tea Time!","sets":"Expansion Set 4, Party Expansion 1"},</v>
      </c>
      <c r="E455" s="9" t="str">
        <f t="shared" si="2"/>
        <v>data:image/svg+xml,%3csvg xmlns='http://www.w3.org/2000/svg' viewBox='0 0 24 216'%3e%3ctext fill='%23fff' style='font: 900 16px sans-serif' text-anchor='end' transform='matrix(0 -1 1 0 18 5)'%3eCup %26amp%3B Saucer%3c/text%3e%3c/svg%3e</v>
      </c>
      <c r="F455" s="14" t="str">
        <f t="shared" si="3"/>
        <v>https://svgtext.heliohost.us/cgi-bin/gen.perl?text=Cup%20%26%20Saucer</v>
      </c>
      <c r="G455" s="11" t="str">
        <f t="shared" si="4"/>
        <v>data:image/svg+xml,%3csvg xmlns='http://www.w3.org/2000/svg' viewBox='0 0 24 216'%3e%3ctext fill='%23fff' style='font: 900 16px sans-serif' text-anchor='end' transform='matrix(0 -1 1 0 18 5)'%3eCup %26amp%3B Saucer%3c/text%3e%3c/svg%3e</v>
      </c>
      <c r="H455" s="8" t="s">
        <v>63</v>
      </c>
      <c r="I455" s="8">
        <f t="shared" ref="I455:J455" si="456">len(B455)</f>
        <v>12</v>
      </c>
      <c r="J455" s="8">
        <f t="shared" si="456"/>
        <v>9</v>
      </c>
      <c r="K455" s="8" t="s">
        <v>3084</v>
      </c>
    </row>
    <row r="456">
      <c r="A456" s="7" t="b">
        <v>1</v>
      </c>
      <c r="B456" s="8" t="s">
        <v>3085</v>
      </c>
      <c r="C456" s="8" t="s">
        <v>3086</v>
      </c>
      <c r="D456" s="8" t="str">
        <f>Q&amp;$K456&amp;Q&amp;":{"&amp;Q&amp;$B$2&amp;Q&amp;":"&amp;Q&amp;$B456&amp;Q&amp;","&amp;Q&amp;$C$2&amp;Q&amp;":"&amp;Q&amp;$C456&amp;Q&amp;","&amp;Q&amp;"sets"&amp;Q&amp;":"&amp;Q&amp;substitute(SUBSTITUTE($H456,"[",""),"]","")&amp;Q&amp;"},"</f>
        <v>"ldos":{"label":"Cupcakes","extra":"Small cakes, the size of a cup.","sets":"Junior 9+ (1st) &amp; (2nd)"},</v>
      </c>
      <c r="E456" s="9" t="str">
        <f t="shared" si="2"/>
        <v>data:image/svg+xml,%3csvg xmlns='http://www.w3.org/2000/svg' viewBox='0 0 24 216'%3e%3ctext fill='%23fff' style='font: 900 16px sans-serif' text-anchor='end' transform='matrix(0 -1 1 0 18 5)'%3eCupcakes%3c/text%3e%3c/svg%3e</v>
      </c>
      <c r="F456" s="14" t="str">
        <f t="shared" si="3"/>
        <v>https://svgtext.heliohost.us/cgi-bin/gen.perl?text=Cupcakes</v>
      </c>
      <c r="G456" s="11" t="str">
        <f t="shared" si="4"/>
        <v>data:image/svg+xml,%3csvg xmlns='http://www.w3.org/2000/svg' viewBox='0 0 24 216'%3e%3ctext fill='%23fff' style='font: 900 16px sans-serif' text-anchor='end' transform='matrix(0 -1 1 0 18 5)'%3eCupcakes%3c/text%3e%3c/svg%3e</v>
      </c>
      <c r="H456" s="8" t="s">
        <v>42</v>
      </c>
      <c r="I456" s="8">
        <f t="shared" ref="I456:J456" si="457">len(B456)</f>
        <v>8</v>
      </c>
      <c r="J456" s="8">
        <f t="shared" si="457"/>
        <v>31</v>
      </c>
      <c r="K456" s="8" t="s">
        <v>3087</v>
      </c>
    </row>
    <row r="457">
      <c r="A457" s="7" t="b">
        <v>1</v>
      </c>
      <c r="B457" s="8" t="s">
        <v>3088</v>
      </c>
      <c r="C457" s="7" t="s">
        <v>3089</v>
      </c>
      <c r="D457" s="8" t="str">
        <f>Q&amp;$K457&amp;Q&amp;":{"&amp;Q&amp;$B$2&amp;Q&amp;":"&amp;Q&amp;$B457&amp;Q&amp;","&amp;Q&amp;$C$2&amp;Q&amp;":"&amp;Q&amp;$C457&amp;Q&amp;","&amp;Q&amp;"sets"&amp;Q&amp;":"&amp;Q&amp;substitute(SUBSTITUTE($H457,"[",""),"]","")&amp;Q&amp;"},"</f>
        <v>"cumj":{"label":"Curds &amp; Whey","extra":"What? It’s just cottage cheese?","sets":"Expansion Set 4, Party Expansion 1"},</v>
      </c>
      <c r="E457" s="9" t="str">
        <f t="shared" si="2"/>
        <v>data:image/svg+xml,%3csvg xmlns='http://www.w3.org/2000/svg' viewBox='0 0 24 216'%3e%3ctext fill='%23fff' style='font: 900 16px sans-serif' text-anchor='end' transform='matrix(0 -1 1 0 18 5)'%3eCurds %26amp%3B Whey%3c/text%3e%3c/svg%3e</v>
      </c>
      <c r="F457" s="14" t="str">
        <f t="shared" si="3"/>
        <v>https://svgtext.heliohost.us/cgi-bin/gen.perl?text=Curds%20%26%20Whey</v>
      </c>
      <c r="G457" s="11" t="str">
        <f t="shared" si="4"/>
        <v>data:image/svg+xml,%3csvg xmlns='http://www.w3.org/2000/svg' viewBox='0 0 24 216'%3e%3ctext fill='%23fff' style='font: 900 16px sans-serif' text-anchor='end' transform='matrix(0 -1 1 0 18 5)'%3eCurds %26amp%3B Whey%3c/text%3e%3c/svg%3e</v>
      </c>
      <c r="H457" s="8" t="s">
        <v>63</v>
      </c>
      <c r="I457" s="8">
        <f t="shared" ref="I457:J457" si="458">len(B457)</f>
        <v>12</v>
      </c>
      <c r="J457" s="8">
        <f t="shared" si="458"/>
        <v>31</v>
      </c>
      <c r="K457" s="8" t="s">
        <v>3090</v>
      </c>
    </row>
    <row r="458">
      <c r="A458" s="7" t="b">
        <v>1</v>
      </c>
      <c r="B458" s="8" t="s">
        <v>3091</v>
      </c>
      <c r="C458" s="7" t="s">
        <v>3092</v>
      </c>
      <c r="D458" s="8" t="str">
        <f>Q&amp;$K458&amp;Q&amp;":{"&amp;Q&amp;$B$2&amp;Q&amp;":"&amp;Q&amp;$B458&amp;Q&amp;","&amp;Q&amp;$C$2&amp;Q&amp;":"&amp;Q&amp;$C458&amp;Q&amp;","&amp;Q&amp;"sets"&amp;Q&amp;":"&amp;Q&amp;substitute(SUBSTITUTE($H458,"[",""),"]","")&amp;Q&amp;"},"</f>
        <v>"gmex":{"label":"Currier &amp; Ives","extra":"The lithography shop operated from 1834 to 1907 and produced over 7500 titles, all of which could have been called “Life In America.”","sets":"Expansion Set 4, Party Expansion 1"},</v>
      </c>
      <c r="E458" s="9" t="str">
        <f t="shared" si="2"/>
        <v>data:image/svg+xml,%3csvg xmlns='http://www.w3.org/2000/svg' viewBox='0 0 24 216'%3e%3ctext fill='%23fff' style='font: 900 16px sans-serif' text-anchor='end' transform='matrix(0 -1 1 0 18 5)'%3eCurrier %26amp%3B Ives%3c/text%3e%3c/svg%3e</v>
      </c>
      <c r="F458" s="14" t="str">
        <f t="shared" si="3"/>
        <v>https://svgtext.heliohost.us/cgi-bin/gen.perl?text=Currier%20%26%20Ives</v>
      </c>
      <c r="G458" s="11" t="str">
        <f t="shared" si="4"/>
        <v>data:image/svg+xml,%3csvg xmlns='http://www.w3.org/2000/svg' viewBox='0 0 24 216'%3e%3ctext fill='%23fff' style='font: 900 16px sans-serif' text-anchor='end' transform='matrix(0 -1 1 0 18 5)'%3eCurrier %26amp%3B Ives%3c/text%3e%3c/svg%3e</v>
      </c>
      <c r="H458" s="8" t="s">
        <v>63</v>
      </c>
      <c r="I458" s="8">
        <f t="shared" ref="I458:J458" si="459">len(B458)</f>
        <v>14</v>
      </c>
      <c r="J458" s="8">
        <f t="shared" si="459"/>
        <v>133</v>
      </c>
      <c r="K458" s="8" t="s">
        <v>3093</v>
      </c>
    </row>
    <row r="459">
      <c r="A459" s="7" t="b">
        <v>0</v>
      </c>
      <c r="B459" s="8" t="s">
        <v>3094</v>
      </c>
      <c r="C459" s="8" t="s">
        <v>3095</v>
      </c>
      <c r="D459" s="8" t="str">
        <f>Q&amp;$K459&amp;Q&amp;":{"&amp;Q&amp;$B$2&amp;Q&amp;":"&amp;Q&amp;$B459&amp;Q&amp;","&amp;Q&amp;$C$2&amp;Q&amp;":"&amp;Q&amp;$C459&amp;Q&amp;","&amp;Q&amp;"sets"&amp;Q&amp;":"&amp;Q&amp;substitute(SUBSTITUTE($H459,"[",""),"]","")&amp;Q&amp;"},"</f>
        <v>"okze":{"label":"Custer's Last Stand","extra":"1866, Little Big Horn. Very big mistake.","sets":"Basic Set, Party Set"},</v>
      </c>
      <c r="E459" s="9" t="str">
        <f t="shared" si="2"/>
        <v>data:image/svg+xml,%3csvg xmlns='http://www.w3.org/2000/svg' viewBox='0 0 24 216'%3e%3ctext fill='%23fff' style='font: 900 16px sans-serif' text-anchor='end' transform='matrix(0 -1 1 0 18 5)'%3eCuster%27s Last Stand%3c/text%3e%3c/svg%3e</v>
      </c>
      <c r="F459" s="14" t="str">
        <f t="shared" si="3"/>
        <v>https://svgtext.heliohost.us/cgi-bin/gen.perl?text=Custer%27s%20Last%20Stand</v>
      </c>
      <c r="G459" s="11" t="str">
        <f t="shared" si="4"/>
        <v>data:image/svg+xml,%3csvg xmlns='http://www.w3.org/2000/svg' viewBox='0 0 24 216'%3e%3ctext fill='%23fff' style='font: 900 16px sans-serif' text-anchor='end' transform='matrix(0 -1 1 0 18 5)'%3eCuster%27s Last Stand%3c/text%3e%3c/svg%3e</v>
      </c>
      <c r="H459" s="8" t="s">
        <v>29</v>
      </c>
      <c r="I459" s="8">
        <f t="shared" ref="I459:J459" si="460">len(B459)</f>
        <v>19</v>
      </c>
      <c r="J459" s="8">
        <f t="shared" si="460"/>
        <v>40</v>
      </c>
      <c r="K459" s="8" t="s">
        <v>3096</v>
      </c>
    </row>
    <row r="460">
      <c r="A460" s="7" t="b">
        <v>1</v>
      </c>
      <c r="B460" s="8" t="s">
        <v>3097</v>
      </c>
      <c r="C460" s="7" t="s">
        <v>3098</v>
      </c>
      <c r="D460" s="8" t="str">
        <f>Q&amp;$K460&amp;Q&amp;":{"&amp;Q&amp;$B$2&amp;Q&amp;":"&amp;Q&amp;$B460&amp;Q&amp;","&amp;Q&amp;$C$2&amp;Q&amp;":"&amp;Q&amp;$C460&amp;Q&amp;","&amp;Q&amp;"sets"&amp;Q&amp;":"&amp;Q&amp;substitute(SUBSTITUTE($H460,"[",""),"]","")&amp;Q&amp;"},"</f>
        <v>"kuzh":{"label":"Cut &amp; Curl","extra":"You’ll look mah-velous!","sets":"Expansion Set 4, Party Expansion 1"},</v>
      </c>
      <c r="E460" s="9" t="str">
        <f t="shared" si="2"/>
        <v>data:image/svg+xml,%3csvg xmlns='http://www.w3.org/2000/svg' viewBox='0 0 24 216'%3e%3ctext fill='%23fff' style='font: 900 16px sans-serif' text-anchor='end' transform='matrix(0 -1 1 0 18 5)'%3eCut %26amp%3B Curl%3c/text%3e%3c/svg%3e</v>
      </c>
      <c r="F460" s="14" t="str">
        <f t="shared" si="3"/>
        <v>https://svgtext.heliohost.us/cgi-bin/gen.perl?text=Cut%20%26%20Curl</v>
      </c>
      <c r="G460" s="11" t="str">
        <f t="shared" si="4"/>
        <v>data:image/svg+xml,%3csvg xmlns='http://www.w3.org/2000/svg' viewBox='0 0 24 216'%3e%3ctext fill='%23fff' style='font: 900 16px sans-serif' text-anchor='end' transform='matrix(0 -1 1 0 18 5)'%3eCut %26amp%3B Curl%3c/text%3e%3c/svg%3e</v>
      </c>
      <c r="H460" s="8" t="s">
        <v>63</v>
      </c>
      <c r="I460" s="8">
        <f t="shared" ref="I460:J460" si="461">len(B460)</f>
        <v>10</v>
      </c>
      <c r="J460" s="8">
        <f t="shared" si="461"/>
        <v>23</v>
      </c>
      <c r="K460" s="8" t="s">
        <v>3099</v>
      </c>
    </row>
    <row r="461">
      <c r="A461" s="7" t="b">
        <v>1</v>
      </c>
      <c r="B461" s="8" t="s">
        <v>3100</v>
      </c>
      <c r="C461" s="8" t="s">
        <v>3101</v>
      </c>
      <c r="D461" s="8" t="str">
        <f>Q&amp;$K461&amp;Q&amp;":{"&amp;Q&amp;$B$2&amp;Q&amp;":"&amp;Q&amp;$B461&amp;Q&amp;","&amp;Q&amp;$C$2&amp;Q&amp;":"&amp;Q&amp;$C461&amp;Q&amp;","&amp;Q&amp;"sets"&amp;Q&amp;":"&amp;Q&amp;substitute(SUBSTITUTE($H461,"[",""),"]","")&amp;Q&amp;"},"</f>
        <v>"bhzq":{"label":"Cutting The Grass","extra":"Why cut it? It just grows back.","sets":"Junior 9+ (2nd)"},</v>
      </c>
      <c r="E461" s="9" t="str">
        <f t="shared" si="2"/>
        <v>data:image/svg+xml,%3csvg xmlns='http://www.w3.org/2000/svg' viewBox='0 0 24 216'%3e%3ctext fill='%23fff' style='font: 900 16px sans-serif' text-anchor='end' transform='matrix(0 -1 1 0 18 5)'%3eCutting The Grass%3c/text%3e%3c/svg%3e</v>
      </c>
      <c r="F461" s="14" t="str">
        <f t="shared" si="3"/>
        <v>https://svgtext.heliohost.us/cgi-bin/gen.perl?text=Cutting%20The%20Grass</v>
      </c>
      <c r="G461" s="11" t="str">
        <f t="shared" si="4"/>
        <v>data:image/svg+xml,%3csvg xmlns='http://www.w3.org/2000/svg' viewBox='0 0 24 216'%3e%3ctext fill='%23fff' style='font: 900 16px sans-serif' text-anchor='end' transform='matrix(0 -1 1 0 18 5)'%3eCutting The Grass%3c/text%3e%3c/svg%3e</v>
      </c>
      <c r="H461" s="8" t="s">
        <v>32</v>
      </c>
      <c r="I461" s="8">
        <f t="shared" ref="I461:J461" si="462">len(B461)</f>
        <v>17</v>
      </c>
      <c r="J461" s="8">
        <f t="shared" si="462"/>
        <v>31</v>
      </c>
      <c r="K461" s="8" t="s">
        <v>3102</v>
      </c>
    </row>
    <row r="462">
      <c r="A462" s="7" t="b">
        <v>1</v>
      </c>
      <c r="B462" s="8" t="s">
        <v>3103</v>
      </c>
      <c r="C462" s="8" t="s">
        <v>3104</v>
      </c>
      <c r="D462" s="8" t="str">
        <f>Q&amp;$K462&amp;Q&amp;":{"&amp;Q&amp;$B$2&amp;Q&amp;":"&amp;Q&amp;$B462&amp;Q&amp;","&amp;Q&amp;$C$2&amp;Q&amp;":"&amp;Q&amp;$C462&amp;Q&amp;","&amp;Q&amp;"sets"&amp;Q&amp;":"&amp;Q&amp;substitute(SUBSTITUTE($H462,"[",""),"]","")&amp;Q&amp;"},"</f>
        <v>"zmwi":{"label":"D-Day, 1944","extra":"On June 6, 1944 the Allied forces invaded France, employing over 10,000 airplanes, 5,000 ships, and 250,000 servicemen.","sets":"Expansion Set 3, Party Expansion 1"},</v>
      </c>
      <c r="E462" s="9" t="str">
        <f t="shared" si="2"/>
        <v>data:image/svg+xml,%3csvg xmlns='http://www.w3.org/2000/svg' viewBox='0 0 24 216'%3e%3ctext fill='%23fff' style='font: 900 16px sans-serif' text-anchor='end' transform='matrix(0 -1 1 0 18 5)'%3eD-Day%2C 1944%3c/text%3e%3c/svg%3e</v>
      </c>
      <c r="F462" s="14" t="str">
        <f t="shared" si="3"/>
        <v>https://svgtext.heliohost.us/cgi-bin/gen.perl?text=D-Day%2C%201944</v>
      </c>
      <c r="G462" s="11" t="str">
        <f t="shared" si="4"/>
        <v>data:image/svg+xml,%3csvg xmlns='http://www.w3.org/2000/svg' viewBox='0 0 24 216'%3e%3ctext fill='%23fff' style='font: 900 16px sans-serif' text-anchor='end' transform='matrix(0 -1 1 0 18 5)'%3eD-Day%2C 1944%3c/text%3e%3c/svg%3e</v>
      </c>
      <c r="H462" s="8" t="s">
        <v>39</v>
      </c>
      <c r="I462" s="8">
        <f t="shared" ref="I462:J462" si="463">len(B462)</f>
        <v>11</v>
      </c>
      <c r="J462" s="8">
        <f t="shared" si="463"/>
        <v>119</v>
      </c>
      <c r="K462" s="8" t="s">
        <v>3105</v>
      </c>
    </row>
    <row r="463">
      <c r="A463" s="7" t="b">
        <v>0</v>
      </c>
      <c r="B463" s="8" t="s">
        <v>3106</v>
      </c>
      <c r="C463" s="8" t="s">
        <v>3107</v>
      </c>
      <c r="D463" s="8" t="str">
        <f>Q&amp;$K463&amp;Q&amp;":{"&amp;Q&amp;$B$2&amp;Q&amp;":"&amp;Q&amp;$B463&amp;Q&amp;","&amp;Q&amp;$C$2&amp;Q&amp;":"&amp;Q&amp;$C463&amp;Q&amp;","&amp;Q&amp;"sets"&amp;Q&amp;":"&amp;Q&amp;substitute(SUBSTITUTE($H463,"[",""),"]","")&amp;Q&amp;"},"</f>
        <v>"frfz":{"label":"Dallas &amp; Fort Worth","extra":"The heart &amp; soul of Texas.","sets":"Expansion Set 4, Party Expansion 1"},</v>
      </c>
      <c r="E463" s="9" t="str">
        <f t="shared" si="2"/>
        <v>data:image/svg+xml,%3csvg xmlns='http://www.w3.org/2000/svg' viewBox='0 0 24 216'%3e%3ctext fill='%23fff' style='font: 900 16px sans-serif' text-anchor='end' transform='matrix(0 -1 1 0 18 5)'%3eDallas %26amp%3B Fort Worth%3c/text%3e%3c/svg%3e</v>
      </c>
      <c r="F463" s="14" t="str">
        <f t="shared" si="3"/>
        <v>https://svgtext.heliohost.us/cgi-bin/gen.perl?text=Dallas%20%26%20Fort%20Worth</v>
      </c>
      <c r="G463" s="11" t="str">
        <f t="shared" si="4"/>
        <v>data:image/svg+xml,%3csvg xmlns='http://www.w3.org/2000/svg' viewBox='0 0 24 216'%3e%3ctext fill='%23fff' style='font: 900 16px sans-serif' text-anchor='end' transform='matrix(0 -1 1 0 18 5)'%3eDallas %26amp%3B Fort Worth%3c/text%3e%3c/svg%3e</v>
      </c>
      <c r="H463" s="8" t="s">
        <v>63</v>
      </c>
      <c r="I463" s="8">
        <f t="shared" ref="I463:J463" si="464">len(B463)</f>
        <v>19</v>
      </c>
      <c r="J463" s="8">
        <f t="shared" si="464"/>
        <v>26</v>
      </c>
      <c r="K463" s="8" t="s">
        <v>3108</v>
      </c>
    </row>
    <row r="464">
      <c r="A464" s="7" t="b">
        <v>1</v>
      </c>
      <c r="B464" s="8" t="s">
        <v>3109</v>
      </c>
      <c r="C464" s="7" t="s">
        <v>3110</v>
      </c>
      <c r="D464" s="8" t="str">
        <f>Q&amp;$K464&amp;Q&amp;":{"&amp;Q&amp;$B$2&amp;Q&amp;":"&amp;Q&amp;$B464&amp;Q&amp;","&amp;Q&amp;$C$2&amp;Q&amp;":"&amp;Q&amp;$C464&amp;Q&amp;","&amp;Q&amp;"sets"&amp;Q&amp;":"&amp;Q&amp;substitute(SUBSTITUTE($H464,"[",""),"]","")&amp;Q&amp;"},"</f>
        <v>"wyzj":{"label":"Dance Class","extra":"Step, turn, hop, hop, kick…","sets":"Junior 9+ (2nd)"},</v>
      </c>
      <c r="E464" s="9" t="str">
        <f t="shared" si="2"/>
        <v>data:image/svg+xml,%3csvg xmlns='http://www.w3.org/2000/svg' viewBox='0 0 24 216'%3e%3ctext fill='%23fff' style='font: 900 16px sans-serif' text-anchor='end' transform='matrix(0 -1 1 0 18 5)'%3eDance Class%3c/text%3e%3c/svg%3e</v>
      </c>
      <c r="F464" s="14" t="str">
        <f t="shared" si="3"/>
        <v>https://svgtext.heliohost.us/cgi-bin/gen.perl?text=Dance%20Class</v>
      </c>
      <c r="G464" s="11" t="str">
        <f t="shared" si="4"/>
        <v>data:image/svg+xml,%3csvg xmlns='http://www.w3.org/2000/svg' viewBox='0 0 24 216'%3e%3ctext fill='%23fff' style='font: 900 16px sans-serif' text-anchor='end' transform='matrix(0 -1 1 0 18 5)'%3eDance Class%3c/text%3e%3c/svg%3e</v>
      </c>
      <c r="H464" s="8" t="s">
        <v>32</v>
      </c>
      <c r="I464" s="8">
        <f t="shared" ref="I464:J464" si="465">len(B464)</f>
        <v>11</v>
      </c>
      <c r="J464" s="8">
        <f t="shared" si="465"/>
        <v>27</v>
      </c>
      <c r="K464" s="8" t="s">
        <v>3111</v>
      </c>
    </row>
    <row r="465">
      <c r="A465" s="7" t="b">
        <v>1</v>
      </c>
      <c r="B465" s="8" t="s">
        <v>3112</v>
      </c>
      <c r="C465" s="8" t="s">
        <v>3113</v>
      </c>
      <c r="D465" s="8" t="str">
        <f>Q&amp;$K465&amp;Q&amp;":{"&amp;Q&amp;$B$2&amp;Q&amp;":"&amp;Q&amp;$B465&amp;Q&amp;","&amp;Q&amp;$C$2&amp;Q&amp;":"&amp;Q&amp;$C465&amp;Q&amp;","&amp;Q&amp;"sets"&amp;Q&amp;":"&amp;Q&amp;substitute(SUBSTITUTE($H465,"[",""),"]","")&amp;Q&amp;"},"</f>
        <v>"rc{t":{"label":"Dancing","extra":"Moving your feet and body in time with music. Cha-cha-cha.","sets":"Junior"},</v>
      </c>
      <c r="E465" s="9" t="str">
        <f t="shared" si="2"/>
        <v>data:image/svg+xml,%3csvg xmlns='http://www.w3.org/2000/svg' viewBox='0 0 24 216'%3e%3ctext fill='%23fff' style='font: 900 16px sans-serif' text-anchor='end' transform='matrix(0 -1 1 0 18 5)'%3eDancing%3c/text%3e%3c/svg%3e</v>
      </c>
      <c r="F465" s="14" t="str">
        <f t="shared" si="3"/>
        <v>https://svgtext.heliohost.us/cgi-bin/gen.perl?text=Dancing</v>
      </c>
      <c r="G465" s="11" t="str">
        <f t="shared" si="4"/>
        <v>data:image/svg+xml,%3csvg xmlns='http://www.w3.org/2000/svg' viewBox='0 0 24 216'%3e%3ctext fill='%23fff' style='font: 900 16px sans-serif' text-anchor='end' transform='matrix(0 -1 1 0 18 5)'%3eDancing%3c/text%3e%3c/svg%3e</v>
      </c>
      <c r="H465" s="8" t="s">
        <v>84</v>
      </c>
      <c r="I465" s="8">
        <f t="shared" ref="I465:J465" si="466">len(B465)</f>
        <v>7</v>
      </c>
      <c r="J465" s="8">
        <f t="shared" si="466"/>
        <v>58</v>
      </c>
      <c r="K465" s="8" t="s">
        <v>3114</v>
      </c>
    </row>
    <row r="466">
      <c r="A466" s="7" t="b">
        <v>0</v>
      </c>
      <c r="B466" s="8" t="s">
        <v>3115</v>
      </c>
      <c r="C466" s="8" t="s">
        <v>3116</v>
      </c>
      <c r="D466" s="8" t="str">
        <f>Q&amp;$K466&amp;Q&amp;":{"&amp;Q&amp;$B$2&amp;Q&amp;":"&amp;Q&amp;$B466&amp;Q&amp;","&amp;Q&amp;$C$2&amp;Q&amp;":"&amp;Q&amp;$C466&amp;Q&amp;","&amp;Q&amp;"sets"&amp;Q&amp;":"&amp;Q&amp;substitute(SUBSTITUTE($H466,"[",""),"]","")&amp;Q&amp;"},"</f>
        <v>"znoz":{"label":"Dandruff","extra":"Dry skin on your scalp? Sounds a bit flaky.","sets":"Basic Set, Party Set"},</v>
      </c>
      <c r="E466" s="9" t="str">
        <f t="shared" si="2"/>
        <v>data:image/svg+xml,%3csvg xmlns='http://www.w3.org/2000/svg' viewBox='0 0 24 216'%3e%3ctext fill='%23fff' style='font: 900 16px sans-serif' text-anchor='end' transform='matrix(0 -1 1 0 18 5)'%3eDandruff%3c/text%3e%3c/svg%3e</v>
      </c>
      <c r="F466" s="14" t="str">
        <f t="shared" si="3"/>
        <v>https://svgtext.heliohost.us/cgi-bin/gen.perl?text=Dandruff</v>
      </c>
      <c r="G466" s="11" t="str">
        <f t="shared" si="4"/>
        <v>data:image/svg+xml,%3csvg xmlns='http://www.w3.org/2000/svg' viewBox='0 0 24 216'%3e%3ctext fill='%23fff' style='font: 900 16px sans-serif' text-anchor='end' transform='matrix(0 -1 1 0 18 5)'%3eDandruff%3c/text%3e%3c/svg%3e</v>
      </c>
      <c r="H466" s="8" t="s">
        <v>29</v>
      </c>
      <c r="I466" s="8">
        <f t="shared" ref="I466:J466" si="467">len(B466)</f>
        <v>8</v>
      </c>
      <c r="J466" s="8">
        <f t="shared" si="467"/>
        <v>43</v>
      </c>
      <c r="K466" s="8" t="s">
        <v>3117</v>
      </c>
    </row>
    <row r="467">
      <c r="A467" s="7" t="b">
        <v>0</v>
      </c>
      <c r="B467" s="8" t="s">
        <v>3118</v>
      </c>
      <c r="C467" s="7" t="s">
        <v>3119</v>
      </c>
      <c r="D467" s="8" t="str">
        <f>Q&amp;$K467&amp;Q&amp;":{"&amp;Q&amp;$B$2&amp;Q&amp;":"&amp;Q&amp;$B467&amp;Q&amp;","&amp;Q&amp;$C$2&amp;Q&amp;":"&amp;Q&amp;$C467&amp;Q&amp;","&amp;Q&amp;"sets"&amp;Q&amp;":"&amp;Q&amp;substitute(SUBSTITUTE($H467,"[",""),"]","")&amp;Q&amp;"},"</f>
        <v>"xwdm":{"label":"Danielle Steel","extra":"1947-, Prolific romance novelist. “Suddenly, Stephanie spotted Lance on the beach…”","sets":"Expansion Set 1, Party Set"},</v>
      </c>
      <c r="E467" s="9" t="str">
        <f t="shared" si="2"/>
        <v>data:image/svg+xml,%3csvg xmlns='http://www.w3.org/2000/svg' viewBox='0 0 24 216'%3e%3ctext fill='%23fff' style='font: 900 16px sans-serif' text-anchor='end' transform='matrix(0 -1 1 0 18 5)'%3eDanielle Steel%3c/text%3e%3c/svg%3e</v>
      </c>
      <c r="F467" s="14" t="str">
        <f t="shared" si="3"/>
        <v>https://svgtext.heliohost.us/cgi-bin/gen.perl?text=Danielle%20Steel</v>
      </c>
      <c r="G467" s="11" t="str">
        <f t="shared" si="4"/>
        <v>data:image/svg+xml,%3csvg xmlns='http://www.w3.org/2000/svg' viewBox='0 0 24 216'%3e%3ctext fill='%23fff' style='font: 900 16px sans-serif' text-anchor='end' transform='matrix(0 -1 1 0 18 5)'%3eDanielle Steel%3c/text%3e%3c/svg%3e</v>
      </c>
      <c r="H467" s="8" t="s">
        <v>25</v>
      </c>
      <c r="I467" s="8">
        <f t="shared" ref="I467:J467" si="468">len(B467)</f>
        <v>14</v>
      </c>
      <c r="J467" s="8">
        <f t="shared" si="468"/>
        <v>83</v>
      </c>
      <c r="K467" s="8" t="s">
        <v>3120</v>
      </c>
    </row>
    <row r="468">
      <c r="A468" s="7" t="b">
        <v>0</v>
      </c>
      <c r="B468" s="8" t="s">
        <v>3121</v>
      </c>
      <c r="C468" s="7" t="s">
        <v>3122</v>
      </c>
      <c r="D468" s="8" t="str">
        <f>Q&amp;$K468&amp;Q&amp;":{"&amp;Q&amp;$B$2&amp;Q&amp;":"&amp;Q&amp;$B468&amp;Q&amp;","&amp;Q&amp;$C$2&amp;Q&amp;":"&amp;Q&amp;$C468&amp;Q&amp;","&amp;Q&amp;"sets"&amp;Q&amp;":"&amp;Q&amp;substitute(SUBSTITUTE($H468,"[",""),"]","")&amp;Q&amp;"},"</f>
        <v>"xigk":{"label":"Danny DeVito","extra":"1944-, American television, motion-picture actor, and director. Star of “Taxi”, “Romancing The Stone”, “Twins”, and “Get Shorty.”","sets":"Expansion Set 2, Party Set"},</v>
      </c>
      <c r="E468" s="9" t="str">
        <f t="shared" si="2"/>
        <v>data:image/svg+xml,%3csvg xmlns='http://www.w3.org/2000/svg' viewBox='0 0 24 216'%3e%3ctext fill='%23fff' style='font: 900 16px sans-serif' text-anchor='end' transform='matrix(0 -1 1 0 18 5)'%3eDanny DeVito%3c/text%3e%3c/svg%3e</v>
      </c>
      <c r="F468" s="14" t="str">
        <f t="shared" si="3"/>
        <v>https://svgtext.heliohost.us/cgi-bin/gen.perl?text=Danny%20DeVito</v>
      </c>
      <c r="G468" s="11" t="str">
        <f t="shared" si="4"/>
        <v>data:image/svg+xml,%3csvg xmlns='http://www.w3.org/2000/svg' viewBox='0 0 24 216'%3e%3ctext fill='%23fff' style='font: 900 16px sans-serif' text-anchor='end' transform='matrix(0 -1 1 0 18 5)'%3eDanny DeVito%3c/text%3e%3c/svg%3e</v>
      </c>
      <c r="H468" s="8" t="s">
        <v>17</v>
      </c>
      <c r="I468" s="8">
        <f t="shared" ref="I468:J468" si="469">len(B468)</f>
        <v>12</v>
      </c>
      <c r="J468" s="8">
        <f t="shared" si="469"/>
        <v>129</v>
      </c>
      <c r="K468" s="8" t="s">
        <v>3123</v>
      </c>
    </row>
    <row r="469">
      <c r="A469" s="7" t="b">
        <v>1</v>
      </c>
      <c r="B469" s="8" t="s">
        <v>3124</v>
      </c>
      <c r="C469" s="8" t="s">
        <v>3125</v>
      </c>
      <c r="D469" s="8" t="str">
        <f>Q&amp;$K469&amp;Q&amp;":{"&amp;Q&amp;$B$2&amp;Q&amp;":"&amp;Q&amp;$B469&amp;Q&amp;","&amp;Q&amp;$C$2&amp;Q&amp;":"&amp;Q&amp;$C469&amp;Q&amp;","&amp;Q&amp;"sets"&amp;Q&amp;":"&amp;Q&amp;substitute(SUBSTITUTE($H469,"[",""),"]","")&amp;Q&amp;"},"</f>
        <v>"agiw":{"label":"Dark Alleys","extra":"I thought you brought the good flashlight!","sets":"Junior 9+ (2nd)"},</v>
      </c>
      <c r="E469" s="9" t="str">
        <f t="shared" si="2"/>
        <v>data:image/svg+xml,%3csvg xmlns='http://www.w3.org/2000/svg' viewBox='0 0 24 216'%3e%3ctext fill='%23fff' style='font: 900 16px sans-serif' text-anchor='end' transform='matrix(0 -1 1 0 18 5)'%3eDark Alleys%3c/text%3e%3c/svg%3e</v>
      </c>
      <c r="F469" s="14" t="str">
        <f t="shared" si="3"/>
        <v>https://svgtext.heliohost.us/cgi-bin/gen.perl?text=Dark%20Alleys</v>
      </c>
      <c r="G469" s="11" t="str">
        <f t="shared" si="4"/>
        <v>data:image/svg+xml,%3csvg xmlns='http://www.w3.org/2000/svg' viewBox='0 0 24 216'%3e%3ctext fill='%23fff' style='font: 900 16px sans-serif' text-anchor='end' transform='matrix(0 -1 1 0 18 5)'%3eDark Alleys%3c/text%3e%3c/svg%3e</v>
      </c>
      <c r="H469" s="8" t="s">
        <v>32</v>
      </c>
      <c r="I469" s="8">
        <f t="shared" ref="I469:J469" si="470">len(B469)</f>
        <v>11</v>
      </c>
      <c r="J469" s="8">
        <f t="shared" si="470"/>
        <v>42</v>
      </c>
      <c r="K469" s="8" t="s">
        <v>3126</v>
      </c>
    </row>
    <row r="470">
      <c r="A470" s="7" t="b">
        <v>0</v>
      </c>
      <c r="B470" s="8" t="s">
        <v>3124</v>
      </c>
      <c r="C470" s="7" t="s">
        <v>3127</v>
      </c>
      <c r="D470" s="8" t="str">
        <f>Q&amp;$K470&amp;Q&amp;":{"&amp;Q&amp;$B$2&amp;Q&amp;":"&amp;Q&amp;$B470&amp;Q&amp;","&amp;Q&amp;$C$2&amp;Q&amp;":"&amp;Q&amp;$C470&amp;Q&amp;","&amp;Q&amp;"sets"&amp;Q&amp;":"&amp;Q&amp;substitute(SUBSTITUTE($H470,"[",""),"]","")&amp;Q&amp;"},"</f>
        <v>"vjkw":{"label":"Dark Alleys","extra":"Don’t go there!","sets":"Expansion Set 1, Party Set"},</v>
      </c>
      <c r="E470" s="9" t="str">
        <f t="shared" si="2"/>
        <v>data:image/svg+xml,%3csvg xmlns='http://www.w3.org/2000/svg' viewBox='0 0 24 216'%3e%3ctext fill='%23fff' style='font: 900 16px sans-serif' text-anchor='end' transform='matrix(0 -1 1 0 18 5)'%3eDark Alleys%3c/text%3e%3c/svg%3e</v>
      </c>
      <c r="F470" s="14" t="str">
        <f t="shared" si="3"/>
        <v>https://svgtext.heliohost.us/cgi-bin/gen.perl?text=Dark%20Alleys</v>
      </c>
      <c r="G470" s="11" t="str">
        <f t="shared" si="4"/>
        <v>data:image/svg+xml,%3csvg xmlns='http://www.w3.org/2000/svg' viewBox='0 0 24 216'%3e%3ctext fill='%23fff' style='font: 900 16px sans-serif' text-anchor='end' transform='matrix(0 -1 1 0 18 5)'%3eDark Alleys%3c/text%3e%3c/svg%3e</v>
      </c>
      <c r="H470" s="8" t="s">
        <v>25</v>
      </c>
      <c r="I470" s="8">
        <f t="shared" ref="I470:J470" si="471">len(B470)</f>
        <v>11</v>
      </c>
      <c r="J470" s="8">
        <f t="shared" si="471"/>
        <v>15</v>
      </c>
      <c r="K470" s="8" t="s">
        <v>3128</v>
      </c>
    </row>
    <row r="471">
      <c r="A471" s="7" t="b">
        <v>0</v>
      </c>
      <c r="B471" s="8" t="s">
        <v>3129</v>
      </c>
      <c r="C471" s="7" t="s">
        <v>3130</v>
      </c>
      <c r="D471" s="8" t="str">
        <f>Q&amp;$K471&amp;Q&amp;":{"&amp;Q&amp;$B$2&amp;Q&amp;":"&amp;Q&amp;$B471&amp;Q&amp;","&amp;Q&amp;$C$2&amp;Q&amp;":"&amp;Q&amp;$C471&amp;Q&amp;","&amp;Q&amp;"sets"&amp;Q&amp;":"&amp;Q&amp;substitute(SUBSTITUTE($H471,"[",""),"]","")&amp;Q&amp;"},"</f>
        <v>"kxcw":{"label":"Darth Vader","extra":"“Luke… (wheeze).. I am… (wheeze)… your father… and you don’t write, you don’t call… NOTHING.”","sets":"Expansion Set 1, Party Set"},</v>
      </c>
      <c r="E471" s="9" t="str">
        <f t="shared" si="2"/>
        <v>data:image/svg+xml,%3csvg xmlns='http://www.w3.org/2000/svg' viewBox='0 0 24 216'%3e%3ctext fill='%23fff' style='font: 900 16px sans-serif' text-anchor='end' transform='matrix(0 -1 1 0 18 5)'%3eDarth Vader%3c/text%3e%3c/svg%3e</v>
      </c>
      <c r="F471" s="14" t="str">
        <f t="shared" si="3"/>
        <v>https://svgtext.heliohost.us/cgi-bin/gen.perl?text=Darth%20Vader</v>
      </c>
      <c r="G471" s="11" t="str">
        <f t="shared" si="4"/>
        <v>data:image/svg+xml,%3csvg xmlns='http://www.w3.org/2000/svg' viewBox='0 0 24 216'%3e%3ctext fill='%23fff' style='font: 900 16px sans-serif' text-anchor='end' transform='matrix(0 -1 1 0 18 5)'%3eDarth Vader%3c/text%3e%3c/svg%3e</v>
      </c>
      <c r="H471" s="8" t="s">
        <v>25</v>
      </c>
      <c r="I471" s="8">
        <f t="shared" ref="I471:J471" si="472">len(B471)</f>
        <v>11</v>
      </c>
      <c r="J471" s="8">
        <f t="shared" si="472"/>
        <v>93</v>
      </c>
      <c r="K471" s="8" t="s">
        <v>3131</v>
      </c>
    </row>
    <row r="472">
      <c r="A472" s="7" t="b">
        <v>0</v>
      </c>
      <c r="B472" s="8" t="s">
        <v>3132</v>
      </c>
      <c r="C472" s="7" t="s">
        <v>3133</v>
      </c>
      <c r="D472" s="8" t="str">
        <f>Q&amp;$K472&amp;Q&amp;":{"&amp;Q&amp;$B$2&amp;Q&amp;":"&amp;Q&amp;$B472&amp;Q&amp;","&amp;Q&amp;$C$2&amp;Q&amp;":"&amp;Q&amp;$C472&amp;Q&amp;","&amp;Q&amp;"sets"&amp;Q&amp;":"&amp;Q&amp;substitute(SUBSTITUTE($H472,"[",""),"]","")&amp;Q&amp;"},"</f>
        <v>"xlix":{"label":"Dating","extra":"First stage of the human mating ritual.","sets":"Expansion Set 2, Party Set"},</v>
      </c>
      <c r="E472" s="9" t="str">
        <f t="shared" si="2"/>
        <v>data:image/svg+xml,%3csvg xmlns='http://www.w3.org/2000/svg' viewBox='0 0 24 216'%3e%3ctext fill='%23fff' style='font: 900 16px sans-serif' text-anchor='end' transform='matrix(0 -1 1 0 18 5)'%3eDating%3c/text%3e%3c/svg%3e</v>
      </c>
      <c r="F472" s="14" t="str">
        <f t="shared" si="3"/>
        <v>https://svgtext.heliohost.us/cgi-bin/gen.perl?text=Dating</v>
      </c>
      <c r="G472" s="11" t="str">
        <f t="shared" si="4"/>
        <v>data:image/svg+xml,%3csvg xmlns='http://www.w3.org/2000/svg' viewBox='0 0 24 216'%3e%3ctext fill='%23fff' style='font: 900 16px sans-serif' text-anchor='end' transform='matrix(0 -1 1 0 18 5)'%3eDating%3c/text%3e%3c/svg%3e</v>
      </c>
      <c r="H472" s="8" t="s">
        <v>17</v>
      </c>
      <c r="I472" s="8">
        <f t="shared" ref="I472:J472" si="473">len(B472)</f>
        <v>6</v>
      </c>
      <c r="J472" s="8">
        <f t="shared" si="473"/>
        <v>39</v>
      </c>
      <c r="K472" s="8" t="s">
        <v>3134</v>
      </c>
    </row>
    <row r="473">
      <c r="A473" s="7" t="b">
        <v>1</v>
      </c>
      <c r="B473" s="8" t="s">
        <v>3135</v>
      </c>
      <c r="C473" s="7" t="s">
        <v>3136</v>
      </c>
      <c r="D473" s="8" t="str">
        <f>Q&amp;$K473&amp;Q&amp;":{"&amp;Q&amp;$B$2&amp;Q&amp;":"&amp;Q&amp;$B473&amp;Q&amp;","&amp;Q&amp;$C$2&amp;Q&amp;":"&amp;Q&amp;$C473&amp;Q&amp;","&amp;Q&amp;"sets"&amp;Q&amp;":"&amp;Q&amp;substitute(SUBSTITUTE($H473,"[",""),"]","")&amp;Q&amp;"},"</f>
        <v>"wmbo":{"label":"David &amp; Goliath","extra":"Bible story featuring the future king David and the Philistine giant Goliath. The bigger they come, the harder they fall.","sets":"Expansion Set 4, Party Expansion 1"},</v>
      </c>
      <c r="E473" s="9" t="str">
        <f t="shared" si="2"/>
        <v>data:image/svg+xml,%3csvg xmlns='http://www.w3.org/2000/svg' viewBox='0 0 24 216'%3e%3ctext fill='%23fff' style='font: 900 16px sans-serif' text-anchor='end' transform='matrix(0 -1 1 0 18 5)'%3eDavid %26amp%3B Goliath%3c/text%3e%3c/svg%3e</v>
      </c>
      <c r="F473" s="14" t="str">
        <f t="shared" si="3"/>
        <v>https://svgtext.heliohost.us/cgi-bin/gen.perl?text=David%20%26%20Goliath</v>
      </c>
      <c r="G473" s="11" t="str">
        <f t="shared" si="4"/>
        <v>data:image/svg+xml,%3csvg xmlns='http://www.w3.org/2000/svg' viewBox='0 0 24 216'%3e%3ctext fill='%23fff' style='font: 900 16px sans-serif' text-anchor='end' transform='matrix(0 -1 1 0 18 5)'%3eDavid %26amp%3B Goliath%3c/text%3e%3c/svg%3e</v>
      </c>
      <c r="H473" s="8" t="s">
        <v>63</v>
      </c>
      <c r="I473" s="8">
        <f t="shared" ref="I473:J473" si="474">len(B473)</f>
        <v>15</v>
      </c>
      <c r="J473" s="8">
        <f t="shared" si="474"/>
        <v>121</v>
      </c>
      <c r="K473" s="8" t="s">
        <v>3137</v>
      </c>
    </row>
    <row r="474">
      <c r="A474" s="7" t="b">
        <v>0</v>
      </c>
      <c r="B474" s="8" t="s">
        <v>3138</v>
      </c>
      <c r="C474" s="7" t="s">
        <v>3139</v>
      </c>
      <c r="D474" s="8" t="str">
        <f>Q&amp;$K474&amp;Q&amp;":{"&amp;Q&amp;$B$2&amp;Q&amp;":"&amp;Q&amp;$B474&amp;Q&amp;","&amp;Q&amp;$C$2&amp;Q&amp;":"&amp;Q&amp;$C474&amp;Q&amp;","&amp;Q&amp;"sets"&amp;Q&amp;":"&amp;Q&amp;substitute(SUBSTITUTE($H474,"[",""),"]","")&amp;Q&amp;"},"</f>
        <v>"qyxw":{"label":"David Letterman","extra":"1947-, American television entertainer and talk-show host. And… the Number One reason to watch him (drum roll, please): TOP TEN LISTS!","sets":"Expansion Set 1, Party Set"},</v>
      </c>
      <c r="E474" s="9" t="str">
        <f t="shared" si="2"/>
        <v>data:image/svg+xml,%3csvg xmlns='http://www.w3.org/2000/svg' viewBox='0 0 24 216'%3e%3ctext fill='%23fff' style='font: 900 16px sans-serif' text-anchor='end' transform='matrix(0 -1 1 0 18 5)'%3eDavid Letterman%3c/text%3e%3c/svg%3e</v>
      </c>
      <c r="F474" s="14" t="str">
        <f t="shared" si="3"/>
        <v>https://svgtext.heliohost.us/cgi-bin/gen.perl?text=David%20Letterman</v>
      </c>
      <c r="G474" s="11" t="str">
        <f t="shared" si="4"/>
        <v>data:image/svg+xml,%3csvg xmlns='http://www.w3.org/2000/svg' viewBox='0 0 24 216'%3e%3ctext fill='%23fff' style='font: 900 16px sans-serif' text-anchor='end' transform='matrix(0 -1 1 0 18 5)'%3eDavid Letterman%3c/text%3e%3c/svg%3e</v>
      </c>
      <c r="H474" s="8" t="s">
        <v>25</v>
      </c>
      <c r="I474" s="8">
        <f t="shared" ref="I474:J474" si="475">len(B474)</f>
        <v>15</v>
      </c>
      <c r="J474" s="8">
        <f t="shared" si="475"/>
        <v>134</v>
      </c>
      <c r="K474" s="8" t="s">
        <v>3140</v>
      </c>
    </row>
    <row r="475">
      <c r="A475" s="7" t="b">
        <v>1</v>
      </c>
      <c r="B475" s="8" t="s">
        <v>3141</v>
      </c>
      <c r="C475" s="7" t="s">
        <v>3142</v>
      </c>
      <c r="D475" s="8" t="str">
        <f>Q&amp;$K475&amp;Q&amp;":{"&amp;Q&amp;$B$2&amp;Q&amp;":"&amp;Q&amp;$B475&amp;Q&amp;","&amp;Q&amp;$C$2&amp;Q&amp;":"&amp;Q&amp;$C475&amp;Q&amp;","&amp;Q&amp;"sets"&amp;Q&amp;":"&amp;Q&amp;substitute(SUBSTITUTE($H475,"[",""),"]","")&amp;Q&amp;"},"</f>
        <v>"oxnz":{"label":"Day Care Centers","extra":"Preschool for preschool.","sets":"Expansion Set 3, Party Expansion 1"},</v>
      </c>
      <c r="E475" s="9" t="str">
        <f t="shared" si="2"/>
        <v>data:image/svg+xml,%3csvg xmlns='http://www.w3.org/2000/svg' viewBox='0 0 24 216'%3e%3ctext fill='%23fff' style='font: 900 16px sans-serif' text-anchor='end' transform='matrix(0 -1 1 0 18 5)'%3eDay Care Centers%3c/text%3e%3c/svg%3e</v>
      </c>
      <c r="F475" s="14" t="str">
        <f t="shared" si="3"/>
        <v>https://svgtext.heliohost.us/cgi-bin/gen.perl?text=Day%20Care%20Centers</v>
      </c>
      <c r="G475" s="11" t="str">
        <f t="shared" si="4"/>
        <v>data:image/svg+xml,%3csvg xmlns='http://www.w3.org/2000/svg' viewBox='0 0 24 216'%3e%3ctext fill='%23fff' style='font: 900 16px sans-serif' text-anchor='end' transform='matrix(0 -1 1 0 18 5)'%3eDay Care Centers%3c/text%3e%3c/svg%3e</v>
      </c>
      <c r="H475" s="8" t="s">
        <v>39</v>
      </c>
      <c r="I475" s="8">
        <f t="shared" ref="I475:J475" si="476">len(B475)</f>
        <v>16</v>
      </c>
      <c r="J475" s="8">
        <f t="shared" si="476"/>
        <v>24</v>
      </c>
      <c r="K475" s="8" t="s">
        <v>3143</v>
      </c>
    </row>
    <row r="476">
      <c r="A476" s="7" t="b">
        <v>0</v>
      </c>
      <c r="B476" s="8" t="s">
        <v>3144</v>
      </c>
      <c r="C476" s="7" t="s">
        <v>3145</v>
      </c>
      <c r="D476" s="8" t="str">
        <f>Q&amp;$K476&amp;Q&amp;":{"&amp;Q&amp;$B$2&amp;Q&amp;":"&amp;Q&amp;$B476&amp;Q&amp;","&amp;Q&amp;$C$2&amp;Q&amp;":"&amp;Q&amp;$C476&amp;Q&amp;","&amp;Q&amp;"sets"&amp;Q&amp;":"&amp;Q&amp;substitute(SUBSTITUTE($H476,"[",""),"]","")&amp;Q&amp;"},"</f>
        <v>"bdry":{"label":"Daytime TV","extra":"Soap operas, game shows, talk shows and reruns… is this a great country or what?","sets":"Expansion Set 2, Party Set"},</v>
      </c>
      <c r="E476" s="9" t="str">
        <f t="shared" si="2"/>
        <v>data:image/svg+xml,%3csvg xmlns='http://www.w3.org/2000/svg' viewBox='0 0 24 216'%3e%3ctext fill='%23fff' style='font: 900 16px sans-serif' text-anchor='end' transform='matrix(0 -1 1 0 18 5)'%3eDaytime TV%3c/text%3e%3c/svg%3e</v>
      </c>
      <c r="F476" s="14" t="str">
        <f t="shared" si="3"/>
        <v>https://svgtext.heliohost.us/cgi-bin/gen.perl?text=Daytime%20TV</v>
      </c>
      <c r="G476" s="11" t="str">
        <f t="shared" si="4"/>
        <v>data:image/svg+xml,%3csvg xmlns='http://www.w3.org/2000/svg' viewBox='0 0 24 216'%3e%3ctext fill='%23fff' style='font: 900 16px sans-serif' text-anchor='end' transform='matrix(0 -1 1 0 18 5)'%3eDaytime TV%3c/text%3e%3c/svg%3e</v>
      </c>
      <c r="H476" s="8" t="s">
        <v>17</v>
      </c>
      <c r="I476" s="8">
        <f t="shared" ref="I476:J476" si="477">len(B476)</f>
        <v>10</v>
      </c>
      <c r="J476" s="8">
        <f t="shared" si="477"/>
        <v>80</v>
      </c>
      <c r="K476" s="8" t="s">
        <v>3146</v>
      </c>
    </row>
    <row r="477">
      <c r="A477" s="7" t="b">
        <v>1</v>
      </c>
      <c r="B477" s="8" t="s">
        <v>3147</v>
      </c>
      <c r="C477" s="8" t="s">
        <v>3148</v>
      </c>
      <c r="D477" s="8" t="str">
        <f>Q&amp;$K477&amp;Q&amp;":{"&amp;Q&amp;$B$2&amp;Q&amp;":"&amp;Q&amp;$B477&amp;Q&amp;","&amp;Q&amp;$C$2&amp;Q&amp;":"&amp;Q&amp;$C477&amp;Q&amp;","&amp;Q&amp;"sets"&amp;Q&amp;":"&amp;Q&amp;substitute(SUBSTITUTE($H477,"[",""),"]","")&amp;Q&amp;"},"</f>
        <v>"fzpu":{"label":"Dead Fish","extra":"Floating in the water, washed up on shore, or at a fish market.","sets":"Junior 9+ (1st) &amp; (2nd)"},</v>
      </c>
      <c r="E477" s="9" t="str">
        <f t="shared" si="2"/>
        <v>data:image/svg+xml,%3csvg xmlns='http://www.w3.org/2000/svg' viewBox='0 0 24 216'%3e%3ctext fill='%23fff' style='font: 900 16px sans-serif' text-anchor='end' transform='matrix(0 -1 1 0 18 5)'%3eDead Fish%3c/text%3e%3c/svg%3e</v>
      </c>
      <c r="F477" s="14" t="str">
        <f t="shared" si="3"/>
        <v>https://svgtext.heliohost.us/cgi-bin/gen.perl?text=Dead%20Fish</v>
      </c>
      <c r="G477" s="11" t="str">
        <f t="shared" si="4"/>
        <v>data:image/svg+xml,%3csvg xmlns='http://www.w3.org/2000/svg' viewBox='0 0 24 216'%3e%3ctext fill='%23fff' style='font: 900 16px sans-serif' text-anchor='end' transform='matrix(0 -1 1 0 18 5)'%3eDead Fish%3c/text%3e%3c/svg%3e</v>
      </c>
      <c r="H477" s="8" t="s">
        <v>42</v>
      </c>
      <c r="I477" s="8">
        <f t="shared" ref="I477:J477" si="478">len(B477)</f>
        <v>9</v>
      </c>
      <c r="J477" s="8">
        <f t="shared" si="478"/>
        <v>63</v>
      </c>
      <c r="K477" s="8" t="s">
        <v>3149</v>
      </c>
    </row>
    <row r="478">
      <c r="A478" s="7" t="b">
        <v>1</v>
      </c>
      <c r="B478" s="8" t="s">
        <v>3150</v>
      </c>
      <c r="C478" s="8" t="s">
        <v>3151</v>
      </c>
      <c r="D478" s="8" t="str">
        <f>Q&amp;$K478&amp;Q&amp;":{"&amp;Q&amp;$B$2&amp;Q&amp;":"&amp;Q&amp;$B478&amp;Q&amp;","&amp;Q&amp;$C$2&amp;Q&amp;":"&amp;Q&amp;$C478&amp;Q&amp;","&amp;Q&amp;"sets"&amp;Q&amp;":"&amp;Q&amp;substitute(SUBSTITUTE($H478,"[",""),"]","")&amp;Q&amp;"},"</f>
        <v>"ylyh":{"label":"Death &amp; Dying","extra":"The only way out.","sets":"Expansion Set 4, Party Expansion 1"},</v>
      </c>
      <c r="E478" s="9" t="str">
        <f t="shared" si="2"/>
        <v>data:image/svg+xml,%3csvg xmlns='http://www.w3.org/2000/svg' viewBox='0 0 24 216'%3e%3ctext fill='%23fff' style='font: 900 16px sans-serif' text-anchor='end' transform='matrix(0 -1 1 0 18 5)'%3eDeath %26amp%3B Dying%3c/text%3e%3c/svg%3e</v>
      </c>
      <c r="F478" s="14" t="str">
        <f t="shared" si="3"/>
        <v>https://svgtext.heliohost.us/cgi-bin/gen.perl?text=Death%20%26%20Dying</v>
      </c>
      <c r="G478" s="11" t="str">
        <f t="shared" si="4"/>
        <v>data:image/svg+xml,%3csvg xmlns='http://www.w3.org/2000/svg' viewBox='0 0 24 216'%3e%3ctext fill='%23fff' style='font: 900 16px sans-serif' text-anchor='end' transform='matrix(0 -1 1 0 18 5)'%3eDeath %26amp%3B Dying%3c/text%3e%3c/svg%3e</v>
      </c>
      <c r="H478" s="8" t="s">
        <v>63</v>
      </c>
      <c r="I478" s="8">
        <f t="shared" ref="I478:J478" si="479">len(B478)</f>
        <v>13</v>
      </c>
      <c r="J478" s="8">
        <f t="shared" si="479"/>
        <v>17</v>
      </c>
      <c r="K478" s="8" t="s">
        <v>3152</v>
      </c>
    </row>
    <row r="479">
      <c r="A479" s="7" t="b">
        <v>1</v>
      </c>
      <c r="B479" s="8" t="s">
        <v>3153</v>
      </c>
      <c r="C479" s="7" t="s">
        <v>3154</v>
      </c>
      <c r="D479" s="8" t="str">
        <f>Q&amp;$K479&amp;Q&amp;":{"&amp;Q&amp;$B$2&amp;Q&amp;":"&amp;Q&amp;$B479&amp;Q&amp;","&amp;Q&amp;$C$2&amp;Q&amp;":"&amp;Q&amp;$C479&amp;Q&amp;","&amp;Q&amp;"sets"&amp;Q&amp;":"&amp;Q&amp;substitute(SUBSTITUTE($H479,"[",""),"]","")&amp;Q&amp;"},"</f>
        <v>"xcgi":{"label":"Death &amp; Taxes","extra":"The two certainties in life.","sets":"Expansion Set 4, Party Expansion 1"},</v>
      </c>
      <c r="E479" s="9" t="str">
        <f t="shared" si="2"/>
        <v>data:image/svg+xml,%3csvg xmlns='http://www.w3.org/2000/svg' viewBox='0 0 24 216'%3e%3ctext fill='%23fff' style='font: 900 16px sans-serif' text-anchor='end' transform='matrix(0 -1 1 0 18 5)'%3eDeath %26amp%3B Taxes%3c/text%3e%3c/svg%3e</v>
      </c>
      <c r="F479" s="14" t="str">
        <f t="shared" si="3"/>
        <v>https://svgtext.heliohost.us/cgi-bin/gen.perl?text=Death%20%26%20Taxes</v>
      </c>
      <c r="G479" s="11" t="str">
        <f t="shared" si="4"/>
        <v>data:image/svg+xml,%3csvg xmlns='http://www.w3.org/2000/svg' viewBox='0 0 24 216'%3e%3ctext fill='%23fff' style='font: 900 16px sans-serif' text-anchor='end' transform='matrix(0 -1 1 0 18 5)'%3eDeath %26amp%3B Taxes%3c/text%3e%3c/svg%3e</v>
      </c>
      <c r="H479" s="8" t="s">
        <v>63</v>
      </c>
      <c r="I479" s="8">
        <f t="shared" ref="I479:J479" si="480">len(B479)</f>
        <v>13</v>
      </c>
      <c r="J479" s="8">
        <f t="shared" si="480"/>
        <v>28</v>
      </c>
      <c r="K479" s="8" t="s">
        <v>3155</v>
      </c>
    </row>
    <row r="480">
      <c r="A480" s="7" t="b">
        <v>0</v>
      </c>
      <c r="B480" s="8" t="s">
        <v>3156</v>
      </c>
      <c r="C480" s="8" t="s">
        <v>3157</v>
      </c>
      <c r="D480" s="8" t="str">
        <f>Q&amp;$K480&amp;Q&amp;":{"&amp;Q&amp;$B$2&amp;Q&amp;":"&amp;Q&amp;$B480&amp;Q&amp;","&amp;Q&amp;$C$2&amp;Q&amp;":"&amp;Q&amp;$C480&amp;Q&amp;","&amp;Q&amp;"sets"&amp;Q&amp;":"&amp;Q&amp;substitute(SUBSTITUTE($H480,"[",""),"]","")&amp;Q&amp;"},"</f>
        <v>"vqvt":{"label":"Death Valley","extra":"Arid, desolate and hellish region of California. Named by a survivor of an attempted 1849 crossing.","sets":"Expansion Set 1, Party Set"},</v>
      </c>
      <c r="E480" s="9" t="str">
        <f t="shared" si="2"/>
        <v>data:image/svg+xml,%3csvg xmlns='http://www.w3.org/2000/svg' viewBox='0 0 24 216'%3e%3ctext fill='%23fff' style='font: 900 16px sans-serif' text-anchor='end' transform='matrix(0 -1 1 0 18 5)'%3eDeath Valley%3c/text%3e%3c/svg%3e</v>
      </c>
      <c r="F480" s="14" t="str">
        <f t="shared" si="3"/>
        <v>https://svgtext.heliohost.us/cgi-bin/gen.perl?text=Death%20Valley</v>
      </c>
      <c r="G480" s="11" t="str">
        <f t="shared" si="4"/>
        <v>data:image/svg+xml,%3csvg xmlns='http://www.w3.org/2000/svg' viewBox='0 0 24 216'%3e%3ctext fill='%23fff' style='font: 900 16px sans-serif' text-anchor='end' transform='matrix(0 -1 1 0 18 5)'%3eDeath Valley%3c/text%3e%3c/svg%3e</v>
      </c>
      <c r="H480" s="8" t="s">
        <v>25</v>
      </c>
      <c r="I480" s="8">
        <f t="shared" ref="I480:J480" si="481">len(B480)</f>
        <v>12</v>
      </c>
      <c r="J480" s="8">
        <f t="shared" si="481"/>
        <v>99</v>
      </c>
      <c r="K480" s="8" t="s">
        <v>3158</v>
      </c>
    </row>
    <row r="481">
      <c r="A481" s="7" t="b">
        <v>0</v>
      </c>
      <c r="B481" s="8" t="s">
        <v>3159</v>
      </c>
      <c r="C481" s="8" t="s">
        <v>3160</v>
      </c>
      <c r="D481" s="8" t="str">
        <f>Q&amp;$K481&amp;Q&amp;":{"&amp;Q&amp;$B$2&amp;Q&amp;":"&amp;Q&amp;$B481&amp;Q&amp;","&amp;Q&amp;$C$2&amp;Q&amp;":"&amp;Q&amp;$C481&amp;Q&amp;","&amp;Q&amp;"sets"&amp;Q&amp;":"&amp;Q&amp;substitute(SUBSTITUTE($H481,"[",""),"]","")&amp;Q&amp;"},"</f>
        <v>"xwcj":{"label":"Deer Hunting","extra":"Nooo! Nooooo! Not BAMBI'S MOTHER!","sets":"Expansion Set 1, Party Set"},</v>
      </c>
      <c r="E481" s="9" t="str">
        <f t="shared" si="2"/>
        <v>data:image/svg+xml,%3csvg xmlns='http://www.w3.org/2000/svg' viewBox='0 0 24 216'%3e%3ctext fill='%23fff' style='font: 900 16px sans-serif' text-anchor='end' transform='matrix(0 -1 1 0 18 5)'%3eDeer Hunting%3c/text%3e%3c/svg%3e</v>
      </c>
      <c r="F481" s="14" t="str">
        <f t="shared" si="3"/>
        <v>https://svgtext.heliohost.us/cgi-bin/gen.perl?text=Deer%20Hunting</v>
      </c>
      <c r="G481" s="11" t="str">
        <f t="shared" si="4"/>
        <v>data:image/svg+xml,%3csvg xmlns='http://www.w3.org/2000/svg' viewBox='0 0 24 216'%3e%3ctext fill='%23fff' style='font: 900 16px sans-serif' text-anchor='end' transform='matrix(0 -1 1 0 18 5)'%3eDeer Hunting%3c/text%3e%3c/svg%3e</v>
      </c>
      <c r="H481" s="8" t="s">
        <v>25</v>
      </c>
      <c r="I481" s="8">
        <f t="shared" ref="I481:J481" si="482">len(B481)</f>
        <v>12</v>
      </c>
      <c r="J481" s="8">
        <f t="shared" si="482"/>
        <v>33</v>
      </c>
      <c r="K481" s="8" t="s">
        <v>3161</v>
      </c>
    </row>
    <row r="482">
      <c r="A482" s="7" t="b">
        <v>0</v>
      </c>
      <c r="B482" s="8" t="s">
        <v>3162</v>
      </c>
      <c r="C482" s="8" t="s">
        <v>3163</v>
      </c>
      <c r="D482" s="8" t="str">
        <f>Q&amp;$K482&amp;Q&amp;":{"&amp;Q&amp;$B$2&amp;Q&amp;":"&amp;Q&amp;$B482&amp;Q&amp;","&amp;Q&amp;$C$2&amp;Q&amp;":"&amp;Q&amp;$C482&amp;Q&amp;","&amp;Q&amp;"sets"&amp;Q&amp;":"&amp;Q&amp;substitute(SUBSTITUTE($H482,"[",""),"]","")&amp;Q&amp;"},"</f>
        <v>"tsol":{"label":"Demi Moore","extra":"1962-, American actor in St. Elmo's Fire, Ghost and GI Jane.","sets":"Expansion Set 1, Party Set"},</v>
      </c>
      <c r="E482" s="9" t="str">
        <f t="shared" si="2"/>
        <v>data:image/svg+xml,%3csvg xmlns='http://www.w3.org/2000/svg' viewBox='0 0 24 216'%3e%3ctext fill='%23fff' style='font: 900 16px sans-serif' text-anchor='end' transform='matrix(0 -1 1 0 18 5)'%3eDemi Moore%3c/text%3e%3c/svg%3e</v>
      </c>
      <c r="F482" s="14" t="str">
        <f t="shared" si="3"/>
        <v>https://svgtext.heliohost.us/cgi-bin/gen.perl?text=Demi%20Moore</v>
      </c>
      <c r="G482" s="11" t="str">
        <f t="shared" si="4"/>
        <v>data:image/svg+xml,%3csvg xmlns='http://www.w3.org/2000/svg' viewBox='0 0 24 216'%3e%3ctext fill='%23fff' style='font: 900 16px sans-serif' text-anchor='end' transform='matrix(0 -1 1 0 18 5)'%3eDemi Moore%3c/text%3e%3c/svg%3e</v>
      </c>
      <c r="H482" s="8" t="s">
        <v>25</v>
      </c>
      <c r="I482" s="8">
        <f t="shared" ref="I482:J482" si="483">len(B482)</f>
        <v>10</v>
      </c>
      <c r="J482" s="8">
        <f t="shared" si="483"/>
        <v>60</v>
      </c>
      <c r="K482" s="8" t="s">
        <v>3164</v>
      </c>
    </row>
    <row r="483">
      <c r="A483" s="7" t="b">
        <v>0</v>
      </c>
      <c r="B483" s="8" t="s">
        <v>3165</v>
      </c>
      <c r="C483" s="8" t="s">
        <v>3166</v>
      </c>
      <c r="D483" s="8" t="str">
        <f>Q&amp;$K483&amp;Q&amp;":{"&amp;Q&amp;$B$2&amp;Q&amp;":"&amp;Q&amp;$B483&amp;Q&amp;","&amp;Q&amp;$C$2&amp;Q&amp;":"&amp;Q&amp;$C483&amp;Q&amp;","&amp;Q&amp;"sets"&amp;Q&amp;":"&amp;Q&amp;substitute(SUBSTITUTE($H483,"[",""),"]","")&amp;Q&amp;"},"</f>
        <v>"vpvk":{"label":"Democrats","extra":"Their symbol is the donkey, or ass. Insert your own joke here.","sets":"Basic Set, Party Set"},</v>
      </c>
      <c r="E483" s="9" t="str">
        <f t="shared" si="2"/>
        <v>data:image/svg+xml,%3csvg xmlns='http://www.w3.org/2000/svg' viewBox='0 0 24 216'%3e%3ctext fill='%23fff' style='font: 900 16px sans-serif' text-anchor='end' transform='matrix(0 -1 1 0 18 5)'%3eDemocrats%3c/text%3e%3c/svg%3e</v>
      </c>
      <c r="F483" s="14" t="str">
        <f t="shared" si="3"/>
        <v>https://svgtext.heliohost.us/cgi-bin/gen.perl?text=Democrats</v>
      </c>
      <c r="G483" s="11" t="str">
        <f t="shared" si="4"/>
        <v>data:image/svg+xml,%3csvg xmlns='http://www.w3.org/2000/svg' viewBox='0 0 24 216'%3e%3ctext fill='%23fff' style='font: 900 16px sans-serif' text-anchor='end' transform='matrix(0 -1 1 0 18 5)'%3eDemocrats%3c/text%3e%3c/svg%3e</v>
      </c>
      <c r="H483" s="8" t="s">
        <v>29</v>
      </c>
      <c r="I483" s="8">
        <f t="shared" ref="I483:J483" si="484">len(B483)</f>
        <v>9</v>
      </c>
      <c r="J483" s="8">
        <f t="shared" si="484"/>
        <v>62</v>
      </c>
      <c r="K483" s="8" t="s">
        <v>3167</v>
      </c>
    </row>
    <row r="484">
      <c r="A484" s="7" t="b">
        <v>0</v>
      </c>
      <c r="B484" s="8" t="s">
        <v>3168</v>
      </c>
      <c r="C484" s="8" t="s">
        <v>3169</v>
      </c>
      <c r="D484" s="8" t="str">
        <f>Q&amp;$K484&amp;Q&amp;":{"&amp;Q&amp;$B$2&amp;Q&amp;":"&amp;Q&amp;$B484&amp;Q&amp;","&amp;Q&amp;$C$2&amp;Q&amp;":"&amp;Q&amp;$C484&amp;Q&amp;","&amp;Q&amp;"sets"&amp;Q&amp;":"&amp;Q&amp;substitute(SUBSTITUTE($H484,"[",""),"]","")&amp;Q&amp;"},"</f>
        <v>"mdio":{"label":"Dennis Rodman","extra":"1961-, American professional basketball player and full-time human oddity.","sets":"Basic Set (1999 Printing Only)"},</v>
      </c>
      <c r="E484" s="9" t="str">
        <f t="shared" si="2"/>
        <v>data:image/svg+xml,%3csvg xmlns='http://www.w3.org/2000/svg' viewBox='0 0 24 216'%3e%3ctext fill='%23fff' style='font: 900 16px sans-serif' text-anchor='end' transform='matrix(0 -1 1 0 18 5)'%3eDennis Rodman%3c/text%3e%3c/svg%3e</v>
      </c>
      <c r="F484" s="14" t="str">
        <f t="shared" si="3"/>
        <v>https://svgtext.heliohost.us/cgi-bin/gen.perl?text=Dennis%20Rodman</v>
      </c>
      <c r="G484" s="11" t="str">
        <f t="shared" si="4"/>
        <v>data:image/svg+xml,%3csvg xmlns='http://www.w3.org/2000/svg' viewBox='0 0 24 216'%3e%3ctext fill='%23fff' style='font: 900 16px sans-serif' text-anchor='end' transform='matrix(0 -1 1 0 18 5)'%3eDennis Rodman%3c/text%3e%3c/svg%3e</v>
      </c>
      <c r="H484" s="8" t="s">
        <v>1155</v>
      </c>
      <c r="I484" s="8">
        <f t="shared" ref="I484:J484" si="485">len(B484)</f>
        <v>13</v>
      </c>
      <c r="J484" s="8">
        <f t="shared" si="485"/>
        <v>74</v>
      </c>
      <c r="K484" s="8" t="s">
        <v>3170</v>
      </c>
    </row>
    <row r="485">
      <c r="A485" s="7" t="b">
        <v>0</v>
      </c>
      <c r="B485" s="8" t="s">
        <v>3171</v>
      </c>
      <c r="C485" s="7" t="s">
        <v>3172</v>
      </c>
      <c r="D485" s="8" t="str">
        <f>Q&amp;$K485&amp;Q&amp;":{"&amp;Q&amp;$B$2&amp;Q&amp;":"&amp;Q&amp;$B485&amp;Q&amp;","&amp;Q&amp;$C$2&amp;Q&amp;":"&amp;Q&amp;$C485&amp;Q&amp;","&amp;Q&amp;"sets"&amp;Q&amp;":"&amp;Q&amp;substitute(SUBSTITUTE($H485,"[",""),"]","")&amp;Q&amp;"},"</f>
        <v>"swlz":{"label":"Denzel Washington","extra":"1954-, American actor known for his powerful roles in such movies as “Cry Freedom”, “Malcolm X”, and “Mississippi Masala.”","sets":"Expansion Set 2, Party Set"},</v>
      </c>
      <c r="E485" s="9" t="str">
        <f t="shared" si="2"/>
        <v>data:image/svg+xml,%3csvg xmlns='http://www.w3.org/2000/svg' viewBox='0 0 24 216'%3e%3ctext fill='%23fff' style='font: 900 16px sans-serif' text-anchor='end' transform='matrix(0 -1 1 0 18 5)'%3eDenzel Washington%3c/text%3e%3c/svg%3e</v>
      </c>
      <c r="F485" s="14" t="str">
        <f t="shared" si="3"/>
        <v>https://svgtext.heliohost.us/cgi-bin/gen.perl?text=Denzel%20Washington</v>
      </c>
      <c r="G485" s="11" t="str">
        <f t="shared" si="4"/>
        <v>data:image/svg+xml,%3csvg xmlns='http://www.w3.org/2000/svg' viewBox='0 0 24 216'%3e%3ctext fill='%23fff' style='font: 900 16px sans-serif' text-anchor='end' transform='matrix(0 -1 1 0 18 5)'%3eDenzel Washington%3c/text%3e%3c/svg%3e</v>
      </c>
      <c r="H485" s="8" t="s">
        <v>17</v>
      </c>
      <c r="I485" s="8">
        <f t="shared" ref="I485:J485" si="486">len(B485)</f>
        <v>17</v>
      </c>
      <c r="J485" s="8">
        <f t="shared" si="486"/>
        <v>122</v>
      </c>
      <c r="K485" s="8" t="s">
        <v>3173</v>
      </c>
    </row>
    <row r="486">
      <c r="A486" s="7" t="b">
        <v>0</v>
      </c>
      <c r="B486" s="8" t="s">
        <v>3174</v>
      </c>
      <c r="C486" s="7" t="s">
        <v>3175</v>
      </c>
      <c r="D486" s="8" t="str">
        <f>Q&amp;$K486&amp;Q&amp;":{"&amp;Q&amp;$B$2&amp;Q&amp;":"&amp;Q&amp;$B486&amp;Q&amp;","&amp;Q&amp;$C$2&amp;Q&amp;":"&amp;Q&amp;$C486&amp;Q&amp;","&amp;Q&amp;"sets"&amp;Q&amp;":"&amp;Q&amp;substitute(SUBSTITUTE($H486,"[",""),"]","")&amp;Q&amp;"},"</f>
        <v>"bomy":{"label":"Detroit","extra":"The Motor City is the world’s foremost automobile manufacturing center, and the tenth largest city in the U.S.","sets":"Basic Set, Party Set"},</v>
      </c>
      <c r="E486" s="9" t="str">
        <f t="shared" si="2"/>
        <v>data:image/svg+xml,%3csvg xmlns='http://www.w3.org/2000/svg' viewBox='0 0 24 216'%3e%3ctext fill='%23fff' style='font: 900 16px sans-serif' text-anchor='end' transform='matrix(0 -1 1 0 18 5)'%3eDetroit%3c/text%3e%3c/svg%3e</v>
      </c>
      <c r="F486" s="14" t="str">
        <f t="shared" si="3"/>
        <v>https://svgtext.heliohost.us/cgi-bin/gen.perl?text=Detroit</v>
      </c>
      <c r="G486" s="11" t="str">
        <f t="shared" si="4"/>
        <v>data:image/svg+xml,%3csvg xmlns='http://www.w3.org/2000/svg' viewBox='0 0 24 216'%3e%3ctext fill='%23fff' style='font: 900 16px sans-serif' text-anchor='end' transform='matrix(0 -1 1 0 18 5)'%3eDetroit%3c/text%3e%3c/svg%3e</v>
      </c>
      <c r="H486" s="8" t="s">
        <v>29</v>
      </c>
      <c r="I486" s="8">
        <f t="shared" ref="I486:J486" si="487">len(B486)</f>
        <v>7</v>
      </c>
      <c r="J486" s="8">
        <f t="shared" si="487"/>
        <v>110</v>
      </c>
      <c r="K486" s="8" t="s">
        <v>3176</v>
      </c>
    </row>
    <row r="487">
      <c r="A487" s="7" t="b">
        <v>0</v>
      </c>
      <c r="B487" s="8" t="s">
        <v>3177</v>
      </c>
      <c r="C487" s="8" t="s">
        <v>3178</v>
      </c>
      <c r="D487" s="8" t="str">
        <f>Q&amp;$K487&amp;Q&amp;":{"&amp;Q&amp;$B$2&amp;Q&amp;":"&amp;Q&amp;$B487&amp;Q&amp;","&amp;Q&amp;$C$2&amp;Q&amp;":"&amp;Q&amp;$C487&amp;Q&amp;","&amp;Q&amp;"sets"&amp;Q&amp;":"&amp;Q&amp;substitute(SUBSTITUTE($H487,"[",""),"]","")&amp;Q&amp;"},"</f>
        <v>"gqts":{"label":"Diamonds","extra":"The hard fact: they are just highly refractive crystalline allotropes.","sets":"Basic Set, Party Set"},</v>
      </c>
      <c r="E487" s="9" t="str">
        <f t="shared" si="2"/>
        <v>data:image/svg+xml,%3csvg xmlns='http://www.w3.org/2000/svg' viewBox='0 0 24 216'%3e%3ctext fill='%23fff' style='font: 900 16px sans-serif' text-anchor='end' transform='matrix(0 -1 1 0 18 5)'%3eDiamonds%3c/text%3e%3c/svg%3e</v>
      </c>
      <c r="F487" s="14" t="str">
        <f t="shared" si="3"/>
        <v>https://svgtext.heliohost.us/cgi-bin/gen.perl?text=Diamonds</v>
      </c>
      <c r="G487" s="11" t="str">
        <f t="shared" si="4"/>
        <v>data:image/svg+xml,%3csvg xmlns='http://www.w3.org/2000/svg' viewBox='0 0 24 216'%3e%3ctext fill='%23fff' style='font: 900 16px sans-serif' text-anchor='end' transform='matrix(0 -1 1 0 18 5)'%3eDiamonds%3c/text%3e%3c/svg%3e</v>
      </c>
      <c r="H487" s="8" t="s">
        <v>29</v>
      </c>
      <c r="I487" s="8">
        <f t="shared" ref="I487:J487" si="488">len(B487)</f>
        <v>8</v>
      </c>
      <c r="J487" s="8">
        <f t="shared" si="488"/>
        <v>70</v>
      </c>
      <c r="K487" s="8" t="s">
        <v>3179</v>
      </c>
    </row>
    <row r="488">
      <c r="A488" s="7" t="b">
        <v>1</v>
      </c>
      <c r="B488" s="8" t="s">
        <v>3180</v>
      </c>
      <c r="C488" s="8" t="s">
        <v>3181</v>
      </c>
      <c r="D488" s="8" t="str">
        <f>Q&amp;$K488&amp;Q&amp;":{"&amp;Q&amp;$B$2&amp;Q&amp;":"&amp;Q&amp;$B488&amp;Q&amp;","&amp;Q&amp;$C$2&amp;Q&amp;":"&amp;Q&amp;$C488&amp;Q&amp;","&amp;Q&amp;"sets"&amp;Q&amp;":"&amp;Q&amp;substitute(SUBSTITUTE($H488,"[",""),"]","")&amp;Q&amp;"},"</f>
        <v>"ylnk":{"label":"Dictionaries","extra":"Let me look that up!","sets":"Junior 9+ (2nd)"},</v>
      </c>
      <c r="E488" s="9" t="str">
        <f t="shared" si="2"/>
        <v>data:image/svg+xml,%3csvg xmlns='http://www.w3.org/2000/svg' viewBox='0 0 24 216'%3e%3ctext fill='%23fff' style='font: 900 16px sans-serif' text-anchor='end' transform='matrix(0 -1 1 0 18 5)'%3eDictionaries%3c/text%3e%3c/svg%3e</v>
      </c>
      <c r="F488" s="14" t="str">
        <f t="shared" si="3"/>
        <v>https://svgtext.heliohost.us/cgi-bin/gen.perl?text=Dictionaries</v>
      </c>
      <c r="G488" s="11" t="str">
        <f t="shared" si="4"/>
        <v>data:image/svg+xml,%3csvg xmlns='http://www.w3.org/2000/svg' viewBox='0 0 24 216'%3e%3ctext fill='%23fff' style='font: 900 16px sans-serif' text-anchor='end' transform='matrix(0 -1 1 0 18 5)'%3eDictionaries%3c/text%3e%3c/svg%3e</v>
      </c>
      <c r="H488" s="8" t="s">
        <v>32</v>
      </c>
      <c r="I488" s="8">
        <f t="shared" ref="I488:J488" si="489">len(B488)</f>
        <v>12</v>
      </c>
      <c r="J488" s="8">
        <f t="shared" si="489"/>
        <v>20</v>
      </c>
      <c r="K488" s="8" t="s">
        <v>3182</v>
      </c>
    </row>
    <row r="489">
      <c r="A489" s="7" t="b">
        <v>1</v>
      </c>
      <c r="B489" s="8" t="s">
        <v>3183</v>
      </c>
      <c r="C489" s="7" t="s">
        <v>3184</v>
      </c>
      <c r="D489" s="8" t="str">
        <f>Q&amp;$K489&amp;Q&amp;":{"&amp;Q&amp;$B$2&amp;Q&amp;":"&amp;Q&amp;$B489&amp;Q&amp;","&amp;Q&amp;$C$2&amp;Q&amp;":"&amp;Q&amp;$C489&amp;Q&amp;","&amp;Q&amp;"sets"&amp;Q&amp;":"&amp;Q&amp;substitute(SUBSTITUTE($H489,"[",""),"]","")&amp;Q&amp;"},"</f>
        <v>"myyz":{"label":"Dinner &amp; A Movie","extra":"And a mortgage to pay for it.","sets":"Expansion Set 4, Party Expansion 1"},</v>
      </c>
      <c r="E489" s="9" t="str">
        <f t="shared" si="2"/>
        <v>data:image/svg+xml,%3csvg xmlns='http://www.w3.org/2000/svg' viewBox='0 0 24 216'%3e%3ctext fill='%23fff' style='font: 900 16px sans-serif' text-anchor='end' transform='matrix(0 -1 1 0 18 5)'%3eDinner %26amp%3B A Movie%3c/text%3e%3c/svg%3e</v>
      </c>
      <c r="F489" s="14" t="str">
        <f t="shared" si="3"/>
        <v>https://svgtext.heliohost.us/cgi-bin/gen.perl?text=Dinner%20%26%20A%20Movie</v>
      </c>
      <c r="G489" s="11" t="str">
        <f t="shared" si="4"/>
        <v>data:image/svg+xml,%3csvg xmlns='http://www.w3.org/2000/svg' viewBox='0 0 24 216'%3e%3ctext fill='%23fff' style='font: 900 16px sans-serif' text-anchor='end' transform='matrix(0 -1 1 0 18 5)'%3eDinner %26amp%3B A Movie%3c/text%3e%3c/svg%3e</v>
      </c>
      <c r="H489" s="8" t="s">
        <v>63</v>
      </c>
      <c r="I489" s="8">
        <f t="shared" ref="I489:J489" si="490">len(B489)</f>
        <v>16</v>
      </c>
      <c r="J489" s="8">
        <f t="shared" si="490"/>
        <v>29</v>
      </c>
      <c r="K489" s="8" t="s">
        <v>3185</v>
      </c>
    </row>
    <row r="490">
      <c r="A490" s="7" t="b">
        <v>1</v>
      </c>
      <c r="B490" s="8" t="s">
        <v>3186</v>
      </c>
      <c r="C490" s="8" t="s">
        <v>3187</v>
      </c>
      <c r="D490" s="8" t="str">
        <f>Q&amp;$K490&amp;Q&amp;":{"&amp;Q&amp;$B$2&amp;Q&amp;":"&amp;Q&amp;$B490&amp;Q&amp;","&amp;Q&amp;$C$2&amp;Q&amp;":"&amp;Q&amp;$C490&amp;Q&amp;","&amp;Q&amp;"sets"&amp;Q&amp;":"&amp;Q&amp;substitute(SUBSTITUTE($H490,"[",""),"]","")&amp;Q&amp;"},"</f>
        <v>"oqfk":{"label":"Dinosaurs","extra":"Reptiles that lived millions of years ago. Some, like the T. rex, were huge!","sets":"Junior"},</v>
      </c>
      <c r="E490" s="9" t="str">
        <f t="shared" si="2"/>
        <v>data:image/svg+xml,%3csvg xmlns='http://www.w3.org/2000/svg' viewBox='0 0 24 216'%3e%3ctext fill='%23fff' style='font: 900 16px sans-serif' text-anchor='end' transform='matrix(0 -1 1 0 18 5)'%3eDinosaurs%3c/text%3e%3c/svg%3e</v>
      </c>
      <c r="F490" s="14" t="str">
        <f t="shared" si="3"/>
        <v>https://svgtext.heliohost.us/cgi-bin/gen.perl?text=Dinosaurs</v>
      </c>
      <c r="G490" s="11" t="str">
        <f t="shared" si="4"/>
        <v>data:image/svg+xml,%3csvg xmlns='http://www.w3.org/2000/svg' viewBox='0 0 24 216'%3e%3ctext fill='%23fff' style='font: 900 16px sans-serif' text-anchor='end' transform='matrix(0 -1 1 0 18 5)'%3eDinosaurs%3c/text%3e%3c/svg%3e</v>
      </c>
      <c r="H490" s="8" t="s">
        <v>84</v>
      </c>
      <c r="I490" s="8">
        <f t="shared" ref="I490:J490" si="491">len(B490)</f>
        <v>9</v>
      </c>
      <c r="J490" s="8">
        <f t="shared" si="491"/>
        <v>76</v>
      </c>
      <c r="K490" s="8" t="s">
        <v>3188</v>
      </c>
    </row>
    <row r="491">
      <c r="A491" s="7" t="b">
        <v>1</v>
      </c>
      <c r="B491" s="8" t="s">
        <v>3189</v>
      </c>
      <c r="C491" s="8" t="s">
        <v>3190</v>
      </c>
      <c r="D491" s="8" t="str">
        <f>Q&amp;$K491&amp;Q&amp;":{"&amp;Q&amp;$B$2&amp;Q&amp;":"&amp;Q&amp;$B491&amp;Q&amp;","&amp;Q&amp;$C$2&amp;Q&amp;":"&amp;Q&amp;$C491&amp;Q&amp;","&amp;Q&amp;"sets"&amp;Q&amp;":"&amp;Q&amp;substitute(SUBSTITUTE($H491,"[",""),"]","")&amp;Q&amp;"},"</f>
        <v>"twej":{"label":"Dirt","extra":"Good in the garden.","sets":"Junior 9+ (1st) &amp; (2nd)"},</v>
      </c>
      <c r="E491" s="9" t="str">
        <f t="shared" si="2"/>
        <v>data:image/svg+xml,%3csvg xmlns='http://www.w3.org/2000/svg' viewBox='0 0 24 216'%3e%3ctext fill='%23fff' style='font: 900 16px sans-serif' text-anchor='end' transform='matrix(0 -1 1 0 18 5)'%3eDirt%3c/text%3e%3c/svg%3e</v>
      </c>
      <c r="F491" s="14" t="str">
        <f t="shared" si="3"/>
        <v>https://svgtext.heliohost.us/cgi-bin/gen.perl?text=Dirt</v>
      </c>
      <c r="G491" s="11" t="str">
        <f t="shared" si="4"/>
        <v>data:image/svg+xml,%3csvg xmlns='http://www.w3.org/2000/svg' viewBox='0 0 24 216'%3e%3ctext fill='%23fff' style='font: 900 16px sans-serif' text-anchor='end' transform='matrix(0 -1 1 0 18 5)'%3eDirt%3c/text%3e%3c/svg%3e</v>
      </c>
      <c r="H491" s="8" t="s">
        <v>42</v>
      </c>
      <c r="I491" s="8">
        <f t="shared" ref="I491:J491" si="492">len(B491)</f>
        <v>4</v>
      </c>
      <c r="J491" s="8">
        <f t="shared" si="492"/>
        <v>19</v>
      </c>
      <c r="K491" s="8" t="s">
        <v>3191</v>
      </c>
    </row>
    <row r="492">
      <c r="A492" s="7" t="b">
        <v>1</v>
      </c>
      <c r="B492" s="8" t="s">
        <v>3192</v>
      </c>
      <c r="C492" s="8" t="s">
        <v>3193</v>
      </c>
      <c r="D492" s="8" t="str">
        <f>Q&amp;$K492&amp;Q&amp;":{"&amp;Q&amp;$B$2&amp;Q&amp;":"&amp;Q&amp;$B492&amp;Q&amp;","&amp;Q&amp;$C$2&amp;Q&amp;":"&amp;Q&amp;$C492&amp;Q&amp;","&amp;Q&amp;"sets"&amp;Q&amp;":"&amp;Q&amp;substitute(SUBSTITUTE($H492,"[",""),"]","")&amp;Q&amp;"},"</f>
        <v>"nlkq":{"label":"Dirty Diapers","extra":"It must be time to change the baby!","sets":"Junior"},</v>
      </c>
      <c r="E492" s="9" t="str">
        <f t="shared" si="2"/>
        <v>data:image/svg+xml,%3csvg xmlns='http://www.w3.org/2000/svg' viewBox='0 0 24 216'%3e%3ctext fill='%23fff' style='font: 900 16px sans-serif' text-anchor='end' transform='matrix(0 -1 1 0 18 5)'%3eDirty Diapers%3c/text%3e%3c/svg%3e</v>
      </c>
      <c r="F492" s="14" t="str">
        <f t="shared" si="3"/>
        <v>https://svgtext.heliohost.us/cgi-bin/gen.perl?text=Dirty%20Diapers</v>
      </c>
      <c r="G492" s="11" t="str">
        <f t="shared" si="4"/>
        <v>data:image/svg+xml,%3csvg xmlns='http://www.w3.org/2000/svg' viewBox='0 0 24 216'%3e%3ctext fill='%23fff' style='font: 900 16px sans-serif' text-anchor='end' transform='matrix(0 -1 1 0 18 5)'%3eDirty Diapers%3c/text%3e%3c/svg%3e</v>
      </c>
      <c r="H492" s="8" t="s">
        <v>84</v>
      </c>
      <c r="I492" s="8">
        <f t="shared" ref="I492:J492" si="493">len(B492)</f>
        <v>13</v>
      </c>
      <c r="J492" s="8">
        <f t="shared" si="493"/>
        <v>35</v>
      </c>
      <c r="K492" s="8" t="s">
        <v>3194</v>
      </c>
    </row>
    <row r="493">
      <c r="A493" s="7" t="b">
        <v>1</v>
      </c>
      <c r="B493" s="8" t="s">
        <v>3195</v>
      </c>
      <c r="C493" s="7" t="s">
        <v>3196</v>
      </c>
      <c r="D493" s="8" t="str">
        <f>Q&amp;$K493&amp;Q&amp;":{"&amp;Q&amp;$B$2&amp;Q&amp;":"&amp;Q&amp;$B493&amp;Q&amp;","&amp;Q&amp;$C$2&amp;Q&amp;":"&amp;Q&amp;$C493&amp;Q&amp;","&amp;Q&amp;"sets"&amp;Q&amp;":"&amp;Q&amp;substitute(SUBSTITUTE($H493,"[",""),"]","")&amp;Q&amp;"},"</f>
        <v>"q{fb":{"label":"Dirty Dishes","extra":"That’s why they make paper plates!","sets":"Junior 9+ (2nd)"},</v>
      </c>
      <c r="E493" s="9" t="str">
        <f t="shared" si="2"/>
        <v>data:image/svg+xml,%3csvg xmlns='http://www.w3.org/2000/svg' viewBox='0 0 24 216'%3e%3ctext fill='%23fff' style='font: 900 16px sans-serif' text-anchor='end' transform='matrix(0 -1 1 0 18 5)'%3eDirty Dishes%3c/text%3e%3c/svg%3e</v>
      </c>
      <c r="F493" s="14" t="str">
        <f t="shared" si="3"/>
        <v>https://svgtext.heliohost.us/cgi-bin/gen.perl?text=Dirty%20Dishes</v>
      </c>
      <c r="G493" s="11" t="str">
        <f t="shared" si="4"/>
        <v>data:image/svg+xml,%3csvg xmlns='http://www.w3.org/2000/svg' viewBox='0 0 24 216'%3e%3ctext fill='%23fff' style='font: 900 16px sans-serif' text-anchor='end' transform='matrix(0 -1 1 0 18 5)'%3eDirty Dishes%3c/text%3e%3c/svg%3e</v>
      </c>
      <c r="H493" s="8" t="s">
        <v>32</v>
      </c>
      <c r="I493" s="8">
        <f t="shared" ref="I493:J493" si="494">len(B493)</f>
        <v>12</v>
      </c>
      <c r="J493" s="8">
        <f t="shared" si="494"/>
        <v>34</v>
      </c>
      <c r="K493" s="8" t="s">
        <v>3197</v>
      </c>
    </row>
    <row r="494">
      <c r="A494" s="7" t="b">
        <v>1</v>
      </c>
      <c r="B494" s="8" t="s">
        <v>3198</v>
      </c>
      <c r="C494" s="8" t="s">
        <v>3199</v>
      </c>
      <c r="D494" s="8" t="str">
        <f>Q&amp;$K494&amp;Q&amp;":{"&amp;Q&amp;$B$2&amp;Q&amp;":"&amp;Q&amp;$B494&amp;Q&amp;","&amp;Q&amp;$C$2&amp;Q&amp;":"&amp;Q&amp;$C494&amp;Q&amp;","&amp;Q&amp;"sets"&amp;Q&amp;":"&amp;Q&amp;substitute(SUBSTITUTE($H494,"[",""),"]","")&amp;Q&amp;"},"</f>
        <v>"esbl":{"label":"Dirty Socks","extra":"Put them in the wash!","sets":"Junior"},</v>
      </c>
      <c r="E494" s="9" t="str">
        <f t="shared" si="2"/>
        <v>data:image/svg+xml,%3csvg xmlns='http://www.w3.org/2000/svg' viewBox='0 0 24 216'%3e%3ctext fill='%23fff' style='font: 900 16px sans-serif' text-anchor='end' transform='matrix(0 -1 1 0 18 5)'%3eDirty Socks%3c/text%3e%3c/svg%3e</v>
      </c>
      <c r="F494" s="14" t="str">
        <f t="shared" si="3"/>
        <v>https://svgtext.heliohost.us/cgi-bin/gen.perl?text=Dirty%20Socks</v>
      </c>
      <c r="G494" s="11" t="str">
        <f t="shared" si="4"/>
        <v>data:image/svg+xml,%3csvg xmlns='http://www.w3.org/2000/svg' viewBox='0 0 24 216'%3e%3ctext fill='%23fff' style='font: 900 16px sans-serif' text-anchor='end' transform='matrix(0 -1 1 0 18 5)'%3eDirty Socks%3c/text%3e%3c/svg%3e</v>
      </c>
      <c r="H494" s="8" t="s">
        <v>84</v>
      </c>
      <c r="I494" s="8">
        <f t="shared" ref="I494:J494" si="495">len(B494)</f>
        <v>11</v>
      </c>
      <c r="J494" s="8">
        <f t="shared" si="495"/>
        <v>21</v>
      </c>
      <c r="K494" s="8" t="s">
        <v>3200</v>
      </c>
    </row>
    <row r="495">
      <c r="A495" s="7" t="b">
        <v>0</v>
      </c>
      <c r="B495" s="8" t="s">
        <v>3201</v>
      </c>
      <c r="C495" s="7" t="s">
        <v>3202</v>
      </c>
      <c r="D495" s="8" t="str">
        <f>Q&amp;$K495&amp;Q&amp;":{"&amp;Q&amp;$B$2&amp;Q&amp;":"&amp;Q&amp;$B495&amp;Q&amp;","&amp;Q&amp;$C$2&amp;Q&amp;":"&amp;Q&amp;$C495&amp;Q&amp;","&amp;Q&amp;"sets"&amp;Q&amp;":"&amp;Q&amp;substitute(SUBSTITUTE($H495,"[",""),"]","")&amp;Q&amp;"},"</f>
        <v>"fmuk":{"label":"Discos","extra":"Where you go to catch “Saturday Night Fever.”","sets":"Expansion Set 1, Party Set"},</v>
      </c>
      <c r="E495" s="9" t="str">
        <f t="shared" si="2"/>
        <v>data:image/svg+xml,%3csvg xmlns='http://www.w3.org/2000/svg' viewBox='0 0 24 216'%3e%3ctext fill='%23fff' style='font: 900 16px sans-serif' text-anchor='end' transform='matrix(0 -1 1 0 18 5)'%3eDiscos%3c/text%3e%3c/svg%3e</v>
      </c>
      <c r="F495" s="14" t="str">
        <f t="shared" si="3"/>
        <v>https://svgtext.heliohost.us/cgi-bin/gen.perl?text=Discos</v>
      </c>
      <c r="G495" s="11" t="str">
        <f t="shared" si="4"/>
        <v>data:image/svg+xml,%3csvg xmlns='http://www.w3.org/2000/svg' viewBox='0 0 24 216'%3e%3ctext fill='%23fff' style='font: 900 16px sans-serif' text-anchor='end' transform='matrix(0 -1 1 0 18 5)'%3eDiscos%3c/text%3e%3c/svg%3e</v>
      </c>
      <c r="H495" s="8" t="s">
        <v>25</v>
      </c>
      <c r="I495" s="8">
        <f t="shared" ref="I495:J495" si="496">len(B495)</f>
        <v>6</v>
      </c>
      <c r="J495" s="8">
        <f t="shared" si="496"/>
        <v>45</v>
      </c>
      <c r="K495" s="8" t="s">
        <v>3203</v>
      </c>
    </row>
    <row r="496">
      <c r="A496" s="7" t="b">
        <v>0</v>
      </c>
      <c r="B496" s="8" t="s">
        <v>3204</v>
      </c>
      <c r="C496" s="8" t="s">
        <v>3205</v>
      </c>
      <c r="D496" s="8" t="str">
        <f>Q&amp;$K496&amp;Q&amp;":{"&amp;Q&amp;$B$2&amp;Q&amp;":"&amp;Q&amp;$B496&amp;Q&amp;","&amp;Q&amp;$C$2&amp;Q&amp;":"&amp;Q&amp;$C496&amp;Q&amp;","&amp;Q&amp;"sets"&amp;Q&amp;":"&amp;Q&amp;substitute(SUBSTITUTE($H496,"[",""),"]","")&amp;Q&amp;"},"</f>
        <v>"zlly":{"label":"Discovering America","extra":"1492, Christopher Columbus discovered that America was discovered centuries before he arrived.","sets":"Basic Set, Party Set"},</v>
      </c>
      <c r="E496" s="9" t="str">
        <f t="shared" si="2"/>
        <v>data:image/svg+xml,%3csvg xmlns='http://www.w3.org/2000/svg' viewBox='0 0 24 216'%3e%3ctext fill='%23fff' style='font: 900 16px sans-serif' text-anchor='end' transform='matrix(0 -1 1 0 18 5)'%3eDiscovering America%3c/text%3e%3c/svg%3e</v>
      </c>
      <c r="F496" s="14" t="str">
        <f t="shared" si="3"/>
        <v>https://svgtext.heliohost.us/cgi-bin/gen.perl?text=Discovering%20America</v>
      </c>
      <c r="G496" s="11" t="str">
        <f t="shared" si="4"/>
        <v>data:image/svg+xml,%3csvg xmlns='http://www.w3.org/2000/svg' viewBox='0 0 24 216'%3e%3ctext fill='%23fff' style='font: 900 16px sans-serif' text-anchor='end' transform='matrix(0 -1 1 0 18 5)'%3eDiscovering America%3c/text%3e%3c/svg%3e</v>
      </c>
      <c r="H496" s="8" t="s">
        <v>29</v>
      </c>
      <c r="I496" s="8">
        <f t="shared" ref="I496:J496" si="497">len(B496)</f>
        <v>19</v>
      </c>
      <c r="J496" s="8">
        <f t="shared" si="497"/>
        <v>94</v>
      </c>
      <c r="K496" s="8" t="s">
        <v>3206</v>
      </c>
    </row>
    <row r="497">
      <c r="A497" s="7" t="b">
        <v>0</v>
      </c>
      <c r="B497" s="8" t="s">
        <v>3207</v>
      </c>
      <c r="C497" s="7" t="s">
        <v>3208</v>
      </c>
      <c r="D497" s="8" t="str">
        <f>Q&amp;$K497&amp;Q&amp;":{"&amp;Q&amp;$B$2&amp;Q&amp;":"&amp;Q&amp;$B497&amp;Q&amp;","&amp;Q&amp;$C$2&amp;Q&amp;":"&amp;Q&amp;$C497&amp;Q&amp;","&amp;Q&amp;"sets"&amp;Q&amp;":"&amp;Q&amp;substitute(SUBSTITUTE($H497,"[",""),"]","")&amp;Q&amp;"},"</f>
        <v>"tke{":{"label":"Disneyland","extra":"You’ve just won the “Apples to Apples® Grand Masters Tournament.” Where're you gonna go?","sets":"Basic Set, Party Set"},</v>
      </c>
      <c r="E497" s="9" t="str">
        <f t="shared" si="2"/>
        <v>data:image/svg+xml,%3csvg xmlns='http://www.w3.org/2000/svg' viewBox='0 0 24 216'%3e%3ctext fill='%23fff' style='font: 900 16px sans-serif' text-anchor='end' transform='matrix(0 -1 1 0 18 5)'%3eDisneyland%3c/text%3e%3c/svg%3e</v>
      </c>
      <c r="F497" s="14" t="str">
        <f t="shared" si="3"/>
        <v>https://svgtext.heliohost.us/cgi-bin/gen.perl?text=Disneyland</v>
      </c>
      <c r="G497" s="11" t="str">
        <f t="shared" si="4"/>
        <v>data:image/svg+xml,%3csvg xmlns='http://www.w3.org/2000/svg' viewBox='0 0 24 216'%3e%3ctext fill='%23fff' style='font: 900 16px sans-serif' text-anchor='end' transform='matrix(0 -1 1 0 18 5)'%3eDisneyland%3c/text%3e%3c/svg%3e</v>
      </c>
      <c r="H497" s="8" t="s">
        <v>29</v>
      </c>
      <c r="I497" s="8">
        <f t="shared" ref="I497:J497" si="498">len(B497)</f>
        <v>10</v>
      </c>
      <c r="J497" s="8">
        <f t="shared" si="498"/>
        <v>88</v>
      </c>
      <c r="K497" s="8" t="s">
        <v>3209</v>
      </c>
    </row>
    <row r="498">
      <c r="A498" s="7" t="b">
        <v>1</v>
      </c>
      <c r="B498" s="8" t="s">
        <v>3207</v>
      </c>
      <c r="C498" s="8" t="s">
        <v>3210</v>
      </c>
      <c r="D498" s="8" t="str">
        <f>Q&amp;$K498&amp;Q&amp;":{"&amp;Q&amp;$B$2&amp;Q&amp;":"&amp;Q&amp;$B498&amp;Q&amp;","&amp;Q&amp;$C$2&amp;Q&amp;":"&amp;Q&amp;$C498&amp;Q&amp;","&amp;Q&amp;"sets"&amp;Q&amp;":"&amp;Q&amp;substitute(SUBSTITUTE($H498,"[",""),"]","")&amp;Q&amp;"},"</f>
        <v>"ddjj":{"label":"Disneyland","extra":"A theme park featuring cartoon characters like Mickey Mouse and Donald Duck..","sets":"Junior"},</v>
      </c>
      <c r="E498" s="9" t="str">
        <f t="shared" si="2"/>
        <v>data:image/svg+xml,%3csvg xmlns='http://www.w3.org/2000/svg' viewBox='0 0 24 216'%3e%3ctext fill='%23fff' style='font: 900 16px sans-serif' text-anchor='end' transform='matrix(0 -1 1 0 18 5)'%3eDisneyland%3c/text%3e%3c/svg%3e</v>
      </c>
      <c r="F498" s="14" t="str">
        <f t="shared" si="3"/>
        <v>https://svgtext.heliohost.us/cgi-bin/gen.perl?text=Disneyland</v>
      </c>
      <c r="G498" s="11" t="str">
        <f t="shared" si="4"/>
        <v>data:image/svg+xml,%3csvg xmlns='http://www.w3.org/2000/svg' viewBox='0 0 24 216'%3e%3ctext fill='%23fff' style='font: 900 16px sans-serif' text-anchor='end' transform='matrix(0 -1 1 0 18 5)'%3eDisneyland%3c/text%3e%3c/svg%3e</v>
      </c>
      <c r="H498" s="8" t="s">
        <v>84</v>
      </c>
      <c r="I498" s="8">
        <f t="shared" ref="I498:J498" si="499">len(B498)</f>
        <v>10</v>
      </c>
      <c r="J498" s="8">
        <f t="shared" si="499"/>
        <v>77</v>
      </c>
      <c r="K498" s="8" t="s">
        <v>3211</v>
      </c>
    </row>
    <row r="499">
      <c r="A499" s="7" t="b">
        <v>0</v>
      </c>
      <c r="B499" s="8" t="s">
        <v>3212</v>
      </c>
      <c r="C499" s="7" t="s">
        <v>3213</v>
      </c>
      <c r="D499" s="8" t="str">
        <f>Q&amp;$K499&amp;Q&amp;":{"&amp;Q&amp;$B$2&amp;Q&amp;":"&amp;Q&amp;$B499&amp;Q&amp;","&amp;Q&amp;$C$2&amp;Q&amp;":"&amp;Q&amp;$C499&amp;Q&amp;","&amp;Q&amp;"sets"&amp;Q&amp;":"&amp;Q&amp;substitute(SUBSTITUTE($H499,"[",""),"]","")&amp;Q&amp;"},"</f>
        <v>"xsgl":{"label":"Divorce","extra":"It’s a trial separation that goes to trial.","sets":"Expansion Set 2, Party Set"},</v>
      </c>
      <c r="E499" s="9" t="str">
        <f t="shared" si="2"/>
        <v>data:image/svg+xml,%3csvg xmlns='http://www.w3.org/2000/svg' viewBox='0 0 24 216'%3e%3ctext fill='%23fff' style='font: 900 16px sans-serif' text-anchor='end' transform='matrix(0 -1 1 0 18 5)'%3eDivorce%3c/text%3e%3c/svg%3e</v>
      </c>
      <c r="F499" s="14" t="str">
        <f t="shared" si="3"/>
        <v>https://svgtext.heliohost.us/cgi-bin/gen.perl?text=Divorce</v>
      </c>
      <c r="G499" s="11" t="str">
        <f t="shared" si="4"/>
        <v>data:image/svg+xml,%3csvg xmlns='http://www.w3.org/2000/svg' viewBox='0 0 24 216'%3e%3ctext fill='%23fff' style='font: 900 16px sans-serif' text-anchor='end' transform='matrix(0 -1 1 0 18 5)'%3eDivorce%3c/text%3e%3c/svg%3e</v>
      </c>
      <c r="H499" s="8" t="s">
        <v>17</v>
      </c>
      <c r="I499" s="8">
        <f t="shared" ref="I499:J499" si="500">len(B499)</f>
        <v>7</v>
      </c>
      <c r="J499" s="8">
        <f t="shared" si="500"/>
        <v>43</v>
      </c>
      <c r="K499" s="8" t="s">
        <v>3214</v>
      </c>
    </row>
    <row r="500">
      <c r="A500" s="7" t="b">
        <v>0</v>
      </c>
      <c r="B500" s="8" t="s">
        <v>3215</v>
      </c>
      <c r="C500" s="7" t="s">
        <v>3216</v>
      </c>
      <c r="D500" s="8" t="str">
        <f>Q&amp;$K500&amp;Q&amp;":{"&amp;Q&amp;$B$2&amp;Q&amp;":"&amp;Q&amp;$B500&amp;Q&amp;","&amp;Q&amp;$C$2&amp;Q&amp;":"&amp;Q&amp;$C500&amp;Q&amp;","&amp;Q&amp;"sets"&amp;Q&amp;":"&amp;Q&amp;substitute(SUBSTITUTE($H500,"[",""),"]","")&amp;Q&amp;"},"</f>
        <v>"klam":{"label":"Doctors","extra":"Over twenty years of education and they’re still “practicing” medicine?","sets":"Expansion Set 2, Party Set"},</v>
      </c>
      <c r="E500" s="9" t="str">
        <f t="shared" si="2"/>
        <v>data:image/svg+xml,%3csvg xmlns='http://www.w3.org/2000/svg' viewBox='0 0 24 216'%3e%3ctext fill='%23fff' style='font: 900 16px sans-serif' text-anchor='end' transform='matrix(0 -1 1 0 18 5)'%3eDoctors%3c/text%3e%3c/svg%3e</v>
      </c>
      <c r="F500" s="14" t="str">
        <f t="shared" si="3"/>
        <v>https://svgtext.heliohost.us/cgi-bin/gen.perl?text=Doctors</v>
      </c>
      <c r="G500" s="11" t="str">
        <f t="shared" si="4"/>
        <v>data:image/svg+xml,%3csvg xmlns='http://www.w3.org/2000/svg' viewBox='0 0 24 216'%3e%3ctext fill='%23fff' style='font: 900 16px sans-serif' text-anchor='end' transform='matrix(0 -1 1 0 18 5)'%3eDoctors%3c/text%3e%3c/svg%3e</v>
      </c>
      <c r="H500" s="8" t="s">
        <v>17</v>
      </c>
      <c r="I500" s="8">
        <f t="shared" ref="I500:J500" si="501">len(B500)</f>
        <v>7</v>
      </c>
      <c r="J500" s="8">
        <f t="shared" si="501"/>
        <v>71</v>
      </c>
      <c r="K500" s="8" t="s">
        <v>3217</v>
      </c>
    </row>
    <row r="501">
      <c r="A501" s="7" t="b">
        <v>1</v>
      </c>
      <c r="B501" s="8" t="s">
        <v>3215</v>
      </c>
      <c r="C501" s="8" t="s">
        <v>3218</v>
      </c>
      <c r="D501" s="8" t="str">
        <f>Q&amp;$K501&amp;Q&amp;":{"&amp;Q&amp;$B$2&amp;Q&amp;":"&amp;Q&amp;$B501&amp;Q&amp;","&amp;Q&amp;$C$2&amp;Q&amp;":"&amp;Q&amp;$C501&amp;Q&amp;","&amp;Q&amp;"sets"&amp;Q&amp;":"&amp;Q&amp;substitute(SUBSTITUTE($H501,"[",""),"]","")&amp;Q&amp;"},"</f>
        <v>"qyww":{"label":"Doctors","extra":"Stick out your tongue and say aaaaah!","sets":"Junior 9+ (1st) &amp; (2nd)"},</v>
      </c>
      <c r="E501" s="9" t="str">
        <f t="shared" si="2"/>
        <v>data:image/svg+xml,%3csvg xmlns='http://www.w3.org/2000/svg' viewBox='0 0 24 216'%3e%3ctext fill='%23fff' style='font: 900 16px sans-serif' text-anchor='end' transform='matrix(0 -1 1 0 18 5)'%3eDoctors%3c/text%3e%3c/svg%3e</v>
      </c>
      <c r="F501" s="14" t="str">
        <f t="shared" si="3"/>
        <v>https://svgtext.heliohost.us/cgi-bin/gen.perl?text=Doctors</v>
      </c>
      <c r="G501" s="11" t="str">
        <f t="shared" si="4"/>
        <v>data:image/svg+xml,%3csvg xmlns='http://www.w3.org/2000/svg' viewBox='0 0 24 216'%3e%3ctext fill='%23fff' style='font: 900 16px sans-serif' text-anchor='end' transform='matrix(0 -1 1 0 18 5)'%3eDoctors%3c/text%3e%3c/svg%3e</v>
      </c>
      <c r="H501" s="8" t="s">
        <v>42</v>
      </c>
      <c r="I501" s="8">
        <f t="shared" ref="I501:J501" si="502">len(B501)</f>
        <v>7</v>
      </c>
      <c r="J501" s="8">
        <f t="shared" si="502"/>
        <v>37</v>
      </c>
      <c r="K501" s="8" t="s">
        <v>3219</v>
      </c>
    </row>
    <row r="502">
      <c r="A502" s="7" t="b">
        <v>1</v>
      </c>
      <c r="B502" s="8" t="s">
        <v>3220</v>
      </c>
      <c r="C502" s="8" t="s">
        <v>3221</v>
      </c>
      <c r="D502" s="8" t="str">
        <f>Q&amp;$K502&amp;Q&amp;":{"&amp;Q&amp;$B$2&amp;Q&amp;":"&amp;Q&amp;$B502&amp;Q&amp;","&amp;Q&amp;$C$2&amp;Q&amp;":"&amp;Q&amp;$C502&amp;Q&amp;","&amp;Q&amp;"sets"&amp;Q&amp;":"&amp;Q&amp;substitute(SUBSTITUTE($H502,"[",""),"]","")&amp;Q&amp;"},"</f>
        <v>"niyg":{"label":"Doctors &amp; Dentists","extra":"For a long life and healthy teeth.","sets":"Expansion Set 4, Party Expansion 1"},</v>
      </c>
      <c r="E502" s="9" t="str">
        <f t="shared" si="2"/>
        <v>data:image/svg+xml,%3csvg xmlns='http://www.w3.org/2000/svg' viewBox='0 0 24 216'%3e%3ctext fill='%23fff' style='font: 900 16px sans-serif' text-anchor='end' transform='matrix(0 -1 1 0 18 5)'%3eDoctors %26amp%3B Dentists%3c/text%3e%3c/svg%3e</v>
      </c>
      <c r="F502" s="14" t="str">
        <f t="shared" si="3"/>
        <v>https://svgtext.heliohost.us/cgi-bin/gen.perl?text=Doctors%20%26%20Dentists</v>
      </c>
      <c r="G502" s="11" t="str">
        <f t="shared" si="4"/>
        <v>data:image/svg+xml,%3csvg xmlns='http://www.w3.org/2000/svg' viewBox='0 0 24 216'%3e%3ctext fill='%23fff' style='font: 900 16px sans-serif' text-anchor='end' transform='matrix(0 -1 1 0 18 5)'%3eDoctors %26amp%3B Dentists%3c/text%3e%3c/svg%3e</v>
      </c>
      <c r="H502" s="8" t="s">
        <v>63</v>
      </c>
      <c r="I502" s="8">
        <f t="shared" ref="I502:J502" si="503">len(B502)</f>
        <v>18</v>
      </c>
      <c r="J502" s="8">
        <f t="shared" si="503"/>
        <v>34</v>
      </c>
      <c r="K502" s="8" t="s">
        <v>3222</v>
      </c>
    </row>
    <row r="503">
      <c r="A503" s="7" t="b">
        <v>1</v>
      </c>
      <c r="B503" s="8" t="s">
        <v>3223</v>
      </c>
      <c r="C503" s="8" t="s">
        <v>3224</v>
      </c>
      <c r="D503" s="8" t="str">
        <f>Q&amp;$K503&amp;Q&amp;":{"&amp;Q&amp;$B$2&amp;Q&amp;":"&amp;Q&amp;$B503&amp;Q&amp;","&amp;Q&amp;$C$2&amp;Q&amp;":"&amp;Q&amp;$C503&amp;Q&amp;","&amp;Q&amp;"sets"&amp;Q&amp;":"&amp;Q&amp;substitute(SUBSTITUTE($H503,"[",""),"]","")&amp;Q&amp;"},"</f>
        <v>"bpkb":{"label":"Dodo Birds","extra":"A large, flightless bird of the island of Mauritius. Discovered by Europeans in 1598, extinct by 1681.","sets":"Expansion Set 3, Party Expansion 1"},</v>
      </c>
      <c r="E503" s="9" t="str">
        <f t="shared" si="2"/>
        <v>data:image/svg+xml,%3csvg xmlns='http://www.w3.org/2000/svg' viewBox='0 0 24 216'%3e%3ctext fill='%23fff' style='font: 900 16px sans-serif' text-anchor='end' transform='matrix(0 -1 1 0 18 5)'%3eDodo Birds%3c/text%3e%3c/svg%3e</v>
      </c>
      <c r="F503" s="14" t="str">
        <f t="shared" si="3"/>
        <v>https://svgtext.heliohost.us/cgi-bin/gen.perl?text=Dodo%20Birds</v>
      </c>
      <c r="G503" s="11" t="str">
        <f t="shared" si="4"/>
        <v>data:image/svg+xml,%3csvg xmlns='http://www.w3.org/2000/svg' viewBox='0 0 24 216'%3e%3ctext fill='%23fff' style='font: 900 16px sans-serif' text-anchor='end' transform='matrix(0 -1 1 0 18 5)'%3eDodo Birds%3c/text%3e%3c/svg%3e</v>
      </c>
      <c r="H503" s="8" t="s">
        <v>39</v>
      </c>
      <c r="I503" s="8">
        <f t="shared" ref="I503:J503" si="504">len(B503)</f>
        <v>10</v>
      </c>
      <c r="J503" s="8">
        <f t="shared" si="504"/>
        <v>102</v>
      </c>
      <c r="K503" s="8" t="s">
        <v>3225</v>
      </c>
    </row>
    <row r="504">
      <c r="A504" s="7" t="b">
        <v>1</v>
      </c>
      <c r="B504" s="8" t="s">
        <v>3226</v>
      </c>
      <c r="C504" s="7" t="s">
        <v>3227</v>
      </c>
      <c r="D504" s="8" t="str">
        <f>Q&amp;$K504&amp;Q&amp;":{"&amp;Q&amp;$B$2&amp;Q&amp;":"&amp;Q&amp;$B504&amp;Q&amp;","&amp;Q&amp;$C$2&amp;Q&amp;":"&amp;Q&amp;$C504&amp;Q&amp;","&amp;Q&amp;"sets"&amp;Q&amp;":"&amp;Q&amp;substitute(SUBSTITUTE($H504,"[",""),"]","")&amp;Q&amp;"},"</f>
        <v>"pkib":{"label":"Dog Days","extra":"101 degrees in the shade.","sets":"Expansion Set 3, Party Expansion 1"},</v>
      </c>
      <c r="E504" s="9" t="str">
        <f t="shared" si="2"/>
        <v>data:image/svg+xml,%3csvg xmlns='http://www.w3.org/2000/svg' viewBox='0 0 24 216'%3e%3ctext fill='%23fff' style='font: 900 16px sans-serif' text-anchor='end' transform='matrix(0 -1 1 0 18 5)'%3eDog Days%3c/text%3e%3c/svg%3e</v>
      </c>
      <c r="F504" s="14" t="str">
        <f t="shared" si="3"/>
        <v>https://svgtext.heliohost.us/cgi-bin/gen.perl?text=Dog%20Days</v>
      </c>
      <c r="G504" s="11" t="str">
        <f t="shared" si="4"/>
        <v>data:image/svg+xml,%3csvg xmlns='http://www.w3.org/2000/svg' viewBox='0 0 24 216'%3e%3ctext fill='%23fff' style='font: 900 16px sans-serif' text-anchor='end' transform='matrix(0 -1 1 0 18 5)'%3eDog Days%3c/text%3e%3c/svg%3e</v>
      </c>
      <c r="H504" s="8" t="s">
        <v>39</v>
      </c>
      <c r="I504" s="8">
        <f t="shared" ref="I504:J504" si="505">len(B504)</f>
        <v>8</v>
      </c>
      <c r="J504" s="8">
        <f t="shared" si="505"/>
        <v>25</v>
      </c>
      <c r="K504" s="8" t="s">
        <v>3228</v>
      </c>
    </row>
    <row r="505">
      <c r="A505" s="7" t="b">
        <v>1</v>
      </c>
      <c r="B505" s="8" t="s">
        <v>3229</v>
      </c>
      <c r="C505" s="8" t="s">
        <v>3230</v>
      </c>
      <c r="D505" s="8" t="str">
        <f>Q&amp;$K505&amp;Q&amp;":{"&amp;Q&amp;$B$2&amp;Q&amp;":"&amp;Q&amp;$B505&amp;Q&amp;","&amp;Q&amp;$C$2&amp;Q&amp;":"&amp;Q&amp;$C505&amp;Q&amp;","&amp;Q&amp;"sets"&amp;Q&amp;":"&amp;Q&amp;substitute(SUBSTITUTE($H505,"[",""),"]","")&amp;Q&amp;"},"</f>
        <v>"hgrh":{"label":"Dog Food","extra":"I like the chewy kind.","sets":"Junior 9+ (2nd)"},</v>
      </c>
      <c r="E505" s="9" t="str">
        <f t="shared" si="2"/>
        <v>data:image/svg+xml,%3csvg xmlns='http://www.w3.org/2000/svg' viewBox='0 0 24 216'%3e%3ctext fill='%23fff' style='font: 900 16px sans-serif' text-anchor='end' transform='matrix(0 -1 1 0 18 5)'%3eDog Food%3c/text%3e%3c/svg%3e</v>
      </c>
      <c r="F505" s="14" t="str">
        <f t="shared" si="3"/>
        <v>https://svgtext.heliohost.us/cgi-bin/gen.perl?text=Dog%20Food</v>
      </c>
      <c r="G505" s="11" t="str">
        <f t="shared" si="4"/>
        <v>data:image/svg+xml,%3csvg xmlns='http://www.w3.org/2000/svg' viewBox='0 0 24 216'%3e%3ctext fill='%23fff' style='font: 900 16px sans-serif' text-anchor='end' transform='matrix(0 -1 1 0 18 5)'%3eDog Food%3c/text%3e%3c/svg%3e</v>
      </c>
      <c r="H505" s="8" t="s">
        <v>32</v>
      </c>
      <c r="I505" s="8">
        <f t="shared" ref="I505:J505" si="506">len(B505)</f>
        <v>8</v>
      </c>
      <c r="J505" s="8">
        <f t="shared" si="506"/>
        <v>22</v>
      </c>
      <c r="K505" s="8" t="s">
        <v>3231</v>
      </c>
    </row>
    <row r="506">
      <c r="A506" s="7" t="b">
        <v>1</v>
      </c>
      <c r="B506" s="8" t="s">
        <v>3232</v>
      </c>
      <c r="C506" s="7" t="s">
        <v>3233</v>
      </c>
      <c r="D506" s="8" t="str">
        <f>Q&amp;$K506&amp;Q&amp;":{"&amp;Q&amp;$B$2&amp;Q&amp;":"&amp;Q&amp;$B506&amp;Q&amp;","&amp;Q&amp;$C$2&amp;Q&amp;":"&amp;Q&amp;$C506&amp;Q&amp;","&amp;Q&amp;"sets"&amp;Q&amp;":"&amp;Q&amp;substitute(SUBSTITUTE($H506,"[",""),"]","")&amp;Q&amp;"},"</f>
        <v>"wiqe":{"label":"Doing The Dishes","extra":"I’ll wash the dishes and you can dry.","sets":"Junior"},</v>
      </c>
      <c r="E506" s="9" t="str">
        <f t="shared" si="2"/>
        <v>data:image/svg+xml,%3csvg xmlns='http://www.w3.org/2000/svg' viewBox='0 0 24 216'%3e%3ctext fill='%23fff' style='font: 900 16px sans-serif' text-anchor='end' transform='matrix(0 -1 1 0 18 5)'%3eDoing The Dishes%3c/text%3e%3c/svg%3e</v>
      </c>
      <c r="F506" s="14" t="str">
        <f t="shared" si="3"/>
        <v>https://svgtext.heliohost.us/cgi-bin/gen.perl?text=Doing%20The%20Dishes</v>
      </c>
      <c r="G506" s="11" t="str">
        <f t="shared" si="4"/>
        <v>data:image/svg+xml,%3csvg xmlns='http://www.w3.org/2000/svg' viewBox='0 0 24 216'%3e%3ctext fill='%23fff' style='font: 900 16px sans-serif' text-anchor='end' transform='matrix(0 -1 1 0 18 5)'%3eDoing The Dishes%3c/text%3e%3c/svg%3e</v>
      </c>
      <c r="H506" s="8" t="s">
        <v>84</v>
      </c>
      <c r="I506" s="8">
        <f t="shared" ref="I506:J506" si="507">len(B506)</f>
        <v>16</v>
      </c>
      <c r="J506" s="8">
        <f t="shared" si="507"/>
        <v>37</v>
      </c>
      <c r="K506" s="8" t="s">
        <v>3234</v>
      </c>
    </row>
    <row r="507">
      <c r="A507" s="7" t="b">
        <v>0</v>
      </c>
      <c r="B507" s="8" t="s">
        <v>3232</v>
      </c>
      <c r="C507" s="7" t="s">
        <v>3235</v>
      </c>
      <c r="D507" s="8" t="str">
        <f>Q&amp;$K507&amp;Q&amp;":{"&amp;Q&amp;$B$2&amp;Q&amp;":"&amp;Q&amp;$B507&amp;Q&amp;","&amp;Q&amp;$C$2&amp;Q&amp;":"&amp;Q&amp;$C507&amp;Q&amp;","&amp;Q&amp;"sets"&amp;Q&amp;":"&amp;Q&amp;substitute(SUBSTITUTE($H507,"[",""),"]","")&amp;Q&amp;"},"</f>
        <v>"bbrr":{"label":"Doing The Dishes","extra":"You wash, I’ll watch.","sets":"Basic Set, Party Set"},</v>
      </c>
      <c r="E507" s="9" t="str">
        <f t="shared" si="2"/>
        <v>data:image/svg+xml,%3csvg xmlns='http://www.w3.org/2000/svg' viewBox='0 0 24 216'%3e%3ctext fill='%23fff' style='font: 900 16px sans-serif' text-anchor='end' transform='matrix(0 -1 1 0 18 5)'%3eDoing The Dishes%3c/text%3e%3c/svg%3e</v>
      </c>
      <c r="F507" s="14" t="str">
        <f t="shared" si="3"/>
        <v>https://svgtext.heliohost.us/cgi-bin/gen.perl?text=Doing%20The%20Dishes</v>
      </c>
      <c r="G507" s="11" t="str">
        <f t="shared" si="4"/>
        <v>data:image/svg+xml,%3csvg xmlns='http://www.w3.org/2000/svg' viewBox='0 0 24 216'%3e%3ctext fill='%23fff' style='font: 900 16px sans-serif' text-anchor='end' transform='matrix(0 -1 1 0 18 5)'%3eDoing The Dishes%3c/text%3e%3c/svg%3e</v>
      </c>
      <c r="H507" s="8" t="s">
        <v>29</v>
      </c>
      <c r="I507" s="8">
        <f t="shared" ref="I507:J507" si="508">len(B507)</f>
        <v>16</v>
      </c>
      <c r="J507" s="8">
        <f t="shared" si="508"/>
        <v>21</v>
      </c>
      <c r="K507" s="8" t="s">
        <v>3236</v>
      </c>
    </row>
    <row r="508">
      <c r="A508" s="7" t="b">
        <v>1</v>
      </c>
      <c r="B508" s="8" t="s">
        <v>3237</v>
      </c>
      <c r="C508" s="7" t="s">
        <v>3238</v>
      </c>
      <c r="D508" s="8" t="str">
        <f>Q&amp;$K508&amp;Q&amp;":{"&amp;Q&amp;$B$2&amp;Q&amp;":"&amp;Q&amp;$B508&amp;Q&amp;","&amp;Q&amp;$C$2&amp;Q&amp;":"&amp;Q&amp;$C508&amp;Q&amp;","&amp;Q&amp;"sets"&amp;Q&amp;":"&amp;Q&amp;substitute(SUBSTITUTE($H508,"[",""),"]","")&amp;Q&amp;"},"</f>
        <v>"gdpw":{"label":"Doing The Hokey-Pokey","extra":"That’s what it's all about.","sets":"Expansion Set 3, Party Expansion 1"},</v>
      </c>
      <c r="E508" s="9" t="str">
        <f t="shared" si="2"/>
        <v>data:image/svg+xml,%3csvg xmlns='http://www.w3.org/2000/svg' viewBox='0 0 24 216'%3e%3ctext fill='%23fff' style='font: 900 16px sans-serif' text-anchor='end' transform='matrix(0 -1 1 0 18 5)'%3eDoing The Hokey-Pokey%3c/text%3e%3c/svg%3e</v>
      </c>
      <c r="F508" s="14" t="str">
        <f t="shared" si="3"/>
        <v>https://svgtext.heliohost.us/cgi-bin/gen.perl?text=Doing%20The%20Hokey-Pokey</v>
      </c>
      <c r="G508" s="11" t="str">
        <f t="shared" si="4"/>
        <v>data:image/svg+xml,%3csvg xmlns='http://www.w3.org/2000/svg' viewBox='0 0 24 216'%3e%3ctext fill='%23fff' style='font: 900 16px sans-serif' text-anchor='end' transform='matrix(0 -1 1 0 18 5)'%3eDoing The Hokey-Pokey%3c/text%3e%3c/svg%3e</v>
      </c>
      <c r="H508" s="8" t="s">
        <v>39</v>
      </c>
      <c r="I508" s="8">
        <f t="shared" ref="I508:J508" si="509">len(B508)</f>
        <v>21</v>
      </c>
      <c r="J508" s="8">
        <f t="shared" si="509"/>
        <v>27</v>
      </c>
      <c r="K508" s="8" t="s">
        <v>3239</v>
      </c>
    </row>
    <row r="509">
      <c r="A509" s="7" t="b">
        <v>1</v>
      </c>
      <c r="B509" s="8" t="s">
        <v>3240</v>
      </c>
      <c r="C509" s="7" t="s">
        <v>3241</v>
      </c>
      <c r="D509" s="8" t="str">
        <f>Q&amp;$K509&amp;Q&amp;":{"&amp;Q&amp;$B$2&amp;Q&amp;":"&amp;Q&amp;$B509&amp;Q&amp;","&amp;Q&amp;$C$2&amp;Q&amp;":"&amp;Q&amp;$C509&amp;Q&amp;","&amp;Q&amp;"sets"&amp;Q&amp;":"&amp;Q&amp;substitute(SUBSTITUTE($H509,"[",""),"]","")&amp;Q&amp;"},"</f>
        <v>"ltek":{"label":"Dollars &amp; Cents","extra":"“If it don't make dollars, it don't make sense.”—DJ Quik","sets":"Expansion Set 4, Party Expansion 1"},</v>
      </c>
      <c r="E509" s="9" t="str">
        <f t="shared" si="2"/>
        <v>data:image/svg+xml,%3csvg xmlns='http://www.w3.org/2000/svg' viewBox='0 0 24 216'%3e%3ctext fill='%23fff' style='font: 900 16px sans-serif' text-anchor='end' transform='matrix(0 -1 1 0 18 5)'%3eDollars %26amp%3B Cents%3c/text%3e%3c/svg%3e</v>
      </c>
      <c r="F509" s="14" t="str">
        <f t="shared" si="3"/>
        <v>https://svgtext.heliohost.us/cgi-bin/gen.perl?text=Dollars%20%26%20Cents</v>
      </c>
      <c r="G509" s="11" t="str">
        <f t="shared" si="4"/>
        <v>data:image/svg+xml,%3csvg xmlns='http://www.w3.org/2000/svg' viewBox='0 0 24 216'%3e%3ctext fill='%23fff' style='font: 900 16px sans-serif' text-anchor='end' transform='matrix(0 -1 1 0 18 5)'%3eDollars %26amp%3B Cents%3c/text%3e%3c/svg%3e</v>
      </c>
      <c r="H509" s="8" t="s">
        <v>63</v>
      </c>
      <c r="I509" s="8">
        <f t="shared" ref="I509:J509" si="510">len(B509)</f>
        <v>15</v>
      </c>
      <c r="J509" s="8">
        <f t="shared" si="510"/>
        <v>56</v>
      </c>
      <c r="K509" s="8" t="s">
        <v>3242</v>
      </c>
    </row>
    <row r="510">
      <c r="A510" s="7" t="b">
        <v>0</v>
      </c>
      <c r="B510" s="8" t="s">
        <v>3243</v>
      </c>
      <c r="C510" s="8" t="s">
        <v>3244</v>
      </c>
      <c r="D510" s="8" t="str">
        <f>Q&amp;$K510&amp;Q&amp;":{"&amp;Q&amp;$B$2&amp;Q&amp;":"&amp;Q&amp;$B510&amp;Q&amp;","&amp;Q&amp;$C$2&amp;Q&amp;":"&amp;Q&amp;$C510&amp;Q&amp;","&amp;Q&amp;"sets"&amp;Q&amp;":"&amp;Q&amp;substitute(SUBSTITUTE($H510,"[",""),"]","")&amp;Q&amp;"},"</f>
        <v>"mwho":{"label":"Dolly Parton","extra":"1967-, American singer, songwriter, and actor. Known as much for her personal style as for her successful career.","sets":"Expansion Set 1, Party Set"},</v>
      </c>
      <c r="E510" s="9" t="str">
        <f t="shared" si="2"/>
        <v>data:image/svg+xml,%3csvg xmlns='http://www.w3.org/2000/svg' viewBox='0 0 24 216'%3e%3ctext fill='%23fff' style='font: 900 16px sans-serif' text-anchor='end' transform='matrix(0 -1 1 0 18 5)'%3eDolly Parton%3c/text%3e%3c/svg%3e</v>
      </c>
      <c r="F510" s="14" t="str">
        <f t="shared" si="3"/>
        <v>https://svgtext.heliohost.us/cgi-bin/gen.perl?text=Dolly%20Parton</v>
      </c>
      <c r="G510" s="11" t="str">
        <f t="shared" si="4"/>
        <v>data:image/svg+xml,%3csvg xmlns='http://www.w3.org/2000/svg' viewBox='0 0 24 216'%3e%3ctext fill='%23fff' style='font: 900 16px sans-serif' text-anchor='end' transform='matrix(0 -1 1 0 18 5)'%3eDolly Parton%3c/text%3e%3c/svg%3e</v>
      </c>
      <c r="H510" s="8" t="s">
        <v>25</v>
      </c>
      <c r="I510" s="8">
        <f t="shared" ref="I510:J510" si="511">len(B510)</f>
        <v>12</v>
      </c>
      <c r="J510" s="8">
        <f t="shared" si="511"/>
        <v>113</v>
      </c>
      <c r="K510" s="8" t="s">
        <v>3245</v>
      </c>
    </row>
    <row r="511">
      <c r="A511" s="7" t="b">
        <v>1</v>
      </c>
      <c r="B511" s="8" t="s">
        <v>3246</v>
      </c>
      <c r="C511" s="8" t="s">
        <v>3247</v>
      </c>
      <c r="D511" s="8" t="str">
        <f>Q&amp;$K511&amp;Q&amp;":{"&amp;Q&amp;$B$2&amp;Q&amp;":"&amp;Q&amp;$B511&amp;Q&amp;","&amp;Q&amp;$C$2&amp;Q&amp;":"&amp;Q&amp;$C511&amp;Q&amp;","&amp;Q&amp;"sets"&amp;Q&amp;":"&amp;Q&amp;substitute(SUBSTITUTE($H511,"[",""),"]","")&amp;Q&amp;"},"</f>
        <v>"ybnf":{"label":"Dolphins","extra":"Dolphins are mammals that live in the sea, and Sea World.","sets":"Junior 9+ (2nd)"},</v>
      </c>
      <c r="E511" s="9" t="str">
        <f t="shared" si="2"/>
        <v>data:image/svg+xml,%3csvg xmlns='http://www.w3.org/2000/svg' viewBox='0 0 24 216'%3e%3ctext fill='%23fff' style='font: 900 16px sans-serif' text-anchor='end' transform='matrix(0 -1 1 0 18 5)'%3eDolphins%3c/text%3e%3c/svg%3e</v>
      </c>
      <c r="F511" s="14" t="str">
        <f t="shared" si="3"/>
        <v>https://svgtext.heliohost.us/cgi-bin/gen.perl?text=Dolphins</v>
      </c>
      <c r="G511" s="11" t="str">
        <f t="shared" si="4"/>
        <v>data:image/svg+xml,%3csvg xmlns='http://www.w3.org/2000/svg' viewBox='0 0 24 216'%3e%3ctext fill='%23fff' style='font: 900 16px sans-serif' text-anchor='end' transform='matrix(0 -1 1 0 18 5)'%3eDolphins%3c/text%3e%3c/svg%3e</v>
      </c>
      <c r="H511" s="8" t="s">
        <v>32</v>
      </c>
      <c r="I511" s="8">
        <f t="shared" ref="I511:J511" si="512">len(B511)</f>
        <v>8</v>
      </c>
      <c r="J511" s="8">
        <f t="shared" si="512"/>
        <v>57</v>
      </c>
      <c r="K511" s="8" t="s">
        <v>3248</v>
      </c>
    </row>
    <row r="512">
      <c r="A512" s="7" t="b">
        <v>1</v>
      </c>
      <c r="B512" s="8" t="s">
        <v>3249</v>
      </c>
      <c r="C512" s="8" t="s">
        <v>3250</v>
      </c>
      <c r="D512" s="8" t="str">
        <f>Q&amp;$K512&amp;Q&amp;":{"&amp;Q&amp;$B$2&amp;Q&amp;":"&amp;Q&amp;$B512&amp;Q&amp;","&amp;Q&amp;$C$2&amp;Q&amp;":"&amp;Q&amp;$C512&amp;Q&amp;","&amp;Q&amp;"sets"&amp;Q&amp;":"&amp;Q&amp;substitute(SUBSTITUTE($H512,"[",""),"]","")&amp;Q&amp;"},"</f>
        <v>"iksd":{"label":"Donuts","extra":"In 1993, a doughnut weighing over 3,700 pounds was made in Utica, N.Y.","sets":"Junior 9+ (2nd)"},</v>
      </c>
      <c r="E512" s="9" t="str">
        <f t="shared" si="2"/>
        <v>data:image/svg+xml,%3csvg xmlns='http://www.w3.org/2000/svg' viewBox='0 0 24 216'%3e%3ctext fill='%23fff' style='font: 900 16px sans-serif' text-anchor='end' transform='matrix(0 -1 1 0 18 5)'%3eDonuts%3c/text%3e%3c/svg%3e</v>
      </c>
      <c r="F512" s="14" t="str">
        <f t="shared" si="3"/>
        <v>https://svgtext.heliohost.us/cgi-bin/gen.perl?text=Donuts</v>
      </c>
      <c r="G512" s="11" t="str">
        <f t="shared" si="4"/>
        <v>data:image/svg+xml,%3csvg xmlns='http://www.w3.org/2000/svg' viewBox='0 0 24 216'%3e%3ctext fill='%23fff' style='font: 900 16px sans-serif' text-anchor='end' transform='matrix(0 -1 1 0 18 5)'%3eDonuts%3c/text%3e%3c/svg%3e</v>
      </c>
      <c r="H512" s="8" t="s">
        <v>32</v>
      </c>
      <c r="I512" s="8">
        <f t="shared" ref="I512:J512" si="513">len(B512)</f>
        <v>6</v>
      </c>
      <c r="J512" s="8">
        <f t="shared" si="513"/>
        <v>70</v>
      </c>
      <c r="K512" s="8" t="s">
        <v>3251</v>
      </c>
    </row>
    <row r="513">
      <c r="A513" s="7" t="b">
        <v>1</v>
      </c>
      <c r="B513" s="8" t="s">
        <v>3252</v>
      </c>
      <c r="C513" s="8" t="s">
        <v>3253</v>
      </c>
      <c r="D513" s="8" t="str">
        <f>Q&amp;$K513&amp;Q&amp;":{"&amp;Q&amp;$B$2&amp;Q&amp;":"&amp;Q&amp;$B513&amp;Q&amp;","&amp;Q&amp;$C$2&amp;Q&amp;":"&amp;Q&amp;$C513&amp;Q&amp;","&amp;Q&amp;"sets"&amp;Q&amp;":"&amp;Q&amp;substitute(SUBSTITUTE($H513,"[",""),"]","")&amp;Q&amp;"},"</f>
        <v>"dily":{"label":"Doorbells","extra":"Would someone please answer the door?","sets":"Junior 9+ (1st) &amp; (2nd)"},</v>
      </c>
      <c r="E513" s="9" t="str">
        <f t="shared" si="2"/>
        <v>data:image/svg+xml,%3csvg xmlns='http://www.w3.org/2000/svg' viewBox='0 0 24 216'%3e%3ctext fill='%23fff' style='font: 900 16px sans-serif' text-anchor='end' transform='matrix(0 -1 1 0 18 5)'%3eDoorbells%3c/text%3e%3c/svg%3e</v>
      </c>
      <c r="F513" s="14" t="str">
        <f t="shared" si="3"/>
        <v>https://svgtext.heliohost.us/cgi-bin/gen.perl?text=Doorbells</v>
      </c>
      <c r="G513" s="11" t="str">
        <f t="shared" si="4"/>
        <v>data:image/svg+xml,%3csvg xmlns='http://www.w3.org/2000/svg' viewBox='0 0 24 216'%3e%3ctext fill='%23fff' style='font: 900 16px sans-serif' text-anchor='end' transform='matrix(0 -1 1 0 18 5)'%3eDoorbells%3c/text%3e%3c/svg%3e</v>
      </c>
      <c r="H513" s="8" t="s">
        <v>42</v>
      </c>
      <c r="I513" s="8">
        <f t="shared" ref="I513:J513" si="514">len(B513)</f>
        <v>9</v>
      </c>
      <c r="J513" s="8">
        <f t="shared" si="514"/>
        <v>37</v>
      </c>
      <c r="K513" s="8" t="s">
        <v>3254</v>
      </c>
    </row>
    <row r="514">
      <c r="A514" s="7" t="b">
        <v>1</v>
      </c>
      <c r="B514" s="8" t="s">
        <v>3255</v>
      </c>
      <c r="C514" s="7" t="s">
        <v>3256</v>
      </c>
      <c r="D514" s="8" t="str">
        <f>Q&amp;$K514&amp;Q&amp;":{"&amp;Q&amp;$B$2&amp;Q&amp;":"&amp;Q&amp;$B514&amp;Q&amp;","&amp;Q&amp;$C$2&amp;Q&amp;":"&amp;Q&amp;$C514&amp;Q&amp;","&amp;Q&amp;"sets"&amp;Q&amp;":"&amp;Q&amp;substitute(SUBSTITUTE($H514,"[",""),"]","")&amp;Q&amp;"},"</f>
        <v>"xdnd":{"label":"Double Thick Malts","extra":"For a double thick ice cream headache.","sets":"Expansion Set 3, Party Expansion 1"},</v>
      </c>
      <c r="E514" s="9" t="str">
        <f t="shared" si="2"/>
        <v>data:image/svg+xml,%3csvg xmlns='http://www.w3.org/2000/svg' viewBox='0 0 24 216'%3e%3ctext fill='%23fff' style='font: 900 16px sans-serif' text-anchor='end' transform='matrix(0 -1 1 0 18 5)'%3eDouble Thick Malts%3c/text%3e%3c/svg%3e</v>
      </c>
      <c r="F514" s="14" t="str">
        <f t="shared" si="3"/>
        <v>https://svgtext.heliohost.us/cgi-bin/gen.perl?text=Double%20Thick%20Malts</v>
      </c>
      <c r="G514" s="11" t="str">
        <f t="shared" si="4"/>
        <v>data:image/svg+xml,%3csvg xmlns='http://www.w3.org/2000/svg' viewBox='0 0 24 216'%3e%3ctext fill='%23fff' style='font: 900 16px sans-serif' text-anchor='end' transform='matrix(0 -1 1 0 18 5)'%3eDouble Thick Malts%3c/text%3e%3c/svg%3e</v>
      </c>
      <c r="H514" s="8" t="s">
        <v>39</v>
      </c>
      <c r="I514" s="8">
        <f t="shared" ref="I514:J514" si="515">len(B514)</f>
        <v>18</v>
      </c>
      <c r="J514" s="8">
        <f t="shared" si="515"/>
        <v>38</v>
      </c>
      <c r="K514" s="8" t="s">
        <v>3257</v>
      </c>
    </row>
    <row r="515">
      <c r="A515" s="7" t="b">
        <v>0</v>
      </c>
      <c r="B515" s="8" t="s">
        <v>3258</v>
      </c>
      <c r="C515" s="7" t="s">
        <v>3259</v>
      </c>
      <c r="D515" s="8" t="str">
        <f>Q&amp;$K515&amp;Q&amp;":{"&amp;Q&amp;$B$2&amp;Q&amp;":"&amp;Q&amp;$B515&amp;Q&amp;","&amp;Q&amp;$C$2&amp;Q&amp;":"&amp;Q&amp;$C515&amp;Q&amp;","&amp;Q&amp;"sets"&amp;Q&amp;":"&amp;Q&amp;substitute(SUBSTITUTE($H515,"[",""),"]","")&amp;Q&amp;"},"</f>
        <v>"jnrb":{"label":"Dr. Evil","extra":"Arch-nemesis of Austin Powers. Riiiiiiight.","sets":"Expansion Set 3, Party Expansion 1"},</v>
      </c>
      <c r="E515" s="9" t="str">
        <f t="shared" si="2"/>
        <v>data:image/svg+xml,%3csvg xmlns='http://www.w3.org/2000/svg' viewBox='0 0 24 216'%3e%3ctext fill='%23fff' style='font: 900 16px sans-serif' text-anchor='end' transform='matrix(0 -1 1 0 18 5)'%3eDr. Evil%3c/text%3e%3c/svg%3e</v>
      </c>
      <c r="F515" s="14" t="str">
        <f t="shared" si="3"/>
        <v>https://svgtext.heliohost.us/cgi-bin/gen.perl?text=Dr.%20Evil</v>
      </c>
      <c r="G515" s="11" t="str">
        <f t="shared" si="4"/>
        <v>data:image/svg+xml,%3csvg xmlns='http://www.w3.org/2000/svg' viewBox='0 0 24 216'%3e%3ctext fill='%23fff' style='font: 900 16px sans-serif' text-anchor='end' transform='matrix(0 -1 1 0 18 5)'%3eDr. Evil%3c/text%3e%3c/svg%3e</v>
      </c>
      <c r="H515" s="8" t="s">
        <v>39</v>
      </c>
      <c r="I515" s="8">
        <f t="shared" ref="I515:J515" si="516">len(B515)</f>
        <v>8</v>
      </c>
      <c r="J515" s="8">
        <f t="shared" si="516"/>
        <v>43</v>
      </c>
      <c r="K515" s="8" t="s">
        <v>3260</v>
      </c>
    </row>
    <row r="516">
      <c r="A516" s="7" t="b">
        <v>1</v>
      </c>
      <c r="B516" s="8" t="s">
        <v>3261</v>
      </c>
      <c r="C516" s="7" t="s">
        <v>3262</v>
      </c>
      <c r="D516" s="8" t="str">
        <f>Q&amp;$K516&amp;Q&amp;":{"&amp;Q&amp;$B$2&amp;Q&amp;":"&amp;Q&amp;$B516&amp;Q&amp;","&amp;Q&amp;$C$2&amp;Q&amp;":"&amp;Q&amp;$C516&amp;Q&amp;","&amp;Q&amp;"sets"&amp;Q&amp;":"&amp;Q&amp;substitute(SUBSTITUTE($H516,"[",""),"]","")&amp;Q&amp;"},"</f>
        <v>"qrkz":{"label":"Dr. Jekyll &amp; Mr. Hyde","extra":"Robert Louis Stevenson's 1887 novel revealing the hypocrisy and innate evilness in society. The idea came to him in a dream a bad dream.","sets":"Expansion Set 4, Party Expansion 1"},</v>
      </c>
      <c r="E516" s="9" t="str">
        <f t="shared" si="2"/>
        <v>data:image/svg+xml,%3csvg xmlns='http://www.w3.org/2000/svg' viewBox='0 0 24 216'%3e%3ctext fill='%23fff' style='font: 900 16px sans-serif' text-anchor='end' transform='matrix(0 -1 1 0 18 5)'%3eDr. Jekyll %26amp%3B Mr. Hyde%3c/text%3e%3c/svg%3e</v>
      </c>
      <c r="F516" s="14" t="str">
        <f t="shared" si="3"/>
        <v>https://svgtext.heliohost.us/cgi-bin/gen.perl?text=Dr.%20Jekyll%20%26%20Mr.%20Hyde</v>
      </c>
      <c r="G516" s="11" t="str">
        <f t="shared" si="4"/>
        <v>data:image/svg+xml,%3csvg xmlns='http://www.w3.org/2000/svg' viewBox='0 0 24 216'%3e%3ctext fill='%23fff' style='font: 900 16px sans-serif' text-anchor='end' transform='matrix(0 -1 1 0 18 5)'%3eDr. Jekyll %26amp%3B Mr. Hyde%3c/text%3e%3c/svg%3e</v>
      </c>
      <c r="H516" s="8" t="s">
        <v>63</v>
      </c>
      <c r="I516" s="8">
        <f t="shared" ref="I516:J516" si="517">len(B516)</f>
        <v>21</v>
      </c>
      <c r="J516" s="8">
        <f t="shared" si="517"/>
        <v>136</v>
      </c>
      <c r="K516" s="8" t="s">
        <v>3263</v>
      </c>
    </row>
    <row r="517">
      <c r="A517" s="7" t="b">
        <v>0</v>
      </c>
      <c r="B517" s="8" t="s">
        <v>3264</v>
      </c>
      <c r="C517" s="8" t="s">
        <v>3265</v>
      </c>
      <c r="D517" s="8" t="str">
        <f>Q&amp;$K517&amp;Q&amp;":{"&amp;Q&amp;$B$2&amp;Q&amp;":"&amp;Q&amp;$B517&amp;Q&amp;","&amp;Q&amp;$C$2&amp;Q&amp;":"&amp;Q&amp;$C517&amp;Q&amp;","&amp;Q&amp;"sets"&amp;Q&amp;":"&amp;Q&amp;substitute(SUBSTITUTE($H517,"[",""),"]","")&amp;Q&amp;"},"</f>
        <v>"sdcq":{"label":"Dr. Kevorkin","extra":"1928-, Controversial advocate of doctor-assisted suicide.","sets":"Basic Set, Party Set"},</v>
      </c>
      <c r="E517" s="9" t="str">
        <f t="shared" si="2"/>
        <v>data:image/svg+xml,%3csvg xmlns='http://www.w3.org/2000/svg' viewBox='0 0 24 216'%3e%3ctext fill='%23fff' style='font: 900 16px sans-serif' text-anchor='end' transform='matrix(0 -1 1 0 18 5)'%3eDr. Kevorkin%3c/text%3e%3c/svg%3e</v>
      </c>
      <c r="F517" s="14" t="str">
        <f t="shared" si="3"/>
        <v>https://svgtext.heliohost.us/cgi-bin/gen.perl?text=Dr.%20Kevorkin</v>
      </c>
      <c r="G517" s="11" t="str">
        <f t="shared" si="4"/>
        <v>data:image/svg+xml,%3csvg xmlns='http://www.w3.org/2000/svg' viewBox='0 0 24 216'%3e%3ctext fill='%23fff' style='font: 900 16px sans-serif' text-anchor='end' transform='matrix(0 -1 1 0 18 5)'%3eDr. Kevorkin%3c/text%3e%3c/svg%3e</v>
      </c>
      <c r="H517" s="8" t="s">
        <v>29</v>
      </c>
      <c r="I517" s="8">
        <f t="shared" ref="I517:J517" si="518">len(B517)</f>
        <v>12</v>
      </c>
      <c r="J517" s="8">
        <f t="shared" si="518"/>
        <v>57</v>
      </c>
      <c r="K517" s="8" t="s">
        <v>3266</v>
      </c>
    </row>
    <row r="518">
      <c r="A518" s="7" t="b">
        <v>1</v>
      </c>
      <c r="B518" s="8" t="s">
        <v>3267</v>
      </c>
      <c r="C518" s="7" t="s">
        <v>3268</v>
      </c>
      <c r="D518" s="8" t="str">
        <f>Q&amp;$K518&amp;Q&amp;":{"&amp;Q&amp;$B$2&amp;Q&amp;":"&amp;Q&amp;$B518&amp;Q&amp;","&amp;Q&amp;$C$2&amp;Q&amp;":"&amp;Q&amp;$C518&amp;Q&amp;","&amp;Q&amp;"sets"&amp;Q&amp;":"&amp;Q&amp;substitute(SUBSTITUTE($H518,"[",""),"]","")&amp;Q&amp;"},"</f>
        <v>"wyxi":{"label":"Dr. Laura","extra":"1947-, American conservative talk show host and promoter of family values. HER family values, that is…","sets":"Expansion Set 3, Party Expansion 1"},</v>
      </c>
      <c r="E518" s="9" t="str">
        <f t="shared" si="2"/>
        <v>data:image/svg+xml,%3csvg xmlns='http://www.w3.org/2000/svg' viewBox='0 0 24 216'%3e%3ctext fill='%23fff' style='font: 900 16px sans-serif' text-anchor='end' transform='matrix(0 -1 1 0 18 5)'%3eDr. Laura%3c/text%3e%3c/svg%3e</v>
      </c>
      <c r="F518" s="14" t="str">
        <f t="shared" si="3"/>
        <v>https://svgtext.heliohost.us/cgi-bin/gen.perl?text=Dr.%20Laura</v>
      </c>
      <c r="G518" s="11" t="str">
        <f t="shared" si="4"/>
        <v>data:image/svg+xml,%3csvg xmlns='http://www.w3.org/2000/svg' viewBox='0 0 24 216'%3e%3ctext fill='%23fff' style='font: 900 16px sans-serif' text-anchor='end' transform='matrix(0 -1 1 0 18 5)'%3eDr. Laura%3c/text%3e%3c/svg%3e</v>
      </c>
      <c r="H518" s="8" t="s">
        <v>39</v>
      </c>
      <c r="I518" s="8">
        <f t="shared" ref="I518:J518" si="519">len(B518)</f>
        <v>9</v>
      </c>
      <c r="J518" s="8">
        <f t="shared" si="519"/>
        <v>102</v>
      </c>
      <c r="K518" s="8" t="s">
        <v>3269</v>
      </c>
    </row>
    <row r="519">
      <c r="A519" s="7" t="b">
        <v>0</v>
      </c>
      <c r="B519" s="8" t="s">
        <v>3270</v>
      </c>
      <c r="C519" s="7" t="s">
        <v>3271</v>
      </c>
      <c r="D519" s="8" t="str">
        <f>Q&amp;$K519&amp;Q&amp;":{"&amp;Q&amp;$B$2&amp;Q&amp;":"&amp;Q&amp;$B519&amp;Q&amp;","&amp;Q&amp;$C$2&amp;Q&amp;":"&amp;Q&amp;$C519&amp;Q&amp;","&amp;Q&amp;"sets"&amp;Q&amp;":"&amp;Q&amp;substitute(SUBSTITUTE($H519,"[",""),"]","")&amp;Q&amp;"},"</f>
        <v>"lrev":{"label":"Dr. Seuss","extra":"1904-1991, Theodor Suess Geisel, the cat who came up with “The Cat in the Hat.”","sets":"Basic Set, Party Set"},</v>
      </c>
      <c r="E519" s="9" t="str">
        <f t="shared" si="2"/>
        <v>data:image/svg+xml,%3csvg xmlns='http://www.w3.org/2000/svg' viewBox='0 0 24 216'%3e%3ctext fill='%23fff' style='font: 900 16px sans-serif' text-anchor='end' transform='matrix(0 -1 1 0 18 5)'%3eDr. Seuss%3c/text%3e%3c/svg%3e</v>
      </c>
      <c r="F519" s="14" t="str">
        <f t="shared" si="3"/>
        <v>https://svgtext.heliohost.us/cgi-bin/gen.perl?text=Dr.%20Seuss</v>
      </c>
      <c r="G519" s="11" t="str">
        <f t="shared" si="4"/>
        <v>data:image/svg+xml,%3csvg xmlns='http://www.w3.org/2000/svg' viewBox='0 0 24 216'%3e%3ctext fill='%23fff' style='font: 900 16px sans-serif' text-anchor='end' transform='matrix(0 -1 1 0 18 5)'%3eDr. Seuss%3c/text%3e%3c/svg%3e</v>
      </c>
      <c r="H519" s="8" t="s">
        <v>29</v>
      </c>
      <c r="I519" s="8">
        <f t="shared" ref="I519:J519" si="520">len(B519)</f>
        <v>9</v>
      </c>
      <c r="J519" s="8">
        <f t="shared" si="520"/>
        <v>79</v>
      </c>
      <c r="K519" s="8" t="s">
        <v>3272</v>
      </c>
    </row>
    <row r="520">
      <c r="A520" s="7" t="b">
        <v>1</v>
      </c>
      <c r="B520" s="8" t="s">
        <v>3273</v>
      </c>
      <c r="C520" s="8" t="s">
        <v>3274</v>
      </c>
      <c r="D520" s="8" t="str">
        <f>Q&amp;$K520&amp;Q&amp;":{"&amp;Q&amp;$B$2&amp;Q&amp;":"&amp;Q&amp;$B520&amp;Q&amp;","&amp;Q&amp;$C$2&amp;Q&amp;":"&amp;Q&amp;$C520&amp;Q&amp;","&amp;Q&amp;"sets"&amp;Q&amp;":"&amp;Q&amp;substitute(SUBSTITUTE($H520,"[",""),"]","")&amp;Q&amp;"},"</f>
        <v>"nxut":{"label":"Dragons","extra":"Pretend animals that look like giant lizards with wings. Sometimes they breath fire!","sets":"Junior"},</v>
      </c>
      <c r="E520" s="9" t="str">
        <f t="shared" si="2"/>
        <v>data:image/svg+xml,%3csvg xmlns='http://www.w3.org/2000/svg' viewBox='0 0 24 216'%3e%3ctext fill='%23fff' style='font: 900 16px sans-serif' text-anchor='end' transform='matrix(0 -1 1 0 18 5)'%3eDragons%3c/text%3e%3c/svg%3e</v>
      </c>
      <c r="F520" s="14" t="str">
        <f t="shared" si="3"/>
        <v>https://svgtext.heliohost.us/cgi-bin/gen.perl?text=Dragons</v>
      </c>
      <c r="G520" s="11" t="str">
        <f t="shared" si="4"/>
        <v>data:image/svg+xml,%3csvg xmlns='http://www.w3.org/2000/svg' viewBox='0 0 24 216'%3e%3ctext fill='%23fff' style='font: 900 16px sans-serif' text-anchor='end' transform='matrix(0 -1 1 0 18 5)'%3eDragons%3c/text%3e%3c/svg%3e</v>
      </c>
      <c r="H520" s="8" t="s">
        <v>84</v>
      </c>
      <c r="I520" s="8">
        <f t="shared" ref="I520:J520" si="521">len(B520)</f>
        <v>7</v>
      </c>
      <c r="J520" s="8">
        <f t="shared" si="521"/>
        <v>84</v>
      </c>
      <c r="K520" s="8" t="s">
        <v>3275</v>
      </c>
    </row>
    <row r="521">
      <c r="A521" s="7" t="b">
        <v>1</v>
      </c>
      <c r="B521" s="8" t="s">
        <v>3276</v>
      </c>
      <c r="C521" s="7" t="s">
        <v>3277</v>
      </c>
      <c r="D521" s="8" t="str">
        <f>Q&amp;$K521&amp;Q&amp;":{"&amp;Q&amp;$B$2&amp;Q&amp;":"&amp;Q&amp;$B521&amp;Q&amp;","&amp;Q&amp;$C$2&amp;Q&amp;":"&amp;Q&amp;$C521&amp;Q&amp;","&amp;Q&amp;"sets"&amp;Q&amp;":"&amp;Q&amp;substitute(SUBSTITUTE($H521,"[",""),"]","")&amp;Q&amp;"},"</f>
        <v>"pjrc":{"label":"Drew Barrymore","extra":"1975-, heir to the Barrymore acting dynasty. Drew starred in “ET”, “The Wedding Singer”, “Charlie's Angels”, and countless tabloid stories.","sets":"Expansion Set 3, Party Expansion 1"},</v>
      </c>
      <c r="E521" s="9" t="str">
        <f t="shared" si="2"/>
        <v>data:image/svg+xml,%3csvg xmlns='http://www.w3.org/2000/svg' viewBox='0 0 24 216'%3e%3ctext fill='%23fff' style='font: 900 16px sans-serif' text-anchor='end' transform='matrix(0 -1 1 0 18 5)'%3eDrew Barrymore%3c/text%3e%3c/svg%3e</v>
      </c>
      <c r="F521" s="14" t="str">
        <f t="shared" si="3"/>
        <v>https://svgtext.heliohost.us/cgi-bin/gen.perl?text=Drew%20Barrymore</v>
      </c>
      <c r="G521" s="11" t="str">
        <f t="shared" si="4"/>
        <v>data:image/svg+xml,%3csvg xmlns='http://www.w3.org/2000/svg' viewBox='0 0 24 216'%3e%3ctext fill='%23fff' style='font: 900 16px sans-serif' text-anchor='end' transform='matrix(0 -1 1 0 18 5)'%3eDrew Barrymore%3c/text%3e%3c/svg%3e</v>
      </c>
      <c r="H521" s="8" t="s">
        <v>39</v>
      </c>
      <c r="I521" s="8">
        <f t="shared" ref="I521:J521" si="522">len(B521)</f>
        <v>14</v>
      </c>
      <c r="J521" s="8">
        <f t="shared" si="522"/>
        <v>139</v>
      </c>
      <c r="K521" s="8" t="s">
        <v>3278</v>
      </c>
    </row>
    <row r="522">
      <c r="A522" s="7" t="b">
        <v>1</v>
      </c>
      <c r="B522" s="8" t="s">
        <v>3279</v>
      </c>
      <c r="C522" s="7" t="s">
        <v>3280</v>
      </c>
      <c r="D522" s="8" t="str">
        <f>Q&amp;$K522&amp;Q&amp;":{"&amp;Q&amp;$B$2&amp;Q&amp;":"&amp;Q&amp;$B522&amp;Q&amp;","&amp;Q&amp;$C$2&amp;Q&amp;":"&amp;Q&amp;$C522&amp;Q&amp;","&amp;Q&amp;"sets"&amp;Q&amp;":"&amp;Q&amp;substitute(SUBSTITUTE($H522,"[",""),"]","")&amp;Q&amp;"},"</f>
        <v>"jzjz":{"label":"Drew Carey","extra":"1958-, American comedian and television star. Whose line is it anyway? His.","sets":"Expansion Set 3, Party Expansion 1"},</v>
      </c>
      <c r="E522" s="9" t="str">
        <f t="shared" si="2"/>
        <v>data:image/svg+xml,%3csvg xmlns='http://www.w3.org/2000/svg' viewBox='0 0 24 216'%3e%3ctext fill='%23fff' style='font: 900 16px sans-serif' text-anchor='end' transform='matrix(0 -1 1 0 18 5)'%3eDrew Carey%3c/text%3e%3c/svg%3e</v>
      </c>
      <c r="F522" s="14" t="str">
        <f t="shared" si="3"/>
        <v>https://svgtext.heliohost.us/cgi-bin/gen.perl?text=Drew%20Carey</v>
      </c>
      <c r="G522" s="11" t="str">
        <f t="shared" si="4"/>
        <v>data:image/svg+xml,%3csvg xmlns='http://www.w3.org/2000/svg' viewBox='0 0 24 216'%3e%3ctext fill='%23fff' style='font: 900 16px sans-serif' text-anchor='end' transform='matrix(0 -1 1 0 18 5)'%3eDrew Carey%3c/text%3e%3c/svg%3e</v>
      </c>
      <c r="H522" s="8" t="s">
        <v>39</v>
      </c>
      <c r="I522" s="8">
        <f t="shared" ref="I522:J522" si="523">len(B522)</f>
        <v>10</v>
      </c>
      <c r="J522" s="8">
        <f t="shared" si="523"/>
        <v>75</v>
      </c>
      <c r="K522" s="8" t="s">
        <v>3281</v>
      </c>
    </row>
    <row r="523">
      <c r="A523" s="7" t="b">
        <v>1</v>
      </c>
      <c r="B523" s="8" t="s">
        <v>3282</v>
      </c>
      <c r="C523" s="7" t="s">
        <v>3283</v>
      </c>
      <c r="D523" s="8" t="str">
        <f>Q&amp;$K523&amp;Q&amp;":{"&amp;Q&amp;$B$2&amp;Q&amp;":"&amp;Q&amp;$B523&amp;Q&amp;","&amp;Q&amp;$C$2&amp;Q&amp;":"&amp;Q&amp;$C523&amp;Q&amp;","&amp;Q&amp;"sets"&amp;Q&amp;":"&amp;Q&amp;substitute(SUBSTITUTE($H523,"[",""),"]","")&amp;Q&amp;"},"</f>
        <v>"mtzp":{"label":"Drinking &amp; Driving","extra":"Friends don’t let friends drive drunk.","sets":"Expansion Set 4, Party Expansion 1"},</v>
      </c>
      <c r="E523" s="9" t="str">
        <f t="shared" si="2"/>
        <v>data:image/svg+xml,%3csvg xmlns='http://www.w3.org/2000/svg' viewBox='0 0 24 216'%3e%3ctext fill='%23fff' style='font: 900 16px sans-serif' text-anchor='end' transform='matrix(0 -1 1 0 18 5)'%3eDrinking %26amp%3B Driving%3c/text%3e%3c/svg%3e</v>
      </c>
      <c r="F523" s="14" t="str">
        <f t="shared" si="3"/>
        <v>https://svgtext.heliohost.us/cgi-bin/gen.perl?text=Drinking%20%26%20Driving</v>
      </c>
      <c r="G523" s="11" t="str">
        <f t="shared" si="4"/>
        <v>data:image/svg+xml,%3csvg xmlns='http://www.w3.org/2000/svg' viewBox='0 0 24 216'%3e%3ctext fill='%23fff' style='font: 900 16px sans-serif' text-anchor='end' transform='matrix(0 -1 1 0 18 5)'%3eDrinking %26amp%3B Driving%3c/text%3e%3c/svg%3e</v>
      </c>
      <c r="H523" s="8" t="s">
        <v>63</v>
      </c>
      <c r="I523" s="8">
        <f t="shared" ref="I523:J523" si="524">len(B523)</f>
        <v>18</v>
      </c>
      <c r="J523" s="8">
        <f t="shared" si="524"/>
        <v>38</v>
      </c>
      <c r="K523" s="8" t="s">
        <v>3284</v>
      </c>
    </row>
    <row r="524">
      <c r="A524" s="7" t="b">
        <v>1</v>
      </c>
      <c r="B524" s="8" t="s">
        <v>3285</v>
      </c>
      <c r="C524" s="8" t="s">
        <v>3286</v>
      </c>
      <c r="D524" s="8" t="str">
        <f>Q&amp;$K524&amp;Q&amp;":{"&amp;Q&amp;$B$2&amp;Q&amp;":"&amp;Q&amp;$B524&amp;Q&amp;","&amp;Q&amp;$C$2&amp;Q&amp;":"&amp;Q&amp;$C524&amp;Q&amp;","&amp;Q&amp;"sets"&amp;Q&amp;":"&amp;Q&amp;substitute(SUBSTITUTE($H524,"[",""),"]","")&amp;Q&amp;"},"</f>
        <v>"jehf":{"label":"Driving A Car","extra":"In most states, you have to be 16 years old to drive a car.","sets":"Junior 9+ (1st) &amp; (2nd)"},</v>
      </c>
      <c r="E524" s="9" t="str">
        <f t="shared" si="2"/>
        <v>data:image/svg+xml,%3csvg xmlns='http://www.w3.org/2000/svg' viewBox='0 0 24 216'%3e%3ctext fill='%23fff' style='font: 900 16px sans-serif' text-anchor='end' transform='matrix(0 -1 1 0 18 5)'%3eDriving A Car%3c/text%3e%3c/svg%3e</v>
      </c>
      <c r="F524" s="14" t="str">
        <f t="shared" si="3"/>
        <v>https://svgtext.heliohost.us/cgi-bin/gen.perl?text=Driving%20A%20Car</v>
      </c>
      <c r="G524" s="11" t="str">
        <f t="shared" si="4"/>
        <v>data:image/svg+xml,%3csvg xmlns='http://www.w3.org/2000/svg' viewBox='0 0 24 216'%3e%3ctext fill='%23fff' style='font: 900 16px sans-serif' text-anchor='end' transform='matrix(0 -1 1 0 18 5)'%3eDriving A Car%3c/text%3e%3c/svg%3e</v>
      </c>
      <c r="H524" s="8" t="s">
        <v>42</v>
      </c>
      <c r="I524" s="8">
        <f t="shared" ref="I524:J524" si="525">len(B524)</f>
        <v>13</v>
      </c>
      <c r="J524" s="8">
        <f t="shared" si="525"/>
        <v>59</v>
      </c>
      <c r="K524" s="8" t="s">
        <v>3287</v>
      </c>
    </row>
    <row r="525">
      <c r="A525" s="7" t="b">
        <v>0</v>
      </c>
      <c r="B525" s="8" t="s">
        <v>3288</v>
      </c>
      <c r="C525" s="7" t="s">
        <v>3289</v>
      </c>
      <c r="D525" s="8" t="str">
        <f>Q&amp;$K525&amp;Q&amp;":{"&amp;Q&amp;$B$2&amp;Q&amp;":"&amp;Q&amp;$B525&amp;Q&amp;","&amp;Q&amp;$C$2&amp;Q&amp;":"&amp;Q&amp;$C525&amp;Q&amp;","&amp;Q&amp;"sets"&amp;Q&amp;":"&amp;Q&amp;substitute(SUBSTITUTE($H525,"[",""),"]","")&amp;Q&amp;"},"</f>
        <v>"dcqu":{"label":"Driving Off A Cliff","extra":"It was either that or hire someone to do my takes.","sets":"Expansion Set 2, Party Set"},</v>
      </c>
      <c r="E525" s="9" t="str">
        <f t="shared" si="2"/>
        <v>data:image/svg+xml,%3csvg xmlns='http://www.w3.org/2000/svg' viewBox='0 0 24 216'%3e%3ctext fill='%23fff' style='font: 900 16px sans-serif' text-anchor='end' transform='matrix(0 -1 1 0 18 5)'%3eDriving Off A Cliff%3c/text%3e%3c/svg%3e</v>
      </c>
      <c r="F525" s="14" t="str">
        <f t="shared" si="3"/>
        <v>https://svgtext.heliohost.us/cgi-bin/gen.perl?text=Driving%20Off%20A%20Cliff</v>
      </c>
      <c r="G525" s="11" t="str">
        <f t="shared" si="4"/>
        <v>data:image/svg+xml,%3csvg xmlns='http://www.w3.org/2000/svg' viewBox='0 0 24 216'%3e%3ctext fill='%23fff' style='font: 900 16px sans-serif' text-anchor='end' transform='matrix(0 -1 1 0 18 5)'%3eDriving Off A Cliff%3c/text%3e%3c/svg%3e</v>
      </c>
      <c r="H525" s="8" t="s">
        <v>17</v>
      </c>
      <c r="I525" s="8">
        <f t="shared" ref="I525:J525" si="526">len(B525)</f>
        <v>19</v>
      </c>
      <c r="J525" s="8">
        <f t="shared" si="526"/>
        <v>50</v>
      </c>
      <c r="K525" s="8" t="s">
        <v>3290</v>
      </c>
    </row>
    <row r="526">
      <c r="A526" s="7" t="b">
        <v>1</v>
      </c>
      <c r="B526" s="8" t="s">
        <v>3291</v>
      </c>
      <c r="C526" s="8" t="s">
        <v>3292</v>
      </c>
      <c r="D526" s="8" t="str">
        <f>Q&amp;$K526&amp;Q&amp;":{"&amp;Q&amp;$B$2&amp;Q&amp;":"&amp;Q&amp;$B526&amp;Q&amp;","&amp;Q&amp;$C$2&amp;Q&amp;":"&amp;Q&amp;$C526&amp;Q&amp;","&amp;Q&amp;"sets"&amp;Q&amp;":"&amp;Q&amp;substitute(SUBSTITUTE($H526,"[",""),"]","")&amp;Q&amp;"},"</f>
        <v>"lhot":{"label":"Drums","extra":"Beat it!","sets":"Junior"},</v>
      </c>
      <c r="E526" s="9" t="str">
        <f t="shared" si="2"/>
        <v>data:image/svg+xml,%3csvg xmlns='http://www.w3.org/2000/svg' viewBox='0 0 24 216'%3e%3ctext fill='%23fff' style='font: 900 16px sans-serif' text-anchor='end' transform='matrix(0 -1 1 0 18 5)'%3eDrums%3c/text%3e%3c/svg%3e</v>
      </c>
      <c r="F526" s="14" t="str">
        <f t="shared" si="3"/>
        <v>https://svgtext.heliohost.us/cgi-bin/gen.perl?text=Drums</v>
      </c>
      <c r="G526" s="11" t="str">
        <f t="shared" si="4"/>
        <v>data:image/svg+xml,%3csvg xmlns='http://www.w3.org/2000/svg' viewBox='0 0 24 216'%3e%3ctext fill='%23fff' style='font: 900 16px sans-serif' text-anchor='end' transform='matrix(0 -1 1 0 18 5)'%3eDrums%3c/text%3e%3c/svg%3e</v>
      </c>
      <c r="H526" s="8" t="s">
        <v>84</v>
      </c>
      <c r="I526" s="8">
        <f t="shared" ref="I526:J526" si="527">len(B526)</f>
        <v>5</v>
      </c>
      <c r="J526" s="8">
        <f t="shared" si="527"/>
        <v>8</v>
      </c>
      <c r="K526" s="8" t="s">
        <v>3293</v>
      </c>
    </row>
    <row r="527">
      <c r="A527" s="7" t="b">
        <v>1</v>
      </c>
      <c r="B527" s="8" t="s">
        <v>3294</v>
      </c>
      <c r="C527" s="8" t="s">
        <v>3295</v>
      </c>
      <c r="D527" s="8" t="str">
        <f>Q&amp;$K527&amp;Q&amp;":{"&amp;Q&amp;$B$2&amp;Q&amp;":"&amp;Q&amp;$B527&amp;Q&amp;","&amp;Q&amp;$C$2&amp;Q&amp;":"&amp;Q&amp;$C527&amp;Q&amp;","&amp;Q&amp;"sets"&amp;Q&amp;":"&amp;Q&amp;substitute(SUBSTITUTE($H527,"[",""),"]","")&amp;Q&amp;"},"</f>
        <v>"tuys":{"label":"Drunk Drivers","extra":"Number one highway safety problem.","sets":"Expansion Set 3, Party Expansion 1"},</v>
      </c>
      <c r="E527" s="9" t="str">
        <f t="shared" si="2"/>
        <v>data:image/svg+xml,%3csvg xmlns='http://www.w3.org/2000/svg' viewBox='0 0 24 216'%3e%3ctext fill='%23fff' style='font: 900 16px sans-serif' text-anchor='end' transform='matrix(0 -1 1 0 18 5)'%3eDrunk Drivers%3c/text%3e%3c/svg%3e</v>
      </c>
      <c r="F527" s="14" t="str">
        <f t="shared" si="3"/>
        <v>https://svgtext.heliohost.us/cgi-bin/gen.perl?text=Drunk%20Drivers</v>
      </c>
      <c r="G527" s="11" t="str">
        <f t="shared" si="4"/>
        <v>data:image/svg+xml,%3csvg xmlns='http://www.w3.org/2000/svg' viewBox='0 0 24 216'%3e%3ctext fill='%23fff' style='font: 900 16px sans-serif' text-anchor='end' transform='matrix(0 -1 1 0 18 5)'%3eDrunk Drivers%3c/text%3e%3c/svg%3e</v>
      </c>
      <c r="H527" s="8" t="s">
        <v>39</v>
      </c>
      <c r="I527" s="8">
        <f t="shared" ref="I527:J527" si="528">len(B527)</f>
        <v>13</v>
      </c>
      <c r="J527" s="8">
        <f t="shared" si="528"/>
        <v>34</v>
      </c>
      <c r="K527" s="8" t="s">
        <v>3296</v>
      </c>
    </row>
    <row r="528">
      <c r="A528" s="7" t="b">
        <v>1</v>
      </c>
      <c r="B528" s="8" t="s">
        <v>3297</v>
      </c>
      <c r="C528" s="8" t="s">
        <v>3298</v>
      </c>
      <c r="D528" s="8" t="str">
        <f>Q&amp;$K528&amp;Q&amp;":{"&amp;Q&amp;$B$2&amp;Q&amp;":"&amp;Q&amp;$B528&amp;Q&amp;","&amp;Q&amp;$C$2&amp;Q&amp;":"&amp;Q&amp;$C528&amp;Q&amp;","&amp;Q&amp;"sets"&amp;Q&amp;":"&amp;Q&amp;substitute(SUBSTITUTE($H528,"[",""),"]","")&amp;Q&amp;"},"</f>
        <v>"tfbi":{"label":"Ducks","extra":"Large birds with webbed feet and a flat bill. Quack-quack-quack!","sets":"Junior"},</v>
      </c>
      <c r="E528" s="9" t="str">
        <f t="shared" si="2"/>
        <v>data:image/svg+xml,%3csvg xmlns='http://www.w3.org/2000/svg' viewBox='0 0 24 216'%3e%3ctext fill='%23fff' style='font: 900 16px sans-serif' text-anchor='end' transform='matrix(0 -1 1 0 18 5)'%3eDucks%3c/text%3e%3c/svg%3e</v>
      </c>
      <c r="F528" s="14" t="str">
        <f t="shared" si="3"/>
        <v>https://svgtext.heliohost.us/cgi-bin/gen.perl?text=Ducks</v>
      </c>
      <c r="G528" s="11" t="str">
        <f t="shared" si="4"/>
        <v>data:image/svg+xml,%3csvg xmlns='http://www.w3.org/2000/svg' viewBox='0 0 24 216'%3e%3ctext fill='%23fff' style='font: 900 16px sans-serif' text-anchor='end' transform='matrix(0 -1 1 0 18 5)'%3eDucks%3c/text%3e%3c/svg%3e</v>
      </c>
      <c r="H528" s="8" t="s">
        <v>84</v>
      </c>
      <c r="I528" s="8">
        <f t="shared" ref="I528:J528" si="529">len(B528)</f>
        <v>5</v>
      </c>
      <c r="J528" s="8">
        <f t="shared" si="529"/>
        <v>64</v>
      </c>
      <c r="K528" s="8" t="s">
        <v>3299</v>
      </c>
    </row>
    <row r="529">
      <c r="A529" s="7" t="b">
        <v>0</v>
      </c>
      <c r="B529" s="8" t="s">
        <v>3300</v>
      </c>
      <c r="C529" s="7" t="s">
        <v>3301</v>
      </c>
      <c r="D529" s="8" t="str">
        <f>Q&amp;$K529&amp;Q&amp;":{"&amp;Q&amp;$B$2&amp;Q&amp;":"&amp;Q&amp;$B529&amp;Q&amp;","&amp;Q&amp;$C$2&amp;Q&amp;":"&amp;Q&amp;$C529&amp;Q&amp;","&amp;Q&amp;"sets"&amp;Q&amp;":"&amp;Q&amp;substitute(SUBSTITUTE($H529,"[",""),"]","")&amp;Q&amp;"},"</f>
        <v>"sbaq":{"label":"Duct Tape","extra":"All-purpose, …all the time…","sets":"Basic Set, Party Set"},</v>
      </c>
      <c r="E529" s="9" t="str">
        <f t="shared" si="2"/>
        <v>data:image/svg+xml,%3csvg xmlns='http://www.w3.org/2000/svg' viewBox='0 0 24 216'%3e%3ctext fill='%23fff' style='font: 900 16px sans-serif' text-anchor='end' transform='matrix(0 -1 1 0 18 5)'%3eDuct Tape%3c/text%3e%3c/svg%3e</v>
      </c>
      <c r="F529" s="14" t="str">
        <f t="shared" si="3"/>
        <v>https://svgtext.heliohost.us/cgi-bin/gen.perl?text=Duct%20Tape</v>
      </c>
      <c r="G529" s="11" t="str">
        <f t="shared" si="4"/>
        <v>data:image/svg+xml,%3csvg xmlns='http://www.w3.org/2000/svg' viewBox='0 0 24 216'%3e%3ctext fill='%23fff' style='font: 900 16px sans-serif' text-anchor='end' transform='matrix(0 -1 1 0 18 5)'%3eDuct Tape%3c/text%3e%3c/svg%3e</v>
      </c>
      <c r="H529" s="8" t="s">
        <v>29</v>
      </c>
      <c r="I529" s="8">
        <f t="shared" ref="I529:J529" si="530">len(B529)</f>
        <v>9</v>
      </c>
      <c r="J529" s="8">
        <f t="shared" si="530"/>
        <v>27</v>
      </c>
      <c r="K529" s="8" t="s">
        <v>3302</v>
      </c>
    </row>
    <row r="530">
      <c r="A530" s="7" t="b">
        <v>1</v>
      </c>
      <c r="B530" s="8" t="s">
        <v>3303</v>
      </c>
      <c r="C530" s="8" t="s">
        <v>3304</v>
      </c>
      <c r="D530" s="8" t="str">
        <f>Q&amp;$K530&amp;Q&amp;":{"&amp;Q&amp;$B$2&amp;Q&amp;":"&amp;Q&amp;$B530&amp;Q&amp;","&amp;Q&amp;$C$2&amp;Q&amp;":"&amp;Q&amp;$C530&amp;Q&amp;","&amp;Q&amp;"sets"&amp;Q&amp;":"&amp;Q&amp;substitute(SUBSTITUTE($H530,"[",""),"]","")&amp;Q&amp;"},"</f>
        <v>"dnqs":{"label":"Dumb Blonde Jokes","extra":"Are they just naturally funny?","sets":"Expansion Set 3, Party Expansion 1"},</v>
      </c>
      <c r="E530" s="9" t="str">
        <f t="shared" si="2"/>
        <v>data:image/svg+xml,%3csvg xmlns='http://www.w3.org/2000/svg' viewBox='0 0 24 216'%3e%3ctext fill='%23fff' style='font: 900 16px sans-serif' text-anchor='end' transform='matrix(0 -1 1 0 18 5)'%3eDumb Blonde Jokes%3c/text%3e%3c/svg%3e</v>
      </c>
      <c r="F530" s="14" t="str">
        <f t="shared" si="3"/>
        <v>https://svgtext.heliohost.us/cgi-bin/gen.perl?text=Dumb%20Blonde%20Jokes</v>
      </c>
      <c r="G530" s="11" t="str">
        <f t="shared" si="4"/>
        <v>data:image/svg+xml,%3csvg xmlns='http://www.w3.org/2000/svg' viewBox='0 0 24 216'%3e%3ctext fill='%23fff' style='font: 900 16px sans-serif' text-anchor='end' transform='matrix(0 -1 1 0 18 5)'%3eDumb Blonde Jokes%3c/text%3e%3c/svg%3e</v>
      </c>
      <c r="H530" s="8" t="s">
        <v>39</v>
      </c>
      <c r="I530" s="8">
        <f t="shared" ref="I530:J530" si="531">len(B530)</f>
        <v>17</v>
      </c>
      <c r="J530" s="8">
        <f t="shared" si="531"/>
        <v>30</v>
      </c>
      <c r="K530" s="8" t="s">
        <v>3305</v>
      </c>
    </row>
    <row r="531">
      <c r="A531" s="7" t="b">
        <v>1</v>
      </c>
      <c r="B531" s="8" t="s">
        <v>3306</v>
      </c>
      <c r="C531" s="8" t="s">
        <v>3307</v>
      </c>
      <c r="D531" s="8" t="str">
        <f>Q&amp;$K531&amp;Q&amp;":{"&amp;Q&amp;$B$2&amp;Q&amp;":"&amp;Q&amp;$B531&amp;Q&amp;","&amp;Q&amp;$C$2&amp;Q&amp;":"&amp;Q&amp;$C531&amp;Q&amp;","&amp;Q&amp;"sets"&amp;Q&amp;":"&amp;Q&amp;substitute(SUBSTITUTE($H531,"[",""),"]","")&amp;Q&amp;"},"</f>
        <v>"ivvh":{"label":"Dumbo","extra":"A little elephant cartoon character. When he flaps his ears, he can fly!","sets":"Junior"},</v>
      </c>
      <c r="E531" s="9" t="str">
        <f t="shared" si="2"/>
        <v>data:image/svg+xml,%3csvg xmlns='http://www.w3.org/2000/svg' viewBox='0 0 24 216'%3e%3ctext fill='%23fff' style='font: 900 16px sans-serif' text-anchor='end' transform='matrix(0 -1 1 0 18 5)'%3eDumbo%3c/text%3e%3c/svg%3e</v>
      </c>
      <c r="F531" s="14" t="str">
        <f t="shared" si="3"/>
        <v>https://svgtext.heliohost.us/cgi-bin/gen.perl?text=Dumbo</v>
      </c>
      <c r="G531" s="11" t="str">
        <f t="shared" si="4"/>
        <v>data:image/svg+xml,%3csvg xmlns='http://www.w3.org/2000/svg' viewBox='0 0 24 216'%3e%3ctext fill='%23fff' style='font: 900 16px sans-serif' text-anchor='end' transform='matrix(0 -1 1 0 18 5)'%3eDumbo%3c/text%3e%3c/svg%3e</v>
      </c>
      <c r="H531" s="8" t="s">
        <v>84</v>
      </c>
      <c r="I531" s="8">
        <f t="shared" ref="I531:J531" si="532">len(B531)</f>
        <v>5</v>
      </c>
      <c r="J531" s="8">
        <f t="shared" si="532"/>
        <v>72</v>
      </c>
      <c r="K531" s="8" t="s">
        <v>3308</v>
      </c>
    </row>
    <row r="532">
      <c r="A532" s="7" t="b">
        <v>1</v>
      </c>
      <c r="B532" s="8" t="s">
        <v>3309</v>
      </c>
      <c r="C532" s="8" t="s">
        <v>3310</v>
      </c>
      <c r="D532" s="8" t="str">
        <f>Q&amp;$K532&amp;Q&amp;":{"&amp;Q&amp;$B$2&amp;Q&amp;":"&amp;Q&amp;$B532&amp;Q&amp;","&amp;Q&amp;$C$2&amp;Q&amp;":"&amp;Q&amp;$C532&amp;Q&amp;","&amp;Q&amp;"sets"&amp;Q&amp;":"&amp;Q&amp;substitute(SUBSTITUTE($H532,"[",""),"]","")&amp;Q&amp;"},"</f>
        <v>"gxus":{"label":"Dump Trucks","extra":"Large trucks that carry dirt, sand, and rocks.","sets":"Junior 9+ (1st) &amp; (2nd)"},</v>
      </c>
      <c r="E532" s="9" t="str">
        <f t="shared" si="2"/>
        <v>data:image/svg+xml,%3csvg xmlns='http://www.w3.org/2000/svg' viewBox='0 0 24 216'%3e%3ctext fill='%23fff' style='font: 900 16px sans-serif' text-anchor='end' transform='matrix(0 -1 1 0 18 5)'%3eDump Trucks%3c/text%3e%3c/svg%3e</v>
      </c>
      <c r="F532" s="14" t="str">
        <f t="shared" si="3"/>
        <v>https://svgtext.heliohost.us/cgi-bin/gen.perl?text=Dump%20Trucks</v>
      </c>
      <c r="G532" s="11" t="str">
        <f t="shared" si="4"/>
        <v>data:image/svg+xml,%3csvg xmlns='http://www.w3.org/2000/svg' viewBox='0 0 24 216'%3e%3ctext fill='%23fff' style='font: 900 16px sans-serif' text-anchor='end' transform='matrix(0 -1 1 0 18 5)'%3eDump Trucks%3c/text%3e%3c/svg%3e</v>
      </c>
      <c r="H532" s="8" t="s">
        <v>42</v>
      </c>
      <c r="I532" s="8">
        <f t="shared" ref="I532:J532" si="533">len(B532)</f>
        <v>11</v>
      </c>
      <c r="J532" s="8">
        <f t="shared" si="533"/>
        <v>46</v>
      </c>
      <c r="K532" s="8" t="s">
        <v>3311</v>
      </c>
    </row>
    <row r="533">
      <c r="A533" s="7" t="b">
        <v>1</v>
      </c>
      <c r="B533" s="8" t="s">
        <v>3312</v>
      </c>
      <c r="C533" s="7" t="s">
        <v>3313</v>
      </c>
      <c r="D533" s="8" t="str">
        <f>Q&amp;$K533&amp;Q&amp;":{"&amp;Q&amp;$B$2&amp;Q&amp;":"&amp;Q&amp;$B533&amp;Q&amp;","&amp;Q&amp;$C$2&amp;Q&amp;":"&amp;Q&amp;$C533&amp;Q&amp;","&amp;Q&amp;"sets"&amp;Q&amp;":"&amp;Q&amp;substitute(SUBSTITUTE($H533,"[",""),"]","")&amp;Q&amp;"},"</f>
        <v>"xops":{"label":"Dungeons &amp; Dragons","extra":"Popular role-playing game featuring swords, sorcery and wizards. Repeat after me: it's a game… it's only a game…","sets":"Expansion Set 4, Party Expansion 1"},</v>
      </c>
      <c r="E533" s="9" t="str">
        <f t="shared" si="2"/>
        <v>data:image/svg+xml,%3csvg xmlns='http://www.w3.org/2000/svg' viewBox='0 0 24 216'%3e%3ctext fill='%23fff' style='font: 900 16px sans-serif' text-anchor='end' transform='matrix(0 -1 1 0 18 5)'%3eDungeons %26amp%3B Dragons%3c/text%3e%3c/svg%3e</v>
      </c>
      <c r="F533" s="14" t="str">
        <f t="shared" si="3"/>
        <v>https://svgtext.heliohost.us/cgi-bin/gen.perl?text=Dungeons%20%26%20Dragons</v>
      </c>
      <c r="G533" s="11" t="str">
        <f t="shared" si="4"/>
        <v>data:image/svg+xml,%3csvg xmlns='http://www.w3.org/2000/svg' viewBox='0 0 24 216'%3e%3ctext fill='%23fff' style='font: 900 16px sans-serif' text-anchor='end' transform='matrix(0 -1 1 0 18 5)'%3eDungeons %26amp%3B Dragons%3c/text%3e%3c/svg%3e</v>
      </c>
      <c r="H533" s="8" t="s">
        <v>63</v>
      </c>
      <c r="I533" s="8">
        <f t="shared" ref="I533:J533" si="534">len(B533)</f>
        <v>18</v>
      </c>
      <c r="J533" s="8">
        <f t="shared" si="534"/>
        <v>112</v>
      </c>
      <c r="K533" s="8" t="s">
        <v>3314</v>
      </c>
    </row>
    <row r="534">
      <c r="A534" s="7" t="b">
        <v>0</v>
      </c>
      <c r="B534" s="8" t="s">
        <v>3315</v>
      </c>
      <c r="C534" s="7" t="s">
        <v>3316</v>
      </c>
      <c r="D534" s="8" t="str">
        <f>Q&amp;$K534&amp;Q&amp;":{"&amp;Q&amp;$B$2&amp;Q&amp;":"&amp;Q&amp;$B534&amp;Q&amp;","&amp;Q&amp;$C$2&amp;Q&amp;":"&amp;Q&amp;$C534&amp;Q&amp;","&amp;Q&amp;"sets"&amp;Q&amp;":"&amp;Q&amp;substitute(SUBSTITUTE($H534,"[",""),"]","")&amp;Q&amp;"},"</f>
        <v>"te{s":{"label":"Dustin Hoffman","extra":"1937-, highly regarded actor of “The Graduate,” “Midnight Cowboy,” and “Rainman.” He’s an excellent driver!","sets":"Expansion Set 3, Party Expansion 1"},</v>
      </c>
      <c r="E534" s="9" t="str">
        <f t="shared" si="2"/>
        <v>data:image/svg+xml,%3csvg xmlns='http://www.w3.org/2000/svg' viewBox='0 0 24 216'%3e%3ctext fill='%23fff' style='font: 900 16px sans-serif' text-anchor='end' transform='matrix(0 -1 1 0 18 5)'%3eDustin Hoffman%3c/text%3e%3c/svg%3e</v>
      </c>
      <c r="F534" s="14" t="str">
        <f t="shared" si="3"/>
        <v>https://svgtext.heliohost.us/cgi-bin/gen.perl?text=Dustin%20Hoffman</v>
      </c>
      <c r="G534" s="11" t="str">
        <f t="shared" si="4"/>
        <v>data:image/svg+xml,%3csvg xmlns='http://www.w3.org/2000/svg' viewBox='0 0 24 216'%3e%3ctext fill='%23fff' style='font: 900 16px sans-serif' text-anchor='end' transform='matrix(0 -1 1 0 18 5)'%3eDustin Hoffman%3c/text%3e%3c/svg%3e</v>
      </c>
      <c r="H534" s="8" t="s">
        <v>39</v>
      </c>
      <c r="I534" s="8">
        <f t="shared" ref="I534:J534" si="535">len(B534)</f>
        <v>14</v>
      </c>
      <c r="J534" s="8">
        <f t="shared" si="535"/>
        <v>107</v>
      </c>
      <c r="K534" s="8" t="s">
        <v>3317</v>
      </c>
    </row>
    <row r="535">
      <c r="A535" s="7" t="b">
        <v>0</v>
      </c>
      <c r="B535" s="8" t="s">
        <v>3318</v>
      </c>
      <c r="C535" s="7" t="s">
        <v>3319</v>
      </c>
      <c r="D535" s="8" t="str">
        <f>Q&amp;$K535&amp;Q&amp;":{"&amp;Q&amp;$B$2&amp;Q&amp;":"&amp;Q&amp;$B535&amp;Q&amp;","&amp;Q&amp;$C$2&amp;Q&amp;":"&amp;Q&amp;$C535&amp;Q&amp;","&amp;Q&amp;"sets"&amp;Q&amp;":"&amp;Q&amp;substitute(SUBSTITUTE($H535,"[",""),"]","")&amp;Q&amp;"},"</f>
        <v>"rixf":{"label":"E-Mail","extra":"You’ve got JUNK mail!","sets":"Expansion Set 1, Party Set"},</v>
      </c>
      <c r="E535" s="9" t="str">
        <f t="shared" si="2"/>
        <v>data:image/svg+xml,%3csvg xmlns='http://www.w3.org/2000/svg' viewBox='0 0 24 216'%3e%3ctext fill='%23fff' style='font: 900 16px sans-serif' text-anchor='end' transform='matrix(0 -1 1 0 18 5)'%3eE-Mail%3c/text%3e%3c/svg%3e</v>
      </c>
      <c r="F535" s="14" t="str">
        <f t="shared" si="3"/>
        <v>https://svgtext.heliohost.us/cgi-bin/gen.perl?text=E-Mail</v>
      </c>
      <c r="G535" s="11" t="str">
        <f t="shared" si="4"/>
        <v>data:image/svg+xml,%3csvg xmlns='http://www.w3.org/2000/svg' viewBox='0 0 24 216'%3e%3ctext fill='%23fff' style='font: 900 16px sans-serif' text-anchor='end' transform='matrix(0 -1 1 0 18 5)'%3eE-Mail%3c/text%3e%3c/svg%3e</v>
      </c>
      <c r="H535" s="8" t="s">
        <v>25</v>
      </c>
      <c r="I535" s="8">
        <f t="shared" ref="I535:J535" si="536">len(B535)</f>
        <v>6</v>
      </c>
      <c r="J535" s="8">
        <f t="shared" si="536"/>
        <v>21</v>
      </c>
      <c r="K535" s="8" t="s">
        <v>3320</v>
      </c>
    </row>
    <row r="536">
      <c r="A536" s="7" t="b">
        <v>0</v>
      </c>
      <c r="B536" s="8" t="s">
        <v>3321</v>
      </c>
      <c r="C536" s="7" t="s">
        <v>3322</v>
      </c>
      <c r="D536" s="8" t="str">
        <f>Q&amp;$K536&amp;Q&amp;":{"&amp;Q&amp;$B$2&amp;Q&amp;":"&amp;Q&amp;$B536&amp;Q&amp;","&amp;Q&amp;$C$2&amp;Q&amp;":"&amp;Q&amp;$C536&amp;Q&amp;","&amp;Q&amp;"sets"&amp;Q&amp;":"&amp;Q&amp;substitute(SUBSTITUTE($H536,"[",""),"]","")&amp;Q&amp;"},"</f>
        <v>"mlx{":{"label":"Ear Wax","extra":"A waxy, yellowish substance that protects the ear from dust, bacteria, and from hearing things you don’t want to hear.","sets":"Expansion Set 1, Party Set"},</v>
      </c>
      <c r="E536" s="9" t="str">
        <f t="shared" si="2"/>
        <v>data:image/svg+xml,%3csvg xmlns='http://www.w3.org/2000/svg' viewBox='0 0 24 216'%3e%3ctext fill='%23fff' style='font: 900 16px sans-serif' text-anchor='end' transform='matrix(0 -1 1 0 18 5)'%3eEar Wax%3c/text%3e%3c/svg%3e</v>
      </c>
      <c r="F536" s="14" t="str">
        <f t="shared" si="3"/>
        <v>https://svgtext.heliohost.us/cgi-bin/gen.perl?text=Ear%20Wax</v>
      </c>
      <c r="G536" s="11" t="str">
        <f t="shared" si="4"/>
        <v>data:image/svg+xml,%3csvg xmlns='http://www.w3.org/2000/svg' viewBox='0 0 24 216'%3e%3ctext fill='%23fff' style='font: 900 16px sans-serif' text-anchor='end' transform='matrix(0 -1 1 0 18 5)'%3eEar Wax%3c/text%3e%3c/svg%3e</v>
      </c>
      <c r="H536" s="8" t="s">
        <v>25</v>
      </c>
      <c r="I536" s="8">
        <f t="shared" ref="I536:J536" si="537">len(B536)</f>
        <v>7</v>
      </c>
      <c r="J536" s="8">
        <f t="shared" si="537"/>
        <v>118</v>
      </c>
      <c r="K536" s="8" t="s">
        <v>3323</v>
      </c>
    </row>
    <row r="537">
      <c r="A537" s="7" t="b">
        <v>1</v>
      </c>
      <c r="B537" s="8" t="s">
        <v>3324</v>
      </c>
      <c r="C537" s="7" t="s">
        <v>3325</v>
      </c>
      <c r="D537" s="8" t="str">
        <f>Q&amp;$K537&amp;Q&amp;":{"&amp;Q&amp;$B$2&amp;Q&amp;":"&amp;Q&amp;$B537&amp;Q&amp;","&amp;Q&amp;$C$2&amp;Q&amp;":"&amp;Q&amp;$C537&amp;Q&amp;","&amp;Q&amp;"sets"&amp;Q&amp;":"&amp;Q&amp;substitute(SUBSTITUTE($H537,"[",""),"]","")&amp;Q&amp;"},"</f>
        <v>"iiii":{"label":"Early Morning","extra":"“The early bird gets the worm!”","sets":"Junior 9+ (2nd)"},</v>
      </c>
      <c r="E537" s="9" t="str">
        <f t="shared" si="2"/>
        <v>data:image/svg+xml,%3csvg xmlns='http://www.w3.org/2000/svg' viewBox='0 0 24 216'%3e%3ctext fill='%23fff' style='font: 900 16px sans-serif' text-anchor='end' transform='matrix(0 -1 1 0 18 5)'%3eEarly Morning%3c/text%3e%3c/svg%3e</v>
      </c>
      <c r="F537" s="14" t="str">
        <f t="shared" si="3"/>
        <v>https://svgtext.heliohost.us/cgi-bin/gen.perl?text=Early%20Morning</v>
      </c>
      <c r="G537" s="11" t="str">
        <f t="shared" si="4"/>
        <v>data:image/svg+xml,%3csvg xmlns='http://www.w3.org/2000/svg' viewBox='0 0 24 216'%3e%3ctext fill='%23fff' style='font: 900 16px sans-serif' text-anchor='end' transform='matrix(0 -1 1 0 18 5)'%3eEarly Morning%3c/text%3e%3c/svg%3e</v>
      </c>
      <c r="H537" s="8" t="s">
        <v>32</v>
      </c>
      <c r="I537" s="8">
        <f t="shared" ref="I537:J537" si="538">len(B537)</f>
        <v>13</v>
      </c>
      <c r="J537" s="8">
        <f t="shared" si="538"/>
        <v>31</v>
      </c>
      <c r="K537" s="8" t="s">
        <v>3326</v>
      </c>
    </row>
    <row r="538">
      <c r="A538" s="7" t="b">
        <v>1</v>
      </c>
      <c r="B538" s="8" t="s">
        <v>3327</v>
      </c>
      <c r="C538" s="8" t="s">
        <v>3328</v>
      </c>
      <c r="D538" s="8" t="str">
        <f>Q&amp;$K538&amp;Q&amp;":{"&amp;Q&amp;$B$2&amp;Q&amp;":"&amp;Q&amp;$B538&amp;Q&amp;","&amp;Q&amp;$C$2&amp;Q&amp;":"&amp;Q&amp;$C538&amp;Q&amp;","&amp;Q&amp;"sets"&amp;Q&amp;":"&amp;Q&amp;substitute(SUBSTITUTE($H538,"[",""),"]","")&amp;Q&amp;"},"</f>
        <v>"orkx":{"label":"Ears","extra":"What?","sets":"Junior 9+ (2nd)"},</v>
      </c>
      <c r="E538" s="9" t="str">
        <f t="shared" si="2"/>
        <v>data:image/svg+xml,%3csvg xmlns='http://www.w3.org/2000/svg' viewBox='0 0 24 216'%3e%3ctext fill='%23fff' style='font: 900 16px sans-serif' text-anchor='end' transform='matrix(0 -1 1 0 18 5)'%3eEars%3c/text%3e%3c/svg%3e</v>
      </c>
      <c r="F538" s="14" t="str">
        <f t="shared" si="3"/>
        <v>https://svgtext.heliohost.us/cgi-bin/gen.perl?text=Ears</v>
      </c>
      <c r="G538" s="11" t="str">
        <f t="shared" si="4"/>
        <v>data:image/svg+xml,%3csvg xmlns='http://www.w3.org/2000/svg' viewBox='0 0 24 216'%3e%3ctext fill='%23fff' style='font: 900 16px sans-serif' text-anchor='end' transform='matrix(0 -1 1 0 18 5)'%3eEars%3c/text%3e%3c/svg%3e</v>
      </c>
      <c r="H538" s="8" t="s">
        <v>32</v>
      </c>
      <c r="I538" s="8">
        <f t="shared" ref="I538:J538" si="539">len(B538)</f>
        <v>4</v>
      </c>
      <c r="J538" s="8">
        <f t="shared" si="539"/>
        <v>5</v>
      </c>
      <c r="K538" s="8" t="s">
        <v>3329</v>
      </c>
    </row>
    <row r="539">
      <c r="A539" s="7" t="b">
        <v>0</v>
      </c>
      <c r="B539" s="8" t="s">
        <v>3330</v>
      </c>
      <c r="C539" s="8" t="s">
        <v>3331</v>
      </c>
      <c r="D539" s="8" t="str">
        <f>Q&amp;$K539&amp;Q&amp;":{"&amp;Q&amp;$B$2&amp;Q&amp;":"&amp;Q&amp;$B539&amp;Q&amp;","&amp;Q&amp;$C$2&amp;Q&amp;":"&amp;Q&amp;$C539&amp;Q&amp;","&amp;Q&amp;"sets"&amp;Q&amp;":"&amp;Q&amp;substitute(SUBSTITUTE($H539,"[",""),"]","")&amp;Q&amp;"},"</f>
        <v>"qwnq":{"label":"Earthquakes","extra":"The Richter scale is named after the American seismologist Charles Richter. Did the earth move for you?","sets":"Basic Set, Party Set"},</v>
      </c>
      <c r="E539" s="9" t="str">
        <f t="shared" si="2"/>
        <v>data:image/svg+xml,%3csvg xmlns='http://www.w3.org/2000/svg' viewBox='0 0 24 216'%3e%3ctext fill='%23fff' style='font: 900 16px sans-serif' text-anchor='end' transform='matrix(0 -1 1 0 18 5)'%3eEarthquakes%3c/text%3e%3c/svg%3e</v>
      </c>
      <c r="F539" s="14" t="str">
        <f t="shared" si="3"/>
        <v>https://svgtext.heliohost.us/cgi-bin/gen.perl?text=Earthquakes</v>
      </c>
      <c r="G539" s="11" t="str">
        <f t="shared" si="4"/>
        <v>data:image/svg+xml,%3csvg xmlns='http://www.w3.org/2000/svg' viewBox='0 0 24 216'%3e%3ctext fill='%23fff' style='font: 900 16px sans-serif' text-anchor='end' transform='matrix(0 -1 1 0 18 5)'%3eEarthquakes%3c/text%3e%3c/svg%3e</v>
      </c>
      <c r="H539" s="8" t="s">
        <v>29</v>
      </c>
      <c r="I539" s="8">
        <f t="shared" ref="I539:J539" si="540">len(B539)</f>
        <v>11</v>
      </c>
      <c r="J539" s="8">
        <f t="shared" si="540"/>
        <v>103</v>
      </c>
      <c r="K539" s="8" t="s">
        <v>3332</v>
      </c>
    </row>
    <row r="540">
      <c r="A540" s="7" t="b">
        <v>0</v>
      </c>
      <c r="B540" s="8" t="s">
        <v>3333</v>
      </c>
      <c r="C540" s="7" t="s">
        <v>3334</v>
      </c>
      <c r="D540" s="8" t="str">
        <f>Q&amp;$K540&amp;Q&amp;":{"&amp;Q&amp;$B$2&amp;Q&amp;":"&amp;Q&amp;$B540&amp;Q&amp;","&amp;Q&amp;$C$2&amp;Q&amp;":"&amp;Q&amp;$C540&amp;Q&amp;","&amp;Q&amp;"sets"&amp;Q&amp;":"&amp;Q&amp;substitute(SUBSTITUTE($H540,"[",""),"]","")&amp;Q&amp;"},"</f>
        <v>"lqis":{"label":"Earwigs","extra":"Nocturnal insects with abdominal pincers. Nothing to do with ears or wigs.","sets":"Expansion Set 2, Party Set"},</v>
      </c>
      <c r="E540" s="9" t="str">
        <f t="shared" si="2"/>
        <v>data:image/svg+xml,%3csvg xmlns='http://www.w3.org/2000/svg' viewBox='0 0 24 216'%3e%3ctext fill='%23fff' style='font: 900 16px sans-serif' text-anchor='end' transform='matrix(0 -1 1 0 18 5)'%3eEarwigs%3c/text%3e%3c/svg%3e</v>
      </c>
      <c r="F540" s="14" t="str">
        <f t="shared" si="3"/>
        <v>https://svgtext.heliohost.us/cgi-bin/gen.perl?text=Earwigs</v>
      </c>
      <c r="G540" s="11" t="str">
        <f t="shared" si="4"/>
        <v>data:image/svg+xml,%3csvg xmlns='http://www.w3.org/2000/svg' viewBox='0 0 24 216'%3e%3ctext fill='%23fff' style='font: 900 16px sans-serif' text-anchor='end' transform='matrix(0 -1 1 0 18 5)'%3eEarwigs%3c/text%3e%3c/svg%3e</v>
      </c>
      <c r="H540" s="8" t="s">
        <v>17</v>
      </c>
      <c r="I540" s="8">
        <f t="shared" ref="I540:J540" si="541">len(B540)</f>
        <v>7</v>
      </c>
      <c r="J540" s="8">
        <f t="shared" si="541"/>
        <v>74</v>
      </c>
      <c r="K540" s="8" t="s">
        <v>3335</v>
      </c>
    </row>
    <row r="541">
      <c r="A541" s="7" t="b">
        <v>0</v>
      </c>
      <c r="B541" s="8" t="s">
        <v>3336</v>
      </c>
      <c r="C541" s="7" t="s">
        <v>3337</v>
      </c>
      <c r="D541" s="8" t="str">
        <f>Q&amp;$K541&amp;Q&amp;":{"&amp;Q&amp;$B$2&amp;Q&amp;":"&amp;Q&amp;$B541&amp;Q&amp;","&amp;Q&amp;$C$2&amp;Q&amp;":"&amp;Q&amp;$C541&amp;Q&amp;","&amp;Q&amp;"sets"&amp;Q&amp;":"&amp;Q&amp;substitute(SUBSTITUTE($H541,"[",""),"]","")&amp;Q&amp;"},"</f>
        <v>"dkxq":{"label":"East Coast","extra":"From New England to Florida. They’re not like folks ’round here…","sets":"Basic Set, Party Set"},</v>
      </c>
      <c r="E541" s="9" t="str">
        <f t="shared" si="2"/>
        <v>data:image/svg+xml,%3csvg xmlns='http://www.w3.org/2000/svg' viewBox='0 0 24 216'%3e%3ctext fill='%23fff' style='font: 900 16px sans-serif' text-anchor='end' transform='matrix(0 -1 1 0 18 5)'%3eEast Coast%3c/text%3e%3c/svg%3e</v>
      </c>
      <c r="F541" s="14" t="str">
        <f t="shared" si="3"/>
        <v>https://svgtext.heliohost.us/cgi-bin/gen.perl?text=East%20Coast</v>
      </c>
      <c r="G541" s="11" t="str">
        <f t="shared" si="4"/>
        <v>data:image/svg+xml,%3csvg xmlns='http://www.w3.org/2000/svg' viewBox='0 0 24 216'%3e%3ctext fill='%23fff' style='font: 900 16px sans-serif' text-anchor='end' transform='matrix(0 -1 1 0 18 5)'%3eEast Coast%3c/text%3e%3c/svg%3e</v>
      </c>
      <c r="H541" s="8" t="s">
        <v>29</v>
      </c>
      <c r="I541" s="8">
        <f t="shared" ref="I541:J541" si="542">len(B541)</f>
        <v>10</v>
      </c>
      <c r="J541" s="8">
        <f t="shared" si="542"/>
        <v>64</v>
      </c>
      <c r="K541" s="8" t="s">
        <v>3338</v>
      </c>
    </row>
    <row r="542">
      <c r="A542" s="7" t="b">
        <v>1</v>
      </c>
      <c r="B542" s="8" t="s">
        <v>3339</v>
      </c>
      <c r="C542" s="7" t="s">
        <v>3340</v>
      </c>
      <c r="D542" s="8" t="str">
        <f>Q&amp;$K542&amp;Q&amp;":{"&amp;Q&amp;$B$2&amp;Q&amp;":"&amp;Q&amp;$B542&amp;Q&amp;","&amp;Q&amp;$C$2&amp;Q&amp;":"&amp;Q&amp;$C542&amp;Q&amp;","&amp;Q&amp;"sets"&amp;Q&amp;":"&amp;Q&amp;substitute(SUBSTITUTE($H542,"[",""),"]","")&amp;Q&amp;"},"</f>
        <v>"zdzw":{"label":"Eating Breakfast","extra":"It’s always breakfast time at a truck stop.","sets":"Junior 9+ (1st) &amp; (2nd)"},</v>
      </c>
      <c r="E542" s="9" t="str">
        <f t="shared" si="2"/>
        <v>data:image/svg+xml,%3csvg xmlns='http://www.w3.org/2000/svg' viewBox='0 0 24 216'%3e%3ctext fill='%23fff' style='font: 900 16px sans-serif' text-anchor='end' transform='matrix(0 -1 1 0 18 5)'%3eEating Breakfast%3c/text%3e%3c/svg%3e</v>
      </c>
      <c r="F542" s="14" t="str">
        <f t="shared" si="3"/>
        <v>https://svgtext.heliohost.us/cgi-bin/gen.perl?text=Eating%20Breakfast</v>
      </c>
      <c r="G542" s="11" t="str">
        <f t="shared" si="4"/>
        <v>data:image/svg+xml,%3csvg xmlns='http://www.w3.org/2000/svg' viewBox='0 0 24 216'%3e%3ctext fill='%23fff' style='font: 900 16px sans-serif' text-anchor='end' transform='matrix(0 -1 1 0 18 5)'%3eEating Breakfast%3c/text%3e%3c/svg%3e</v>
      </c>
      <c r="H542" s="8" t="s">
        <v>42</v>
      </c>
      <c r="I542" s="8">
        <f t="shared" ref="I542:J542" si="543">len(B542)</f>
        <v>16</v>
      </c>
      <c r="J542" s="8">
        <f t="shared" si="543"/>
        <v>43</v>
      </c>
      <c r="K542" s="8" t="s">
        <v>3341</v>
      </c>
    </row>
    <row r="543">
      <c r="A543" s="7" t="b">
        <v>0</v>
      </c>
      <c r="B543" s="8" t="s">
        <v>3342</v>
      </c>
      <c r="C543" s="7" t="s">
        <v>3343</v>
      </c>
      <c r="D543" s="8" t="str">
        <f>Q&amp;$K543&amp;Q&amp;":{"&amp;Q&amp;$B$2&amp;Q&amp;":"&amp;Q&amp;$B543&amp;Q&amp;","&amp;Q&amp;$C$2&amp;Q&amp;":"&amp;Q&amp;$C543&amp;Q&amp;","&amp;Q&amp;"sets"&amp;Q&amp;":"&amp;Q&amp;substitute(SUBSTITUTE($H543,"[",""),"]","")&amp;Q&amp;"},"</f>
        <v>"{dki":{"label":"Ebony &amp; Ivory","extra":"“Ebony and Ivory live together in perfect harmony.”—Paul McCartney","sets":"Expansion Set 4, Party Expansion 1"},</v>
      </c>
      <c r="E543" s="9" t="str">
        <f t="shared" si="2"/>
        <v>data:image/svg+xml,%3csvg xmlns='http://www.w3.org/2000/svg' viewBox='0 0 24 216'%3e%3ctext fill='%23fff' style='font: 900 16px sans-serif' text-anchor='end' transform='matrix(0 -1 1 0 18 5)'%3eEbony %26amp%3B Ivory%3c/text%3e%3c/svg%3e</v>
      </c>
      <c r="F543" s="14" t="str">
        <f t="shared" si="3"/>
        <v>https://svgtext.heliohost.us/cgi-bin/gen.perl?text=Ebony%20%26%20Ivory</v>
      </c>
      <c r="G543" s="11" t="str">
        <f t="shared" si="4"/>
        <v>data:image/svg+xml,%3csvg xmlns='http://www.w3.org/2000/svg' viewBox='0 0 24 216'%3e%3ctext fill='%23fff' style='font: 900 16px sans-serif' text-anchor='end' transform='matrix(0 -1 1 0 18 5)'%3eEbony %26amp%3B Ivory%3c/text%3e%3c/svg%3e</v>
      </c>
      <c r="H543" s="8" t="s">
        <v>63</v>
      </c>
      <c r="I543" s="8">
        <f t="shared" ref="I543:J543" si="544">len(B543)</f>
        <v>13</v>
      </c>
      <c r="J543" s="8">
        <f t="shared" si="544"/>
        <v>66</v>
      </c>
      <c r="K543" s="8" t="s">
        <v>3344</v>
      </c>
    </row>
    <row r="544">
      <c r="A544" s="7" t="b">
        <v>0</v>
      </c>
      <c r="B544" s="8" t="s">
        <v>3345</v>
      </c>
      <c r="C544" s="8" t="s">
        <v>3346</v>
      </c>
      <c r="D544" s="8" t="str">
        <f>Q&amp;$K544&amp;Q&amp;":{"&amp;Q&amp;$B$2&amp;Q&amp;":"&amp;Q&amp;$B544&amp;Q&amp;","&amp;Q&amp;$C$2&amp;Q&amp;":"&amp;Q&amp;$C544&amp;Q&amp;","&amp;Q&amp;"sets"&amp;Q&amp;":"&amp;Q&amp;substitute(SUBSTITUTE($H544,"[",""),"]","")&amp;Q&amp;"},"</f>
        <v>"scmx":{"label":"Eddie Murphy","extra":"1961-, American comedian, actor, and producer. Best known for his work in 48 Hours, Beverly Hills Cop and on Saturday Night Live.","sets":"Expansion Set 1, Party Set"},</v>
      </c>
      <c r="E544" s="9" t="str">
        <f t="shared" si="2"/>
        <v>data:image/svg+xml,%3csvg xmlns='http://www.w3.org/2000/svg' viewBox='0 0 24 216'%3e%3ctext fill='%23fff' style='font: 900 16px sans-serif' text-anchor='end' transform='matrix(0 -1 1 0 18 5)'%3eEddie Murphy%3c/text%3e%3c/svg%3e</v>
      </c>
      <c r="F544" s="14" t="str">
        <f t="shared" si="3"/>
        <v>https://svgtext.heliohost.us/cgi-bin/gen.perl?text=Eddie%20Murphy</v>
      </c>
      <c r="G544" s="11" t="str">
        <f t="shared" si="4"/>
        <v>data:image/svg+xml,%3csvg xmlns='http://www.w3.org/2000/svg' viewBox='0 0 24 216'%3e%3ctext fill='%23fff' style='font: 900 16px sans-serif' text-anchor='end' transform='matrix(0 -1 1 0 18 5)'%3eEddie Murphy%3c/text%3e%3c/svg%3e</v>
      </c>
      <c r="H544" s="8" t="s">
        <v>25</v>
      </c>
      <c r="I544" s="8">
        <f t="shared" ref="I544:J544" si="545">len(B544)</f>
        <v>12</v>
      </c>
      <c r="J544" s="8">
        <f t="shared" si="545"/>
        <v>129</v>
      </c>
      <c r="K544" s="8" t="s">
        <v>3347</v>
      </c>
    </row>
    <row r="545">
      <c r="A545" s="7" t="b">
        <v>1</v>
      </c>
      <c r="B545" s="8" t="s">
        <v>3348</v>
      </c>
      <c r="C545" s="8" t="s">
        <v>3349</v>
      </c>
      <c r="D545" s="8" t="str">
        <f>Q&amp;$K545&amp;Q&amp;":{"&amp;Q&amp;$B$2&amp;Q&amp;":"&amp;Q&amp;$B545&amp;Q&amp;","&amp;Q&amp;$C$2&amp;Q&amp;":"&amp;Q&amp;$C545&amp;Q&amp;","&amp;Q&amp;"sets"&amp;Q&amp;":"&amp;Q&amp;substitute(SUBSTITUTE($H545,"[",""),"]","")&amp;Q&amp;"},"</f>
        <v>"kbfc":{"label":"Egg Rolls","extra":"Crunchy rolls filled with vegetables and meat. Available at Chinese restaurants.","sets":"Junior 9+ (1st) &amp; (2nd)"},</v>
      </c>
      <c r="E545" s="9" t="str">
        <f t="shared" si="2"/>
        <v>data:image/svg+xml,%3csvg xmlns='http://www.w3.org/2000/svg' viewBox='0 0 24 216'%3e%3ctext fill='%23fff' style='font: 900 16px sans-serif' text-anchor='end' transform='matrix(0 -1 1 0 18 5)'%3eEgg Rolls%3c/text%3e%3c/svg%3e</v>
      </c>
      <c r="F545" s="14" t="str">
        <f t="shared" si="3"/>
        <v>https://svgtext.heliohost.us/cgi-bin/gen.perl?text=Egg%20Rolls</v>
      </c>
      <c r="G545" s="11" t="str">
        <f t="shared" si="4"/>
        <v>data:image/svg+xml,%3csvg xmlns='http://www.w3.org/2000/svg' viewBox='0 0 24 216'%3e%3ctext fill='%23fff' style='font: 900 16px sans-serif' text-anchor='end' transform='matrix(0 -1 1 0 18 5)'%3eEgg Rolls%3c/text%3e%3c/svg%3e</v>
      </c>
      <c r="H545" s="8" t="s">
        <v>42</v>
      </c>
      <c r="I545" s="8">
        <f t="shared" ref="I545:J545" si="546">len(B545)</f>
        <v>9</v>
      </c>
      <c r="J545" s="8">
        <f t="shared" si="546"/>
        <v>80</v>
      </c>
      <c r="K545" s="8" t="s">
        <v>3350</v>
      </c>
    </row>
    <row r="546">
      <c r="A546" s="7" t="b">
        <v>1</v>
      </c>
      <c r="B546" s="8" t="s">
        <v>3351</v>
      </c>
      <c r="C546" s="7" t="s">
        <v>3352</v>
      </c>
      <c r="D546" s="8" t="str">
        <f>Q&amp;$K546&amp;Q&amp;":{"&amp;Q&amp;$B$2&amp;Q&amp;":"&amp;Q&amp;$B546&amp;Q&amp;","&amp;Q&amp;$C$2&amp;Q&amp;":"&amp;Q&amp;$C546&amp;Q&amp;","&amp;Q&amp;"sets"&amp;Q&amp;":"&amp;Q&amp;substitute(SUBSTITUTE($H546,"[",""),"]","")&amp;Q&amp;"},"</f>
        <v>"xuwe":{"label":"Eggplant","extra":"Without it there would be no Eggplant Parmesan.","sets":"Expansion Set 3, Party Expansion 1"},</v>
      </c>
      <c r="E546" s="9" t="str">
        <f t="shared" si="2"/>
        <v>data:image/svg+xml,%3csvg xmlns='http://www.w3.org/2000/svg' viewBox='0 0 24 216'%3e%3ctext fill='%23fff' style='font: 900 16px sans-serif' text-anchor='end' transform='matrix(0 -1 1 0 18 5)'%3eEggplant%3c/text%3e%3c/svg%3e</v>
      </c>
      <c r="F546" s="14" t="str">
        <f t="shared" si="3"/>
        <v>https://svgtext.heliohost.us/cgi-bin/gen.perl?text=Eggplant</v>
      </c>
      <c r="G546" s="11" t="str">
        <f t="shared" si="4"/>
        <v>data:image/svg+xml,%3csvg xmlns='http://www.w3.org/2000/svg' viewBox='0 0 24 216'%3e%3ctext fill='%23fff' style='font: 900 16px sans-serif' text-anchor='end' transform='matrix(0 -1 1 0 18 5)'%3eEggplant%3c/text%3e%3c/svg%3e</v>
      </c>
      <c r="H546" s="8" t="s">
        <v>39</v>
      </c>
      <c r="I546" s="8">
        <f t="shared" ref="I546:J546" si="547">len(B546)</f>
        <v>8</v>
      </c>
      <c r="J546" s="8">
        <f t="shared" si="547"/>
        <v>47</v>
      </c>
      <c r="K546" s="8" t="s">
        <v>3353</v>
      </c>
    </row>
    <row r="547">
      <c r="A547" s="7" t="b">
        <v>1</v>
      </c>
      <c r="B547" s="8" t="s">
        <v>3354</v>
      </c>
      <c r="C547" s="8" t="s">
        <v>3355</v>
      </c>
      <c r="D547" s="8" t="str">
        <f>Q&amp;$K547&amp;Q&amp;":{"&amp;Q&amp;$B$2&amp;Q&amp;":"&amp;Q&amp;$B547&amp;Q&amp;","&amp;Q&amp;$C$2&amp;Q&amp;":"&amp;Q&amp;$C547&amp;Q&amp;","&amp;Q&amp;"sets"&amp;Q&amp;":"&amp;Q&amp;substitute(SUBSTITUTE($H547,"[",""),"]","")&amp;Q&amp;"},"</f>
        <v>"hawe":{"label":"Eggs","extra":"Birds, fish, snakes and insects all lay eggs.","sets":"Junior 9+ (1st) &amp; (2nd)"},</v>
      </c>
      <c r="E547" s="9" t="str">
        <f t="shared" si="2"/>
        <v>data:image/svg+xml,%3csvg xmlns='http://www.w3.org/2000/svg' viewBox='0 0 24 216'%3e%3ctext fill='%23fff' style='font: 900 16px sans-serif' text-anchor='end' transform='matrix(0 -1 1 0 18 5)'%3eEggs%3c/text%3e%3c/svg%3e</v>
      </c>
      <c r="F547" s="14" t="str">
        <f t="shared" si="3"/>
        <v>https://svgtext.heliohost.us/cgi-bin/gen.perl?text=Eggs</v>
      </c>
      <c r="G547" s="11" t="str">
        <f t="shared" si="4"/>
        <v>data:image/svg+xml,%3csvg xmlns='http://www.w3.org/2000/svg' viewBox='0 0 24 216'%3e%3ctext fill='%23fff' style='font: 900 16px sans-serif' text-anchor='end' transform='matrix(0 -1 1 0 18 5)'%3eEggs%3c/text%3e%3c/svg%3e</v>
      </c>
      <c r="H547" s="8" t="s">
        <v>42</v>
      </c>
      <c r="I547" s="8">
        <f t="shared" ref="I547:J547" si="548">len(B547)</f>
        <v>4</v>
      </c>
      <c r="J547" s="8">
        <f t="shared" si="548"/>
        <v>45</v>
      </c>
      <c r="K547" s="8" t="s">
        <v>3356</v>
      </c>
    </row>
    <row r="548">
      <c r="A548" s="7" t="b">
        <v>0</v>
      </c>
      <c r="B548" s="8" t="s">
        <v>3357</v>
      </c>
      <c r="C548" s="8" t="s">
        <v>3358</v>
      </c>
      <c r="D548" s="8" t="str">
        <f>Q&amp;$K548&amp;Q&amp;":{"&amp;Q&amp;$B$2&amp;Q&amp;":"&amp;Q&amp;$B548&amp;Q&amp;","&amp;Q&amp;$C$2&amp;Q&amp;":"&amp;Q&amp;$C548&amp;Q&amp;","&amp;Q&amp;"sets"&amp;Q&amp;":"&amp;Q&amp;substitute(SUBSTITUTE($H548,"[",""),"]","")&amp;Q&amp;"},"</f>
        <v>"xcwm":{"label":"Eleanor Roosevelt","extra":"1884-1962, first lady, social activist, author, lecturer, and U.S. representative to the United Nations.","sets":"Basic Set, Party Set"},</v>
      </c>
      <c r="E548" s="9" t="str">
        <f t="shared" si="2"/>
        <v>data:image/svg+xml,%3csvg xmlns='http://www.w3.org/2000/svg' viewBox='0 0 24 216'%3e%3ctext fill='%23fff' style='font: 900 16px sans-serif' text-anchor='end' transform='matrix(0 -1 1 0 18 5)'%3eEleanor Roosevelt%3c/text%3e%3c/svg%3e</v>
      </c>
      <c r="F548" s="14" t="str">
        <f t="shared" si="3"/>
        <v>https://svgtext.heliohost.us/cgi-bin/gen.perl?text=Eleanor%20Roosevelt</v>
      </c>
      <c r="G548" s="11" t="str">
        <f t="shared" si="4"/>
        <v>data:image/svg+xml,%3csvg xmlns='http://www.w3.org/2000/svg' viewBox='0 0 24 216'%3e%3ctext fill='%23fff' style='font: 900 16px sans-serif' text-anchor='end' transform='matrix(0 -1 1 0 18 5)'%3eEleanor Roosevelt%3c/text%3e%3c/svg%3e</v>
      </c>
      <c r="H548" s="8" t="s">
        <v>29</v>
      </c>
      <c r="I548" s="8">
        <f t="shared" ref="I548:J548" si="549">len(B548)</f>
        <v>17</v>
      </c>
      <c r="J548" s="8">
        <f t="shared" si="549"/>
        <v>104</v>
      </c>
      <c r="K548" s="8" t="s">
        <v>3359</v>
      </c>
    </row>
    <row r="549">
      <c r="A549" s="7" t="b">
        <v>0</v>
      </c>
      <c r="B549" s="8" t="s">
        <v>3360</v>
      </c>
      <c r="C549" s="8" t="s">
        <v>3361</v>
      </c>
      <c r="D549" s="8" t="str">
        <f>Q&amp;$K549&amp;Q&amp;":{"&amp;Q&amp;$B$2&amp;Q&amp;":"&amp;Q&amp;$B549&amp;Q&amp;","&amp;Q&amp;$C$2&amp;Q&amp;":"&amp;Q&amp;$C549&amp;Q&amp;","&amp;Q&amp;"sets"&amp;Q&amp;":"&amp;Q&amp;substitute(SUBSTITUTE($H549,"[",""),"]","")&amp;Q&amp;"},"</f>
        <v>"zsyb":{"label":"Electric Eels","extra":"Slippery and slimy snakelike fishes that emit electrical charges. The shocking truth!","sets":"Expansion Set 1, Party Set"},</v>
      </c>
      <c r="E549" s="9" t="str">
        <f t="shared" si="2"/>
        <v>data:image/svg+xml,%3csvg xmlns='http://www.w3.org/2000/svg' viewBox='0 0 24 216'%3e%3ctext fill='%23fff' style='font: 900 16px sans-serif' text-anchor='end' transform='matrix(0 -1 1 0 18 5)'%3eElectric Eels%3c/text%3e%3c/svg%3e</v>
      </c>
      <c r="F549" s="14" t="str">
        <f t="shared" si="3"/>
        <v>https://svgtext.heliohost.us/cgi-bin/gen.perl?text=Electric%20Eels</v>
      </c>
      <c r="G549" s="11" t="str">
        <f t="shared" si="4"/>
        <v>data:image/svg+xml,%3csvg xmlns='http://www.w3.org/2000/svg' viewBox='0 0 24 216'%3e%3ctext fill='%23fff' style='font: 900 16px sans-serif' text-anchor='end' transform='matrix(0 -1 1 0 18 5)'%3eElectric Eels%3c/text%3e%3c/svg%3e</v>
      </c>
      <c r="H549" s="8" t="s">
        <v>25</v>
      </c>
      <c r="I549" s="8">
        <f t="shared" ref="I549:J549" si="550">len(B549)</f>
        <v>13</v>
      </c>
      <c r="J549" s="8">
        <f t="shared" si="550"/>
        <v>85</v>
      </c>
      <c r="K549" s="8" t="s">
        <v>3362</v>
      </c>
    </row>
    <row r="550">
      <c r="A550" s="7" t="b">
        <v>0</v>
      </c>
      <c r="B550" s="8" t="s">
        <v>3363</v>
      </c>
      <c r="C550" s="8" t="s">
        <v>3364</v>
      </c>
      <c r="D550" s="8" t="str">
        <f>Q&amp;$K550&amp;Q&amp;":{"&amp;Q&amp;$B$2&amp;Q&amp;":"&amp;Q&amp;$B550&amp;Q&amp;","&amp;Q&amp;$C$2&amp;Q&amp;":"&amp;Q&amp;$C550&amp;Q&amp;","&amp;Q&amp;"sets"&amp;Q&amp;":"&amp;Q&amp;substitute(SUBSTITUTE($H550,"[",""),"]","")&amp;Q&amp;"},"</f>
        <v>"lwom":{"label":"Electricity","extra":"The repulsive or attractive force between two stationary bodies. No problem unless one of those bodies is yours.","sets":"Basic Set, Party Set"},</v>
      </c>
      <c r="E550" s="9" t="str">
        <f t="shared" si="2"/>
        <v>data:image/svg+xml,%3csvg xmlns='http://www.w3.org/2000/svg' viewBox='0 0 24 216'%3e%3ctext fill='%23fff' style='font: 900 16px sans-serif' text-anchor='end' transform='matrix(0 -1 1 0 18 5)'%3eElectricity%3c/text%3e%3c/svg%3e</v>
      </c>
      <c r="F550" s="14" t="str">
        <f t="shared" si="3"/>
        <v>https://svgtext.heliohost.us/cgi-bin/gen.perl?text=Electricity</v>
      </c>
      <c r="G550" s="11" t="str">
        <f t="shared" si="4"/>
        <v>data:image/svg+xml,%3csvg xmlns='http://www.w3.org/2000/svg' viewBox='0 0 24 216'%3e%3ctext fill='%23fff' style='font: 900 16px sans-serif' text-anchor='end' transform='matrix(0 -1 1 0 18 5)'%3eElectricity%3c/text%3e%3c/svg%3e</v>
      </c>
      <c r="H550" s="8" t="s">
        <v>29</v>
      </c>
      <c r="I550" s="8">
        <f t="shared" ref="I550:J550" si="551">len(B550)</f>
        <v>11</v>
      </c>
      <c r="J550" s="8">
        <f t="shared" si="551"/>
        <v>112</v>
      </c>
      <c r="K550" s="8" t="s">
        <v>3365</v>
      </c>
    </row>
    <row r="551">
      <c r="A551" s="7" t="b">
        <v>0</v>
      </c>
      <c r="B551" s="8" t="s">
        <v>3366</v>
      </c>
      <c r="C551" s="8" t="s">
        <v>3367</v>
      </c>
      <c r="D551" s="8" t="str">
        <f>Q&amp;$K551&amp;Q&amp;":{"&amp;Q&amp;$B$2&amp;Q&amp;":"&amp;Q&amp;$B551&amp;Q&amp;","&amp;Q&amp;$C$2&amp;Q&amp;":"&amp;Q&amp;$C551&amp;Q&amp;","&amp;Q&amp;"sets"&amp;Q&amp;":"&amp;Q&amp;substitute(SUBSTITUTE($H551,"[",""),"]","")&amp;Q&amp;"},"</f>
        <v>"jlnw":{"label":"Elephants","extra":"The largest living land mammal, with two species: Indian and African. Not counting Dumbo, there are no American elephants.","sets":"Basic Set, Party Set"},</v>
      </c>
      <c r="E551" s="9" t="str">
        <f t="shared" si="2"/>
        <v>data:image/svg+xml,%3csvg xmlns='http://www.w3.org/2000/svg' viewBox='0 0 24 216'%3e%3ctext fill='%23fff' style='font: 900 16px sans-serif' text-anchor='end' transform='matrix(0 -1 1 0 18 5)'%3eElephants%3c/text%3e%3c/svg%3e</v>
      </c>
      <c r="F551" s="14" t="str">
        <f t="shared" si="3"/>
        <v>https://svgtext.heliohost.us/cgi-bin/gen.perl?text=Elephants</v>
      </c>
      <c r="G551" s="11" t="str">
        <f t="shared" si="4"/>
        <v>data:image/svg+xml,%3csvg xmlns='http://www.w3.org/2000/svg' viewBox='0 0 24 216'%3e%3ctext fill='%23fff' style='font: 900 16px sans-serif' text-anchor='end' transform='matrix(0 -1 1 0 18 5)'%3eElephants%3c/text%3e%3c/svg%3e</v>
      </c>
      <c r="H551" s="8" t="s">
        <v>29</v>
      </c>
      <c r="I551" s="8">
        <f t="shared" ref="I551:J551" si="552">len(B551)</f>
        <v>9</v>
      </c>
      <c r="J551" s="8">
        <f t="shared" si="552"/>
        <v>122</v>
      </c>
      <c r="K551" s="8" t="s">
        <v>3368</v>
      </c>
    </row>
    <row r="552">
      <c r="A552" s="7" t="b">
        <v>1</v>
      </c>
      <c r="B552" s="8" t="s">
        <v>3366</v>
      </c>
      <c r="C552" s="8" t="s">
        <v>3369</v>
      </c>
      <c r="D552" s="8" t="str">
        <f>Q&amp;$K552&amp;Q&amp;":{"&amp;Q&amp;$B$2&amp;Q&amp;":"&amp;Q&amp;$B552&amp;Q&amp;","&amp;Q&amp;$C$2&amp;Q&amp;":"&amp;Q&amp;$C552&amp;Q&amp;","&amp;Q&amp;"sets"&amp;Q&amp;":"&amp;Q&amp;substitute(SUBSTITUTE($H552,"[",""),"]","")&amp;Q&amp;"},"</f>
        <v>"gqyj":{"label":"Elephants","extra":"Huge gray animals with large ears and trunks. Some elephants have tusks.","sets":"Junior"},</v>
      </c>
      <c r="E552" s="9" t="str">
        <f t="shared" si="2"/>
        <v>data:image/svg+xml,%3csvg xmlns='http://www.w3.org/2000/svg' viewBox='0 0 24 216'%3e%3ctext fill='%23fff' style='font: 900 16px sans-serif' text-anchor='end' transform='matrix(0 -1 1 0 18 5)'%3eElephants%3c/text%3e%3c/svg%3e</v>
      </c>
      <c r="F552" s="14" t="str">
        <f t="shared" si="3"/>
        <v>https://svgtext.heliohost.us/cgi-bin/gen.perl?text=Elephants</v>
      </c>
      <c r="G552" s="11" t="str">
        <f t="shared" si="4"/>
        <v>data:image/svg+xml,%3csvg xmlns='http://www.w3.org/2000/svg' viewBox='0 0 24 216'%3e%3ctext fill='%23fff' style='font: 900 16px sans-serif' text-anchor='end' transform='matrix(0 -1 1 0 18 5)'%3eElephants%3c/text%3e%3c/svg%3e</v>
      </c>
      <c r="H552" s="8" t="s">
        <v>84</v>
      </c>
      <c r="I552" s="8">
        <f t="shared" ref="I552:J552" si="553">len(B552)</f>
        <v>9</v>
      </c>
      <c r="J552" s="8">
        <f t="shared" si="553"/>
        <v>72</v>
      </c>
      <c r="K552" s="8" t="s">
        <v>3370</v>
      </c>
    </row>
    <row r="553">
      <c r="A553" s="7" t="b">
        <v>1</v>
      </c>
      <c r="B553" s="8" t="s">
        <v>3371</v>
      </c>
      <c r="C553" s="8" t="s">
        <v>3372</v>
      </c>
      <c r="D553" s="8" t="str">
        <f>Q&amp;$K553&amp;Q&amp;":{"&amp;Q&amp;$B$2&amp;Q&amp;":"&amp;Q&amp;$B553&amp;Q&amp;","&amp;Q&amp;$C$2&amp;Q&amp;":"&amp;Q&amp;$C553&amp;Q&amp;","&amp;Q&amp;"sets"&amp;Q&amp;":"&amp;Q&amp;substitute(SUBSTITUTE($H553,"[",""),"]","")&amp;Q&amp;"},"</f>
        <v>"lxgr":{"label":"Elevators","extra":"The 110-story Sears Tower in Chicago has 104 elevators.","sets":"Junior 9+ (2nd)"},</v>
      </c>
      <c r="E553" s="9" t="str">
        <f t="shared" si="2"/>
        <v>data:image/svg+xml,%3csvg xmlns='http://www.w3.org/2000/svg' viewBox='0 0 24 216'%3e%3ctext fill='%23fff' style='font: 900 16px sans-serif' text-anchor='end' transform='matrix(0 -1 1 0 18 5)'%3eElevators%3c/text%3e%3c/svg%3e</v>
      </c>
      <c r="F553" s="14" t="str">
        <f t="shared" si="3"/>
        <v>https://svgtext.heliohost.us/cgi-bin/gen.perl?text=Elevators</v>
      </c>
      <c r="G553" s="11" t="str">
        <f t="shared" si="4"/>
        <v>data:image/svg+xml,%3csvg xmlns='http://www.w3.org/2000/svg' viewBox='0 0 24 216'%3e%3ctext fill='%23fff' style='font: 900 16px sans-serif' text-anchor='end' transform='matrix(0 -1 1 0 18 5)'%3eElevators%3c/text%3e%3c/svg%3e</v>
      </c>
      <c r="H553" s="8" t="s">
        <v>32</v>
      </c>
      <c r="I553" s="8">
        <f t="shared" ref="I553:J553" si="554">len(B553)</f>
        <v>9</v>
      </c>
      <c r="J553" s="8">
        <f t="shared" si="554"/>
        <v>55</v>
      </c>
      <c r="K553" s="8" t="s">
        <v>3373</v>
      </c>
    </row>
    <row r="554">
      <c r="A554" s="7" t="b">
        <v>0</v>
      </c>
      <c r="B554" s="8" t="s">
        <v>3374</v>
      </c>
      <c r="C554" s="8" t="s">
        <v>3375</v>
      </c>
      <c r="D554" s="8" t="str">
        <f>Q&amp;$K554&amp;Q&amp;":{"&amp;Q&amp;$B$2&amp;Q&amp;":"&amp;Q&amp;$B554&amp;Q&amp;","&amp;Q&amp;$C$2&amp;Q&amp;":"&amp;Q&amp;$C554&amp;Q&amp;","&amp;Q&amp;"sets"&amp;Q&amp;":"&amp;Q&amp;substitute(SUBSTITUTE($H554,"[",""),"]","")&amp;Q&amp;"},"</f>
        <v>"hkqx":{"label":"Elizabeth Taylor","extra":"1932-, American actor, noted for her lush beauty, emotional performances and multiple husbands.","sets":"Basic Set, Party Set"},</v>
      </c>
      <c r="E554" s="9" t="str">
        <f t="shared" si="2"/>
        <v>data:image/svg+xml,%3csvg xmlns='http://www.w3.org/2000/svg' viewBox='0 0 24 216'%3e%3ctext fill='%23fff' style='font: 900 16px sans-serif' text-anchor='end' transform='matrix(0 -1 1 0 18 5)'%3eElizabeth Taylor%3c/text%3e%3c/svg%3e</v>
      </c>
      <c r="F554" s="14" t="str">
        <f t="shared" si="3"/>
        <v>https://svgtext.heliohost.us/cgi-bin/gen.perl?text=Elizabeth%20Taylor</v>
      </c>
      <c r="G554" s="11" t="str">
        <f t="shared" si="4"/>
        <v>data:image/svg+xml,%3csvg xmlns='http://www.w3.org/2000/svg' viewBox='0 0 24 216'%3e%3ctext fill='%23fff' style='font: 900 16px sans-serif' text-anchor='end' transform='matrix(0 -1 1 0 18 5)'%3eElizabeth Taylor%3c/text%3e%3c/svg%3e</v>
      </c>
      <c r="H554" s="8" t="s">
        <v>29</v>
      </c>
      <c r="I554" s="8">
        <f t="shared" ref="I554:J554" si="555">len(B554)</f>
        <v>16</v>
      </c>
      <c r="J554" s="8">
        <f t="shared" si="555"/>
        <v>95</v>
      </c>
      <c r="K554" s="8" t="s">
        <v>3376</v>
      </c>
    </row>
    <row r="555">
      <c r="A555" s="7" t="b">
        <v>1</v>
      </c>
      <c r="B555" s="8" t="s">
        <v>3377</v>
      </c>
      <c r="C555" s="8" t="s">
        <v>3378</v>
      </c>
      <c r="D555" s="8" t="str">
        <f>Q&amp;$K555&amp;Q&amp;":{"&amp;Q&amp;$B$2&amp;Q&amp;":"&amp;Q&amp;$B555&amp;Q&amp;","&amp;Q&amp;$C$2&amp;Q&amp;":"&amp;Q&amp;$C555&amp;Q&amp;","&amp;Q&amp;"sets"&amp;Q&amp;":"&amp;Q&amp;substitute(SUBSTITUTE($H555,"[",""),"]","")&amp;Q&amp;"},"</f>
        <v>"jsgl":{"label":"Elmo","extra":"A little, red, fuzzy guy from Sesame Street. Tickle me!","sets":"Junior 9+ (1st) &amp; (2nd)"},</v>
      </c>
      <c r="E555" s="9" t="str">
        <f t="shared" si="2"/>
        <v>data:image/svg+xml,%3csvg xmlns='http://www.w3.org/2000/svg' viewBox='0 0 24 216'%3e%3ctext fill='%23fff' style='font: 900 16px sans-serif' text-anchor='end' transform='matrix(0 -1 1 0 18 5)'%3eElmo%3c/text%3e%3c/svg%3e</v>
      </c>
      <c r="F555" s="14" t="str">
        <f t="shared" si="3"/>
        <v>https://svgtext.heliohost.us/cgi-bin/gen.perl?text=Elmo</v>
      </c>
      <c r="G555" s="11" t="str">
        <f t="shared" si="4"/>
        <v>data:image/svg+xml,%3csvg xmlns='http://www.w3.org/2000/svg' viewBox='0 0 24 216'%3e%3ctext fill='%23fff' style='font: 900 16px sans-serif' text-anchor='end' transform='matrix(0 -1 1 0 18 5)'%3eElmo%3c/text%3e%3c/svg%3e</v>
      </c>
      <c r="H555" s="8" t="s">
        <v>42</v>
      </c>
      <c r="I555" s="8">
        <f t="shared" ref="I555:J555" si="556">len(B555)</f>
        <v>4</v>
      </c>
      <c r="J555" s="8">
        <f t="shared" si="556"/>
        <v>55</v>
      </c>
      <c r="K555" s="8" t="s">
        <v>3379</v>
      </c>
    </row>
    <row r="556">
      <c r="A556" s="7" t="b">
        <v>0</v>
      </c>
      <c r="B556" s="8" t="s">
        <v>3380</v>
      </c>
      <c r="C556" s="8" t="s">
        <v>3381</v>
      </c>
      <c r="D556" s="8" t="str">
        <f>Q&amp;$K556&amp;Q&amp;":{"&amp;Q&amp;$B$2&amp;Q&amp;":"&amp;Q&amp;$B556&amp;Q&amp;","&amp;Q&amp;$C$2&amp;Q&amp;":"&amp;Q&amp;$C556&amp;Q&amp;","&amp;Q&amp;"sets"&amp;Q&amp;":"&amp;Q&amp;substitute(SUBSTITUTE($H556,"[",""),"]","")&amp;Q&amp;"},"</f>
        <v>"czof":{"label":"Elvis Presley","extra":"1935-77, American singer and actor and the king of rock-and-roll. His death left the music world all shook up.","sets":"Basic Set, Party Set"},</v>
      </c>
      <c r="E556" s="9" t="str">
        <f t="shared" si="2"/>
        <v>data:image/svg+xml,%3csvg xmlns='http://www.w3.org/2000/svg' viewBox='0 0 24 216'%3e%3ctext fill='%23fff' style='font: 900 16px sans-serif' text-anchor='end' transform='matrix(0 -1 1 0 18 5)'%3eElvis Presley%3c/text%3e%3c/svg%3e</v>
      </c>
      <c r="F556" s="14" t="str">
        <f t="shared" si="3"/>
        <v>https://svgtext.heliohost.us/cgi-bin/gen.perl?text=Elvis%20Presley</v>
      </c>
      <c r="G556" s="11" t="str">
        <f t="shared" si="4"/>
        <v>data:image/svg+xml,%3csvg xmlns='http://www.w3.org/2000/svg' viewBox='0 0 24 216'%3e%3ctext fill='%23fff' style='font: 900 16px sans-serif' text-anchor='end' transform='matrix(0 -1 1 0 18 5)'%3eElvis Presley%3c/text%3e%3c/svg%3e</v>
      </c>
      <c r="H556" s="8" t="s">
        <v>29</v>
      </c>
      <c r="I556" s="8">
        <f t="shared" ref="I556:J556" si="557">len(B556)</f>
        <v>13</v>
      </c>
      <c r="J556" s="8">
        <f t="shared" si="557"/>
        <v>110</v>
      </c>
      <c r="K556" s="8" t="s">
        <v>3382</v>
      </c>
    </row>
    <row r="557">
      <c r="A557" s="7" t="b">
        <v>1</v>
      </c>
      <c r="B557" s="8" t="s">
        <v>3383</v>
      </c>
      <c r="C557" s="7" t="s">
        <v>3384</v>
      </c>
      <c r="D557" s="8" t="str">
        <f>Q&amp;$K557&amp;Q&amp;":{"&amp;Q&amp;$B$2&amp;Q&amp;":"&amp;Q&amp;$B557&amp;Q&amp;","&amp;Q&amp;$C$2&amp;Q&amp;":"&amp;Q&amp;$C557&amp;Q&amp;","&amp;Q&amp;"sets"&amp;Q&amp;":"&amp;Q&amp;substitute(SUBSTITUTE($H557,"[",""),"]","")&amp;Q&amp;"},"</f>
        <v>"nhkc":{"label":"Emergency Rooms","extra":"Brings new meaning to he word “heartthrob.”","sets":"Expansion Set 3, Party Expansion 1"},</v>
      </c>
      <c r="E557" s="9" t="str">
        <f t="shared" si="2"/>
        <v>data:image/svg+xml,%3csvg xmlns='http://www.w3.org/2000/svg' viewBox='0 0 24 216'%3e%3ctext fill='%23fff' style='font: 900 16px sans-serif' text-anchor='end' transform='matrix(0 -1 1 0 18 5)'%3eEmergency Rooms%3c/text%3e%3c/svg%3e</v>
      </c>
      <c r="F557" s="14" t="str">
        <f t="shared" si="3"/>
        <v>https://svgtext.heliohost.us/cgi-bin/gen.perl?text=Emergency%20Rooms</v>
      </c>
      <c r="G557" s="11" t="str">
        <f t="shared" si="4"/>
        <v>data:image/svg+xml,%3csvg xmlns='http://www.w3.org/2000/svg' viewBox='0 0 24 216'%3e%3ctext fill='%23fff' style='font: 900 16px sans-serif' text-anchor='end' transform='matrix(0 -1 1 0 18 5)'%3eEmergency Rooms%3c/text%3e%3c/svg%3e</v>
      </c>
      <c r="H557" s="8" t="s">
        <v>39</v>
      </c>
      <c r="I557" s="8">
        <f t="shared" ref="I557:J557" si="558">len(B557)</f>
        <v>15</v>
      </c>
      <c r="J557" s="8">
        <f t="shared" si="558"/>
        <v>43</v>
      </c>
      <c r="K557" s="8" t="s">
        <v>3385</v>
      </c>
    </row>
    <row r="558">
      <c r="A558" s="7" t="b">
        <v>0</v>
      </c>
      <c r="B558" s="8" t="s">
        <v>3386</v>
      </c>
      <c r="C558" s="8" t="s">
        <v>3387</v>
      </c>
      <c r="D558" s="8" t="str">
        <f>Q&amp;$K558&amp;Q&amp;":{"&amp;Q&amp;$B$2&amp;Q&amp;":"&amp;Q&amp;$B558&amp;Q&amp;","&amp;Q&amp;$C$2&amp;Q&amp;":"&amp;Q&amp;$C558&amp;Q&amp;","&amp;Q&amp;"sets"&amp;Q&amp;":"&amp;Q&amp;substitute(SUBSTITUTE($H558,"[",""),"]","")&amp;Q&amp;"},"</f>
        <v>"yiuz":{"label":"Emily Dickinson","extra":"1830-86, American poet, whose lyrics are psychologically astute treatments of love, death, and immortality. So there.","sets":"Basic Set, Party Set"},</v>
      </c>
      <c r="E558" s="9" t="str">
        <f t="shared" si="2"/>
        <v>data:image/svg+xml,%3csvg xmlns='http://www.w3.org/2000/svg' viewBox='0 0 24 216'%3e%3ctext fill='%23fff' style='font: 900 16px sans-serif' text-anchor='end' transform='matrix(0 -1 1 0 18 5)'%3eEmily Dickinson%3c/text%3e%3c/svg%3e</v>
      </c>
      <c r="F558" s="14" t="str">
        <f t="shared" si="3"/>
        <v>https://svgtext.heliohost.us/cgi-bin/gen.perl?text=Emily%20Dickinson</v>
      </c>
      <c r="G558" s="11" t="str">
        <f t="shared" si="4"/>
        <v>data:image/svg+xml,%3csvg xmlns='http://www.w3.org/2000/svg' viewBox='0 0 24 216'%3e%3ctext fill='%23fff' style='font: 900 16px sans-serif' text-anchor='end' transform='matrix(0 -1 1 0 18 5)'%3eEmily Dickinson%3c/text%3e%3c/svg%3e</v>
      </c>
      <c r="H558" s="8" t="s">
        <v>29</v>
      </c>
      <c r="I558" s="8">
        <f t="shared" ref="I558:J558" si="559">len(B558)</f>
        <v>15</v>
      </c>
      <c r="J558" s="8">
        <f t="shared" si="559"/>
        <v>117</v>
      </c>
      <c r="K558" s="8" t="s">
        <v>3388</v>
      </c>
    </row>
    <row r="559">
      <c r="A559" s="7" t="b">
        <v>1</v>
      </c>
      <c r="B559" s="8" t="s">
        <v>3389</v>
      </c>
      <c r="C559" s="8" t="s">
        <v>3390</v>
      </c>
      <c r="D559" s="8" t="str">
        <f>Q&amp;$K559&amp;Q&amp;":{"&amp;Q&amp;$B$2&amp;Q&amp;":"&amp;Q&amp;$B559&amp;Q&amp;","&amp;Q&amp;$C$2&amp;Q&amp;":"&amp;Q&amp;$C559&amp;Q&amp;","&amp;Q&amp;"sets"&amp;Q&amp;":"&amp;Q&amp;substitute(SUBSTITUTE($H559,"[",""),"]","")&amp;Q&amp;"},"</f>
        <v>"bwkc":{"label":"Erasers","extra":"Because everybody makes mistakes.","sets":"Junior 9+ (2nd)"},</v>
      </c>
      <c r="E559" s="9" t="str">
        <f t="shared" si="2"/>
        <v>data:image/svg+xml,%3csvg xmlns='http://www.w3.org/2000/svg' viewBox='0 0 24 216'%3e%3ctext fill='%23fff' style='font: 900 16px sans-serif' text-anchor='end' transform='matrix(0 -1 1 0 18 5)'%3eErasers%3c/text%3e%3c/svg%3e</v>
      </c>
      <c r="F559" s="14" t="str">
        <f t="shared" si="3"/>
        <v>https://svgtext.heliohost.us/cgi-bin/gen.perl?text=Erasers</v>
      </c>
      <c r="G559" s="11" t="str">
        <f t="shared" si="4"/>
        <v>data:image/svg+xml,%3csvg xmlns='http://www.w3.org/2000/svg' viewBox='0 0 24 216'%3e%3ctext fill='%23fff' style='font: 900 16px sans-serif' text-anchor='end' transform='matrix(0 -1 1 0 18 5)'%3eErasers%3c/text%3e%3c/svg%3e</v>
      </c>
      <c r="H559" s="8" t="s">
        <v>32</v>
      </c>
      <c r="I559" s="8">
        <f t="shared" ref="I559:J559" si="560">len(B559)</f>
        <v>7</v>
      </c>
      <c r="J559" s="8">
        <f t="shared" si="560"/>
        <v>33</v>
      </c>
      <c r="K559" s="8" t="s">
        <v>3391</v>
      </c>
    </row>
    <row r="560">
      <c r="A560" s="7" t="b">
        <v>0</v>
      </c>
      <c r="B560" s="8" t="s">
        <v>3392</v>
      </c>
      <c r="C560" s="8" t="s">
        <v>3393</v>
      </c>
      <c r="D560" s="8" t="str">
        <f>Q&amp;$K560&amp;Q&amp;":{"&amp;Q&amp;$B$2&amp;Q&amp;":"&amp;Q&amp;$B560&amp;Q&amp;","&amp;Q&amp;$C$2&amp;Q&amp;":"&amp;Q&amp;$C560&amp;Q&amp;","&amp;Q&amp;"sets"&amp;Q&amp;":"&amp;Q&amp;substitute(SUBSTITUTE($H560,"[",""),"]","")&amp;Q&amp;"},"</f>
        <v>"wstw":{"label":"Ernest Hemingway","extra":"1899-1961, American novelist and short-story writer, whose macho style is crisp, laconic and understated.","sets":"Basic Set, Party Set"},</v>
      </c>
      <c r="E560" s="9" t="str">
        <f t="shared" si="2"/>
        <v>data:image/svg+xml,%3csvg xmlns='http://www.w3.org/2000/svg' viewBox='0 0 24 216'%3e%3ctext fill='%23fff' style='font: 900 16px sans-serif' text-anchor='end' transform='matrix(0 -1 1 0 18 5)'%3eErnest Hemingway%3c/text%3e%3c/svg%3e</v>
      </c>
      <c r="F560" s="14" t="str">
        <f t="shared" si="3"/>
        <v>https://svgtext.heliohost.us/cgi-bin/gen.perl?text=Ernest%20Hemingway</v>
      </c>
      <c r="G560" s="11" t="str">
        <f t="shared" si="4"/>
        <v>data:image/svg+xml,%3csvg xmlns='http://www.w3.org/2000/svg' viewBox='0 0 24 216'%3e%3ctext fill='%23fff' style='font: 900 16px sans-serif' text-anchor='end' transform='matrix(0 -1 1 0 18 5)'%3eErnest Hemingway%3c/text%3e%3c/svg%3e</v>
      </c>
      <c r="H560" s="8" t="s">
        <v>29</v>
      </c>
      <c r="I560" s="8">
        <f t="shared" ref="I560:J560" si="561">len(B560)</f>
        <v>16</v>
      </c>
      <c r="J560" s="8">
        <f t="shared" si="561"/>
        <v>105</v>
      </c>
      <c r="K560" s="8" t="s">
        <v>3394</v>
      </c>
    </row>
    <row r="561">
      <c r="A561" s="7" t="b">
        <v>0</v>
      </c>
      <c r="B561" s="8" t="s">
        <v>3395</v>
      </c>
      <c r="C561" s="7" t="s">
        <v>3396</v>
      </c>
      <c r="D561" s="8" t="str">
        <f>Q&amp;$K561&amp;Q&amp;":{"&amp;Q&amp;$B$2&amp;Q&amp;":"&amp;Q&amp;$B561&amp;Q&amp;","&amp;Q&amp;$C$2&amp;Q&amp;":"&amp;Q&amp;$C561&amp;Q&amp;","&amp;Q&amp;"sets"&amp;Q&amp;":"&amp;Q&amp;substitute(SUBSTITUTE($H561,"[",""),"]","")&amp;Q&amp;"},"</f>
        <v>"gmki":{"label":"Europe","extra":"The Old Country… except to people who live there.","sets":"Basic Set, Party Set"},</v>
      </c>
      <c r="E561" s="9" t="str">
        <f t="shared" si="2"/>
        <v>data:image/svg+xml,%3csvg xmlns='http://www.w3.org/2000/svg' viewBox='0 0 24 216'%3e%3ctext fill='%23fff' style='font: 900 16px sans-serif' text-anchor='end' transform='matrix(0 -1 1 0 18 5)'%3eEurope%3c/text%3e%3c/svg%3e</v>
      </c>
      <c r="F561" s="14" t="str">
        <f t="shared" si="3"/>
        <v>https://svgtext.heliohost.us/cgi-bin/gen.perl?text=Europe</v>
      </c>
      <c r="G561" s="11" t="str">
        <f t="shared" si="4"/>
        <v>data:image/svg+xml,%3csvg xmlns='http://www.w3.org/2000/svg' viewBox='0 0 24 216'%3e%3ctext fill='%23fff' style='font: 900 16px sans-serif' text-anchor='end' transform='matrix(0 -1 1 0 18 5)'%3eEurope%3c/text%3e%3c/svg%3e</v>
      </c>
      <c r="H561" s="8" t="s">
        <v>29</v>
      </c>
      <c r="I561" s="8">
        <f t="shared" ref="I561:J561" si="562">len(B561)</f>
        <v>6</v>
      </c>
      <c r="J561" s="8">
        <f t="shared" si="562"/>
        <v>49</v>
      </c>
      <c r="K561" s="8" t="s">
        <v>3397</v>
      </c>
    </row>
    <row r="562">
      <c r="A562" s="7" t="b">
        <v>0</v>
      </c>
      <c r="B562" s="8" t="s">
        <v>3398</v>
      </c>
      <c r="C562" s="8" t="s">
        <v>3399</v>
      </c>
      <c r="D562" s="8" t="str">
        <f>Q&amp;$K562&amp;Q&amp;":{"&amp;Q&amp;$B$2&amp;Q&amp;":"&amp;Q&amp;$B562&amp;Q&amp;","&amp;Q&amp;$C$2&amp;Q&amp;":"&amp;Q&amp;$C562&amp;Q&amp;","&amp;Q&amp;"sets"&amp;Q&amp;":"&amp;Q&amp;substitute(SUBSTITUTE($H562,"[",""),"]","")&amp;Q&amp;"},"</f>
        <v>"xtud":{"label":"Exorcism","extra":"To ceremoniously expel an evil spirit.","sets":"Expansion Set 1, Party Set"},</v>
      </c>
      <c r="E562" s="9" t="str">
        <f t="shared" si="2"/>
        <v>data:image/svg+xml,%3csvg xmlns='http://www.w3.org/2000/svg' viewBox='0 0 24 216'%3e%3ctext fill='%23fff' style='font: 900 16px sans-serif' text-anchor='end' transform='matrix(0 -1 1 0 18 5)'%3eExorcism%3c/text%3e%3c/svg%3e</v>
      </c>
      <c r="F562" s="14" t="str">
        <f t="shared" si="3"/>
        <v>https://svgtext.heliohost.us/cgi-bin/gen.perl?text=Exorcism</v>
      </c>
      <c r="G562" s="11" t="str">
        <f t="shared" si="4"/>
        <v>data:image/svg+xml,%3csvg xmlns='http://www.w3.org/2000/svg' viewBox='0 0 24 216'%3e%3ctext fill='%23fff' style='font: 900 16px sans-serif' text-anchor='end' transform='matrix(0 -1 1 0 18 5)'%3eExorcism%3c/text%3e%3c/svg%3e</v>
      </c>
      <c r="H562" s="8" t="s">
        <v>25</v>
      </c>
      <c r="I562" s="8">
        <f t="shared" ref="I562:J562" si="563">len(B562)</f>
        <v>8</v>
      </c>
      <c r="J562" s="8">
        <f t="shared" si="563"/>
        <v>38</v>
      </c>
      <c r="K562" s="8" t="s">
        <v>3400</v>
      </c>
    </row>
    <row r="563">
      <c r="A563" s="7" t="b">
        <v>1</v>
      </c>
      <c r="B563" s="8" t="s">
        <v>3401</v>
      </c>
      <c r="C563" s="7" t="s">
        <v>3402</v>
      </c>
      <c r="D563" s="8" t="str">
        <f>Q&amp;$K563&amp;Q&amp;":{"&amp;Q&amp;$B$2&amp;Q&amp;":"&amp;Q&amp;$B563&amp;Q&amp;","&amp;Q&amp;$C$2&amp;Q&amp;":"&amp;Q&amp;$C563&amp;Q&amp;","&amp;Q&amp;"sets"&amp;Q&amp;":"&amp;Q&amp;substitute(SUBSTITUTE($H563,"[",""),"]","")&amp;Q&amp;"},"</f>
        <v>"wwob":{"label":"Exterminators","extra":"Bugs, rats and vermin. It’s time for chemical warfare.","sets":"Expansion Set 3, Party Expansion 1"},</v>
      </c>
      <c r="E563" s="9" t="str">
        <f t="shared" si="2"/>
        <v>data:image/svg+xml,%3csvg xmlns='http://www.w3.org/2000/svg' viewBox='0 0 24 216'%3e%3ctext fill='%23fff' style='font: 900 16px sans-serif' text-anchor='end' transform='matrix(0 -1 1 0 18 5)'%3eExterminators%3c/text%3e%3c/svg%3e</v>
      </c>
      <c r="F563" s="14" t="str">
        <f t="shared" si="3"/>
        <v>https://svgtext.heliohost.us/cgi-bin/gen.perl?text=Exterminators</v>
      </c>
      <c r="G563" s="11" t="str">
        <f t="shared" si="4"/>
        <v>data:image/svg+xml,%3csvg xmlns='http://www.w3.org/2000/svg' viewBox='0 0 24 216'%3e%3ctext fill='%23fff' style='font: 900 16px sans-serif' text-anchor='end' transform='matrix(0 -1 1 0 18 5)'%3eExterminators%3c/text%3e%3c/svg%3e</v>
      </c>
      <c r="H563" s="8" t="s">
        <v>39</v>
      </c>
      <c r="I563" s="8">
        <f t="shared" ref="I563:J563" si="564">len(B563)</f>
        <v>13</v>
      </c>
      <c r="J563" s="8">
        <f t="shared" si="564"/>
        <v>54</v>
      </c>
      <c r="K563" s="8" t="s">
        <v>3403</v>
      </c>
    </row>
    <row r="564">
      <c r="A564" s="7" t="b">
        <v>0</v>
      </c>
      <c r="B564" s="8" t="s">
        <v>3404</v>
      </c>
      <c r="C564" s="8" t="s">
        <v>3405</v>
      </c>
      <c r="D564" s="8" t="str">
        <f>Q&amp;$K564&amp;Q&amp;":{"&amp;Q&amp;$B$2&amp;Q&amp;":"&amp;Q&amp;$B564&amp;Q&amp;","&amp;Q&amp;$C$2&amp;Q&amp;":"&amp;Q&amp;$C564&amp;Q&amp;","&amp;Q&amp;"sets"&amp;Q&amp;":"&amp;Q&amp;substitute(SUBSTITUTE($H564,"[",""),"]","")&amp;Q&amp;"},"</f>
        <v>"uxxo":{"label":"Eyes","extra":"Light-sensitive organ of vision in animals. See?","sets":"Basic Set, Party Set"},</v>
      </c>
      <c r="E564" s="9" t="str">
        <f t="shared" si="2"/>
        <v>data:image/svg+xml,%3csvg xmlns='http://www.w3.org/2000/svg' viewBox='0 0 24 216'%3e%3ctext fill='%23fff' style='font: 900 16px sans-serif' text-anchor='end' transform='matrix(0 -1 1 0 18 5)'%3eEyes%3c/text%3e%3c/svg%3e</v>
      </c>
      <c r="F564" s="14" t="str">
        <f t="shared" si="3"/>
        <v>https://svgtext.heliohost.us/cgi-bin/gen.perl?text=Eyes</v>
      </c>
      <c r="G564" s="11" t="str">
        <f t="shared" si="4"/>
        <v>data:image/svg+xml,%3csvg xmlns='http://www.w3.org/2000/svg' viewBox='0 0 24 216'%3e%3ctext fill='%23fff' style='font: 900 16px sans-serif' text-anchor='end' transform='matrix(0 -1 1 0 18 5)'%3eEyes%3c/text%3e%3c/svg%3e</v>
      </c>
      <c r="H564" s="8" t="s">
        <v>29</v>
      </c>
      <c r="I564" s="8">
        <f t="shared" ref="I564:J564" si="565">len(B564)</f>
        <v>4</v>
      </c>
      <c r="J564" s="8">
        <f t="shared" si="565"/>
        <v>48</v>
      </c>
      <c r="K564" s="8" t="s">
        <v>3406</v>
      </c>
    </row>
    <row r="565">
      <c r="A565" s="7" t="b">
        <v>1</v>
      </c>
      <c r="B565" s="8" t="s">
        <v>3404</v>
      </c>
      <c r="C565" s="8" t="s">
        <v>3407</v>
      </c>
      <c r="D565" s="8" t="str">
        <f>Q&amp;$K565&amp;Q&amp;":{"&amp;Q&amp;$B$2&amp;Q&amp;":"&amp;Q&amp;$B565&amp;Q&amp;","&amp;Q&amp;$C$2&amp;Q&amp;":"&amp;Q&amp;$C565&amp;Q&amp;","&amp;Q&amp;"sets"&amp;Q&amp;":"&amp;Q&amp;substitute(SUBSTITUTE($H565,"[",""),"]","")&amp;Q&amp;"},"</f>
        <v>"fhat":{"label":"Eyes","extra":"Flies have five eyes.","sets":"Junior 9+ (1st) &amp; (2nd)"},</v>
      </c>
      <c r="E565" s="9" t="str">
        <f t="shared" si="2"/>
        <v>data:image/svg+xml,%3csvg xmlns='http://www.w3.org/2000/svg' viewBox='0 0 24 216'%3e%3ctext fill='%23fff' style='font: 900 16px sans-serif' text-anchor='end' transform='matrix(0 -1 1 0 18 5)'%3eEyes%3c/text%3e%3c/svg%3e</v>
      </c>
      <c r="F565" s="14" t="str">
        <f t="shared" si="3"/>
        <v>https://svgtext.heliohost.us/cgi-bin/gen.perl?text=Eyes</v>
      </c>
      <c r="G565" s="11" t="str">
        <f t="shared" si="4"/>
        <v>data:image/svg+xml,%3csvg xmlns='http://www.w3.org/2000/svg' viewBox='0 0 24 216'%3e%3ctext fill='%23fff' style='font: 900 16px sans-serif' text-anchor='end' transform='matrix(0 -1 1 0 18 5)'%3eEyes%3c/text%3e%3c/svg%3e</v>
      </c>
      <c r="H565" s="8" t="s">
        <v>42</v>
      </c>
      <c r="I565" s="8">
        <f t="shared" ref="I565:J565" si="566">len(B565)</f>
        <v>4</v>
      </c>
      <c r="J565" s="8">
        <f t="shared" si="566"/>
        <v>21</v>
      </c>
      <c r="K565" s="8" t="s">
        <v>3408</v>
      </c>
    </row>
    <row r="566">
      <c r="A566" s="7" t="b">
        <v>1</v>
      </c>
      <c r="B566" s="8" t="s">
        <v>3409</v>
      </c>
      <c r="C566" s="8" t="s">
        <v>3410</v>
      </c>
      <c r="D566" s="8" t="str">
        <f>Q&amp;$K566&amp;Q&amp;":{"&amp;Q&amp;$B$2&amp;Q&amp;":"&amp;Q&amp;$B566&amp;Q&amp;","&amp;Q&amp;$C$2&amp;Q&amp;":"&amp;Q&amp;$C566&amp;Q&amp;","&amp;Q&amp;"sets"&amp;Q&amp;":"&amp;Q&amp;substitute(SUBSTITUTE($H566,"[",""),"]","")&amp;Q&amp;"},"</f>
        <v>"qeqm":{"label":"Face Paint","extra":"You can be a clown, a pirate, a cat, or whatever you want.","sets":"Junior"},</v>
      </c>
      <c r="E566" s="9" t="str">
        <f t="shared" si="2"/>
        <v>data:image/svg+xml,%3csvg xmlns='http://www.w3.org/2000/svg' viewBox='0 0 24 216'%3e%3ctext fill='%23fff' style='font: 900 16px sans-serif' text-anchor='end' transform='matrix(0 -1 1 0 18 5)'%3eFace Paint%3c/text%3e%3c/svg%3e</v>
      </c>
      <c r="F566" s="14" t="str">
        <f t="shared" si="3"/>
        <v>https://svgtext.heliohost.us/cgi-bin/gen.perl?text=Face%20Paint</v>
      </c>
      <c r="G566" s="11" t="str">
        <f t="shared" si="4"/>
        <v>data:image/svg+xml,%3csvg xmlns='http://www.w3.org/2000/svg' viewBox='0 0 24 216'%3e%3ctext fill='%23fff' style='font: 900 16px sans-serif' text-anchor='end' transform='matrix(0 -1 1 0 18 5)'%3eFace Paint%3c/text%3e%3c/svg%3e</v>
      </c>
      <c r="H566" s="8" t="s">
        <v>84</v>
      </c>
      <c r="I566" s="8">
        <f t="shared" ref="I566:J566" si="567">len(B566)</f>
        <v>10</v>
      </c>
      <c r="J566" s="8">
        <f t="shared" si="567"/>
        <v>58</v>
      </c>
      <c r="K566" s="8" t="s">
        <v>3411</v>
      </c>
    </row>
    <row r="567">
      <c r="A567" s="7" t="b">
        <v>1</v>
      </c>
      <c r="B567" s="8" t="s">
        <v>3412</v>
      </c>
      <c r="C567" s="8" t="s">
        <v>3413</v>
      </c>
      <c r="D567" s="8" t="str">
        <f>Q&amp;$K567&amp;Q&amp;":{"&amp;Q&amp;$B$2&amp;Q&amp;":"&amp;Q&amp;$B567&amp;Q&amp;","&amp;Q&amp;$C$2&amp;Q&amp;":"&amp;Q&amp;$C567&amp;Q&amp;","&amp;Q&amp;"sets"&amp;Q&amp;":"&amp;Q&amp;substitute(SUBSTITUTE($H567,"[",""),"]","")&amp;Q&amp;"},"</f>
        <v>"ggek":{"label":"Factories","extra":"Oompa-Loompa! Willy Wonka and the Chocolate Factory!","sets":"Junior 9+ (2nd)"},</v>
      </c>
      <c r="E567" s="9" t="str">
        <f t="shared" si="2"/>
        <v>data:image/svg+xml,%3csvg xmlns='http://www.w3.org/2000/svg' viewBox='0 0 24 216'%3e%3ctext fill='%23fff' style='font: 900 16px sans-serif' text-anchor='end' transform='matrix(0 -1 1 0 18 5)'%3eFactories%3c/text%3e%3c/svg%3e</v>
      </c>
      <c r="F567" s="14" t="str">
        <f t="shared" si="3"/>
        <v>https://svgtext.heliohost.us/cgi-bin/gen.perl?text=Factories</v>
      </c>
      <c r="G567" s="11" t="str">
        <f t="shared" si="4"/>
        <v>data:image/svg+xml,%3csvg xmlns='http://www.w3.org/2000/svg' viewBox='0 0 24 216'%3e%3ctext fill='%23fff' style='font: 900 16px sans-serif' text-anchor='end' transform='matrix(0 -1 1 0 18 5)'%3eFactories%3c/text%3e%3c/svg%3e</v>
      </c>
      <c r="H567" s="8" t="s">
        <v>32</v>
      </c>
      <c r="I567" s="8">
        <f t="shared" ref="I567:J567" si="568">len(B567)</f>
        <v>9</v>
      </c>
      <c r="J567" s="8">
        <f t="shared" si="568"/>
        <v>52</v>
      </c>
      <c r="K567" s="8" t="s">
        <v>3414</v>
      </c>
    </row>
    <row r="568">
      <c r="A568" s="7" t="b">
        <v>1</v>
      </c>
      <c r="B568" s="8" t="s">
        <v>3415</v>
      </c>
      <c r="C568" s="7" t="s">
        <v>3416</v>
      </c>
      <c r="D568" s="8" t="str">
        <f>Q&amp;$K568&amp;Q&amp;":{"&amp;Q&amp;$B$2&amp;Q&amp;":"&amp;Q&amp;$B568&amp;Q&amp;","&amp;Q&amp;$C$2&amp;Q&amp;":"&amp;Q&amp;$C568&amp;Q&amp;","&amp;Q&amp;"sets"&amp;Q&amp;":"&amp;Q&amp;substitute(SUBSTITUTE($H568,"[",""),"]","")&amp;Q&amp;"},"</f>
        <v>"aylt":{"label":"Fairies","extra":"Tiny, mischievous, mythical beings with magic powers. They live in Fairyland. Really.","sets":"Expansion Set 3, Party Expansion 1"},</v>
      </c>
      <c r="E568" s="9" t="str">
        <f t="shared" si="2"/>
        <v>data:image/svg+xml,%3csvg xmlns='http://www.w3.org/2000/svg' viewBox='0 0 24 216'%3e%3ctext fill='%23fff' style='font: 900 16px sans-serif' text-anchor='end' transform='matrix(0 -1 1 0 18 5)'%3eFairies%3c/text%3e%3c/svg%3e</v>
      </c>
      <c r="F568" s="14" t="str">
        <f t="shared" si="3"/>
        <v>https://svgtext.heliohost.us/cgi-bin/gen.perl?text=Fairies</v>
      </c>
      <c r="G568" s="11" t="str">
        <f t="shared" si="4"/>
        <v>data:image/svg+xml,%3csvg xmlns='http://www.w3.org/2000/svg' viewBox='0 0 24 216'%3e%3ctext fill='%23fff' style='font: 900 16px sans-serif' text-anchor='end' transform='matrix(0 -1 1 0 18 5)'%3eFairies%3c/text%3e%3c/svg%3e</v>
      </c>
      <c r="H568" s="8" t="s">
        <v>39</v>
      </c>
      <c r="I568" s="8">
        <f t="shared" ref="I568:J568" si="569">len(B568)</f>
        <v>7</v>
      </c>
      <c r="J568" s="8">
        <f t="shared" si="569"/>
        <v>85</v>
      </c>
      <c r="K568" s="8" t="s">
        <v>3417</v>
      </c>
    </row>
    <row r="569">
      <c r="A569" s="7" t="b">
        <v>1</v>
      </c>
      <c r="B569" s="8" t="s">
        <v>3415</v>
      </c>
      <c r="C569" s="8" t="s">
        <v>3418</v>
      </c>
      <c r="D569" s="8" t="str">
        <f>Q&amp;$K569&amp;Q&amp;":{"&amp;Q&amp;$B$2&amp;Q&amp;":"&amp;Q&amp;$B569&amp;Q&amp;","&amp;Q&amp;$C$2&amp;Q&amp;":"&amp;Q&amp;$C569&amp;Q&amp;","&amp;Q&amp;"sets"&amp;Q&amp;":"&amp;Q&amp;substitute(SUBSTITUTE($H569,"[",""),"]","")&amp;Q&amp;"},"</f>
        <v>"xqjy":{"label":"Fairies","extra":"Tiny storybook characters with wings and magic powers.","sets":"Junior 9+ (1st) &amp; (2nd)"},</v>
      </c>
      <c r="E569" s="9" t="str">
        <f t="shared" si="2"/>
        <v>data:image/svg+xml,%3csvg xmlns='http://www.w3.org/2000/svg' viewBox='0 0 24 216'%3e%3ctext fill='%23fff' style='font: 900 16px sans-serif' text-anchor='end' transform='matrix(0 -1 1 0 18 5)'%3eFairies%3c/text%3e%3c/svg%3e</v>
      </c>
      <c r="F569" s="14" t="str">
        <f t="shared" si="3"/>
        <v>https://svgtext.heliohost.us/cgi-bin/gen.perl?text=Fairies</v>
      </c>
      <c r="G569" s="11" t="str">
        <f t="shared" si="4"/>
        <v>data:image/svg+xml,%3csvg xmlns='http://www.w3.org/2000/svg' viewBox='0 0 24 216'%3e%3ctext fill='%23fff' style='font: 900 16px sans-serif' text-anchor='end' transform='matrix(0 -1 1 0 18 5)'%3eFairies%3c/text%3e%3c/svg%3e</v>
      </c>
      <c r="H569" s="8" t="s">
        <v>42</v>
      </c>
      <c r="I569" s="8">
        <f t="shared" ref="I569:J569" si="570">len(B569)</f>
        <v>7</v>
      </c>
      <c r="J569" s="8">
        <f t="shared" si="570"/>
        <v>54</v>
      </c>
      <c r="K569" s="8" t="s">
        <v>3419</v>
      </c>
    </row>
    <row r="570">
      <c r="A570" s="7" t="b">
        <v>1</v>
      </c>
      <c r="B570" s="8" t="s">
        <v>3420</v>
      </c>
      <c r="C570" s="7" t="s">
        <v>3421</v>
      </c>
      <c r="D570" s="8" t="str">
        <f>Q&amp;$K570&amp;Q&amp;":{"&amp;Q&amp;$B$2&amp;Q&amp;":"&amp;Q&amp;$B570&amp;Q&amp;","&amp;Q&amp;$C$2&amp;Q&amp;":"&amp;Q&amp;$C570&amp;Q&amp;","&amp;Q&amp;"sets"&amp;Q&amp;":"&amp;Q&amp;substitute(SUBSTITUTE($H570,"[",""),"]","")&amp;Q&amp;"},"</f>
        <v>"jafa":{"label":"Faith Hill","extra":"1967-, American crossover country music artist. You just gotta have Faith.","sets":"Expansion Set 3, Party Expansion 1"},</v>
      </c>
      <c r="E570" s="9" t="str">
        <f t="shared" si="2"/>
        <v>data:image/svg+xml,%3csvg xmlns='http://www.w3.org/2000/svg' viewBox='0 0 24 216'%3e%3ctext fill='%23fff' style='font: 900 16px sans-serif' text-anchor='end' transform='matrix(0 -1 1 0 18 5)'%3eFaith Hill%3c/text%3e%3c/svg%3e</v>
      </c>
      <c r="F570" s="14" t="str">
        <f t="shared" si="3"/>
        <v>https://svgtext.heliohost.us/cgi-bin/gen.perl?text=Faith%20Hill</v>
      </c>
      <c r="G570" s="11" t="str">
        <f t="shared" si="4"/>
        <v>data:image/svg+xml,%3csvg xmlns='http://www.w3.org/2000/svg' viewBox='0 0 24 216'%3e%3ctext fill='%23fff' style='font: 900 16px sans-serif' text-anchor='end' transform='matrix(0 -1 1 0 18 5)'%3eFaith Hill%3c/text%3e%3c/svg%3e</v>
      </c>
      <c r="H570" s="8" t="s">
        <v>39</v>
      </c>
      <c r="I570" s="8">
        <f t="shared" ref="I570:J570" si="571">len(B570)</f>
        <v>10</v>
      </c>
      <c r="J570" s="8">
        <f t="shared" si="571"/>
        <v>74</v>
      </c>
      <c r="K570" s="8" t="s">
        <v>3422</v>
      </c>
    </row>
    <row r="571">
      <c r="A571" s="7" t="b">
        <v>0</v>
      </c>
      <c r="B571" s="8" t="s">
        <v>3423</v>
      </c>
      <c r="C571" s="7" t="s">
        <v>3424</v>
      </c>
      <c r="D571" s="8" t="str">
        <f>Q&amp;$K571&amp;Q&amp;":{"&amp;Q&amp;$B$2&amp;Q&amp;":"&amp;Q&amp;$B571&amp;Q&amp;","&amp;Q&amp;$C$2&amp;Q&amp;":"&amp;Q&amp;$C571&amp;Q&amp;","&amp;Q&amp;"sets"&amp;Q&amp;":"&amp;Q&amp;substitute(SUBSTITUTE($H571,"[",""),"]","")&amp;Q&amp;"},"</f>
        <v>"mxve":{"label":"Falling Down","extra":"“What we call failure is not the falling down, but the staying down.” —Mary Pickford","sets":"Expansion Set 1, Party Set"},</v>
      </c>
      <c r="E571" s="9" t="str">
        <f t="shared" si="2"/>
        <v>data:image/svg+xml,%3csvg xmlns='http://www.w3.org/2000/svg' viewBox='0 0 24 216'%3e%3ctext fill='%23fff' style='font: 900 16px sans-serif' text-anchor='end' transform='matrix(0 -1 1 0 18 5)'%3eFalling Down%3c/text%3e%3c/svg%3e</v>
      </c>
      <c r="F571" s="14" t="str">
        <f t="shared" si="3"/>
        <v>https://svgtext.heliohost.us/cgi-bin/gen.perl?text=Falling%20Down</v>
      </c>
      <c r="G571" s="11" t="str">
        <f t="shared" si="4"/>
        <v>data:image/svg+xml,%3csvg xmlns='http://www.w3.org/2000/svg' viewBox='0 0 24 216'%3e%3ctext fill='%23fff' style='font: 900 16px sans-serif' text-anchor='end' transform='matrix(0 -1 1 0 18 5)'%3eFalling Down%3c/text%3e%3c/svg%3e</v>
      </c>
      <c r="H571" s="8" t="s">
        <v>25</v>
      </c>
      <c r="I571" s="8">
        <f t="shared" ref="I571:J571" si="572">len(B571)</f>
        <v>12</v>
      </c>
      <c r="J571" s="8">
        <f t="shared" si="572"/>
        <v>84</v>
      </c>
      <c r="K571" s="8" t="s">
        <v>3425</v>
      </c>
    </row>
    <row r="572">
      <c r="A572" s="7" t="b">
        <v>1</v>
      </c>
      <c r="B572" s="8" t="s">
        <v>3426</v>
      </c>
      <c r="C572" s="7" t="s">
        <v>3427</v>
      </c>
      <c r="D572" s="8" t="str">
        <f>Q&amp;$K572&amp;Q&amp;":{"&amp;Q&amp;$B$2&amp;Q&amp;":"&amp;Q&amp;$B572&amp;Q&amp;","&amp;Q&amp;$C$2&amp;Q&amp;":"&amp;Q&amp;$C572&amp;Q&amp;","&amp;Q&amp;"sets"&amp;Q&amp;":"&amp;Q&amp;substitute(SUBSTITUTE($H572,"[",""),"]","")&amp;Q&amp;"},"</f>
        <v>"otyw":{"label":"Fame &amp; Fortune","extra":"Everybody may have 15 minutes of fame, but fortune is another thing altogether.","sets":"Expansion Set 4, Party Expansion 1"},</v>
      </c>
      <c r="E572" s="9" t="str">
        <f t="shared" si="2"/>
        <v>data:image/svg+xml,%3csvg xmlns='http://www.w3.org/2000/svg' viewBox='0 0 24 216'%3e%3ctext fill='%23fff' style='font: 900 16px sans-serif' text-anchor='end' transform='matrix(0 -1 1 0 18 5)'%3eFame %26amp%3B Fortune%3c/text%3e%3c/svg%3e</v>
      </c>
      <c r="F572" s="14" t="str">
        <f t="shared" si="3"/>
        <v>https://svgtext.heliohost.us/cgi-bin/gen.perl?text=Fame%20%26%20Fortune</v>
      </c>
      <c r="G572" s="11" t="str">
        <f t="shared" si="4"/>
        <v>data:image/svg+xml,%3csvg xmlns='http://www.w3.org/2000/svg' viewBox='0 0 24 216'%3e%3ctext fill='%23fff' style='font: 900 16px sans-serif' text-anchor='end' transform='matrix(0 -1 1 0 18 5)'%3eFame %26amp%3B Fortune%3c/text%3e%3c/svg%3e</v>
      </c>
      <c r="H572" s="8" t="s">
        <v>63</v>
      </c>
      <c r="I572" s="8">
        <f t="shared" ref="I572:J572" si="573">len(B572)</f>
        <v>14</v>
      </c>
      <c r="J572" s="8">
        <f t="shared" si="573"/>
        <v>79</v>
      </c>
      <c r="K572" s="8" t="s">
        <v>3428</v>
      </c>
    </row>
    <row r="573">
      <c r="A573" s="7" t="b">
        <v>0</v>
      </c>
      <c r="B573" s="8" t="s">
        <v>3429</v>
      </c>
      <c r="C573" s="7" t="s">
        <v>3430</v>
      </c>
      <c r="D573" s="8" t="str">
        <f>Q&amp;$K573&amp;Q&amp;":{"&amp;Q&amp;$B$2&amp;Q&amp;":"&amp;Q&amp;$B573&amp;Q&amp;","&amp;Q&amp;$C$2&amp;Q&amp;":"&amp;Q&amp;$C573&amp;Q&amp;","&amp;Q&amp;"sets"&amp;Q&amp;":"&amp;Q&amp;substitute(SUBSTITUTE($H573,"[",""),"]","")&amp;Q&amp;"},"</f>
        <v>"nnys":{"label":"Family Reunions","extra":"Just to remind you why you moved away in the first place…","sets":"Expansion Set 1, Party Set"},</v>
      </c>
      <c r="E573" s="9" t="str">
        <f t="shared" si="2"/>
        <v>data:image/svg+xml,%3csvg xmlns='http://www.w3.org/2000/svg' viewBox='0 0 24 216'%3e%3ctext fill='%23fff' style='font: 900 16px sans-serif' text-anchor='end' transform='matrix(0 -1 1 0 18 5)'%3eFamily Reunions%3c/text%3e%3c/svg%3e</v>
      </c>
      <c r="F573" s="14" t="str">
        <f t="shared" si="3"/>
        <v>https://svgtext.heliohost.us/cgi-bin/gen.perl?text=Family%20Reunions</v>
      </c>
      <c r="G573" s="11" t="str">
        <f t="shared" si="4"/>
        <v>data:image/svg+xml,%3csvg xmlns='http://www.w3.org/2000/svg' viewBox='0 0 24 216'%3e%3ctext fill='%23fff' style='font: 900 16px sans-serif' text-anchor='end' transform='matrix(0 -1 1 0 18 5)'%3eFamily Reunions%3c/text%3e%3c/svg%3e</v>
      </c>
      <c r="H573" s="8" t="s">
        <v>25</v>
      </c>
      <c r="I573" s="8">
        <f t="shared" ref="I573:J573" si="574">len(B573)</f>
        <v>15</v>
      </c>
      <c r="J573" s="8">
        <f t="shared" si="574"/>
        <v>57</v>
      </c>
      <c r="K573" s="8" t="s">
        <v>3431</v>
      </c>
    </row>
    <row r="574">
      <c r="A574" s="7" t="b">
        <v>0</v>
      </c>
      <c r="B574" s="8" t="s">
        <v>3432</v>
      </c>
      <c r="C574" s="8" t="s">
        <v>3433</v>
      </c>
      <c r="D574" s="8" t="str">
        <f>Q&amp;$K574&amp;Q&amp;":{"&amp;Q&amp;$B$2&amp;Q&amp;":"&amp;Q&amp;$B574&amp;Q&amp;","&amp;Q&amp;$C$2&amp;Q&amp;":"&amp;Q&amp;$C574&amp;Q&amp;","&amp;Q&amp;"sets"&amp;Q&amp;":"&amp;Q&amp;substitute(SUBSTITUTE($H574,"[",""),"]","")&amp;Q&amp;"},"</f>
        <v>"yjuq":{"label":"Family Vacations","extra":"Dad? Dad? Are we there yet? Are we there yet? Are we? Huh? Dad?","sets":"Expansion Set 1, Party Set"},</v>
      </c>
      <c r="E574" s="9" t="str">
        <f t="shared" si="2"/>
        <v>data:image/svg+xml,%3csvg xmlns='http://www.w3.org/2000/svg' viewBox='0 0 24 216'%3e%3ctext fill='%23fff' style='font: 900 16px sans-serif' text-anchor='end' transform='matrix(0 -1 1 0 18 5)'%3eFamily Vacations%3c/text%3e%3c/svg%3e</v>
      </c>
      <c r="F574" s="14" t="str">
        <f t="shared" si="3"/>
        <v>https://svgtext.heliohost.us/cgi-bin/gen.perl?text=Family%20Vacations</v>
      </c>
      <c r="G574" s="11" t="str">
        <f t="shared" si="4"/>
        <v>data:image/svg+xml,%3csvg xmlns='http://www.w3.org/2000/svg' viewBox='0 0 24 216'%3e%3ctext fill='%23fff' style='font: 900 16px sans-serif' text-anchor='end' transform='matrix(0 -1 1 0 18 5)'%3eFamily Vacations%3c/text%3e%3c/svg%3e</v>
      </c>
      <c r="H574" s="8" t="s">
        <v>25</v>
      </c>
      <c r="I574" s="8">
        <f t="shared" ref="I574:J574" si="575">len(B574)</f>
        <v>16</v>
      </c>
      <c r="J574" s="8">
        <f t="shared" si="575"/>
        <v>63</v>
      </c>
      <c r="K574" s="8" t="s">
        <v>3434</v>
      </c>
    </row>
    <row r="575">
      <c r="A575" s="7" t="b">
        <v>0</v>
      </c>
      <c r="B575" s="8" t="s">
        <v>3435</v>
      </c>
      <c r="C575" s="7" t="s">
        <v>3436</v>
      </c>
      <c r="D575" s="8" t="str">
        <f>Q&amp;$K575&amp;Q&amp;":{"&amp;Q&amp;$B$2&amp;Q&amp;":"&amp;Q&amp;$B575&amp;Q&amp;","&amp;Q&amp;$C$2&amp;Q&amp;":"&amp;Q&amp;$C575&amp;Q&amp;","&amp;Q&amp;"sets"&amp;Q&amp;":"&amp;Q&amp;substitute(SUBSTITUTE($H575,"[",""),"]","")&amp;Q&amp;"},"</f>
        <v>"hfti":{"label":"Family Values","extra":"Often said but seldom understood.","sets":"Expansion Set 2, Party Set"},</v>
      </c>
      <c r="E575" s="9" t="str">
        <f t="shared" si="2"/>
        <v>data:image/svg+xml,%3csvg xmlns='http://www.w3.org/2000/svg' viewBox='0 0 24 216'%3e%3ctext fill='%23fff' style='font: 900 16px sans-serif' text-anchor='end' transform='matrix(0 -1 1 0 18 5)'%3eFamily Values%3c/text%3e%3c/svg%3e</v>
      </c>
      <c r="F575" s="14" t="str">
        <f t="shared" si="3"/>
        <v>https://svgtext.heliohost.us/cgi-bin/gen.perl?text=Family%20Values</v>
      </c>
      <c r="G575" s="11" t="str">
        <f t="shared" si="4"/>
        <v>data:image/svg+xml,%3csvg xmlns='http://www.w3.org/2000/svg' viewBox='0 0 24 216'%3e%3ctext fill='%23fff' style='font: 900 16px sans-serif' text-anchor='end' transform='matrix(0 -1 1 0 18 5)'%3eFamily Values%3c/text%3e%3c/svg%3e</v>
      </c>
      <c r="H575" s="8" t="s">
        <v>17</v>
      </c>
      <c r="I575" s="8">
        <f t="shared" ref="I575:J575" si="576">len(B575)</f>
        <v>13</v>
      </c>
      <c r="J575" s="8">
        <f t="shared" si="576"/>
        <v>33</v>
      </c>
      <c r="K575" s="8" t="s">
        <v>3437</v>
      </c>
    </row>
    <row r="576">
      <c r="A576" s="7" t="b">
        <v>1</v>
      </c>
      <c r="B576" s="8" t="s">
        <v>3438</v>
      </c>
      <c r="C576" s="8" t="s">
        <v>3439</v>
      </c>
      <c r="D576" s="8" t="str">
        <f>Q&amp;$K576&amp;Q&amp;":{"&amp;Q&amp;$B$2&amp;Q&amp;":"&amp;Q&amp;$B576&amp;Q&amp;","&amp;Q&amp;$C$2&amp;Q&amp;":"&amp;Q&amp;$C576&amp;Q&amp;","&amp;Q&amp;"sets"&amp;Q&amp;":"&amp;Q&amp;substitute(SUBSTITUTE($H576,"[",""),"]","")&amp;Q&amp;"},"</f>
        <v>"rank":{"label":"Farmers","extra":"There's a farmer in the dell.","sets":"Junior 9+ (1st) &amp; (2nd)"},</v>
      </c>
      <c r="E576" s="9" t="str">
        <f t="shared" si="2"/>
        <v>data:image/svg+xml,%3csvg xmlns='http://www.w3.org/2000/svg' viewBox='0 0 24 216'%3e%3ctext fill='%23fff' style='font: 900 16px sans-serif' text-anchor='end' transform='matrix(0 -1 1 0 18 5)'%3eFarmers%3c/text%3e%3c/svg%3e</v>
      </c>
      <c r="F576" s="14" t="str">
        <f t="shared" si="3"/>
        <v>https://svgtext.heliohost.us/cgi-bin/gen.perl?text=Farmers</v>
      </c>
      <c r="G576" s="11" t="str">
        <f t="shared" si="4"/>
        <v>data:image/svg+xml,%3csvg xmlns='http://www.w3.org/2000/svg' viewBox='0 0 24 216'%3e%3ctext fill='%23fff' style='font: 900 16px sans-serif' text-anchor='end' transform='matrix(0 -1 1 0 18 5)'%3eFarmers%3c/text%3e%3c/svg%3e</v>
      </c>
      <c r="H576" s="8" t="s">
        <v>42</v>
      </c>
      <c r="I576" s="8">
        <f t="shared" ref="I576:J576" si="577">len(B576)</f>
        <v>7</v>
      </c>
      <c r="J576" s="8">
        <f t="shared" si="577"/>
        <v>29</v>
      </c>
      <c r="K576" s="8" t="s">
        <v>3440</v>
      </c>
    </row>
    <row r="577">
      <c r="A577" s="7" t="b">
        <v>1</v>
      </c>
      <c r="B577" s="8" t="s">
        <v>3441</v>
      </c>
      <c r="C577" s="7" t="s">
        <v>3442</v>
      </c>
      <c r="D577" s="8" t="str">
        <f>Q&amp;$K577&amp;Q&amp;":{"&amp;Q&amp;$B$2&amp;Q&amp;":"&amp;Q&amp;$B577&amp;Q&amp;","&amp;Q&amp;$C$2&amp;Q&amp;":"&amp;Q&amp;$C577&amp;Q&amp;","&amp;Q&amp;"sets"&amp;Q&amp;":"&amp;Q&amp;substitute(SUBSTITUTE($H577,"[",""),"]","")&amp;Q&amp;"},"</f>
        <v>"zenn":{"label":"Farms","extra":"A place where animals and crops are raised for food. “Old McDonald had a farm.”","sets":"Junior"},</v>
      </c>
      <c r="E577" s="9" t="str">
        <f t="shared" si="2"/>
        <v>data:image/svg+xml,%3csvg xmlns='http://www.w3.org/2000/svg' viewBox='0 0 24 216'%3e%3ctext fill='%23fff' style='font: 900 16px sans-serif' text-anchor='end' transform='matrix(0 -1 1 0 18 5)'%3eFarms%3c/text%3e%3c/svg%3e</v>
      </c>
      <c r="F577" s="14" t="str">
        <f t="shared" si="3"/>
        <v>https://svgtext.heliohost.us/cgi-bin/gen.perl?text=Farms</v>
      </c>
      <c r="G577" s="11" t="str">
        <f t="shared" si="4"/>
        <v>data:image/svg+xml,%3csvg xmlns='http://www.w3.org/2000/svg' viewBox='0 0 24 216'%3e%3ctext fill='%23fff' style='font: 900 16px sans-serif' text-anchor='end' transform='matrix(0 -1 1 0 18 5)'%3eFarms%3c/text%3e%3c/svg%3e</v>
      </c>
      <c r="H577" s="8" t="s">
        <v>84</v>
      </c>
      <c r="I577" s="8">
        <f t="shared" ref="I577:J577" si="578">len(B577)</f>
        <v>5</v>
      </c>
      <c r="J577" s="8">
        <f t="shared" si="578"/>
        <v>79</v>
      </c>
      <c r="K577" s="8" t="s">
        <v>3443</v>
      </c>
    </row>
    <row r="578">
      <c r="A578" s="7" t="b">
        <v>0</v>
      </c>
      <c r="B578" s="8" t="s">
        <v>3444</v>
      </c>
      <c r="C578" s="8" t="s">
        <v>3445</v>
      </c>
      <c r="D578" s="8" t="str">
        <f>Q&amp;$K578&amp;Q&amp;":{"&amp;Q&amp;$B$2&amp;Q&amp;":"&amp;Q&amp;$B578&amp;Q&amp;","&amp;Q&amp;$C$2&amp;Q&amp;":"&amp;Q&amp;$C578&amp;Q&amp;","&amp;Q&amp;"sets"&amp;Q&amp;":"&amp;Q&amp;substitute(SUBSTITUTE($H578,"[",""),"]","")&amp;Q&amp;"},"</f>
        <v>"horc":{"label":"Fast Food","extra":"You want fries with that?","sets":"Expansion Set 1, Party Set"},</v>
      </c>
      <c r="E578" s="9" t="str">
        <f t="shared" si="2"/>
        <v>data:image/svg+xml,%3csvg xmlns='http://www.w3.org/2000/svg' viewBox='0 0 24 216'%3e%3ctext fill='%23fff' style='font: 900 16px sans-serif' text-anchor='end' transform='matrix(0 -1 1 0 18 5)'%3eFast Food%3c/text%3e%3c/svg%3e</v>
      </c>
      <c r="F578" s="14" t="str">
        <f t="shared" si="3"/>
        <v>https://svgtext.heliohost.us/cgi-bin/gen.perl?text=Fast%20Food</v>
      </c>
      <c r="G578" s="11" t="str">
        <f t="shared" si="4"/>
        <v>data:image/svg+xml,%3csvg xmlns='http://www.w3.org/2000/svg' viewBox='0 0 24 216'%3e%3ctext fill='%23fff' style='font: 900 16px sans-serif' text-anchor='end' transform='matrix(0 -1 1 0 18 5)'%3eFast Food%3c/text%3e%3c/svg%3e</v>
      </c>
      <c r="H578" s="8" t="s">
        <v>25</v>
      </c>
      <c r="I578" s="8">
        <f t="shared" ref="I578:J578" si="579">len(B578)</f>
        <v>9</v>
      </c>
      <c r="J578" s="8">
        <f t="shared" si="579"/>
        <v>25</v>
      </c>
      <c r="K578" s="8" t="s">
        <v>3446</v>
      </c>
    </row>
    <row r="579">
      <c r="A579" s="7" t="b">
        <v>1</v>
      </c>
      <c r="B579" s="8" t="s">
        <v>569</v>
      </c>
      <c r="C579" s="7" t="s">
        <v>3447</v>
      </c>
      <c r="D579" s="8" t="str">
        <f>Q&amp;$K579&amp;Q&amp;":{"&amp;Q&amp;$B$2&amp;Q&amp;":"&amp;Q&amp;$B579&amp;Q&amp;","&amp;Q&amp;$C$2&amp;Q&amp;":"&amp;Q&amp;$C579&amp;Q&amp;","&amp;Q&amp;"sets"&amp;Q&amp;":"&amp;Q&amp;substitute(SUBSTITUTE($H579,"[",""),"]","")&amp;Q&amp;"},"</f>
        <v>"nknb":{"label":"Fat","extra":"I can't believe I ate the whooooooole thing.","sets":"Expansion Set 3, Party Expansion 1"},</v>
      </c>
      <c r="E579" s="9" t="str">
        <f t="shared" si="2"/>
        <v>data:image/svg+xml,%3csvg xmlns='http://www.w3.org/2000/svg' viewBox='0 0 24 216'%3e%3ctext fill='%23fff' style='font: 900 16px sans-serif' text-anchor='end' transform='matrix(0 -1 1 0 18 5)'%3eFat%3c/text%3e%3c/svg%3e</v>
      </c>
      <c r="F579" s="14" t="str">
        <f t="shared" si="3"/>
        <v>https://svgtext.heliohost.us/cgi-bin/gen.perl?text=Fat</v>
      </c>
      <c r="G579" s="11" t="str">
        <f t="shared" si="4"/>
        <v>data:image/svg+xml,%3csvg xmlns='http://www.w3.org/2000/svg' viewBox='0 0 24 216'%3e%3ctext fill='%23fff' style='font: 900 16px sans-serif' text-anchor='end' transform='matrix(0 -1 1 0 18 5)'%3eFat%3c/text%3e%3c/svg%3e</v>
      </c>
      <c r="H579" s="8" t="s">
        <v>39</v>
      </c>
      <c r="I579" s="8">
        <f t="shared" ref="I579:J579" si="580">len(B579)</f>
        <v>3</v>
      </c>
      <c r="J579" s="8">
        <f t="shared" si="580"/>
        <v>44</v>
      </c>
      <c r="K579" s="8" t="s">
        <v>3448</v>
      </c>
    </row>
    <row r="580">
      <c r="A580" s="7" t="b">
        <v>0</v>
      </c>
      <c r="B580" s="8" t="s">
        <v>3449</v>
      </c>
      <c r="C580" s="7" t="s">
        <v>3450</v>
      </c>
      <c r="D580" s="8" t="str">
        <f>Q&amp;$K580&amp;Q&amp;":{"&amp;Q&amp;$B$2&amp;Q&amp;":"&amp;Q&amp;$B580&amp;Q&amp;","&amp;Q&amp;$C$2&amp;Q&amp;":"&amp;Q&amp;$C580&amp;Q&amp;","&amp;Q&amp;"sets"&amp;Q&amp;":"&amp;Q&amp;substitute(SUBSTITUTE($H580,"[",""),"]","")&amp;Q&amp;"},"</f>
        <v>"{kwf":{"label":"Fear &amp; Loathing","extra":"In Las Vegas, or anywhere else.","sets":"Expansion Set 4, Party Expansion 1"},</v>
      </c>
      <c r="E580" s="9" t="str">
        <f t="shared" si="2"/>
        <v>data:image/svg+xml,%3csvg xmlns='http://www.w3.org/2000/svg' viewBox='0 0 24 216'%3e%3ctext fill='%23fff' style='font: 900 16px sans-serif' text-anchor='end' transform='matrix(0 -1 1 0 18 5)'%3eFear %26amp%3B Loathing%3c/text%3e%3c/svg%3e</v>
      </c>
      <c r="F580" s="14" t="str">
        <f t="shared" si="3"/>
        <v>https://svgtext.heliohost.us/cgi-bin/gen.perl?text=Fear%20%26%20Loathing</v>
      </c>
      <c r="G580" s="11" t="str">
        <f t="shared" si="4"/>
        <v>data:image/svg+xml,%3csvg xmlns='http://www.w3.org/2000/svg' viewBox='0 0 24 216'%3e%3ctext fill='%23fff' style='font: 900 16px sans-serif' text-anchor='end' transform='matrix(0 -1 1 0 18 5)'%3eFear %26amp%3B Loathing%3c/text%3e%3c/svg%3e</v>
      </c>
      <c r="H580" s="8" t="s">
        <v>63</v>
      </c>
      <c r="I580" s="8">
        <f t="shared" ref="I580:J580" si="581">len(B580)</f>
        <v>15</v>
      </c>
      <c r="J580" s="8">
        <f t="shared" si="581"/>
        <v>31</v>
      </c>
      <c r="K580" s="8" t="s">
        <v>3451</v>
      </c>
    </row>
    <row r="581">
      <c r="A581" s="7" t="b">
        <v>1</v>
      </c>
      <c r="B581" s="8" t="s">
        <v>3452</v>
      </c>
      <c r="C581" s="7" t="s">
        <v>3453</v>
      </c>
      <c r="D581" s="8" t="str">
        <f>Q&amp;$K581&amp;Q&amp;":{"&amp;Q&amp;$B$2&amp;Q&amp;":"&amp;Q&amp;$B581&amp;Q&amp;","&amp;Q&amp;$C$2&amp;Q&amp;":"&amp;Q&amp;$C581&amp;Q&amp;","&amp;Q&amp;"sets"&amp;Q&amp;":"&amp;Q&amp;substitute(SUBSTITUTE($H581,"[",""),"]","")&amp;Q&amp;"},"</f>
        <v>"vfci":{"label":"Feathers","extra":"Feathers protect a bird’s skin, keep them warm, and help them fly.","sets":"Junior 9+ (1st) &amp; (2nd)"},</v>
      </c>
      <c r="E581" s="9" t="str">
        <f t="shared" si="2"/>
        <v>data:image/svg+xml,%3csvg xmlns='http://www.w3.org/2000/svg' viewBox='0 0 24 216'%3e%3ctext fill='%23fff' style='font: 900 16px sans-serif' text-anchor='end' transform='matrix(0 -1 1 0 18 5)'%3eFeathers%3c/text%3e%3c/svg%3e</v>
      </c>
      <c r="F581" s="14" t="str">
        <f t="shared" si="3"/>
        <v>https://svgtext.heliohost.us/cgi-bin/gen.perl?text=Feathers</v>
      </c>
      <c r="G581" s="11" t="str">
        <f t="shared" si="4"/>
        <v>data:image/svg+xml,%3csvg xmlns='http://www.w3.org/2000/svg' viewBox='0 0 24 216'%3e%3ctext fill='%23fff' style='font: 900 16px sans-serif' text-anchor='end' transform='matrix(0 -1 1 0 18 5)'%3eFeathers%3c/text%3e%3c/svg%3e</v>
      </c>
      <c r="H581" s="8" t="s">
        <v>42</v>
      </c>
      <c r="I581" s="8">
        <f t="shared" ref="I581:J581" si="582">len(B581)</f>
        <v>8</v>
      </c>
      <c r="J581" s="8">
        <f t="shared" si="582"/>
        <v>66</v>
      </c>
      <c r="K581" s="8" t="s">
        <v>3454</v>
      </c>
    </row>
    <row r="582">
      <c r="A582" s="7" t="b">
        <v>0</v>
      </c>
      <c r="B582" s="8" t="s">
        <v>3452</v>
      </c>
      <c r="C582" s="8" t="s">
        <v>3455</v>
      </c>
      <c r="D582" s="8" t="str">
        <f>Q&amp;$K582&amp;Q&amp;":{"&amp;Q&amp;$B$2&amp;Q&amp;":"&amp;Q&amp;$B582&amp;Q&amp;","&amp;Q&amp;$C$2&amp;Q&amp;":"&amp;Q&amp;$C582&amp;Q&amp;","&amp;Q&amp;"sets"&amp;Q&amp;":"&amp;Q&amp;substitute(SUBSTITUTE($H582,"[",""),"]","")&amp;Q&amp;"},"</f>
        <v>"yfiu":{"label":"Feathers","extra":"Which weighs more, a pound of feathers or a pound of rocks?","sets":"Expansion Set 2, Party Set"},</v>
      </c>
      <c r="E582" s="9" t="str">
        <f t="shared" si="2"/>
        <v>data:image/svg+xml,%3csvg xmlns='http://www.w3.org/2000/svg' viewBox='0 0 24 216'%3e%3ctext fill='%23fff' style='font: 900 16px sans-serif' text-anchor='end' transform='matrix(0 -1 1 0 18 5)'%3eFeathers%3c/text%3e%3c/svg%3e</v>
      </c>
      <c r="F582" s="14" t="str">
        <f t="shared" si="3"/>
        <v>https://svgtext.heliohost.us/cgi-bin/gen.perl?text=Feathers</v>
      </c>
      <c r="G582" s="11" t="str">
        <f t="shared" si="4"/>
        <v>data:image/svg+xml,%3csvg xmlns='http://www.w3.org/2000/svg' viewBox='0 0 24 216'%3e%3ctext fill='%23fff' style='font: 900 16px sans-serif' text-anchor='end' transform='matrix(0 -1 1 0 18 5)'%3eFeathers%3c/text%3e%3c/svg%3e</v>
      </c>
      <c r="H582" s="8" t="s">
        <v>17</v>
      </c>
      <c r="I582" s="8">
        <f t="shared" ref="I582:J582" si="583">len(B582)</f>
        <v>8</v>
      </c>
      <c r="J582" s="8">
        <f t="shared" si="583"/>
        <v>59</v>
      </c>
      <c r="K582" s="8" t="s">
        <v>3456</v>
      </c>
    </row>
    <row r="583">
      <c r="A583" s="7" t="b">
        <v>0</v>
      </c>
      <c r="B583" s="8" t="s">
        <v>3457</v>
      </c>
      <c r="C583" s="7" t="s">
        <v>3458</v>
      </c>
      <c r="D583" s="8" t="str">
        <f>Q&amp;$K583&amp;Q&amp;":{"&amp;Q&amp;$B$2&amp;Q&amp;":"&amp;Q&amp;$B583&amp;Q&amp;","&amp;Q&amp;$C$2&amp;Q&amp;":"&amp;Q&amp;$C583&amp;Q&amp;","&amp;Q&amp;"sets"&amp;Q&amp;":"&amp;Q&amp;substitute(SUBSTITUTE($H583,"[",""),"]","")&amp;Q&amp;"},"</f>
        <v>"pjgw":{"label":"Feminists","extra":"Political and social activists who support selected women’s causes.","sets":"Expansion Set 2, Party Set"},</v>
      </c>
      <c r="E583" s="9" t="str">
        <f t="shared" si="2"/>
        <v>data:image/svg+xml,%3csvg xmlns='http://www.w3.org/2000/svg' viewBox='0 0 24 216'%3e%3ctext fill='%23fff' style='font: 900 16px sans-serif' text-anchor='end' transform='matrix(0 -1 1 0 18 5)'%3eFeminists%3c/text%3e%3c/svg%3e</v>
      </c>
      <c r="F583" s="14" t="str">
        <f t="shared" si="3"/>
        <v>https://svgtext.heliohost.us/cgi-bin/gen.perl?text=Feminists</v>
      </c>
      <c r="G583" s="11" t="str">
        <f t="shared" si="4"/>
        <v>data:image/svg+xml,%3csvg xmlns='http://www.w3.org/2000/svg' viewBox='0 0 24 216'%3e%3ctext fill='%23fff' style='font: 900 16px sans-serif' text-anchor='end' transform='matrix(0 -1 1 0 18 5)'%3eFeminists%3c/text%3e%3c/svg%3e</v>
      </c>
      <c r="H583" s="8" t="s">
        <v>17</v>
      </c>
      <c r="I583" s="8">
        <f t="shared" ref="I583:J583" si="584">len(B583)</f>
        <v>9</v>
      </c>
      <c r="J583" s="8">
        <f t="shared" si="584"/>
        <v>67</v>
      </c>
      <c r="K583" s="8" t="s">
        <v>3459</v>
      </c>
    </row>
    <row r="584">
      <c r="A584" s="7" t="b">
        <v>1</v>
      </c>
      <c r="B584" s="8" t="s">
        <v>3460</v>
      </c>
      <c r="C584" s="7" t="s">
        <v>3461</v>
      </c>
      <c r="D584" s="8" t="str">
        <f>Q&amp;$K584&amp;Q&amp;":{"&amp;Q&amp;$B$2&amp;Q&amp;":"&amp;Q&amp;$B584&amp;Q&amp;","&amp;Q&amp;$C$2&amp;Q&amp;":"&amp;Q&amp;$C584&amp;Q&amp;","&amp;Q&amp;"sets"&amp;Q&amp;":"&amp;Q&amp;substitute(SUBSTITUTE($H584,"[",""),"]","")&amp;Q&amp;"},"</f>
        <v>"grnv":{"label":"Ferdinand &amp; Isabella","extra":"Late 15th century king and queen of Spain. They backed Christopher Columbus and benefitted royally.","sets":"Expansion Set 4, Party Expansion 1"},</v>
      </c>
      <c r="E584" s="9" t="str">
        <f t="shared" si="2"/>
        <v>data:image/svg+xml,%3csvg xmlns='http://www.w3.org/2000/svg' viewBox='0 0 24 216'%3e%3ctext fill='%23fff' style='font: 900 16px sans-serif' text-anchor='end' transform='matrix(0 -1 1 0 18 5)'%3eFerdinand %26amp%3B Isabella%3c/text%3e%3c/svg%3e</v>
      </c>
      <c r="F584" s="14" t="str">
        <f t="shared" si="3"/>
        <v>https://svgtext.heliohost.us/cgi-bin/gen.perl?text=Ferdinand%20%26%20Isabella</v>
      </c>
      <c r="G584" s="11" t="str">
        <f t="shared" si="4"/>
        <v>data:image/svg+xml,%3csvg xmlns='http://www.w3.org/2000/svg' viewBox='0 0 24 216'%3e%3ctext fill='%23fff' style='font: 900 16px sans-serif' text-anchor='end' transform='matrix(0 -1 1 0 18 5)'%3eFerdinand %26amp%3B Isabella%3c/text%3e%3c/svg%3e</v>
      </c>
      <c r="H584" s="8" t="s">
        <v>63</v>
      </c>
      <c r="I584" s="8">
        <f t="shared" ref="I584:J584" si="585">len(B584)</f>
        <v>20</v>
      </c>
      <c r="J584" s="8">
        <f t="shared" si="585"/>
        <v>99</v>
      </c>
      <c r="K584" s="8" t="s">
        <v>3462</v>
      </c>
    </row>
    <row r="585">
      <c r="A585" s="7" t="b">
        <v>0</v>
      </c>
      <c r="B585" s="8" t="s">
        <v>3463</v>
      </c>
      <c r="C585" s="7" t="s">
        <v>3464</v>
      </c>
      <c r="D585" s="8" t="str">
        <f>Q&amp;$K585&amp;Q&amp;":{"&amp;Q&amp;$B$2&amp;Q&amp;":"&amp;Q&amp;$B585&amp;Q&amp;","&amp;Q&amp;$C$2&amp;Q&amp;":"&amp;Q&amp;$C585&amp;Q&amp;","&amp;Q&amp;"sets"&amp;Q&amp;":"&amp;Q&amp;substitute(SUBSTITUTE($H585,"[",""),"]","")&amp;Q&amp;"},"</f>
        <v>"crzn":{"label":"Fertilizer","extra":"Viagra for the garden.","sets":"Expansion Set 3, Party Expansion 1"},</v>
      </c>
      <c r="E585" s="9" t="str">
        <f t="shared" si="2"/>
        <v>data:image/svg+xml,%3csvg xmlns='http://www.w3.org/2000/svg' viewBox='0 0 24 216'%3e%3ctext fill='%23fff' style='font: 900 16px sans-serif' text-anchor='end' transform='matrix(0 -1 1 0 18 5)'%3eFertilizer%3c/text%3e%3c/svg%3e</v>
      </c>
      <c r="F585" s="14" t="str">
        <f t="shared" si="3"/>
        <v>https://svgtext.heliohost.us/cgi-bin/gen.perl?text=Fertilizer</v>
      </c>
      <c r="G585" s="11" t="str">
        <f t="shared" si="4"/>
        <v>data:image/svg+xml,%3csvg xmlns='http://www.w3.org/2000/svg' viewBox='0 0 24 216'%3e%3ctext fill='%23fff' style='font: 900 16px sans-serif' text-anchor='end' transform='matrix(0 -1 1 0 18 5)'%3eFertilizer%3c/text%3e%3c/svg%3e</v>
      </c>
      <c r="H585" s="8" t="s">
        <v>39</v>
      </c>
      <c r="I585" s="8">
        <f t="shared" ref="I585:J585" si="586">len(B585)</f>
        <v>10</v>
      </c>
      <c r="J585" s="8">
        <f t="shared" si="586"/>
        <v>22</v>
      </c>
      <c r="K585" s="8" t="s">
        <v>3465</v>
      </c>
    </row>
    <row r="586">
      <c r="A586" s="7" t="b">
        <v>0</v>
      </c>
      <c r="B586" s="8" t="s">
        <v>3466</v>
      </c>
      <c r="C586" s="8" t="s">
        <v>3467</v>
      </c>
      <c r="D586" s="8" t="str">
        <f>Q&amp;$K586&amp;Q&amp;":{"&amp;Q&amp;$B$2&amp;Q&amp;":"&amp;Q&amp;$B586&amp;Q&amp;","&amp;Q&amp;$C$2&amp;Q&amp;":"&amp;Q&amp;$C586&amp;Q&amp;","&amp;Q&amp;"sets"&amp;Q&amp;":"&amp;Q&amp;substitute(SUBSTITUTE($H586,"[",""),"]","")&amp;Q&amp;"},"</f>
        <v>"ghla":{"label":"Festering Wounds","extra":"Quit picking at that!","sets":"Expansion Set 1, Party Set"},</v>
      </c>
      <c r="E586" s="9" t="str">
        <f t="shared" si="2"/>
        <v>data:image/svg+xml,%3csvg xmlns='http://www.w3.org/2000/svg' viewBox='0 0 24 216'%3e%3ctext fill='%23fff' style='font: 900 16px sans-serif' text-anchor='end' transform='matrix(0 -1 1 0 18 5)'%3eFestering Wounds%3c/text%3e%3c/svg%3e</v>
      </c>
      <c r="F586" s="14" t="str">
        <f t="shared" si="3"/>
        <v>https://svgtext.heliohost.us/cgi-bin/gen.perl?text=Festering%20Wounds</v>
      </c>
      <c r="G586" s="11" t="str">
        <f t="shared" si="4"/>
        <v>data:image/svg+xml,%3csvg xmlns='http://www.w3.org/2000/svg' viewBox='0 0 24 216'%3e%3ctext fill='%23fff' style='font: 900 16px sans-serif' text-anchor='end' transform='matrix(0 -1 1 0 18 5)'%3eFestering Wounds%3c/text%3e%3c/svg%3e</v>
      </c>
      <c r="H586" s="8" t="s">
        <v>25</v>
      </c>
      <c r="I586" s="8">
        <f t="shared" ref="I586:J586" si="587">len(B586)</f>
        <v>16</v>
      </c>
      <c r="J586" s="8">
        <f t="shared" si="587"/>
        <v>21</v>
      </c>
      <c r="K586" s="8" t="s">
        <v>3468</v>
      </c>
    </row>
    <row r="587">
      <c r="A587" s="7" t="b">
        <v>0</v>
      </c>
      <c r="B587" s="8" t="s">
        <v>3469</v>
      </c>
      <c r="C587" s="8" t="s">
        <v>3470</v>
      </c>
      <c r="D587" s="8" t="str">
        <f>Q&amp;$K587&amp;Q&amp;":{"&amp;Q&amp;$B$2&amp;Q&amp;":"&amp;Q&amp;$B587&amp;Q&amp;","&amp;Q&amp;$C$2&amp;Q&amp;":"&amp;Q&amp;$C587&amp;Q&amp;","&amp;Q&amp;"sets"&amp;Q&amp;":"&amp;Q&amp;substitute(SUBSTITUTE($H587,"[",""),"]","")&amp;Q&amp;"},"</f>
        <v>"jkua":{"label":"Fidel Castro","extra":"1927-, Cuban revolutionary and Communist dictator since 1976. He earned a PhD in law in 1950.","sets":"Basic Set, Party Set"},</v>
      </c>
      <c r="E587" s="9" t="str">
        <f t="shared" si="2"/>
        <v>data:image/svg+xml,%3csvg xmlns='http://www.w3.org/2000/svg' viewBox='0 0 24 216'%3e%3ctext fill='%23fff' style='font: 900 16px sans-serif' text-anchor='end' transform='matrix(0 -1 1 0 18 5)'%3eFidel Castro%3c/text%3e%3c/svg%3e</v>
      </c>
      <c r="F587" s="14" t="str">
        <f t="shared" si="3"/>
        <v>https://svgtext.heliohost.us/cgi-bin/gen.perl?text=Fidel%20Castro</v>
      </c>
      <c r="G587" s="11" t="str">
        <f t="shared" si="4"/>
        <v>data:image/svg+xml,%3csvg xmlns='http://www.w3.org/2000/svg' viewBox='0 0 24 216'%3e%3ctext fill='%23fff' style='font: 900 16px sans-serif' text-anchor='end' transform='matrix(0 -1 1 0 18 5)'%3eFidel Castro%3c/text%3e%3c/svg%3e</v>
      </c>
      <c r="H587" s="8" t="s">
        <v>29</v>
      </c>
      <c r="I587" s="8">
        <f t="shared" ref="I587:J587" si="588">len(B587)</f>
        <v>12</v>
      </c>
      <c r="J587" s="8">
        <f t="shared" si="588"/>
        <v>93</v>
      </c>
      <c r="K587" s="8" t="s">
        <v>3471</v>
      </c>
    </row>
    <row r="588">
      <c r="A588" s="7" t="b">
        <v>0</v>
      </c>
      <c r="B588" s="8" t="s">
        <v>3472</v>
      </c>
      <c r="C588" s="7" t="s">
        <v>3473</v>
      </c>
      <c r="D588" s="8" t="str">
        <f>Q&amp;$K588&amp;Q&amp;":{"&amp;Q&amp;$B$2&amp;Q&amp;":"&amp;Q&amp;$B588&amp;Q&amp;","&amp;Q&amp;$C$2&amp;Q&amp;":"&amp;Q&amp;$C588&amp;Q&amp;","&amp;Q&amp;"sets"&amp;Q&amp;":"&amp;Q&amp;substitute(SUBSTITUTE($H588,"[",""),"]","")&amp;Q&amp;"},"</f>
        <v>"omtj":{"label":"Field &amp; Stream","extra":"The hunter’s best friend.","sets":"Expansion Set 4, Party Expansion 1"},</v>
      </c>
      <c r="E588" s="9" t="str">
        <f t="shared" si="2"/>
        <v>data:image/svg+xml,%3csvg xmlns='http://www.w3.org/2000/svg' viewBox='0 0 24 216'%3e%3ctext fill='%23fff' style='font: 900 16px sans-serif' text-anchor='end' transform='matrix(0 -1 1 0 18 5)'%3eField %26amp%3B Stream%3c/text%3e%3c/svg%3e</v>
      </c>
      <c r="F588" s="14" t="str">
        <f t="shared" si="3"/>
        <v>https://svgtext.heliohost.us/cgi-bin/gen.perl?text=Field%20%26%20Stream</v>
      </c>
      <c r="G588" s="11" t="str">
        <f t="shared" si="4"/>
        <v>data:image/svg+xml,%3csvg xmlns='http://www.w3.org/2000/svg' viewBox='0 0 24 216'%3e%3ctext fill='%23fff' style='font: 900 16px sans-serif' text-anchor='end' transform='matrix(0 -1 1 0 18 5)'%3eField %26amp%3B Stream%3c/text%3e%3c/svg%3e</v>
      </c>
      <c r="H588" s="8" t="s">
        <v>63</v>
      </c>
      <c r="I588" s="8">
        <f t="shared" ref="I588:J588" si="589">len(B588)</f>
        <v>14</v>
      </c>
      <c r="J588" s="8">
        <f t="shared" si="589"/>
        <v>25</v>
      </c>
      <c r="K588" s="8" t="s">
        <v>3474</v>
      </c>
    </row>
    <row r="589">
      <c r="A589" s="7" t="b">
        <v>1</v>
      </c>
      <c r="B589" s="8" t="s">
        <v>3475</v>
      </c>
      <c r="C589" s="8" t="s">
        <v>3476</v>
      </c>
      <c r="D589" s="8" t="str">
        <f>Q&amp;$K589&amp;Q&amp;":{"&amp;Q&amp;$B$2&amp;Q&amp;":"&amp;Q&amp;$B589&amp;Q&amp;","&amp;Q&amp;$C$2&amp;Q&amp;":"&amp;Q&amp;$C589&amp;Q&amp;","&amp;Q&amp;"sets"&amp;Q&amp;":"&amp;Q&amp;substitute(SUBSTITUTE($H589,"[",""),"]","")&amp;Q&amp;"},"</f>
        <v>"lbxq":{"label":"Finger Painting","extra":"Just paint with your fingers. No brush needed!","sets":"Junior"},</v>
      </c>
      <c r="E589" s="9" t="str">
        <f t="shared" si="2"/>
        <v>data:image/svg+xml,%3csvg xmlns='http://www.w3.org/2000/svg' viewBox='0 0 24 216'%3e%3ctext fill='%23fff' style='font: 900 16px sans-serif' text-anchor='end' transform='matrix(0 -1 1 0 18 5)'%3eFinger Painting%3c/text%3e%3c/svg%3e</v>
      </c>
      <c r="F589" s="14" t="str">
        <f t="shared" si="3"/>
        <v>https://svgtext.heliohost.us/cgi-bin/gen.perl?text=Finger%20Painting</v>
      </c>
      <c r="G589" s="11" t="str">
        <f t="shared" si="4"/>
        <v>data:image/svg+xml,%3csvg xmlns='http://www.w3.org/2000/svg' viewBox='0 0 24 216'%3e%3ctext fill='%23fff' style='font: 900 16px sans-serif' text-anchor='end' transform='matrix(0 -1 1 0 18 5)'%3eFinger Painting%3c/text%3e%3c/svg%3e</v>
      </c>
      <c r="H589" s="8" t="s">
        <v>84</v>
      </c>
      <c r="I589" s="8">
        <f t="shared" ref="I589:J589" si="590">len(B589)</f>
        <v>15</v>
      </c>
      <c r="J589" s="8">
        <f t="shared" si="590"/>
        <v>46</v>
      </c>
      <c r="K589" s="8" t="s">
        <v>3477</v>
      </c>
    </row>
    <row r="590">
      <c r="A590" s="7" t="b">
        <v>1</v>
      </c>
      <c r="B590" s="8" t="s">
        <v>3478</v>
      </c>
      <c r="C590" s="7" t="s">
        <v>3479</v>
      </c>
      <c r="D590" s="8" t="str">
        <f>Q&amp;$K590&amp;Q&amp;":{"&amp;Q&amp;$B$2&amp;Q&amp;":"&amp;Q&amp;$B590&amp;Q&amp;","&amp;Q&amp;$C$2&amp;Q&amp;":"&amp;Q&amp;$C590&amp;Q&amp;","&amp;Q&amp;"sets"&amp;Q&amp;":"&amp;Q&amp;substitute(SUBSTITUTE($H590,"[",""),"]","")&amp;Q&amp;"},"</f>
        <v>"uhej":{"label":"Fire","extra":"Don’t get burned!","sets":"Junior"},</v>
      </c>
      <c r="E590" s="9" t="str">
        <f t="shared" si="2"/>
        <v>data:image/svg+xml,%3csvg xmlns='http://www.w3.org/2000/svg' viewBox='0 0 24 216'%3e%3ctext fill='%23fff' style='font: 900 16px sans-serif' text-anchor='end' transform='matrix(0 -1 1 0 18 5)'%3eFire%3c/text%3e%3c/svg%3e</v>
      </c>
      <c r="F590" s="14" t="str">
        <f t="shared" si="3"/>
        <v>https://svgtext.heliohost.us/cgi-bin/gen.perl?text=Fire</v>
      </c>
      <c r="G590" s="11" t="str">
        <f t="shared" si="4"/>
        <v>data:image/svg+xml,%3csvg xmlns='http://www.w3.org/2000/svg' viewBox='0 0 24 216'%3e%3ctext fill='%23fff' style='font: 900 16px sans-serif' text-anchor='end' transform='matrix(0 -1 1 0 18 5)'%3eFire%3c/text%3e%3c/svg%3e</v>
      </c>
      <c r="H590" s="8" t="s">
        <v>84</v>
      </c>
      <c r="I590" s="8">
        <f t="shared" ref="I590:J590" si="591">len(B590)</f>
        <v>4</v>
      </c>
      <c r="J590" s="8">
        <f t="shared" si="591"/>
        <v>17</v>
      </c>
      <c r="K590" s="8" t="s">
        <v>3480</v>
      </c>
    </row>
    <row r="591">
      <c r="A591" s="7" t="b">
        <v>0</v>
      </c>
      <c r="B591" s="8" t="s">
        <v>3481</v>
      </c>
      <c r="C591" s="7" t="s">
        <v>3482</v>
      </c>
      <c r="D591" s="8" t="str">
        <f>Q&amp;$K591&amp;Q&amp;":{"&amp;Q&amp;$B$2&amp;Q&amp;":"&amp;Q&amp;$B591&amp;Q&amp;","&amp;Q&amp;$C$2&amp;Q&amp;":"&amp;Q&amp;$C591&amp;Q&amp;","&amp;Q&amp;"sets"&amp;Q&amp;":"&amp;Q&amp;substitute(SUBSTITUTE($H591,"[",""),"]","")&amp;Q&amp;"},"</f>
        <v>"lnnx":{"label":"Firefighters","extra":"Emperor Augustus instituted a corps of fire-fighting “watchmen” in 24 B.C. Nero, on the other hand, fiddled while Rome burned.","sets":"Basic Set, Party Set"},</v>
      </c>
      <c r="E591" s="9" t="str">
        <f t="shared" si="2"/>
        <v>data:image/svg+xml,%3csvg xmlns='http://www.w3.org/2000/svg' viewBox='0 0 24 216'%3e%3ctext fill='%23fff' style='font: 900 16px sans-serif' text-anchor='end' transform='matrix(0 -1 1 0 18 5)'%3eFirefighters%3c/text%3e%3c/svg%3e</v>
      </c>
      <c r="F591" s="14" t="str">
        <f t="shared" si="3"/>
        <v>https://svgtext.heliohost.us/cgi-bin/gen.perl?text=Firefighters</v>
      </c>
      <c r="G591" s="11" t="str">
        <f t="shared" si="4"/>
        <v>data:image/svg+xml,%3csvg xmlns='http://www.w3.org/2000/svg' viewBox='0 0 24 216'%3e%3ctext fill='%23fff' style='font: 900 16px sans-serif' text-anchor='end' transform='matrix(0 -1 1 0 18 5)'%3eFirefighters%3c/text%3e%3c/svg%3e</v>
      </c>
      <c r="H591" s="8" t="s">
        <v>29</v>
      </c>
      <c r="I591" s="8">
        <f t="shared" ref="I591:J591" si="592">len(B591)</f>
        <v>12</v>
      </c>
      <c r="J591" s="8">
        <f t="shared" si="592"/>
        <v>126</v>
      </c>
      <c r="K591" s="8" t="s">
        <v>3483</v>
      </c>
    </row>
    <row r="592">
      <c r="A592" s="7" t="b">
        <v>1</v>
      </c>
      <c r="B592" s="8" t="s">
        <v>3481</v>
      </c>
      <c r="C592" s="8" t="s">
        <v>3484</v>
      </c>
      <c r="D592" s="8" t="str">
        <f>Q&amp;$K592&amp;Q&amp;":{"&amp;Q&amp;$B$2&amp;Q&amp;":"&amp;Q&amp;$B592&amp;Q&amp;","&amp;Q&amp;$C$2&amp;Q&amp;":"&amp;Q&amp;$C592&amp;Q&amp;","&amp;Q&amp;"sets"&amp;Q&amp;":"&amp;Q&amp;substitute(SUBSTITUTE($H592,"[",""),"]","")&amp;Q&amp;"},"</f>
        <v>"eipe":{"label":"Firefighters","extra":"Their job is to put out fires. They also get to drive fire engines.","sets":"Junior"},</v>
      </c>
      <c r="E592" s="9" t="str">
        <f t="shared" si="2"/>
        <v>data:image/svg+xml,%3csvg xmlns='http://www.w3.org/2000/svg' viewBox='0 0 24 216'%3e%3ctext fill='%23fff' style='font: 900 16px sans-serif' text-anchor='end' transform='matrix(0 -1 1 0 18 5)'%3eFirefighters%3c/text%3e%3c/svg%3e</v>
      </c>
      <c r="F592" s="14" t="str">
        <f t="shared" si="3"/>
        <v>https://svgtext.heliohost.us/cgi-bin/gen.perl?text=Firefighters</v>
      </c>
      <c r="G592" s="11" t="str">
        <f t="shared" si="4"/>
        <v>data:image/svg+xml,%3csvg xmlns='http://www.w3.org/2000/svg' viewBox='0 0 24 216'%3e%3ctext fill='%23fff' style='font: 900 16px sans-serif' text-anchor='end' transform='matrix(0 -1 1 0 18 5)'%3eFirefighters%3c/text%3e%3c/svg%3e</v>
      </c>
      <c r="H592" s="8" t="s">
        <v>84</v>
      </c>
      <c r="I592" s="8">
        <f t="shared" ref="I592:J592" si="593">len(B592)</f>
        <v>12</v>
      </c>
      <c r="J592" s="8">
        <f t="shared" si="593"/>
        <v>67</v>
      </c>
      <c r="K592" s="8" t="s">
        <v>3485</v>
      </c>
    </row>
    <row r="593">
      <c r="A593" s="7" t="b">
        <v>0</v>
      </c>
      <c r="B593" s="8" t="s">
        <v>3486</v>
      </c>
      <c r="C593" s="7" t="s">
        <v>3487</v>
      </c>
      <c r="D593" s="8" t="str">
        <f>Q&amp;$K593&amp;Q&amp;":{"&amp;Q&amp;$B$2&amp;Q&amp;":"&amp;Q&amp;$B593&amp;Q&amp;","&amp;Q&amp;$C$2&amp;Q&amp;":"&amp;Q&amp;$C593&amp;Q&amp;","&amp;Q&amp;"sets"&amp;Q&amp;":"&amp;Q&amp;substitute(SUBSTITUTE($H593,"[",""),"]","")&amp;Q&amp;"},"</f>
        <v>"ppzu":{"label":"Firestorms","extra":"Some severe wildfires require more than 10,000 firefighters. And, wouldn’t ya know it, some idiot parked in front of the hydrant!","sets":"Basic Set, Party Set"},</v>
      </c>
      <c r="E593" s="9" t="str">
        <f t="shared" si="2"/>
        <v>data:image/svg+xml,%3csvg xmlns='http://www.w3.org/2000/svg' viewBox='0 0 24 216'%3e%3ctext fill='%23fff' style='font: 900 16px sans-serif' text-anchor='end' transform='matrix(0 -1 1 0 18 5)'%3eFirestorms%3c/text%3e%3c/svg%3e</v>
      </c>
      <c r="F593" s="14" t="str">
        <f t="shared" si="3"/>
        <v>https://svgtext.heliohost.us/cgi-bin/gen.perl?text=Firestorms</v>
      </c>
      <c r="G593" s="11" t="str">
        <f t="shared" si="4"/>
        <v>data:image/svg+xml,%3csvg xmlns='http://www.w3.org/2000/svg' viewBox='0 0 24 216'%3e%3ctext fill='%23fff' style='font: 900 16px sans-serif' text-anchor='end' transform='matrix(0 -1 1 0 18 5)'%3eFirestorms%3c/text%3e%3c/svg%3e</v>
      </c>
      <c r="H593" s="8" t="s">
        <v>29</v>
      </c>
      <c r="I593" s="8">
        <f t="shared" ref="I593:J593" si="594">len(B593)</f>
        <v>10</v>
      </c>
      <c r="J593" s="8">
        <f t="shared" si="594"/>
        <v>129</v>
      </c>
      <c r="K593" s="8" t="s">
        <v>3488</v>
      </c>
    </row>
    <row r="594">
      <c r="A594" s="7" t="b">
        <v>0</v>
      </c>
      <c r="B594" s="8" t="s">
        <v>3489</v>
      </c>
      <c r="C594" s="7" t="s">
        <v>3490</v>
      </c>
      <c r="D594" s="8" t="str">
        <f>Q&amp;$K594&amp;Q&amp;":{"&amp;Q&amp;$B$2&amp;Q&amp;":"&amp;Q&amp;$B594&amp;Q&amp;","&amp;Q&amp;$C$2&amp;Q&amp;":"&amp;Q&amp;$C594&amp;Q&amp;","&amp;Q&amp;"sets"&amp;Q&amp;":"&amp;Q&amp;substitute(SUBSTITUTE($H594,"[",""),"]","")&amp;Q&amp;"},"</f>
        <v>"{rsu":{"label":"Fireworks","extra":"Includes firecrackers, Roman candles, and bottle rockets. It’s all fun until someone loses an eye… and a nose… and an arm…","sets":"Expansion Set 1, Party Set"},</v>
      </c>
      <c r="E594" s="9" t="str">
        <f t="shared" si="2"/>
        <v>data:image/svg+xml,%3csvg xmlns='http://www.w3.org/2000/svg' viewBox='0 0 24 216'%3e%3ctext fill='%23fff' style='font: 900 16px sans-serif' text-anchor='end' transform='matrix(0 -1 1 0 18 5)'%3eFireworks%3c/text%3e%3c/svg%3e</v>
      </c>
      <c r="F594" s="14" t="str">
        <f t="shared" si="3"/>
        <v>https://svgtext.heliohost.us/cgi-bin/gen.perl?text=Fireworks</v>
      </c>
      <c r="G594" s="11" t="str">
        <f t="shared" si="4"/>
        <v>data:image/svg+xml,%3csvg xmlns='http://www.w3.org/2000/svg' viewBox='0 0 24 216'%3e%3ctext fill='%23fff' style='font: 900 16px sans-serif' text-anchor='end' transform='matrix(0 -1 1 0 18 5)'%3eFireworks%3c/text%3e%3c/svg%3e</v>
      </c>
      <c r="H594" s="8" t="s">
        <v>25</v>
      </c>
      <c r="I594" s="8">
        <f t="shared" ref="I594:J594" si="595">len(B594)</f>
        <v>9</v>
      </c>
      <c r="J594" s="8">
        <f t="shared" si="595"/>
        <v>122</v>
      </c>
      <c r="K594" s="8" t="s">
        <v>3491</v>
      </c>
    </row>
    <row r="595">
      <c r="A595" s="7" t="b">
        <v>1</v>
      </c>
      <c r="B595" s="8" t="s">
        <v>3489</v>
      </c>
      <c r="C595" s="8" t="s">
        <v>3492</v>
      </c>
      <c r="D595" s="8" t="str">
        <f>Q&amp;$K595&amp;Q&amp;":{"&amp;Q&amp;$B$2&amp;Q&amp;":"&amp;Q&amp;$B595&amp;Q&amp;","&amp;Q&amp;$C$2&amp;Q&amp;":"&amp;Q&amp;$C595&amp;Q&amp;","&amp;Q&amp;"sets"&amp;Q&amp;":"&amp;Q&amp;substitute(SUBSTITUTE($H595,"[",""),"]","")&amp;Q&amp;"},"</f>
        <v>"{who":{"label":"Fireworks","extra":"Bright, explosive displays often used for the 4th of July. Bang-Boom-Pop-Pop! Ohhh-Ahhh!","sets":"Junior"},</v>
      </c>
      <c r="E595" s="9" t="str">
        <f t="shared" si="2"/>
        <v>data:image/svg+xml,%3csvg xmlns='http://www.w3.org/2000/svg' viewBox='0 0 24 216'%3e%3ctext fill='%23fff' style='font: 900 16px sans-serif' text-anchor='end' transform='matrix(0 -1 1 0 18 5)'%3eFireworks%3c/text%3e%3c/svg%3e</v>
      </c>
      <c r="F595" s="14" t="str">
        <f t="shared" si="3"/>
        <v>https://svgtext.heliohost.us/cgi-bin/gen.perl?text=Fireworks</v>
      </c>
      <c r="G595" s="11" t="str">
        <f t="shared" si="4"/>
        <v>data:image/svg+xml,%3csvg xmlns='http://www.w3.org/2000/svg' viewBox='0 0 24 216'%3e%3ctext fill='%23fff' style='font: 900 16px sans-serif' text-anchor='end' transform='matrix(0 -1 1 0 18 5)'%3eFireworks%3c/text%3e%3c/svg%3e</v>
      </c>
      <c r="H595" s="8" t="s">
        <v>84</v>
      </c>
      <c r="I595" s="8">
        <f t="shared" ref="I595:J595" si="596">len(B595)</f>
        <v>9</v>
      </c>
      <c r="J595" s="8">
        <f t="shared" si="596"/>
        <v>88</v>
      </c>
      <c r="K595" s="8" t="s">
        <v>3493</v>
      </c>
    </row>
    <row r="596">
      <c r="A596" s="7" t="b">
        <v>0</v>
      </c>
      <c r="B596" s="8" t="s">
        <v>3494</v>
      </c>
      <c r="C596" s="7" t="s">
        <v>3495</v>
      </c>
      <c r="D596" s="8" t="str">
        <f>Q&amp;$K596&amp;Q&amp;":{"&amp;Q&amp;$B$2&amp;Q&amp;":"&amp;Q&amp;$B596&amp;Q&amp;","&amp;Q&amp;$C$2&amp;Q&amp;":"&amp;Q&amp;$C596&amp;Q&amp;","&amp;Q&amp;"sets"&amp;Q&amp;":"&amp;Q&amp;substitute(SUBSTITUTE($H596,"[",""),"]","")&amp;Q&amp;"},"</f>
        <v>"jipb":{"label":"First Man On The Moon","extra":"July 20, 1969. “That's one small step for a man, one giant leap for mankind.” —Neil A. Armstrong","sets":"Basic Set, Party Set"},</v>
      </c>
      <c r="E596" s="9" t="str">
        <f t="shared" si="2"/>
        <v>data:image/svg+xml,%3csvg xmlns='http://www.w3.org/2000/svg' viewBox='0 0 24 216'%3e%3ctext fill='%23fff' style='font: 900 16px sans-serif' text-anchor='end' transform='matrix(0 -1 1 0 18 5)'%3eFirst Man On The Moon%3c/text%3e%3c/svg%3e</v>
      </c>
      <c r="F596" s="14" t="str">
        <f t="shared" si="3"/>
        <v>https://svgtext.heliohost.us/cgi-bin/gen.perl?text=First%20Man%20On%20The%20Moon</v>
      </c>
      <c r="G596" s="11" t="str">
        <f t="shared" si="4"/>
        <v>data:image/svg+xml,%3csvg xmlns='http://www.w3.org/2000/svg' viewBox='0 0 24 216'%3e%3ctext fill='%23fff' style='font: 900 16px sans-serif' text-anchor='end' transform='matrix(0 -1 1 0 18 5)'%3eFirst Man On The Moon%3c/text%3e%3c/svg%3e</v>
      </c>
      <c r="H596" s="8" t="s">
        <v>29</v>
      </c>
      <c r="I596" s="8">
        <f t="shared" ref="I596:J596" si="597">len(B596)</f>
        <v>21</v>
      </c>
      <c r="J596" s="8">
        <f t="shared" si="597"/>
        <v>96</v>
      </c>
      <c r="K596" s="8" t="s">
        <v>3496</v>
      </c>
    </row>
    <row r="597">
      <c r="A597" s="7" t="b">
        <v>1</v>
      </c>
      <c r="B597" s="8" t="s">
        <v>3497</v>
      </c>
      <c r="C597" s="7" t="s">
        <v>3498</v>
      </c>
      <c r="D597" s="8" t="str">
        <f>Q&amp;$K597&amp;Q&amp;":{"&amp;Q&amp;$B$2&amp;Q&amp;":"&amp;Q&amp;$B597&amp;Q&amp;","&amp;Q&amp;$C$2&amp;Q&amp;":"&amp;Q&amp;$C597&amp;Q&amp;","&amp;Q&amp;"sets"&amp;Q&amp;":"&amp;Q&amp;substitute(SUBSTITUTE($H597,"[",""),"]","")&amp;Q&amp;"},"</f>
        <v>"zldb":{"label":"Fish &amp; Chips","extra":"Just wrap it in any old newspaper.","sets":"Expansion Set 4, Party Expansion 1"},</v>
      </c>
      <c r="E597" s="9" t="str">
        <f t="shared" si="2"/>
        <v>data:image/svg+xml,%3csvg xmlns='http://www.w3.org/2000/svg' viewBox='0 0 24 216'%3e%3ctext fill='%23fff' style='font: 900 16px sans-serif' text-anchor='end' transform='matrix(0 -1 1 0 18 5)'%3eFish %26amp%3B Chips%3c/text%3e%3c/svg%3e</v>
      </c>
      <c r="F597" s="14" t="str">
        <f t="shared" si="3"/>
        <v>https://svgtext.heliohost.us/cgi-bin/gen.perl?text=Fish%20%26%20Chips</v>
      </c>
      <c r="G597" s="11" t="str">
        <f t="shared" si="4"/>
        <v>data:image/svg+xml,%3csvg xmlns='http://www.w3.org/2000/svg' viewBox='0 0 24 216'%3e%3ctext fill='%23fff' style='font: 900 16px sans-serif' text-anchor='end' transform='matrix(0 -1 1 0 18 5)'%3eFish %26amp%3B Chips%3c/text%3e%3c/svg%3e</v>
      </c>
      <c r="H597" s="8" t="s">
        <v>63</v>
      </c>
      <c r="I597" s="8">
        <f t="shared" ref="I597:J597" si="598">len(B597)</f>
        <v>12</v>
      </c>
      <c r="J597" s="8">
        <f t="shared" si="598"/>
        <v>34</v>
      </c>
      <c r="K597" s="8" t="s">
        <v>3499</v>
      </c>
    </row>
    <row r="598">
      <c r="A598" s="7" t="b">
        <v>1</v>
      </c>
      <c r="B598" s="8" t="s">
        <v>3500</v>
      </c>
      <c r="C598" s="7" t="s">
        <v>3501</v>
      </c>
      <c r="D598" s="8" t="str">
        <f>Q&amp;$K598&amp;Q&amp;":{"&amp;Q&amp;$B$2&amp;Q&amp;":"&amp;Q&amp;$B598&amp;Q&amp;","&amp;Q&amp;$C$2&amp;Q&amp;":"&amp;Q&amp;$C598&amp;Q&amp;","&amp;Q&amp;"sets"&amp;Q&amp;":"&amp;Q&amp;substitute(SUBSTITUTE($H598,"[",""),"]","")&amp;Q&amp;"},"</f>
        <v>"odxh":{"label":"Fishing","extra":"The perfect way to spend a summer day. Maybe you’ll catch a big one!","sets":"Junior"},</v>
      </c>
      <c r="E598" s="9" t="str">
        <f t="shared" si="2"/>
        <v>data:image/svg+xml,%3csvg xmlns='http://www.w3.org/2000/svg' viewBox='0 0 24 216'%3e%3ctext fill='%23fff' style='font: 900 16px sans-serif' text-anchor='end' transform='matrix(0 -1 1 0 18 5)'%3eFishing%3c/text%3e%3c/svg%3e</v>
      </c>
      <c r="F598" s="14" t="str">
        <f t="shared" si="3"/>
        <v>https://svgtext.heliohost.us/cgi-bin/gen.perl?text=Fishing</v>
      </c>
      <c r="G598" s="11" t="str">
        <f t="shared" si="4"/>
        <v>data:image/svg+xml,%3csvg xmlns='http://www.w3.org/2000/svg' viewBox='0 0 24 216'%3e%3ctext fill='%23fff' style='font: 900 16px sans-serif' text-anchor='end' transform='matrix(0 -1 1 0 18 5)'%3eFishing%3c/text%3e%3c/svg%3e</v>
      </c>
      <c r="H598" s="8" t="s">
        <v>84</v>
      </c>
      <c r="I598" s="8">
        <f t="shared" ref="I598:J598" si="599">len(B598)</f>
        <v>7</v>
      </c>
      <c r="J598" s="8">
        <f t="shared" si="599"/>
        <v>68</v>
      </c>
      <c r="K598" s="8" t="s">
        <v>3502</v>
      </c>
    </row>
    <row r="599">
      <c r="A599" s="7" t="b">
        <v>1</v>
      </c>
      <c r="B599" s="8" t="s">
        <v>3503</v>
      </c>
      <c r="C599" s="8" t="s">
        <v>3504</v>
      </c>
      <c r="D599" s="8" t="str">
        <f>Q&amp;$K599&amp;Q&amp;":{"&amp;Q&amp;$B$2&amp;Q&amp;":"&amp;Q&amp;$B599&amp;Q&amp;","&amp;Q&amp;$C$2&amp;Q&amp;":"&amp;Q&amp;$C599&amp;Q&amp;","&amp;Q&amp;"sets"&amp;Q&amp;":"&amp;Q&amp;substitute(SUBSTITUTE($H599,"[",""),"]","")&amp;Q&amp;"},"</f>
        <v>"emsc":{"label":"Flags","extra":"There are fifty stars and thirteen stripes on the flag of the United States of America.","sets":"Junior 9+ (1st) &amp; (2nd)"},</v>
      </c>
      <c r="E599" s="9" t="str">
        <f t="shared" si="2"/>
        <v>data:image/svg+xml,%3csvg xmlns='http://www.w3.org/2000/svg' viewBox='0 0 24 216'%3e%3ctext fill='%23fff' style='font: 900 16px sans-serif' text-anchor='end' transform='matrix(0 -1 1 0 18 5)'%3eFlags%3c/text%3e%3c/svg%3e</v>
      </c>
      <c r="F599" s="14" t="str">
        <f t="shared" si="3"/>
        <v>https://svgtext.heliohost.us/cgi-bin/gen.perl?text=Flags</v>
      </c>
      <c r="G599" s="11" t="str">
        <f t="shared" si="4"/>
        <v>data:image/svg+xml,%3csvg xmlns='http://www.w3.org/2000/svg' viewBox='0 0 24 216'%3e%3ctext fill='%23fff' style='font: 900 16px sans-serif' text-anchor='end' transform='matrix(0 -1 1 0 18 5)'%3eFlags%3c/text%3e%3c/svg%3e</v>
      </c>
      <c r="H599" s="8" t="s">
        <v>42</v>
      </c>
      <c r="I599" s="8">
        <f t="shared" ref="I599:J599" si="600">len(B599)</f>
        <v>5</v>
      </c>
      <c r="J599" s="8">
        <f t="shared" si="600"/>
        <v>87</v>
      </c>
      <c r="K599" s="8" t="s">
        <v>3505</v>
      </c>
    </row>
    <row r="600">
      <c r="A600" s="7" t="b">
        <v>1</v>
      </c>
      <c r="B600" s="8" t="s">
        <v>3506</v>
      </c>
      <c r="C600" s="7" t="s">
        <v>3507</v>
      </c>
      <c r="D600" s="8" t="str">
        <f>Q&amp;$K600&amp;Q&amp;":{"&amp;Q&amp;$B$2&amp;Q&amp;":"&amp;Q&amp;$B600&amp;Q&amp;","&amp;Q&amp;$C$2&amp;Q&amp;":"&amp;Q&amp;$C600&amp;Q&amp;","&amp;Q&amp;"sets"&amp;Q&amp;":"&amp;Q&amp;substitute(SUBSTITUTE($H600,"[",""),"]","")&amp;Q&amp;"},"</f>
        <v>"fuxp":{"label":"Flannel Shirts","extra":"Pick your plaid.","sets":"Expansion Set 3, Party Expansion 1"},</v>
      </c>
      <c r="E600" s="9" t="str">
        <f t="shared" si="2"/>
        <v>data:image/svg+xml,%3csvg xmlns='http://www.w3.org/2000/svg' viewBox='0 0 24 216'%3e%3ctext fill='%23fff' style='font: 900 16px sans-serif' text-anchor='end' transform='matrix(0 -1 1 0 18 5)'%3eFlannel Shirts%3c/text%3e%3c/svg%3e</v>
      </c>
      <c r="F600" s="14" t="str">
        <f t="shared" si="3"/>
        <v>https://svgtext.heliohost.us/cgi-bin/gen.perl?text=Flannel%20Shirts</v>
      </c>
      <c r="G600" s="11" t="str">
        <f t="shared" si="4"/>
        <v>data:image/svg+xml,%3csvg xmlns='http://www.w3.org/2000/svg' viewBox='0 0 24 216'%3e%3ctext fill='%23fff' style='font: 900 16px sans-serif' text-anchor='end' transform='matrix(0 -1 1 0 18 5)'%3eFlannel Shirts%3c/text%3e%3c/svg%3e</v>
      </c>
      <c r="H600" s="8" t="s">
        <v>39</v>
      </c>
      <c r="I600" s="8">
        <f t="shared" ref="I600:J600" si="601">len(B600)</f>
        <v>14</v>
      </c>
      <c r="J600" s="8">
        <f t="shared" si="601"/>
        <v>16</v>
      </c>
      <c r="K600" s="8" t="s">
        <v>3508</v>
      </c>
    </row>
    <row r="601">
      <c r="A601" s="7" t="b">
        <v>1</v>
      </c>
      <c r="B601" s="8" t="s">
        <v>3509</v>
      </c>
      <c r="C601" s="8" t="s">
        <v>3510</v>
      </c>
      <c r="D601" s="8" t="str">
        <f>Q&amp;$K601&amp;Q&amp;":{"&amp;Q&amp;$B$2&amp;Q&amp;":"&amp;Q&amp;$B601&amp;Q&amp;","&amp;Q&amp;$C$2&amp;Q&amp;":"&amp;Q&amp;$C601&amp;Q&amp;","&amp;Q&amp;"sets"&amp;Q&amp;":"&amp;Q&amp;substitute(SUBSTITUTE($H601,"[",""),"]","")&amp;Q&amp;"},"</f>
        <v>"oser":{"label":"Flash Floods","extra":"Too late for sandbags!","sets":"Expansion Set 3, Party Expansion 1"},</v>
      </c>
      <c r="E601" s="9" t="str">
        <f t="shared" si="2"/>
        <v>data:image/svg+xml,%3csvg xmlns='http://www.w3.org/2000/svg' viewBox='0 0 24 216'%3e%3ctext fill='%23fff' style='font: 900 16px sans-serif' text-anchor='end' transform='matrix(0 -1 1 0 18 5)'%3eFlash Floods%3c/text%3e%3c/svg%3e</v>
      </c>
      <c r="F601" s="14" t="str">
        <f t="shared" si="3"/>
        <v>https://svgtext.heliohost.us/cgi-bin/gen.perl?text=Flash%20Floods</v>
      </c>
      <c r="G601" s="11" t="str">
        <f t="shared" si="4"/>
        <v>data:image/svg+xml,%3csvg xmlns='http://www.w3.org/2000/svg' viewBox='0 0 24 216'%3e%3ctext fill='%23fff' style='font: 900 16px sans-serif' text-anchor='end' transform='matrix(0 -1 1 0 18 5)'%3eFlash Floods%3c/text%3e%3c/svg%3e</v>
      </c>
      <c r="H601" s="8" t="s">
        <v>39</v>
      </c>
      <c r="I601" s="8">
        <f t="shared" ref="I601:J601" si="602">len(B601)</f>
        <v>12</v>
      </c>
      <c r="J601" s="8">
        <f t="shared" si="602"/>
        <v>22</v>
      </c>
      <c r="K601" s="8" t="s">
        <v>3511</v>
      </c>
    </row>
    <row r="602">
      <c r="A602" s="7" t="b">
        <v>1</v>
      </c>
      <c r="B602" s="8" t="s">
        <v>3512</v>
      </c>
      <c r="C602" s="8" t="s">
        <v>3513</v>
      </c>
      <c r="D602" s="8" t="str">
        <f>Q&amp;$K602&amp;Q&amp;":{"&amp;Q&amp;$B$2&amp;Q&amp;":"&amp;Q&amp;$B602&amp;Q&amp;","&amp;Q&amp;$C$2&amp;Q&amp;":"&amp;Q&amp;$C602&amp;Q&amp;","&amp;Q&amp;"sets"&amp;Q&amp;":"&amp;Q&amp;substitute(SUBSTITUTE($H602,"[",""),"]","")&amp;Q&amp;"},"</f>
        <v>"tobr":{"label":"Flashlights","extra":"Good for camping and reading under the covers.","sets":"Junior 9+ (1st) &amp; (2nd)"},</v>
      </c>
      <c r="E602" s="9" t="str">
        <f t="shared" si="2"/>
        <v>data:image/svg+xml,%3csvg xmlns='http://www.w3.org/2000/svg' viewBox='0 0 24 216'%3e%3ctext fill='%23fff' style='font: 900 16px sans-serif' text-anchor='end' transform='matrix(0 -1 1 0 18 5)'%3eFlashlights%3c/text%3e%3c/svg%3e</v>
      </c>
      <c r="F602" s="14" t="str">
        <f t="shared" si="3"/>
        <v>https://svgtext.heliohost.us/cgi-bin/gen.perl?text=Flashlights</v>
      </c>
      <c r="G602" s="11" t="str">
        <f t="shared" si="4"/>
        <v>data:image/svg+xml,%3csvg xmlns='http://www.w3.org/2000/svg' viewBox='0 0 24 216'%3e%3ctext fill='%23fff' style='font: 900 16px sans-serif' text-anchor='end' transform='matrix(0 -1 1 0 18 5)'%3eFlashlights%3c/text%3e%3c/svg%3e</v>
      </c>
      <c r="H602" s="8" t="s">
        <v>42</v>
      </c>
      <c r="I602" s="8">
        <f t="shared" ref="I602:J602" si="603">len(B602)</f>
        <v>11</v>
      </c>
      <c r="J602" s="8">
        <f t="shared" si="603"/>
        <v>46</v>
      </c>
      <c r="K602" s="8" t="s">
        <v>3514</v>
      </c>
    </row>
    <row r="603">
      <c r="A603" s="7" t="b">
        <v>1</v>
      </c>
      <c r="B603" s="8" t="s">
        <v>3515</v>
      </c>
      <c r="C603" s="8" t="s">
        <v>3516</v>
      </c>
      <c r="D603" s="8" t="str">
        <f>Q&amp;$K603&amp;Q&amp;":{"&amp;Q&amp;$B$2&amp;Q&amp;":"&amp;Q&amp;$B603&amp;Q&amp;","&amp;Q&amp;$C$2&amp;Q&amp;":"&amp;Q&amp;$C603&amp;Q&amp;","&amp;Q&amp;"sets"&amp;Q&amp;":"&amp;Q&amp;substitute(SUBSTITUTE($H603,"[",""),"]","")&amp;Q&amp;"},"</f>
        <v>"sgsp":{"label":"Flies","extra":"A group of insects with wings. They enjoy picnics.","sets":"Junior 9+ (1st) &amp; (2nd)"},</v>
      </c>
      <c r="E603" s="9" t="str">
        <f t="shared" si="2"/>
        <v>data:image/svg+xml,%3csvg xmlns='http://www.w3.org/2000/svg' viewBox='0 0 24 216'%3e%3ctext fill='%23fff' style='font: 900 16px sans-serif' text-anchor='end' transform='matrix(0 -1 1 0 18 5)'%3eFlies%3c/text%3e%3c/svg%3e</v>
      </c>
      <c r="F603" s="14" t="str">
        <f t="shared" si="3"/>
        <v>https://svgtext.heliohost.us/cgi-bin/gen.perl?text=Flies</v>
      </c>
      <c r="G603" s="11" t="str">
        <f t="shared" si="4"/>
        <v>data:image/svg+xml,%3csvg xmlns='http://www.w3.org/2000/svg' viewBox='0 0 24 216'%3e%3ctext fill='%23fff' style='font: 900 16px sans-serif' text-anchor='end' transform='matrix(0 -1 1 0 18 5)'%3eFlies%3c/text%3e%3c/svg%3e</v>
      </c>
      <c r="H603" s="8" t="s">
        <v>42</v>
      </c>
      <c r="I603" s="8">
        <f t="shared" ref="I603:J603" si="604">len(B603)</f>
        <v>5</v>
      </c>
      <c r="J603" s="8">
        <f t="shared" si="604"/>
        <v>50</v>
      </c>
      <c r="K603" s="8" t="s">
        <v>3517</v>
      </c>
    </row>
    <row r="604">
      <c r="A604" s="7" t="b">
        <v>1</v>
      </c>
      <c r="B604" s="8" t="s">
        <v>3518</v>
      </c>
      <c r="C604" s="7" t="s">
        <v>3519</v>
      </c>
      <c r="D604" s="8" t="str">
        <f>Q&amp;$K604&amp;Q&amp;":{"&amp;Q&amp;$B$2&amp;Q&amp;":"&amp;Q&amp;$B604&amp;Q&amp;","&amp;Q&amp;$C$2&amp;Q&amp;":"&amp;Q&amp;$C604&amp;Q&amp;","&amp;Q&amp;"sets"&amp;Q&amp;":"&amp;Q&amp;substitute(SUBSTITUTE($H604,"[",""),"]","")&amp;Q&amp;"},"</f>
        <v>"qqro":{"label":"Flip-Flops","extra":"It’s the sound they make when you walk.","sets":"Junior 9+ (2nd)"},</v>
      </c>
      <c r="E604" s="9" t="str">
        <f t="shared" si="2"/>
        <v>data:image/svg+xml,%3csvg xmlns='http://www.w3.org/2000/svg' viewBox='0 0 24 216'%3e%3ctext fill='%23fff' style='font: 900 16px sans-serif' text-anchor='end' transform='matrix(0 -1 1 0 18 5)'%3eFlip-Flops%3c/text%3e%3c/svg%3e</v>
      </c>
      <c r="F604" s="14" t="str">
        <f t="shared" si="3"/>
        <v>https://svgtext.heliohost.us/cgi-bin/gen.perl?text=Flip-Flops</v>
      </c>
      <c r="G604" s="11" t="str">
        <f t="shared" si="4"/>
        <v>data:image/svg+xml,%3csvg xmlns='http://www.w3.org/2000/svg' viewBox='0 0 24 216'%3e%3ctext fill='%23fff' style='font: 900 16px sans-serif' text-anchor='end' transform='matrix(0 -1 1 0 18 5)'%3eFlip-Flops%3c/text%3e%3c/svg%3e</v>
      </c>
      <c r="H604" s="8" t="s">
        <v>32</v>
      </c>
      <c r="I604" s="8">
        <f t="shared" ref="I604:J604" si="605">len(B604)</f>
        <v>10</v>
      </c>
      <c r="J604" s="8">
        <f t="shared" si="605"/>
        <v>39</v>
      </c>
      <c r="K604" s="8" t="s">
        <v>3520</v>
      </c>
    </row>
    <row r="605">
      <c r="A605" s="7" t="b">
        <v>0</v>
      </c>
      <c r="B605" s="8" t="s">
        <v>3521</v>
      </c>
      <c r="C605" s="7" t="s">
        <v>3522</v>
      </c>
      <c r="D605" s="8" t="str">
        <f>Q&amp;$K605&amp;Q&amp;":{"&amp;Q&amp;$B$2&amp;Q&amp;":"&amp;Q&amp;$B605&amp;Q&amp;","&amp;Q&amp;$C$2&amp;Q&amp;":"&amp;Q&amp;$C605&amp;Q&amp;","&amp;Q&amp;"sets"&amp;Q&amp;":"&amp;Q&amp;substitute(SUBSTITUTE($H605,"[",""),"]","")&amp;Q&amp;"},"</f>
        <v>"bwgz":{"label":"Flipper","extra":"American television dolphin of the 1960s… like Lassie, only wetter.","sets":"Expansion Set 2, Party Set"},</v>
      </c>
      <c r="E605" s="9" t="str">
        <f t="shared" si="2"/>
        <v>data:image/svg+xml,%3csvg xmlns='http://www.w3.org/2000/svg' viewBox='0 0 24 216'%3e%3ctext fill='%23fff' style='font: 900 16px sans-serif' text-anchor='end' transform='matrix(0 -1 1 0 18 5)'%3eFlipper%3c/text%3e%3c/svg%3e</v>
      </c>
      <c r="F605" s="14" t="str">
        <f t="shared" si="3"/>
        <v>https://svgtext.heliohost.us/cgi-bin/gen.perl?text=Flipper</v>
      </c>
      <c r="G605" s="11" t="str">
        <f t="shared" si="4"/>
        <v>data:image/svg+xml,%3csvg xmlns='http://www.w3.org/2000/svg' viewBox='0 0 24 216'%3e%3ctext fill='%23fff' style='font: 900 16px sans-serif' text-anchor='end' transform='matrix(0 -1 1 0 18 5)'%3eFlipper%3c/text%3e%3c/svg%3e</v>
      </c>
      <c r="H605" s="8" t="s">
        <v>17</v>
      </c>
      <c r="I605" s="8">
        <f t="shared" ref="I605:J605" si="606">len(B605)</f>
        <v>7</v>
      </c>
      <c r="J605" s="8">
        <f t="shared" si="606"/>
        <v>67</v>
      </c>
      <c r="K605" s="8" t="s">
        <v>3523</v>
      </c>
    </row>
    <row r="606">
      <c r="A606" s="7" t="b">
        <v>1</v>
      </c>
      <c r="B606" s="8" t="s">
        <v>3524</v>
      </c>
      <c r="C606" s="8" t="s">
        <v>3525</v>
      </c>
      <c r="D606" s="8" t="str">
        <f>Q&amp;$K606&amp;Q&amp;":{"&amp;Q&amp;$B$2&amp;Q&amp;":"&amp;Q&amp;$B606&amp;Q&amp;","&amp;Q&amp;$C$2&amp;Q&amp;":"&amp;Q&amp;$C606&amp;Q&amp;","&amp;Q&amp;"sets"&amp;Q&amp;":"&amp;Q&amp;substitute(SUBSTITUTE($H606,"[",""),"]","")&amp;Q&amp;"},"</f>
        <v>"hoxb":{"label":"Floods","extra":"Heavy rains and melting snow can cause floods.","sets":"Junior 9+ (1st) &amp; (2nd)"},</v>
      </c>
      <c r="E606" s="9" t="str">
        <f t="shared" si="2"/>
        <v>data:image/svg+xml,%3csvg xmlns='http://www.w3.org/2000/svg' viewBox='0 0 24 216'%3e%3ctext fill='%23fff' style='font: 900 16px sans-serif' text-anchor='end' transform='matrix(0 -1 1 0 18 5)'%3eFloods%3c/text%3e%3c/svg%3e</v>
      </c>
      <c r="F606" s="14" t="str">
        <f t="shared" si="3"/>
        <v>https://svgtext.heliohost.us/cgi-bin/gen.perl?text=Floods</v>
      </c>
      <c r="G606" s="11" t="str">
        <f t="shared" si="4"/>
        <v>data:image/svg+xml,%3csvg xmlns='http://www.w3.org/2000/svg' viewBox='0 0 24 216'%3e%3ctext fill='%23fff' style='font: 900 16px sans-serif' text-anchor='end' transform='matrix(0 -1 1 0 18 5)'%3eFloods%3c/text%3e%3c/svg%3e</v>
      </c>
      <c r="H606" s="8" t="s">
        <v>42</v>
      </c>
      <c r="I606" s="8">
        <f t="shared" ref="I606:J606" si="607">len(B606)</f>
        <v>6</v>
      </c>
      <c r="J606" s="8">
        <f t="shared" si="607"/>
        <v>46</v>
      </c>
      <c r="K606" s="8" t="s">
        <v>3526</v>
      </c>
    </row>
    <row r="607">
      <c r="A607" s="7" t="b">
        <v>1</v>
      </c>
      <c r="B607" s="8" t="s">
        <v>3527</v>
      </c>
      <c r="C607" s="7" t="s">
        <v>3528</v>
      </c>
      <c r="D607" s="8" t="str">
        <f>Q&amp;$K607&amp;Q&amp;":{"&amp;Q&amp;$B$2&amp;Q&amp;":"&amp;Q&amp;$B607&amp;Q&amp;","&amp;Q&amp;$C$2&amp;Q&amp;":"&amp;Q&amp;$C607&amp;Q&amp;","&amp;Q&amp;"sets"&amp;Q&amp;":"&amp;Q&amp;substitute(SUBSTITUTE($H607,"[",""),"]","")&amp;Q&amp;"},"</f>
        <v>"ojms":{"label":"Florence Nightengale","extra":"1820-1910, English nurse and health-care reformer. We’ve been singing her praises for years.","sets":"Expansion Set 3, Party Expansion 1"},</v>
      </c>
      <c r="E607" s="9" t="str">
        <f t="shared" si="2"/>
        <v>data:image/svg+xml,%3csvg xmlns='http://www.w3.org/2000/svg' viewBox='0 0 24 216'%3e%3ctext fill='%23fff' style='font: 900 16px sans-serif' text-anchor='end' transform='matrix(0 -1 1 0 18 5)'%3eFlorence Nightengale%3c/text%3e%3c/svg%3e</v>
      </c>
      <c r="F607" s="14" t="str">
        <f t="shared" si="3"/>
        <v>https://svgtext.heliohost.us/cgi-bin/gen.perl?text=Florence%20Nightengale</v>
      </c>
      <c r="G607" s="11" t="str">
        <f t="shared" si="4"/>
        <v>data:image/svg+xml,%3csvg xmlns='http://www.w3.org/2000/svg' viewBox='0 0 24 216'%3e%3ctext fill='%23fff' style='font: 900 16px sans-serif' text-anchor='end' transform='matrix(0 -1 1 0 18 5)'%3eFlorence Nightengale%3c/text%3e%3c/svg%3e</v>
      </c>
      <c r="H607" s="8" t="s">
        <v>39</v>
      </c>
      <c r="I607" s="8">
        <f t="shared" ref="I607:J607" si="608">len(B607)</f>
        <v>20</v>
      </c>
      <c r="J607" s="8">
        <f t="shared" si="608"/>
        <v>92</v>
      </c>
      <c r="K607" s="8" t="s">
        <v>3529</v>
      </c>
    </row>
    <row r="608">
      <c r="A608" s="7" t="b">
        <v>1</v>
      </c>
      <c r="B608" s="8" t="s">
        <v>3530</v>
      </c>
      <c r="C608" s="8" t="s">
        <v>3531</v>
      </c>
      <c r="D608" s="8" t="str">
        <f>Q&amp;$K608&amp;Q&amp;":{"&amp;Q&amp;$B$2&amp;Q&amp;":"&amp;Q&amp;$B608&amp;Q&amp;","&amp;Q&amp;$C$2&amp;Q&amp;":"&amp;Q&amp;$C608&amp;Q&amp;","&amp;Q&amp;"sets"&amp;Q&amp;":"&amp;Q&amp;substitute(SUBSTITUTE($H608,"[",""),"]","")&amp;Q&amp;"},"</f>
        <v>"ocxs":{"label":"Flour","extra":"Flour is made by grinding wheat and other grains.","sets":"Junior 9+ (2nd)"},</v>
      </c>
      <c r="E608" s="9" t="str">
        <f t="shared" si="2"/>
        <v>data:image/svg+xml,%3csvg xmlns='http://www.w3.org/2000/svg' viewBox='0 0 24 216'%3e%3ctext fill='%23fff' style='font: 900 16px sans-serif' text-anchor='end' transform='matrix(0 -1 1 0 18 5)'%3eFlour%3c/text%3e%3c/svg%3e</v>
      </c>
      <c r="F608" s="14" t="str">
        <f t="shared" si="3"/>
        <v>https://svgtext.heliohost.us/cgi-bin/gen.perl?text=Flour</v>
      </c>
      <c r="G608" s="11" t="str">
        <f t="shared" si="4"/>
        <v>data:image/svg+xml,%3csvg xmlns='http://www.w3.org/2000/svg' viewBox='0 0 24 216'%3e%3ctext fill='%23fff' style='font: 900 16px sans-serif' text-anchor='end' transform='matrix(0 -1 1 0 18 5)'%3eFlour%3c/text%3e%3c/svg%3e</v>
      </c>
      <c r="H608" s="8" t="s">
        <v>32</v>
      </c>
      <c r="I608" s="8">
        <f t="shared" ref="I608:J608" si="609">len(B608)</f>
        <v>5</v>
      </c>
      <c r="J608" s="8">
        <f t="shared" si="609"/>
        <v>49</v>
      </c>
      <c r="K608" s="8" t="s">
        <v>3532</v>
      </c>
    </row>
    <row r="609">
      <c r="A609" s="7" t="b">
        <v>1</v>
      </c>
      <c r="B609" s="8" t="s">
        <v>3533</v>
      </c>
      <c r="C609" s="8" t="s">
        <v>3534</v>
      </c>
      <c r="D609" s="8" t="str">
        <f>Q&amp;$K609&amp;Q&amp;":{"&amp;Q&amp;$B$2&amp;Q&amp;":"&amp;Q&amp;$B609&amp;Q&amp;","&amp;Q&amp;$C$2&amp;Q&amp;":"&amp;Q&amp;$C609&amp;Q&amp;","&amp;Q&amp;"sets"&amp;Q&amp;":"&amp;Q&amp;substitute(SUBSTITUTE($H609,"[",""),"]","")&amp;Q&amp;"},"</f>
        <v>"cswi":{"label":"Flower Gardens","extra":"No weeds allowed.","sets":"Junior 9+ (2nd)"},</v>
      </c>
      <c r="E609" s="9" t="str">
        <f t="shared" si="2"/>
        <v>data:image/svg+xml,%3csvg xmlns='http://www.w3.org/2000/svg' viewBox='0 0 24 216'%3e%3ctext fill='%23fff' style='font: 900 16px sans-serif' text-anchor='end' transform='matrix(0 -1 1 0 18 5)'%3eFlower Gardens%3c/text%3e%3c/svg%3e</v>
      </c>
      <c r="F609" s="14" t="str">
        <f t="shared" si="3"/>
        <v>https://svgtext.heliohost.us/cgi-bin/gen.perl?text=Flower%20Gardens</v>
      </c>
      <c r="G609" s="11" t="str">
        <f t="shared" si="4"/>
        <v>data:image/svg+xml,%3csvg xmlns='http://www.w3.org/2000/svg' viewBox='0 0 24 216'%3e%3ctext fill='%23fff' style='font: 900 16px sans-serif' text-anchor='end' transform='matrix(0 -1 1 0 18 5)'%3eFlower Gardens%3c/text%3e%3c/svg%3e</v>
      </c>
      <c r="H609" s="8" t="s">
        <v>32</v>
      </c>
      <c r="I609" s="8">
        <f t="shared" ref="I609:J609" si="610">len(B609)</f>
        <v>14</v>
      </c>
      <c r="J609" s="8">
        <f t="shared" si="610"/>
        <v>17</v>
      </c>
      <c r="K609" s="8" t="s">
        <v>3535</v>
      </c>
    </row>
    <row r="610">
      <c r="A610" s="7" t="b">
        <v>1</v>
      </c>
      <c r="B610" s="8" t="s">
        <v>3536</v>
      </c>
      <c r="C610" s="7" t="s">
        <v>3537</v>
      </c>
      <c r="D610" s="8" t="str">
        <f>Q&amp;$K610&amp;Q&amp;":{"&amp;Q&amp;$B$2&amp;Q&amp;":"&amp;Q&amp;$B610&amp;Q&amp;","&amp;Q&amp;$C$2&amp;Q&amp;":"&amp;Q&amp;$C610&amp;Q&amp;","&amp;Q&amp;"sets"&amp;Q&amp;":"&amp;Q&amp;substitute(SUBSTITUTE($H610,"[",""),"]","")&amp;Q&amp;"},"</f>
        <v>"upav":{"label":"Flowers &amp; Candy","extra":"When “I’m sorry” is not enough.","sets":"Expansion Set 4, Party Expansion 1"},</v>
      </c>
      <c r="E610" s="9" t="str">
        <f t="shared" si="2"/>
        <v>data:image/svg+xml,%3csvg xmlns='http://www.w3.org/2000/svg' viewBox='0 0 24 216'%3e%3ctext fill='%23fff' style='font: 900 16px sans-serif' text-anchor='end' transform='matrix(0 -1 1 0 18 5)'%3eFlowers %26amp%3B Candy%3c/text%3e%3c/svg%3e</v>
      </c>
      <c r="F610" s="14" t="str">
        <f t="shared" si="3"/>
        <v>https://svgtext.heliohost.us/cgi-bin/gen.perl?text=Flowers%20%26%20Candy</v>
      </c>
      <c r="G610" s="11" t="str">
        <f t="shared" si="4"/>
        <v>data:image/svg+xml,%3csvg xmlns='http://www.w3.org/2000/svg' viewBox='0 0 24 216'%3e%3ctext fill='%23fff' style='font: 900 16px sans-serif' text-anchor='end' transform='matrix(0 -1 1 0 18 5)'%3eFlowers %26amp%3B Candy%3c/text%3e%3c/svg%3e</v>
      </c>
      <c r="H610" s="8" t="s">
        <v>63</v>
      </c>
      <c r="I610" s="8">
        <f t="shared" ref="I610:J610" si="611">len(B610)</f>
        <v>15</v>
      </c>
      <c r="J610" s="8">
        <f t="shared" si="611"/>
        <v>31</v>
      </c>
      <c r="K610" s="8" t="s">
        <v>3538</v>
      </c>
    </row>
    <row r="611">
      <c r="A611" s="7" t="b">
        <v>0</v>
      </c>
      <c r="B611" s="8" t="s">
        <v>3539</v>
      </c>
      <c r="C611" s="7" t="s">
        <v>3540</v>
      </c>
      <c r="D611" s="8" t="str">
        <f>Q&amp;$K611&amp;Q&amp;":{"&amp;Q&amp;$B$2&amp;Q&amp;":"&amp;Q&amp;$B611&amp;Q&amp;","&amp;Q&amp;$C$2&amp;Q&amp;":"&amp;Q&amp;$C611&amp;Q&amp;","&amp;Q&amp;"sets"&amp;Q&amp;":"&amp;Q&amp;substitute(SUBSTITUTE($H611,"[",""),"]","")&amp;Q&amp;"},"</f>
        <v>"gqlk":{"label":"Fly Fishing","extra":"…if you can't catch flies any OTHER way…","sets":"Expansion Set 1, Party Set"},</v>
      </c>
      <c r="E611" s="9" t="str">
        <f t="shared" si="2"/>
        <v>data:image/svg+xml,%3csvg xmlns='http://www.w3.org/2000/svg' viewBox='0 0 24 216'%3e%3ctext fill='%23fff' style='font: 900 16px sans-serif' text-anchor='end' transform='matrix(0 -1 1 0 18 5)'%3eFly Fishing%3c/text%3e%3c/svg%3e</v>
      </c>
      <c r="F611" s="14" t="str">
        <f t="shared" si="3"/>
        <v>https://svgtext.heliohost.us/cgi-bin/gen.perl?text=Fly%20Fishing</v>
      </c>
      <c r="G611" s="11" t="str">
        <f t="shared" si="4"/>
        <v>data:image/svg+xml,%3csvg xmlns='http://www.w3.org/2000/svg' viewBox='0 0 24 216'%3e%3ctext fill='%23fff' style='font: 900 16px sans-serif' text-anchor='end' transform='matrix(0 -1 1 0 18 5)'%3eFly Fishing%3c/text%3e%3c/svg%3e</v>
      </c>
      <c r="H611" s="8" t="s">
        <v>25</v>
      </c>
      <c r="I611" s="8">
        <f t="shared" ref="I611:J611" si="612">len(B611)</f>
        <v>11</v>
      </c>
      <c r="J611" s="8">
        <f t="shared" si="612"/>
        <v>40</v>
      </c>
      <c r="K611" s="8" t="s">
        <v>3541</v>
      </c>
    </row>
    <row r="612">
      <c r="A612" s="7" t="b">
        <v>1</v>
      </c>
      <c r="B612" s="8" t="s">
        <v>3542</v>
      </c>
      <c r="C612" s="7" t="s">
        <v>3543</v>
      </c>
      <c r="D612" s="8" t="str">
        <f>Q&amp;$K612&amp;Q&amp;":{"&amp;Q&amp;$B$2&amp;Q&amp;":"&amp;Q&amp;$B612&amp;Q&amp;","&amp;Q&amp;$C$2&amp;Q&amp;":"&amp;Q&amp;$C612&amp;Q&amp;","&amp;Q&amp;"sets"&amp;Q&amp;":"&amp;Q&amp;substitute(SUBSTITUTE($H612,"[",""),"]","")&amp;Q&amp;"},"</f>
        <v>"zsyn":{"label":"Flying A Kite","extra":"Don’t let go of the string!","sets":"Junior"},</v>
      </c>
      <c r="E612" s="9" t="str">
        <f t="shared" si="2"/>
        <v>data:image/svg+xml,%3csvg xmlns='http://www.w3.org/2000/svg' viewBox='0 0 24 216'%3e%3ctext fill='%23fff' style='font: 900 16px sans-serif' text-anchor='end' transform='matrix(0 -1 1 0 18 5)'%3eFlying A Kite%3c/text%3e%3c/svg%3e</v>
      </c>
      <c r="F612" s="14" t="str">
        <f t="shared" si="3"/>
        <v>https://svgtext.heliohost.us/cgi-bin/gen.perl?text=Flying%20A%20Kite</v>
      </c>
      <c r="G612" s="11" t="str">
        <f t="shared" si="4"/>
        <v>data:image/svg+xml,%3csvg xmlns='http://www.w3.org/2000/svg' viewBox='0 0 24 216'%3e%3ctext fill='%23fff' style='font: 900 16px sans-serif' text-anchor='end' transform='matrix(0 -1 1 0 18 5)'%3eFlying A Kite%3c/text%3e%3c/svg%3e</v>
      </c>
      <c r="H612" s="8" t="s">
        <v>84</v>
      </c>
      <c r="I612" s="8">
        <f t="shared" ref="I612:J612" si="613">len(B612)</f>
        <v>13</v>
      </c>
      <c r="J612" s="8">
        <f t="shared" si="613"/>
        <v>27</v>
      </c>
      <c r="K612" s="8" t="s">
        <v>3544</v>
      </c>
    </row>
    <row r="613">
      <c r="A613" s="7" t="b">
        <v>0</v>
      </c>
      <c r="B613" s="8" t="s">
        <v>3545</v>
      </c>
      <c r="C613" s="7" t="s">
        <v>3546</v>
      </c>
      <c r="D613" s="8" t="str">
        <f>Q&amp;$K613&amp;Q&amp;":{"&amp;Q&amp;$B$2&amp;Q&amp;":"&amp;Q&amp;$B613&amp;Q&amp;","&amp;Q&amp;$C$2&amp;Q&amp;":"&amp;Q&amp;$C613&amp;Q&amp;","&amp;Q&amp;"sets"&amp;Q&amp;":"&amp;Q&amp;substitute(SUBSTITUTE($H613,"[",""),"]","")&amp;Q&amp;"},"</f>
        <v>"bxsr":{"label":"Flying Monkeys","extra":"The reason why “The Wizard Of Oz” still gives us nightmares.","sets":"Expansion Set 1, Party Set"},</v>
      </c>
      <c r="E613" s="9" t="str">
        <f t="shared" si="2"/>
        <v>data:image/svg+xml,%3csvg xmlns='http://www.w3.org/2000/svg' viewBox='0 0 24 216'%3e%3ctext fill='%23fff' style='font: 900 16px sans-serif' text-anchor='end' transform='matrix(0 -1 1 0 18 5)'%3eFlying Monkeys%3c/text%3e%3c/svg%3e</v>
      </c>
      <c r="F613" s="14" t="str">
        <f t="shared" si="3"/>
        <v>https://svgtext.heliohost.us/cgi-bin/gen.perl?text=Flying%20Monkeys</v>
      </c>
      <c r="G613" s="11" t="str">
        <f t="shared" si="4"/>
        <v>data:image/svg+xml,%3csvg xmlns='http://www.w3.org/2000/svg' viewBox='0 0 24 216'%3e%3ctext fill='%23fff' style='font: 900 16px sans-serif' text-anchor='end' transform='matrix(0 -1 1 0 18 5)'%3eFlying Monkeys%3c/text%3e%3c/svg%3e</v>
      </c>
      <c r="H613" s="8" t="s">
        <v>25</v>
      </c>
      <c r="I613" s="8">
        <f t="shared" ref="I613:J613" si="614">len(B613)</f>
        <v>14</v>
      </c>
      <c r="J613" s="8">
        <f t="shared" si="614"/>
        <v>60</v>
      </c>
      <c r="K613" s="8" t="s">
        <v>3547</v>
      </c>
    </row>
    <row r="614">
      <c r="A614" s="7" t="b">
        <v>1</v>
      </c>
      <c r="B614" s="8" t="s">
        <v>3548</v>
      </c>
      <c r="C614" s="7" t="s">
        <v>3549</v>
      </c>
      <c r="D614" s="8" t="str">
        <f>Q&amp;$K614&amp;Q&amp;":{"&amp;Q&amp;$B$2&amp;Q&amp;":"&amp;Q&amp;$B614&amp;Q&amp;","&amp;Q&amp;$C$2&amp;Q&amp;":"&amp;Q&amp;$C614&amp;Q&amp;","&amp;Q&amp;"sets"&amp;Q&amp;":"&amp;Q&amp;substitute(SUBSTITUTE($H614,"[",""),"]","")&amp;Q&amp;"},"</f>
        <v>"cxvt":{"label":"Folk Music","extra":"When you’re just fiddling around…","sets":"Expansion Set 3, Party Expansion 1"},</v>
      </c>
      <c r="E614" s="9" t="str">
        <f t="shared" si="2"/>
        <v>data:image/svg+xml,%3csvg xmlns='http://www.w3.org/2000/svg' viewBox='0 0 24 216'%3e%3ctext fill='%23fff' style='font: 900 16px sans-serif' text-anchor='end' transform='matrix(0 -1 1 0 18 5)'%3eFolk Music%3c/text%3e%3c/svg%3e</v>
      </c>
      <c r="F614" s="14" t="str">
        <f t="shared" si="3"/>
        <v>https://svgtext.heliohost.us/cgi-bin/gen.perl?text=Folk%20Music</v>
      </c>
      <c r="G614" s="11" t="str">
        <f t="shared" si="4"/>
        <v>data:image/svg+xml,%3csvg xmlns='http://www.w3.org/2000/svg' viewBox='0 0 24 216'%3e%3ctext fill='%23fff' style='font: 900 16px sans-serif' text-anchor='end' transform='matrix(0 -1 1 0 18 5)'%3eFolk Music%3c/text%3e%3c/svg%3e</v>
      </c>
      <c r="H614" s="8" t="s">
        <v>39</v>
      </c>
      <c r="I614" s="8">
        <f t="shared" ref="I614:J614" si="615">len(B614)</f>
        <v>10</v>
      </c>
      <c r="J614" s="8">
        <f t="shared" si="615"/>
        <v>33</v>
      </c>
      <c r="K614" s="8" t="s">
        <v>3550</v>
      </c>
    </row>
    <row r="615">
      <c r="A615" s="7" t="b">
        <v>1</v>
      </c>
      <c r="B615" s="8" t="s">
        <v>3551</v>
      </c>
      <c r="C615" s="8" t="s">
        <v>3552</v>
      </c>
      <c r="D615" s="8" t="str">
        <f>Q&amp;$K615&amp;Q&amp;":{"&amp;Q&amp;$B$2&amp;Q&amp;":"&amp;Q&amp;$B615&amp;Q&amp;","&amp;Q&amp;$C$2&amp;Q&amp;":"&amp;Q&amp;$C615&amp;Q&amp;","&amp;Q&amp;"sets"&amp;Q&amp;":"&amp;Q&amp;substitute(SUBSTITUTE($H615,"[",""),"]","")&amp;Q&amp;"},"</f>
        <v>"pkcb":{"label":"Food &amp; Shelter","extra":"Gotta have it.","sets":"Expansion Set 4, Party Expansion 1"},</v>
      </c>
      <c r="E615" s="9" t="str">
        <f t="shared" si="2"/>
        <v>data:image/svg+xml,%3csvg xmlns='http://www.w3.org/2000/svg' viewBox='0 0 24 216'%3e%3ctext fill='%23fff' style='font: 900 16px sans-serif' text-anchor='end' transform='matrix(0 -1 1 0 18 5)'%3eFood %26amp%3B Shelter%3c/text%3e%3c/svg%3e</v>
      </c>
      <c r="F615" s="14" t="str">
        <f t="shared" si="3"/>
        <v>https://svgtext.heliohost.us/cgi-bin/gen.perl?text=Food%20%26%20Shelter</v>
      </c>
      <c r="G615" s="11" t="str">
        <f t="shared" si="4"/>
        <v>data:image/svg+xml,%3csvg xmlns='http://www.w3.org/2000/svg' viewBox='0 0 24 216'%3e%3ctext fill='%23fff' style='font: 900 16px sans-serif' text-anchor='end' transform='matrix(0 -1 1 0 18 5)'%3eFood %26amp%3B Shelter%3c/text%3e%3c/svg%3e</v>
      </c>
      <c r="H615" s="8" t="s">
        <v>63</v>
      </c>
      <c r="I615" s="8">
        <f t="shared" ref="I615:J615" si="616">len(B615)</f>
        <v>14</v>
      </c>
      <c r="J615" s="8">
        <f t="shared" si="616"/>
        <v>14</v>
      </c>
      <c r="K615" s="8" t="s">
        <v>3553</v>
      </c>
    </row>
    <row r="616">
      <c r="A616" s="7" t="b">
        <v>1</v>
      </c>
      <c r="B616" s="8" t="s">
        <v>3554</v>
      </c>
      <c r="C616" s="7" t="s">
        <v>3555</v>
      </c>
      <c r="D616" s="8" t="str">
        <f>Q&amp;$K616&amp;Q&amp;":{"&amp;Q&amp;$B$2&amp;Q&amp;":"&amp;Q&amp;$B616&amp;Q&amp;","&amp;Q&amp;$C$2&amp;Q&amp;":"&amp;Q&amp;$C616&amp;Q&amp;","&amp;Q&amp;"sets"&amp;Q&amp;":"&amp;Q&amp;substitute(SUBSTITUTE($H616,"[",""),"]","")&amp;Q&amp;"},"</f>
        <v>"rwdq":{"label":"Food Poisoning","extra":"This chicken tastes kinda funny…","sets":"Expansion Set 3, Party Expansion 1"},</v>
      </c>
      <c r="E616" s="9" t="str">
        <f t="shared" si="2"/>
        <v>data:image/svg+xml,%3csvg xmlns='http://www.w3.org/2000/svg' viewBox='0 0 24 216'%3e%3ctext fill='%23fff' style='font: 900 16px sans-serif' text-anchor='end' transform='matrix(0 -1 1 0 18 5)'%3eFood Poisoning%3c/text%3e%3c/svg%3e</v>
      </c>
      <c r="F616" s="14" t="str">
        <f t="shared" si="3"/>
        <v>https://svgtext.heliohost.us/cgi-bin/gen.perl?text=Food%20Poisoning</v>
      </c>
      <c r="G616" s="11" t="str">
        <f t="shared" si="4"/>
        <v>data:image/svg+xml,%3csvg xmlns='http://www.w3.org/2000/svg' viewBox='0 0 24 216'%3e%3ctext fill='%23fff' style='font: 900 16px sans-serif' text-anchor='end' transform='matrix(0 -1 1 0 18 5)'%3eFood Poisoning%3c/text%3e%3c/svg%3e</v>
      </c>
      <c r="H616" s="8" t="s">
        <v>39</v>
      </c>
      <c r="I616" s="8">
        <f t="shared" ref="I616:J616" si="617">len(B616)</f>
        <v>14</v>
      </c>
      <c r="J616" s="8">
        <f t="shared" si="617"/>
        <v>32</v>
      </c>
      <c r="K616" s="8" t="s">
        <v>3556</v>
      </c>
    </row>
    <row r="617">
      <c r="A617" s="7" t="b">
        <v>1</v>
      </c>
      <c r="B617" s="8" t="s">
        <v>3557</v>
      </c>
      <c r="C617" s="7" t="s">
        <v>3558</v>
      </c>
      <c r="D617" s="8" t="str">
        <f>Q&amp;$K617&amp;Q&amp;":{"&amp;Q&amp;$B$2&amp;Q&amp;":"&amp;Q&amp;$B617&amp;Q&amp;","&amp;Q&amp;$C$2&amp;Q&amp;":"&amp;Q&amp;$C617&amp;Q&amp;","&amp;Q&amp;"sets"&amp;Q&amp;":"&amp;Q&amp;substitute(SUBSTITUTE($H617,"[",""),"]","")&amp;Q&amp;"},"</f>
        <v>"tzse":{"label":"Foot &amp; Mouth","extra":"An infectious disease of animals with hooves. Not the same as foot-IN-mouth disease which affects everybody at one time or another.","sets":"Expansion Set 4, Party Expansion 1"},</v>
      </c>
      <c r="E617" s="9" t="str">
        <f t="shared" si="2"/>
        <v>data:image/svg+xml,%3csvg xmlns='http://www.w3.org/2000/svg' viewBox='0 0 24 216'%3e%3ctext fill='%23fff' style='font: 900 16px sans-serif' text-anchor='end' transform='matrix(0 -1 1 0 18 5)'%3eFoot %26amp%3B Mouth%3c/text%3e%3c/svg%3e</v>
      </c>
      <c r="F617" s="14" t="str">
        <f t="shared" si="3"/>
        <v>https://svgtext.heliohost.us/cgi-bin/gen.perl?text=Foot%20%26%20Mouth</v>
      </c>
      <c r="G617" s="11" t="str">
        <f t="shared" si="4"/>
        <v>data:image/svg+xml,%3csvg xmlns='http://www.w3.org/2000/svg' viewBox='0 0 24 216'%3e%3ctext fill='%23fff' style='font: 900 16px sans-serif' text-anchor='end' transform='matrix(0 -1 1 0 18 5)'%3eFoot %26amp%3B Mouth%3c/text%3e%3c/svg%3e</v>
      </c>
      <c r="H617" s="8" t="s">
        <v>63</v>
      </c>
      <c r="I617" s="8">
        <f t="shared" ref="I617:J617" si="618">len(B617)</f>
        <v>12</v>
      </c>
      <c r="J617" s="8">
        <f t="shared" si="618"/>
        <v>131</v>
      </c>
      <c r="K617" s="8" t="s">
        <v>3559</v>
      </c>
    </row>
    <row r="618">
      <c r="A618" s="7" t="b">
        <v>1</v>
      </c>
      <c r="B618" s="8" t="s">
        <v>3560</v>
      </c>
      <c r="C618" s="8" t="s">
        <v>3561</v>
      </c>
      <c r="D618" s="8" t="str">
        <f>Q&amp;$K618&amp;Q&amp;":{"&amp;Q&amp;$B$2&amp;Q&amp;":"&amp;Q&amp;$B618&amp;Q&amp;","&amp;Q&amp;$C$2&amp;Q&amp;":"&amp;Q&amp;$C618&amp;Q&amp;","&amp;Q&amp;"sets"&amp;Q&amp;":"&amp;Q&amp;substitute(SUBSTITUTE($H618,"[",""),"]","")&amp;Q&amp;"},"</f>
        <v>"nujb":{"label":"Football","extra":"It's a ball AND a game.","sets":"Junior 9+ (1st) &amp; (2nd)"},</v>
      </c>
      <c r="E618" s="9" t="str">
        <f t="shared" si="2"/>
        <v>data:image/svg+xml,%3csvg xmlns='http://www.w3.org/2000/svg' viewBox='0 0 24 216'%3e%3ctext fill='%23fff' style='font: 900 16px sans-serif' text-anchor='end' transform='matrix(0 -1 1 0 18 5)'%3eFootball%3c/text%3e%3c/svg%3e</v>
      </c>
      <c r="F618" s="14" t="str">
        <f t="shared" si="3"/>
        <v>https://svgtext.heliohost.us/cgi-bin/gen.perl?text=Football</v>
      </c>
      <c r="G618" s="11" t="str">
        <f t="shared" si="4"/>
        <v>data:image/svg+xml,%3csvg xmlns='http://www.w3.org/2000/svg' viewBox='0 0 24 216'%3e%3ctext fill='%23fff' style='font: 900 16px sans-serif' text-anchor='end' transform='matrix(0 -1 1 0 18 5)'%3eFootball%3c/text%3e%3c/svg%3e</v>
      </c>
      <c r="H618" s="8" t="s">
        <v>42</v>
      </c>
      <c r="I618" s="8">
        <f t="shared" ref="I618:J618" si="619">len(B618)</f>
        <v>8</v>
      </c>
      <c r="J618" s="8">
        <f t="shared" si="619"/>
        <v>23</v>
      </c>
      <c r="K618" s="8" t="s">
        <v>3562</v>
      </c>
    </row>
    <row r="619">
      <c r="A619" s="7" t="b">
        <v>1</v>
      </c>
      <c r="B619" s="8" t="s">
        <v>3563</v>
      </c>
      <c r="C619" s="8" t="s">
        <v>3564</v>
      </c>
      <c r="D619" s="8" t="str">
        <f>Q&amp;$K619&amp;Q&amp;":{"&amp;Q&amp;$B$2&amp;Q&amp;":"&amp;Q&amp;$B619&amp;Q&amp;","&amp;Q&amp;$C$2&amp;Q&amp;":"&amp;Q&amp;$C619&amp;Q&amp;","&amp;Q&amp;"sets"&amp;Q&amp;":"&amp;Q&amp;substitute(SUBSTITUTE($H619,"[",""),"]","")&amp;Q&amp;"},"</f>
        <v>"bqjf":{"label":"Football Players","extra":"Punt, pass, and kick!","sets":"Junior"},</v>
      </c>
      <c r="E619" s="9" t="str">
        <f t="shared" si="2"/>
        <v>data:image/svg+xml,%3csvg xmlns='http://www.w3.org/2000/svg' viewBox='0 0 24 216'%3e%3ctext fill='%23fff' style='font: 900 16px sans-serif' text-anchor='end' transform='matrix(0 -1 1 0 18 5)'%3eFootball Players%3c/text%3e%3c/svg%3e</v>
      </c>
      <c r="F619" s="14" t="str">
        <f t="shared" si="3"/>
        <v>https://svgtext.heliohost.us/cgi-bin/gen.perl?text=Football%20Players</v>
      </c>
      <c r="G619" s="11" t="str">
        <f t="shared" si="4"/>
        <v>data:image/svg+xml,%3csvg xmlns='http://www.w3.org/2000/svg' viewBox='0 0 24 216'%3e%3ctext fill='%23fff' style='font: 900 16px sans-serif' text-anchor='end' transform='matrix(0 -1 1 0 18 5)'%3eFootball Players%3c/text%3e%3c/svg%3e</v>
      </c>
      <c r="H619" s="8" t="s">
        <v>84</v>
      </c>
      <c r="I619" s="8">
        <f t="shared" ref="I619:J619" si="620">len(B619)</f>
        <v>16</v>
      </c>
      <c r="J619" s="8">
        <f t="shared" si="620"/>
        <v>21</v>
      </c>
      <c r="K619" s="8" t="s">
        <v>3565</v>
      </c>
    </row>
    <row r="620">
      <c r="A620" s="7" t="b">
        <v>0</v>
      </c>
      <c r="B620" s="8" t="s">
        <v>3566</v>
      </c>
      <c r="C620" s="7" t="s">
        <v>3567</v>
      </c>
      <c r="D620" s="8" t="str">
        <f>Q&amp;$K620&amp;Q&amp;":{"&amp;Q&amp;$B$2&amp;Q&amp;":"&amp;Q&amp;$B620&amp;Q&amp;","&amp;Q&amp;$C$2&amp;Q&amp;":"&amp;Q&amp;$C620&amp;Q&amp;","&amp;Q&amp;"sets"&amp;Q&amp;":"&amp;Q&amp;substitute(SUBSTITUTE($H620,"[",""),"]","")&amp;Q&amp;"},"</f>
        <v>"eo{v":{"label":"Forest Fires","extra":"“Only YOU can prevent forest fires.” The heat is on!","sets":"Expansion Set 2, Party Set"},</v>
      </c>
      <c r="E620" s="9" t="str">
        <f t="shared" si="2"/>
        <v>data:image/svg+xml,%3csvg xmlns='http://www.w3.org/2000/svg' viewBox='0 0 24 216'%3e%3ctext fill='%23fff' style='font: 900 16px sans-serif' text-anchor='end' transform='matrix(0 -1 1 0 18 5)'%3eForest Fires%3c/text%3e%3c/svg%3e</v>
      </c>
      <c r="F620" s="14" t="str">
        <f t="shared" si="3"/>
        <v>https://svgtext.heliohost.us/cgi-bin/gen.perl?text=Forest%20Fires</v>
      </c>
      <c r="G620" s="11" t="str">
        <f t="shared" si="4"/>
        <v>data:image/svg+xml,%3csvg xmlns='http://www.w3.org/2000/svg' viewBox='0 0 24 216'%3e%3ctext fill='%23fff' style='font: 900 16px sans-serif' text-anchor='end' transform='matrix(0 -1 1 0 18 5)'%3eForest Fires%3c/text%3e%3c/svg%3e</v>
      </c>
      <c r="H620" s="8" t="s">
        <v>17</v>
      </c>
      <c r="I620" s="8">
        <f t="shared" ref="I620:J620" si="621">len(B620)</f>
        <v>12</v>
      </c>
      <c r="J620" s="8">
        <f t="shared" si="621"/>
        <v>52</v>
      </c>
      <c r="K620" s="8" t="s">
        <v>3568</v>
      </c>
    </row>
    <row r="621">
      <c r="A621" s="7" t="b">
        <v>1</v>
      </c>
      <c r="B621" s="8" t="s">
        <v>3566</v>
      </c>
      <c r="C621" s="8" t="s">
        <v>3569</v>
      </c>
      <c r="D621" s="8" t="str">
        <f>Q&amp;$K621&amp;Q&amp;":{"&amp;Q&amp;$B$2&amp;Q&amp;":"&amp;Q&amp;$B621&amp;Q&amp;","&amp;Q&amp;$C$2&amp;Q&amp;":"&amp;Q&amp;$C621&amp;Q&amp;","&amp;Q&amp;"sets"&amp;Q&amp;":"&amp;Q&amp;substitute(SUBSTITUTE($H621,"[",""),"]","")&amp;Q&amp;"},"</f>
        <v>"kvul":{"label":"Forest Fires","extra":"Lightning can start forest fires.","sets":"Junior 9+ (1st) &amp; (2nd)"},</v>
      </c>
      <c r="E621" s="9" t="str">
        <f t="shared" si="2"/>
        <v>data:image/svg+xml,%3csvg xmlns='http://www.w3.org/2000/svg' viewBox='0 0 24 216'%3e%3ctext fill='%23fff' style='font: 900 16px sans-serif' text-anchor='end' transform='matrix(0 -1 1 0 18 5)'%3eForest Fires%3c/text%3e%3c/svg%3e</v>
      </c>
      <c r="F621" s="14" t="str">
        <f t="shared" si="3"/>
        <v>https://svgtext.heliohost.us/cgi-bin/gen.perl?text=Forest%20Fires</v>
      </c>
      <c r="G621" s="11" t="str">
        <f t="shared" si="4"/>
        <v>data:image/svg+xml,%3csvg xmlns='http://www.w3.org/2000/svg' viewBox='0 0 24 216'%3e%3ctext fill='%23fff' style='font: 900 16px sans-serif' text-anchor='end' transform='matrix(0 -1 1 0 18 5)'%3eForest Fires%3c/text%3e%3c/svg%3e</v>
      </c>
      <c r="H621" s="8" t="s">
        <v>42</v>
      </c>
      <c r="I621" s="8">
        <f t="shared" ref="I621:J621" si="622">len(B621)</f>
        <v>12</v>
      </c>
      <c r="J621" s="8">
        <f t="shared" si="622"/>
        <v>33</v>
      </c>
      <c r="K621" s="8" t="s">
        <v>3570</v>
      </c>
    </row>
    <row r="622">
      <c r="A622" s="7" t="b">
        <v>0</v>
      </c>
      <c r="B622" s="8" t="s">
        <v>3571</v>
      </c>
      <c r="C622" s="7" t="s">
        <v>3572</v>
      </c>
      <c r="D622" s="8" t="str">
        <f>Q&amp;$K622&amp;Q&amp;":{"&amp;Q&amp;$B$2&amp;Q&amp;":"&amp;Q&amp;$B622&amp;Q&amp;","&amp;Q&amp;$C$2&amp;Q&amp;":"&amp;Q&amp;$C622&amp;Q&amp;","&amp;Q&amp;"sets"&amp;Q&amp;":"&amp;Q&amp;substitute(SUBSTITUTE($H622,"[",""),"]","")&amp;Q&amp;"},"</f>
        <v>"xyxk":{"label":"Forever &amp; Ever","extra":"“Oh baby, I'm gonna love you forever / Forever and ever amen.” —Randy Travis","sets":"Expansion Set 4, Party Expansion 1"},</v>
      </c>
      <c r="E622" s="9" t="str">
        <f t="shared" si="2"/>
        <v>data:image/svg+xml,%3csvg xmlns='http://www.w3.org/2000/svg' viewBox='0 0 24 216'%3e%3ctext fill='%23fff' style='font: 900 16px sans-serif' text-anchor='end' transform='matrix(0 -1 1 0 18 5)'%3eForever %26amp%3B Ever%3c/text%3e%3c/svg%3e</v>
      </c>
      <c r="F622" s="14" t="str">
        <f t="shared" si="3"/>
        <v>https://svgtext.heliohost.us/cgi-bin/gen.perl?text=Forever%20%26%20Ever</v>
      </c>
      <c r="G622" s="11" t="str">
        <f t="shared" si="4"/>
        <v>data:image/svg+xml,%3csvg xmlns='http://www.w3.org/2000/svg' viewBox='0 0 24 216'%3e%3ctext fill='%23fff' style='font: 900 16px sans-serif' text-anchor='end' transform='matrix(0 -1 1 0 18 5)'%3eForever %26amp%3B Ever%3c/text%3e%3c/svg%3e</v>
      </c>
      <c r="H622" s="8" t="s">
        <v>63</v>
      </c>
      <c r="I622" s="8">
        <f t="shared" ref="I622:J622" si="623">len(B622)</f>
        <v>14</v>
      </c>
      <c r="J622" s="8">
        <f t="shared" si="623"/>
        <v>76</v>
      </c>
      <c r="K622" s="8" t="s">
        <v>3573</v>
      </c>
    </row>
    <row r="623">
      <c r="A623" s="7" t="b">
        <v>0</v>
      </c>
      <c r="B623" s="8" t="s">
        <v>3574</v>
      </c>
      <c r="C623" s="8" t="s">
        <v>3575</v>
      </c>
      <c r="D623" s="8" t="str">
        <f>Q&amp;$K623&amp;Q&amp;":{"&amp;Q&amp;$B$2&amp;Q&amp;":"&amp;Q&amp;$B623&amp;Q&amp;","&amp;Q&amp;$C$2&amp;Q&amp;":"&amp;Q&amp;$C623&amp;Q&amp;","&amp;Q&amp;"sets"&amp;Q&amp;":"&amp;Q&amp;substitute(SUBSTITUTE($H623,"[",""),"]","")&amp;Q&amp;"},"</f>
        <v>"jjbx":{"label":"Fort Knox","extra":"American military post in Kentucky, containing the greater part of the gold reserve of the U.S. government.","sets":"Expansion Set 1, Party Set"},</v>
      </c>
      <c r="E623" s="9" t="str">
        <f t="shared" si="2"/>
        <v>data:image/svg+xml,%3csvg xmlns='http://www.w3.org/2000/svg' viewBox='0 0 24 216'%3e%3ctext fill='%23fff' style='font: 900 16px sans-serif' text-anchor='end' transform='matrix(0 -1 1 0 18 5)'%3eFort Knox%3c/text%3e%3c/svg%3e</v>
      </c>
      <c r="F623" s="14" t="str">
        <f t="shared" si="3"/>
        <v>https://svgtext.heliohost.us/cgi-bin/gen.perl?text=Fort%20Knox</v>
      </c>
      <c r="G623" s="11" t="str">
        <f t="shared" si="4"/>
        <v>data:image/svg+xml,%3csvg xmlns='http://www.w3.org/2000/svg' viewBox='0 0 24 216'%3e%3ctext fill='%23fff' style='font: 900 16px sans-serif' text-anchor='end' transform='matrix(0 -1 1 0 18 5)'%3eFort Knox%3c/text%3e%3c/svg%3e</v>
      </c>
      <c r="H623" s="8" t="s">
        <v>25</v>
      </c>
      <c r="I623" s="8">
        <f t="shared" ref="I623:J623" si="624">len(B623)</f>
        <v>9</v>
      </c>
      <c r="J623" s="8">
        <f t="shared" si="624"/>
        <v>107</v>
      </c>
      <c r="K623" s="8" t="s">
        <v>3576</v>
      </c>
    </row>
    <row r="624">
      <c r="A624" s="7" t="b">
        <v>1</v>
      </c>
      <c r="B624" s="8" t="s">
        <v>3577</v>
      </c>
      <c r="C624" s="7" t="s">
        <v>3578</v>
      </c>
      <c r="D624" s="8" t="str">
        <f>Q&amp;$K624&amp;Q&amp;":{"&amp;Q&amp;$B$2&amp;Q&amp;":"&amp;Q&amp;$B624&amp;Q&amp;","&amp;Q&amp;$C$2&amp;Q&amp;":"&amp;Q&amp;$C624&amp;Q&amp;","&amp;Q&amp;"sets"&amp;Q&amp;":"&amp;Q&amp;substitute(SUBSTITUTE($H624,"[",""),"]","")&amp;Q&amp;"},"</f>
        <v>"vtwx":{"label":"Fortune Cookies","extra":"“You will soon eat a flat, dry, tasteless cookie…”","sets":"Expansion Set 3, Party Expansion 1"},</v>
      </c>
      <c r="E624" s="9" t="str">
        <f t="shared" si="2"/>
        <v>data:image/svg+xml,%3csvg xmlns='http://www.w3.org/2000/svg' viewBox='0 0 24 216'%3e%3ctext fill='%23fff' style='font: 900 16px sans-serif' text-anchor='end' transform='matrix(0 -1 1 0 18 5)'%3eFortune Cookies%3c/text%3e%3c/svg%3e</v>
      </c>
      <c r="F624" s="14" t="str">
        <f t="shared" si="3"/>
        <v>https://svgtext.heliohost.us/cgi-bin/gen.perl?text=Fortune%20Cookies</v>
      </c>
      <c r="G624" s="11" t="str">
        <f t="shared" si="4"/>
        <v>data:image/svg+xml,%3csvg xmlns='http://www.w3.org/2000/svg' viewBox='0 0 24 216'%3e%3ctext fill='%23fff' style='font: 900 16px sans-serif' text-anchor='end' transform='matrix(0 -1 1 0 18 5)'%3eFortune Cookies%3c/text%3e%3c/svg%3e</v>
      </c>
      <c r="H624" s="8" t="s">
        <v>39</v>
      </c>
      <c r="I624" s="8">
        <f t="shared" ref="I624:J624" si="625">len(B624)</f>
        <v>15</v>
      </c>
      <c r="J624" s="8">
        <f t="shared" si="625"/>
        <v>50</v>
      </c>
      <c r="K624" s="8" t="s">
        <v>3579</v>
      </c>
    </row>
    <row r="625">
      <c r="A625" s="7" t="b">
        <v>1</v>
      </c>
      <c r="B625" s="8" t="s">
        <v>3580</v>
      </c>
      <c r="C625" s="7" t="s">
        <v>3581</v>
      </c>
      <c r="D625" s="8" t="str">
        <f>Q&amp;$K625&amp;Q&amp;":{"&amp;Q&amp;$B$2&amp;Q&amp;":"&amp;Q&amp;$B625&amp;Q&amp;","&amp;Q&amp;$C$2&amp;Q&amp;":"&amp;Q&amp;$C625&amp;Q&amp;","&amp;Q&amp;"sets"&amp;Q&amp;":"&amp;Q&amp;substitute(SUBSTITUTE($H625,"[",""),"]","")&amp;Q&amp;"},"</f>
        <v>"fwgw":{"label":"Fortune Teller","extra":"“My crystal ball says…”","sets":"Junior 9+ (2nd)"},</v>
      </c>
      <c r="E625" s="9" t="str">
        <f t="shared" si="2"/>
        <v>data:image/svg+xml,%3csvg xmlns='http://www.w3.org/2000/svg' viewBox='0 0 24 216'%3e%3ctext fill='%23fff' style='font: 900 16px sans-serif' text-anchor='end' transform='matrix(0 -1 1 0 18 5)'%3eFortune Teller%3c/text%3e%3c/svg%3e</v>
      </c>
      <c r="F625" s="14" t="str">
        <f t="shared" si="3"/>
        <v>https://svgtext.heliohost.us/cgi-bin/gen.perl?text=Fortune%20Teller</v>
      </c>
      <c r="G625" s="11" t="str">
        <f t="shared" si="4"/>
        <v>data:image/svg+xml,%3csvg xmlns='http://www.w3.org/2000/svg' viewBox='0 0 24 216'%3e%3ctext fill='%23fff' style='font: 900 16px sans-serif' text-anchor='end' transform='matrix(0 -1 1 0 18 5)'%3eFortune Teller%3c/text%3e%3c/svg%3e</v>
      </c>
      <c r="H625" s="8" t="s">
        <v>32</v>
      </c>
      <c r="I625" s="8">
        <f t="shared" ref="I625:J625" si="626">len(B625)</f>
        <v>14</v>
      </c>
      <c r="J625" s="8">
        <f t="shared" si="626"/>
        <v>23</v>
      </c>
      <c r="K625" s="8" t="s">
        <v>3582</v>
      </c>
    </row>
    <row r="626">
      <c r="A626" s="7" t="b">
        <v>0</v>
      </c>
      <c r="B626" s="8" t="s">
        <v>3583</v>
      </c>
      <c r="C626" s="7" t="s">
        <v>3584</v>
      </c>
      <c r="D626" s="8" t="str">
        <f>Q&amp;$K626&amp;Q&amp;":{"&amp;Q&amp;$B$2&amp;Q&amp;":"&amp;Q&amp;$B626&amp;Q&amp;","&amp;Q&amp;$C$2&amp;Q&amp;":"&amp;Q&amp;$C626&amp;Q&amp;","&amp;Q&amp;"sets"&amp;Q&amp;":"&amp;Q&amp;substitute(SUBSTITUTE($H626,"[",""),"]","")&amp;Q&amp;"},"</f>
        <v>"nbyu":{"label":"Fourth Of July","extra":"“Independence Day” in the United States. “Thank Goodness We Got Rid of Them Day” in Britain.","sets":"Basic Set, Party Set"},</v>
      </c>
      <c r="E626" s="9" t="str">
        <f t="shared" si="2"/>
        <v>data:image/svg+xml,%3csvg xmlns='http://www.w3.org/2000/svg' viewBox='0 0 24 216'%3e%3ctext fill='%23fff' style='font: 900 16px sans-serif' text-anchor='end' transform='matrix(0 -1 1 0 18 5)'%3eFourth Of July%3c/text%3e%3c/svg%3e</v>
      </c>
      <c r="F626" s="14" t="str">
        <f t="shared" si="3"/>
        <v>https://svgtext.heliohost.us/cgi-bin/gen.perl?text=Fourth%20Of%20July</v>
      </c>
      <c r="G626" s="11" t="str">
        <f t="shared" si="4"/>
        <v>data:image/svg+xml,%3csvg xmlns='http://www.w3.org/2000/svg' viewBox='0 0 24 216'%3e%3ctext fill='%23fff' style='font: 900 16px sans-serif' text-anchor='end' transform='matrix(0 -1 1 0 18 5)'%3eFourth Of July%3c/text%3e%3c/svg%3e</v>
      </c>
      <c r="H626" s="8" t="s">
        <v>29</v>
      </c>
      <c r="I626" s="8">
        <f t="shared" ref="I626:J626" si="627">len(B626)</f>
        <v>14</v>
      </c>
      <c r="J626" s="8">
        <f t="shared" si="627"/>
        <v>92</v>
      </c>
      <c r="K626" s="8" t="s">
        <v>3585</v>
      </c>
    </row>
    <row r="627">
      <c r="A627" s="7" t="b">
        <v>1</v>
      </c>
      <c r="B627" s="8" t="s">
        <v>3583</v>
      </c>
      <c r="C627" s="8" t="s">
        <v>3586</v>
      </c>
      <c r="D627" s="8" t="str">
        <f>Q&amp;$K627&amp;Q&amp;":{"&amp;Q&amp;$B$2&amp;Q&amp;":"&amp;Q&amp;$B627&amp;Q&amp;","&amp;Q&amp;$C$2&amp;Q&amp;":"&amp;Q&amp;$C627&amp;Q&amp;","&amp;Q&amp;"sets"&amp;Q&amp;":"&amp;Q&amp;substitute(SUBSTITUTE($H627,"[",""),"]","")&amp;Q&amp;"},"</f>
        <v>"xczo":{"label":"Fourth Of July","extra":"The United States Independence Day. Lots of picnics and fireworks!","sets":"Junior"},</v>
      </c>
      <c r="E627" s="9" t="str">
        <f t="shared" si="2"/>
        <v>data:image/svg+xml,%3csvg xmlns='http://www.w3.org/2000/svg' viewBox='0 0 24 216'%3e%3ctext fill='%23fff' style='font: 900 16px sans-serif' text-anchor='end' transform='matrix(0 -1 1 0 18 5)'%3eFourth Of July%3c/text%3e%3c/svg%3e</v>
      </c>
      <c r="F627" s="14" t="str">
        <f t="shared" si="3"/>
        <v>https://svgtext.heliohost.us/cgi-bin/gen.perl?text=Fourth%20Of%20July</v>
      </c>
      <c r="G627" s="11" t="str">
        <f t="shared" si="4"/>
        <v>data:image/svg+xml,%3csvg xmlns='http://www.w3.org/2000/svg' viewBox='0 0 24 216'%3e%3ctext fill='%23fff' style='font: 900 16px sans-serif' text-anchor='end' transform='matrix(0 -1 1 0 18 5)'%3eFourth Of July%3c/text%3e%3c/svg%3e</v>
      </c>
      <c r="H627" s="8" t="s">
        <v>84</v>
      </c>
      <c r="I627" s="8">
        <f t="shared" ref="I627:J627" si="628">len(B627)</f>
        <v>14</v>
      </c>
      <c r="J627" s="8">
        <f t="shared" si="628"/>
        <v>66</v>
      </c>
      <c r="K627" s="8" t="s">
        <v>3587</v>
      </c>
    </row>
    <row r="628">
      <c r="A628" s="7" t="b">
        <v>0</v>
      </c>
      <c r="B628" s="8" t="s">
        <v>3588</v>
      </c>
      <c r="C628" s="8" t="s">
        <v>3589</v>
      </c>
      <c r="D628" s="8" t="str">
        <f>Q&amp;$K628&amp;Q&amp;":{"&amp;Q&amp;$B$2&amp;Q&amp;":"&amp;Q&amp;$B628&amp;Q&amp;","&amp;Q&amp;$C$2&amp;Q&amp;":"&amp;Q&amp;$C628&amp;Q&amp;","&amp;Q&amp;"sets"&amp;Q&amp;":"&amp;Q&amp;substitute(SUBSTITUTE($H628,"[",""),"]","")&amp;Q&amp;"},"</f>
        <v>"bwye":{"label":"Frank Lloyd Wright","extra":"1867-1959, pioneering American architect. Considered one of the greatest designers of the 20th century.","sets":"Expansion Set 1, Party Set"},</v>
      </c>
      <c r="E628" s="9" t="str">
        <f t="shared" si="2"/>
        <v>data:image/svg+xml,%3csvg xmlns='http://www.w3.org/2000/svg' viewBox='0 0 24 216'%3e%3ctext fill='%23fff' style='font: 900 16px sans-serif' text-anchor='end' transform='matrix(0 -1 1 0 18 5)'%3eFrank Lloyd Wright%3c/text%3e%3c/svg%3e</v>
      </c>
      <c r="F628" s="14" t="str">
        <f t="shared" si="3"/>
        <v>https://svgtext.heliohost.us/cgi-bin/gen.perl?text=Frank%20Lloyd%20Wright</v>
      </c>
      <c r="G628" s="11" t="str">
        <f t="shared" si="4"/>
        <v>data:image/svg+xml,%3csvg xmlns='http://www.w3.org/2000/svg' viewBox='0 0 24 216'%3e%3ctext fill='%23fff' style='font: 900 16px sans-serif' text-anchor='end' transform='matrix(0 -1 1 0 18 5)'%3eFrank Lloyd Wright%3c/text%3e%3c/svg%3e</v>
      </c>
      <c r="H628" s="8" t="s">
        <v>25</v>
      </c>
      <c r="I628" s="8">
        <f t="shared" ref="I628:J628" si="629">len(B628)</f>
        <v>18</v>
      </c>
      <c r="J628" s="8">
        <f t="shared" si="629"/>
        <v>103</v>
      </c>
      <c r="K628" s="8" t="s">
        <v>3590</v>
      </c>
    </row>
    <row r="629">
      <c r="A629" s="7" t="b">
        <v>0</v>
      </c>
      <c r="B629" s="8" t="s">
        <v>3591</v>
      </c>
      <c r="C629" s="8" t="s">
        <v>3592</v>
      </c>
      <c r="D629" s="8" t="str">
        <f>Q&amp;$K629&amp;Q&amp;":{"&amp;Q&amp;$B$2&amp;Q&amp;":"&amp;Q&amp;$B629&amp;Q&amp;","&amp;Q&amp;$C$2&amp;Q&amp;":"&amp;Q&amp;$C629&amp;Q&amp;","&amp;Q&amp;"sets"&amp;Q&amp;":"&amp;Q&amp;substitute(SUBSTITUTE($H629,"[",""),"]","")&amp;Q&amp;"},"</f>
        <v>"sklj":{"label":"Frank Sinatra","extra":"1915-98, the greatest American pop singer of his generation, award winning film and television actor. Do-be do-be do, baby.","sets":"Basic Set, Party Set"},</v>
      </c>
      <c r="E629" s="9" t="str">
        <f t="shared" si="2"/>
        <v>data:image/svg+xml,%3csvg xmlns='http://www.w3.org/2000/svg' viewBox='0 0 24 216'%3e%3ctext fill='%23fff' style='font: 900 16px sans-serif' text-anchor='end' transform='matrix(0 -1 1 0 18 5)'%3eFrank Sinatra%3c/text%3e%3c/svg%3e</v>
      </c>
      <c r="F629" s="14" t="str">
        <f t="shared" si="3"/>
        <v>https://svgtext.heliohost.us/cgi-bin/gen.perl?text=Frank%20Sinatra</v>
      </c>
      <c r="G629" s="11" t="str">
        <f t="shared" si="4"/>
        <v>data:image/svg+xml,%3csvg xmlns='http://www.w3.org/2000/svg' viewBox='0 0 24 216'%3e%3ctext fill='%23fff' style='font: 900 16px sans-serif' text-anchor='end' transform='matrix(0 -1 1 0 18 5)'%3eFrank Sinatra%3c/text%3e%3c/svg%3e</v>
      </c>
      <c r="H629" s="8" t="s">
        <v>29</v>
      </c>
      <c r="I629" s="8">
        <f t="shared" ref="I629:J629" si="630">len(B629)</f>
        <v>13</v>
      </c>
      <c r="J629" s="8">
        <f t="shared" si="630"/>
        <v>123</v>
      </c>
      <c r="K629" s="8" t="s">
        <v>3593</v>
      </c>
    </row>
    <row r="630">
      <c r="A630" s="7" t="b">
        <v>0</v>
      </c>
      <c r="B630" s="8" t="s">
        <v>3594</v>
      </c>
      <c r="C630" s="7" t="s">
        <v>3595</v>
      </c>
      <c r="D630" s="8" t="str">
        <f>Q&amp;$K630&amp;Q&amp;":{"&amp;Q&amp;$B$2&amp;Q&amp;":"&amp;Q&amp;$B630&amp;Q&amp;","&amp;Q&amp;$C$2&amp;Q&amp;":"&amp;Q&amp;$C630&amp;Q&amp;","&amp;Q&amp;"sets"&amp;Q&amp;":"&amp;Q&amp;substitute(SUBSTITUTE($H630,"[",""),"]","")&amp;Q&amp;"},"</f>
        <v>"ajco":{"label":"Freaks &amp; Geeks","extra":"The 1999 television show, or those outside the social norm.","sets":"Expansion Set 4, Party Expansion 1"},</v>
      </c>
      <c r="E630" s="9" t="str">
        <f t="shared" si="2"/>
        <v>data:image/svg+xml,%3csvg xmlns='http://www.w3.org/2000/svg' viewBox='0 0 24 216'%3e%3ctext fill='%23fff' style='font: 900 16px sans-serif' text-anchor='end' transform='matrix(0 -1 1 0 18 5)'%3eFreaks %26amp%3B Geeks%3c/text%3e%3c/svg%3e</v>
      </c>
      <c r="F630" s="14" t="str">
        <f t="shared" si="3"/>
        <v>https://svgtext.heliohost.us/cgi-bin/gen.perl?text=Freaks%20%26%20Geeks</v>
      </c>
      <c r="G630" s="11" t="str">
        <f t="shared" si="4"/>
        <v>data:image/svg+xml,%3csvg xmlns='http://www.w3.org/2000/svg' viewBox='0 0 24 216'%3e%3ctext fill='%23fff' style='font: 900 16px sans-serif' text-anchor='end' transform='matrix(0 -1 1 0 18 5)'%3eFreaks %26amp%3B Geeks%3c/text%3e%3c/svg%3e</v>
      </c>
      <c r="H630" s="8" t="s">
        <v>63</v>
      </c>
      <c r="I630" s="8">
        <f t="shared" ref="I630:J630" si="631">len(B630)</f>
        <v>14</v>
      </c>
      <c r="J630" s="8">
        <f t="shared" si="631"/>
        <v>59</v>
      </c>
      <c r="K630" s="8" t="s">
        <v>3596</v>
      </c>
    </row>
    <row r="631">
      <c r="A631" s="7" t="b">
        <v>0</v>
      </c>
      <c r="B631" s="8" t="s">
        <v>3597</v>
      </c>
      <c r="C631" s="8" t="s">
        <v>3598</v>
      </c>
      <c r="D631" s="8" t="str">
        <f>Q&amp;$K631&amp;Q&amp;":{"&amp;Q&amp;$B$2&amp;Q&amp;":"&amp;Q&amp;$B631&amp;Q&amp;","&amp;Q&amp;$C$2&amp;Q&amp;":"&amp;Q&amp;$C631&amp;Q&amp;","&amp;Q&amp;"sets"&amp;Q&amp;":"&amp;Q&amp;substitute(SUBSTITUTE($H631,"[",""),"]","")&amp;Q&amp;"},"</f>
        <v>"fyui":{"label":"Freckles","extra":"No matter what they tell you, freckles won't grow together to form a great-looking tan.","sets":"Expansion Set 1, Party Set"},</v>
      </c>
      <c r="E631" s="9" t="str">
        <f t="shared" si="2"/>
        <v>data:image/svg+xml,%3csvg xmlns='http://www.w3.org/2000/svg' viewBox='0 0 24 216'%3e%3ctext fill='%23fff' style='font: 900 16px sans-serif' text-anchor='end' transform='matrix(0 -1 1 0 18 5)'%3eFreckles%3c/text%3e%3c/svg%3e</v>
      </c>
      <c r="F631" s="14" t="str">
        <f t="shared" si="3"/>
        <v>https://svgtext.heliohost.us/cgi-bin/gen.perl?text=Freckles</v>
      </c>
      <c r="G631" s="11" t="str">
        <f t="shared" si="4"/>
        <v>data:image/svg+xml,%3csvg xmlns='http://www.w3.org/2000/svg' viewBox='0 0 24 216'%3e%3ctext fill='%23fff' style='font: 900 16px sans-serif' text-anchor='end' transform='matrix(0 -1 1 0 18 5)'%3eFreckles%3c/text%3e%3c/svg%3e</v>
      </c>
      <c r="H631" s="8" t="s">
        <v>25</v>
      </c>
      <c r="I631" s="8">
        <f t="shared" ref="I631:J631" si="632">len(B631)</f>
        <v>8</v>
      </c>
      <c r="J631" s="8">
        <f t="shared" si="632"/>
        <v>87</v>
      </c>
      <c r="K631" s="8" t="s">
        <v>3599</v>
      </c>
    </row>
    <row r="632">
      <c r="A632" s="7" t="b">
        <v>1</v>
      </c>
      <c r="B632" s="8" t="s">
        <v>3597</v>
      </c>
      <c r="C632" s="8" t="s">
        <v>3600</v>
      </c>
      <c r="D632" s="8" t="str">
        <f>Q&amp;$K632&amp;Q&amp;":{"&amp;Q&amp;$B$2&amp;Q&amp;":"&amp;Q&amp;$B632&amp;Q&amp;","&amp;Q&amp;$C$2&amp;Q&amp;":"&amp;Q&amp;$C632&amp;Q&amp;","&amp;Q&amp;"sets"&amp;Q&amp;":"&amp;Q&amp;substitute(SUBSTITUTE($H632,"[",""),"]","")&amp;Q&amp;"},"</f>
        <v>"oarl":{"label":"Freckles","extra":"The more the merrier!","sets":"Junior 9+ (2nd)"},</v>
      </c>
      <c r="E632" s="9" t="str">
        <f t="shared" si="2"/>
        <v>data:image/svg+xml,%3csvg xmlns='http://www.w3.org/2000/svg' viewBox='0 0 24 216'%3e%3ctext fill='%23fff' style='font: 900 16px sans-serif' text-anchor='end' transform='matrix(0 -1 1 0 18 5)'%3eFreckles%3c/text%3e%3c/svg%3e</v>
      </c>
      <c r="F632" s="14" t="str">
        <f t="shared" si="3"/>
        <v>https://svgtext.heliohost.us/cgi-bin/gen.perl?text=Freckles</v>
      </c>
      <c r="G632" s="11" t="str">
        <f t="shared" si="4"/>
        <v>data:image/svg+xml,%3csvg xmlns='http://www.w3.org/2000/svg' viewBox='0 0 24 216'%3e%3ctext fill='%23fff' style='font: 900 16px sans-serif' text-anchor='end' transform='matrix(0 -1 1 0 18 5)'%3eFreckles%3c/text%3e%3c/svg%3e</v>
      </c>
      <c r="H632" s="8" t="s">
        <v>32</v>
      </c>
      <c r="I632" s="8">
        <f t="shared" ref="I632:J632" si="633">len(B632)</f>
        <v>8</v>
      </c>
      <c r="J632" s="8">
        <f t="shared" si="633"/>
        <v>21</v>
      </c>
      <c r="K632" s="8" t="s">
        <v>3601</v>
      </c>
    </row>
    <row r="633">
      <c r="A633" s="7" t="b">
        <v>1</v>
      </c>
      <c r="B633" s="8" t="s">
        <v>3602</v>
      </c>
      <c r="C633" s="8" t="s">
        <v>3603</v>
      </c>
      <c r="D633" s="8" t="str">
        <f>Q&amp;$K633&amp;Q&amp;":{"&amp;Q&amp;$B$2&amp;Q&amp;":"&amp;Q&amp;$B633&amp;Q&amp;","&amp;Q&amp;$C$2&amp;Q&amp;":"&amp;Q&amp;$C633&amp;Q&amp;","&amp;Q&amp;"sets"&amp;Q&amp;":"&amp;Q&amp;substitute(SUBSTITUTE($H633,"[",""),"]","")&amp;Q&amp;"},"</f>
        <v>"myik":{"label":"Fred &amp; Ginger","extra":"Fred Astair &amp; Ginger Rogerstap dancing their way into the hearts of millions.","sets":"Expansion Set 4, Party Expansion 1"},</v>
      </c>
      <c r="E633" s="9" t="str">
        <f t="shared" si="2"/>
        <v>data:image/svg+xml,%3csvg xmlns='http://www.w3.org/2000/svg' viewBox='0 0 24 216'%3e%3ctext fill='%23fff' style='font: 900 16px sans-serif' text-anchor='end' transform='matrix(0 -1 1 0 18 5)'%3eFred %26amp%3B Ginger%3c/text%3e%3c/svg%3e</v>
      </c>
      <c r="F633" s="14" t="str">
        <f t="shared" si="3"/>
        <v>https://svgtext.heliohost.us/cgi-bin/gen.perl?text=Fred%20%26%20Ginger</v>
      </c>
      <c r="G633" s="11" t="str">
        <f t="shared" si="4"/>
        <v>data:image/svg+xml,%3csvg xmlns='http://www.w3.org/2000/svg' viewBox='0 0 24 216'%3e%3ctext fill='%23fff' style='font: 900 16px sans-serif' text-anchor='end' transform='matrix(0 -1 1 0 18 5)'%3eFred %26amp%3B Ginger%3c/text%3e%3c/svg%3e</v>
      </c>
      <c r="H633" s="8" t="s">
        <v>63</v>
      </c>
      <c r="I633" s="8">
        <f t="shared" ref="I633:J633" si="634">len(B633)</f>
        <v>13</v>
      </c>
      <c r="J633" s="8">
        <f t="shared" si="634"/>
        <v>77</v>
      </c>
      <c r="K633" s="8" t="s">
        <v>3604</v>
      </c>
    </row>
    <row r="634">
      <c r="A634" s="7" t="b">
        <v>1</v>
      </c>
      <c r="B634" s="8" t="s">
        <v>3605</v>
      </c>
      <c r="C634" s="7" t="s">
        <v>3606</v>
      </c>
      <c r="D634" s="8" t="str">
        <f>Q&amp;$K634&amp;Q&amp;":{"&amp;Q&amp;$B$2&amp;Q&amp;":"&amp;Q&amp;$B634&amp;Q&amp;","&amp;Q&amp;$C$2&amp;Q&amp;":"&amp;Q&amp;$C634&amp;Q&amp;","&amp;Q&amp;"sets"&amp;Q&amp;":"&amp;Q&amp;substitute(SUBSTITUTE($H634,"[",""),"]","")&amp;Q&amp;"},"</f>
        <v>"ynlf":{"label":"Fred &amp; Wilma","extra":"Meet the Flintstones. “Yabba-dabba-doooo!”","sets":"Expansion Set 4, Party Expansion 1"},</v>
      </c>
      <c r="E634" s="9" t="str">
        <f t="shared" si="2"/>
        <v>data:image/svg+xml,%3csvg xmlns='http://www.w3.org/2000/svg' viewBox='0 0 24 216'%3e%3ctext fill='%23fff' style='font: 900 16px sans-serif' text-anchor='end' transform='matrix(0 -1 1 0 18 5)'%3eFred %26amp%3B Wilma%3c/text%3e%3c/svg%3e</v>
      </c>
      <c r="F634" s="14" t="str">
        <f t="shared" si="3"/>
        <v>https://svgtext.heliohost.us/cgi-bin/gen.perl?text=Fred%20%26%20Wilma</v>
      </c>
      <c r="G634" s="11" t="str">
        <f t="shared" si="4"/>
        <v>data:image/svg+xml,%3csvg xmlns='http://www.w3.org/2000/svg' viewBox='0 0 24 216'%3e%3ctext fill='%23fff' style='font: 900 16px sans-serif' text-anchor='end' transform='matrix(0 -1 1 0 18 5)'%3eFred %26amp%3B Wilma%3c/text%3e%3c/svg%3e</v>
      </c>
      <c r="H634" s="8" t="s">
        <v>63</v>
      </c>
      <c r="I634" s="8">
        <f t="shared" ref="I634:J634" si="635">len(B634)</f>
        <v>12</v>
      </c>
      <c r="J634" s="8">
        <f t="shared" si="635"/>
        <v>42</v>
      </c>
      <c r="K634" s="8" t="s">
        <v>3607</v>
      </c>
    </row>
    <row r="635">
      <c r="A635" s="7" t="b">
        <v>1</v>
      </c>
      <c r="B635" s="8" t="s">
        <v>3608</v>
      </c>
      <c r="C635" s="8" t="s">
        <v>3609</v>
      </c>
      <c r="D635" s="8" t="str">
        <f>Q&amp;$K635&amp;Q&amp;":{"&amp;Q&amp;$B$2&amp;Q&amp;":"&amp;Q&amp;$B635&amp;Q&amp;","&amp;Q&amp;$C$2&amp;Q&amp;":"&amp;Q&amp;$C635&amp;Q&amp;","&amp;Q&amp;"sets"&amp;Q&amp;":"&amp;Q&amp;substitute(SUBSTITUTE($H635,"[",""),"]","")&amp;Q&amp;"},"</f>
        <v>"npvm":{"label":"Fred Flintstone","extra":"Yaba-daba-dooooo!","sets":"Expansion Set 3, Party Expansion 1"},</v>
      </c>
      <c r="E635" s="9" t="str">
        <f t="shared" si="2"/>
        <v>data:image/svg+xml,%3csvg xmlns='http://www.w3.org/2000/svg' viewBox='0 0 24 216'%3e%3ctext fill='%23fff' style='font: 900 16px sans-serif' text-anchor='end' transform='matrix(0 -1 1 0 18 5)'%3eFred Flintstone%3c/text%3e%3c/svg%3e</v>
      </c>
      <c r="F635" s="14" t="str">
        <f t="shared" si="3"/>
        <v>https://svgtext.heliohost.us/cgi-bin/gen.perl?text=Fred%20Flintstone</v>
      </c>
      <c r="G635" s="11" t="str">
        <f t="shared" si="4"/>
        <v>data:image/svg+xml,%3csvg xmlns='http://www.w3.org/2000/svg' viewBox='0 0 24 216'%3e%3ctext fill='%23fff' style='font: 900 16px sans-serif' text-anchor='end' transform='matrix(0 -1 1 0 18 5)'%3eFred Flintstone%3c/text%3e%3c/svg%3e</v>
      </c>
      <c r="H635" s="8" t="s">
        <v>39</v>
      </c>
      <c r="I635" s="8">
        <f t="shared" ref="I635:J635" si="636">len(B635)</f>
        <v>15</v>
      </c>
      <c r="J635" s="8">
        <f t="shared" si="636"/>
        <v>17</v>
      </c>
      <c r="K635" s="8" t="s">
        <v>3610</v>
      </c>
    </row>
    <row r="636">
      <c r="A636" s="7" t="b">
        <v>0</v>
      </c>
      <c r="B636" s="8" t="s">
        <v>3611</v>
      </c>
      <c r="C636" s="8" t="s">
        <v>3612</v>
      </c>
      <c r="D636" s="8" t="str">
        <f>Q&amp;$K636&amp;Q&amp;":{"&amp;Q&amp;$B$2&amp;Q&amp;":"&amp;Q&amp;$B636&amp;Q&amp;","&amp;Q&amp;$C$2&amp;Q&amp;":"&amp;Q&amp;$C636&amp;Q&amp;","&amp;Q&amp;"sets"&amp;Q&amp;":"&amp;Q&amp;substitute(SUBSTITUTE($H636,"[",""),"]","")&amp;Q&amp;"},"</f>
        <v>"vjuh":{"label":"Freedom","extra":"Express yourself!","sets":"Expansion Set 1, Party Set"},</v>
      </c>
      <c r="E636" s="9" t="str">
        <f t="shared" si="2"/>
        <v>data:image/svg+xml,%3csvg xmlns='http://www.w3.org/2000/svg' viewBox='0 0 24 216'%3e%3ctext fill='%23fff' style='font: 900 16px sans-serif' text-anchor='end' transform='matrix(0 -1 1 0 18 5)'%3eFreedom%3c/text%3e%3c/svg%3e</v>
      </c>
      <c r="F636" s="14" t="str">
        <f t="shared" si="3"/>
        <v>https://svgtext.heliohost.us/cgi-bin/gen.perl?text=Freedom</v>
      </c>
      <c r="G636" s="11" t="str">
        <f t="shared" si="4"/>
        <v>data:image/svg+xml,%3csvg xmlns='http://www.w3.org/2000/svg' viewBox='0 0 24 216'%3e%3ctext fill='%23fff' style='font: 900 16px sans-serif' text-anchor='end' transform='matrix(0 -1 1 0 18 5)'%3eFreedom%3c/text%3e%3c/svg%3e</v>
      </c>
      <c r="H636" s="8" t="s">
        <v>25</v>
      </c>
      <c r="I636" s="8">
        <f t="shared" ref="I636:J636" si="637">len(B636)</f>
        <v>7</v>
      </c>
      <c r="J636" s="8">
        <f t="shared" si="637"/>
        <v>17</v>
      </c>
      <c r="K636" s="8" t="s">
        <v>3613</v>
      </c>
    </row>
    <row r="637">
      <c r="A637" s="7" t="b">
        <v>1</v>
      </c>
      <c r="B637" s="8" t="s">
        <v>3614</v>
      </c>
      <c r="C637" s="8" t="s">
        <v>3615</v>
      </c>
      <c r="D637" s="8" t="str">
        <f>Q&amp;$K637&amp;Q&amp;":{"&amp;Q&amp;$B$2&amp;Q&amp;":"&amp;Q&amp;$B637&amp;Q&amp;","&amp;Q&amp;$C$2&amp;Q&amp;":"&amp;Q&amp;$C637&amp;Q&amp;","&amp;Q&amp;"sets"&amp;Q&amp;":"&amp;Q&amp;substitute(SUBSTITUTE($H637,"[",""),"]","")&amp;Q&amp;"},"</f>
        <v>"mskp":{"label":"French Fries","extra":"In Europe, French fries are usually eaten with a fork.","sets":"Junior 9+ (1st) &amp; (2nd)"},</v>
      </c>
      <c r="E637" s="9" t="str">
        <f t="shared" si="2"/>
        <v>data:image/svg+xml,%3csvg xmlns='http://www.w3.org/2000/svg' viewBox='0 0 24 216'%3e%3ctext fill='%23fff' style='font: 900 16px sans-serif' text-anchor='end' transform='matrix(0 -1 1 0 18 5)'%3eFrench Fries%3c/text%3e%3c/svg%3e</v>
      </c>
      <c r="F637" s="14" t="str">
        <f t="shared" si="3"/>
        <v>https://svgtext.heliohost.us/cgi-bin/gen.perl?text=French%20Fries</v>
      </c>
      <c r="G637" s="11" t="str">
        <f t="shared" si="4"/>
        <v>data:image/svg+xml,%3csvg xmlns='http://www.w3.org/2000/svg' viewBox='0 0 24 216'%3e%3ctext fill='%23fff' style='font: 900 16px sans-serif' text-anchor='end' transform='matrix(0 -1 1 0 18 5)'%3eFrench Fries%3c/text%3e%3c/svg%3e</v>
      </c>
      <c r="H637" s="8" t="s">
        <v>42</v>
      </c>
      <c r="I637" s="8">
        <f t="shared" ref="I637:J637" si="638">len(B637)</f>
        <v>12</v>
      </c>
      <c r="J637" s="8">
        <f t="shared" si="638"/>
        <v>54</v>
      </c>
      <c r="K637" s="8" t="s">
        <v>3616</v>
      </c>
    </row>
    <row r="638">
      <c r="A638" s="7" t="b">
        <v>0</v>
      </c>
      <c r="B638" s="8" t="s">
        <v>3617</v>
      </c>
      <c r="C638" s="7" t="s">
        <v>3618</v>
      </c>
      <c r="D638" s="8" t="str">
        <f>Q&amp;$K638&amp;Q&amp;":{"&amp;Q&amp;$B$2&amp;Q&amp;":"&amp;Q&amp;$B638&amp;Q&amp;","&amp;Q&amp;$C$2&amp;Q&amp;":"&amp;Q&amp;$C638&amp;Q&amp;","&amp;Q&amp;"sets"&amp;Q&amp;":"&amp;Q&amp;substitute(SUBSTITUTE($H638,"[",""),"]","")&amp;Q&amp;"},"</f>
        <v>"jlzf":{"label":"French Wines","extra":"The perfect complement to an overpriced meal.","sets":"Expansion Set 2, Party Set"},</v>
      </c>
      <c r="E638" s="9" t="str">
        <f t="shared" si="2"/>
        <v>data:image/svg+xml,%3csvg xmlns='http://www.w3.org/2000/svg' viewBox='0 0 24 216'%3e%3ctext fill='%23fff' style='font: 900 16px sans-serif' text-anchor='end' transform='matrix(0 -1 1 0 18 5)'%3eFrench Wines%3c/text%3e%3c/svg%3e</v>
      </c>
      <c r="F638" s="14" t="str">
        <f t="shared" si="3"/>
        <v>https://svgtext.heliohost.us/cgi-bin/gen.perl?text=French%20Wines</v>
      </c>
      <c r="G638" s="11" t="str">
        <f t="shared" si="4"/>
        <v>data:image/svg+xml,%3csvg xmlns='http://www.w3.org/2000/svg' viewBox='0 0 24 216'%3e%3ctext fill='%23fff' style='font: 900 16px sans-serif' text-anchor='end' transform='matrix(0 -1 1 0 18 5)'%3eFrench Wines%3c/text%3e%3c/svg%3e</v>
      </c>
      <c r="H638" s="8" t="s">
        <v>17</v>
      </c>
      <c r="I638" s="8">
        <f t="shared" ref="I638:J638" si="639">len(B638)</f>
        <v>12</v>
      </c>
      <c r="J638" s="8">
        <f t="shared" si="639"/>
        <v>45</v>
      </c>
      <c r="K638" s="8" t="s">
        <v>3619</v>
      </c>
    </row>
    <row r="639">
      <c r="A639" s="7" t="b">
        <v>0</v>
      </c>
      <c r="B639" s="8" t="s">
        <v>3620</v>
      </c>
      <c r="C639" s="7" t="s">
        <v>3621</v>
      </c>
      <c r="D639" s="8" t="str">
        <f>Q&amp;$K639&amp;Q&amp;":{"&amp;Q&amp;$B$2&amp;Q&amp;":"&amp;Q&amp;$B639&amp;Q&amp;","&amp;Q&amp;$C$2&amp;Q&amp;":"&amp;Q&amp;$C639&amp;Q&amp;","&amp;Q&amp;"sets"&amp;Q&amp;":"&amp;Q&amp;substitute(SUBSTITUTE($H639,"[",""),"]","")&amp;Q&amp;"},"</f>
        <v>"dypp":{"label":"Fresh Water Pearls","extra":"String them along…","sets":"Expansion Set 2, Party Set"},</v>
      </c>
      <c r="E639" s="9" t="str">
        <f t="shared" si="2"/>
        <v>data:image/svg+xml,%3csvg xmlns='http://www.w3.org/2000/svg' viewBox='0 0 24 216'%3e%3ctext fill='%23fff' style='font: 900 16px sans-serif' text-anchor='end' transform='matrix(0 -1 1 0 18 5)'%3eFresh Water Pearls%3c/text%3e%3c/svg%3e</v>
      </c>
      <c r="F639" s="14" t="str">
        <f t="shared" si="3"/>
        <v>https://svgtext.heliohost.us/cgi-bin/gen.perl?text=Fresh%20Water%20Pearls</v>
      </c>
      <c r="G639" s="11" t="str">
        <f t="shared" si="4"/>
        <v>data:image/svg+xml,%3csvg xmlns='http://www.w3.org/2000/svg' viewBox='0 0 24 216'%3e%3ctext fill='%23fff' style='font: 900 16px sans-serif' text-anchor='end' transform='matrix(0 -1 1 0 18 5)'%3eFresh Water Pearls%3c/text%3e%3c/svg%3e</v>
      </c>
      <c r="H639" s="8" t="s">
        <v>17</v>
      </c>
      <c r="I639" s="8">
        <f t="shared" ref="I639:J639" si="640">len(B639)</f>
        <v>18</v>
      </c>
      <c r="J639" s="8">
        <f t="shared" si="640"/>
        <v>18</v>
      </c>
      <c r="K639" s="8" t="s">
        <v>3622</v>
      </c>
    </row>
    <row r="640">
      <c r="A640" s="7" t="b">
        <v>0</v>
      </c>
      <c r="B640" s="8" t="s">
        <v>3623</v>
      </c>
      <c r="C640" s="7" t="s">
        <v>3624</v>
      </c>
      <c r="D640" s="8" t="str">
        <f>Q&amp;$K640&amp;Q&amp;":{"&amp;Q&amp;$B$2&amp;Q&amp;":"&amp;Q&amp;$B640&amp;Q&amp;","&amp;Q&amp;$C$2&amp;Q&amp;":"&amp;Q&amp;$C640&amp;Q&amp;","&amp;Q&amp;"sets"&amp;Q&amp;":"&amp;Q&amp;substitute(SUBSTITUTE($H640,"[",""),"]","")&amp;Q&amp;"},"</f>
        <v>"ntkl":{"label":"Friction","extra":"Resistance to the motion of a body in contact with another body… any body will do.","sets":"Basic Set, Party Set"},</v>
      </c>
      <c r="E640" s="9" t="str">
        <f t="shared" si="2"/>
        <v>data:image/svg+xml,%3csvg xmlns='http://www.w3.org/2000/svg' viewBox='0 0 24 216'%3e%3ctext fill='%23fff' style='font: 900 16px sans-serif' text-anchor='end' transform='matrix(0 -1 1 0 18 5)'%3eFriction%3c/text%3e%3c/svg%3e</v>
      </c>
      <c r="F640" s="14" t="str">
        <f t="shared" si="3"/>
        <v>https://svgtext.heliohost.us/cgi-bin/gen.perl?text=Friction</v>
      </c>
      <c r="G640" s="11" t="str">
        <f t="shared" si="4"/>
        <v>data:image/svg+xml,%3csvg xmlns='http://www.w3.org/2000/svg' viewBox='0 0 24 216'%3e%3ctext fill='%23fff' style='font: 900 16px sans-serif' text-anchor='end' transform='matrix(0 -1 1 0 18 5)'%3eFriction%3c/text%3e%3c/svg%3e</v>
      </c>
      <c r="H640" s="8" t="s">
        <v>29</v>
      </c>
      <c r="I640" s="8">
        <f t="shared" ref="I640:J640" si="641">len(B640)</f>
        <v>8</v>
      </c>
      <c r="J640" s="8">
        <f t="shared" si="641"/>
        <v>82</v>
      </c>
      <c r="K640" s="8" t="s">
        <v>3625</v>
      </c>
    </row>
    <row r="641">
      <c r="A641" s="7" t="b">
        <v>1</v>
      </c>
      <c r="B641" s="8" t="s">
        <v>3626</v>
      </c>
      <c r="C641" s="8" t="s">
        <v>3627</v>
      </c>
      <c r="D641" s="8" t="str">
        <f>Q&amp;$K641&amp;Q&amp;":{"&amp;Q&amp;$B$2&amp;Q&amp;":"&amp;Q&amp;$B641&amp;Q&amp;","&amp;Q&amp;$C$2&amp;Q&amp;":"&amp;Q&amp;$C641&amp;Q&amp;","&amp;Q&amp;"sets"&amp;Q&amp;":"&amp;Q&amp;substitute(SUBSTITUTE($H641,"[",""),"]","")&amp;Q&amp;"},"</f>
        <v>"yscf":{"label":"Friends &amp; Family","extra":"There when you need them.","sets":"Expansion Set 4, Party Expansion 1"},</v>
      </c>
      <c r="E641" s="9" t="str">
        <f t="shared" si="2"/>
        <v>data:image/svg+xml,%3csvg xmlns='http://www.w3.org/2000/svg' viewBox='0 0 24 216'%3e%3ctext fill='%23fff' style='font: 900 16px sans-serif' text-anchor='end' transform='matrix(0 -1 1 0 18 5)'%3eFriends %26amp%3B Family%3c/text%3e%3c/svg%3e</v>
      </c>
      <c r="F641" s="14" t="str">
        <f t="shared" si="3"/>
        <v>https://svgtext.heliohost.us/cgi-bin/gen.perl?text=Friends%20%26%20Family</v>
      </c>
      <c r="G641" s="11" t="str">
        <f t="shared" si="4"/>
        <v>data:image/svg+xml,%3csvg xmlns='http://www.w3.org/2000/svg' viewBox='0 0 24 216'%3e%3ctext fill='%23fff' style='font: 900 16px sans-serif' text-anchor='end' transform='matrix(0 -1 1 0 18 5)'%3eFriends %26amp%3B Family%3c/text%3e%3c/svg%3e</v>
      </c>
      <c r="H641" s="8" t="s">
        <v>63</v>
      </c>
      <c r="I641" s="8">
        <f t="shared" ref="I641:J641" si="642">len(B641)</f>
        <v>16</v>
      </c>
      <c r="J641" s="8">
        <f t="shared" si="642"/>
        <v>25</v>
      </c>
      <c r="K641" s="8" t="s">
        <v>3628</v>
      </c>
    </row>
    <row r="642">
      <c r="A642" s="7" t="b">
        <v>1</v>
      </c>
      <c r="B642" s="8" t="s">
        <v>3629</v>
      </c>
      <c r="C642" s="7" t="s">
        <v>3630</v>
      </c>
      <c r="D642" s="8" t="str">
        <f>Q&amp;$K642&amp;Q&amp;":{"&amp;Q&amp;$B$2&amp;Q&amp;":"&amp;Q&amp;$B642&amp;Q&amp;","&amp;Q&amp;$C$2&amp;Q&amp;":"&amp;Q&amp;$C642&amp;Q&amp;","&amp;Q&amp;"sets"&amp;Q&amp;":"&amp;Q&amp;substitute(SUBSTITUTE($H642,"[",""),"]","")&amp;Q&amp;"},"</f>
        <v>"epbw":{"label":"Frisbees","extra":"The frisbee was introduced to the market in 1948. Take one for a spin.","sets":"Expansion Set 3, Party Expansion 1"},</v>
      </c>
      <c r="E642" s="9" t="str">
        <f t="shared" si="2"/>
        <v>data:image/svg+xml,%3csvg xmlns='http://www.w3.org/2000/svg' viewBox='0 0 24 216'%3e%3ctext fill='%23fff' style='font: 900 16px sans-serif' text-anchor='end' transform='matrix(0 -1 1 0 18 5)'%3eFrisbees%3c/text%3e%3c/svg%3e</v>
      </c>
      <c r="F642" s="14" t="str">
        <f t="shared" si="3"/>
        <v>https://svgtext.heliohost.us/cgi-bin/gen.perl?text=Frisbees</v>
      </c>
      <c r="G642" s="11" t="str">
        <f t="shared" si="4"/>
        <v>data:image/svg+xml,%3csvg xmlns='http://www.w3.org/2000/svg' viewBox='0 0 24 216'%3e%3ctext fill='%23fff' style='font: 900 16px sans-serif' text-anchor='end' transform='matrix(0 -1 1 0 18 5)'%3eFrisbees%3c/text%3e%3c/svg%3e</v>
      </c>
      <c r="H642" s="8" t="s">
        <v>39</v>
      </c>
      <c r="I642" s="8">
        <f t="shared" ref="I642:J642" si="643">len(B642)</f>
        <v>8</v>
      </c>
      <c r="J642" s="8">
        <f t="shared" si="643"/>
        <v>70</v>
      </c>
      <c r="K642" s="8" t="s">
        <v>3631</v>
      </c>
    </row>
    <row r="643">
      <c r="A643" s="7" t="b">
        <v>1</v>
      </c>
      <c r="B643" s="8" t="s">
        <v>3632</v>
      </c>
      <c r="C643" s="7" t="s">
        <v>3633</v>
      </c>
      <c r="D643" s="8" t="str">
        <f>Q&amp;$K643&amp;Q&amp;":{"&amp;Q&amp;$B$2&amp;Q&amp;":"&amp;Q&amp;$B643&amp;Q&amp;","&amp;Q&amp;$C$2&amp;Q&amp;":"&amp;Q&amp;$C643&amp;Q&amp;","&amp;Q&amp;"sets"&amp;Q&amp;":"&amp;Q&amp;substitute(SUBSTITUTE($H643,"[",""),"]","")&amp;Q&amp;"},"</f>
        <v>"xodh":{"label":"Frog &amp; Toad","extra":"Characters in a series of children’s books by Arnold Lobel, or any of the millions of frogs and toads who choose not to wear clothes.","sets":"Expansion Set 4, Party Expansion 1"},</v>
      </c>
      <c r="E643" s="9" t="str">
        <f t="shared" si="2"/>
        <v>data:image/svg+xml,%3csvg xmlns='http://www.w3.org/2000/svg' viewBox='0 0 24 216'%3e%3ctext fill='%23fff' style='font: 900 16px sans-serif' text-anchor='end' transform='matrix(0 -1 1 0 18 5)'%3eFrog %26amp%3B Toad%3c/text%3e%3c/svg%3e</v>
      </c>
      <c r="F643" s="14" t="str">
        <f t="shared" si="3"/>
        <v>https://svgtext.heliohost.us/cgi-bin/gen.perl?text=Frog%20%26%20Toad</v>
      </c>
      <c r="G643" s="11" t="str">
        <f t="shared" si="4"/>
        <v>data:image/svg+xml,%3csvg xmlns='http://www.w3.org/2000/svg' viewBox='0 0 24 216'%3e%3ctext fill='%23fff' style='font: 900 16px sans-serif' text-anchor='end' transform='matrix(0 -1 1 0 18 5)'%3eFrog %26amp%3B Toad%3c/text%3e%3c/svg%3e</v>
      </c>
      <c r="H643" s="8" t="s">
        <v>63</v>
      </c>
      <c r="I643" s="8">
        <f t="shared" ref="I643:J643" si="644">len(B643)</f>
        <v>11</v>
      </c>
      <c r="J643" s="8">
        <f t="shared" si="644"/>
        <v>133</v>
      </c>
      <c r="K643" s="8" t="s">
        <v>3634</v>
      </c>
    </row>
    <row r="644">
      <c r="A644" s="7" t="b">
        <v>1</v>
      </c>
      <c r="B644" s="8" t="s">
        <v>3635</v>
      </c>
      <c r="C644" s="8" t="s">
        <v>3636</v>
      </c>
      <c r="D644" s="8" t="str">
        <f>Q&amp;$K644&amp;Q&amp;":{"&amp;Q&amp;$B$2&amp;Q&amp;":"&amp;Q&amp;$B644&amp;Q&amp;","&amp;Q&amp;$C$2&amp;Q&amp;":"&amp;Q&amp;$C644&amp;Q&amp;","&amp;Q&amp;"sets"&amp;Q&amp;":"&amp;Q&amp;substitute(SUBSTITUTE($H644,"[",""),"]","")&amp;Q&amp;"},"</f>
        <v>"jjyd":{"label":"Frogs","extra":"Some frogs can jump 20 feet.","sets":"Junior 9+ (1st) &amp; (2nd)"},</v>
      </c>
      <c r="E644" s="9" t="str">
        <f t="shared" si="2"/>
        <v>data:image/svg+xml,%3csvg xmlns='http://www.w3.org/2000/svg' viewBox='0 0 24 216'%3e%3ctext fill='%23fff' style='font: 900 16px sans-serif' text-anchor='end' transform='matrix(0 -1 1 0 18 5)'%3eFrogs%3c/text%3e%3c/svg%3e</v>
      </c>
      <c r="F644" s="14" t="str">
        <f t="shared" si="3"/>
        <v>https://svgtext.heliohost.us/cgi-bin/gen.perl?text=Frogs</v>
      </c>
      <c r="G644" s="11" t="str">
        <f t="shared" si="4"/>
        <v>data:image/svg+xml,%3csvg xmlns='http://www.w3.org/2000/svg' viewBox='0 0 24 216'%3e%3ctext fill='%23fff' style='font: 900 16px sans-serif' text-anchor='end' transform='matrix(0 -1 1 0 18 5)'%3eFrogs%3c/text%3e%3c/svg%3e</v>
      </c>
      <c r="H644" s="8" t="s">
        <v>42</v>
      </c>
      <c r="I644" s="8">
        <f t="shared" ref="I644:J644" si="645">len(B644)</f>
        <v>5</v>
      </c>
      <c r="J644" s="8">
        <f t="shared" si="645"/>
        <v>28</v>
      </c>
      <c r="K644" s="8" t="s">
        <v>3637</v>
      </c>
    </row>
    <row r="645">
      <c r="A645" s="7" t="b">
        <v>1</v>
      </c>
      <c r="B645" s="8" t="s">
        <v>3638</v>
      </c>
      <c r="C645" s="8" t="s">
        <v>3639</v>
      </c>
      <c r="D645" s="8" t="str">
        <f>Q&amp;$K645&amp;Q&amp;":{"&amp;Q&amp;$B$2&amp;Q&amp;":"&amp;Q&amp;$B645&amp;Q&amp;","&amp;Q&amp;$C$2&amp;Q&amp;":"&amp;Q&amp;$C645&amp;Q&amp;","&amp;Q&amp;"sets"&amp;Q&amp;":"&amp;Q&amp;substitute(SUBSTITUTE($H645,"[",""),"]","")&amp;Q&amp;"},"</f>
        <v>"coxo":{"label":"Frosty The Snowman","extra":"This snowman has a corncob pipe and a button nose.","sets":"Junior"},</v>
      </c>
      <c r="E645" s="9" t="str">
        <f t="shared" si="2"/>
        <v>data:image/svg+xml,%3csvg xmlns='http://www.w3.org/2000/svg' viewBox='0 0 24 216'%3e%3ctext fill='%23fff' style='font: 900 16px sans-serif' text-anchor='end' transform='matrix(0 -1 1 0 18 5)'%3eFrosty The Snowman%3c/text%3e%3c/svg%3e</v>
      </c>
      <c r="F645" s="14" t="str">
        <f t="shared" si="3"/>
        <v>https://svgtext.heliohost.us/cgi-bin/gen.perl?text=Frosty%20The%20Snowman</v>
      </c>
      <c r="G645" s="11" t="str">
        <f t="shared" si="4"/>
        <v>data:image/svg+xml,%3csvg xmlns='http://www.w3.org/2000/svg' viewBox='0 0 24 216'%3e%3ctext fill='%23fff' style='font: 900 16px sans-serif' text-anchor='end' transform='matrix(0 -1 1 0 18 5)'%3eFrosty The Snowman%3c/text%3e%3c/svg%3e</v>
      </c>
      <c r="H645" s="8" t="s">
        <v>84</v>
      </c>
      <c r="I645" s="8">
        <f t="shared" ref="I645:J645" si="646">len(B645)</f>
        <v>18</v>
      </c>
      <c r="J645" s="8">
        <f t="shared" si="646"/>
        <v>50</v>
      </c>
      <c r="K645" s="8" t="s">
        <v>3640</v>
      </c>
    </row>
    <row r="646">
      <c r="A646" s="7" t="b">
        <v>1</v>
      </c>
      <c r="B646" s="8" t="s">
        <v>3641</v>
      </c>
      <c r="C646" s="8" t="s">
        <v>3642</v>
      </c>
      <c r="D646" s="8" t="str">
        <f>Q&amp;$K646&amp;Q&amp;":{"&amp;Q&amp;$B$2&amp;Q&amp;":"&amp;Q&amp;$B646&amp;Q&amp;","&amp;Q&amp;$C$2&amp;Q&amp;":"&amp;Q&amp;$C646&amp;Q&amp;","&amp;Q&amp;"sets"&amp;Q&amp;":"&amp;Q&amp;substitute(SUBSTITUTE($H646,"[",""),"]","")&amp;Q&amp;"},"</f>
        <v>"mygx":{"label":"Frozen Peas","extra":"Right under the frozen pizza.","sets":"Junior 9+ (2nd)"},</v>
      </c>
      <c r="E646" s="9" t="str">
        <f t="shared" si="2"/>
        <v>data:image/svg+xml,%3csvg xmlns='http://www.w3.org/2000/svg' viewBox='0 0 24 216'%3e%3ctext fill='%23fff' style='font: 900 16px sans-serif' text-anchor='end' transform='matrix(0 -1 1 0 18 5)'%3eFrozen Peas%3c/text%3e%3c/svg%3e</v>
      </c>
      <c r="F646" s="14" t="str">
        <f t="shared" si="3"/>
        <v>https://svgtext.heliohost.us/cgi-bin/gen.perl?text=Frozen%20Peas</v>
      </c>
      <c r="G646" s="11" t="str">
        <f t="shared" si="4"/>
        <v>data:image/svg+xml,%3csvg xmlns='http://www.w3.org/2000/svg' viewBox='0 0 24 216'%3e%3ctext fill='%23fff' style='font: 900 16px sans-serif' text-anchor='end' transform='matrix(0 -1 1 0 18 5)'%3eFrozen Peas%3c/text%3e%3c/svg%3e</v>
      </c>
      <c r="H646" s="8" t="s">
        <v>32</v>
      </c>
      <c r="I646" s="8">
        <f t="shared" ref="I646:J646" si="647">len(B646)</f>
        <v>11</v>
      </c>
      <c r="J646" s="8">
        <f t="shared" si="647"/>
        <v>29</v>
      </c>
      <c r="K646" s="8" t="s">
        <v>3643</v>
      </c>
    </row>
    <row r="647">
      <c r="A647" s="7" t="b">
        <v>0</v>
      </c>
      <c r="B647" s="8" t="s">
        <v>3644</v>
      </c>
      <c r="C647" s="7" t="s">
        <v>3645</v>
      </c>
      <c r="D647" s="8" t="str">
        <f>Q&amp;$K647&amp;Q&amp;":{"&amp;Q&amp;$B$2&amp;Q&amp;":"&amp;Q&amp;$B647&amp;Q&amp;","&amp;Q&amp;$C$2&amp;Q&amp;":"&amp;Q&amp;$C647&amp;Q&amp;","&amp;Q&amp;"sets"&amp;Q&amp;":"&amp;Q&amp;substitute(SUBSTITUTE($H647,"[",""),"]","")&amp;Q&amp;"},"</f>
        <v>"pvbn":{"label":"Fund Raising","extra":"Hello… my name is Jonathan, would you like to buy some fruit, magazines, candy bars, wreaths, pizzas… ?","sets":"Expansion Set 2, Party Set"},</v>
      </c>
      <c r="E647" s="9" t="str">
        <f t="shared" si="2"/>
        <v>data:image/svg+xml,%3csvg xmlns='http://www.w3.org/2000/svg' viewBox='0 0 24 216'%3e%3ctext fill='%23fff' style='font: 900 16px sans-serif' text-anchor='end' transform='matrix(0 -1 1 0 18 5)'%3eFund Raising%3c/text%3e%3c/svg%3e</v>
      </c>
      <c r="F647" s="14" t="str">
        <f t="shared" si="3"/>
        <v>https://svgtext.heliohost.us/cgi-bin/gen.perl?text=Fund%20Raising</v>
      </c>
      <c r="G647" s="11" t="str">
        <f t="shared" si="4"/>
        <v>data:image/svg+xml,%3csvg xmlns='http://www.w3.org/2000/svg' viewBox='0 0 24 216'%3e%3ctext fill='%23fff' style='font: 900 16px sans-serif' text-anchor='end' transform='matrix(0 -1 1 0 18 5)'%3eFund Raising%3c/text%3e%3c/svg%3e</v>
      </c>
      <c r="H647" s="8" t="s">
        <v>17</v>
      </c>
      <c r="I647" s="8">
        <f t="shared" ref="I647:J647" si="648">len(B647)</f>
        <v>12</v>
      </c>
      <c r="J647" s="8">
        <f t="shared" si="648"/>
        <v>103</v>
      </c>
      <c r="K647" s="8" t="s">
        <v>3646</v>
      </c>
    </row>
    <row r="648">
      <c r="A648" s="7" t="b">
        <v>0</v>
      </c>
      <c r="B648" s="8" t="s">
        <v>3647</v>
      </c>
      <c r="C648" s="7" t="s">
        <v>3648</v>
      </c>
      <c r="D648" s="8" t="str">
        <f>Q&amp;$K648&amp;Q&amp;":{"&amp;Q&amp;$B$2&amp;Q&amp;":"&amp;Q&amp;$B648&amp;Q&amp;","&amp;Q&amp;$C$2&amp;Q&amp;":"&amp;Q&amp;$C648&amp;Q&amp;","&amp;Q&amp;"sets"&amp;Q&amp;":"&amp;Q&amp;substitute(SUBSTITUTE($H648,"[",""),"]","")&amp;Q&amp;"},"</f>
        <v>"pvfc":{"label":"Funerals","extra":"“He who dies with the most toys is, nonetheless, still dead.” —Anonymous","sets":"Basic Set, Party Set"},</v>
      </c>
      <c r="E648" s="9" t="str">
        <f t="shared" si="2"/>
        <v>data:image/svg+xml,%3csvg xmlns='http://www.w3.org/2000/svg' viewBox='0 0 24 216'%3e%3ctext fill='%23fff' style='font: 900 16px sans-serif' text-anchor='end' transform='matrix(0 -1 1 0 18 5)'%3eFunerals%3c/text%3e%3c/svg%3e</v>
      </c>
      <c r="F648" s="14" t="str">
        <f t="shared" si="3"/>
        <v>https://svgtext.heliohost.us/cgi-bin/gen.perl?text=Funerals</v>
      </c>
      <c r="G648" s="11" t="str">
        <f t="shared" si="4"/>
        <v>data:image/svg+xml,%3csvg xmlns='http://www.w3.org/2000/svg' viewBox='0 0 24 216'%3e%3ctext fill='%23fff' style='font: 900 16px sans-serif' text-anchor='end' transform='matrix(0 -1 1 0 18 5)'%3eFunerals%3c/text%3e%3c/svg%3e</v>
      </c>
      <c r="H648" s="8" t="s">
        <v>29</v>
      </c>
      <c r="I648" s="8">
        <f t="shared" ref="I648:J648" si="649">len(B648)</f>
        <v>8</v>
      </c>
      <c r="J648" s="8">
        <f t="shared" si="649"/>
        <v>72</v>
      </c>
      <c r="K648" s="8" t="s">
        <v>3649</v>
      </c>
    </row>
    <row r="649">
      <c r="A649" s="7" t="b">
        <v>0</v>
      </c>
      <c r="B649" s="8" t="s">
        <v>3650</v>
      </c>
      <c r="C649" s="8" t="s">
        <v>3651</v>
      </c>
      <c r="D649" s="8" t="str">
        <f>Q&amp;$K649&amp;Q&amp;":{"&amp;Q&amp;$B$2&amp;Q&amp;":"&amp;Q&amp;$B649&amp;Q&amp;","&amp;Q&amp;$C$2&amp;Q&amp;":"&amp;Q&amp;$C649&amp;Q&amp;","&amp;Q&amp;"sets"&amp;Q&amp;":"&amp;Q&amp;substitute(SUBSTITUTE($H649,"[",""),"]","")&amp;Q&amp;"},"</f>
        <v>"vlxa":{"label":"Fur","extra":"The characteristic covering of mammals and people with money.","sets":"Basic Set, Party Set"},</v>
      </c>
      <c r="E649" s="9" t="str">
        <f t="shared" si="2"/>
        <v>data:image/svg+xml,%3csvg xmlns='http://www.w3.org/2000/svg' viewBox='0 0 24 216'%3e%3ctext fill='%23fff' style='font: 900 16px sans-serif' text-anchor='end' transform='matrix(0 -1 1 0 18 5)'%3eFur%3c/text%3e%3c/svg%3e</v>
      </c>
      <c r="F649" s="14" t="str">
        <f t="shared" si="3"/>
        <v>https://svgtext.heliohost.us/cgi-bin/gen.perl?text=Fur</v>
      </c>
      <c r="G649" s="11" t="str">
        <f t="shared" si="4"/>
        <v>data:image/svg+xml,%3csvg xmlns='http://www.w3.org/2000/svg' viewBox='0 0 24 216'%3e%3ctext fill='%23fff' style='font: 900 16px sans-serif' text-anchor='end' transform='matrix(0 -1 1 0 18 5)'%3eFur%3c/text%3e%3c/svg%3e</v>
      </c>
      <c r="H649" s="8" t="s">
        <v>29</v>
      </c>
      <c r="I649" s="8">
        <f t="shared" ref="I649:J649" si="650">len(B649)</f>
        <v>3</v>
      </c>
      <c r="J649" s="8">
        <f t="shared" si="650"/>
        <v>61</v>
      </c>
      <c r="K649" s="8" t="s">
        <v>3652</v>
      </c>
    </row>
    <row r="650">
      <c r="A650" s="7" t="b">
        <v>1</v>
      </c>
      <c r="B650" s="8" t="s">
        <v>3650</v>
      </c>
      <c r="C650" s="8" t="s">
        <v>3653</v>
      </c>
      <c r="D650" s="8" t="str">
        <f>Q&amp;$K650&amp;Q&amp;":{"&amp;Q&amp;$B$2&amp;Q&amp;":"&amp;Q&amp;$B650&amp;Q&amp;","&amp;Q&amp;$C$2&amp;Q&amp;":"&amp;Q&amp;$C650&amp;Q&amp;","&amp;Q&amp;"sets"&amp;Q&amp;":"&amp;Q&amp;substitute(SUBSTITUTE($H650,"[",""),"]","")&amp;Q&amp;"},"</f>
        <v>"qqih":{"label":"Fur","extra":"The soft, hairy covering on the skin of some animals.","sets":"Junior"},</v>
      </c>
      <c r="E650" s="9" t="str">
        <f t="shared" si="2"/>
        <v>data:image/svg+xml,%3csvg xmlns='http://www.w3.org/2000/svg' viewBox='0 0 24 216'%3e%3ctext fill='%23fff' style='font: 900 16px sans-serif' text-anchor='end' transform='matrix(0 -1 1 0 18 5)'%3eFur%3c/text%3e%3c/svg%3e</v>
      </c>
      <c r="F650" s="14" t="str">
        <f t="shared" si="3"/>
        <v>https://svgtext.heliohost.us/cgi-bin/gen.perl?text=Fur</v>
      </c>
      <c r="G650" s="11" t="str">
        <f t="shared" si="4"/>
        <v>data:image/svg+xml,%3csvg xmlns='http://www.w3.org/2000/svg' viewBox='0 0 24 216'%3e%3ctext fill='%23fff' style='font: 900 16px sans-serif' text-anchor='end' transform='matrix(0 -1 1 0 18 5)'%3eFur%3c/text%3e%3c/svg%3e</v>
      </c>
      <c r="H650" s="8" t="s">
        <v>84</v>
      </c>
      <c r="I650" s="8">
        <f t="shared" ref="I650:J650" si="651">len(B650)</f>
        <v>3</v>
      </c>
      <c r="J650" s="8">
        <f t="shared" si="651"/>
        <v>53</v>
      </c>
      <c r="K650" s="8" t="s">
        <v>3654</v>
      </c>
    </row>
    <row r="651">
      <c r="A651" s="7" t="b">
        <v>0</v>
      </c>
      <c r="B651" s="8" t="s">
        <v>3655</v>
      </c>
      <c r="C651" s="7" t="s">
        <v>3656</v>
      </c>
      <c r="D651" s="8" t="str">
        <f>Q&amp;$K651&amp;Q&amp;":{"&amp;Q&amp;$B$2&amp;Q&amp;":"&amp;Q&amp;$B651&amp;Q&amp;","&amp;Q&amp;$C$2&amp;Q&amp;":"&amp;Q&amp;$C651&amp;Q&amp;","&amp;Q&amp;"sets"&amp;Q&amp;":"&amp;Q&amp;substitute(SUBSTITUTE($H651,"[",""),"]","")&amp;Q&amp;"},"</f>
        <v>"lerl":{"label":"Fuzz","extra":"Lint… Policemen… Whatever…","sets":"Basic Set, Party Set"},</v>
      </c>
      <c r="E651" s="9" t="str">
        <f t="shared" si="2"/>
        <v>data:image/svg+xml,%3csvg xmlns='http://www.w3.org/2000/svg' viewBox='0 0 24 216'%3e%3ctext fill='%23fff' style='font: 900 16px sans-serif' text-anchor='end' transform='matrix(0 -1 1 0 18 5)'%3eFuzz%3c/text%3e%3c/svg%3e</v>
      </c>
      <c r="F651" s="14" t="str">
        <f t="shared" si="3"/>
        <v>https://svgtext.heliohost.us/cgi-bin/gen.perl?text=Fuzz</v>
      </c>
      <c r="G651" s="11" t="str">
        <f t="shared" si="4"/>
        <v>data:image/svg+xml,%3csvg xmlns='http://www.w3.org/2000/svg' viewBox='0 0 24 216'%3e%3ctext fill='%23fff' style='font: 900 16px sans-serif' text-anchor='end' transform='matrix(0 -1 1 0 18 5)'%3eFuzz%3c/text%3e%3c/svg%3e</v>
      </c>
      <c r="H651" s="8" t="s">
        <v>29</v>
      </c>
      <c r="I651" s="8">
        <f t="shared" ref="I651:J651" si="652">len(B651)</f>
        <v>4</v>
      </c>
      <c r="J651" s="8">
        <f t="shared" si="652"/>
        <v>26</v>
      </c>
      <c r="K651" s="8" t="s">
        <v>3657</v>
      </c>
    </row>
    <row r="652">
      <c r="A652" s="7" t="b">
        <v>0</v>
      </c>
      <c r="B652" s="8" t="s">
        <v>3658</v>
      </c>
      <c r="C652" s="7" t="s">
        <v>3659</v>
      </c>
      <c r="D652" s="8" t="str">
        <f>Q&amp;$K652&amp;Q&amp;":{"&amp;Q&amp;$B$2&amp;Q&amp;":"&amp;Q&amp;$B652&amp;Q&amp;","&amp;Q&amp;$C$2&amp;Q&amp;":"&amp;Q&amp;$C652&amp;Q&amp;","&amp;Q&amp;"sets"&amp;Q&amp;":"&amp;Q&amp;substitute(SUBSTITUTE($H652,"[",""),"]","")&amp;Q&amp;"},"</f>
        <v>"ds{l":{"label":"Gall Bladder","extra":"Where excess bile is stored. Stored for what, we don’t know.","sets":"Expansion Set 2, Party Set"},</v>
      </c>
      <c r="E652" s="9" t="str">
        <f t="shared" si="2"/>
        <v>data:image/svg+xml,%3csvg xmlns='http://www.w3.org/2000/svg' viewBox='0 0 24 216'%3e%3ctext fill='%23fff' style='font: 900 16px sans-serif' text-anchor='end' transform='matrix(0 -1 1 0 18 5)'%3eGall Bladder%3c/text%3e%3c/svg%3e</v>
      </c>
      <c r="F652" s="14" t="str">
        <f t="shared" si="3"/>
        <v>https://svgtext.heliohost.us/cgi-bin/gen.perl?text=Gall%20Bladder</v>
      </c>
      <c r="G652" s="11" t="str">
        <f t="shared" si="4"/>
        <v>data:image/svg+xml,%3csvg xmlns='http://www.w3.org/2000/svg' viewBox='0 0 24 216'%3e%3ctext fill='%23fff' style='font: 900 16px sans-serif' text-anchor='end' transform='matrix(0 -1 1 0 18 5)'%3eGall Bladder%3c/text%3e%3c/svg%3e</v>
      </c>
      <c r="H652" s="8" t="s">
        <v>17</v>
      </c>
      <c r="I652" s="8">
        <f t="shared" ref="I652:J652" si="653">len(B652)</f>
        <v>12</v>
      </c>
      <c r="J652" s="8">
        <f t="shared" si="653"/>
        <v>60</v>
      </c>
      <c r="K652" s="8" t="s">
        <v>3660</v>
      </c>
    </row>
    <row r="653">
      <c r="A653" s="7" t="b">
        <v>0</v>
      </c>
      <c r="B653" s="8" t="s">
        <v>3661</v>
      </c>
      <c r="C653" s="7" t="s">
        <v>3662</v>
      </c>
      <c r="D653" s="8" t="str">
        <f>Q&amp;$K653&amp;Q&amp;":{"&amp;Q&amp;$B$2&amp;Q&amp;":"&amp;Q&amp;$B653&amp;Q&amp;","&amp;Q&amp;$C$2&amp;Q&amp;":"&amp;Q&amp;$C653&amp;Q&amp;","&amp;Q&amp;"sets"&amp;Q&amp;":"&amp;Q&amp;substitute(SUBSTITUTE($H653,"[",""),"]","")&amp;Q&amp;"},"</f>
        <v>"txad":{"label":"Gang Members","extra":"“When you’re a Jet, you’re a Jet all the way…” —West Side Story","sets":"Basic Set, Party Set"},</v>
      </c>
      <c r="E653" s="9" t="str">
        <f t="shared" si="2"/>
        <v>data:image/svg+xml,%3csvg xmlns='http://www.w3.org/2000/svg' viewBox='0 0 24 216'%3e%3ctext fill='%23fff' style='font: 900 16px sans-serif' text-anchor='end' transform='matrix(0 -1 1 0 18 5)'%3eGang Members%3c/text%3e%3c/svg%3e</v>
      </c>
      <c r="F653" s="14" t="str">
        <f t="shared" si="3"/>
        <v>https://svgtext.heliohost.us/cgi-bin/gen.perl?text=Gang%20Members</v>
      </c>
      <c r="G653" s="11" t="str">
        <f t="shared" si="4"/>
        <v>data:image/svg+xml,%3csvg xmlns='http://www.w3.org/2000/svg' viewBox='0 0 24 216'%3e%3ctext fill='%23fff' style='font: 900 16px sans-serif' text-anchor='end' transform='matrix(0 -1 1 0 18 5)'%3eGang Members%3c/text%3e%3c/svg%3e</v>
      </c>
      <c r="H653" s="8" t="s">
        <v>29</v>
      </c>
      <c r="I653" s="8">
        <f t="shared" ref="I653:J653" si="654">len(B653)</f>
        <v>12</v>
      </c>
      <c r="J653" s="8">
        <f t="shared" si="654"/>
        <v>63</v>
      </c>
      <c r="K653" s="8" t="s">
        <v>3663</v>
      </c>
    </row>
    <row r="654">
      <c r="A654" s="7" t="b">
        <v>1</v>
      </c>
      <c r="B654" s="8" t="s">
        <v>3664</v>
      </c>
      <c r="C654" s="8" t="s">
        <v>3665</v>
      </c>
      <c r="D654" s="8" t="str">
        <f>Q&amp;$K654&amp;Q&amp;":{"&amp;Q&amp;$B$2&amp;Q&amp;":"&amp;Q&amp;$B654&amp;Q&amp;","&amp;Q&amp;$C$2&amp;Q&amp;":"&amp;Q&amp;$C654&amp;Q&amp;","&amp;Q&amp;"sets"&amp;Q&amp;":"&amp;Q&amp;substitute(SUBSTITUTE($H654,"[",""),"]","")&amp;Q&amp;"},"</f>
        <v>"iffy":{"label":"Garages","extra":"Little houses for cars.","sets":"Junior 9+ (2nd)"},</v>
      </c>
      <c r="E654" s="9" t="str">
        <f t="shared" si="2"/>
        <v>data:image/svg+xml,%3csvg xmlns='http://www.w3.org/2000/svg' viewBox='0 0 24 216'%3e%3ctext fill='%23fff' style='font: 900 16px sans-serif' text-anchor='end' transform='matrix(0 -1 1 0 18 5)'%3eGarages%3c/text%3e%3c/svg%3e</v>
      </c>
      <c r="F654" s="14" t="str">
        <f t="shared" si="3"/>
        <v>https://svgtext.heliohost.us/cgi-bin/gen.perl?text=Garages</v>
      </c>
      <c r="G654" s="11" t="str">
        <f t="shared" si="4"/>
        <v>data:image/svg+xml,%3csvg xmlns='http://www.w3.org/2000/svg' viewBox='0 0 24 216'%3e%3ctext fill='%23fff' style='font: 900 16px sans-serif' text-anchor='end' transform='matrix(0 -1 1 0 18 5)'%3eGarages%3c/text%3e%3c/svg%3e</v>
      </c>
      <c r="H654" s="8" t="s">
        <v>32</v>
      </c>
      <c r="I654" s="8">
        <f t="shared" ref="I654:J654" si="655">len(B654)</f>
        <v>7</v>
      </c>
      <c r="J654" s="8">
        <f t="shared" si="655"/>
        <v>23</v>
      </c>
      <c r="K654" s="8" t="s">
        <v>3666</v>
      </c>
    </row>
    <row r="655">
      <c r="A655" s="7" t="b">
        <v>1</v>
      </c>
      <c r="B655" s="8" t="s">
        <v>3667</v>
      </c>
      <c r="C655" s="8" t="s">
        <v>3668</v>
      </c>
      <c r="D655" s="8" t="str">
        <f>Q&amp;$K655&amp;Q&amp;":{"&amp;Q&amp;$B$2&amp;Q&amp;":"&amp;Q&amp;$B655&amp;Q&amp;","&amp;Q&amp;$C$2&amp;Q&amp;":"&amp;Q&amp;$C655&amp;Q&amp;","&amp;Q&amp;"sets"&amp;Q&amp;":"&amp;Q&amp;substitute(SUBSTITUTE($H655,"[",""),"]","")&amp;Q&amp;"},"</f>
        <v>"iolz":{"label":"Garbage Cans","extra":"A restaurant for raccoons.","sets":"Junior 9+ (1st) &amp; (2nd)"},</v>
      </c>
      <c r="E655" s="9" t="str">
        <f t="shared" si="2"/>
        <v>data:image/svg+xml,%3csvg xmlns='http://www.w3.org/2000/svg' viewBox='0 0 24 216'%3e%3ctext fill='%23fff' style='font: 900 16px sans-serif' text-anchor='end' transform='matrix(0 -1 1 0 18 5)'%3eGarbage Cans%3c/text%3e%3c/svg%3e</v>
      </c>
      <c r="F655" s="14" t="str">
        <f t="shared" si="3"/>
        <v>https://svgtext.heliohost.us/cgi-bin/gen.perl?text=Garbage%20Cans</v>
      </c>
      <c r="G655" s="11" t="str">
        <f t="shared" si="4"/>
        <v>data:image/svg+xml,%3csvg xmlns='http://www.w3.org/2000/svg' viewBox='0 0 24 216'%3e%3ctext fill='%23fff' style='font: 900 16px sans-serif' text-anchor='end' transform='matrix(0 -1 1 0 18 5)'%3eGarbage Cans%3c/text%3e%3c/svg%3e</v>
      </c>
      <c r="H655" s="8" t="s">
        <v>42</v>
      </c>
      <c r="I655" s="8">
        <f t="shared" ref="I655:J655" si="656">len(B655)</f>
        <v>12</v>
      </c>
      <c r="J655" s="8">
        <f t="shared" si="656"/>
        <v>26</v>
      </c>
      <c r="K655" s="8" t="s">
        <v>3669</v>
      </c>
    </row>
    <row r="656">
      <c r="A656" s="7" t="b">
        <v>1</v>
      </c>
      <c r="B656" s="8" t="s">
        <v>3670</v>
      </c>
      <c r="C656" s="7" t="s">
        <v>3671</v>
      </c>
      <c r="D656" s="8" t="str">
        <f>Q&amp;$K656&amp;Q&amp;":{"&amp;Q&amp;$B$2&amp;Q&amp;":"&amp;Q&amp;$B656&amp;Q&amp;","&amp;Q&amp;$C$2&amp;Q&amp;":"&amp;Q&amp;$C656&amp;Q&amp;","&amp;Q&amp;"sets"&amp;Q&amp;":"&amp;Q&amp;substitute(SUBSTITUTE($H656,"[",""),"]","")&amp;Q&amp;"},"</f>
        <v>"gnda":{"label":"Gardening","extra":"Get in touch with your roots.","sets":"Expansion Set 3, Party Expansion 1"},</v>
      </c>
      <c r="E656" s="9" t="str">
        <f t="shared" si="2"/>
        <v>data:image/svg+xml,%3csvg xmlns='http://www.w3.org/2000/svg' viewBox='0 0 24 216'%3e%3ctext fill='%23fff' style='font: 900 16px sans-serif' text-anchor='end' transform='matrix(0 -1 1 0 18 5)'%3eGardening%3c/text%3e%3c/svg%3e</v>
      </c>
      <c r="F656" s="14" t="str">
        <f t="shared" si="3"/>
        <v>https://svgtext.heliohost.us/cgi-bin/gen.perl?text=Gardening</v>
      </c>
      <c r="G656" s="11" t="str">
        <f t="shared" si="4"/>
        <v>data:image/svg+xml,%3csvg xmlns='http://www.w3.org/2000/svg' viewBox='0 0 24 216'%3e%3ctext fill='%23fff' style='font: 900 16px sans-serif' text-anchor='end' transform='matrix(0 -1 1 0 18 5)'%3eGardening%3c/text%3e%3c/svg%3e</v>
      </c>
      <c r="H656" s="8" t="s">
        <v>39</v>
      </c>
      <c r="I656" s="8">
        <f t="shared" ref="I656:J656" si="657">len(B656)</f>
        <v>9</v>
      </c>
      <c r="J656" s="8">
        <f t="shared" si="657"/>
        <v>29</v>
      </c>
      <c r="K656" s="8" t="s">
        <v>3672</v>
      </c>
    </row>
    <row r="657">
      <c r="A657" s="7" t="b">
        <v>0</v>
      </c>
      <c r="B657" s="8" t="s">
        <v>3673</v>
      </c>
      <c r="C657" s="7" t="s">
        <v>3674</v>
      </c>
      <c r="D657" s="8" t="str">
        <f>Q&amp;$K657&amp;Q&amp;":{"&amp;Q&amp;$B$2&amp;Q&amp;":"&amp;Q&amp;$B657&amp;Q&amp;","&amp;Q&amp;$C$2&amp;Q&amp;":"&amp;Q&amp;$C657&amp;Q&amp;","&amp;Q&amp;"sets"&amp;Q&amp;":"&amp;Q&amp;substitute(SUBSTITUTE($H657,"[",""),"]","")&amp;Q&amp;"},"</f>
        <v>"eerm":{"label":"Garrison Keillor","extra":"1942-, American author and radio star. He shares the Midwest perspective with 2.6 million listeners each week on “A Prairie Home Companion.”","sets":"Expansion Set 2, Party Set"},</v>
      </c>
      <c r="E657" s="9" t="str">
        <f t="shared" si="2"/>
        <v>data:image/svg+xml,%3csvg xmlns='http://www.w3.org/2000/svg' viewBox='0 0 24 216'%3e%3ctext fill='%23fff' style='font: 900 16px sans-serif' text-anchor='end' transform='matrix(0 -1 1 0 18 5)'%3eGarrison Keillor%3c/text%3e%3c/svg%3e</v>
      </c>
      <c r="F657" s="14" t="str">
        <f t="shared" si="3"/>
        <v>https://svgtext.heliohost.us/cgi-bin/gen.perl?text=Garrison%20Keillor</v>
      </c>
      <c r="G657" s="11" t="str">
        <f t="shared" si="4"/>
        <v>data:image/svg+xml,%3csvg xmlns='http://www.w3.org/2000/svg' viewBox='0 0 24 216'%3e%3ctext fill='%23fff' style='font: 900 16px sans-serif' text-anchor='end' transform='matrix(0 -1 1 0 18 5)'%3eGarrison Keillor%3c/text%3e%3c/svg%3e</v>
      </c>
      <c r="H657" s="8" t="s">
        <v>17</v>
      </c>
      <c r="I657" s="8">
        <f t="shared" ref="I657:J657" si="658">len(B657)</f>
        <v>16</v>
      </c>
      <c r="J657" s="8">
        <f t="shared" si="658"/>
        <v>140</v>
      </c>
      <c r="K657" s="8" t="s">
        <v>3675</v>
      </c>
    </row>
    <row r="658">
      <c r="A658" s="7" t="b">
        <v>0</v>
      </c>
      <c r="B658" s="8" t="s">
        <v>3676</v>
      </c>
      <c r="C658" s="8" t="s">
        <v>3677</v>
      </c>
      <c r="D658" s="8" t="str">
        <f>Q&amp;$K658&amp;Q&amp;":{"&amp;Q&amp;$B$2&amp;Q&amp;":"&amp;Q&amp;$B658&amp;Q&amp;","&amp;Q&amp;$C$2&amp;Q&amp;":"&amp;Q&amp;$C658&amp;Q&amp;","&amp;Q&amp;"sets"&amp;Q&amp;":"&amp;Q&amp;substitute(SUBSTITUTE($H658,"[",""),"]","")&amp;Q&amp;"},"</f>
        <v>"eqmd":{"label":"Garth Brooks","extra":"1962-, American country music singer and songwriter. He's got friends in low places.","sets":"Basic Set, Party Set"},</v>
      </c>
      <c r="E658" s="9" t="str">
        <f t="shared" si="2"/>
        <v>data:image/svg+xml,%3csvg xmlns='http://www.w3.org/2000/svg' viewBox='0 0 24 216'%3e%3ctext fill='%23fff' style='font: 900 16px sans-serif' text-anchor='end' transform='matrix(0 -1 1 0 18 5)'%3eGarth Brooks%3c/text%3e%3c/svg%3e</v>
      </c>
      <c r="F658" s="14" t="str">
        <f t="shared" si="3"/>
        <v>https://svgtext.heliohost.us/cgi-bin/gen.perl?text=Garth%20Brooks</v>
      </c>
      <c r="G658" s="11" t="str">
        <f t="shared" si="4"/>
        <v>data:image/svg+xml,%3csvg xmlns='http://www.w3.org/2000/svg' viewBox='0 0 24 216'%3e%3ctext fill='%23fff' style='font: 900 16px sans-serif' text-anchor='end' transform='matrix(0 -1 1 0 18 5)'%3eGarth Brooks%3c/text%3e%3c/svg%3e</v>
      </c>
      <c r="H658" s="8" t="s">
        <v>29</v>
      </c>
      <c r="I658" s="8">
        <f t="shared" ref="I658:J658" si="659">len(B658)</f>
        <v>12</v>
      </c>
      <c r="J658" s="8">
        <f t="shared" si="659"/>
        <v>84</v>
      </c>
      <c r="K658" s="8" t="s">
        <v>3678</v>
      </c>
    </row>
    <row r="659">
      <c r="A659" s="7" t="b">
        <v>1</v>
      </c>
      <c r="B659" s="8" t="s">
        <v>3679</v>
      </c>
      <c r="C659" s="8" t="s">
        <v>3680</v>
      </c>
      <c r="D659" s="8" t="str">
        <f>Q&amp;$K659&amp;Q&amp;":{"&amp;Q&amp;$B$2&amp;Q&amp;":"&amp;Q&amp;$B659&amp;Q&amp;","&amp;Q&amp;$C$2&amp;Q&amp;":"&amp;Q&amp;$C659&amp;Q&amp;","&amp;Q&amp;"sets"&amp;Q&amp;":"&amp;Q&amp;substitute(SUBSTITUTE($H659,"[",""),"]","")&amp;Q&amp;"},"</f>
        <v>"kews":{"label":"Gas Stations","extra":"How far to the next gas station?","sets":"Junior 9+ (1st) &amp; (2nd)"},</v>
      </c>
      <c r="E659" s="9" t="str">
        <f t="shared" si="2"/>
        <v>data:image/svg+xml,%3csvg xmlns='http://www.w3.org/2000/svg' viewBox='0 0 24 216'%3e%3ctext fill='%23fff' style='font: 900 16px sans-serif' text-anchor='end' transform='matrix(0 -1 1 0 18 5)'%3eGas Stations%3c/text%3e%3c/svg%3e</v>
      </c>
      <c r="F659" s="14" t="str">
        <f t="shared" si="3"/>
        <v>https://svgtext.heliohost.us/cgi-bin/gen.perl?text=Gas%20Stations</v>
      </c>
      <c r="G659" s="11" t="str">
        <f t="shared" si="4"/>
        <v>data:image/svg+xml,%3csvg xmlns='http://www.w3.org/2000/svg' viewBox='0 0 24 216'%3e%3ctext fill='%23fff' style='font: 900 16px sans-serif' text-anchor='end' transform='matrix(0 -1 1 0 18 5)'%3eGas Stations%3c/text%3e%3c/svg%3e</v>
      </c>
      <c r="H659" s="8" t="s">
        <v>42</v>
      </c>
      <c r="I659" s="8">
        <f t="shared" ref="I659:J659" si="660">len(B659)</f>
        <v>12</v>
      </c>
      <c r="J659" s="8">
        <f t="shared" si="660"/>
        <v>32</v>
      </c>
      <c r="K659" s="8" t="s">
        <v>3681</v>
      </c>
    </row>
    <row r="660">
      <c r="A660" s="7" t="b">
        <v>0</v>
      </c>
      <c r="B660" s="8" t="s">
        <v>3682</v>
      </c>
      <c r="C660" s="7" t="s">
        <v>3683</v>
      </c>
      <c r="D660" s="8" t="str">
        <f>Q&amp;$K660&amp;Q&amp;":{"&amp;Q&amp;$B$2&amp;Q&amp;":"&amp;Q&amp;$B660&amp;Q&amp;","&amp;Q&amp;$C$2&amp;Q&amp;":"&amp;Q&amp;$C660&amp;Q&amp;","&amp;Q&amp;"sets"&amp;Q&amp;":"&amp;Q&amp;substitute(SUBSTITUTE($H660,"[",""),"]","")&amp;Q&amp;"},"</f>
        <v>"zvvo":{"label":"Geishas","extra":"Japanese women training in traditional singing, dancing, and entertaining. Of course, you would never recognize them without all that make-up.","sets":"Expansion Set 2, Party Set"},</v>
      </c>
      <c r="E660" s="9" t="str">
        <f t="shared" si="2"/>
        <v>data:image/svg+xml,%3csvg xmlns='http://www.w3.org/2000/svg' viewBox='0 0 24 216'%3e%3ctext fill='%23fff' style='font: 900 16px sans-serif' text-anchor='end' transform='matrix(0 -1 1 0 18 5)'%3eGeishas%3c/text%3e%3c/svg%3e</v>
      </c>
      <c r="F660" s="14" t="str">
        <f t="shared" si="3"/>
        <v>https://svgtext.heliohost.us/cgi-bin/gen.perl?text=Geishas</v>
      </c>
      <c r="G660" s="11" t="str">
        <f t="shared" si="4"/>
        <v>data:image/svg+xml,%3csvg xmlns='http://www.w3.org/2000/svg' viewBox='0 0 24 216'%3e%3ctext fill='%23fff' style='font: 900 16px sans-serif' text-anchor='end' transform='matrix(0 -1 1 0 18 5)'%3eGeishas%3c/text%3e%3c/svg%3e</v>
      </c>
      <c r="H660" s="8" t="s">
        <v>17</v>
      </c>
      <c r="I660" s="8">
        <f t="shared" ref="I660:J660" si="661">len(B660)</f>
        <v>7</v>
      </c>
      <c r="J660" s="8">
        <f t="shared" si="661"/>
        <v>142</v>
      </c>
      <c r="K660" s="8" t="s">
        <v>3684</v>
      </c>
    </row>
    <row r="661">
      <c r="A661" s="7" t="b">
        <v>0</v>
      </c>
      <c r="B661" s="8" t="s">
        <v>3685</v>
      </c>
      <c r="C661" s="8" t="s">
        <v>3686</v>
      </c>
      <c r="D661" s="8" t="str">
        <f>Q&amp;$K661&amp;Q&amp;":{"&amp;Q&amp;$B$2&amp;Q&amp;":"&amp;Q&amp;$B661&amp;Q&amp;","&amp;Q&amp;$C$2&amp;Q&amp;":"&amp;Q&amp;$C661&amp;Q&amp;","&amp;Q&amp;"sets"&amp;Q&amp;":"&amp;Q&amp;substitute(SUBSTITUTE($H661,"[",""),"]","")&amp;Q&amp;"},"</f>
        <v>"xryc":{"label":"Gen. George S. Patton","extra":"1885-1945, the commander of the American Third Army during World War II. - a.k.a. Olf Blood and Guts","sets":"Expansion Set 1, Party Set"},</v>
      </c>
      <c r="E661" s="9" t="str">
        <f t="shared" si="2"/>
        <v>data:image/svg+xml,%3csvg xmlns='http://www.w3.org/2000/svg' viewBox='0 0 24 216'%3e%3ctext fill='%23fff' style='font: 900 16px sans-serif' text-anchor='end' transform='matrix(0 -1 1 0 18 5)'%3eGen. George S. Patton%3c/text%3e%3c/svg%3e</v>
      </c>
      <c r="F661" s="14" t="str">
        <f t="shared" si="3"/>
        <v>https://svgtext.heliohost.us/cgi-bin/gen.perl?text=Gen.%20George%20S.%20Patton</v>
      </c>
      <c r="G661" s="11" t="str">
        <f t="shared" si="4"/>
        <v>data:image/svg+xml,%3csvg xmlns='http://www.w3.org/2000/svg' viewBox='0 0 24 216'%3e%3ctext fill='%23fff' style='font: 900 16px sans-serif' text-anchor='end' transform='matrix(0 -1 1 0 18 5)'%3eGen. George S. Patton%3c/text%3e%3c/svg%3e</v>
      </c>
      <c r="H661" s="8" t="s">
        <v>25</v>
      </c>
      <c r="I661" s="8">
        <f t="shared" ref="I661:J661" si="662">len(B661)</f>
        <v>21</v>
      </c>
      <c r="J661" s="8">
        <f t="shared" si="662"/>
        <v>100</v>
      </c>
      <c r="K661" s="8" t="s">
        <v>3687</v>
      </c>
    </row>
    <row r="662">
      <c r="A662" s="7" t="b">
        <v>0</v>
      </c>
      <c r="B662" s="8" t="s">
        <v>3688</v>
      </c>
      <c r="C662" s="8" t="s">
        <v>3689</v>
      </c>
      <c r="D662" s="8" t="str">
        <f>Q&amp;$K662&amp;Q&amp;":{"&amp;Q&amp;$B$2&amp;Q&amp;":"&amp;Q&amp;$B662&amp;Q&amp;","&amp;Q&amp;$C$2&amp;Q&amp;":"&amp;Q&amp;$C662&amp;Q&amp;","&amp;Q&amp;"sets"&amp;Q&amp;":"&amp;Q&amp;substitute(SUBSTITUTE($H662,"[",""),"]","")&amp;Q&amp;"},"</f>
        <v>"usqh":{"label":"Genetic Engineering","extra":"What DO you get when you cross a monkey with a potato?","sets":"Expansion Set 2, Party Set"},</v>
      </c>
      <c r="E662" s="9" t="str">
        <f t="shared" si="2"/>
        <v>data:image/svg+xml,%3csvg xmlns='http://www.w3.org/2000/svg' viewBox='0 0 24 216'%3e%3ctext fill='%23fff' style='font: 900 16px sans-serif' text-anchor='end' transform='matrix(0 -1 1 0 18 5)'%3eGenetic Engineering%3c/text%3e%3c/svg%3e</v>
      </c>
      <c r="F662" s="14" t="str">
        <f t="shared" si="3"/>
        <v>https://svgtext.heliohost.us/cgi-bin/gen.perl?text=Genetic%20Engineering</v>
      </c>
      <c r="G662" s="11" t="str">
        <f t="shared" si="4"/>
        <v>data:image/svg+xml,%3csvg xmlns='http://www.w3.org/2000/svg' viewBox='0 0 24 216'%3e%3ctext fill='%23fff' style='font: 900 16px sans-serif' text-anchor='end' transform='matrix(0 -1 1 0 18 5)'%3eGenetic Engineering%3c/text%3e%3c/svg%3e</v>
      </c>
      <c r="H662" s="8" t="s">
        <v>17</v>
      </c>
      <c r="I662" s="8">
        <f t="shared" ref="I662:J662" si="663">len(B662)</f>
        <v>19</v>
      </c>
      <c r="J662" s="8">
        <f t="shared" si="663"/>
        <v>54</v>
      </c>
      <c r="K662" s="8" t="s">
        <v>3690</v>
      </c>
    </row>
    <row r="663">
      <c r="A663" s="7" t="b">
        <v>1</v>
      </c>
      <c r="B663" s="8" t="s">
        <v>3691</v>
      </c>
      <c r="C663" s="7" t="s">
        <v>3692</v>
      </c>
      <c r="D663" s="8" t="str">
        <f>Q&amp;$K663&amp;Q&amp;":{"&amp;Q&amp;$B$2&amp;Q&amp;":"&amp;Q&amp;$B663&amp;Q&amp;","&amp;Q&amp;$C$2&amp;Q&amp;":"&amp;Q&amp;$C663&amp;Q&amp;","&amp;Q&amp;"sets"&amp;Q&amp;":"&amp;Q&amp;substitute(SUBSTITUTE($H663,"[",""),"]","")&amp;Q&amp;"},"</f>
        <v>"kqlq":{"label":"George &amp; Jane, His Wife","extra":"The Jetsons television show first aired in 1962. In spite of our best efforts, cars still can't fly.","sets":"Expansion Set 4, Party Expansion 1"},</v>
      </c>
      <c r="E663" s="9" t="str">
        <f t="shared" si="2"/>
        <v>data:image/svg+xml,%3csvg xmlns='http://www.w3.org/2000/svg' viewBox='0 0 24 216'%3e%3ctext fill='%23fff' style='font: 900 16px sans-serif' text-anchor='end' transform='matrix(0 -1 1 0 18 5)'%3eGeorge %26amp%3B Jane%2C His Wife%3c/text%3e%3c/svg%3e</v>
      </c>
      <c r="F663" s="14" t="str">
        <f t="shared" si="3"/>
        <v>https://svgtext.heliohost.us/cgi-bin/gen.perl?text=George%20%26%20Jane%2C%20His%20Wife</v>
      </c>
      <c r="G663" s="11" t="str">
        <f t="shared" si="4"/>
        <v>data:image/svg+xml,%3csvg xmlns='http://www.w3.org/2000/svg' viewBox='0 0 24 216'%3e%3ctext fill='%23fff' style='font: 900 16px sans-serif' text-anchor='end' transform='matrix(0 -1 1 0 18 5)'%3eGeorge %26amp%3B Jane%2C His Wife%3c/text%3e%3c/svg%3e</v>
      </c>
      <c r="H663" s="8" t="s">
        <v>63</v>
      </c>
      <c r="I663" s="8">
        <f t="shared" ref="I663:J663" si="664">len(B663)</f>
        <v>23</v>
      </c>
      <c r="J663" s="8">
        <f t="shared" si="664"/>
        <v>100</v>
      </c>
      <c r="K663" s="8" t="s">
        <v>3693</v>
      </c>
    </row>
    <row r="664">
      <c r="A664" s="7" t="b">
        <v>0</v>
      </c>
      <c r="B664" s="8" t="s">
        <v>3694</v>
      </c>
      <c r="C664" s="8" t="s">
        <v>3695</v>
      </c>
      <c r="D664" s="8" t="str">
        <f>Q&amp;$K664&amp;Q&amp;":{"&amp;Q&amp;$B$2&amp;Q&amp;":"&amp;Q&amp;$B664&amp;Q&amp;","&amp;Q&amp;$C$2&amp;Q&amp;":"&amp;Q&amp;$C664&amp;Q&amp;","&amp;Q&amp;"sets"&amp;Q&amp;":"&amp;Q&amp;substitute(SUBSTITUTE($H664,"[",""),"]","")&amp;Q&amp;"},"</f>
        <v>"{eqk":{"label":"George W. Bush","extra":"1946-, 43rd president of the United States. The second time ever that the son of a former president was elected to the office.","sets":"(Basic Set (2001 Printing Forward), Party Set"},</v>
      </c>
      <c r="E664" s="9" t="str">
        <f t="shared" si="2"/>
        <v>data:image/svg+xml,%3csvg xmlns='http://www.w3.org/2000/svg' viewBox='0 0 24 216'%3e%3ctext fill='%23fff' style='font: 900 16px sans-serif' text-anchor='end' transform='matrix(0 -1 1 0 18 5)'%3eGeorge W. Bush%3c/text%3e%3c/svg%3e</v>
      </c>
      <c r="F664" s="14" t="str">
        <f t="shared" si="3"/>
        <v>https://svgtext.heliohost.us/cgi-bin/gen.perl?text=George%20W.%20Bush</v>
      </c>
      <c r="G664" s="11" t="str">
        <f t="shared" si="4"/>
        <v>data:image/svg+xml,%3csvg xmlns='http://www.w3.org/2000/svg' viewBox='0 0 24 216'%3e%3ctext fill='%23fff' style='font: 900 16px sans-serif' text-anchor='end' transform='matrix(0 -1 1 0 18 5)'%3eGeorge W. Bush%3c/text%3e%3c/svg%3e</v>
      </c>
      <c r="H664" s="8" t="s">
        <v>3696</v>
      </c>
      <c r="I664" s="8">
        <f t="shared" ref="I664:J664" si="665">len(B664)</f>
        <v>14</v>
      </c>
      <c r="J664" s="8">
        <f t="shared" si="665"/>
        <v>126</v>
      </c>
      <c r="K664" s="8" t="s">
        <v>3697</v>
      </c>
    </row>
    <row r="665">
      <c r="A665" s="7" t="b">
        <v>0</v>
      </c>
      <c r="B665" s="8" t="s">
        <v>3698</v>
      </c>
      <c r="C665" s="7" t="s">
        <v>3699</v>
      </c>
      <c r="D665" s="8" t="str">
        <f>Q&amp;$K665&amp;Q&amp;":{"&amp;Q&amp;$B$2&amp;Q&amp;":"&amp;Q&amp;$B665&amp;Q&amp;","&amp;Q&amp;$C$2&amp;Q&amp;":"&amp;Q&amp;$C665&amp;Q&amp;","&amp;Q&amp;"sets"&amp;Q&amp;":"&amp;Q&amp;substitute(SUBSTITUTE($H665,"[",""),"]","")&amp;Q&amp;"},"</f>
        <v>"pkng":{"label":"George Washington","extra":"1732-99, First President of the United States. He chopped down a cherry tree to make false teeth, or something like that…","sets":"Expansion Set 2, Party Set"},</v>
      </c>
      <c r="E665" s="9" t="str">
        <f t="shared" si="2"/>
        <v>data:image/svg+xml,%3csvg xmlns='http://www.w3.org/2000/svg' viewBox='0 0 24 216'%3e%3ctext fill='%23fff' style='font: 900 16px sans-serif' text-anchor='end' transform='matrix(0 -1 1 0 18 5)'%3eGeorge Washington%3c/text%3e%3c/svg%3e</v>
      </c>
      <c r="F665" s="14" t="str">
        <f t="shared" si="3"/>
        <v>https://svgtext.heliohost.us/cgi-bin/gen.perl?text=George%20Washington</v>
      </c>
      <c r="G665" s="11" t="str">
        <f t="shared" si="4"/>
        <v>data:image/svg+xml,%3csvg xmlns='http://www.w3.org/2000/svg' viewBox='0 0 24 216'%3e%3ctext fill='%23fff' style='font: 900 16px sans-serif' text-anchor='end' transform='matrix(0 -1 1 0 18 5)'%3eGeorge Washington%3c/text%3e%3c/svg%3e</v>
      </c>
      <c r="H665" s="8" t="s">
        <v>17</v>
      </c>
      <c r="I665" s="8">
        <f t="shared" ref="I665:J665" si="666">len(B665)</f>
        <v>17</v>
      </c>
      <c r="J665" s="8">
        <f t="shared" si="666"/>
        <v>121</v>
      </c>
      <c r="K665" s="8" t="s">
        <v>3700</v>
      </c>
    </row>
    <row r="666">
      <c r="A666" s="7" t="b">
        <v>1</v>
      </c>
      <c r="B666" s="8" t="s">
        <v>3698</v>
      </c>
      <c r="C666" s="8" t="s">
        <v>3701</v>
      </c>
      <c r="D666" s="8" t="str">
        <f>Q&amp;$K666&amp;Q&amp;":{"&amp;Q&amp;$B$2&amp;Q&amp;":"&amp;Q&amp;$B666&amp;Q&amp;","&amp;Q&amp;$C$2&amp;Q&amp;":"&amp;Q&amp;$C666&amp;Q&amp;","&amp;Q&amp;"sets"&amp;Q&amp;":"&amp;Q&amp;substitute(SUBSTITUTE($H666,"[",""),"]","")&amp;Q&amp;"},"</f>
        <v>"djxg":{"label":"George Washington","extra":"First president of the United States.","sets":"Junior"},</v>
      </c>
      <c r="E666" s="9" t="str">
        <f t="shared" si="2"/>
        <v>data:image/svg+xml,%3csvg xmlns='http://www.w3.org/2000/svg' viewBox='0 0 24 216'%3e%3ctext fill='%23fff' style='font: 900 16px sans-serif' text-anchor='end' transform='matrix(0 -1 1 0 18 5)'%3eGeorge Washington%3c/text%3e%3c/svg%3e</v>
      </c>
      <c r="F666" s="14" t="str">
        <f t="shared" si="3"/>
        <v>https://svgtext.heliohost.us/cgi-bin/gen.perl?text=George%20Washington</v>
      </c>
      <c r="G666" s="11" t="str">
        <f t="shared" si="4"/>
        <v>data:image/svg+xml,%3csvg xmlns='http://www.w3.org/2000/svg' viewBox='0 0 24 216'%3e%3ctext fill='%23fff' style='font: 900 16px sans-serif' text-anchor='end' transform='matrix(0 -1 1 0 18 5)'%3eGeorge Washington%3c/text%3e%3c/svg%3e</v>
      </c>
      <c r="H666" s="8" t="s">
        <v>84</v>
      </c>
      <c r="I666" s="8">
        <f t="shared" ref="I666:J666" si="667">len(B666)</f>
        <v>17</v>
      </c>
      <c r="J666" s="8">
        <f t="shared" si="667"/>
        <v>37</v>
      </c>
      <c r="K666" s="8" t="s">
        <v>3702</v>
      </c>
    </row>
    <row r="667">
      <c r="A667" s="7" t="b">
        <v>0</v>
      </c>
      <c r="B667" s="8" t="s">
        <v>3703</v>
      </c>
      <c r="C667" s="8" t="s">
        <v>3704</v>
      </c>
      <c r="D667" s="8" t="str">
        <f>Q&amp;$K667&amp;Q&amp;":{"&amp;Q&amp;$B$2&amp;Q&amp;":"&amp;Q&amp;$B667&amp;Q&amp;","&amp;Q&amp;$C$2&amp;Q&amp;":"&amp;Q&amp;$C667&amp;Q&amp;","&amp;Q&amp;"sets"&amp;Q&amp;":"&amp;Q&amp;substitute(SUBSTITUTE($H667,"[",""),"]","")&amp;Q&amp;"},"</f>
        <v>"zdej":{"label":"Georgia O'Keeffe","extra":"1887-1986, American abstract painter known for her still life compositions. Her skull paintings prove that beauty is more than skin deep.","sets":"Expansion Set 1, Party Set"},</v>
      </c>
      <c r="E667" s="9" t="str">
        <f t="shared" si="2"/>
        <v>data:image/svg+xml,%3csvg xmlns='http://www.w3.org/2000/svg' viewBox='0 0 24 216'%3e%3ctext fill='%23fff' style='font: 900 16px sans-serif' text-anchor='end' transform='matrix(0 -1 1 0 18 5)'%3eGeorgia O%27Keeffe%3c/text%3e%3c/svg%3e</v>
      </c>
      <c r="F667" s="14" t="str">
        <f t="shared" si="3"/>
        <v>https://svgtext.heliohost.us/cgi-bin/gen.perl?text=Georgia%20O%27Keeffe</v>
      </c>
      <c r="G667" s="11" t="str">
        <f t="shared" si="4"/>
        <v>data:image/svg+xml,%3csvg xmlns='http://www.w3.org/2000/svg' viewBox='0 0 24 216'%3e%3ctext fill='%23fff' style='font: 900 16px sans-serif' text-anchor='end' transform='matrix(0 -1 1 0 18 5)'%3eGeorgia O%27Keeffe%3c/text%3e%3c/svg%3e</v>
      </c>
      <c r="H667" s="8" t="s">
        <v>25</v>
      </c>
      <c r="I667" s="8">
        <f t="shared" ref="I667:J667" si="668">len(B667)</f>
        <v>16</v>
      </c>
      <c r="J667" s="8">
        <f t="shared" si="668"/>
        <v>137</v>
      </c>
      <c r="K667" s="8" t="s">
        <v>3705</v>
      </c>
    </row>
    <row r="668">
      <c r="A668" s="7" t="b">
        <v>1</v>
      </c>
      <c r="B668" s="8" t="s">
        <v>3706</v>
      </c>
      <c r="C668" s="8" t="s">
        <v>3707</v>
      </c>
      <c r="D668" s="8" t="str">
        <f>Q&amp;$K668&amp;Q&amp;":{"&amp;Q&amp;$B$2&amp;Q&amp;":"&amp;Q&amp;$B668&amp;Q&amp;","&amp;Q&amp;$C$2&amp;Q&amp;":"&amp;Q&amp;$C668&amp;Q&amp;","&amp;Q&amp;"sets"&amp;Q&amp;":"&amp;Q&amp;substitute(SUBSTITUTE($H668,"[",""),"]","")&amp;Q&amp;"},"</f>
        <v>"jysl":{"label":"Getting A Haircut","extra":"It will always grow back.","sets":"Junior 9+ (1st) &amp; (2nd)"},</v>
      </c>
      <c r="E668" s="9" t="str">
        <f t="shared" si="2"/>
        <v>data:image/svg+xml,%3csvg xmlns='http://www.w3.org/2000/svg' viewBox='0 0 24 216'%3e%3ctext fill='%23fff' style='font: 900 16px sans-serif' text-anchor='end' transform='matrix(0 -1 1 0 18 5)'%3eGetting A Haircut%3c/text%3e%3c/svg%3e</v>
      </c>
      <c r="F668" s="14" t="str">
        <f t="shared" si="3"/>
        <v>https://svgtext.heliohost.us/cgi-bin/gen.perl?text=Getting%20A%20Haircut</v>
      </c>
      <c r="G668" s="11" t="str">
        <f t="shared" si="4"/>
        <v>data:image/svg+xml,%3csvg xmlns='http://www.w3.org/2000/svg' viewBox='0 0 24 216'%3e%3ctext fill='%23fff' style='font: 900 16px sans-serif' text-anchor='end' transform='matrix(0 -1 1 0 18 5)'%3eGetting A Haircut%3c/text%3e%3c/svg%3e</v>
      </c>
      <c r="H668" s="8" t="s">
        <v>42</v>
      </c>
      <c r="I668" s="8">
        <f t="shared" ref="I668:J668" si="669">len(B668)</f>
        <v>17</v>
      </c>
      <c r="J668" s="8">
        <f t="shared" si="669"/>
        <v>25</v>
      </c>
      <c r="K668" s="8" t="s">
        <v>3708</v>
      </c>
    </row>
    <row r="669">
      <c r="A669" s="7" t="b">
        <v>0</v>
      </c>
      <c r="B669" s="8" t="s">
        <v>3709</v>
      </c>
      <c r="C669" s="7" t="s">
        <v>3710</v>
      </c>
      <c r="D669" s="8" t="str">
        <f>Q&amp;$K669&amp;Q&amp;":{"&amp;Q&amp;$B$2&amp;Q&amp;":"&amp;Q&amp;$B669&amp;Q&amp;","&amp;Q&amp;$C$2&amp;Q&amp;":"&amp;Q&amp;$C669&amp;Q&amp;","&amp;Q&amp;"sets"&amp;Q&amp;":"&amp;Q&amp;substitute(SUBSTITUTE($H669,"[",""),"]","")&amp;Q&amp;"},"</f>
        <v>"xpxq":{"label":"Getting A Hug","extra":"Hmmmm… nice.","sets":"Basic Set, Party Set"},</v>
      </c>
      <c r="E669" s="9" t="str">
        <f t="shared" si="2"/>
        <v>data:image/svg+xml,%3csvg xmlns='http://www.w3.org/2000/svg' viewBox='0 0 24 216'%3e%3ctext fill='%23fff' style='font: 900 16px sans-serif' text-anchor='end' transform='matrix(0 -1 1 0 18 5)'%3eGetting A Hug%3c/text%3e%3c/svg%3e</v>
      </c>
      <c r="F669" s="14" t="str">
        <f t="shared" si="3"/>
        <v>https://svgtext.heliohost.us/cgi-bin/gen.perl?text=Getting%20A%20Hug</v>
      </c>
      <c r="G669" s="11" t="str">
        <f t="shared" si="4"/>
        <v>data:image/svg+xml,%3csvg xmlns='http://www.w3.org/2000/svg' viewBox='0 0 24 216'%3e%3ctext fill='%23fff' style='font: 900 16px sans-serif' text-anchor='end' transform='matrix(0 -1 1 0 18 5)'%3eGetting A Hug%3c/text%3e%3c/svg%3e</v>
      </c>
      <c r="H669" s="8" t="s">
        <v>29</v>
      </c>
      <c r="I669" s="8">
        <f t="shared" ref="I669:J669" si="670">len(B669)</f>
        <v>13</v>
      </c>
      <c r="J669" s="8">
        <f t="shared" si="670"/>
        <v>12</v>
      </c>
      <c r="K669" s="8" t="s">
        <v>3711</v>
      </c>
    </row>
    <row r="670">
      <c r="A670" s="7" t="b">
        <v>1</v>
      </c>
      <c r="B670" s="8" t="s">
        <v>3712</v>
      </c>
      <c r="C670" s="7" t="s">
        <v>3713</v>
      </c>
      <c r="D670" s="8" t="str">
        <f>Q&amp;$K670&amp;Q&amp;":{"&amp;Q&amp;$B$2&amp;Q&amp;":"&amp;Q&amp;$B670&amp;Q&amp;","&amp;Q&amp;$C$2&amp;Q&amp;":"&amp;Q&amp;$C670&amp;Q&amp;","&amp;Q&amp;"sets"&amp;Q&amp;":"&amp;Q&amp;substitute(SUBSTITUTE($H670,"[",""),"]","")&amp;Q&amp;"},"</f>
        <v>"znyb":{"label":"Getting A Shot","extra":"It’s better than getting sick!","sets":"Junior 9+ (1st) &amp; (2nd)"},</v>
      </c>
      <c r="E670" s="9" t="str">
        <f t="shared" si="2"/>
        <v>data:image/svg+xml,%3csvg xmlns='http://www.w3.org/2000/svg' viewBox='0 0 24 216'%3e%3ctext fill='%23fff' style='font: 900 16px sans-serif' text-anchor='end' transform='matrix(0 -1 1 0 18 5)'%3eGetting A Shot%3c/text%3e%3c/svg%3e</v>
      </c>
      <c r="F670" s="14" t="str">
        <f t="shared" si="3"/>
        <v>https://svgtext.heliohost.us/cgi-bin/gen.perl?text=Getting%20A%20Shot</v>
      </c>
      <c r="G670" s="11" t="str">
        <f t="shared" si="4"/>
        <v>data:image/svg+xml,%3csvg xmlns='http://www.w3.org/2000/svg' viewBox='0 0 24 216'%3e%3ctext fill='%23fff' style='font: 900 16px sans-serif' text-anchor='end' transform='matrix(0 -1 1 0 18 5)'%3eGetting A Shot%3c/text%3e%3c/svg%3e</v>
      </c>
      <c r="H670" s="8" t="s">
        <v>42</v>
      </c>
      <c r="I670" s="8">
        <f t="shared" ref="I670:J670" si="671">len(B670)</f>
        <v>14</v>
      </c>
      <c r="J670" s="8">
        <f t="shared" si="671"/>
        <v>30</v>
      </c>
      <c r="K670" s="8" t="s">
        <v>3714</v>
      </c>
    </row>
    <row r="671">
      <c r="A671" s="7" t="b">
        <v>0</v>
      </c>
      <c r="B671" s="8" t="s">
        <v>3715</v>
      </c>
      <c r="C671" s="8" t="s">
        <v>3716</v>
      </c>
      <c r="D671" s="8" t="str">
        <f>Q&amp;$K671&amp;Q&amp;":{"&amp;Q&amp;$B$2&amp;Q&amp;":"&amp;Q&amp;$B671&amp;Q&amp;","&amp;Q&amp;$C$2&amp;Q&amp;":"&amp;Q&amp;$C671&amp;Q&amp;","&amp;Q&amp;"sets"&amp;Q&amp;":"&amp;Q&amp;substitute(SUBSTITUTE($H671,"[",""),"]","")&amp;Q&amp;"},"</f>
        <v>"aiey":{"label":"Getting Head Lice","extra":"Tiny insects that live on the human scalp. Millions of children get head lice each year.","sets":"Junior 9+ (2nd)"},</v>
      </c>
      <c r="E671" s="9" t="str">
        <f t="shared" si="2"/>
        <v>data:image/svg+xml,%3csvg xmlns='http://www.w3.org/2000/svg' viewBox='0 0 24 216'%3e%3ctext fill='%23fff' style='font: 900 16px sans-serif' text-anchor='end' transform='matrix(0 -1 1 0 18 5)'%3eGetting Head Lice%3c/text%3e%3c/svg%3e</v>
      </c>
      <c r="F671" s="14" t="str">
        <f t="shared" si="3"/>
        <v>https://svgtext.heliohost.us/cgi-bin/gen.perl?text=Getting%20Head%20Lice</v>
      </c>
      <c r="G671" s="11" t="str">
        <f t="shared" si="4"/>
        <v>data:image/svg+xml,%3csvg xmlns='http://www.w3.org/2000/svg' viewBox='0 0 24 216'%3e%3ctext fill='%23fff' style='font: 900 16px sans-serif' text-anchor='end' transform='matrix(0 -1 1 0 18 5)'%3eGetting Head Lice%3c/text%3e%3c/svg%3e</v>
      </c>
      <c r="H671" s="8" t="s">
        <v>32</v>
      </c>
      <c r="I671" s="8">
        <f t="shared" ref="I671:J671" si="672">len(B671)</f>
        <v>17</v>
      </c>
      <c r="J671" s="8">
        <f t="shared" si="672"/>
        <v>88</v>
      </c>
      <c r="K671" s="8" t="s">
        <v>3717</v>
      </c>
    </row>
    <row r="672">
      <c r="A672" s="7" t="b">
        <v>1</v>
      </c>
      <c r="B672" s="8" t="s">
        <v>3718</v>
      </c>
      <c r="C672" s="8" t="s">
        <v>3719</v>
      </c>
      <c r="D672" s="8" t="str">
        <f>Q&amp;$K672&amp;Q&amp;":{"&amp;Q&amp;$B$2&amp;Q&amp;":"&amp;Q&amp;$B672&amp;Q&amp;","&amp;Q&amp;$C$2&amp;Q&amp;":"&amp;Q&amp;$C672&amp;Q&amp;","&amp;Q&amp;"sets"&amp;Q&amp;":"&amp;Q&amp;substitute(SUBSTITUTE($H672,"[",""),"]","")&amp;Q&amp;"},"</f>
        <v>"lenz":{"label":"Getting Lost","extra":"Now, where did they go?","sets":"Junior 9+ (1st) &amp; (2nd)"},</v>
      </c>
      <c r="E672" s="9" t="str">
        <f t="shared" si="2"/>
        <v>data:image/svg+xml,%3csvg xmlns='http://www.w3.org/2000/svg' viewBox='0 0 24 216'%3e%3ctext fill='%23fff' style='font: 900 16px sans-serif' text-anchor='end' transform='matrix(0 -1 1 0 18 5)'%3eGetting Lost%3c/text%3e%3c/svg%3e</v>
      </c>
      <c r="F672" s="14" t="str">
        <f t="shared" si="3"/>
        <v>https://svgtext.heliohost.us/cgi-bin/gen.perl?text=Getting%20Lost</v>
      </c>
      <c r="G672" s="11" t="str">
        <f t="shared" si="4"/>
        <v>data:image/svg+xml,%3csvg xmlns='http://www.w3.org/2000/svg' viewBox='0 0 24 216'%3e%3ctext fill='%23fff' style='font: 900 16px sans-serif' text-anchor='end' transform='matrix(0 -1 1 0 18 5)'%3eGetting Lost%3c/text%3e%3c/svg%3e</v>
      </c>
      <c r="H672" s="8" t="s">
        <v>42</v>
      </c>
      <c r="I672" s="8">
        <f t="shared" ref="I672:J672" si="673">len(B672)</f>
        <v>12</v>
      </c>
      <c r="J672" s="8">
        <f t="shared" si="673"/>
        <v>23</v>
      </c>
      <c r="K672" s="8" t="s">
        <v>3720</v>
      </c>
    </row>
    <row r="673">
      <c r="A673" s="7" t="b">
        <v>1</v>
      </c>
      <c r="B673" s="8" t="s">
        <v>3721</v>
      </c>
      <c r="C673" s="8" t="s">
        <v>3722</v>
      </c>
      <c r="D673" s="8" t="str">
        <f>Q&amp;$K673&amp;Q&amp;":{"&amp;Q&amp;$B$2&amp;Q&amp;":"&amp;Q&amp;$B673&amp;Q&amp;","&amp;Q&amp;$C$2&amp;Q&amp;":"&amp;Q&amp;$C673&amp;Q&amp;","&amp;Q&amp;"sets"&amp;Q&amp;":"&amp;Q&amp;substitute(SUBSTITUTE($H673,"[",""),"]","")&amp;Q&amp;"},"</f>
        <v>"ohmn":{"label":"Getting Mail","extra":"Letters, cards, magazines and packages. Is there anything for me?","sets":"Junior"},</v>
      </c>
      <c r="E673" s="9" t="str">
        <f t="shared" si="2"/>
        <v>data:image/svg+xml,%3csvg xmlns='http://www.w3.org/2000/svg' viewBox='0 0 24 216'%3e%3ctext fill='%23fff' style='font: 900 16px sans-serif' text-anchor='end' transform='matrix(0 -1 1 0 18 5)'%3eGetting Mail%3c/text%3e%3c/svg%3e</v>
      </c>
      <c r="F673" s="14" t="str">
        <f t="shared" si="3"/>
        <v>https://svgtext.heliohost.us/cgi-bin/gen.perl?text=Getting%20Mail</v>
      </c>
      <c r="G673" s="11" t="str">
        <f t="shared" si="4"/>
        <v>data:image/svg+xml,%3csvg xmlns='http://www.w3.org/2000/svg' viewBox='0 0 24 216'%3e%3ctext fill='%23fff' style='font: 900 16px sans-serif' text-anchor='end' transform='matrix(0 -1 1 0 18 5)'%3eGetting Mail%3c/text%3e%3c/svg%3e</v>
      </c>
      <c r="H673" s="8" t="s">
        <v>84</v>
      </c>
      <c r="I673" s="8">
        <f t="shared" ref="I673:J673" si="674">len(B673)</f>
        <v>12</v>
      </c>
      <c r="J673" s="8">
        <f t="shared" si="674"/>
        <v>65</v>
      </c>
      <c r="K673" s="8" t="s">
        <v>3723</v>
      </c>
    </row>
    <row r="674">
      <c r="A674" s="7" t="b">
        <v>1</v>
      </c>
      <c r="B674" s="8" t="s">
        <v>3724</v>
      </c>
      <c r="C674" s="8" t="s">
        <v>3725</v>
      </c>
      <c r="D674" s="8" t="str">
        <f>Q&amp;$K674&amp;Q&amp;":{"&amp;Q&amp;$B$2&amp;Q&amp;":"&amp;Q&amp;$B674&amp;Q&amp;","&amp;Q&amp;$C$2&amp;Q&amp;":"&amp;Q&amp;$C674&amp;Q&amp;","&amp;Q&amp;"sets"&amp;Q&amp;":"&amp;Q&amp;substitute(SUBSTITUTE($H674,"[",""),"]","")&amp;Q&amp;"},"</f>
        <v>"hmxd":{"label":"Getting Sick","extra":"Oh, I don't feel very good.","sets":"Junior"},</v>
      </c>
      <c r="E674" s="9" t="str">
        <f t="shared" si="2"/>
        <v>data:image/svg+xml,%3csvg xmlns='http://www.w3.org/2000/svg' viewBox='0 0 24 216'%3e%3ctext fill='%23fff' style='font: 900 16px sans-serif' text-anchor='end' transform='matrix(0 -1 1 0 18 5)'%3eGetting Sick%3c/text%3e%3c/svg%3e</v>
      </c>
      <c r="F674" s="14" t="str">
        <f t="shared" si="3"/>
        <v>https://svgtext.heliohost.us/cgi-bin/gen.perl?text=Getting%20Sick</v>
      </c>
      <c r="G674" s="11" t="str">
        <f t="shared" si="4"/>
        <v>data:image/svg+xml,%3csvg xmlns='http://www.w3.org/2000/svg' viewBox='0 0 24 216'%3e%3ctext fill='%23fff' style='font: 900 16px sans-serif' text-anchor='end' transform='matrix(0 -1 1 0 18 5)'%3eGetting Sick%3c/text%3e%3c/svg%3e</v>
      </c>
      <c r="H674" s="8" t="s">
        <v>84</v>
      </c>
      <c r="I674" s="8">
        <f t="shared" ref="I674:J674" si="675">len(B674)</f>
        <v>12</v>
      </c>
      <c r="J674" s="8">
        <f t="shared" si="675"/>
        <v>27</v>
      </c>
      <c r="K674" s="8" t="s">
        <v>3726</v>
      </c>
    </row>
    <row r="675">
      <c r="A675" s="7" t="b">
        <v>1</v>
      </c>
      <c r="B675" s="8" t="s">
        <v>3727</v>
      </c>
      <c r="C675" s="8" t="s">
        <v>3728</v>
      </c>
      <c r="D675" s="8" t="str">
        <f>Q&amp;$K675&amp;Q&amp;":{"&amp;Q&amp;$B$2&amp;Q&amp;":"&amp;Q&amp;$B675&amp;Q&amp;","&amp;Q&amp;$C$2&amp;Q&amp;":"&amp;Q&amp;$C675&amp;Q&amp;","&amp;Q&amp;"sets"&amp;Q&amp;":"&amp;Q&amp;substitute(SUBSTITUTE($H675,"[",""),"]","")&amp;Q&amp;"},"</f>
        <v>"dvtd":{"label":"Getting Stitches","extra":"Now they can sew you up or glue you back together.","sets":"Junior 9+ (2nd)"},</v>
      </c>
      <c r="E675" s="9" t="str">
        <f t="shared" si="2"/>
        <v>data:image/svg+xml,%3csvg xmlns='http://www.w3.org/2000/svg' viewBox='0 0 24 216'%3e%3ctext fill='%23fff' style='font: 900 16px sans-serif' text-anchor='end' transform='matrix(0 -1 1 0 18 5)'%3eGetting Stitches%3c/text%3e%3c/svg%3e</v>
      </c>
      <c r="F675" s="14" t="str">
        <f t="shared" si="3"/>
        <v>https://svgtext.heliohost.us/cgi-bin/gen.perl?text=Getting%20Stitches</v>
      </c>
      <c r="G675" s="11" t="str">
        <f t="shared" si="4"/>
        <v>data:image/svg+xml,%3csvg xmlns='http://www.w3.org/2000/svg' viewBox='0 0 24 216'%3e%3ctext fill='%23fff' style='font: 900 16px sans-serif' text-anchor='end' transform='matrix(0 -1 1 0 18 5)'%3eGetting Stitches%3c/text%3e%3c/svg%3e</v>
      </c>
      <c r="H675" s="8" t="s">
        <v>32</v>
      </c>
      <c r="I675" s="8">
        <f t="shared" ref="I675:J675" si="676">len(B675)</f>
        <v>16</v>
      </c>
      <c r="J675" s="8">
        <f t="shared" si="676"/>
        <v>50</v>
      </c>
      <c r="K675" s="8" t="s">
        <v>3729</v>
      </c>
    </row>
    <row r="676">
      <c r="A676" s="7" t="b">
        <v>1</v>
      </c>
      <c r="B676" s="8" t="s">
        <v>3730</v>
      </c>
      <c r="C676" s="8" t="s">
        <v>3731</v>
      </c>
      <c r="D676" s="8" t="str">
        <f>Q&amp;$K676&amp;Q&amp;":{"&amp;Q&amp;$B$2&amp;Q&amp;":"&amp;Q&amp;$B676&amp;Q&amp;","&amp;Q&amp;$C$2&amp;Q&amp;":"&amp;Q&amp;$C676&amp;Q&amp;","&amp;Q&amp;"sets"&amp;Q&amp;":"&amp;Q&amp;substitute(SUBSTITUTE($H676,"[",""),"]","")&amp;Q&amp;"},"</f>
        <v>"yxbz":{"label":"Getting The Flu","extra":"Stay home, drink juice and watch TV.","sets":"Junior 9+ (2nd)"},</v>
      </c>
      <c r="E676" s="9" t="str">
        <f t="shared" si="2"/>
        <v>data:image/svg+xml,%3csvg xmlns='http://www.w3.org/2000/svg' viewBox='0 0 24 216'%3e%3ctext fill='%23fff' style='font: 900 16px sans-serif' text-anchor='end' transform='matrix(0 -1 1 0 18 5)'%3eGetting The Flu%3c/text%3e%3c/svg%3e</v>
      </c>
      <c r="F676" s="14" t="str">
        <f t="shared" si="3"/>
        <v>https://svgtext.heliohost.us/cgi-bin/gen.perl?text=Getting%20The%20Flu</v>
      </c>
      <c r="G676" s="11" t="str">
        <f t="shared" si="4"/>
        <v>data:image/svg+xml,%3csvg xmlns='http://www.w3.org/2000/svg' viewBox='0 0 24 216'%3e%3ctext fill='%23fff' style='font: 900 16px sans-serif' text-anchor='end' transform='matrix(0 -1 1 0 18 5)'%3eGetting The Flu%3c/text%3e%3c/svg%3e</v>
      </c>
      <c r="H676" s="8" t="s">
        <v>32</v>
      </c>
      <c r="I676" s="8">
        <f t="shared" ref="I676:J676" si="677">len(B676)</f>
        <v>15</v>
      </c>
      <c r="J676" s="8">
        <f t="shared" si="677"/>
        <v>36</v>
      </c>
      <c r="K676" s="8" t="s">
        <v>3732</v>
      </c>
    </row>
    <row r="677">
      <c r="A677" s="7" t="b">
        <v>1</v>
      </c>
      <c r="B677" s="8" t="s">
        <v>3733</v>
      </c>
      <c r="C677" s="7" t="s">
        <v>3734</v>
      </c>
      <c r="D677" s="8" t="str">
        <f>Q&amp;$K677&amp;Q&amp;":{"&amp;Q&amp;$B$2&amp;Q&amp;":"&amp;Q&amp;$B677&amp;Q&amp;","&amp;Q&amp;$C$2&amp;Q&amp;":"&amp;Q&amp;$C677&amp;Q&amp;","&amp;Q&amp;"sets"&amp;Q&amp;":"&amp;Q&amp;substitute(SUBSTITUTE($H677,"[",""),"]","")&amp;Q&amp;"},"</f>
        <v>"urur":{"label":"Gettysburg, 1863","extra":"The turning point of the American Civil War, a bit more than four score and seven years ago.","sets":"Expansion Set 3, Party Expansion 1"},</v>
      </c>
      <c r="E677" s="9" t="str">
        <f t="shared" si="2"/>
        <v>data:image/svg+xml,%3csvg xmlns='http://www.w3.org/2000/svg' viewBox='0 0 24 216'%3e%3ctext fill='%23fff' style='font: 900 16px sans-serif' text-anchor='end' transform='matrix(0 -1 1 0 18 5)'%3eGettysburg%2C 1863%3c/text%3e%3c/svg%3e</v>
      </c>
      <c r="F677" s="14" t="str">
        <f t="shared" si="3"/>
        <v>https://svgtext.heliohost.us/cgi-bin/gen.perl?text=Gettysburg%2C%201863</v>
      </c>
      <c r="G677" s="11" t="str">
        <f t="shared" si="4"/>
        <v>data:image/svg+xml,%3csvg xmlns='http://www.w3.org/2000/svg' viewBox='0 0 24 216'%3e%3ctext fill='%23fff' style='font: 900 16px sans-serif' text-anchor='end' transform='matrix(0 -1 1 0 18 5)'%3eGettysburg%2C 1863%3c/text%3e%3c/svg%3e</v>
      </c>
      <c r="H677" s="8" t="s">
        <v>39</v>
      </c>
      <c r="I677" s="8">
        <f t="shared" ref="I677:J677" si="678">len(B677)</f>
        <v>16</v>
      </c>
      <c r="J677" s="8">
        <f t="shared" si="678"/>
        <v>92</v>
      </c>
      <c r="K677" s="8" t="s">
        <v>3735</v>
      </c>
    </row>
    <row r="678">
      <c r="A678" s="7" t="b">
        <v>0</v>
      </c>
      <c r="B678" s="8" t="s">
        <v>3736</v>
      </c>
      <c r="C678" s="8" t="s">
        <v>3737</v>
      </c>
      <c r="D678" s="8" t="str">
        <f>Q&amp;$K678&amp;Q&amp;":{"&amp;Q&amp;$B$2&amp;Q&amp;":"&amp;Q&amp;$B678&amp;Q&amp;","&amp;Q&amp;$C$2&amp;Q&amp;":"&amp;Q&amp;$C678&amp;Q&amp;","&amp;Q&amp;"sets"&amp;Q&amp;":"&amp;Q&amp;substitute(SUBSTITUTE($H678,"[",""),"]","")&amp;Q&amp;"},"</f>
        <v>"hgmx":{"label":"Ghost Towns","extra":"Population unknown.","sets":"Expansion Set 2, Party Set"},</v>
      </c>
      <c r="E678" s="9" t="str">
        <f t="shared" si="2"/>
        <v>data:image/svg+xml,%3csvg xmlns='http://www.w3.org/2000/svg' viewBox='0 0 24 216'%3e%3ctext fill='%23fff' style='font: 900 16px sans-serif' text-anchor='end' transform='matrix(0 -1 1 0 18 5)'%3eGhost Towns%3c/text%3e%3c/svg%3e</v>
      </c>
      <c r="F678" s="14" t="str">
        <f t="shared" si="3"/>
        <v>https://svgtext.heliohost.us/cgi-bin/gen.perl?text=Ghost%20Towns</v>
      </c>
      <c r="G678" s="11" t="str">
        <f t="shared" si="4"/>
        <v>data:image/svg+xml,%3csvg xmlns='http://www.w3.org/2000/svg' viewBox='0 0 24 216'%3e%3ctext fill='%23fff' style='font: 900 16px sans-serif' text-anchor='end' transform='matrix(0 -1 1 0 18 5)'%3eGhost Towns%3c/text%3e%3c/svg%3e</v>
      </c>
      <c r="H678" s="8" t="s">
        <v>17</v>
      </c>
      <c r="I678" s="8">
        <f t="shared" ref="I678:J678" si="679">len(B678)</f>
        <v>11</v>
      </c>
      <c r="J678" s="8">
        <f t="shared" si="679"/>
        <v>19</v>
      </c>
      <c r="K678" s="8" t="s">
        <v>3738</v>
      </c>
    </row>
    <row r="679">
      <c r="A679" s="7" t="b">
        <v>0</v>
      </c>
      <c r="B679" s="8" t="s">
        <v>3739</v>
      </c>
      <c r="C679" s="8" t="s">
        <v>3740</v>
      </c>
      <c r="D679" s="8" t="str">
        <f>Q&amp;$K679&amp;Q&amp;":{"&amp;Q&amp;$B$2&amp;Q&amp;":"&amp;Q&amp;$B679&amp;Q&amp;","&amp;Q&amp;$C$2&amp;Q&amp;":"&amp;Q&amp;$C679&amp;Q&amp;","&amp;Q&amp;"sets"&amp;Q&amp;":"&amp;Q&amp;substitute(SUBSTITUTE($H679,"[",""),"]","")&amp;Q&amp;"},"</f>
        <v>"vnom":{"label":"Ghosts","extra":"Nonmaterial embodiments or the essence of organisms (mostly human beings). Quite spirited","sets":"Basic Set, Party Set"},</v>
      </c>
      <c r="E679" s="9" t="str">
        <f t="shared" si="2"/>
        <v>data:image/svg+xml,%3csvg xmlns='http://www.w3.org/2000/svg' viewBox='0 0 24 216'%3e%3ctext fill='%23fff' style='font: 900 16px sans-serif' text-anchor='end' transform='matrix(0 -1 1 0 18 5)'%3eGhosts%3c/text%3e%3c/svg%3e</v>
      </c>
      <c r="F679" s="14" t="str">
        <f t="shared" si="3"/>
        <v>https://svgtext.heliohost.us/cgi-bin/gen.perl?text=Ghosts</v>
      </c>
      <c r="G679" s="11" t="str">
        <f t="shared" si="4"/>
        <v>data:image/svg+xml,%3csvg xmlns='http://www.w3.org/2000/svg' viewBox='0 0 24 216'%3e%3ctext fill='%23fff' style='font: 900 16px sans-serif' text-anchor='end' transform='matrix(0 -1 1 0 18 5)'%3eGhosts%3c/text%3e%3c/svg%3e</v>
      </c>
      <c r="H679" s="8" t="s">
        <v>29</v>
      </c>
      <c r="I679" s="8">
        <f t="shared" ref="I679:J679" si="680">len(B679)</f>
        <v>6</v>
      </c>
      <c r="J679" s="8">
        <f t="shared" si="680"/>
        <v>89</v>
      </c>
      <c r="K679" s="8" t="s">
        <v>3741</v>
      </c>
    </row>
    <row r="680">
      <c r="A680" s="7" t="b">
        <v>1</v>
      </c>
      <c r="B680" s="8" t="s">
        <v>3739</v>
      </c>
      <c r="C680" s="8" t="s">
        <v>3742</v>
      </c>
      <c r="D680" s="8" t="str">
        <f>Q&amp;$K680&amp;Q&amp;":{"&amp;Q&amp;$B$2&amp;Q&amp;":"&amp;Q&amp;$B680&amp;Q&amp;","&amp;Q&amp;$C$2&amp;Q&amp;":"&amp;Q&amp;$C680&amp;Q&amp;","&amp;Q&amp;"sets"&amp;Q&amp;":"&amp;Q&amp;substitute(SUBSTITUTE($H680,"[",""),"]","")&amp;Q&amp;"},"</f>
        <v>"edgn":{"label":"Ghosts","extra":"A pale, shadowy form, and a favorite Halloween costume.","sets":"Junior 9+ (1st) &amp; (2nd)"},</v>
      </c>
      <c r="E680" s="9" t="str">
        <f t="shared" si="2"/>
        <v>data:image/svg+xml,%3csvg xmlns='http://www.w3.org/2000/svg' viewBox='0 0 24 216'%3e%3ctext fill='%23fff' style='font: 900 16px sans-serif' text-anchor='end' transform='matrix(0 -1 1 0 18 5)'%3eGhosts%3c/text%3e%3c/svg%3e</v>
      </c>
      <c r="F680" s="14" t="str">
        <f t="shared" si="3"/>
        <v>https://svgtext.heliohost.us/cgi-bin/gen.perl?text=Ghosts</v>
      </c>
      <c r="G680" s="11" t="str">
        <f t="shared" si="4"/>
        <v>data:image/svg+xml,%3csvg xmlns='http://www.w3.org/2000/svg' viewBox='0 0 24 216'%3e%3ctext fill='%23fff' style='font: 900 16px sans-serif' text-anchor='end' transform='matrix(0 -1 1 0 18 5)'%3eGhosts%3c/text%3e%3c/svg%3e</v>
      </c>
      <c r="H680" s="8" t="s">
        <v>42</v>
      </c>
      <c r="I680" s="8">
        <f t="shared" ref="I680:J680" si="681">len(B680)</f>
        <v>6</v>
      </c>
      <c r="J680" s="8">
        <f t="shared" si="681"/>
        <v>55</v>
      </c>
      <c r="K680" s="8" t="s">
        <v>3743</v>
      </c>
    </row>
    <row r="681">
      <c r="A681" s="7" t="b">
        <v>1</v>
      </c>
      <c r="B681" s="8" t="s">
        <v>3744</v>
      </c>
      <c r="C681" s="7" t="s">
        <v>3745</v>
      </c>
      <c r="D681" s="8" t="str">
        <f>Q&amp;$K681&amp;Q&amp;":{"&amp;Q&amp;$B$2&amp;Q&amp;":"&amp;Q&amp;$B681&amp;Q&amp;","&amp;Q&amp;$C$2&amp;Q&amp;":"&amp;Q&amp;$C681&amp;Q&amp;","&amp;Q&amp;"sets"&amp;Q&amp;":"&amp;Q&amp;substitute(SUBSTITUTE($H681,"[",""),"]","")&amp;Q&amp;"},"</f>
        <v>"zwri":{"label":"Ghosts &amp; Goblins","extra":"“I see dead people.” —Cole Sear, The Sixth Sense","sets":"Expansion Set 4, Party Expansion 1"},</v>
      </c>
      <c r="E681" s="9" t="str">
        <f t="shared" si="2"/>
        <v>data:image/svg+xml,%3csvg xmlns='http://www.w3.org/2000/svg' viewBox='0 0 24 216'%3e%3ctext fill='%23fff' style='font: 900 16px sans-serif' text-anchor='end' transform='matrix(0 -1 1 0 18 5)'%3eGhosts %26amp%3B Goblins%3c/text%3e%3c/svg%3e</v>
      </c>
      <c r="F681" s="14" t="str">
        <f t="shared" si="3"/>
        <v>https://svgtext.heliohost.us/cgi-bin/gen.perl?text=Ghosts%20%26%20Goblins</v>
      </c>
      <c r="G681" s="11" t="str">
        <f t="shared" si="4"/>
        <v>data:image/svg+xml,%3csvg xmlns='http://www.w3.org/2000/svg' viewBox='0 0 24 216'%3e%3ctext fill='%23fff' style='font: 900 16px sans-serif' text-anchor='end' transform='matrix(0 -1 1 0 18 5)'%3eGhosts %26amp%3B Goblins%3c/text%3e%3c/svg%3e</v>
      </c>
      <c r="H681" s="8" t="s">
        <v>63</v>
      </c>
      <c r="I681" s="8">
        <f t="shared" ref="I681:J681" si="682">len(B681)</f>
        <v>16</v>
      </c>
      <c r="J681" s="8">
        <f t="shared" si="682"/>
        <v>48</v>
      </c>
      <c r="K681" s="8" t="s">
        <v>3746</v>
      </c>
    </row>
    <row r="682">
      <c r="A682" s="7" t="b">
        <v>1</v>
      </c>
      <c r="B682" s="8" t="s">
        <v>3747</v>
      </c>
      <c r="C682" s="7" t="s">
        <v>3748</v>
      </c>
      <c r="D682" s="8" t="str">
        <f>Q&amp;$K682&amp;Q&amp;":{"&amp;Q&amp;$B$2&amp;Q&amp;":"&amp;Q&amp;$B682&amp;Q&amp;","&amp;Q&amp;$C$2&amp;Q&amp;":"&amp;Q&amp;$C682&amp;Q&amp;","&amp;Q&amp;"sets"&amp;Q&amp;":"&amp;Q&amp;substitute(SUBSTITUTE($H682,"[",""),"]","")&amp;Q&amp;"},"</f>
        <v>"oemx":{"label":"GI Joe","extra":"He's an “action figure,” not a “doll.”","sets":"Junior 9+ (2nd)"},</v>
      </c>
      <c r="E682" s="9" t="str">
        <f t="shared" si="2"/>
        <v>data:image/svg+xml,%3csvg xmlns='http://www.w3.org/2000/svg' viewBox='0 0 24 216'%3e%3ctext fill='%23fff' style='font: 900 16px sans-serif' text-anchor='end' transform='matrix(0 -1 1 0 18 5)'%3eGI Joe%3c/text%3e%3c/svg%3e</v>
      </c>
      <c r="F682" s="14" t="str">
        <f t="shared" si="3"/>
        <v>https://svgtext.heliohost.us/cgi-bin/gen.perl?text=GI%20Joe</v>
      </c>
      <c r="G682" s="11" t="str">
        <f t="shared" si="4"/>
        <v>data:image/svg+xml,%3csvg xmlns='http://www.w3.org/2000/svg' viewBox='0 0 24 216'%3e%3ctext fill='%23fff' style='font: 900 16px sans-serif' text-anchor='end' transform='matrix(0 -1 1 0 18 5)'%3eGI Joe%3c/text%3e%3c/svg%3e</v>
      </c>
      <c r="H682" s="8" t="s">
        <v>32</v>
      </c>
      <c r="I682" s="8">
        <f t="shared" ref="I682:J682" si="683">len(B682)</f>
        <v>6</v>
      </c>
      <c r="J682" s="8">
        <f t="shared" si="683"/>
        <v>38</v>
      </c>
      <c r="K682" s="8" t="s">
        <v>3749</v>
      </c>
    </row>
    <row r="683">
      <c r="A683" s="7" t="b">
        <v>0</v>
      </c>
      <c r="B683" s="8" t="s">
        <v>3750</v>
      </c>
      <c r="C683" s="7" t="s">
        <v>3751</v>
      </c>
      <c r="D683" s="8" t="str">
        <f>Q&amp;$K683&amp;Q&amp;":{"&amp;Q&amp;$B$2&amp;Q&amp;":"&amp;Q&amp;$B683&amp;Q&amp;","&amp;Q&amp;$C$2&amp;Q&amp;":"&amp;Q&amp;$C683&amp;Q&amp;","&amp;Q&amp;"sets"&amp;Q&amp;":"&amp;Q&amp;substitute(SUBSTITUTE($H683,"[",""),"]","")&amp;Q&amp;"},"</f>
        <v>"yyiu":{"label":"Giant Squid","extra":"Going fishing for giant squid? Nautilus I have to…","sets":"Basic Set, Party Set"},</v>
      </c>
      <c r="E683" s="9" t="str">
        <f t="shared" si="2"/>
        <v>data:image/svg+xml,%3csvg xmlns='http://www.w3.org/2000/svg' viewBox='0 0 24 216'%3e%3ctext fill='%23fff' style='font: 900 16px sans-serif' text-anchor='end' transform='matrix(0 -1 1 0 18 5)'%3eGiant Squid%3c/text%3e%3c/svg%3e</v>
      </c>
      <c r="F683" s="14" t="str">
        <f t="shared" si="3"/>
        <v>https://svgtext.heliohost.us/cgi-bin/gen.perl?text=Giant%20Squid</v>
      </c>
      <c r="G683" s="11" t="str">
        <f t="shared" si="4"/>
        <v>data:image/svg+xml,%3csvg xmlns='http://www.w3.org/2000/svg' viewBox='0 0 24 216'%3e%3ctext fill='%23fff' style='font: 900 16px sans-serif' text-anchor='end' transform='matrix(0 -1 1 0 18 5)'%3eGiant Squid%3c/text%3e%3c/svg%3e</v>
      </c>
      <c r="H683" s="8" t="s">
        <v>29</v>
      </c>
      <c r="I683" s="8">
        <f t="shared" ref="I683:J683" si="684">len(B683)</f>
        <v>11</v>
      </c>
      <c r="J683" s="8">
        <f t="shared" si="684"/>
        <v>50</v>
      </c>
      <c r="K683" s="8" t="s">
        <v>3752</v>
      </c>
    </row>
    <row r="684">
      <c r="A684" s="7" t="b">
        <v>0</v>
      </c>
      <c r="B684" s="8" t="s">
        <v>3753</v>
      </c>
      <c r="C684" s="8" t="s">
        <v>3754</v>
      </c>
      <c r="D684" s="8" t="str">
        <f>Q&amp;$K684&amp;Q&amp;":{"&amp;Q&amp;$B$2&amp;Q&amp;":"&amp;Q&amp;$B684&amp;Q&amp;","&amp;Q&amp;$C$2&amp;Q&amp;":"&amp;Q&amp;$C684&amp;Q&amp;","&amp;Q&amp;"sets"&amp;Q&amp;":"&amp;Q&amp;substitute(SUBSTITUTE($H684,"[",""),"]","")&amp;Q&amp;"},"</f>
        <v>"cvco":{"label":"Gila Monsters","extra":"The largest, and only poisonous lizard found in the United States.","sets":"Expansion Set 2, Party Set"},</v>
      </c>
      <c r="E684" s="9" t="str">
        <f t="shared" si="2"/>
        <v>data:image/svg+xml,%3csvg xmlns='http://www.w3.org/2000/svg' viewBox='0 0 24 216'%3e%3ctext fill='%23fff' style='font: 900 16px sans-serif' text-anchor='end' transform='matrix(0 -1 1 0 18 5)'%3eGila Monsters%3c/text%3e%3c/svg%3e</v>
      </c>
      <c r="F684" s="14" t="str">
        <f t="shared" si="3"/>
        <v>https://svgtext.heliohost.us/cgi-bin/gen.perl?text=Gila%20Monsters</v>
      </c>
      <c r="G684" s="11" t="str">
        <f t="shared" si="4"/>
        <v>data:image/svg+xml,%3csvg xmlns='http://www.w3.org/2000/svg' viewBox='0 0 24 216'%3e%3ctext fill='%23fff' style='font: 900 16px sans-serif' text-anchor='end' transform='matrix(0 -1 1 0 18 5)'%3eGila Monsters%3c/text%3e%3c/svg%3e</v>
      </c>
      <c r="H684" s="8" t="s">
        <v>17</v>
      </c>
      <c r="I684" s="8">
        <f t="shared" ref="I684:J684" si="685">len(B684)</f>
        <v>13</v>
      </c>
      <c r="J684" s="8">
        <f t="shared" si="685"/>
        <v>66</v>
      </c>
      <c r="K684" s="8" t="s">
        <v>3755</v>
      </c>
    </row>
    <row r="685">
      <c r="A685" s="7" t="b">
        <v>1</v>
      </c>
      <c r="B685" s="8" t="s">
        <v>3756</v>
      </c>
      <c r="C685" s="7" t="s">
        <v>3757</v>
      </c>
      <c r="D685" s="8" t="str">
        <f>Q&amp;$K685&amp;Q&amp;":{"&amp;Q&amp;$B$2&amp;Q&amp;":"&amp;Q&amp;$B685&amp;Q&amp;","&amp;Q&amp;$C$2&amp;Q&amp;":"&amp;Q&amp;$C685&amp;Q&amp;","&amp;Q&amp;"sets"&amp;Q&amp;":"&amp;Q&amp;substitute(SUBSTITUTE($H685,"[",""),"]","")&amp;Q&amp;"},"</f>
        <v>"nlsr":{"label":"Gilligan's Island","extra":"Who would have thought that you could make a radio out of coconuts.","sets":"Expansion Set 3, Party Expansion 1"},</v>
      </c>
      <c r="E685" s="9" t="str">
        <f t="shared" si="2"/>
        <v>data:image/svg+xml,%3csvg xmlns='http://www.w3.org/2000/svg' viewBox='0 0 24 216'%3e%3ctext fill='%23fff' style='font: 900 16px sans-serif' text-anchor='end' transform='matrix(0 -1 1 0 18 5)'%3eGilligan%27s Island%3c/text%3e%3c/svg%3e</v>
      </c>
      <c r="F685" s="14" t="str">
        <f t="shared" si="3"/>
        <v>https://svgtext.heliohost.us/cgi-bin/gen.perl?text=Gilligan%27s%20Island</v>
      </c>
      <c r="G685" s="11" t="str">
        <f t="shared" si="4"/>
        <v>data:image/svg+xml,%3csvg xmlns='http://www.w3.org/2000/svg' viewBox='0 0 24 216'%3e%3ctext fill='%23fff' style='font: 900 16px sans-serif' text-anchor='end' transform='matrix(0 -1 1 0 18 5)'%3eGilligan%27s Island%3c/text%3e%3c/svg%3e</v>
      </c>
      <c r="H685" s="8" t="s">
        <v>39</v>
      </c>
      <c r="I685" s="8">
        <f t="shared" ref="I685:J685" si="686">len(B685)</f>
        <v>17</v>
      </c>
      <c r="J685" s="8">
        <f t="shared" si="686"/>
        <v>67</v>
      </c>
      <c r="K685" s="8" t="s">
        <v>3758</v>
      </c>
    </row>
    <row r="686">
      <c r="A686" s="7" t="b">
        <v>1</v>
      </c>
      <c r="B686" s="8" t="s">
        <v>3759</v>
      </c>
      <c r="C686" s="7" t="s">
        <v>3760</v>
      </c>
      <c r="D686" s="8" t="str">
        <f>Q&amp;$K686&amp;Q&amp;":{"&amp;Q&amp;$B$2&amp;Q&amp;":"&amp;Q&amp;$B686&amp;Q&amp;","&amp;Q&amp;$C$2&amp;Q&amp;":"&amp;Q&amp;$C686&amp;Q&amp;","&amp;Q&amp;"sets"&amp;Q&amp;":"&amp;Q&amp;substitute(SUBSTITUTE($H686,"[",""),"]","")&amp;Q&amp;"},"</f>
        <v>"xldh":{"label":"Ginger &amp; Mary Ann","extra":"“Here on Gilligan’s Isle.”","sets":"Expansion Set 4, Party Expansion 1"},</v>
      </c>
      <c r="E686" s="9" t="str">
        <f t="shared" si="2"/>
        <v>data:image/svg+xml,%3csvg xmlns='http://www.w3.org/2000/svg' viewBox='0 0 24 216'%3e%3ctext fill='%23fff' style='font: 900 16px sans-serif' text-anchor='end' transform='matrix(0 -1 1 0 18 5)'%3eGinger %26amp%3B Mary Ann%3c/text%3e%3c/svg%3e</v>
      </c>
      <c r="F686" s="14" t="str">
        <f t="shared" si="3"/>
        <v>https://svgtext.heliohost.us/cgi-bin/gen.perl?text=Ginger%20%26%20Mary%20Ann</v>
      </c>
      <c r="G686" s="11" t="str">
        <f t="shared" si="4"/>
        <v>data:image/svg+xml,%3csvg xmlns='http://www.w3.org/2000/svg' viewBox='0 0 24 216'%3e%3ctext fill='%23fff' style='font: 900 16px sans-serif' text-anchor='end' transform='matrix(0 -1 1 0 18 5)'%3eGinger %26amp%3B Mary Ann%3c/text%3e%3c/svg%3e</v>
      </c>
      <c r="H686" s="8" t="s">
        <v>63</v>
      </c>
      <c r="I686" s="8">
        <f t="shared" ref="I686:J686" si="687">len(B686)</f>
        <v>17</v>
      </c>
      <c r="J686" s="8">
        <f t="shared" si="687"/>
        <v>26</v>
      </c>
      <c r="K686" s="8" t="s">
        <v>3761</v>
      </c>
    </row>
    <row r="687">
      <c r="A687" s="7" t="b">
        <v>0</v>
      </c>
      <c r="B687" s="8" t="s">
        <v>3762</v>
      </c>
      <c r="C687" s="7" t="s">
        <v>3763</v>
      </c>
      <c r="D687" s="8" t="str">
        <f>Q&amp;$K687&amp;Q&amp;":{"&amp;Q&amp;$B$2&amp;Q&amp;":"&amp;Q&amp;$B687&amp;Q&amp;","&amp;Q&amp;$C$2&amp;Q&amp;":"&amp;Q&amp;$C687&amp;Q&amp;","&amp;Q&amp;"sets"&amp;Q&amp;":"&amp;Q&amp;substitute(SUBSTITUTE($H687,"[",""),"]","")&amp;Q&amp;"},"</f>
        <v>"ycri":{"label":"Gingko Trees","extra":"An Asiatic tree, Gingko biloba, known for its fan shaped leaves. We can’t remember what it's good for.","sets":"Expansion Set 2, Party Set"},</v>
      </c>
      <c r="E687" s="9" t="str">
        <f t="shared" si="2"/>
        <v>data:image/svg+xml,%3csvg xmlns='http://www.w3.org/2000/svg' viewBox='0 0 24 216'%3e%3ctext fill='%23fff' style='font: 900 16px sans-serif' text-anchor='end' transform='matrix(0 -1 1 0 18 5)'%3eGingko Trees%3c/text%3e%3c/svg%3e</v>
      </c>
      <c r="F687" s="14" t="str">
        <f t="shared" si="3"/>
        <v>https://svgtext.heliohost.us/cgi-bin/gen.perl?text=Gingko%20Trees</v>
      </c>
      <c r="G687" s="11" t="str">
        <f t="shared" si="4"/>
        <v>data:image/svg+xml,%3csvg xmlns='http://www.w3.org/2000/svg' viewBox='0 0 24 216'%3e%3ctext fill='%23fff' style='font: 900 16px sans-serif' text-anchor='end' transform='matrix(0 -1 1 0 18 5)'%3eGingko Trees%3c/text%3e%3c/svg%3e</v>
      </c>
      <c r="H687" s="8" t="s">
        <v>17</v>
      </c>
      <c r="I687" s="8">
        <f t="shared" ref="I687:J687" si="688">len(B687)</f>
        <v>12</v>
      </c>
      <c r="J687" s="8">
        <f t="shared" si="688"/>
        <v>102</v>
      </c>
      <c r="K687" s="8" t="s">
        <v>3764</v>
      </c>
    </row>
    <row r="688">
      <c r="A688" s="7" t="b">
        <v>0</v>
      </c>
      <c r="B688" s="8" t="s">
        <v>3765</v>
      </c>
      <c r="C688" s="8" t="s">
        <v>3766</v>
      </c>
      <c r="D688" s="8" t="str">
        <f>Q&amp;$K688&amp;Q&amp;":{"&amp;Q&amp;$B$2&amp;Q&amp;":"&amp;Q&amp;$B688&amp;Q&amp;","&amp;Q&amp;$C$2&amp;Q&amp;":"&amp;Q&amp;$C688&amp;Q&amp;","&amp;Q&amp;"sets"&amp;Q&amp;":"&amp;Q&amp;substitute(SUBSTITUTE($H688,"[",""),"]","")&amp;Q&amp;"},"</f>
        <v>"bmco":{"label":"Ginseng","extra":"Common name for plants of the ginseng family, source of a stimulant and a supposed aphrodisiac.","sets":"Expansion Set 1, Party Set"},</v>
      </c>
      <c r="E688" s="9" t="str">
        <f t="shared" si="2"/>
        <v>data:image/svg+xml,%3csvg xmlns='http://www.w3.org/2000/svg' viewBox='0 0 24 216'%3e%3ctext fill='%23fff' style='font: 900 16px sans-serif' text-anchor='end' transform='matrix(0 -1 1 0 18 5)'%3eGinseng%3c/text%3e%3c/svg%3e</v>
      </c>
      <c r="F688" s="14" t="str">
        <f t="shared" si="3"/>
        <v>https://svgtext.heliohost.us/cgi-bin/gen.perl?text=Ginseng</v>
      </c>
      <c r="G688" s="11" t="str">
        <f t="shared" si="4"/>
        <v>data:image/svg+xml,%3csvg xmlns='http://www.w3.org/2000/svg' viewBox='0 0 24 216'%3e%3ctext fill='%23fff' style='font: 900 16px sans-serif' text-anchor='end' transform='matrix(0 -1 1 0 18 5)'%3eGinseng%3c/text%3e%3c/svg%3e</v>
      </c>
      <c r="H688" s="8" t="s">
        <v>25</v>
      </c>
      <c r="I688" s="8">
        <f t="shared" ref="I688:J688" si="689">len(B688)</f>
        <v>7</v>
      </c>
      <c r="J688" s="8">
        <f t="shared" si="689"/>
        <v>95</v>
      </c>
      <c r="K688" s="8" t="s">
        <v>3767</v>
      </c>
    </row>
    <row r="689">
      <c r="A689" s="7" t="b">
        <v>1</v>
      </c>
      <c r="B689" s="8" t="s">
        <v>3768</v>
      </c>
      <c r="C689" s="7" t="s">
        <v>3769</v>
      </c>
      <c r="D689" s="8" t="str">
        <f>Q&amp;$K689&amp;Q&amp;":{"&amp;Q&amp;$B$2&amp;Q&amp;":"&amp;Q&amp;$B689&amp;Q&amp;","&amp;Q&amp;$C$2&amp;Q&amp;":"&amp;Q&amp;$C689&amp;Q&amp;","&amp;Q&amp;"sets"&amp;Q&amp;":"&amp;Q&amp;substitute(SUBSTITUTE($H689,"[",""),"]","")&amp;Q&amp;"},"</f>
        <v>"w{nm":{"label":"Giraffes","extra":"Giraffes can grow to 18 feet tall and have been known to kill a lion with a single kick. Not just another pretty face.","sets":"Expansion Set 3, Party Expansion 1"},</v>
      </c>
      <c r="E689" s="9" t="str">
        <f t="shared" si="2"/>
        <v>data:image/svg+xml,%3csvg xmlns='http://www.w3.org/2000/svg' viewBox='0 0 24 216'%3e%3ctext fill='%23fff' style='font: 900 16px sans-serif' text-anchor='end' transform='matrix(0 -1 1 0 18 5)'%3eGiraffes%3c/text%3e%3c/svg%3e</v>
      </c>
      <c r="F689" s="14" t="str">
        <f t="shared" si="3"/>
        <v>https://svgtext.heliohost.us/cgi-bin/gen.perl?text=Giraffes</v>
      </c>
      <c r="G689" s="11" t="str">
        <f t="shared" si="4"/>
        <v>data:image/svg+xml,%3csvg xmlns='http://www.w3.org/2000/svg' viewBox='0 0 24 216'%3e%3ctext fill='%23fff' style='font: 900 16px sans-serif' text-anchor='end' transform='matrix(0 -1 1 0 18 5)'%3eGiraffes%3c/text%3e%3c/svg%3e</v>
      </c>
      <c r="H689" s="8" t="s">
        <v>39</v>
      </c>
      <c r="I689" s="8">
        <f t="shared" ref="I689:J689" si="690">len(B689)</f>
        <v>8</v>
      </c>
      <c r="J689" s="8">
        <f t="shared" si="690"/>
        <v>118</v>
      </c>
      <c r="K689" s="8" t="s">
        <v>3770</v>
      </c>
    </row>
    <row r="690">
      <c r="A690" s="7" t="b">
        <v>0</v>
      </c>
      <c r="B690" s="8" t="s">
        <v>3771</v>
      </c>
      <c r="C690" s="7" t="s">
        <v>3772</v>
      </c>
      <c r="D690" s="8" t="str">
        <f>Q&amp;$K690&amp;Q&amp;":{"&amp;Q&amp;$B$2&amp;Q&amp;":"&amp;Q&amp;$B690&amp;Q&amp;","&amp;Q&amp;$C$2&amp;Q&amp;":"&amp;Q&amp;$C690&amp;Q&amp;","&amp;Q&amp;"sets"&amp;Q&amp;":"&amp;Q&amp;substitute(SUBSTITUTE($H690,"[",""),"]","")&amp;Q&amp;"},"</f>
        <v>"ezvz":{"label":"Girl Scouts","extra":"I’ll take six boxes of Thin Mints and three of the… you know, the kind with the peanut butter.","sets":"Expansion Set 1, Party Set"},</v>
      </c>
      <c r="E690" s="9" t="str">
        <f t="shared" si="2"/>
        <v>data:image/svg+xml,%3csvg xmlns='http://www.w3.org/2000/svg' viewBox='0 0 24 216'%3e%3ctext fill='%23fff' style='font: 900 16px sans-serif' text-anchor='end' transform='matrix(0 -1 1 0 18 5)'%3eGirl Scouts%3c/text%3e%3c/svg%3e</v>
      </c>
      <c r="F690" s="14" t="str">
        <f t="shared" si="3"/>
        <v>https://svgtext.heliohost.us/cgi-bin/gen.perl?text=Girl%20Scouts</v>
      </c>
      <c r="G690" s="11" t="str">
        <f t="shared" si="4"/>
        <v>data:image/svg+xml,%3csvg xmlns='http://www.w3.org/2000/svg' viewBox='0 0 24 216'%3e%3ctext fill='%23fff' style='font: 900 16px sans-serif' text-anchor='end' transform='matrix(0 -1 1 0 18 5)'%3eGirl Scouts%3c/text%3e%3c/svg%3e</v>
      </c>
      <c r="H690" s="8" t="s">
        <v>25</v>
      </c>
      <c r="I690" s="8">
        <f t="shared" ref="I690:J690" si="691">len(B690)</f>
        <v>11</v>
      </c>
      <c r="J690" s="8">
        <f t="shared" si="691"/>
        <v>94</v>
      </c>
      <c r="K690" s="8" t="s">
        <v>3773</v>
      </c>
    </row>
    <row r="691">
      <c r="A691" s="7" t="b">
        <v>1</v>
      </c>
      <c r="B691" s="8" t="s">
        <v>3771</v>
      </c>
      <c r="C691" s="7" t="s">
        <v>3774</v>
      </c>
      <c r="D691" s="8" t="str">
        <f>Q&amp;$K691&amp;Q&amp;":{"&amp;Q&amp;$B$2&amp;Q&amp;":"&amp;Q&amp;$B691&amp;Q&amp;","&amp;Q&amp;$C$2&amp;Q&amp;":"&amp;Q&amp;$C691&amp;Q&amp;","&amp;Q&amp;"sets"&amp;Q&amp;":"&amp;Q&amp;substitute(SUBSTITUTE($H691,"[",""),"]","")&amp;Q&amp;"},"</f>
        <v>"f{im":{"label":"Girl Scouts","extra":"I will do my best to be honest and fair, friendly and helpful… and sell lots of cookies.","sets":"Junior 9+ (2nd)"},</v>
      </c>
      <c r="E691" s="9" t="str">
        <f t="shared" si="2"/>
        <v>data:image/svg+xml,%3csvg xmlns='http://www.w3.org/2000/svg' viewBox='0 0 24 216'%3e%3ctext fill='%23fff' style='font: 900 16px sans-serif' text-anchor='end' transform='matrix(0 -1 1 0 18 5)'%3eGirl Scouts%3c/text%3e%3c/svg%3e</v>
      </c>
      <c r="F691" s="14" t="str">
        <f t="shared" si="3"/>
        <v>https://svgtext.heliohost.us/cgi-bin/gen.perl?text=Girl%20Scouts</v>
      </c>
      <c r="G691" s="11" t="str">
        <f t="shared" si="4"/>
        <v>data:image/svg+xml,%3csvg xmlns='http://www.w3.org/2000/svg' viewBox='0 0 24 216'%3e%3ctext fill='%23fff' style='font: 900 16px sans-serif' text-anchor='end' transform='matrix(0 -1 1 0 18 5)'%3eGirl Scouts%3c/text%3e%3c/svg%3e</v>
      </c>
      <c r="H691" s="8" t="s">
        <v>32</v>
      </c>
      <c r="I691" s="8">
        <f t="shared" ref="I691:J691" si="692">len(B691)</f>
        <v>11</v>
      </c>
      <c r="J691" s="8">
        <f t="shared" si="692"/>
        <v>88</v>
      </c>
      <c r="K691" s="8" t="s">
        <v>3775</v>
      </c>
    </row>
    <row r="692">
      <c r="A692" s="7" t="b">
        <v>0</v>
      </c>
      <c r="B692" s="8" t="s">
        <v>3776</v>
      </c>
      <c r="C692" s="7" t="s">
        <v>3777</v>
      </c>
      <c r="D692" s="8" t="str">
        <f>Q&amp;$K692&amp;Q&amp;":{"&amp;Q&amp;$B$2&amp;Q&amp;":"&amp;Q&amp;$B692&amp;Q&amp;","&amp;Q&amp;$C$2&amp;Q&amp;":"&amp;Q&amp;$C692&amp;Q&amp;","&amp;Q&amp;"sets"&amp;Q&amp;":"&amp;Q&amp;substitute(SUBSTITUTE($H692,"[",""),"]","")&amp;Q&amp;"},"</f>
        <v>"zfzs":{"label":"Girlfriends","extra":"Girlfriend let’s talk!","sets":"Expansion Set 2, Party Set"},</v>
      </c>
      <c r="E692" s="9" t="str">
        <f t="shared" si="2"/>
        <v>data:image/svg+xml,%3csvg xmlns='http://www.w3.org/2000/svg' viewBox='0 0 24 216'%3e%3ctext fill='%23fff' style='font: 900 16px sans-serif' text-anchor='end' transform='matrix(0 -1 1 0 18 5)'%3eGirlfriends%3c/text%3e%3c/svg%3e</v>
      </c>
      <c r="F692" s="14" t="str">
        <f t="shared" si="3"/>
        <v>https://svgtext.heliohost.us/cgi-bin/gen.perl?text=Girlfriends</v>
      </c>
      <c r="G692" s="11" t="str">
        <f t="shared" si="4"/>
        <v>data:image/svg+xml,%3csvg xmlns='http://www.w3.org/2000/svg' viewBox='0 0 24 216'%3e%3ctext fill='%23fff' style='font: 900 16px sans-serif' text-anchor='end' transform='matrix(0 -1 1 0 18 5)'%3eGirlfriends%3c/text%3e%3c/svg%3e</v>
      </c>
      <c r="H692" s="8" t="s">
        <v>17</v>
      </c>
      <c r="I692" s="8">
        <f t="shared" ref="I692:J692" si="693">len(B692)</f>
        <v>11</v>
      </c>
      <c r="J692" s="8">
        <f t="shared" si="693"/>
        <v>22</v>
      </c>
      <c r="K692" s="8" t="s">
        <v>3778</v>
      </c>
    </row>
    <row r="693">
      <c r="A693" s="7" t="b">
        <v>1</v>
      </c>
      <c r="B693" s="8" t="s">
        <v>3776</v>
      </c>
      <c r="C693" s="8" t="s">
        <v>2502</v>
      </c>
      <c r="D693" s="8" t="str">
        <f>Q&amp;$K693&amp;Q&amp;":{"&amp;Q&amp;$B$2&amp;Q&amp;":"&amp;Q&amp;$B693&amp;Q&amp;","&amp;Q&amp;$C$2&amp;Q&amp;":"&amp;Q&amp;$C693&amp;Q&amp;","&amp;Q&amp;"sets"&amp;Q&amp;":"&amp;Q&amp;substitute(SUBSTITUTE($H693,"[",""),"]","")&amp;Q&amp;"},"</f>
        <v>"dydi":{"label":"Girlfriends","extra":"We're just friends!","sets":"Junior 9+ (2nd)"},</v>
      </c>
      <c r="E693" s="9" t="str">
        <f t="shared" si="2"/>
        <v>data:image/svg+xml,%3csvg xmlns='http://www.w3.org/2000/svg' viewBox='0 0 24 216'%3e%3ctext fill='%23fff' style='font: 900 16px sans-serif' text-anchor='end' transform='matrix(0 -1 1 0 18 5)'%3eGirlfriends%3c/text%3e%3c/svg%3e</v>
      </c>
      <c r="F693" s="14" t="str">
        <f t="shared" si="3"/>
        <v>https://svgtext.heliohost.us/cgi-bin/gen.perl?text=Girlfriends</v>
      </c>
      <c r="G693" s="11" t="str">
        <f t="shared" si="4"/>
        <v>data:image/svg+xml,%3csvg xmlns='http://www.w3.org/2000/svg' viewBox='0 0 24 216'%3e%3ctext fill='%23fff' style='font: 900 16px sans-serif' text-anchor='end' transform='matrix(0 -1 1 0 18 5)'%3eGirlfriends%3c/text%3e%3c/svg%3e</v>
      </c>
      <c r="H693" s="8" t="s">
        <v>32</v>
      </c>
      <c r="I693" s="8">
        <f t="shared" ref="I693:J693" si="694">len(B693)</f>
        <v>11</v>
      </c>
      <c r="J693" s="8">
        <f t="shared" si="694"/>
        <v>19</v>
      </c>
      <c r="K693" s="8" t="s">
        <v>3779</v>
      </c>
    </row>
    <row r="694">
      <c r="A694" s="7" t="b">
        <v>1</v>
      </c>
      <c r="B694" s="8" t="s">
        <v>3780</v>
      </c>
      <c r="C694" s="7" t="s">
        <v>3781</v>
      </c>
      <c r="D694" s="8" t="str">
        <f>Q&amp;$K694&amp;Q&amp;":{"&amp;Q&amp;$B$2&amp;Q&amp;":"&amp;Q&amp;$B694&amp;Q&amp;","&amp;Q&amp;$C$2&amp;Q&amp;":"&amp;Q&amp;$C694&amp;Q&amp;","&amp;Q&amp;"sets"&amp;Q&amp;":"&amp;Q&amp;substitute(SUBSTITUTE($H694,"[",""),"]","")&amp;Q&amp;"},"</f>
        <v>"uodb":{"label":"Girls","extra":"“Sugar and spice and everything nice.”","sets":"Junior"},</v>
      </c>
      <c r="E694" s="9" t="str">
        <f t="shared" si="2"/>
        <v>data:image/svg+xml,%3csvg xmlns='http://www.w3.org/2000/svg' viewBox='0 0 24 216'%3e%3ctext fill='%23fff' style='font: 900 16px sans-serif' text-anchor='end' transform='matrix(0 -1 1 0 18 5)'%3eGirls%3c/text%3e%3c/svg%3e</v>
      </c>
      <c r="F694" s="14" t="str">
        <f t="shared" si="3"/>
        <v>https://svgtext.heliohost.us/cgi-bin/gen.perl?text=Girls</v>
      </c>
      <c r="G694" s="11" t="str">
        <f t="shared" si="4"/>
        <v>data:image/svg+xml,%3csvg xmlns='http://www.w3.org/2000/svg' viewBox='0 0 24 216'%3e%3ctext fill='%23fff' style='font: 900 16px sans-serif' text-anchor='end' transform='matrix(0 -1 1 0 18 5)'%3eGirls%3c/text%3e%3c/svg%3e</v>
      </c>
      <c r="H694" s="8" t="s">
        <v>84</v>
      </c>
      <c r="I694" s="8">
        <f t="shared" ref="I694:J694" si="695">len(B694)</f>
        <v>5</v>
      </c>
      <c r="J694" s="8">
        <f t="shared" si="695"/>
        <v>38</v>
      </c>
      <c r="K694" s="8" t="s">
        <v>3782</v>
      </c>
    </row>
    <row r="695">
      <c r="A695" s="7" t="b">
        <v>0</v>
      </c>
      <c r="B695" s="8" t="s">
        <v>3783</v>
      </c>
      <c r="C695" s="7" t="s">
        <v>3784</v>
      </c>
      <c r="D695" s="8" t="str">
        <f>Q&amp;$K695&amp;Q&amp;":{"&amp;Q&amp;$B$2&amp;Q&amp;":"&amp;Q&amp;$B695&amp;Q&amp;","&amp;Q&amp;$C$2&amp;Q&amp;":"&amp;Q&amp;$C695&amp;Q&amp;","&amp;Q&amp;"sets"&amp;Q&amp;":"&amp;Q&amp;substitute(SUBSTITUTE($H695,"[",""),"]","")&amp;Q&amp;"},"</f>
        <v>"hjpb":{"label":"Giving A Hug","extra":"“One may give without loving; but none can love without giving.” —Anonymous","sets":"Basic Set, Party Set"},</v>
      </c>
      <c r="E695" s="9" t="str">
        <f t="shared" si="2"/>
        <v>data:image/svg+xml,%3csvg xmlns='http://www.w3.org/2000/svg' viewBox='0 0 24 216'%3e%3ctext fill='%23fff' style='font: 900 16px sans-serif' text-anchor='end' transform='matrix(0 -1 1 0 18 5)'%3eGiving A Hug%3c/text%3e%3c/svg%3e</v>
      </c>
      <c r="F695" s="14" t="str">
        <f t="shared" si="3"/>
        <v>https://svgtext.heliohost.us/cgi-bin/gen.perl?text=Giving%20A%20Hug</v>
      </c>
      <c r="G695" s="11" t="str">
        <f t="shared" si="4"/>
        <v>data:image/svg+xml,%3csvg xmlns='http://www.w3.org/2000/svg' viewBox='0 0 24 216'%3e%3ctext fill='%23fff' style='font: 900 16px sans-serif' text-anchor='end' transform='matrix(0 -1 1 0 18 5)'%3eGiving A Hug%3c/text%3e%3c/svg%3e</v>
      </c>
      <c r="H695" s="8" t="s">
        <v>29</v>
      </c>
      <c r="I695" s="8">
        <f t="shared" ref="I695:J695" si="696">len(B695)</f>
        <v>12</v>
      </c>
      <c r="J695" s="8">
        <f t="shared" si="696"/>
        <v>75</v>
      </c>
      <c r="K695" s="8" t="s">
        <v>3785</v>
      </c>
    </row>
    <row r="696">
      <c r="A696" s="7" t="b">
        <v>0</v>
      </c>
      <c r="B696" s="8" t="s">
        <v>3786</v>
      </c>
      <c r="C696" s="7" t="s">
        <v>3787</v>
      </c>
      <c r="D696" s="8" t="str">
        <f>Q&amp;$K696&amp;Q&amp;":{"&amp;Q&amp;$B$2&amp;Q&amp;":"&amp;Q&amp;$B696&amp;Q&amp;","&amp;Q&amp;$C$2&amp;Q&amp;":"&amp;Q&amp;$C696&amp;Q&amp;","&amp;Q&amp;"sets"&amp;Q&amp;":"&amp;Q&amp;substitute(SUBSTITUTE($H696,"[",""),"]","")&amp;Q&amp;"},"</f>
        <v>"dzae":{"label":"Glaciers","extra":"It’ll be a cold day when we see THEM again…","sets":"Expansion Set 2, Party Set"},</v>
      </c>
      <c r="E696" s="9" t="str">
        <f t="shared" si="2"/>
        <v>data:image/svg+xml,%3csvg xmlns='http://www.w3.org/2000/svg' viewBox='0 0 24 216'%3e%3ctext fill='%23fff' style='font: 900 16px sans-serif' text-anchor='end' transform='matrix(0 -1 1 0 18 5)'%3eGlaciers%3c/text%3e%3c/svg%3e</v>
      </c>
      <c r="F696" s="14" t="str">
        <f t="shared" si="3"/>
        <v>https://svgtext.heliohost.us/cgi-bin/gen.perl?text=Glaciers</v>
      </c>
      <c r="G696" s="11" t="str">
        <f t="shared" si="4"/>
        <v>data:image/svg+xml,%3csvg xmlns='http://www.w3.org/2000/svg' viewBox='0 0 24 216'%3e%3ctext fill='%23fff' style='font: 900 16px sans-serif' text-anchor='end' transform='matrix(0 -1 1 0 18 5)'%3eGlaciers%3c/text%3e%3c/svg%3e</v>
      </c>
      <c r="H696" s="8" t="s">
        <v>17</v>
      </c>
      <c r="I696" s="8">
        <f t="shared" ref="I696:J696" si="697">len(B696)</f>
        <v>8</v>
      </c>
      <c r="J696" s="8">
        <f t="shared" si="697"/>
        <v>43</v>
      </c>
      <c r="K696" s="8" t="s">
        <v>3788</v>
      </c>
    </row>
    <row r="697">
      <c r="A697" s="7" t="b">
        <v>1</v>
      </c>
      <c r="B697" s="8" t="s">
        <v>3789</v>
      </c>
      <c r="C697" s="8" t="s">
        <v>3790</v>
      </c>
      <c r="D697" s="8" t="str">
        <f>Q&amp;$K697&amp;Q&amp;":{"&amp;Q&amp;$B$2&amp;Q&amp;":"&amp;Q&amp;$B697&amp;Q&amp;","&amp;Q&amp;$C$2&amp;Q&amp;":"&amp;Q&amp;$C697&amp;Q&amp;","&amp;Q&amp;"sets"&amp;Q&amp;":"&amp;Q&amp;substitute(SUBSTITUTE($H697,"[",""),"]","")&amp;Q&amp;"},"</f>
        <v>"jwlu":{"label":"Glass","extra":"Glass is made by melting sand with potash or other chemicals.","sets":"Junior 9+ (1st) &amp; (2nd)"},</v>
      </c>
      <c r="E697" s="9" t="str">
        <f t="shared" si="2"/>
        <v>data:image/svg+xml,%3csvg xmlns='http://www.w3.org/2000/svg' viewBox='0 0 24 216'%3e%3ctext fill='%23fff' style='font: 900 16px sans-serif' text-anchor='end' transform='matrix(0 -1 1 0 18 5)'%3eGlass%3c/text%3e%3c/svg%3e</v>
      </c>
      <c r="F697" s="14" t="str">
        <f t="shared" si="3"/>
        <v>https://svgtext.heliohost.us/cgi-bin/gen.perl?text=Glass</v>
      </c>
      <c r="G697" s="11" t="str">
        <f t="shared" si="4"/>
        <v>data:image/svg+xml,%3csvg xmlns='http://www.w3.org/2000/svg' viewBox='0 0 24 216'%3e%3ctext fill='%23fff' style='font: 900 16px sans-serif' text-anchor='end' transform='matrix(0 -1 1 0 18 5)'%3eGlass%3c/text%3e%3c/svg%3e</v>
      </c>
      <c r="H697" s="8" t="s">
        <v>42</v>
      </c>
      <c r="I697" s="8">
        <f t="shared" ref="I697:J697" si="698">len(B697)</f>
        <v>5</v>
      </c>
      <c r="J697" s="8">
        <f t="shared" si="698"/>
        <v>61</v>
      </c>
      <c r="K697" s="8" t="s">
        <v>3791</v>
      </c>
    </row>
    <row r="698">
      <c r="A698" s="7" t="b">
        <v>0</v>
      </c>
      <c r="B698" s="8" t="s">
        <v>3792</v>
      </c>
      <c r="C698" s="7" t="s">
        <v>3793</v>
      </c>
      <c r="D698" s="8" t="str">
        <f>Q&amp;$K698&amp;Q&amp;":{"&amp;Q&amp;$B$2&amp;Q&amp;":"&amp;Q&amp;$B698&amp;Q&amp;","&amp;Q&amp;$C$2&amp;Q&amp;":"&amp;Q&amp;$C698&amp;Q&amp;","&amp;Q&amp;"sets"&amp;Q&amp;":"&amp;Q&amp;substitute(SUBSTITUTE($H698,"[",""),"]","")&amp;Q&amp;"},"</f>
        <v>"fspp":{"label":"Glazed Donuts","extra":"If you’re going to be late, take a box of donuts.","sets":"Expansion Set 2, Party Set"},</v>
      </c>
      <c r="E698" s="9" t="str">
        <f t="shared" si="2"/>
        <v>data:image/svg+xml,%3csvg xmlns='http://www.w3.org/2000/svg' viewBox='0 0 24 216'%3e%3ctext fill='%23fff' style='font: 900 16px sans-serif' text-anchor='end' transform='matrix(0 -1 1 0 18 5)'%3eGlazed Donuts%3c/text%3e%3c/svg%3e</v>
      </c>
      <c r="F698" s="14" t="str">
        <f t="shared" si="3"/>
        <v>https://svgtext.heliohost.us/cgi-bin/gen.perl?text=Glazed%20Donuts</v>
      </c>
      <c r="G698" s="11" t="str">
        <f t="shared" si="4"/>
        <v>data:image/svg+xml,%3csvg xmlns='http://www.w3.org/2000/svg' viewBox='0 0 24 216'%3e%3ctext fill='%23fff' style='font: 900 16px sans-serif' text-anchor='end' transform='matrix(0 -1 1 0 18 5)'%3eGlazed Donuts%3c/text%3e%3c/svg%3e</v>
      </c>
      <c r="H698" s="8" t="s">
        <v>17</v>
      </c>
      <c r="I698" s="8">
        <f t="shared" ref="I698:J698" si="699">len(B698)</f>
        <v>13</v>
      </c>
      <c r="J698" s="8">
        <f t="shared" si="699"/>
        <v>49</v>
      </c>
      <c r="K698" s="8" t="s">
        <v>3794</v>
      </c>
    </row>
    <row r="699">
      <c r="A699" s="7" t="b">
        <v>0</v>
      </c>
      <c r="B699" s="8" t="s">
        <v>3795</v>
      </c>
      <c r="C699" s="8" t="s">
        <v>3796</v>
      </c>
      <c r="D699" s="8" t="str">
        <f>Q&amp;$K699&amp;Q&amp;":{"&amp;Q&amp;$B$2&amp;Q&amp;":"&amp;Q&amp;$B699&amp;Q&amp;","&amp;Q&amp;$C$2&amp;Q&amp;":"&amp;Q&amp;$C699&amp;Q&amp;","&amp;Q&amp;"sets"&amp;Q&amp;":"&amp;Q&amp;substitute(SUBSTITUTE($H699,"[",""),"]","")&amp;Q&amp;"},"</f>
        <v>"grec":{"label":"Global Warming","extra":"Is it hot in here, or is it just me?","sets":"Expansion Set 1, Party Set"},</v>
      </c>
      <c r="E699" s="9" t="str">
        <f t="shared" si="2"/>
        <v>data:image/svg+xml,%3csvg xmlns='http://www.w3.org/2000/svg' viewBox='0 0 24 216'%3e%3ctext fill='%23fff' style='font: 900 16px sans-serif' text-anchor='end' transform='matrix(0 -1 1 0 18 5)'%3eGlobal Warming%3c/text%3e%3c/svg%3e</v>
      </c>
      <c r="F699" s="14" t="str">
        <f t="shared" si="3"/>
        <v>https://svgtext.heliohost.us/cgi-bin/gen.perl?text=Global%20Warming</v>
      </c>
      <c r="G699" s="11" t="str">
        <f t="shared" si="4"/>
        <v>data:image/svg+xml,%3csvg xmlns='http://www.w3.org/2000/svg' viewBox='0 0 24 216'%3e%3ctext fill='%23fff' style='font: 900 16px sans-serif' text-anchor='end' transform='matrix(0 -1 1 0 18 5)'%3eGlobal Warming%3c/text%3e%3c/svg%3e</v>
      </c>
      <c r="H699" s="8" t="s">
        <v>25</v>
      </c>
      <c r="I699" s="8">
        <f t="shared" ref="I699:J699" si="700">len(B699)</f>
        <v>14</v>
      </c>
      <c r="J699" s="8">
        <f t="shared" si="700"/>
        <v>36</v>
      </c>
      <c r="K699" s="8" t="s">
        <v>3797</v>
      </c>
    </row>
    <row r="700">
      <c r="A700" s="7" t="b">
        <v>1</v>
      </c>
      <c r="B700" s="8" t="s">
        <v>3798</v>
      </c>
      <c r="C700" s="8" t="s">
        <v>3799</v>
      </c>
      <c r="D700" s="8" t="str">
        <f>Q&amp;$K700&amp;Q&amp;":{"&amp;Q&amp;$B$2&amp;Q&amp;":"&amp;Q&amp;$B700&amp;Q&amp;","&amp;Q&amp;$C$2&amp;Q&amp;":"&amp;Q&amp;$C700&amp;Q&amp;","&amp;Q&amp;"sets"&amp;Q&amp;":"&amp;Q&amp;substitute(SUBSTITUTE($H700,"[",""),"]","")&amp;Q&amp;"},"</f>
        <v>"ulwm":{"label":"Globes","extra":"The world at your fingertips.","sets":"Junior 9+ (2nd)"},</v>
      </c>
      <c r="E700" s="9" t="str">
        <f t="shared" si="2"/>
        <v>data:image/svg+xml,%3csvg xmlns='http://www.w3.org/2000/svg' viewBox='0 0 24 216'%3e%3ctext fill='%23fff' style='font: 900 16px sans-serif' text-anchor='end' transform='matrix(0 -1 1 0 18 5)'%3eGlobes%3c/text%3e%3c/svg%3e</v>
      </c>
      <c r="F700" s="14" t="str">
        <f t="shared" si="3"/>
        <v>https://svgtext.heliohost.us/cgi-bin/gen.perl?text=Globes</v>
      </c>
      <c r="G700" s="11" t="str">
        <f t="shared" si="4"/>
        <v>data:image/svg+xml,%3csvg xmlns='http://www.w3.org/2000/svg' viewBox='0 0 24 216'%3e%3ctext fill='%23fff' style='font: 900 16px sans-serif' text-anchor='end' transform='matrix(0 -1 1 0 18 5)'%3eGlobes%3c/text%3e%3c/svg%3e</v>
      </c>
      <c r="H700" s="8" t="s">
        <v>32</v>
      </c>
      <c r="I700" s="8">
        <f t="shared" ref="I700:J700" si="701">len(B700)</f>
        <v>6</v>
      </c>
      <c r="J700" s="8">
        <f t="shared" si="701"/>
        <v>29</v>
      </c>
      <c r="K700" s="8" t="s">
        <v>3800</v>
      </c>
    </row>
    <row r="701">
      <c r="A701" s="7" t="b">
        <v>1</v>
      </c>
      <c r="B701" s="8" t="s">
        <v>3801</v>
      </c>
      <c r="C701" s="8" t="s">
        <v>3802</v>
      </c>
      <c r="D701" s="8" t="str">
        <f>Q&amp;$K701&amp;Q&amp;":{"&amp;Q&amp;$B$2&amp;Q&amp;":"&amp;Q&amp;$B701&amp;Q&amp;","&amp;Q&amp;$C$2&amp;Q&amp;":"&amp;Q&amp;$C701&amp;Q&amp;","&amp;Q&amp;"sets"&amp;Q&amp;":"&amp;Q&amp;substitute(SUBSTITUTE($H701,"[",""),"]","")&amp;Q&amp;"},"</f>
        <v>"qovg":{"label":"Glue","extra":"Very sticky stuff!","sets":"Junior"},</v>
      </c>
      <c r="E701" s="9" t="str">
        <f t="shared" si="2"/>
        <v>data:image/svg+xml,%3csvg xmlns='http://www.w3.org/2000/svg' viewBox='0 0 24 216'%3e%3ctext fill='%23fff' style='font: 900 16px sans-serif' text-anchor='end' transform='matrix(0 -1 1 0 18 5)'%3eGlue%3c/text%3e%3c/svg%3e</v>
      </c>
      <c r="F701" s="14" t="str">
        <f t="shared" si="3"/>
        <v>https://svgtext.heliohost.us/cgi-bin/gen.perl?text=Glue</v>
      </c>
      <c r="G701" s="11" t="str">
        <f t="shared" si="4"/>
        <v>data:image/svg+xml,%3csvg xmlns='http://www.w3.org/2000/svg' viewBox='0 0 24 216'%3e%3ctext fill='%23fff' style='font: 900 16px sans-serif' text-anchor='end' transform='matrix(0 -1 1 0 18 5)'%3eGlue%3c/text%3e%3c/svg%3e</v>
      </c>
      <c r="H701" s="8" t="s">
        <v>84</v>
      </c>
      <c r="I701" s="8">
        <f t="shared" ref="I701:J701" si="702">len(B701)</f>
        <v>4</v>
      </c>
      <c r="J701" s="8">
        <f t="shared" si="702"/>
        <v>18</v>
      </c>
      <c r="K701" s="8" t="s">
        <v>3803</v>
      </c>
    </row>
    <row r="702">
      <c r="A702" s="7" t="b">
        <v>1</v>
      </c>
      <c r="B702" s="8" t="s">
        <v>3804</v>
      </c>
      <c r="C702" s="8" t="s">
        <v>3805</v>
      </c>
      <c r="D702" s="8" t="str">
        <f>Q&amp;$K702&amp;Q&amp;":{"&amp;Q&amp;$B$2&amp;Q&amp;":"&amp;Q&amp;$B702&amp;Q&amp;","&amp;Q&amp;$C$2&amp;Q&amp;":"&amp;Q&amp;$C702&amp;Q&amp;","&amp;Q&amp;"sets"&amp;Q&amp;":"&amp;Q&amp;substitute(SUBSTITUTE($H702,"[",""),"]","")&amp;Q&amp;"},"</f>
        <v>"lagh":{"label":"Go Karts","extra":"Go kart, go!","sets":"Expansion Set 3, Party Expansion 1"},</v>
      </c>
      <c r="E702" s="9" t="str">
        <f t="shared" si="2"/>
        <v>data:image/svg+xml,%3csvg xmlns='http://www.w3.org/2000/svg' viewBox='0 0 24 216'%3e%3ctext fill='%23fff' style='font: 900 16px sans-serif' text-anchor='end' transform='matrix(0 -1 1 0 18 5)'%3eGo Karts%3c/text%3e%3c/svg%3e</v>
      </c>
      <c r="F702" s="14" t="str">
        <f t="shared" si="3"/>
        <v>https://svgtext.heliohost.us/cgi-bin/gen.perl?text=Go%20Karts</v>
      </c>
      <c r="G702" s="11" t="str">
        <f t="shared" si="4"/>
        <v>data:image/svg+xml,%3csvg xmlns='http://www.w3.org/2000/svg' viewBox='0 0 24 216'%3e%3ctext fill='%23fff' style='font: 900 16px sans-serif' text-anchor='end' transform='matrix(0 -1 1 0 18 5)'%3eGo Karts%3c/text%3e%3c/svg%3e</v>
      </c>
      <c r="H702" s="8" t="s">
        <v>39</v>
      </c>
      <c r="I702" s="8">
        <f t="shared" ref="I702:J702" si="703">len(B702)</f>
        <v>8</v>
      </c>
      <c r="J702" s="8">
        <f t="shared" si="703"/>
        <v>12</v>
      </c>
      <c r="K702" s="8" t="s">
        <v>3806</v>
      </c>
    </row>
    <row r="703">
      <c r="A703" s="7" t="b">
        <v>1</v>
      </c>
      <c r="B703" s="8" t="s">
        <v>3807</v>
      </c>
      <c r="C703" s="7" t="s">
        <v>3808</v>
      </c>
      <c r="D703" s="8" t="str">
        <f>Q&amp;$K703&amp;Q&amp;":{"&amp;Q&amp;$B$2&amp;Q&amp;":"&amp;Q&amp;$B703&amp;Q&amp;","&amp;Q&amp;$C$2&amp;Q&amp;":"&amp;Q&amp;$C703&amp;Q&amp;","&amp;Q&amp;"sets"&amp;Q&amp;":"&amp;Q&amp;substitute(SUBSTITUTE($H703,"[",""),"]","")&amp;Q&amp;"},"</f>
        <v>"ueim":{"label":"Goats","extra":"Goats have short horns and beards. They’ll eat anything.","sets":"Junior 9+ (1st) &amp; (2nd)"},</v>
      </c>
      <c r="E703" s="9" t="str">
        <f t="shared" si="2"/>
        <v>data:image/svg+xml,%3csvg xmlns='http://www.w3.org/2000/svg' viewBox='0 0 24 216'%3e%3ctext fill='%23fff' style='font: 900 16px sans-serif' text-anchor='end' transform='matrix(0 -1 1 0 18 5)'%3eGoats%3c/text%3e%3c/svg%3e</v>
      </c>
      <c r="F703" s="14" t="str">
        <f t="shared" si="3"/>
        <v>https://svgtext.heliohost.us/cgi-bin/gen.perl?text=Goats</v>
      </c>
      <c r="G703" s="11" t="str">
        <f t="shared" si="4"/>
        <v>data:image/svg+xml,%3csvg xmlns='http://www.w3.org/2000/svg' viewBox='0 0 24 216'%3e%3ctext fill='%23fff' style='font: 900 16px sans-serif' text-anchor='end' transform='matrix(0 -1 1 0 18 5)'%3eGoats%3c/text%3e%3c/svg%3e</v>
      </c>
      <c r="H703" s="8" t="s">
        <v>42</v>
      </c>
      <c r="I703" s="8">
        <f t="shared" ref="I703:J703" si="704">len(B703)</f>
        <v>5</v>
      </c>
      <c r="J703" s="8">
        <f t="shared" si="704"/>
        <v>56</v>
      </c>
      <c r="K703" s="8" t="s">
        <v>3809</v>
      </c>
    </row>
    <row r="704">
      <c r="A704" s="7" t="b">
        <v>1</v>
      </c>
      <c r="B704" s="8" t="s">
        <v>3810</v>
      </c>
      <c r="C704" s="8" t="s">
        <v>3811</v>
      </c>
      <c r="D704" s="8" t="str">
        <f>Q&amp;$K704&amp;Q&amp;":{"&amp;Q&amp;$B$2&amp;Q&amp;":"&amp;Q&amp;$B704&amp;Q&amp;","&amp;Q&amp;$C$2&amp;Q&amp;":"&amp;Q&amp;$C704&amp;Q&amp;","&amp;Q&amp;"sets"&amp;Q&amp;":"&amp;Q&amp;substitute(SUBSTITUTE($H704,"[",""),"]","")&amp;Q&amp;"},"</f>
        <v>"cxmi":{"label":"Going On A Cruise","extra":"Iceberg, dead ahead!","sets":"Expansion Set 3, Party Expansion 1"},</v>
      </c>
      <c r="E704" s="9" t="str">
        <f t="shared" si="2"/>
        <v>data:image/svg+xml,%3csvg xmlns='http://www.w3.org/2000/svg' viewBox='0 0 24 216'%3e%3ctext fill='%23fff' style='font: 900 16px sans-serif' text-anchor='end' transform='matrix(0 -1 1 0 18 5)'%3eGoing On A Cruise%3c/text%3e%3c/svg%3e</v>
      </c>
      <c r="F704" s="14" t="str">
        <f t="shared" si="3"/>
        <v>https://svgtext.heliohost.us/cgi-bin/gen.perl?text=Going%20On%20A%20Cruise</v>
      </c>
      <c r="G704" s="11" t="str">
        <f t="shared" si="4"/>
        <v>data:image/svg+xml,%3csvg xmlns='http://www.w3.org/2000/svg' viewBox='0 0 24 216'%3e%3ctext fill='%23fff' style='font: 900 16px sans-serif' text-anchor='end' transform='matrix(0 -1 1 0 18 5)'%3eGoing On A Cruise%3c/text%3e%3c/svg%3e</v>
      </c>
      <c r="H704" s="8" t="s">
        <v>39</v>
      </c>
      <c r="I704" s="8">
        <f t="shared" ref="I704:J704" si="705">len(B704)</f>
        <v>17</v>
      </c>
      <c r="J704" s="8">
        <f t="shared" si="705"/>
        <v>20</v>
      </c>
      <c r="K704" s="8" t="s">
        <v>3812</v>
      </c>
    </row>
    <row r="705">
      <c r="A705" s="7" t="b">
        <v>1</v>
      </c>
      <c r="B705" s="8" t="s">
        <v>3813</v>
      </c>
      <c r="C705" s="7" t="s">
        <v>3814</v>
      </c>
      <c r="D705" s="8" t="str">
        <f>Q&amp;$K705&amp;Q&amp;":{"&amp;Q&amp;$B$2&amp;Q&amp;":"&amp;Q&amp;$B705&amp;Q&amp;","&amp;Q&amp;$C$2&amp;Q&amp;":"&amp;Q&amp;$C705&amp;Q&amp;","&amp;Q&amp;"sets"&amp;Q&amp;":"&amp;Q&amp;substitute(SUBSTITUTE($H705,"[",""),"]","")&amp;Q&amp;"},"</f>
        <v>"yjoc":{"label":"Going On A Safari","extra":"Don’t feed the lions!","sets":"Junior 9+ (2nd)"},</v>
      </c>
      <c r="E705" s="9" t="str">
        <f t="shared" si="2"/>
        <v>data:image/svg+xml,%3csvg xmlns='http://www.w3.org/2000/svg' viewBox='0 0 24 216'%3e%3ctext fill='%23fff' style='font: 900 16px sans-serif' text-anchor='end' transform='matrix(0 -1 1 0 18 5)'%3eGoing On A Safari%3c/text%3e%3c/svg%3e</v>
      </c>
      <c r="F705" s="14" t="str">
        <f t="shared" si="3"/>
        <v>https://svgtext.heliohost.us/cgi-bin/gen.perl?text=Going%20On%20A%20Safari</v>
      </c>
      <c r="G705" s="11" t="str">
        <f t="shared" si="4"/>
        <v>data:image/svg+xml,%3csvg xmlns='http://www.w3.org/2000/svg' viewBox='0 0 24 216'%3e%3ctext fill='%23fff' style='font: 900 16px sans-serif' text-anchor='end' transform='matrix(0 -1 1 0 18 5)'%3eGoing On A Safari%3c/text%3e%3c/svg%3e</v>
      </c>
      <c r="H705" s="8" t="s">
        <v>32</v>
      </c>
      <c r="I705" s="8">
        <f t="shared" ref="I705:J705" si="706">len(B705)</f>
        <v>17</v>
      </c>
      <c r="J705" s="8">
        <f t="shared" si="706"/>
        <v>21</v>
      </c>
      <c r="K705" s="8" t="s">
        <v>3815</v>
      </c>
    </row>
    <row r="706">
      <c r="A706" s="7" t="b">
        <v>1</v>
      </c>
      <c r="B706" s="8" t="s">
        <v>3816</v>
      </c>
      <c r="C706" s="8" t="s">
        <v>3817</v>
      </c>
      <c r="D706" s="8" t="str">
        <f>Q&amp;$K706&amp;Q&amp;":{"&amp;Q&amp;$B$2&amp;Q&amp;":"&amp;Q&amp;$B706&amp;Q&amp;","&amp;Q&amp;$C$2&amp;Q&amp;":"&amp;Q&amp;$C706&amp;Q&amp;","&amp;Q&amp;"sets"&amp;Q&amp;":"&amp;Q&amp;substitute(SUBSTITUTE($H706,"[",""),"]","")&amp;Q&amp;"},"</f>
        <v>"bstc":{"label":"Going On Vacation","extra":"Pack your bags!","sets":"Junior 9+ (2nd)"},</v>
      </c>
      <c r="E706" s="9" t="str">
        <f t="shared" si="2"/>
        <v>data:image/svg+xml,%3csvg xmlns='http://www.w3.org/2000/svg' viewBox='0 0 24 216'%3e%3ctext fill='%23fff' style='font: 900 16px sans-serif' text-anchor='end' transform='matrix(0 -1 1 0 18 5)'%3eGoing On Vacation%3c/text%3e%3c/svg%3e</v>
      </c>
      <c r="F706" s="14" t="str">
        <f t="shared" si="3"/>
        <v>https://svgtext.heliohost.us/cgi-bin/gen.perl?text=Going%20On%20Vacation</v>
      </c>
      <c r="G706" s="11" t="str">
        <f t="shared" si="4"/>
        <v>data:image/svg+xml,%3csvg xmlns='http://www.w3.org/2000/svg' viewBox='0 0 24 216'%3e%3ctext fill='%23fff' style='font: 900 16px sans-serif' text-anchor='end' transform='matrix(0 -1 1 0 18 5)'%3eGoing On Vacation%3c/text%3e%3c/svg%3e</v>
      </c>
      <c r="H706" s="8" t="s">
        <v>32</v>
      </c>
      <c r="I706" s="8">
        <f t="shared" ref="I706:J706" si="707">len(B706)</f>
        <v>17</v>
      </c>
      <c r="J706" s="8">
        <f t="shared" si="707"/>
        <v>15</v>
      </c>
      <c r="K706" s="8" t="s">
        <v>3818</v>
      </c>
    </row>
    <row r="707">
      <c r="A707" s="7" t="b">
        <v>1</v>
      </c>
      <c r="B707" s="8" t="s">
        <v>3819</v>
      </c>
      <c r="C707" s="8" t="s">
        <v>3820</v>
      </c>
      <c r="D707" s="8" t="str">
        <f>Q&amp;$K707&amp;Q&amp;":{"&amp;Q&amp;$B$2&amp;Q&amp;":"&amp;Q&amp;$B707&amp;Q&amp;","&amp;Q&amp;$C$2&amp;Q&amp;":"&amp;Q&amp;$C707&amp;Q&amp;","&amp;Q&amp;"sets"&amp;Q&amp;":"&amp;Q&amp;substitute(SUBSTITUTE($H707,"[",""),"]","")&amp;Q&amp;"},"</f>
        <v>"uvdt":{"label":"Going To A Movie","extra":"Get some popcorn and watch the show.","sets":"Junior"},</v>
      </c>
      <c r="E707" s="9" t="str">
        <f t="shared" si="2"/>
        <v>data:image/svg+xml,%3csvg xmlns='http://www.w3.org/2000/svg' viewBox='0 0 24 216'%3e%3ctext fill='%23fff' style='font: 900 16px sans-serif' text-anchor='end' transform='matrix(0 -1 1 0 18 5)'%3eGoing To A Movie%3c/text%3e%3c/svg%3e</v>
      </c>
      <c r="F707" s="14" t="str">
        <f t="shared" si="3"/>
        <v>https://svgtext.heliohost.us/cgi-bin/gen.perl?text=Going%20To%20A%20Movie</v>
      </c>
      <c r="G707" s="11" t="str">
        <f t="shared" si="4"/>
        <v>data:image/svg+xml,%3csvg xmlns='http://www.w3.org/2000/svg' viewBox='0 0 24 216'%3e%3ctext fill='%23fff' style='font: 900 16px sans-serif' text-anchor='end' transform='matrix(0 -1 1 0 18 5)'%3eGoing To A Movie%3c/text%3e%3c/svg%3e</v>
      </c>
      <c r="H707" s="8" t="s">
        <v>84</v>
      </c>
      <c r="I707" s="8">
        <f t="shared" ref="I707:J707" si="708">len(B707)</f>
        <v>16</v>
      </c>
      <c r="J707" s="8">
        <f t="shared" si="708"/>
        <v>36</v>
      </c>
      <c r="K707" s="8" t="s">
        <v>3821</v>
      </c>
    </row>
    <row r="708">
      <c r="A708" s="7" t="b">
        <v>0</v>
      </c>
      <c r="B708" s="8" t="s">
        <v>3822</v>
      </c>
      <c r="C708" s="8" t="s">
        <v>3823</v>
      </c>
      <c r="D708" s="8" t="str">
        <f>Q&amp;$K708&amp;Q&amp;":{"&amp;Q&amp;$B$2&amp;Q&amp;":"&amp;Q&amp;$B708&amp;Q&amp;","&amp;Q&amp;$C$2&amp;Q&amp;":"&amp;Q&amp;$C708&amp;Q&amp;","&amp;Q&amp;"sets"&amp;Q&amp;":"&amp;Q&amp;substitute(SUBSTITUTE($H708,"[",""),"]","")&amp;Q&amp;"},"</f>
        <v>"bdvi":{"label":"Going To Church","extra":"Weddings, funerals, bazaars, and bingo!","sets":"Expansion Set 2, Party Set"},</v>
      </c>
      <c r="E708" s="9" t="str">
        <f t="shared" si="2"/>
        <v>data:image/svg+xml,%3csvg xmlns='http://www.w3.org/2000/svg' viewBox='0 0 24 216'%3e%3ctext fill='%23fff' style='font: 900 16px sans-serif' text-anchor='end' transform='matrix(0 -1 1 0 18 5)'%3eGoing To Church%3c/text%3e%3c/svg%3e</v>
      </c>
      <c r="F708" s="14" t="str">
        <f t="shared" si="3"/>
        <v>https://svgtext.heliohost.us/cgi-bin/gen.perl?text=Going%20To%20Church</v>
      </c>
      <c r="G708" s="11" t="str">
        <f t="shared" si="4"/>
        <v>data:image/svg+xml,%3csvg xmlns='http://www.w3.org/2000/svg' viewBox='0 0 24 216'%3e%3ctext fill='%23fff' style='font: 900 16px sans-serif' text-anchor='end' transform='matrix(0 -1 1 0 18 5)'%3eGoing To Church%3c/text%3e%3c/svg%3e</v>
      </c>
      <c r="H708" s="8" t="s">
        <v>17</v>
      </c>
      <c r="I708" s="8">
        <f t="shared" ref="I708:J708" si="709">len(B708)</f>
        <v>15</v>
      </c>
      <c r="J708" s="8">
        <f t="shared" si="709"/>
        <v>39</v>
      </c>
      <c r="K708" s="8" t="s">
        <v>3824</v>
      </c>
    </row>
    <row r="709">
      <c r="A709" s="7" t="b">
        <v>0</v>
      </c>
      <c r="B709" s="8" t="s">
        <v>3825</v>
      </c>
      <c r="C709" s="7" t="s">
        <v>3826</v>
      </c>
      <c r="D709" s="8" t="str">
        <f>Q&amp;$K709&amp;Q&amp;":{"&amp;Q&amp;$B$2&amp;Q&amp;":"&amp;Q&amp;$B709&amp;Q&amp;","&amp;Q&amp;$C$2&amp;Q&amp;":"&amp;Q&amp;$C709&amp;Q&amp;","&amp;Q&amp;"sets"&amp;Q&amp;":"&amp;Q&amp;substitute(SUBSTITUTE($H709,"[",""),"]","")&amp;Q&amp;"},"</f>
        <v>"qhmv":{"label":"Going To Grandma's","extra":"“Grandmother, what big teeth you have!” —Little Red Riding Hood","sets":"Expansion Set 1, Party Set"},</v>
      </c>
      <c r="E709" s="9" t="str">
        <f t="shared" si="2"/>
        <v>data:image/svg+xml,%3csvg xmlns='http://www.w3.org/2000/svg' viewBox='0 0 24 216'%3e%3ctext fill='%23fff' style='font: 900 16px sans-serif' text-anchor='end' transform='matrix(0 -1 1 0 18 5)'%3eGoing To Grandma%27s%3c/text%3e%3c/svg%3e</v>
      </c>
      <c r="F709" s="14" t="str">
        <f t="shared" si="3"/>
        <v>https://svgtext.heliohost.us/cgi-bin/gen.perl?text=Going%20To%20Grandma%27s</v>
      </c>
      <c r="G709" s="11" t="str">
        <f t="shared" si="4"/>
        <v>data:image/svg+xml,%3csvg xmlns='http://www.w3.org/2000/svg' viewBox='0 0 24 216'%3e%3ctext fill='%23fff' style='font: 900 16px sans-serif' text-anchor='end' transform='matrix(0 -1 1 0 18 5)'%3eGoing To Grandma%27s%3c/text%3e%3c/svg%3e</v>
      </c>
      <c r="H709" s="8" t="s">
        <v>25</v>
      </c>
      <c r="I709" s="8">
        <f t="shared" ref="I709:J709" si="710">len(B709)</f>
        <v>18</v>
      </c>
      <c r="J709" s="8">
        <f t="shared" si="710"/>
        <v>63</v>
      </c>
      <c r="K709" s="8" t="s">
        <v>3827</v>
      </c>
    </row>
    <row r="710">
      <c r="A710" s="7" t="b">
        <v>0</v>
      </c>
      <c r="B710" s="8" t="s">
        <v>3828</v>
      </c>
      <c r="C710" s="8" t="s">
        <v>3829</v>
      </c>
      <c r="D710" s="8" t="str">
        <f>Q&amp;$K710&amp;Q&amp;":{"&amp;Q&amp;$B$2&amp;Q&amp;":"&amp;Q&amp;$B710&amp;Q&amp;","&amp;Q&amp;$C$2&amp;Q&amp;":"&amp;Q&amp;$C710&amp;Q&amp;","&amp;Q&amp;"sets"&amp;Q&amp;":"&amp;Q&amp;substitute(SUBSTITUTE($H710,"[",""),"]","")&amp;Q&amp;"},"</f>
        <v>"kwbn":{"label":"Going To School","extra":"Secondary education? It's elementary.","sets":"Basic Set, Party Set"},</v>
      </c>
      <c r="E710" s="9" t="str">
        <f t="shared" si="2"/>
        <v>data:image/svg+xml,%3csvg xmlns='http://www.w3.org/2000/svg' viewBox='0 0 24 216'%3e%3ctext fill='%23fff' style='font: 900 16px sans-serif' text-anchor='end' transform='matrix(0 -1 1 0 18 5)'%3eGoing To School%3c/text%3e%3c/svg%3e</v>
      </c>
      <c r="F710" s="14" t="str">
        <f t="shared" si="3"/>
        <v>https://svgtext.heliohost.us/cgi-bin/gen.perl?text=Going%20To%20School</v>
      </c>
      <c r="G710" s="11" t="str">
        <f t="shared" si="4"/>
        <v>data:image/svg+xml,%3csvg xmlns='http://www.w3.org/2000/svg' viewBox='0 0 24 216'%3e%3ctext fill='%23fff' style='font: 900 16px sans-serif' text-anchor='end' transform='matrix(0 -1 1 0 18 5)'%3eGoing To School%3c/text%3e%3c/svg%3e</v>
      </c>
      <c r="H710" s="8" t="s">
        <v>29</v>
      </c>
      <c r="I710" s="8">
        <f t="shared" ref="I710:J710" si="711">len(B710)</f>
        <v>15</v>
      </c>
      <c r="J710" s="8">
        <f t="shared" si="711"/>
        <v>37</v>
      </c>
      <c r="K710" s="8" t="s">
        <v>3830</v>
      </c>
    </row>
    <row r="711">
      <c r="A711" s="7" t="b">
        <v>1</v>
      </c>
      <c r="B711" s="8" t="s">
        <v>3828</v>
      </c>
      <c r="C711" s="8" t="s">
        <v>3831</v>
      </c>
      <c r="D711" s="8" t="str">
        <f>Q&amp;$K711&amp;Q&amp;":{"&amp;Q&amp;$B$2&amp;Q&amp;":"&amp;Q&amp;$B711&amp;Q&amp;","&amp;Q&amp;$C$2&amp;Q&amp;":"&amp;Q&amp;$C711&amp;Q&amp;","&amp;Q&amp;"sets"&amp;Q&amp;":"&amp;Q&amp;substitute(SUBSTITUTE($H711,"[",""),"]","")&amp;Q&amp;"},"</f>
        <v>"fofb":{"label":"Going To School","extra":"The easiest way to get an education.","sets":"Junior 9+ (1st) &amp; (2nd)"},</v>
      </c>
      <c r="E711" s="9" t="str">
        <f t="shared" si="2"/>
        <v>data:image/svg+xml,%3csvg xmlns='http://www.w3.org/2000/svg' viewBox='0 0 24 216'%3e%3ctext fill='%23fff' style='font: 900 16px sans-serif' text-anchor='end' transform='matrix(0 -1 1 0 18 5)'%3eGoing To School%3c/text%3e%3c/svg%3e</v>
      </c>
      <c r="F711" s="14" t="str">
        <f t="shared" si="3"/>
        <v>https://svgtext.heliohost.us/cgi-bin/gen.perl?text=Going%20To%20School</v>
      </c>
      <c r="G711" s="11" t="str">
        <f t="shared" si="4"/>
        <v>data:image/svg+xml,%3csvg xmlns='http://www.w3.org/2000/svg' viewBox='0 0 24 216'%3e%3ctext fill='%23fff' style='font: 900 16px sans-serif' text-anchor='end' transform='matrix(0 -1 1 0 18 5)'%3eGoing To School%3c/text%3e%3c/svg%3e</v>
      </c>
      <c r="H711" s="8" t="s">
        <v>42</v>
      </c>
      <c r="I711" s="8">
        <f t="shared" ref="I711:J711" si="712">len(B711)</f>
        <v>15</v>
      </c>
      <c r="J711" s="8">
        <f t="shared" si="712"/>
        <v>36</v>
      </c>
      <c r="K711" s="8" t="s">
        <v>3832</v>
      </c>
    </row>
    <row r="712">
      <c r="A712" s="7" t="b">
        <v>0</v>
      </c>
      <c r="B712" s="8" t="s">
        <v>3833</v>
      </c>
      <c r="C712" s="8" t="s">
        <v>3834</v>
      </c>
      <c r="D712" s="8" t="str">
        <f>Q&amp;$K712&amp;Q&amp;":{"&amp;Q&amp;$B$2&amp;Q&amp;":"&amp;Q&amp;$B712&amp;Q&amp;","&amp;Q&amp;$C$2&amp;Q&amp;":"&amp;Q&amp;$C712&amp;Q&amp;","&amp;Q&amp;"sets"&amp;Q&amp;":"&amp;Q&amp;substitute(SUBSTITUTE($H712,"[",""),"]","")&amp;Q&amp;"},"</f>
        <v>"nbqe":{"label":"Going To The Dentist","extra":"Have you brushed your teeth today?","sets":"Junior"},</v>
      </c>
      <c r="E712" s="9" t="str">
        <f t="shared" si="2"/>
        <v>data:image/svg+xml,%3csvg xmlns='http://www.w3.org/2000/svg' viewBox='0 0 24 216'%3e%3ctext fill='%23fff' style='font: 900 16px sans-serif' text-anchor='end' transform='matrix(0 -1 1 0 18 5)'%3eGoing To The Dentist%3c/text%3e%3c/svg%3e</v>
      </c>
      <c r="F712" s="14" t="str">
        <f t="shared" si="3"/>
        <v>https://svgtext.heliohost.us/cgi-bin/gen.perl?text=Going%20To%20The%20Dentist</v>
      </c>
      <c r="G712" s="11" t="str">
        <f t="shared" si="4"/>
        <v>data:image/svg+xml,%3csvg xmlns='http://www.w3.org/2000/svg' viewBox='0 0 24 216'%3e%3ctext fill='%23fff' style='font: 900 16px sans-serif' text-anchor='end' transform='matrix(0 -1 1 0 18 5)'%3eGoing To The Dentist%3c/text%3e%3c/svg%3e</v>
      </c>
      <c r="H712" s="8" t="s">
        <v>84</v>
      </c>
      <c r="I712" s="8">
        <f t="shared" ref="I712:J712" si="713">len(B712)</f>
        <v>20</v>
      </c>
      <c r="J712" s="8">
        <f t="shared" si="713"/>
        <v>34</v>
      </c>
      <c r="K712" s="8" t="s">
        <v>3835</v>
      </c>
    </row>
    <row r="713">
      <c r="A713" s="7" t="b">
        <v>0</v>
      </c>
      <c r="B713" s="8" t="s">
        <v>3833</v>
      </c>
      <c r="C713" s="7" t="s">
        <v>3836</v>
      </c>
      <c r="D713" s="8" t="str">
        <f>Q&amp;$K713&amp;Q&amp;":{"&amp;Q&amp;$B$2&amp;Q&amp;":"&amp;Q&amp;$B713&amp;Q&amp;","&amp;Q&amp;$C$2&amp;Q&amp;":"&amp;Q&amp;$C713&amp;Q&amp;","&amp;Q&amp;"sets"&amp;Q&amp;":"&amp;Q&amp;substitute(SUBSTITUTE($H713,"[",""),"]","")&amp;Q&amp;"},"</f>
        <v>"xisb":{"label":"Going To The Dentist","extra":"This won’t hurt a bit…","sets":"Basic Set, Party Set"},</v>
      </c>
      <c r="E713" s="9" t="str">
        <f t="shared" si="2"/>
        <v>data:image/svg+xml,%3csvg xmlns='http://www.w3.org/2000/svg' viewBox='0 0 24 216'%3e%3ctext fill='%23fff' style='font: 900 16px sans-serif' text-anchor='end' transform='matrix(0 -1 1 0 18 5)'%3eGoing To The Dentist%3c/text%3e%3c/svg%3e</v>
      </c>
      <c r="F713" s="14" t="str">
        <f t="shared" si="3"/>
        <v>https://svgtext.heliohost.us/cgi-bin/gen.perl?text=Going%20To%20The%20Dentist</v>
      </c>
      <c r="G713" s="11" t="str">
        <f t="shared" si="4"/>
        <v>data:image/svg+xml,%3csvg xmlns='http://www.w3.org/2000/svg' viewBox='0 0 24 216'%3e%3ctext fill='%23fff' style='font: 900 16px sans-serif' text-anchor='end' transform='matrix(0 -1 1 0 18 5)'%3eGoing To The Dentist%3c/text%3e%3c/svg%3e</v>
      </c>
      <c r="H713" s="8" t="s">
        <v>29</v>
      </c>
      <c r="I713" s="8">
        <f t="shared" ref="I713:J713" si="714">len(B713)</f>
        <v>20</v>
      </c>
      <c r="J713" s="8">
        <f t="shared" si="714"/>
        <v>22</v>
      </c>
      <c r="K713" s="8" t="s">
        <v>3837</v>
      </c>
    </row>
    <row r="714">
      <c r="A714" s="7" t="b">
        <v>0</v>
      </c>
      <c r="B714" s="8" t="s">
        <v>3838</v>
      </c>
      <c r="C714" s="8" t="s">
        <v>3839</v>
      </c>
      <c r="D714" s="8" t="str">
        <f>Q&amp;$K714&amp;Q&amp;":{"&amp;Q&amp;$B$2&amp;Q&amp;":"&amp;Q&amp;$B714&amp;Q&amp;","&amp;Q&amp;$C$2&amp;Q&amp;":"&amp;Q&amp;$C714&amp;Q&amp;","&amp;Q&amp;"sets"&amp;Q&amp;":"&amp;Q&amp;substitute(SUBSTITUTE($H714,"[",""),"]","")&amp;Q&amp;"},"</f>
        <v>"lnjp":{"label":"Going To The Gym","extra":"No pain, no gain.","sets":"Basic Set, Party Set"},</v>
      </c>
      <c r="E714" s="9" t="str">
        <f t="shared" si="2"/>
        <v>data:image/svg+xml,%3csvg xmlns='http://www.w3.org/2000/svg' viewBox='0 0 24 216'%3e%3ctext fill='%23fff' style='font: 900 16px sans-serif' text-anchor='end' transform='matrix(0 -1 1 0 18 5)'%3eGoing To The Gym%3c/text%3e%3c/svg%3e</v>
      </c>
      <c r="F714" s="14" t="str">
        <f t="shared" si="3"/>
        <v>https://svgtext.heliohost.us/cgi-bin/gen.perl?text=Going%20To%20The%20Gym</v>
      </c>
      <c r="G714" s="11" t="str">
        <f t="shared" si="4"/>
        <v>data:image/svg+xml,%3csvg xmlns='http://www.w3.org/2000/svg' viewBox='0 0 24 216'%3e%3ctext fill='%23fff' style='font: 900 16px sans-serif' text-anchor='end' transform='matrix(0 -1 1 0 18 5)'%3eGoing To The Gym%3c/text%3e%3c/svg%3e</v>
      </c>
      <c r="H714" s="8" t="s">
        <v>29</v>
      </c>
      <c r="I714" s="8">
        <f t="shared" ref="I714:J714" si="715">len(B714)</f>
        <v>16</v>
      </c>
      <c r="J714" s="8">
        <f t="shared" si="715"/>
        <v>17</v>
      </c>
      <c r="K714" s="8" t="s">
        <v>3840</v>
      </c>
    </row>
    <row r="715">
      <c r="A715" s="7" t="b">
        <v>1</v>
      </c>
      <c r="B715" s="8" t="s">
        <v>3841</v>
      </c>
      <c r="C715" s="8" t="s">
        <v>3842</v>
      </c>
      <c r="D715" s="8" t="str">
        <f>Q&amp;$K715&amp;Q&amp;":{"&amp;Q&amp;$B$2&amp;Q&amp;":"&amp;Q&amp;$B715&amp;Q&amp;","&amp;Q&amp;$C$2&amp;Q&amp;":"&amp;Q&amp;$C715&amp;Q&amp;","&amp;Q&amp;"sets"&amp;Q&amp;":"&amp;Q&amp;substitute(SUBSTITUTE($H715,"[",""),"]","")&amp;Q&amp;"},"</f>
        <v>"pvwx":{"label":"Gold","extra":"Rare yellow metal used to make coins and jewelry.","sets":"Junior"},</v>
      </c>
      <c r="E715" s="9" t="str">
        <f t="shared" si="2"/>
        <v>data:image/svg+xml,%3csvg xmlns='http://www.w3.org/2000/svg' viewBox='0 0 24 216'%3e%3ctext fill='%23fff' style='font: 900 16px sans-serif' text-anchor='end' transform='matrix(0 -1 1 0 18 5)'%3eGold%3c/text%3e%3c/svg%3e</v>
      </c>
      <c r="F715" s="14" t="str">
        <f t="shared" si="3"/>
        <v>https://svgtext.heliohost.us/cgi-bin/gen.perl?text=Gold</v>
      </c>
      <c r="G715" s="11" t="str">
        <f t="shared" si="4"/>
        <v>data:image/svg+xml,%3csvg xmlns='http://www.w3.org/2000/svg' viewBox='0 0 24 216'%3e%3ctext fill='%23fff' style='font: 900 16px sans-serif' text-anchor='end' transform='matrix(0 -1 1 0 18 5)'%3eGold%3c/text%3e%3c/svg%3e</v>
      </c>
      <c r="H715" s="8" t="s">
        <v>84</v>
      </c>
      <c r="I715" s="8">
        <f t="shared" ref="I715:J715" si="716">len(B715)</f>
        <v>4</v>
      </c>
      <c r="J715" s="8">
        <f t="shared" si="716"/>
        <v>49</v>
      </c>
      <c r="K715" s="8" t="s">
        <v>3843</v>
      </c>
    </row>
    <row r="716">
      <c r="A716" s="7" t="b">
        <v>0</v>
      </c>
      <c r="B716" s="8" t="s">
        <v>3844</v>
      </c>
      <c r="C716" s="7" t="s">
        <v>3845</v>
      </c>
      <c r="D716" s="8" t="str">
        <f>Q&amp;$K716&amp;Q&amp;":{"&amp;Q&amp;$B$2&amp;Q&amp;":"&amp;Q&amp;$B716&amp;Q&amp;","&amp;Q&amp;$C$2&amp;Q&amp;":"&amp;Q&amp;$C716&amp;Q&amp;","&amp;Q&amp;"sets"&amp;Q&amp;":"&amp;Q&amp;substitute(SUBSTITUTE($H716,"[",""),"]","")&amp;Q&amp;"},"</f>
        <v>"mfey":{"label":"Gold &amp; Silver","extra":"There’s a good reason Fort Knox is full of gold and not silver.","sets":"Expansion Set 4, Party Expansion 1"},</v>
      </c>
      <c r="E716" s="9" t="str">
        <f t="shared" si="2"/>
        <v>data:image/svg+xml,%3csvg xmlns='http://www.w3.org/2000/svg' viewBox='0 0 24 216'%3e%3ctext fill='%23fff' style='font: 900 16px sans-serif' text-anchor='end' transform='matrix(0 -1 1 0 18 5)'%3eGold %26amp%3B Silver%3c/text%3e%3c/svg%3e</v>
      </c>
      <c r="F716" s="14" t="str">
        <f t="shared" si="3"/>
        <v>https://svgtext.heliohost.us/cgi-bin/gen.perl?text=Gold%20%26%20Silver</v>
      </c>
      <c r="G716" s="11" t="str">
        <f t="shared" si="4"/>
        <v>data:image/svg+xml,%3csvg xmlns='http://www.w3.org/2000/svg' viewBox='0 0 24 216'%3e%3ctext fill='%23fff' style='font: 900 16px sans-serif' text-anchor='end' transform='matrix(0 -1 1 0 18 5)'%3eGold %26amp%3B Silver%3c/text%3e%3c/svg%3e</v>
      </c>
      <c r="H716" s="8" t="s">
        <v>63</v>
      </c>
      <c r="I716" s="8">
        <f t="shared" ref="I716:J716" si="717">len(B716)</f>
        <v>13</v>
      </c>
      <c r="J716" s="8">
        <f t="shared" si="717"/>
        <v>63</v>
      </c>
      <c r="K716" s="8" t="s">
        <v>3846</v>
      </c>
    </row>
    <row r="717">
      <c r="A717" s="7" t="b">
        <v>0</v>
      </c>
      <c r="B717" s="8" t="s">
        <v>3847</v>
      </c>
      <c r="C717" s="7" t="s">
        <v>3848</v>
      </c>
      <c r="D717" s="8" t="str">
        <f>Q&amp;$K717&amp;Q&amp;":{"&amp;Q&amp;$B$2&amp;Q&amp;":"&amp;Q&amp;$B717&amp;Q&amp;","&amp;Q&amp;$C$2&amp;Q&amp;":"&amp;Q&amp;$C717&amp;Q&amp;","&amp;Q&amp;"sets"&amp;Q&amp;":"&amp;Q&amp;substitute(SUBSTITUTE($H717,"[",""),"]","")&amp;Q&amp;"},"</f>
        <v>"okil":{"label":"Gold Chains","extra":"The more, the better.","sets":"Expansion Set 2, Party Set"},</v>
      </c>
      <c r="E717" s="9" t="str">
        <f t="shared" si="2"/>
        <v>data:image/svg+xml,%3csvg xmlns='http://www.w3.org/2000/svg' viewBox='0 0 24 216'%3e%3ctext fill='%23fff' style='font: 900 16px sans-serif' text-anchor='end' transform='matrix(0 -1 1 0 18 5)'%3eGold Chains%3c/text%3e%3c/svg%3e</v>
      </c>
      <c r="F717" s="14" t="str">
        <f t="shared" si="3"/>
        <v>https://svgtext.heliohost.us/cgi-bin/gen.perl?text=Gold%20Chains</v>
      </c>
      <c r="G717" s="11" t="str">
        <f t="shared" si="4"/>
        <v>data:image/svg+xml,%3csvg xmlns='http://www.w3.org/2000/svg' viewBox='0 0 24 216'%3e%3ctext fill='%23fff' style='font: 900 16px sans-serif' text-anchor='end' transform='matrix(0 -1 1 0 18 5)'%3eGold Chains%3c/text%3e%3c/svg%3e</v>
      </c>
      <c r="H717" s="8" t="s">
        <v>17</v>
      </c>
      <c r="I717" s="8">
        <f t="shared" ref="I717:J717" si="718">len(B717)</f>
        <v>11</v>
      </c>
      <c r="J717" s="8">
        <f t="shared" si="718"/>
        <v>21</v>
      </c>
      <c r="K717" s="8" t="s">
        <v>3849</v>
      </c>
    </row>
    <row r="718">
      <c r="A718" s="7" t="b">
        <v>0</v>
      </c>
      <c r="B718" s="8" t="s">
        <v>3850</v>
      </c>
      <c r="C718" s="7" t="s">
        <v>3851</v>
      </c>
      <c r="D718" s="8" t="str">
        <f>Q&amp;$K718&amp;Q&amp;":{"&amp;Q&amp;$B$2&amp;Q&amp;":"&amp;Q&amp;$B718&amp;Q&amp;","&amp;Q&amp;$C$2&amp;Q&amp;":"&amp;Q&amp;$C718&amp;Q&amp;","&amp;Q&amp;"sets"&amp;Q&amp;":"&amp;Q&amp;substitute(SUBSTITUTE($H718,"[",""),"]","")&amp;Q&amp;"},"</f>
        <v>"pbqx":{"label":"Goldfish","extra":"The pet, the carnival prize, or the snack cracker.","sets":"Expansion Set 2, Party Set"},</v>
      </c>
      <c r="E718" s="9" t="str">
        <f t="shared" si="2"/>
        <v>data:image/svg+xml,%3csvg xmlns='http://www.w3.org/2000/svg' viewBox='0 0 24 216'%3e%3ctext fill='%23fff' style='font: 900 16px sans-serif' text-anchor='end' transform='matrix(0 -1 1 0 18 5)'%3eGoldfish%3c/text%3e%3c/svg%3e</v>
      </c>
      <c r="F718" s="14" t="str">
        <f t="shared" si="3"/>
        <v>https://svgtext.heliohost.us/cgi-bin/gen.perl?text=Goldfish</v>
      </c>
      <c r="G718" s="11" t="str">
        <f t="shared" si="4"/>
        <v>data:image/svg+xml,%3csvg xmlns='http://www.w3.org/2000/svg' viewBox='0 0 24 216'%3e%3ctext fill='%23fff' style='font: 900 16px sans-serif' text-anchor='end' transform='matrix(0 -1 1 0 18 5)'%3eGoldfish%3c/text%3e%3c/svg%3e</v>
      </c>
      <c r="H718" s="8" t="s">
        <v>17</v>
      </c>
      <c r="I718" s="8">
        <f t="shared" ref="I718:J718" si="719">len(B718)</f>
        <v>8</v>
      </c>
      <c r="J718" s="8">
        <f t="shared" si="719"/>
        <v>50</v>
      </c>
      <c r="K718" s="8" t="s">
        <v>3852</v>
      </c>
    </row>
    <row r="719">
      <c r="A719" s="7" t="b">
        <v>1</v>
      </c>
      <c r="B719" s="8" t="s">
        <v>3850</v>
      </c>
      <c r="C719" s="8" t="s">
        <v>3853</v>
      </c>
      <c r="D719" s="8" t="str">
        <f>Q&amp;$K719&amp;Q&amp;":{"&amp;Q&amp;$B$2&amp;Q&amp;":"&amp;Q&amp;$B719&amp;Q&amp;","&amp;Q&amp;$C$2&amp;Q&amp;":"&amp;Q&amp;$C719&amp;Q&amp;","&amp;Q&amp;"sets"&amp;Q&amp;":"&amp;Q&amp;substitute(SUBSTITUTE($H719,"[",""),"]","")&amp;Q&amp;"},"</f>
        <v>"bmgl":{"label":"Goldfish","extra":"Little orange fish that you can keep as pets.","sets":"Junior"},</v>
      </c>
      <c r="E719" s="9" t="str">
        <f t="shared" si="2"/>
        <v>data:image/svg+xml,%3csvg xmlns='http://www.w3.org/2000/svg' viewBox='0 0 24 216'%3e%3ctext fill='%23fff' style='font: 900 16px sans-serif' text-anchor='end' transform='matrix(0 -1 1 0 18 5)'%3eGoldfish%3c/text%3e%3c/svg%3e</v>
      </c>
      <c r="F719" s="14" t="str">
        <f t="shared" si="3"/>
        <v>https://svgtext.heliohost.us/cgi-bin/gen.perl?text=Goldfish</v>
      </c>
      <c r="G719" s="11" t="str">
        <f t="shared" si="4"/>
        <v>data:image/svg+xml,%3csvg xmlns='http://www.w3.org/2000/svg' viewBox='0 0 24 216'%3e%3ctext fill='%23fff' style='font: 900 16px sans-serif' text-anchor='end' transform='matrix(0 -1 1 0 18 5)'%3eGoldfish%3c/text%3e%3c/svg%3e</v>
      </c>
      <c r="H719" s="8" t="s">
        <v>84</v>
      </c>
      <c r="I719" s="8">
        <f t="shared" ref="I719:J719" si="720">len(B719)</f>
        <v>8</v>
      </c>
      <c r="J719" s="8">
        <f t="shared" si="720"/>
        <v>45</v>
      </c>
      <c r="K719" s="8" t="s">
        <v>3854</v>
      </c>
    </row>
    <row r="720">
      <c r="A720" s="7" t="b">
        <v>0</v>
      </c>
      <c r="B720" s="8" t="s">
        <v>3855</v>
      </c>
      <c r="C720" s="8" t="s">
        <v>3856</v>
      </c>
      <c r="D720" s="8" t="str">
        <f>Q&amp;$K720&amp;Q&amp;":{"&amp;Q&amp;$B$2&amp;Q&amp;":"&amp;Q&amp;$B720&amp;Q&amp;","&amp;Q&amp;$C$2&amp;Q&amp;":"&amp;Q&amp;$C720&amp;Q&amp;","&amp;Q&amp;"sets"&amp;Q&amp;":"&amp;Q&amp;substitute(SUBSTITUTE($H720,"[",""),"]","")&amp;Q&amp;"},"</f>
        <v>"hjsr":{"label":"Goldie Hawn","extra":"1945-, American actor and producer. Famous for playing ditzy blondesreally well!","sets":"Expansion Set 1, Party Set"},</v>
      </c>
      <c r="E720" s="9" t="str">
        <f t="shared" si="2"/>
        <v>data:image/svg+xml,%3csvg xmlns='http://www.w3.org/2000/svg' viewBox='0 0 24 216'%3e%3ctext fill='%23fff' style='font: 900 16px sans-serif' text-anchor='end' transform='matrix(0 -1 1 0 18 5)'%3eGoldie Hawn%3c/text%3e%3c/svg%3e</v>
      </c>
      <c r="F720" s="14" t="str">
        <f t="shared" si="3"/>
        <v>https://svgtext.heliohost.us/cgi-bin/gen.perl?text=Goldie%20Hawn</v>
      </c>
      <c r="G720" s="11" t="str">
        <f t="shared" si="4"/>
        <v>data:image/svg+xml,%3csvg xmlns='http://www.w3.org/2000/svg' viewBox='0 0 24 216'%3e%3ctext fill='%23fff' style='font: 900 16px sans-serif' text-anchor='end' transform='matrix(0 -1 1 0 18 5)'%3eGoldie Hawn%3c/text%3e%3c/svg%3e</v>
      </c>
      <c r="H720" s="8" t="s">
        <v>25</v>
      </c>
      <c r="I720" s="8">
        <f t="shared" ref="I720:J720" si="721">len(B720)</f>
        <v>11</v>
      </c>
      <c r="J720" s="8">
        <f t="shared" si="721"/>
        <v>80</v>
      </c>
      <c r="K720" s="8" t="s">
        <v>3857</v>
      </c>
    </row>
    <row r="721">
      <c r="A721" s="7" t="b">
        <v>0</v>
      </c>
      <c r="B721" s="8" t="s">
        <v>3858</v>
      </c>
      <c r="C721" s="7" t="s">
        <v>3859</v>
      </c>
      <c r="D721" s="8" t="str">
        <f>Q&amp;$K721&amp;Q&amp;":{"&amp;Q&amp;$B$2&amp;Q&amp;":"&amp;Q&amp;$B721&amp;Q&amp;","&amp;Q&amp;$C$2&amp;Q&amp;":"&amp;Q&amp;$C721&amp;Q&amp;","&amp;Q&amp;"sets"&amp;Q&amp;":"&amp;Q&amp;substitute(SUBSTITUTE($H721,"[",""),"]","")&amp;Q&amp;"},"</f>
        <v>"dfzz":{"label":"Golf-Ball-Sized Hail","extra":"…which is almost as impressive as hail-sized golf balls…","sets":"Basic Set, Party Set"},</v>
      </c>
      <c r="E721" s="9" t="str">
        <f t="shared" si="2"/>
        <v>data:image/svg+xml,%3csvg xmlns='http://www.w3.org/2000/svg' viewBox='0 0 24 216'%3e%3ctext fill='%23fff' style='font: 900 16px sans-serif' text-anchor='end' transform='matrix(0 -1 1 0 18 5)'%3eGolf-Ball-Sized Hail%3c/text%3e%3c/svg%3e</v>
      </c>
      <c r="F721" s="14" t="str">
        <f t="shared" si="3"/>
        <v>https://svgtext.heliohost.us/cgi-bin/gen.perl?text=Golf-Ball-Sized%20Hail</v>
      </c>
      <c r="G721" s="11" t="str">
        <f t="shared" si="4"/>
        <v>data:image/svg+xml,%3csvg xmlns='http://www.w3.org/2000/svg' viewBox='0 0 24 216'%3e%3ctext fill='%23fff' style='font: 900 16px sans-serif' text-anchor='end' transform='matrix(0 -1 1 0 18 5)'%3eGolf-Ball-Sized Hail%3c/text%3e%3c/svg%3e</v>
      </c>
      <c r="H721" s="8" t="s">
        <v>29</v>
      </c>
      <c r="I721" s="8">
        <f t="shared" ref="I721:J721" si="722">len(B721)</f>
        <v>20</v>
      </c>
      <c r="J721" s="8">
        <f t="shared" si="722"/>
        <v>56</v>
      </c>
      <c r="K721" s="8" t="s">
        <v>3860</v>
      </c>
    </row>
    <row r="722">
      <c r="A722" s="7" t="b">
        <v>1</v>
      </c>
      <c r="B722" s="8" t="s">
        <v>3861</v>
      </c>
      <c r="C722" s="8" t="s">
        <v>3862</v>
      </c>
      <c r="D722" s="8" t="str">
        <f>Q&amp;$K722&amp;Q&amp;":{"&amp;Q&amp;$B$2&amp;Q&amp;":"&amp;Q&amp;$B722&amp;Q&amp;","&amp;Q&amp;$C$2&amp;Q&amp;":"&amp;Q&amp;$C722&amp;Q&amp;","&amp;Q&amp;"sets"&amp;Q&amp;":"&amp;Q&amp;substitute(SUBSTITUTE($H722,"[",""),"]","")&amp;Q&amp;"},"</f>
        <v>"kpdi":{"label":"Good &amp; Plenty","extra":"The licorice candy was first produced in 1893, making it the oldest branded candy in the United States.","sets":"Expansion Set 4, Party Expansion 1"},</v>
      </c>
      <c r="E722" s="9" t="str">
        <f t="shared" si="2"/>
        <v>data:image/svg+xml,%3csvg xmlns='http://www.w3.org/2000/svg' viewBox='0 0 24 216'%3e%3ctext fill='%23fff' style='font: 900 16px sans-serif' text-anchor='end' transform='matrix(0 -1 1 0 18 5)'%3eGood %26amp%3B Plenty%3c/text%3e%3c/svg%3e</v>
      </c>
      <c r="F722" s="14" t="str">
        <f t="shared" si="3"/>
        <v>https://svgtext.heliohost.us/cgi-bin/gen.perl?text=Good%20%26%20Plenty</v>
      </c>
      <c r="G722" s="11" t="str">
        <f t="shared" si="4"/>
        <v>data:image/svg+xml,%3csvg xmlns='http://www.w3.org/2000/svg' viewBox='0 0 24 216'%3e%3ctext fill='%23fff' style='font: 900 16px sans-serif' text-anchor='end' transform='matrix(0 -1 1 0 18 5)'%3eGood %26amp%3B Plenty%3c/text%3e%3c/svg%3e</v>
      </c>
      <c r="H722" s="8" t="s">
        <v>63</v>
      </c>
      <c r="I722" s="8">
        <f t="shared" ref="I722:J722" si="723">len(B722)</f>
        <v>13</v>
      </c>
      <c r="J722" s="8">
        <f t="shared" si="723"/>
        <v>103</v>
      </c>
      <c r="K722" s="8" t="s">
        <v>3863</v>
      </c>
    </row>
    <row r="723">
      <c r="A723" s="7" t="b">
        <v>1</v>
      </c>
      <c r="B723" s="8" t="s">
        <v>3864</v>
      </c>
      <c r="C723" s="7" t="s">
        <v>3865</v>
      </c>
      <c r="D723" s="8" t="str">
        <f>Q&amp;$K723&amp;Q&amp;":{"&amp;Q&amp;$B$2&amp;Q&amp;":"&amp;Q&amp;$B723&amp;Q&amp;","&amp;Q&amp;$C$2&amp;Q&amp;":"&amp;Q&amp;$C723&amp;Q&amp;","&amp;Q&amp;"sets"&amp;Q&amp;":"&amp;Q&amp;substitute(SUBSTITUTE($H723,"[",""),"]","")&amp;Q&amp;"},"</f>
        <v>"rvxi":{"label":"Goose &amp; The Gander","extra":"If it’s good for the goose…","sets":"Expansion Set 4, Party Expansion 1"},</v>
      </c>
      <c r="E723" s="9" t="str">
        <f t="shared" si="2"/>
        <v>data:image/svg+xml,%3csvg xmlns='http://www.w3.org/2000/svg' viewBox='0 0 24 216'%3e%3ctext fill='%23fff' style='font: 900 16px sans-serif' text-anchor='end' transform='matrix(0 -1 1 0 18 5)'%3eGoose %26amp%3B The Gander%3c/text%3e%3c/svg%3e</v>
      </c>
      <c r="F723" s="14" t="str">
        <f t="shared" si="3"/>
        <v>https://svgtext.heliohost.us/cgi-bin/gen.perl?text=Goose%20%26%20The%20Gander</v>
      </c>
      <c r="G723" s="11" t="str">
        <f t="shared" si="4"/>
        <v>data:image/svg+xml,%3csvg xmlns='http://www.w3.org/2000/svg' viewBox='0 0 24 216'%3e%3ctext fill='%23fff' style='font: 900 16px sans-serif' text-anchor='end' transform='matrix(0 -1 1 0 18 5)'%3eGoose %26amp%3B The Gander%3c/text%3e%3c/svg%3e</v>
      </c>
      <c r="H723" s="8" t="s">
        <v>63</v>
      </c>
      <c r="I723" s="8">
        <f t="shared" ref="I723:J723" si="724">len(B723)</f>
        <v>18</v>
      </c>
      <c r="J723" s="8">
        <f t="shared" si="724"/>
        <v>27</v>
      </c>
      <c r="K723" s="8" t="s">
        <v>3866</v>
      </c>
    </row>
    <row r="724">
      <c r="A724" s="7" t="b">
        <v>1</v>
      </c>
      <c r="B724" s="8" t="s">
        <v>3867</v>
      </c>
      <c r="C724" s="7" t="s">
        <v>3868</v>
      </c>
      <c r="D724" s="8" t="str">
        <f>Q&amp;$K724&amp;Q&amp;":{"&amp;Q&amp;$B$2&amp;Q&amp;":"&amp;Q&amp;$B724&amp;Q&amp;","&amp;Q&amp;$C$2&amp;Q&amp;":"&amp;Q&amp;$C724&amp;Q&amp;","&amp;Q&amp;"sets"&amp;Q&amp;":"&amp;Q&amp;substitute(SUBSTITUTE($H724,"[",""),"]","")&amp;Q&amp;"},"</f>
        <v>"zvyx":{"label":"Gorillas","extra":"Large, strong primates. Gorillas come from Africa.","sets":"Junior 9+ (1st) &amp; (2nd)"},</v>
      </c>
      <c r="E724" s="9" t="str">
        <f t="shared" si="2"/>
        <v>data:image/svg+xml,%3csvg xmlns='http://www.w3.org/2000/svg' viewBox='0 0 24 216'%3e%3ctext fill='%23fff' style='font: 900 16px sans-serif' text-anchor='end' transform='matrix(0 -1 1 0 18 5)'%3eGorillas%3c/text%3e%3c/svg%3e</v>
      </c>
      <c r="F724" s="14" t="str">
        <f t="shared" si="3"/>
        <v>https://svgtext.heliohost.us/cgi-bin/gen.perl?text=Gorillas</v>
      </c>
      <c r="G724" s="11" t="str">
        <f t="shared" si="4"/>
        <v>data:image/svg+xml,%3csvg xmlns='http://www.w3.org/2000/svg' viewBox='0 0 24 216'%3e%3ctext fill='%23fff' style='font: 900 16px sans-serif' text-anchor='end' transform='matrix(0 -1 1 0 18 5)'%3eGorillas%3c/text%3e%3c/svg%3e</v>
      </c>
      <c r="H724" s="8" t="s">
        <v>42</v>
      </c>
      <c r="I724" s="8">
        <f t="shared" ref="I724:J724" si="725">len(B724)</f>
        <v>8</v>
      </c>
      <c r="J724" s="8">
        <f t="shared" si="725"/>
        <v>50</v>
      </c>
      <c r="K724" s="8" t="s">
        <v>3869</v>
      </c>
    </row>
    <row r="725">
      <c r="A725" s="7" t="b">
        <v>0</v>
      </c>
      <c r="B725" s="8" t="s">
        <v>3870</v>
      </c>
      <c r="C725" s="8" t="s">
        <v>3871</v>
      </c>
      <c r="D725" s="8" t="str">
        <f>Q&amp;$K725&amp;Q&amp;":{"&amp;Q&amp;$B$2&amp;Q&amp;":"&amp;Q&amp;$B725&amp;Q&amp;","&amp;Q&amp;$C$2&amp;Q&amp;":"&amp;Q&amp;$C725&amp;Q&amp;","&amp;Q&amp;"sets"&amp;Q&amp;":"&amp;Q&amp;substitute(SUBSTITUTE($H725,"[",""),"]","")&amp;Q&amp;"},"</f>
        <v>"axby":{"label":"Gossip","extra":"Petty, backbiting rumor-mongering. See also: journalism.","sets":"Expansion Set 1, Party Set"},</v>
      </c>
      <c r="E725" s="9" t="str">
        <f t="shared" si="2"/>
        <v>data:image/svg+xml,%3csvg xmlns='http://www.w3.org/2000/svg' viewBox='0 0 24 216'%3e%3ctext fill='%23fff' style='font: 900 16px sans-serif' text-anchor='end' transform='matrix(0 -1 1 0 18 5)'%3eGossip%3c/text%3e%3c/svg%3e</v>
      </c>
      <c r="F725" s="14" t="str">
        <f t="shared" si="3"/>
        <v>https://svgtext.heliohost.us/cgi-bin/gen.perl?text=Gossip</v>
      </c>
      <c r="G725" s="11" t="str">
        <f t="shared" si="4"/>
        <v>data:image/svg+xml,%3csvg xmlns='http://www.w3.org/2000/svg' viewBox='0 0 24 216'%3e%3ctext fill='%23fff' style='font: 900 16px sans-serif' text-anchor='end' transform='matrix(0 -1 1 0 18 5)'%3eGossip%3c/text%3e%3c/svg%3e</v>
      </c>
      <c r="H725" s="8" t="s">
        <v>25</v>
      </c>
      <c r="I725" s="8">
        <f t="shared" ref="I725:J725" si="726">len(B725)</f>
        <v>6</v>
      </c>
      <c r="J725" s="8">
        <f t="shared" si="726"/>
        <v>56</v>
      </c>
      <c r="K725" s="8" t="s">
        <v>3872</v>
      </c>
    </row>
    <row r="726">
      <c r="A726" s="7" t="b">
        <v>0</v>
      </c>
      <c r="B726" s="8" t="s">
        <v>3873</v>
      </c>
      <c r="C726" s="7" t="s">
        <v>3874</v>
      </c>
      <c r="D726" s="8" t="str">
        <f>Q&amp;$K726&amp;Q&amp;":{"&amp;Q&amp;$B$2&amp;Q&amp;":"&amp;Q&amp;$B726&amp;Q&amp;","&amp;Q&amp;$C$2&amp;Q&amp;":"&amp;Q&amp;$C726&amp;Q&amp;","&amp;Q&amp;"sets"&amp;Q&amp;":"&amp;Q&amp;substitute(SUBSTITUTE($H726,"[",""),"]","")&amp;Q&amp;"},"</f>
        <v>"dtha":{"label":"Gourmet Coffee Shops","extra":"I’ll have a tall, double cappuccino, wet, with vanilla, half decaf, to walk.","sets":"Expansion Set 3, Party Expansion 1"},</v>
      </c>
      <c r="E726" s="9" t="str">
        <f t="shared" si="2"/>
        <v>data:image/svg+xml,%3csvg xmlns='http://www.w3.org/2000/svg' viewBox='0 0 24 216'%3e%3ctext fill='%23fff' style='font: 900 16px sans-serif' text-anchor='end' transform='matrix(0 -1 1 0 18 5)'%3eGourmet Coffee Shops%3c/text%3e%3c/svg%3e</v>
      </c>
      <c r="F726" s="14" t="str">
        <f t="shared" si="3"/>
        <v>https://svgtext.heliohost.us/cgi-bin/gen.perl?text=Gourmet%20Coffee%20Shops</v>
      </c>
      <c r="G726" s="11" t="str">
        <f t="shared" si="4"/>
        <v>data:image/svg+xml,%3csvg xmlns='http://www.w3.org/2000/svg' viewBox='0 0 24 216'%3e%3ctext fill='%23fff' style='font: 900 16px sans-serif' text-anchor='end' transform='matrix(0 -1 1 0 18 5)'%3eGourmet Coffee Shops%3c/text%3e%3c/svg%3e</v>
      </c>
      <c r="H726" s="8" t="s">
        <v>39</v>
      </c>
      <c r="I726" s="8">
        <f t="shared" ref="I726:J726" si="727">len(B726)</f>
        <v>20</v>
      </c>
      <c r="J726" s="8">
        <f t="shared" si="727"/>
        <v>76</v>
      </c>
      <c r="K726" s="8" t="s">
        <v>3875</v>
      </c>
    </row>
    <row r="727">
      <c r="A727" s="7" t="b">
        <v>0</v>
      </c>
      <c r="B727" s="8" t="s">
        <v>3876</v>
      </c>
      <c r="C727" s="7" t="s">
        <v>3877</v>
      </c>
      <c r="D727" s="8" t="str">
        <f>Q&amp;$K727&amp;Q&amp;":{"&amp;Q&amp;$B$2&amp;Q&amp;":"&amp;Q&amp;$B727&amp;Q&amp;","&amp;Q&amp;$C$2&amp;Q&amp;":"&amp;Q&amp;$C727&amp;Q&amp;","&amp;Q&amp;"sets"&amp;Q&amp;":"&amp;Q&amp;substitute(SUBSTITUTE($H727,"[",""),"]","")&amp;Q&amp;"},"</f>
        <v>"qyxd":{"label":"Grace Kelly","extra":"1929-82, Princess of Monaco and American film star of “Dial M for Murder”, “Rear Window”, and “To Catch a Thief.” Always chic, always elegant.","sets":"Expansion Set 2, Party Set"},</v>
      </c>
      <c r="E727" s="9" t="str">
        <f t="shared" si="2"/>
        <v>data:image/svg+xml,%3csvg xmlns='http://www.w3.org/2000/svg' viewBox='0 0 24 216'%3e%3ctext fill='%23fff' style='font: 900 16px sans-serif' text-anchor='end' transform='matrix(0 -1 1 0 18 5)'%3eGrace Kelly%3c/text%3e%3c/svg%3e</v>
      </c>
      <c r="F727" s="14" t="str">
        <f t="shared" si="3"/>
        <v>https://svgtext.heliohost.us/cgi-bin/gen.perl?text=Grace%20Kelly</v>
      </c>
      <c r="G727" s="11" t="str">
        <f t="shared" si="4"/>
        <v>data:image/svg+xml,%3csvg xmlns='http://www.w3.org/2000/svg' viewBox='0 0 24 216'%3e%3ctext fill='%23fff' style='font: 900 16px sans-serif' text-anchor='end' transform='matrix(0 -1 1 0 18 5)'%3eGrace Kelly%3c/text%3e%3c/svg%3e</v>
      </c>
      <c r="H727" s="8" t="s">
        <v>17</v>
      </c>
      <c r="I727" s="8">
        <f t="shared" ref="I727:J727" si="728">len(B727)</f>
        <v>11</v>
      </c>
      <c r="J727" s="8">
        <f t="shared" si="728"/>
        <v>142</v>
      </c>
      <c r="K727" s="8" t="s">
        <v>3878</v>
      </c>
    </row>
    <row r="728">
      <c r="A728" s="7" t="b">
        <v>0</v>
      </c>
      <c r="B728" s="8" t="s">
        <v>3879</v>
      </c>
      <c r="C728" s="7" t="s">
        <v>3880</v>
      </c>
      <c r="D728" s="8" t="str">
        <f>Q&amp;$K728&amp;Q&amp;":{"&amp;Q&amp;$B$2&amp;Q&amp;":"&amp;Q&amp;$B728&amp;Q&amp;","&amp;Q&amp;$C$2&amp;Q&amp;":"&amp;Q&amp;$C728&amp;Q&amp;","&amp;Q&amp;"sets"&amp;Q&amp;":"&amp;Q&amp;substitute(SUBSTITUTE($H728,"[",""),"]","")&amp;Q&amp;"},"</f>
        <v>"zprt":{"label":"Graffiti","extra":"Art in a can. We’re drawn to it.","sets":"Expansion Set 1, Party Set"},</v>
      </c>
      <c r="E728" s="9" t="str">
        <f t="shared" si="2"/>
        <v>data:image/svg+xml,%3csvg xmlns='http://www.w3.org/2000/svg' viewBox='0 0 24 216'%3e%3ctext fill='%23fff' style='font: 900 16px sans-serif' text-anchor='end' transform='matrix(0 -1 1 0 18 5)'%3eGraffiti%3c/text%3e%3c/svg%3e</v>
      </c>
      <c r="F728" s="14" t="str">
        <f t="shared" si="3"/>
        <v>https://svgtext.heliohost.us/cgi-bin/gen.perl?text=Graffiti</v>
      </c>
      <c r="G728" s="11" t="str">
        <f t="shared" si="4"/>
        <v>data:image/svg+xml,%3csvg xmlns='http://www.w3.org/2000/svg' viewBox='0 0 24 216'%3e%3ctext fill='%23fff' style='font: 900 16px sans-serif' text-anchor='end' transform='matrix(0 -1 1 0 18 5)'%3eGraffiti%3c/text%3e%3c/svg%3e</v>
      </c>
      <c r="H728" s="8" t="s">
        <v>25</v>
      </c>
      <c r="I728" s="8">
        <f t="shared" ref="I728:J728" si="729">len(B728)</f>
        <v>8</v>
      </c>
      <c r="J728" s="8">
        <f t="shared" si="729"/>
        <v>32</v>
      </c>
      <c r="K728" s="8" t="s">
        <v>3881</v>
      </c>
    </row>
    <row r="729">
      <c r="A729" s="7" t="b">
        <v>1</v>
      </c>
      <c r="B729" s="8" t="s">
        <v>3882</v>
      </c>
      <c r="C729" s="7" t="s">
        <v>3883</v>
      </c>
      <c r="D729" s="8" t="str">
        <f>Q&amp;$K729&amp;Q&amp;":{"&amp;Q&amp;$B$2&amp;Q&amp;":"&amp;Q&amp;$B729&amp;Q&amp;","&amp;Q&amp;$C$2&amp;Q&amp;":"&amp;Q&amp;$C729&amp;Q&amp;","&amp;Q&amp;"sets"&amp;Q&amp;":"&amp;Q&amp;substitute(SUBSTITUTE($H729,"[",""),"]","")&amp;Q&amp;"},"</f>
        <v>"cxct":{"label":"Grape Jelly","extra":"It’s perfect for peanut butter and jelly sandwiches.","sets":"Junior 9+ (1st) &amp; (2nd)"},</v>
      </c>
      <c r="E729" s="9" t="str">
        <f t="shared" si="2"/>
        <v>data:image/svg+xml,%3csvg xmlns='http://www.w3.org/2000/svg' viewBox='0 0 24 216'%3e%3ctext fill='%23fff' style='font: 900 16px sans-serif' text-anchor='end' transform='matrix(0 -1 1 0 18 5)'%3eGrape Jelly%3c/text%3e%3c/svg%3e</v>
      </c>
      <c r="F729" s="14" t="str">
        <f t="shared" si="3"/>
        <v>https://svgtext.heliohost.us/cgi-bin/gen.perl?text=Grape%20Jelly</v>
      </c>
      <c r="G729" s="11" t="str">
        <f t="shared" si="4"/>
        <v>data:image/svg+xml,%3csvg xmlns='http://www.w3.org/2000/svg' viewBox='0 0 24 216'%3e%3ctext fill='%23fff' style='font: 900 16px sans-serif' text-anchor='end' transform='matrix(0 -1 1 0 18 5)'%3eGrape Jelly%3c/text%3e%3c/svg%3e</v>
      </c>
      <c r="H729" s="8" t="s">
        <v>42</v>
      </c>
      <c r="I729" s="8">
        <f t="shared" ref="I729:J729" si="730">len(B729)</f>
        <v>11</v>
      </c>
      <c r="J729" s="8">
        <f t="shared" si="730"/>
        <v>52</v>
      </c>
      <c r="K729" s="8" t="s">
        <v>3884</v>
      </c>
    </row>
    <row r="730">
      <c r="A730" s="7" t="b">
        <v>1</v>
      </c>
      <c r="B730" s="8" t="s">
        <v>3885</v>
      </c>
      <c r="C730" s="8" t="s">
        <v>3886</v>
      </c>
      <c r="D730" s="8" t="str">
        <f>Q&amp;$K730&amp;Q&amp;":{"&amp;Q&amp;$B$2&amp;Q&amp;":"&amp;Q&amp;$B730&amp;Q&amp;","&amp;Q&amp;$C$2&amp;Q&amp;":"&amp;Q&amp;$C730&amp;Q&amp;","&amp;Q&amp;"sets"&amp;Q&amp;":"&amp;Q&amp;substitute(SUBSTITUTE($H730,"[",""),"]","")&amp;Q&amp;"},"</f>
        <v>"zgnj":{"label":"Grapefruit","extra":"Not a grape, but it is a fruit.","sets":"Junior 9+ (2nd)"},</v>
      </c>
      <c r="E730" s="9" t="str">
        <f t="shared" si="2"/>
        <v>data:image/svg+xml,%3csvg xmlns='http://www.w3.org/2000/svg' viewBox='0 0 24 216'%3e%3ctext fill='%23fff' style='font: 900 16px sans-serif' text-anchor='end' transform='matrix(0 -1 1 0 18 5)'%3eGrapefruit%3c/text%3e%3c/svg%3e</v>
      </c>
      <c r="F730" s="14" t="str">
        <f t="shared" si="3"/>
        <v>https://svgtext.heliohost.us/cgi-bin/gen.perl?text=Grapefruit</v>
      </c>
      <c r="G730" s="11" t="str">
        <f t="shared" si="4"/>
        <v>data:image/svg+xml,%3csvg xmlns='http://www.w3.org/2000/svg' viewBox='0 0 24 216'%3e%3ctext fill='%23fff' style='font: 900 16px sans-serif' text-anchor='end' transform='matrix(0 -1 1 0 18 5)'%3eGrapefruit%3c/text%3e%3c/svg%3e</v>
      </c>
      <c r="H730" s="8" t="s">
        <v>32</v>
      </c>
      <c r="I730" s="8">
        <f t="shared" ref="I730:J730" si="731">len(B730)</f>
        <v>10</v>
      </c>
      <c r="J730" s="8">
        <f t="shared" si="731"/>
        <v>31</v>
      </c>
      <c r="K730" s="8" t="s">
        <v>3887</v>
      </c>
    </row>
    <row r="731">
      <c r="A731" s="7" t="b">
        <v>1</v>
      </c>
      <c r="B731" s="8" t="s">
        <v>3888</v>
      </c>
      <c r="C731" s="8" t="s">
        <v>3889</v>
      </c>
      <c r="D731" s="8" t="str">
        <f>Q&amp;$K731&amp;Q&amp;":{"&amp;Q&amp;$B$2&amp;Q&amp;":"&amp;Q&amp;$B731&amp;Q&amp;","&amp;Q&amp;$C$2&amp;Q&amp;":"&amp;Q&amp;$C731&amp;Q&amp;","&amp;Q&amp;"sets"&amp;Q&amp;":"&amp;Q&amp;substitute(SUBSTITUTE($H731,"[",""),"]","")&amp;Q&amp;"},"</f>
        <v>"ilun":{"label":"Grapes","extra":"Small round fruit that grows in bunches, usually purple, red or green. They make good snacks!","sets":"Junior"},</v>
      </c>
      <c r="E731" s="9" t="str">
        <f t="shared" si="2"/>
        <v>data:image/svg+xml,%3csvg xmlns='http://www.w3.org/2000/svg' viewBox='0 0 24 216'%3e%3ctext fill='%23fff' style='font: 900 16px sans-serif' text-anchor='end' transform='matrix(0 -1 1 0 18 5)'%3eGrapes%3c/text%3e%3c/svg%3e</v>
      </c>
      <c r="F731" s="14" t="str">
        <f t="shared" si="3"/>
        <v>https://svgtext.heliohost.us/cgi-bin/gen.perl?text=Grapes</v>
      </c>
      <c r="G731" s="11" t="str">
        <f t="shared" si="4"/>
        <v>data:image/svg+xml,%3csvg xmlns='http://www.w3.org/2000/svg' viewBox='0 0 24 216'%3e%3ctext fill='%23fff' style='font: 900 16px sans-serif' text-anchor='end' transform='matrix(0 -1 1 0 18 5)'%3eGrapes%3c/text%3e%3c/svg%3e</v>
      </c>
      <c r="H731" s="8" t="s">
        <v>84</v>
      </c>
      <c r="I731" s="8">
        <f t="shared" ref="I731:J731" si="732">len(B731)</f>
        <v>6</v>
      </c>
      <c r="J731" s="8">
        <f t="shared" si="732"/>
        <v>93</v>
      </c>
      <c r="K731" s="8" t="s">
        <v>3890</v>
      </c>
    </row>
    <row r="732">
      <c r="A732" s="7" t="b">
        <v>0</v>
      </c>
      <c r="B732" s="8" t="s">
        <v>3891</v>
      </c>
      <c r="C732" s="8" t="s">
        <v>3892</v>
      </c>
      <c r="D732" s="8" t="str">
        <f>Q&amp;$K732&amp;Q&amp;":{"&amp;Q&amp;$B$2&amp;Q&amp;":"&amp;Q&amp;$B732&amp;Q&amp;","&amp;Q&amp;$C$2&amp;Q&amp;":"&amp;Q&amp;$C732&amp;Q&amp;","&amp;Q&amp;"sets"&amp;Q&amp;":"&amp;Q&amp;substitute(SUBSTITUTE($H732,"[",""),"]","")&amp;Q&amp;"},"</f>
        <v>"ptxx":{"label":"Grass Skirts","extra":"Hula loves you, baby?","sets":"Expansion Set 2, Party Set"},</v>
      </c>
      <c r="E732" s="9" t="str">
        <f t="shared" si="2"/>
        <v>data:image/svg+xml,%3csvg xmlns='http://www.w3.org/2000/svg' viewBox='0 0 24 216'%3e%3ctext fill='%23fff' style='font: 900 16px sans-serif' text-anchor='end' transform='matrix(0 -1 1 0 18 5)'%3eGrass Skirts%3c/text%3e%3c/svg%3e</v>
      </c>
      <c r="F732" s="14" t="str">
        <f t="shared" si="3"/>
        <v>https://svgtext.heliohost.us/cgi-bin/gen.perl?text=Grass%20Skirts</v>
      </c>
      <c r="G732" s="11" t="str">
        <f t="shared" si="4"/>
        <v>data:image/svg+xml,%3csvg xmlns='http://www.w3.org/2000/svg' viewBox='0 0 24 216'%3e%3ctext fill='%23fff' style='font: 900 16px sans-serif' text-anchor='end' transform='matrix(0 -1 1 0 18 5)'%3eGrass Skirts%3c/text%3e%3c/svg%3e</v>
      </c>
      <c r="H732" s="8" t="s">
        <v>17</v>
      </c>
      <c r="I732" s="8">
        <f t="shared" ref="I732:J732" si="733">len(B732)</f>
        <v>12</v>
      </c>
      <c r="J732" s="8">
        <f t="shared" si="733"/>
        <v>21</v>
      </c>
      <c r="K732" s="8" t="s">
        <v>3893</v>
      </c>
    </row>
    <row r="733">
      <c r="A733" s="7" t="b">
        <v>1</v>
      </c>
      <c r="B733" s="8" t="s">
        <v>3894</v>
      </c>
      <c r="C733" s="8" t="s">
        <v>3895</v>
      </c>
      <c r="D733" s="8" t="str">
        <f>Q&amp;$K733&amp;Q&amp;":{"&amp;Q&amp;$B$2&amp;Q&amp;":"&amp;Q&amp;$B733&amp;Q&amp;","&amp;Q&amp;$C$2&amp;Q&amp;":"&amp;Q&amp;$C733&amp;Q&amp;","&amp;Q&amp;"sets"&amp;Q&amp;":"&amp;Q&amp;substitute(SUBSTITUTE($H733,"[",""),"]","")&amp;Q&amp;"},"</f>
        <v>"judl":{"label":"Grassy Hill","extra":"Good for rolling down, flying kites, and playing games.","sets":"Junior"},</v>
      </c>
      <c r="E733" s="9" t="str">
        <f t="shared" si="2"/>
        <v>data:image/svg+xml,%3csvg xmlns='http://www.w3.org/2000/svg' viewBox='0 0 24 216'%3e%3ctext fill='%23fff' style='font: 900 16px sans-serif' text-anchor='end' transform='matrix(0 -1 1 0 18 5)'%3eGrassy Hill%3c/text%3e%3c/svg%3e</v>
      </c>
      <c r="F733" s="14" t="str">
        <f t="shared" si="3"/>
        <v>https://svgtext.heliohost.us/cgi-bin/gen.perl?text=Grassy%20Hill</v>
      </c>
      <c r="G733" s="11" t="str">
        <f t="shared" si="4"/>
        <v>data:image/svg+xml,%3csvg xmlns='http://www.w3.org/2000/svg' viewBox='0 0 24 216'%3e%3ctext fill='%23fff' style='font: 900 16px sans-serif' text-anchor='end' transform='matrix(0 -1 1 0 18 5)'%3eGrassy Hill%3c/text%3e%3c/svg%3e</v>
      </c>
      <c r="H733" s="8" t="s">
        <v>84</v>
      </c>
      <c r="I733" s="8">
        <f t="shared" ref="I733:J733" si="734">len(B733)</f>
        <v>11</v>
      </c>
      <c r="J733" s="8">
        <f t="shared" si="734"/>
        <v>55</v>
      </c>
      <c r="K733" s="8" t="s">
        <v>3896</v>
      </c>
    </row>
    <row r="734">
      <c r="A734" s="7" t="b">
        <v>0</v>
      </c>
      <c r="B734" s="8" t="s">
        <v>3897</v>
      </c>
      <c r="C734" s="8" t="s">
        <v>3898</v>
      </c>
      <c r="D734" s="8" t="str">
        <f>Q&amp;$K734&amp;Q&amp;":{"&amp;Q&amp;$B$2&amp;Q&amp;":"&amp;Q&amp;$B734&amp;Q&amp;","&amp;Q&amp;$C$2&amp;Q&amp;":"&amp;Q&amp;$C734&amp;Q&amp;","&amp;Q&amp;"sets"&amp;Q&amp;":"&amp;Q&amp;substitute(SUBSTITUTE($H734,"[",""),"]","")&amp;Q&amp;"},"</f>
        <v>"maqp":{"label":"Grave Robbers","extra":"Famous for their bodies of work.","sets":"Expansion Set 1, Party Set"},</v>
      </c>
      <c r="E734" s="9" t="str">
        <f t="shared" si="2"/>
        <v>data:image/svg+xml,%3csvg xmlns='http://www.w3.org/2000/svg' viewBox='0 0 24 216'%3e%3ctext fill='%23fff' style='font: 900 16px sans-serif' text-anchor='end' transform='matrix(0 -1 1 0 18 5)'%3eGrave Robbers%3c/text%3e%3c/svg%3e</v>
      </c>
      <c r="F734" s="14" t="str">
        <f t="shared" si="3"/>
        <v>https://svgtext.heliohost.us/cgi-bin/gen.perl?text=Grave%20Robbers</v>
      </c>
      <c r="G734" s="11" t="str">
        <f t="shared" si="4"/>
        <v>data:image/svg+xml,%3csvg xmlns='http://www.w3.org/2000/svg' viewBox='0 0 24 216'%3e%3ctext fill='%23fff' style='font: 900 16px sans-serif' text-anchor='end' transform='matrix(0 -1 1 0 18 5)'%3eGrave Robbers%3c/text%3e%3c/svg%3e</v>
      </c>
      <c r="H734" s="8" t="s">
        <v>25</v>
      </c>
      <c r="I734" s="8">
        <f t="shared" ref="I734:J734" si="735">len(B734)</f>
        <v>13</v>
      </c>
      <c r="J734" s="8">
        <f t="shared" si="735"/>
        <v>32</v>
      </c>
      <c r="K734" s="8" t="s">
        <v>3899</v>
      </c>
    </row>
    <row r="735">
      <c r="A735" s="7" t="b">
        <v>0</v>
      </c>
      <c r="B735" s="8" t="s">
        <v>3900</v>
      </c>
      <c r="C735" s="8" t="s">
        <v>3901</v>
      </c>
      <c r="D735" s="8" t="str">
        <f>Q&amp;$K735&amp;Q&amp;":{"&amp;Q&amp;$B$2&amp;Q&amp;":"&amp;Q&amp;$B735&amp;Q&amp;","&amp;Q&amp;$C$2&amp;Q&amp;":"&amp;Q&amp;$C735&amp;Q&amp;","&amp;Q&amp;"sets"&amp;Q&amp;":"&amp;Q&amp;substitute(SUBSTITUTE($H735,"[",""),"]","")&amp;Q&amp;"},"</f>
        <v>"pggp":{"label":"Gravity","extra":"In 1684, the law of gravitation was formulated by English physicist Sir Isaac Newton, who recognized the gravity of the situation.","sets":"Basic Set, Party Set"},</v>
      </c>
      <c r="E735" s="9" t="str">
        <f t="shared" si="2"/>
        <v>data:image/svg+xml,%3csvg xmlns='http://www.w3.org/2000/svg' viewBox='0 0 24 216'%3e%3ctext fill='%23fff' style='font: 900 16px sans-serif' text-anchor='end' transform='matrix(0 -1 1 0 18 5)'%3eGravity%3c/text%3e%3c/svg%3e</v>
      </c>
      <c r="F735" s="14" t="str">
        <f t="shared" si="3"/>
        <v>https://svgtext.heliohost.us/cgi-bin/gen.perl?text=Gravity</v>
      </c>
      <c r="G735" s="11" t="str">
        <f t="shared" si="4"/>
        <v>data:image/svg+xml,%3csvg xmlns='http://www.w3.org/2000/svg' viewBox='0 0 24 216'%3e%3ctext fill='%23fff' style='font: 900 16px sans-serif' text-anchor='end' transform='matrix(0 -1 1 0 18 5)'%3eGravity%3c/text%3e%3c/svg%3e</v>
      </c>
      <c r="H735" s="8" t="s">
        <v>29</v>
      </c>
      <c r="I735" s="8">
        <f t="shared" ref="I735:J735" si="736">len(B735)</f>
        <v>7</v>
      </c>
      <c r="J735" s="8">
        <f t="shared" si="736"/>
        <v>130</v>
      </c>
      <c r="K735" s="8" t="s">
        <v>3902</v>
      </c>
    </row>
    <row r="736">
      <c r="A736" s="7" t="b">
        <v>1</v>
      </c>
      <c r="B736" s="8" t="s">
        <v>3903</v>
      </c>
      <c r="C736" s="8" t="s">
        <v>3904</v>
      </c>
      <c r="D736" s="8" t="str">
        <f>Q&amp;$K736&amp;Q&amp;":{"&amp;Q&amp;$B$2&amp;Q&amp;":"&amp;Q&amp;$B736&amp;Q&amp;","&amp;Q&amp;$C$2&amp;Q&amp;":"&amp;Q&amp;$C736&amp;Q&amp;","&amp;Q&amp;"sets"&amp;Q&amp;":"&amp;Q&amp;substitute(SUBSTITUTE($H736,"[",""),"]","")&amp;Q&amp;"},"</f>
        <v>"wgfd":{"label":"Gravy","extra":"Sauce made from meat juices. Got to have it on mashed potatoes.","sets":"Junior 9+ (1st) &amp; (2nd)"},</v>
      </c>
      <c r="E736" s="9" t="str">
        <f t="shared" si="2"/>
        <v>data:image/svg+xml,%3csvg xmlns='http://www.w3.org/2000/svg' viewBox='0 0 24 216'%3e%3ctext fill='%23fff' style='font: 900 16px sans-serif' text-anchor='end' transform='matrix(0 -1 1 0 18 5)'%3eGravy%3c/text%3e%3c/svg%3e</v>
      </c>
      <c r="F736" s="14" t="str">
        <f t="shared" si="3"/>
        <v>https://svgtext.heliohost.us/cgi-bin/gen.perl?text=Gravy</v>
      </c>
      <c r="G736" s="11" t="str">
        <f t="shared" si="4"/>
        <v>data:image/svg+xml,%3csvg xmlns='http://www.w3.org/2000/svg' viewBox='0 0 24 216'%3e%3ctext fill='%23fff' style='font: 900 16px sans-serif' text-anchor='end' transform='matrix(0 -1 1 0 18 5)'%3eGravy%3c/text%3e%3c/svg%3e</v>
      </c>
      <c r="H736" s="8" t="s">
        <v>42</v>
      </c>
      <c r="I736" s="8">
        <f t="shared" ref="I736:J736" si="737">len(B736)</f>
        <v>5</v>
      </c>
      <c r="J736" s="8">
        <f t="shared" si="737"/>
        <v>63</v>
      </c>
      <c r="K736" s="8" t="s">
        <v>3905</v>
      </c>
    </row>
    <row r="737">
      <c r="A737" s="7" t="b">
        <v>1</v>
      </c>
      <c r="B737" s="8" t="s">
        <v>3906</v>
      </c>
      <c r="C737" s="8" t="s">
        <v>3907</v>
      </c>
      <c r="D737" s="8" t="str">
        <f>Q&amp;$K737&amp;Q&amp;":{"&amp;Q&amp;$B$2&amp;Q&amp;":"&amp;Q&amp;$B737&amp;Q&amp;","&amp;Q&amp;$C$2&amp;Q&amp;":"&amp;Q&amp;$C737&amp;Q&amp;","&amp;Q&amp;"sets"&amp;Q&amp;":"&amp;Q&amp;substitute(SUBSTITUTE($H737,"[",""),"]","")&amp;Q&amp;"},"</f>
        <v>"bcii":{"label":"Grease","extra":"Pretty slick!","sets":"Expansion Set 3, Party Expansion 1"},</v>
      </c>
      <c r="E737" s="9" t="str">
        <f t="shared" si="2"/>
        <v>data:image/svg+xml,%3csvg xmlns='http://www.w3.org/2000/svg' viewBox='0 0 24 216'%3e%3ctext fill='%23fff' style='font: 900 16px sans-serif' text-anchor='end' transform='matrix(0 -1 1 0 18 5)'%3eGrease%3c/text%3e%3c/svg%3e</v>
      </c>
      <c r="F737" s="14" t="str">
        <f t="shared" si="3"/>
        <v>https://svgtext.heliohost.us/cgi-bin/gen.perl?text=Grease</v>
      </c>
      <c r="G737" s="11" t="str">
        <f t="shared" si="4"/>
        <v>data:image/svg+xml,%3csvg xmlns='http://www.w3.org/2000/svg' viewBox='0 0 24 216'%3e%3ctext fill='%23fff' style='font: 900 16px sans-serif' text-anchor='end' transform='matrix(0 -1 1 0 18 5)'%3eGrease%3c/text%3e%3c/svg%3e</v>
      </c>
      <c r="H737" s="8" t="s">
        <v>39</v>
      </c>
      <c r="I737" s="8">
        <f t="shared" ref="I737:J737" si="738">len(B737)</f>
        <v>6</v>
      </c>
      <c r="J737" s="8">
        <f t="shared" si="738"/>
        <v>13</v>
      </c>
      <c r="K737" s="8" t="s">
        <v>3908</v>
      </c>
    </row>
    <row r="738">
      <c r="A738" s="7" t="b">
        <v>1</v>
      </c>
      <c r="B738" s="8" t="s">
        <v>3909</v>
      </c>
      <c r="C738" s="8" t="s">
        <v>3910</v>
      </c>
      <c r="D738" s="8" t="str">
        <f>Q&amp;$K738&amp;Q&amp;":{"&amp;Q&amp;$B$2&amp;Q&amp;":"&amp;Q&amp;$B738&amp;Q&amp;","&amp;Q&amp;$C$2&amp;Q&amp;":"&amp;Q&amp;$C738&amp;Q&amp;","&amp;Q&amp;"sets"&amp;Q&amp;":"&amp;Q&amp;substitute(SUBSTITUTE($H738,"[",""),"]","")&amp;Q&amp;"},"</f>
        <v>"nbuo":{"label":"Grease &amp; Grime","extra":"What would Martha do?","sets":"Expansion Set 4, Party Expansion 1"},</v>
      </c>
      <c r="E738" s="9" t="str">
        <f t="shared" si="2"/>
        <v>data:image/svg+xml,%3csvg xmlns='http://www.w3.org/2000/svg' viewBox='0 0 24 216'%3e%3ctext fill='%23fff' style='font: 900 16px sans-serif' text-anchor='end' transform='matrix(0 -1 1 0 18 5)'%3eGrease %26amp%3B Grime%3c/text%3e%3c/svg%3e</v>
      </c>
      <c r="F738" s="14" t="str">
        <f t="shared" si="3"/>
        <v>https://svgtext.heliohost.us/cgi-bin/gen.perl?text=Grease%20%26%20Grime</v>
      </c>
      <c r="G738" s="11" t="str">
        <f t="shared" si="4"/>
        <v>data:image/svg+xml,%3csvg xmlns='http://www.w3.org/2000/svg' viewBox='0 0 24 216'%3e%3ctext fill='%23fff' style='font: 900 16px sans-serif' text-anchor='end' transform='matrix(0 -1 1 0 18 5)'%3eGrease %26amp%3B Grime%3c/text%3e%3c/svg%3e</v>
      </c>
      <c r="H738" s="8" t="s">
        <v>63</v>
      </c>
      <c r="I738" s="8">
        <f t="shared" ref="I738:J738" si="739">len(B738)</f>
        <v>14</v>
      </c>
      <c r="J738" s="8">
        <f t="shared" si="739"/>
        <v>21</v>
      </c>
      <c r="K738" s="8" t="s">
        <v>3911</v>
      </c>
    </row>
    <row r="739">
      <c r="A739" s="7" t="b">
        <v>1</v>
      </c>
      <c r="B739" s="8" t="s">
        <v>3912</v>
      </c>
      <c r="C739" s="8" t="s">
        <v>3913</v>
      </c>
      <c r="D739" s="8" t="str">
        <f>Q&amp;$K739&amp;Q&amp;":{"&amp;Q&amp;$B$2&amp;Q&amp;":"&amp;Q&amp;$B739&amp;Q&amp;","&amp;Q&amp;$C$2&amp;Q&amp;":"&amp;Q&amp;$C739&amp;Q&amp;","&amp;Q&amp;"sets"&amp;Q&amp;":"&amp;Q&amp;substitute(SUBSTITUTE($H739,"[",""),"]","")&amp;Q&amp;"},"</f>
        <v>"{wvk":{"label":"Green Beans","extra":"Long, thin beans that you can eat raw or cooked.","sets":"Junior 9+ (1st) &amp; (2nd)"},</v>
      </c>
      <c r="E739" s="9" t="str">
        <f t="shared" si="2"/>
        <v>data:image/svg+xml,%3csvg xmlns='http://www.w3.org/2000/svg' viewBox='0 0 24 216'%3e%3ctext fill='%23fff' style='font: 900 16px sans-serif' text-anchor='end' transform='matrix(0 -1 1 0 18 5)'%3eGreen Beans%3c/text%3e%3c/svg%3e</v>
      </c>
      <c r="F739" s="14" t="str">
        <f t="shared" si="3"/>
        <v>https://svgtext.heliohost.us/cgi-bin/gen.perl?text=Green%20Beans</v>
      </c>
      <c r="G739" s="11" t="str">
        <f t="shared" si="4"/>
        <v>data:image/svg+xml,%3csvg xmlns='http://www.w3.org/2000/svg' viewBox='0 0 24 216'%3e%3ctext fill='%23fff' style='font: 900 16px sans-serif' text-anchor='end' transform='matrix(0 -1 1 0 18 5)'%3eGreen Beans%3c/text%3e%3c/svg%3e</v>
      </c>
      <c r="H739" s="8" t="s">
        <v>42</v>
      </c>
      <c r="I739" s="8">
        <f t="shared" ref="I739:J739" si="740">len(B739)</f>
        <v>11</v>
      </c>
      <c r="J739" s="8">
        <f t="shared" si="740"/>
        <v>48</v>
      </c>
      <c r="K739" s="8" t="s">
        <v>3914</v>
      </c>
    </row>
    <row r="740">
      <c r="A740" s="7" t="b">
        <v>0</v>
      </c>
      <c r="B740" s="8" t="s">
        <v>3915</v>
      </c>
      <c r="C740" s="8" t="s">
        <v>3916</v>
      </c>
      <c r="D740" s="8" t="str">
        <f>Q&amp;$K740&amp;Q&amp;":{"&amp;Q&amp;$B$2&amp;Q&amp;":"&amp;Q&amp;$B740&amp;Q&amp;","&amp;Q&amp;$C$2&amp;Q&amp;":"&amp;Q&amp;$C740&amp;Q&amp;","&amp;Q&amp;"sets"&amp;Q&amp;":"&amp;Q&amp;substitute(SUBSTITUTE($H740,"[",""),"]","")&amp;Q&amp;"},"</f>
        <v>"gabr":{"label":"Greenpeace","extra":"International organization dedicated to preserving the Earth's natural resources, and its diverse plant and animal life.","sets":"Expansion Set 2, Party Set"},</v>
      </c>
      <c r="E740" s="9" t="str">
        <f t="shared" si="2"/>
        <v>data:image/svg+xml,%3csvg xmlns='http://www.w3.org/2000/svg' viewBox='0 0 24 216'%3e%3ctext fill='%23fff' style='font: 900 16px sans-serif' text-anchor='end' transform='matrix(0 -1 1 0 18 5)'%3eGreenpeace%3c/text%3e%3c/svg%3e</v>
      </c>
      <c r="F740" s="14" t="str">
        <f t="shared" si="3"/>
        <v>https://svgtext.heliohost.us/cgi-bin/gen.perl?text=Greenpeace</v>
      </c>
      <c r="G740" s="11" t="str">
        <f t="shared" si="4"/>
        <v>data:image/svg+xml,%3csvg xmlns='http://www.w3.org/2000/svg' viewBox='0 0 24 216'%3e%3ctext fill='%23fff' style='font: 900 16px sans-serif' text-anchor='end' transform='matrix(0 -1 1 0 18 5)'%3eGreenpeace%3c/text%3e%3c/svg%3e</v>
      </c>
      <c r="H740" s="8" t="s">
        <v>17</v>
      </c>
      <c r="I740" s="8">
        <f t="shared" ref="I740:J740" si="741">len(B740)</f>
        <v>10</v>
      </c>
      <c r="J740" s="8">
        <f t="shared" si="741"/>
        <v>120</v>
      </c>
      <c r="K740" s="8" t="s">
        <v>3917</v>
      </c>
    </row>
    <row r="741">
      <c r="A741" s="7" t="b">
        <v>1</v>
      </c>
      <c r="B741" s="8" t="s">
        <v>3918</v>
      </c>
      <c r="C741" s="8" t="s">
        <v>3919</v>
      </c>
      <c r="D741" s="8" t="str">
        <f>Q&amp;$K741&amp;Q&amp;":{"&amp;Q&amp;$B$2&amp;Q&amp;":"&amp;Q&amp;$B741&amp;Q&amp;","&amp;Q&amp;$C$2&amp;Q&amp;":"&amp;Q&amp;$C741&amp;Q&amp;","&amp;Q&amp;"sets"&amp;Q&amp;":"&amp;Q&amp;substitute(SUBSTITUTE($H741,"[",""),"]","")&amp;Q&amp;"},"</f>
        <v>"qddc":{"label":"Grocery Stores","extra":"Good places to buy food, supplies and candy!","sets":"Junior"},</v>
      </c>
      <c r="E741" s="9" t="str">
        <f t="shared" si="2"/>
        <v>data:image/svg+xml,%3csvg xmlns='http://www.w3.org/2000/svg' viewBox='0 0 24 216'%3e%3ctext fill='%23fff' style='font: 900 16px sans-serif' text-anchor='end' transform='matrix(0 -1 1 0 18 5)'%3eGrocery Stores%3c/text%3e%3c/svg%3e</v>
      </c>
      <c r="F741" s="14" t="str">
        <f t="shared" si="3"/>
        <v>https://svgtext.heliohost.us/cgi-bin/gen.perl?text=Grocery%20Stores</v>
      </c>
      <c r="G741" s="11" t="str">
        <f t="shared" si="4"/>
        <v>data:image/svg+xml,%3csvg xmlns='http://www.w3.org/2000/svg' viewBox='0 0 24 216'%3e%3ctext fill='%23fff' style='font: 900 16px sans-serif' text-anchor='end' transform='matrix(0 -1 1 0 18 5)'%3eGrocery Stores%3c/text%3e%3c/svg%3e</v>
      </c>
      <c r="H741" s="8" t="s">
        <v>84</v>
      </c>
      <c r="I741" s="8">
        <f t="shared" ref="I741:J741" si="742">len(B741)</f>
        <v>14</v>
      </c>
      <c r="J741" s="8">
        <f t="shared" si="742"/>
        <v>44</v>
      </c>
      <c r="K741" s="8" t="s">
        <v>3920</v>
      </c>
    </row>
    <row r="742">
      <c r="A742" s="7" t="b">
        <v>1</v>
      </c>
      <c r="B742" s="8" t="s">
        <v>3921</v>
      </c>
      <c r="C742" s="8" t="s">
        <v>3922</v>
      </c>
      <c r="D742" s="8" t="str">
        <f>Q&amp;$K742&amp;Q&amp;":{"&amp;Q&amp;$B$2&amp;Q&amp;":"&amp;Q&amp;$B742&amp;Q&amp;","&amp;Q&amp;$C$2&amp;Q&amp;":"&amp;Q&amp;$C742&amp;Q&amp;","&amp;Q&amp;"sets"&amp;Q&amp;":"&amp;Q&amp;substitute(SUBSTITUTE($H742,"[",""),"]","")&amp;Q&amp;"},"</f>
        <v>"mveq":{"label":"Guitars","extra":"ROCK AND ROLL!","sets":"Junior 9+ (2nd)"},</v>
      </c>
      <c r="E742" s="9" t="str">
        <f t="shared" si="2"/>
        <v>data:image/svg+xml,%3csvg xmlns='http://www.w3.org/2000/svg' viewBox='0 0 24 216'%3e%3ctext fill='%23fff' style='font: 900 16px sans-serif' text-anchor='end' transform='matrix(0 -1 1 0 18 5)'%3eGuitars%3c/text%3e%3c/svg%3e</v>
      </c>
      <c r="F742" s="14" t="str">
        <f t="shared" si="3"/>
        <v>https://svgtext.heliohost.us/cgi-bin/gen.perl?text=Guitars</v>
      </c>
      <c r="G742" s="11" t="str">
        <f t="shared" si="4"/>
        <v>data:image/svg+xml,%3csvg xmlns='http://www.w3.org/2000/svg' viewBox='0 0 24 216'%3e%3ctext fill='%23fff' style='font: 900 16px sans-serif' text-anchor='end' transform='matrix(0 -1 1 0 18 5)'%3eGuitars%3c/text%3e%3c/svg%3e</v>
      </c>
      <c r="H742" s="8" t="s">
        <v>32</v>
      </c>
      <c r="I742" s="8">
        <f t="shared" ref="I742:J742" si="743">len(B742)</f>
        <v>7</v>
      </c>
      <c r="J742" s="8">
        <f t="shared" si="743"/>
        <v>14</v>
      </c>
      <c r="K742" s="8" t="s">
        <v>3923</v>
      </c>
    </row>
    <row r="743">
      <c r="A743" s="7" t="b">
        <v>1</v>
      </c>
      <c r="B743" s="8" t="s">
        <v>3924</v>
      </c>
      <c r="C743" s="8" t="s">
        <v>3925</v>
      </c>
      <c r="D743" s="8" t="str">
        <f>Q&amp;$K743&amp;Q&amp;":{"&amp;Q&amp;$B$2&amp;Q&amp;":"&amp;Q&amp;$B743&amp;Q&amp;","&amp;Q&amp;$C$2&amp;Q&amp;":"&amp;Q&amp;$C743&amp;Q&amp;","&amp;Q&amp;"sets"&amp;Q&amp;":"&amp;Q&amp;substitute(SUBSTITUTE($H743,"[",""),"]","")&amp;Q&amp;"},"</f>
        <v>"rrak":{"label":"Gummi Bears","extra":"Little rubbery candies shaped like bears.","sets":"Junior"},</v>
      </c>
      <c r="E743" s="9" t="str">
        <f t="shared" si="2"/>
        <v>data:image/svg+xml,%3csvg xmlns='http://www.w3.org/2000/svg' viewBox='0 0 24 216'%3e%3ctext fill='%23fff' style='font: 900 16px sans-serif' text-anchor='end' transform='matrix(0 -1 1 0 18 5)'%3eGummi Bears%3c/text%3e%3c/svg%3e</v>
      </c>
      <c r="F743" s="14" t="str">
        <f t="shared" si="3"/>
        <v>https://svgtext.heliohost.us/cgi-bin/gen.perl?text=Gummi%20Bears</v>
      </c>
      <c r="G743" s="11" t="str">
        <f t="shared" si="4"/>
        <v>data:image/svg+xml,%3csvg xmlns='http://www.w3.org/2000/svg' viewBox='0 0 24 216'%3e%3ctext fill='%23fff' style='font: 900 16px sans-serif' text-anchor='end' transform='matrix(0 -1 1 0 18 5)'%3eGummi Bears%3c/text%3e%3c/svg%3e</v>
      </c>
      <c r="H743" s="8" t="s">
        <v>84</v>
      </c>
      <c r="I743" s="8">
        <f t="shared" ref="I743:J743" si="744">len(B743)</f>
        <v>11</v>
      </c>
      <c r="J743" s="8">
        <f t="shared" si="744"/>
        <v>41</v>
      </c>
      <c r="K743" s="8" t="s">
        <v>3926</v>
      </c>
    </row>
    <row r="744">
      <c r="A744" s="7" t="b">
        <v>0</v>
      </c>
      <c r="B744" s="8" t="s">
        <v>3927</v>
      </c>
      <c r="C744" s="7" t="s">
        <v>3928</v>
      </c>
      <c r="D744" s="8" t="str">
        <f>Q&amp;$K744&amp;Q&amp;":{"&amp;Q&amp;$B$2&amp;Q&amp;":"&amp;Q&amp;$B744&amp;Q&amp;","&amp;Q&amp;$C$2&amp;Q&amp;":"&amp;Q&amp;$C744&amp;Q&amp;","&amp;Q&amp;"sets"&amp;Q&amp;":"&amp;Q&amp;substitute(SUBSTITUTE($H744,"[",""),"]","")&amp;Q&amp;"},"</f>
        <v>"xuuc":{"label":"Gym Teachers","extra":"“I am a Physical Education Teacher. Call me a gym teacher again and you can drop and give me ten!”","sets":"Expansion Set 2, Party Set"},</v>
      </c>
      <c r="E744" s="9" t="str">
        <f t="shared" si="2"/>
        <v>data:image/svg+xml,%3csvg xmlns='http://www.w3.org/2000/svg' viewBox='0 0 24 216'%3e%3ctext fill='%23fff' style='font: 900 16px sans-serif' text-anchor='end' transform='matrix(0 -1 1 0 18 5)'%3eGym Teachers%3c/text%3e%3c/svg%3e</v>
      </c>
      <c r="F744" s="14" t="str">
        <f t="shared" si="3"/>
        <v>https://svgtext.heliohost.us/cgi-bin/gen.perl?text=Gym%20Teachers</v>
      </c>
      <c r="G744" s="11" t="str">
        <f t="shared" si="4"/>
        <v>data:image/svg+xml,%3csvg xmlns='http://www.w3.org/2000/svg' viewBox='0 0 24 216'%3e%3ctext fill='%23fff' style='font: 900 16px sans-serif' text-anchor='end' transform='matrix(0 -1 1 0 18 5)'%3eGym Teachers%3c/text%3e%3c/svg%3e</v>
      </c>
      <c r="H744" s="8" t="s">
        <v>17</v>
      </c>
      <c r="I744" s="8">
        <f t="shared" ref="I744:J744" si="745">len(B744)</f>
        <v>12</v>
      </c>
      <c r="J744" s="8">
        <f t="shared" si="745"/>
        <v>98</v>
      </c>
      <c r="K744" s="8" t="s">
        <v>3929</v>
      </c>
    </row>
    <row r="745">
      <c r="A745" s="7" t="b">
        <v>1</v>
      </c>
      <c r="B745" s="8" t="s">
        <v>3930</v>
      </c>
      <c r="C745" s="7" t="s">
        <v>3931</v>
      </c>
      <c r="D745" s="8" t="str">
        <f>Q&amp;$K745&amp;Q&amp;":{"&amp;Q&amp;$B$2&amp;Q&amp;":"&amp;Q&amp;$B745&amp;Q&amp;","&amp;Q&amp;$C$2&amp;Q&amp;":"&amp;Q&amp;$C745&amp;Q&amp;","&amp;Q&amp;"sets"&amp;Q&amp;":"&amp;Q&amp;substitute(SUBSTITUTE($H745,"[",""),"]","")&amp;Q&amp;"},"</f>
        <v>"ockd":{"label":"Gymnastics","extra":"Tucks, vaults and handsprings—it's harder than it looks.","sets":"Junior 9+ (2nd)"},</v>
      </c>
      <c r="E745" s="9" t="str">
        <f t="shared" si="2"/>
        <v>data:image/svg+xml,%3csvg xmlns='http://www.w3.org/2000/svg' viewBox='0 0 24 216'%3e%3ctext fill='%23fff' style='font: 900 16px sans-serif' text-anchor='end' transform='matrix(0 -1 1 0 18 5)'%3eGymnastics%3c/text%3e%3c/svg%3e</v>
      </c>
      <c r="F745" s="14" t="str">
        <f t="shared" si="3"/>
        <v>https://svgtext.heliohost.us/cgi-bin/gen.perl?text=Gymnastics</v>
      </c>
      <c r="G745" s="11" t="str">
        <f t="shared" si="4"/>
        <v>data:image/svg+xml,%3csvg xmlns='http://www.w3.org/2000/svg' viewBox='0 0 24 216'%3e%3ctext fill='%23fff' style='font: 900 16px sans-serif' text-anchor='end' transform='matrix(0 -1 1 0 18 5)'%3eGymnastics%3c/text%3e%3c/svg%3e</v>
      </c>
      <c r="H745" s="8" t="s">
        <v>32</v>
      </c>
      <c r="I745" s="8">
        <f t="shared" ref="I745:J745" si="746">len(B745)</f>
        <v>10</v>
      </c>
      <c r="J745" s="8">
        <f t="shared" si="746"/>
        <v>56</v>
      </c>
      <c r="K745" s="8" t="s">
        <v>3932</v>
      </c>
    </row>
    <row r="746">
      <c r="A746" s="7" t="b">
        <v>1</v>
      </c>
      <c r="B746" s="8" t="s">
        <v>3933</v>
      </c>
      <c r="C746" s="8" t="s">
        <v>3934</v>
      </c>
      <c r="D746" s="8" t="str">
        <f>Q&amp;$K746&amp;Q&amp;":{"&amp;Q&amp;$B$2&amp;Q&amp;":"&amp;Q&amp;$B746&amp;Q&amp;","&amp;Q&amp;$C$2&amp;Q&amp;":"&amp;Q&amp;$C746&amp;Q&amp;","&amp;Q&amp;"sets"&amp;Q&amp;":"&amp;Q&amp;substitute(SUBSTITUTE($H746,"[",""),"]","")&amp;Q&amp;"},"</f>
        <v>"whra":{"label":"Haiku","extra":"Traditional form of Japanese poetry consisting of three lines, usually containing a reference to nature.","sets":"Expansion Set 3, Party Expansion 1"},</v>
      </c>
      <c r="E746" s="9" t="str">
        <f t="shared" si="2"/>
        <v>data:image/svg+xml,%3csvg xmlns='http://www.w3.org/2000/svg' viewBox='0 0 24 216'%3e%3ctext fill='%23fff' style='font: 900 16px sans-serif' text-anchor='end' transform='matrix(0 -1 1 0 18 5)'%3eHaiku%3c/text%3e%3c/svg%3e</v>
      </c>
      <c r="F746" s="14" t="str">
        <f t="shared" si="3"/>
        <v>https://svgtext.heliohost.us/cgi-bin/gen.perl?text=Haiku</v>
      </c>
      <c r="G746" s="11" t="str">
        <f t="shared" si="4"/>
        <v>data:image/svg+xml,%3csvg xmlns='http://www.w3.org/2000/svg' viewBox='0 0 24 216'%3e%3ctext fill='%23fff' style='font: 900 16px sans-serif' text-anchor='end' transform='matrix(0 -1 1 0 18 5)'%3eHaiku%3c/text%3e%3c/svg%3e</v>
      </c>
      <c r="H746" s="8" t="s">
        <v>39</v>
      </c>
      <c r="I746" s="8">
        <f t="shared" ref="I746:J746" si="747">len(B746)</f>
        <v>5</v>
      </c>
      <c r="J746" s="8">
        <f t="shared" si="747"/>
        <v>104</v>
      </c>
      <c r="K746" s="8" t="s">
        <v>3935</v>
      </c>
    </row>
    <row r="747">
      <c r="A747" s="7" t="b">
        <v>0</v>
      </c>
      <c r="B747" s="8" t="s">
        <v>3936</v>
      </c>
      <c r="C747" s="7" t="s">
        <v>3937</v>
      </c>
      <c r="D747" s="8" t="str">
        <f>Q&amp;$K747&amp;Q&amp;":{"&amp;Q&amp;$B$2&amp;Q&amp;":"&amp;Q&amp;$B747&amp;Q&amp;","&amp;Q&amp;$C$2&amp;Q&amp;":"&amp;Q&amp;$C747&amp;Q&amp;","&amp;Q&amp;"sets"&amp;Q&amp;":"&amp;Q&amp;substitute(SUBSTITUTE($H747,"[",""),"]","")&amp;Q&amp;"},"</f>
        <v>"uuve":{"label":"Hair Transplants","extra":"Oh, it looks so natural…","sets":"Expansion Set 2, Party Set"},</v>
      </c>
      <c r="E747" s="9" t="str">
        <f t="shared" si="2"/>
        <v>data:image/svg+xml,%3csvg xmlns='http://www.w3.org/2000/svg' viewBox='0 0 24 216'%3e%3ctext fill='%23fff' style='font: 900 16px sans-serif' text-anchor='end' transform='matrix(0 -1 1 0 18 5)'%3eHair Transplants%3c/text%3e%3c/svg%3e</v>
      </c>
      <c r="F747" s="14" t="str">
        <f t="shared" si="3"/>
        <v>https://svgtext.heliohost.us/cgi-bin/gen.perl?text=Hair%20Transplants</v>
      </c>
      <c r="G747" s="11" t="str">
        <f t="shared" si="4"/>
        <v>data:image/svg+xml,%3csvg xmlns='http://www.w3.org/2000/svg' viewBox='0 0 24 216'%3e%3ctext fill='%23fff' style='font: 900 16px sans-serif' text-anchor='end' transform='matrix(0 -1 1 0 18 5)'%3eHair Transplants%3c/text%3e%3c/svg%3e</v>
      </c>
      <c r="H747" s="8" t="s">
        <v>17</v>
      </c>
      <c r="I747" s="8">
        <f t="shared" ref="I747:J747" si="748">len(B747)</f>
        <v>16</v>
      </c>
      <c r="J747" s="8">
        <f t="shared" si="748"/>
        <v>24</v>
      </c>
      <c r="K747" s="8" t="s">
        <v>3938</v>
      </c>
    </row>
    <row r="748">
      <c r="A748" s="7" t="b">
        <v>0</v>
      </c>
      <c r="B748" s="8" t="s">
        <v>3939</v>
      </c>
      <c r="C748" s="7" t="s">
        <v>3940</v>
      </c>
      <c r="D748" s="8" t="str">
        <f>Q&amp;$K748&amp;Q&amp;":{"&amp;Q&amp;$B$2&amp;Q&amp;":"&amp;Q&amp;$B748&amp;Q&amp;","&amp;Q&amp;$C$2&amp;Q&amp;":"&amp;Q&amp;$C748&amp;Q&amp;","&amp;Q&amp;"sets"&amp;Q&amp;":"&amp;Q&amp;substitute(SUBSTITUTE($H748,"[",""),"]","")&amp;Q&amp;"},"</f>
        <v>"issb":{"label":"Hairballs","extra":"Cough it up, kitty…","sets":"Basic Set, Party Set"},</v>
      </c>
      <c r="E748" s="9" t="str">
        <f t="shared" si="2"/>
        <v>data:image/svg+xml,%3csvg xmlns='http://www.w3.org/2000/svg' viewBox='0 0 24 216'%3e%3ctext fill='%23fff' style='font: 900 16px sans-serif' text-anchor='end' transform='matrix(0 -1 1 0 18 5)'%3eHairballs%3c/text%3e%3c/svg%3e</v>
      </c>
      <c r="F748" s="14" t="str">
        <f t="shared" si="3"/>
        <v>https://svgtext.heliohost.us/cgi-bin/gen.perl?text=Hairballs</v>
      </c>
      <c r="G748" s="11" t="str">
        <f t="shared" si="4"/>
        <v>data:image/svg+xml,%3csvg xmlns='http://www.w3.org/2000/svg' viewBox='0 0 24 216'%3e%3ctext fill='%23fff' style='font: 900 16px sans-serif' text-anchor='end' transform='matrix(0 -1 1 0 18 5)'%3eHairballs%3c/text%3e%3c/svg%3e</v>
      </c>
      <c r="H748" s="8" t="s">
        <v>29</v>
      </c>
      <c r="I748" s="8">
        <f t="shared" ref="I748:J748" si="749">len(B748)</f>
        <v>9</v>
      </c>
      <c r="J748" s="8">
        <f t="shared" si="749"/>
        <v>19</v>
      </c>
      <c r="K748" s="8" t="s">
        <v>3941</v>
      </c>
    </row>
    <row r="749">
      <c r="A749" s="7" t="b">
        <v>0</v>
      </c>
      <c r="B749" s="8" t="s">
        <v>3942</v>
      </c>
      <c r="C749" s="7" t="s">
        <v>3943</v>
      </c>
      <c r="D749" s="8" t="str">
        <f>Q&amp;$K749&amp;Q&amp;":{"&amp;Q&amp;$B$2&amp;Q&amp;":"&amp;Q&amp;$B749&amp;Q&amp;","&amp;Q&amp;$C$2&amp;Q&amp;":"&amp;Q&amp;$C749&amp;Q&amp;","&amp;Q&amp;"sets"&amp;Q&amp;":"&amp;Q&amp;substitute(SUBSTITUTE($H749,"[",""),"]","")&amp;Q&amp;"},"</f>
        <v>"qrli":{"label":"Halloween","extra":"October 31, the eve of All Saints’ Day, celebrated with costumes, treats, and scary stuff. Not just for kids any more!","sets":"Expansion Set 2, Party Set"},</v>
      </c>
      <c r="E749" s="9" t="str">
        <f t="shared" si="2"/>
        <v>data:image/svg+xml,%3csvg xmlns='http://www.w3.org/2000/svg' viewBox='0 0 24 216'%3e%3ctext fill='%23fff' style='font: 900 16px sans-serif' text-anchor='end' transform='matrix(0 -1 1 0 18 5)'%3eHalloween%3c/text%3e%3c/svg%3e</v>
      </c>
      <c r="F749" s="14" t="str">
        <f t="shared" si="3"/>
        <v>https://svgtext.heliohost.us/cgi-bin/gen.perl?text=Halloween</v>
      </c>
      <c r="G749" s="11" t="str">
        <f t="shared" si="4"/>
        <v>data:image/svg+xml,%3csvg xmlns='http://www.w3.org/2000/svg' viewBox='0 0 24 216'%3e%3ctext fill='%23fff' style='font: 900 16px sans-serif' text-anchor='end' transform='matrix(0 -1 1 0 18 5)'%3eHalloween%3c/text%3e%3c/svg%3e</v>
      </c>
      <c r="H749" s="8" t="s">
        <v>17</v>
      </c>
      <c r="I749" s="8">
        <f t="shared" ref="I749:J749" si="750">len(B749)</f>
        <v>9</v>
      </c>
      <c r="J749" s="8">
        <f t="shared" si="750"/>
        <v>118</v>
      </c>
      <c r="K749" s="8" t="s">
        <v>3944</v>
      </c>
    </row>
    <row r="750">
      <c r="A750" s="7" t="b">
        <v>1</v>
      </c>
      <c r="B750" s="8" t="s">
        <v>3942</v>
      </c>
      <c r="C750" s="8" t="s">
        <v>3945</v>
      </c>
      <c r="D750" s="8" t="str">
        <f>Q&amp;$K750&amp;Q&amp;":{"&amp;Q&amp;$B$2&amp;Q&amp;":"&amp;Q&amp;$B750&amp;Q&amp;","&amp;Q&amp;$C$2&amp;Q&amp;":"&amp;Q&amp;$C750&amp;Q&amp;","&amp;Q&amp;"sets"&amp;Q&amp;":"&amp;Q&amp;substitute(SUBSTITUTE($H750,"[",""),"]","")&amp;Q&amp;"},"</f>
        <v>"dyru":{"label":"Halloween","extra":"The October 31st celebration featuring costumes, treats, and other spooky stuff.","sets":"Junior 9+ (2nd)"},</v>
      </c>
      <c r="E750" s="9" t="str">
        <f t="shared" si="2"/>
        <v>data:image/svg+xml,%3csvg xmlns='http://www.w3.org/2000/svg' viewBox='0 0 24 216'%3e%3ctext fill='%23fff' style='font: 900 16px sans-serif' text-anchor='end' transform='matrix(0 -1 1 0 18 5)'%3eHalloween%3c/text%3e%3c/svg%3e</v>
      </c>
      <c r="F750" s="14" t="str">
        <f t="shared" si="3"/>
        <v>https://svgtext.heliohost.us/cgi-bin/gen.perl?text=Halloween</v>
      </c>
      <c r="G750" s="11" t="str">
        <f t="shared" si="4"/>
        <v>data:image/svg+xml,%3csvg xmlns='http://www.w3.org/2000/svg' viewBox='0 0 24 216'%3e%3ctext fill='%23fff' style='font: 900 16px sans-serif' text-anchor='end' transform='matrix(0 -1 1 0 18 5)'%3eHalloween%3c/text%3e%3c/svg%3e</v>
      </c>
      <c r="H750" s="8" t="s">
        <v>32</v>
      </c>
      <c r="I750" s="8">
        <f t="shared" ref="I750:J750" si="751">len(B750)</f>
        <v>9</v>
      </c>
      <c r="J750" s="8">
        <f t="shared" si="751"/>
        <v>80</v>
      </c>
      <c r="K750" s="8" t="s">
        <v>3946</v>
      </c>
    </row>
    <row r="751">
      <c r="A751" s="7" t="b">
        <v>1</v>
      </c>
      <c r="B751" s="8" t="s">
        <v>3947</v>
      </c>
      <c r="C751" s="7" t="s">
        <v>3948</v>
      </c>
      <c r="D751" s="8" t="str">
        <f>Q&amp;$K751&amp;Q&amp;":{"&amp;Q&amp;$B$2&amp;Q&amp;":"&amp;Q&amp;$B751&amp;Q&amp;","&amp;Q&amp;$C$2&amp;Q&amp;":"&amp;Q&amp;$C751&amp;Q&amp;","&amp;Q&amp;"sets"&amp;Q&amp;":"&amp;Q&amp;substitute(SUBSTITUTE($H751,"[",""),"]","")&amp;Q&amp;"},"</f>
        <v>"lbgy":{"label":"Ham Sandwhich","extra":"Ham is pork. Pork is pig. It’s a pig sandwich!","sets":"Junior 9+ (2nd)"},</v>
      </c>
      <c r="E751" s="9" t="str">
        <f t="shared" si="2"/>
        <v>data:image/svg+xml,%3csvg xmlns='http://www.w3.org/2000/svg' viewBox='0 0 24 216'%3e%3ctext fill='%23fff' style='font: 900 16px sans-serif' text-anchor='end' transform='matrix(0 -1 1 0 18 5)'%3eHam Sandwhich%3c/text%3e%3c/svg%3e</v>
      </c>
      <c r="F751" s="14" t="str">
        <f t="shared" si="3"/>
        <v>https://svgtext.heliohost.us/cgi-bin/gen.perl?text=Ham%20Sandwhich</v>
      </c>
      <c r="G751" s="11" t="str">
        <f t="shared" si="4"/>
        <v>data:image/svg+xml,%3csvg xmlns='http://www.w3.org/2000/svg' viewBox='0 0 24 216'%3e%3ctext fill='%23fff' style='font: 900 16px sans-serif' text-anchor='end' transform='matrix(0 -1 1 0 18 5)'%3eHam Sandwhich%3c/text%3e%3c/svg%3e</v>
      </c>
      <c r="H751" s="8" t="s">
        <v>32</v>
      </c>
      <c r="I751" s="8">
        <f t="shared" ref="I751:J751" si="752">len(B751)</f>
        <v>13</v>
      </c>
      <c r="J751" s="8">
        <f t="shared" si="752"/>
        <v>46</v>
      </c>
      <c r="K751" s="8" t="s">
        <v>3949</v>
      </c>
    </row>
    <row r="752">
      <c r="A752" s="7" t="b">
        <v>1</v>
      </c>
      <c r="B752" s="8" t="s">
        <v>3950</v>
      </c>
      <c r="C752" s="8" t="s">
        <v>3951</v>
      </c>
      <c r="D752" s="8" t="str">
        <f>Q&amp;$K752&amp;Q&amp;":{"&amp;Q&amp;$B$2&amp;Q&amp;":"&amp;Q&amp;$B752&amp;Q&amp;","&amp;Q&amp;$C$2&amp;Q&amp;":"&amp;Q&amp;$C752&amp;Q&amp;","&amp;Q&amp;"sets"&amp;Q&amp;":"&amp;Q&amp;substitute(SUBSTITUTE($H752,"[",""),"]","")&amp;Q&amp;"},"</f>
        <v>"bedv":{"label":"Hamburgers","extra":"Do you want fries with that?","sets":"Junior 9+ (1st) &amp; (2nd)"},</v>
      </c>
      <c r="E752" s="9" t="str">
        <f t="shared" si="2"/>
        <v>data:image/svg+xml,%3csvg xmlns='http://www.w3.org/2000/svg' viewBox='0 0 24 216'%3e%3ctext fill='%23fff' style='font: 900 16px sans-serif' text-anchor='end' transform='matrix(0 -1 1 0 18 5)'%3eHamburgers%3c/text%3e%3c/svg%3e</v>
      </c>
      <c r="F752" s="14" t="str">
        <f t="shared" si="3"/>
        <v>https://svgtext.heliohost.us/cgi-bin/gen.perl?text=Hamburgers</v>
      </c>
      <c r="G752" s="11" t="str">
        <f t="shared" si="4"/>
        <v>data:image/svg+xml,%3csvg xmlns='http://www.w3.org/2000/svg' viewBox='0 0 24 216'%3e%3ctext fill='%23fff' style='font: 900 16px sans-serif' text-anchor='end' transform='matrix(0 -1 1 0 18 5)'%3eHamburgers%3c/text%3e%3c/svg%3e</v>
      </c>
      <c r="H752" s="8" t="s">
        <v>42</v>
      </c>
      <c r="I752" s="8">
        <f t="shared" ref="I752:J752" si="753">len(B752)</f>
        <v>10</v>
      </c>
      <c r="J752" s="8">
        <f t="shared" si="753"/>
        <v>28</v>
      </c>
      <c r="K752" s="8" t="s">
        <v>3952</v>
      </c>
    </row>
    <row r="753">
      <c r="A753" s="7" t="b">
        <v>1</v>
      </c>
      <c r="B753" s="8" t="s">
        <v>3953</v>
      </c>
      <c r="C753" s="7" t="s">
        <v>3954</v>
      </c>
      <c r="D753" s="8" t="str">
        <f>Q&amp;$K753&amp;Q&amp;":{"&amp;Q&amp;$B$2&amp;Q&amp;":"&amp;Q&amp;$B753&amp;Q&amp;","&amp;Q&amp;$C$2&amp;Q&amp;":"&amp;Q&amp;$C753&amp;Q&amp;","&amp;Q&amp;"sets"&amp;Q&amp;":"&amp;Q&amp;substitute(SUBSTITUTE($H753,"[",""),"]","")&amp;Q&amp;"},"</f>
        <v>"ffca":{"label":"Hammer &amp; Nails","extra":"“If I had a hammer…” —Peter, Paul and Mary","sets":"Expansion Set 4, Party Expansion 1"},</v>
      </c>
      <c r="E753" s="9" t="str">
        <f t="shared" si="2"/>
        <v>data:image/svg+xml,%3csvg xmlns='http://www.w3.org/2000/svg' viewBox='0 0 24 216'%3e%3ctext fill='%23fff' style='font: 900 16px sans-serif' text-anchor='end' transform='matrix(0 -1 1 0 18 5)'%3eHammer %26amp%3B Nails%3c/text%3e%3c/svg%3e</v>
      </c>
      <c r="F753" s="14" t="str">
        <f t="shared" si="3"/>
        <v>https://svgtext.heliohost.us/cgi-bin/gen.perl?text=Hammer%20%26%20Nails</v>
      </c>
      <c r="G753" s="11" t="str">
        <f t="shared" si="4"/>
        <v>data:image/svg+xml,%3csvg xmlns='http://www.w3.org/2000/svg' viewBox='0 0 24 216'%3e%3ctext fill='%23fff' style='font: 900 16px sans-serif' text-anchor='end' transform='matrix(0 -1 1 0 18 5)'%3eHammer %26amp%3B Nails%3c/text%3e%3c/svg%3e</v>
      </c>
      <c r="H753" s="8" t="s">
        <v>63</v>
      </c>
      <c r="I753" s="8">
        <f t="shared" ref="I753:J753" si="754">len(B753)</f>
        <v>14</v>
      </c>
      <c r="J753" s="8">
        <f t="shared" si="754"/>
        <v>42</v>
      </c>
      <c r="K753" s="8" t="s">
        <v>3955</v>
      </c>
    </row>
    <row r="754">
      <c r="A754" s="7" t="b">
        <v>0</v>
      </c>
      <c r="B754" s="8" t="s">
        <v>3956</v>
      </c>
      <c r="C754" s="7" t="s">
        <v>3957</v>
      </c>
      <c r="D754" s="8" t="str">
        <f>Q&amp;$K754&amp;Q&amp;":{"&amp;Q&amp;$B$2&amp;Q&amp;":"&amp;Q&amp;$B754&amp;Q&amp;","&amp;Q&amp;$C$2&amp;Q&amp;":"&amp;Q&amp;$C754&amp;Q&amp;","&amp;Q&amp;"sets"&amp;Q&amp;":"&amp;Q&amp;substitute(SUBSTITUTE($H754,"[",""),"]","")&amp;Q&amp;"},"</f>
        <v>"huxd":{"label":"Hammer &amp; Sickle","extra":"An emblem of the Communist movement, now retired… as is the Soviet Union.","sets":"Expansion Set 4, Party Expansion 1"},</v>
      </c>
      <c r="E754" s="9" t="str">
        <f t="shared" si="2"/>
        <v>data:image/svg+xml,%3csvg xmlns='http://www.w3.org/2000/svg' viewBox='0 0 24 216'%3e%3ctext fill='%23fff' style='font: 900 16px sans-serif' text-anchor='end' transform='matrix(0 -1 1 0 18 5)'%3eHammer %26amp%3B Sickle%3c/text%3e%3c/svg%3e</v>
      </c>
      <c r="F754" s="14" t="str">
        <f t="shared" si="3"/>
        <v>https://svgtext.heliohost.us/cgi-bin/gen.perl?text=Hammer%20%26%20Sickle</v>
      </c>
      <c r="G754" s="11" t="str">
        <f t="shared" si="4"/>
        <v>data:image/svg+xml,%3csvg xmlns='http://www.w3.org/2000/svg' viewBox='0 0 24 216'%3e%3ctext fill='%23fff' style='font: 900 16px sans-serif' text-anchor='end' transform='matrix(0 -1 1 0 18 5)'%3eHammer %26amp%3B Sickle%3c/text%3e%3c/svg%3e</v>
      </c>
      <c r="H754" s="8" t="s">
        <v>63</v>
      </c>
      <c r="I754" s="8">
        <f t="shared" ref="I754:J754" si="755">len(B754)</f>
        <v>15</v>
      </c>
      <c r="J754" s="8">
        <f t="shared" si="755"/>
        <v>73</v>
      </c>
      <c r="K754" s="8" t="s">
        <v>3958</v>
      </c>
    </row>
    <row r="755">
      <c r="A755" s="7" t="b">
        <v>1</v>
      </c>
      <c r="B755" s="8" t="s">
        <v>3959</v>
      </c>
      <c r="C755" s="8" t="s">
        <v>3960</v>
      </c>
      <c r="D755" s="8" t="str">
        <f>Q&amp;$K755&amp;Q&amp;":{"&amp;Q&amp;$B$2&amp;Q&amp;":"&amp;Q&amp;$B755&amp;Q&amp;","&amp;Q&amp;$C$2&amp;Q&amp;":"&amp;Q&amp;$C755&amp;Q&amp;","&amp;Q&amp;"sets"&amp;Q&amp;":"&amp;Q&amp;substitute(SUBSTITUTE($H755,"[",""),"]","")&amp;Q&amp;"},"</f>
        <v>"wckm":{"label":"Hammerhead Sharks","extra":"The name for these sharks comes from the unusual shape of their heads.","sets":"Junior 9+ (2nd)"},</v>
      </c>
      <c r="E755" s="9" t="str">
        <f t="shared" si="2"/>
        <v>data:image/svg+xml,%3csvg xmlns='http://www.w3.org/2000/svg' viewBox='0 0 24 216'%3e%3ctext fill='%23fff' style='font: 900 16px sans-serif' text-anchor='end' transform='matrix(0 -1 1 0 18 5)'%3eHammerhead Sharks%3c/text%3e%3c/svg%3e</v>
      </c>
      <c r="F755" s="14" t="str">
        <f t="shared" si="3"/>
        <v>https://svgtext.heliohost.us/cgi-bin/gen.perl?text=Hammerhead%20Sharks</v>
      </c>
      <c r="G755" s="11" t="str">
        <f t="shared" si="4"/>
        <v>data:image/svg+xml,%3csvg xmlns='http://www.w3.org/2000/svg' viewBox='0 0 24 216'%3e%3ctext fill='%23fff' style='font: 900 16px sans-serif' text-anchor='end' transform='matrix(0 -1 1 0 18 5)'%3eHammerhead Sharks%3c/text%3e%3c/svg%3e</v>
      </c>
      <c r="H755" s="8" t="s">
        <v>32</v>
      </c>
      <c r="I755" s="8">
        <f t="shared" ref="I755:J755" si="756">len(B755)</f>
        <v>17</v>
      </c>
      <c r="J755" s="8">
        <f t="shared" si="756"/>
        <v>70</v>
      </c>
      <c r="K755" s="8" t="s">
        <v>3961</v>
      </c>
    </row>
    <row r="756">
      <c r="A756" s="7" t="b">
        <v>1</v>
      </c>
      <c r="B756" s="8" t="s">
        <v>3962</v>
      </c>
      <c r="C756" s="7" t="s">
        <v>3963</v>
      </c>
      <c r="D756" s="8" t="str">
        <f>Q&amp;$K756&amp;Q&amp;":{"&amp;Q&amp;$B$2&amp;Q&amp;":"&amp;Q&amp;$B756&amp;Q&amp;","&amp;Q&amp;$C$2&amp;Q&amp;":"&amp;Q&amp;$C756&amp;Q&amp;","&amp;Q&amp;"sets"&amp;Q&amp;":"&amp;Q&amp;substitute(SUBSTITUTE($H756,"[",""),"]","")&amp;Q&amp;"},"</f>
        <v>"pcff":{"label":"Hammers","extra":"“I’d rather be a hammer than a nail.”","sets":"Junior 9+ (1st) &amp; (2nd)"},</v>
      </c>
      <c r="E756" s="9" t="str">
        <f t="shared" si="2"/>
        <v>data:image/svg+xml,%3csvg xmlns='http://www.w3.org/2000/svg' viewBox='0 0 24 216'%3e%3ctext fill='%23fff' style='font: 900 16px sans-serif' text-anchor='end' transform='matrix(0 -1 1 0 18 5)'%3eHammers%3c/text%3e%3c/svg%3e</v>
      </c>
      <c r="F756" s="14" t="str">
        <f t="shared" si="3"/>
        <v>https://svgtext.heliohost.us/cgi-bin/gen.perl?text=Hammers</v>
      </c>
      <c r="G756" s="11" t="str">
        <f t="shared" si="4"/>
        <v>data:image/svg+xml,%3csvg xmlns='http://www.w3.org/2000/svg' viewBox='0 0 24 216'%3e%3ctext fill='%23fff' style='font: 900 16px sans-serif' text-anchor='end' transform='matrix(0 -1 1 0 18 5)'%3eHammers%3c/text%3e%3c/svg%3e</v>
      </c>
      <c r="H756" s="8" t="s">
        <v>42</v>
      </c>
      <c r="I756" s="8">
        <f t="shared" ref="I756:J756" si="757">len(B756)</f>
        <v>7</v>
      </c>
      <c r="J756" s="8">
        <f t="shared" si="757"/>
        <v>37</v>
      </c>
      <c r="K756" s="8" t="s">
        <v>3964</v>
      </c>
    </row>
    <row r="757">
      <c r="A757" s="7" t="b">
        <v>1</v>
      </c>
      <c r="B757" s="8" t="s">
        <v>3965</v>
      </c>
      <c r="C757" s="8" t="s">
        <v>3966</v>
      </c>
      <c r="D757" s="8" t="str">
        <f>Q&amp;$K757&amp;Q&amp;":{"&amp;Q&amp;$B$2&amp;Q&amp;":"&amp;Q&amp;$B757&amp;Q&amp;","&amp;Q&amp;$C$2&amp;Q&amp;":"&amp;Q&amp;$C757&amp;Q&amp;","&amp;Q&amp;"sets"&amp;Q&amp;":"&amp;Q&amp;substitute(SUBSTITUTE($H757,"[",""),"]","")&amp;Q&amp;"},"</f>
        <v>"fnel":{"label":"Hamsters","extra":"These little rodents store food in their cheeks.","sets":"Junior 9+ (2nd)"},</v>
      </c>
      <c r="E757" s="9" t="str">
        <f t="shared" si="2"/>
        <v>data:image/svg+xml,%3csvg xmlns='http://www.w3.org/2000/svg' viewBox='0 0 24 216'%3e%3ctext fill='%23fff' style='font: 900 16px sans-serif' text-anchor='end' transform='matrix(0 -1 1 0 18 5)'%3eHamsters%3c/text%3e%3c/svg%3e</v>
      </c>
      <c r="F757" s="14" t="str">
        <f t="shared" si="3"/>
        <v>https://svgtext.heliohost.us/cgi-bin/gen.perl?text=Hamsters</v>
      </c>
      <c r="G757" s="11" t="str">
        <f t="shared" si="4"/>
        <v>data:image/svg+xml,%3csvg xmlns='http://www.w3.org/2000/svg' viewBox='0 0 24 216'%3e%3ctext fill='%23fff' style='font: 900 16px sans-serif' text-anchor='end' transform='matrix(0 -1 1 0 18 5)'%3eHamsters%3c/text%3e%3c/svg%3e</v>
      </c>
      <c r="H757" s="8" t="s">
        <v>32</v>
      </c>
      <c r="I757" s="8">
        <f t="shared" ref="I757:J757" si="758">len(B757)</f>
        <v>8</v>
      </c>
      <c r="J757" s="8">
        <f t="shared" si="758"/>
        <v>48</v>
      </c>
      <c r="K757" s="8" t="s">
        <v>3967</v>
      </c>
    </row>
    <row r="758">
      <c r="A758" s="7" t="b">
        <v>0</v>
      </c>
      <c r="B758" s="8" t="s">
        <v>3968</v>
      </c>
      <c r="C758" s="8" t="s">
        <v>3969</v>
      </c>
      <c r="D758" s="8" t="str">
        <f>Q&amp;$K758&amp;Q&amp;":{"&amp;Q&amp;$B$2&amp;Q&amp;":"&amp;Q&amp;$B758&amp;Q&amp;","&amp;Q&amp;$C$2&amp;Q&amp;":"&amp;Q&amp;$C758&amp;Q&amp;","&amp;Q&amp;"sets"&amp;Q&amp;":"&amp;Q&amp;substitute(SUBSTITUTE($H758,"[",""),"]","")&amp;Q&amp;"},"</f>
        <v>"eszb":{"label":"Hand Grenades","extra":"Close only counts in horseshoes and hand grenades!","sets":"Expansion Set 2, Party Set"},</v>
      </c>
      <c r="E758" s="9" t="str">
        <f t="shared" si="2"/>
        <v>data:image/svg+xml,%3csvg xmlns='http://www.w3.org/2000/svg' viewBox='0 0 24 216'%3e%3ctext fill='%23fff' style='font: 900 16px sans-serif' text-anchor='end' transform='matrix(0 -1 1 0 18 5)'%3eHand Grenades%3c/text%3e%3c/svg%3e</v>
      </c>
      <c r="F758" s="14" t="str">
        <f t="shared" si="3"/>
        <v>https://svgtext.heliohost.us/cgi-bin/gen.perl?text=Hand%20Grenades</v>
      </c>
      <c r="G758" s="11" t="str">
        <f t="shared" si="4"/>
        <v>data:image/svg+xml,%3csvg xmlns='http://www.w3.org/2000/svg' viewBox='0 0 24 216'%3e%3ctext fill='%23fff' style='font: 900 16px sans-serif' text-anchor='end' transform='matrix(0 -1 1 0 18 5)'%3eHand Grenades%3c/text%3e%3c/svg%3e</v>
      </c>
      <c r="H758" s="8" t="s">
        <v>17</v>
      </c>
      <c r="I758" s="8">
        <f t="shared" ref="I758:J758" si="759">len(B758)</f>
        <v>13</v>
      </c>
      <c r="J758" s="8">
        <f t="shared" si="759"/>
        <v>50</v>
      </c>
      <c r="K758" s="8" t="s">
        <v>3970</v>
      </c>
    </row>
    <row r="759">
      <c r="A759" s="7" t="b">
        <v>0</v>
      </c>
      <c r="B759" s="8" t="s">
        <v>3971</v>
      </c>
      <c r="C759" s="7" t="s">
        <v>3972</v>
      </c>
      <c r="D759" s="8" t="str">
        <f>Q&amp;$K759&amp;Q&amp;":{"&amp;Q&amp;$B$2&amp;Q&amp;":"&amp;Q&amp;$B759&amp;Q&amp;","&amp;Q&amp;$C$2&amp;Q&amp;":"&amp;Q&amp;$C759&amp;Q&amp;","&amp;Q&amp;"sets"&amp;Q&amp;":"&amp;Q&amp;substitute(SUBSTITUTE($H759,"[",""),"]","")&amp;Q&amp;"},"</f>
        <v>"ocyx":{"label":"Handcuffs","extra":"“You have the right to remain silent…”","sets":"Basic Set, Party Set"},</v>
      </c>
      <c r="E759" s="9" t="str">
        <f t="shared" si="2"/>
        <v>data:image/svg+xml,%3csvg xmlns='http://www.w3.org/2000/svg' viewBox='0 0 24 216'%3e%3ctext fill='%23fff' style='font: 900 16px sans-serif' text-anchor='end' transform='matrix(0 -1 1 0 18 5)'%3eHandcuffs%3c/text%3e%3c/svg%3e</v>
      </c>
      <c r="F759" s="14" t="str">
        <f t="shared" si="3"/>
        <v>https://svgtext.heliohost.us/cgi-bin/gen.perl?text=Handcuffs</v>
      </c>
      <c r="G759" s="11" t="str">
        <f t="shared" si="4"/>
        <v>data:image/svg+xml,%3csvg xmlns='http://www.w3.org/2000/svg' viewBox='0 0 24 216'%3e%3ctext fill='%23fff' style='font: 900 16px sans-serif' text-anchor='end' transform='matrix(0 -1 1 0 18 5)'%3eHandcuffs%3c/text%3e%3c/svg%3e</v>
      </c>
      <c r="H759" s="8" t="s">
        <v>29</v>
      </c>
      <c r="I759" s="8">
        <f t="shared" ref="I759:J759" si="760">len(B759)</f>
        <v>9</v>
      </c>
      <c r="J759" s="8">
        <f t="shared" si="760"/>
        <v>38</v>
      </c>
      <c r="K759" s="8" t="s">
        <v>3973</v>
      </c>
    </row>
    <row r="760">
      <c r="A760" s="7" t="b">
        <v>0</v>
      </c>
      <c r="B760" s="8" t="s">
        <v>3974</v>
      </c>
      <c r="C760" s="8" t="s">
        <v>3975</v>
      </c>
      <c r="D760" s="8" t="str">
        <f>Q&amp;$K760&amp;Q&amp;":{"&amp;Q&amp;$B$2&amp;Q&amp;":"&amp;Q&amp;$B760&amp;Q&amp;","&amp;Q&amp;$C$2&amp;Q&amp;":"&amp;Q&amp;$C760&amp;Q&amp;","&amp;Q&amp;"sets"&amp;Q&amp;":"&amp;Q&amp;substitute(SUBSTITUTE($H760,"[",""),"]","")&amp;Q&amp;"},"</f>
        <v>"bnwo":{"label":"Handguns","extra":"Source of a never-ending controversy as to how to get them out of the hands of the bad guys and into the hands of the good guys.","sets":"Expansion Set 1, Party Set"},</v>
      </c>
      <c r="E760" s="9" t="str">
        <f t="shared" si="2"/>
        <v>data:image/svg+xml,%3csvg xmlns='http://www.w3.org/2000/svg' viewBox='0 0 24 216'%3e%3ctext fill='%23fff' style='font: 900 16px sans-serif' text-anchor='end' transform='matrix(0 -1 1 0 18 5)'%3eHandguns%3c/text%3e%3c/svg%3e</v>
      </c>
      <c r="F760" s="14" t="str">
        <f t="shared" si="3"/>
        <v>https://svgtext.heliohost.us/cgi-bin/gen.perl?text=Handguns</v>
      </c>
      <c r="G760" s="11" t="str">
        <f t="shared" si="4"/>
        <v>data:image/svg+xml,%3csvg xmlns='http://www.w3.org/2000/svg' viewBox='0 0 24 216'%3e%3ctext fill='%23fff' style='font: 900 16px sans-serif' text-anchor='end' transform='matrix(0 -1 1 0 18 5)'%3eHandguns%3c/text%3e%3c/svg%3e</v>
      </c>
      <c r="H760" s="8" t="s">
        <v>25</v>
      </c>
      <c r="I760" s="8">
        <f t="shared" ref="I760:J760" si="761">len(B760)</f>
        <v>8</v>
      </c>
      <c r="J760" s="8">
        <f t="shared" si="761"/>
        <v>128</v>
      </c>
      <c r="K760" s="8" t="s">
        <v>3976</v>
      </c>
    </row>
    <row r="761">
      <c r="A761" s="7" t="b">
        <v>1</v>
      </c>
      <c r="B761" s="8" t="s">
        <v>3977</v>
      </c>
      <c r="C761" s="7" t="s">
        <v>3978</v>
      </c>
      <c r="D761" s="8" t="str">
        <f>Q&amp;$K761&amp;Q&amp;":{"&amp;Q&amp;$B$2&amp;Q&amp;":"&amp;Q&amp;$B761&amp;Q&amp;","&amp;Q&amp;$C$2&amp;Q&amp;":"&amp;Q&amp;$C761&amp;Q&amp;","&amp;Q&amp;"sets"&amp;Q&amp;":"&amp;Q&amp;substitute(SUBSTITUTE($H761,"[",""),"]","")&amp;Q&amp;"},"</f>
        <v>"pwnj":{"label":"Hang Gliding","extra":"Trust us. It’s a breeze.","sets":"Expansion Set 3, Party Expansion 1"},</v>
      </c>
      <c r="E761" s="9" t="str">
        <f t="shared" si="2"/>
        <v>data:image/svg+xml,%3csvg xmlns='http://www.w3.org/2000/svg' viewBox='0 0 24 216'%3e%3ctext fill='%23fff' style='font: 900 16px sans-serif' text-anchor='end' transform='matrix(0 -1 1 0 18 5)'%3eHang Gliding%3c/text%3e%3c/svg%3e</v>
      </c>
      <c r="F761" s="14" t="str">
        <f t="shared" si="3"/>
        <v>https://svgtext.heliohost.us/cgi-bin/gen.perl?text=Hang%20Gliding</v>
      </c>
      <c r="G761" s="11" t="str">
        <f t="shared" si="4"/>
        <v>data:image/svg+xml,%3csvg xmlns='http://www.w3.org/2000/svg' viewBox='0 0 24 216'%3e%3ctext fill='%23fff' style='font: 900 16px sans-serif' text-anchor='end' transform='matrix(0 -1 1 0 18 5)'%3eHang Gliding%3c/text%3e%3c/svg%3e</v>
      </c>
      <c r="H761" s="8" t="s">
        <v>39</v>
      </c>
      <c r="I761" s="8">
        <f t="shared" ref="I761:J761" si="762">len(B761)</f>
        <v>12</v>
      </c>
      <c r="J761" s="8">
        <f t="shared" si="762"/>
        <v>24</v>
      </c>
      <c r="K761" s="8" t="s">
        <v>3979</v>
      </c>
    </row>
    <row r="762">
      <c r="A762" s="7" t="b">
        <v>0</v>
      </c>
      <c r="B762" s="8" t="s">
        <v>3980</v>
      </c>
      <c r="C762" s="7" t="s">
        <v>3981</v>
      </c>
      <c r="D762" s="8" t="str">
        <f>Q&amp;$K762&amp;Q&amp;":{"&amp;Q&amp;$B$2&amp;Q&amp;":"&amp;Q&amp;$B762&amp;Q&amp;","&amp;Q&amp;$C$2&amp;Q&amp;":"&amp;Q&amp;$C762&amp;Q&amp;","&amp;Q&amp;"sets"&amp;Q&amp;":"&amp;Q&amp;substitute(SUBSTITUTE($H762,"[",""),"]","")&amp;Q&amp;"},"</f>
        <v>"zxku":{"label":"Hangnails","extra":"We’ve fingered the cause of the pain.","sets":"Basic Set, Party Set"},</v>
      </c>
      <c r="E762" s="9" t="str">
        <f t="shared" si="2"/>
        <v>data:image/svg+xml,%3csvg xmlns='http://www.w3.org/2000/svg' viewBox='0 0 24 216'%3e%3ctext fill='%23fff' style='font: 900 16px sans-serif' text-anchor='end' transform='matrix(0 -1 1 0 18 5)'%3eHangnails%3c/text%3e%3c/svg%3e</v>
      </c>
      <c r="F762" s="14" t="str">
        <f t="shared" si="3"/>
        <v>https://svgtext.heliohost.us/cgi-bin/gen.perl?text=Hangnails</v>
      </c>
      <c r="G762" s="11" t="str">
        <f t="shared" si="4"/>
        <v>data:image/svg+xml,%3csvg xmlns='http://www.w3.org/2000/svg' viewBox='0 0 24 216'%3e%3ctext fill='%23fff' style='font: 900 16px sans-serif' text-anchor='end' transform='matrix(0 -1 1 0 18 5)'%3eHangnails%3c/text%3e%3c/svg%3e</v>
      </c>
      <c r="H762" s="8" t="s">
        <v>29</v>
      </c>
      <c r="I762" s="8">
        <f t="shared" ref="I762:J762" si="763">len(B762)</f>
        <v>9</v>
      </c>
      <c r="J762" s="8">
        <f t="shared" si="763"/>
        <v>37</v>
      </c>
      <c r="K762" s="8" t="s">
        <v>3982</v>
      </c>
    </row>
    <row r="763">
      <c r="A763" s="7" t="b">
        <v>1</v>
      </c>
      <c r="B763" s="8" t="s">
        <v>3983</v>
      </c>
      <c r="C763" s="7" t="s">
        <v>3984</v>
      </c>
      <c r="D763" s="8" t="str">
        <f>Q&amp;$K763&amp;Q&amp;":{"&amp;Q&amp;$B$2&amp;Q&amp;":"&amp;Q&amp;$B763&amp;Q&amp;","&amp;Q&amp;$C$2&amp;Q&amp;":"&amp;Q&amp;$C763&amp;Q&amp;","&amp;Q&amp;"sets"&amp;Q&amp;":"&amp;Q&amp;substitute(SUBSTITUTE($H763,"[",""),"]","")&amp;Q&amp;"},"</f>
        <v>"hjir":{"label":"Hansel &amp; Gretel","extra":"One of Grimm’s grimmer fairy tales.","sets":"Expansion Set 4, Party Expansion 1"},</v>
      </c>
      <c r="E763" s="9" t="str">
        <f t="shared" si="2"/>
        <v>data:image/svg+xml,%3csvg xmlns='http://www.w3.org/2000/svg' viewBox='0 0 24 216'%3e%3ctext fill='%23fff' style='font: 900 16px sans-serif' text-anchor='end' transform='matrix(0 -1 1 0 18 5)'%3eHansel %26amp%3B Gretel%3c/text%3e%3c/svg%3e</v>
      </c>
      <c r="F763" s="14" t="str">
        <f t="shared" si="3"/>
        <v>https://svgtext.heliohost.us/cgi-bin/gen.perl?text=Hansel%20%26%20Gretel</v>
      </c>
      <c r="G763" s="11" t="str">
        <f t="shared" si="4"/>
        <v>data:image/svg+xml,%3csvg xmlns='http://www.w3.org/2000/svg' viewBox='0 0 24 216'%3e%3ctext fill='%23fff' style='font: 900 16px sans-serif' text-anchor='end' transform='matrix(0 -1 1 0 18 5)'%3eHansel %26amp%3B Gretel%3c/text%3e%3c/svg%3e</v>
      </c>
      <c r="H763" s="8" t="s">
        <v>63</v>
      </c>
      <c r="I763" s="8">
        <f t="shared" ref="I763:J763" si="764">len(B763)</f>
        <v>15</v>
      </c>
      <c r="J763" s="8">
        <f t="shared" si="764"/>
        <v>35</v>
      </c>
      <c r="K763" s="8" t="s">
        <v>3985</v>
      </c>
    </row>
    <row r="764">
      <c r="A764" s="7" t="b">
        <v>1</v>
      </c>
      <c r="B764" s="8" t="s">
        <v>3986</v>
      </c>
      <c r="C764" s="8" t="s">
        <v>3987</v>
      </c>
      <c r="D764" s="8" t="str">
        <f>Q&amp;$K764&amp;Q&amp;":{"&amp;Q&amp;$B$2&amp;Q&amp;":"&amp;Q&amp;$B764&amp;Q&amp;","&amp;Q&amp;$C$2&amp;Q&amp;":"&amp;Q&amp;$C764&amp;Q&amp;","&amp;Q&amp;"sets"&amp;Q&amp;":"&amp;Q&amp;substitute(SUBSTITUTE($H764,"[",""),"]","")&amp;Q&amp;"},"</f>
        <v>"nvkg":{"label":"Hanukkah","extra":"An eight day long Jewish celebration that usually occurs in December.","sets":"Junior"},</v>
      </c>
      <c r="E764" s="9" t="str">
        <f t="shared" si="2"/>
        <v>data:image/svg+xml,%3csvg xmlns='http://www.w3.org/2000/svg' viewBox='0 0 24 216'%3e%3ctext fill='%23fff' style='font: 900 16px sans-serif' text-anchor='end' transform='matrix(0 -1 1 0 18 5)'%3eHanukkah%3c/text%3e%3c/svg%3e</v>
      </c>
      <c r="F764" s="14" t="str">
        <f t="shared" si="3"/>
        <v>https://svgtext.heliohost.us/cgi-bin/gen.perl?text=Hanukkah</v>
      </c>
      <c r="G764" s="11" t="str">
        <f t="shared" si="4"/>
        <v>data:image/svg+xml,%3csvg xmlns='http://www.w3.org/2000/svg' viewBox='0 0 24 216'%3e%3ctext fill='%23fff' style='font: 900 16px sans-serif' text-anchor='end' transform='matrix(0 -1 1 0 18 5)'%3eHanukkah%3c/text%3e%3c/svg%3e</v>
      </c>
      <c r="H764" s="8" t="s">
        <v>84</v>
      </c>
      <c r="I764" s="8">
        <f t="shared" ref="I764:J764" si="765">len(B764)</f>
        <v>8</v>
      </c>
      <c r="J764" s="8">
        <f t="shared" si="765"/>
        <v>69</v>
      </c>
      <c r="K764" s="8" t="s">
        <v>3988</v>
      </c>
    </row>
    <row r="765">
      <c r="A765" s="7" t="b">
        <v>1</v>
      </c>
      <c r="B765" s="8" t="s">
        <v>3989</v>
      </c>
      <c r="C765" s="7" t="s">
        <v>3990</v>
      </c>
      <c r="D765" s="8" t="str">
        <f>Q&amp;$K765&amp;Q&amp;":{"&amp;Q&amp;$B$2&amp;Q&amp;":"&amp;Q&amp;$B765&amp;Q&amp;","&amp;Q&amp;$C$2&amp;Q&amp;":"&amp;Q&amp;$C765&amp;Q&amp;","&amp;Q&amp;"sets"&amp;Q&amp;":"&amp;Q&amp;substitute(SUBSTITUTE($H765,"[",""),"]","")&amp;Q&amp;"},"</f>
        <v>"bcme":{"label":"Hard Boiled Eggs","extra":"Well, I’ll be deviled…","sets":"Expansion Set 3, Party Expansion 1"},</v>
      </c>
      <c r="E765" s="9" t="str">
        <f t="shared" si="2"/>
        <v>data:image/svg+xml,%3csvg xmlns='http://www.w3.org/2000/svg' viewBox='0 0 24 216'%3e%3ctext fill='%23fff' style='font: 900 16px sans-serif' text-anchor='end' transform='matrix(0 -1 1 0 18 5)'%3eHard Boiled Eggs%3c/text%3e%3c/svg%3e</v>
      </c>
      <c r="F765" s="14" t="str">
        <f t="shared" si="3"/>
        <v>https://svgtext.heliohost.us/cgi-bin/gen.perl?text=Hard%20Boiled%20Eggs</v>
      </c>
      <c r="G765" s="11" t="str">
        <f t="shared" si="4"/>
        <v>data:image/svg+xml,%3csvg xmlns='http://www.w3.org/2000/svg' viewBox='0 0 24 216'%3e%3ctext fill='%23fff' style='font: 900 16px sans-serif' text-anchor='end' transform='matrix(0 -1 1 0 18 5)'%3eHard Boiled Eggs%3c/text%3e%3c/svg%3e</v>
      </c>
      <c r="H765" s="8" t="s">
        <v>39</v>
      </c>
      <c r="I765" s="8">
        <f t="shared" ref="I765:J765" si="766">len(B765)</f>
        <v>16</v>
      </c>
      <c r="J765" s="8">
        <f t="shared" si="766"/>
        <v>22</v>
      </c>
      <c r="K765" s="8" t="s">
        <v>3991</v>
      </c>
    </row>
    <row r="766">
      <c r="A766" s="7" t="b">
        <v>1</v>
      </c>
      <c r="B766" s="8" t="s">
        <v>3992</v>
      </c>
      <c r="C766" s="7" t="s">
        <v>3993</v>
      </c>
      <c r="D766" s="8" t="str">
        <f>Q&amp;$K766&amp;Q&amp;":{"&amp;Q&amp;$B$2&amp;Q&amp;":"&amp;Q&amp;$B766&amp;Q&amp;","&amp;Q&amp;$C$2&amp;Q&amp;":"&amp;Q&amp;$C766&amp;Q&amp;","&amp;Q&amp;"sets"&amp;Q&amp;":"&amp;Q&amp;substitute(SUBSTITUTE($H766,"[",""),"]","")&amp;Q&amp;"},"</f>
        <v>"ejjk":{"label":"Harrison Ford","extra":"1942-, Iconic American actor. “Hokey religions and ancient weapons are no match for a blaster at your side, kid.”","sets":"Expansion Set 3, Party Expansion 1"},</v>
      </c>
      <c r="E766" s="9" t="str">
        <f t="shared" si="2"/>
        <v>data:image/svg+xml,%3csvg xmlns='http://www.w3.org/2000/svg' viewBox='0 0 24 216'%3e%3ctext fill='%23fff' style='font: 900 16px sans-serif' text-anchor='end' transform='matrix(0 -1 1 0 18 5)'%3eHarrison Ford%3c/text%3e%3c/svg%3e</v>
      </c>
      <c r="F766" s="14" t="str">
        <f t="shared" si="3"/>
        <v>https://svgtext.heliohost.us/cgi-bin/gen.perl?text=Harrison%20Ford</v>
      </c>
      <c r="G766" s="11" t="str">
        <f t="shared" si="4"/>
        <v>data:image/svg+xml,%3csvg xmlns='http://www.w3.org/2000/svg' viewBox='0 0 24 216'%3e%3ctext fill='%23fff' style='font: 900 16px sans-serif' text-anchor='end' transform='matrix(0 -1 1 0 18 5)'%3eHarrison Ford%3c/text%3e%3c/svg%3e</v>
      </c>
      <c r="H766" s="8" t="s">
        <v>39</v>
      </c>
      <c r="I766" s="8">
        <f t="shared" ref="I766:J766" si="767">len(B766)</f>
        <v>13</v>
      </c>
      <c r="J766" s="8">
        <f t="shared" si="767"/>
        <v>113</v>
      </c>
      <c r="K766" s="8" t="s">
        <v>3994</v>
      </c>
    </row>
    <row r="767">
      <c r="A767" s="7" t="b">
        <v>1</v>
      </c>
      <c r="B767" s="8" t="s">
        <v>3995</v>
      </c>
      <c r="C767" s="8" t="s">
        <v>3996</v>
      </c>
      <c r="D767" s="8" t="str">
        <f>Q&amp;$K767&amp;Q&amp;":{"&amp;Q&amp;$B$2&amp;Q&amp;":"&amp;Q&amp;$B767&amp;Q&amp;","&amp;Q&amp;$C$2&amp;Q&amp;":"&amp;Q&amp;$C767&amp;Q&amp;","&amp;Q&amp;"sets"&amp;Q&amp;":"&amp;Q&amp;substitute(SUBSTITUTE($H767,"[",""),"]","")&amp;Q&amp;"},"</f>
        <v>"goen":{"label":"Harry Potter","extra":"The hero in a series of books by J.K. Rowling featuring muggles and wizards.","sets":"Expansion Set 3, Party Expansion 1"},</v>
      </c>
      <c r="E767" s="9" t="str">
        <f t="shared" si="2"/>
        <v>data:image/svg+xml,%3csvg xmlns='http://www.w3.org/2000/svg' viewBox='0 0 24 216'%3e%3ctext fill='%23fff' style='font: 900 16px sans-serif' text-anchor='end' transform='matrix(0 -1 1 0 18 5)'%3eHarry Potter%3c/text%3e%3c/svg%3e</v>
      </c>
      <c r="F767" s="14" t="str">
        <f t="shared" si="3"/>
        <v>https://svgtext.heliohost.us/cgi-bin/gen.perl?text=Harry%20Potter</v>
      </c>
      <c r="G767" s="11" t="str">
        <f t="shared" si="4"/>
        <v>data:image/svg+xml,%3csvg xmlns='http://www.w3.org/2000/svg' viewBox='0 0 24 216'%3e%3ctext fill='%23fff' style='font: 900 16px sans-serif' text-anchor='end' transform='matrix(0 -1 1 0 18 5)'%3eHarry Potter%3c/text%3e%3c/svg%3e</v>
      </c>
      <c r="H767" s="8" t="s">
        <v>39</v>
      </c>
      <c r="I767" s="8">
        <f t="shared" ref="I767:J767" si="768">len(B767)</f>
        <v>12</v>
      </c>
      <c r="J767" s="8">
        <f t="shared" si="768"/>
        <v>76</v>
      </c>
      <c r="K767" s="8" t="s">
        <v>3997</v>
      </c>
    </row>
    <row r="768">
      <c r="A768" s="7" t="b">
        <v>0</v>
      </c>
      <c r="B768" s="8" t="s">
        <v>3995</v>
      </c>
      <c r="C768" s="8" t="s">
        <v>3998</v>
      </c>
      <c r="D768" s="8" t="str">
        <f>Q&amp;$K768&amp;Q&amp;":{"&amp;Q&amp;$B$2&amp;Q&amp;":"&amp;Q&amp;$B768&amp;Q&amp;","&amp;Q&amp;$C$2&amp;Q&amp;":"&amp;Q&amp;$C768&amp;Q&amp;","&amp;Q&amp;"sets"&amp;Q&amp;":"&amp;Q&amp;substitute(SUBSTITUTE($H768,"[",""),"]","")&amp;Q&amp;"},"</f>
        <v>"yajt":{"label":"Harry Potter","extra":"The hero in a series of books by J.K. Rowling featuring wizards and muggles.","sets":"Junior 9+ (1st) &amp; (2nd)"},</v>
      </c>
      <c r="E768" s="9" t="str">
        <f t="shared" si="2"/>
        <v>data:image/svg+xml,%3csvg xmlns='http://www.w3.org/2000/svg' viewBox='0 0 24 216'%3e%3ctext fill='%23fff' style='font: 900 16px sans-serif' text-anchor='end' transform='matrix(0 -1 1 0 18 5)'%3eHarry Potter%3c/text%3e%3c/svg%3e</v>
      </c>
      <c r="F768" s="14" t="str">
        <f t="shared" si="3"/>
        <v>https://svgtext.heliohost.us/cgi-bin/gen.perl?text=Harry%20Potter</v>
      </c>
      <c r="G768" s="11" t="str">
        <f t="shared" si="4"/>
        <v>data:image/svg+xml,%3csvg xmlns='http://www.w3.org/2000/svg' viewBox='0 0 24 216'%3e%3ctext fill='%23fff' style='font: 900 16px sans-serif' text-anchor='end' transform='matrix(0 -1 1 0 18 5)'%3eHarry Potter%3c/text%3e%3c/svg%3e</v>
      </c>
      <c r="H768" s="8" t="s">
        <v>42</v>
      </c>
      <c r="I768" s="8">
        <f t="shared" ref="I768:J768" si="769">len(B768)</f>
        <v>12</v>
      </c>
      <c r="J768" s="8">
        <f t="shared" si="769"/>
        <v>76</v>
      </c>
      <c r="K768" s="8" t="s">
        <v>3999</v>
      </c>
    </row>
    <row r="769">
      <c r="A769" s="7" t="b">
        <v>1</v>
      </c>
      <c r="B769" s="8" t="s">
        <v>4000</v>
      </c>
      <c r="C769" s="7" t="s">
        <v>4001</v>
      </c>
      <c r="D769" s="8" t="str">
        <f>Q&amp;$K769&amp;Q&amp;":{"&amp;Q&amp;$B$2&amp;Q&amp;":"&amp;Q&amp;$B769&amp;Q&amp;","&amp;Q&amp;$C$2&amp;Q&amp;":"&amp;Q&amp;$C769&amp;Q&amp;","&amp;Q&amp;"sets"&amp;Q&amp;":"&amp;Q&amp;substitute(SUBSTITUTE($H769,"[",""),"]","")&amp;Q&amp;"},"</f>
        <v>"rjdg":{"label":"Harvard &amp; Yale","extra":"“What? Like it's hard?” —Reese Witherspoon, Legally Blond","sets":"Expansion Set 4, Party Expansion 1"},</v>
      </c>
      <c r="E769" s="9" t="str">
        <f t="shared" si="2"/>
        <v>data:image/svg+xml,%3csvg xmlns='http://www.w3.org/2000/svg' viewBox='0 0 24 216'%3e%3ctext fill='%23fff' style='font: 900 16px sans-serif' text-anchor='end' transform='matrix(0 -1 1 0 18 5)'%3eHarvard %26amp%3B Yale%3c/text%3e%3c/svg%3e</v>
      </c>
      <c r="F769" s="14" t="str">
        <f t="shared" si="3"/>
        <v>https://svgtext.heliohost.us/cgi-bin/gen.perl?text=Harvard%20%26%20Yale</v>
      </c>
      <c r="G769" s="11" t="str">
        <f t="shared" si="4"/>
        <v>data:image/svg+xml,%3csvg xmlns='http://www.w3.org/2000/svg' viewBox='0 0 24 216'%3e%3ctext fill='%23fff' style='font: 900 16px sans-serif' text-anchor='end' transform='matrix(0 -1 1 0 18 5)'%3eHarvard %26amp%3B Yale%3c/text%3e%3c/svg%3e</v>
      </c>
      <c r="H769" s="8" t="s">
        <v>63</v>
      </c>
      <c r="I769" s="8">
        <f t="shared" ref="I769:J769" si="770">len(B769)</f>
        <v>14</v>
      </c>
      <c r="J769" s="8">
        <f t="shared" si="770"/>
        <v>57</v>
      </c>
      <c r="K769" s="8" t="s">
        <v>4002</v>
      </c>
    </row>
    <row r="770">
      <c r="A770" s="7" t="b">
        <v>1</v>
      </c>
      <c r="B770" s="8" t="s">
        <v>4003</v>
      </c>
      <c r="C770" s="7" t="s">
        <v>4004</v>
      </c>
      <c r="D770" s="8" t="str">
        <f>Q&amp;$K770&amp;Q&amp;":{"&amp;Q&amp;$B$2&amp;Q&amp;":"&amp;Q&amp;$B770&amp;Q&amp;","&amp;Q&amp;$C$2&amp;Q&amp;":"&amp;Q&amp;$C770&amp;Q&amp;","&amp;Q&amp;"sets"&amp;Q&amp;":"&amp;Q&amp;substitute(SUBSTITUTE($H770,"[",""),"]","")&amp;Q&amp;"},"</f>
        <v>"stgz":{"label":"Haunted House","extra":"If there’s a ghost—it's haunted!","sets":"Junior 9+ (2nd)"},</v>
      </c>
      <c r="E770" s="9" t="str">
        <f t="shared" si="2"/>
        <v>data:image/svg+xml,%3csvg xmlns='http://www.w3.org/2000/svg' viewBox='0 0 24 216'%3e%3ctext fill='%23fff' style='font: 900 16px sans-serif' text-anchor='end' transform='matrix(0 -1 1 0 18 5)'%3eHaunted House%3c/text%3e%3c/svg%3e</v>
      </c>
      <c r="F770" s="14" t="str">
        <f t="shared" si="3"/>
        <v>https://svgtext.heliohost.us/cgi-bin/gen.perl?text=Haunted%20House</v>
      </c>
      <c r="G770" s="11" t="str">
        <f t="shared" si="4"/>
        <v>data:image/svg+xml,%3csvg xmlns='http://www.w3.org/2000/svg' viewBox='0 0 24 216'%3e%3ctext fill='%23fff' style='font: 900 16px sans-serif' text-anchor='end' transform='matrix(0 -1 1 0 18 5)'%3eHaunted House%3c/text%3e%3c/svg%3e</v>
      </c>
      <c r="H770" s="8" t="s">
        <v>32</v>
      </c>
      <c r="I770" s="8">
        <f t="shared" ref="I770:J770" si="771">len(B770)</f>
        <v>13</v>
      </c>
      <c r="J770" s="8">
        <f t="shared" si="771"/>
        <v>32</v>
      </c>
      <c r="K770" s="8" t="s">
        <v>4005</v>
      </c>
    </row>
    <row r="771">
      <c r="A771" s="7" t="b">
        <v>0</v>
      </c>
      <c r="B771" s="8" t="s">
        <v>4006</v>
      </c>
      <c r="C771" s="7" t="s">
        <v>4007</v>
      </c>
      <c r="D771" s="8" t="str">
        <f>Q&amp;$K771&amp;Q&amp;":{"&amp;Q&amp;$B$2&amp;Q&amp;":"&amp;Q&amp;$B771&amp;Q&amp;","&amp;Q&amp;$C$2&amp;Q&amp;":"&amp;Q&amp;$C771&amp;Q&amp;","&amp;Q&amp;"sets"&amp;Q&amp;":"&amp;Q&amp;substitute(SUBSTITUTE($H771,"[",""),"]","")&amp;Q&amp;"},"</f>
        <v>"cxaq":{"label":"Having A Baby","extra":"“Rock-a-bye baby, on the tree top…” Who would put a kid on a tree top?","sets":"Expansion Set 1, Party Set"},</v>
      </c>
      <c r="E771" s="9" t="str">
        <f t="shared" si="2"/>
        <v>data:image/svg+xml,%3csvg xmlns='http://www.w3.org/2000/svg' viewBox='0 0 24 216'%3e%3ctext fill='%23fff' style='font: 900 16px sans-serif' text-anchor='end' transform='matrix(0 -1 1 0 18 5)'%3eHaving A Baby%3c/text%3e%3c/svg%3e</v>
      </c>
      <c r="F771" s="14" t="str">
        <f t="shared" si="3"/>
        <v>https://svgtext.heliohost.us/cgi-bin/gen.perl?text=Having%20A%20Baby</v>
      </c>
      <c r="G771" s="11" t="str">
        <f t="shared" si="4"/>
        <v>data:image/svg+xml,%3csvg xmlns='http://www.w3.org/2000/svg' viewBox='0 0 24 216'%3e%3ctext fill='%23fff' style='font: 900 16px sans-serif' text-anchor='end' transform='matrix(0 -1 1 0 18 5)'%3eHaving A Baby%3c/text%3e%3c/svg%3e</v>
      </c>
      <c r="H771" s="8" t="s">
        <v>25</v>
      </c>
      <c r="I771" s="8">
        <f t="shared" ref="I771:J771" si="772">len(B771)</f>
        <v>13</v>
      </c>
      <c r="J771" s="8">
        <f t="shared" si="772"/>
        <v>70</v>
      </c>
      <c r="K771" s="8" t="s">
        <v>4008</v>
      </c>
    </row>
    <row r="772">
      <c r="A772" s="7" t="b">
        <v>1</v>
      </c>
      <c r="B772" s="8" t="s">
        <v>4009</v>
      </c>
      <c r="C772" s="7" t="s">
        <v>4010</v>
      </c>
      <c r="D772" s="8" t="str">
        <f>Q&amp;$K772&amp;Q&amp;":{"&amp;Q&amp;$B$2&amp;Q&amp;":"&amp;Q&amp;$B772&amp;Q&amp;","&amp;Q&amp;$C$2&amp;Q&amp;":"&amp;Q&amp;$C772&amp;Q&amp;","&amp;Q&amp;"sets"&amp;Q&amp;":"&amp;Q&amp;substitute(SUBSTITUTE($H772,"[",""),"]","")&amp;Q&amp;"},"</f>
        <v>"qtbx":{"label":"Having A Party","extra":"Invitations, snacks, games, music… it’s a party!","sets":"Junior 9+ (2nd)"},</v>
      </c>
      <c r="E772" s="9" t="str">
        <f t="shared" si="2"/>
        <v>data:image/svg+xml,%3csvg xmlns='http://www.w3.org/2000/svg' viewBox='0 0 24 216'%3e%3ctext fill='%23fff' style='font: 900 16px sans-serif' text-anchor='end' transform='matrix(0 -1 1 0 18 5)'%3eHaving A Party%3c/text%3e%3c/svg%3e</v>
      </c>
      <c r="F772" s="14" t="str">
        <f t="shared" si="3"/>
        <v>https://svgtext.heliohost.us/cgi-bin/gen.perl?text=Having%20A%20Party</v>
      </c>
      <c r="G772" s="11" t="str">
        <f t="shared" si="4"/>
        <v>data:image/svg+xml,%3csvg xmlns='http://www.w3.org/2000/svg' viewBox='0 0 24 216'%3e%3ctext fill='%23fff' style='font: 900 16px sans-serif' text-anchor='end' transform='matrix(0 -1 1 0 18 5)'%3eHaving A Party%3c/text%3e%3c/svg%3e</v>
      </c>
      <c r="H772" s="8" t="s">
        <v>32</v>
      </c>
      <c r="I772" s="8">
        <f t="shared" ref="I772:J772" si="773">len(B772)</f>
        <v>14</v>
      </c>
      <c r="J772" s="8">
        <f t="shared" si="773"/>
        <v>48</v>
      </c>
      <c r="K772" s="8" t="s">
        <v>4011</v>
      </c>
    </row>
    <row r="773">
      <c r="A773" s="7" t="b">
        <v>0</v>
      </c>
      <c r="B773" s="8" t="s">
        <v>4012</v>
      </c>
      <c r="C773" s="8" t="s">
        <v>4013</v>
      </c>
      <c r="D773" s="8" t="str">
        <f>Q&amp;$K773&amp;Q&amp;":{"&amp;Q&amp;$B$2&amp;Q&amp;":"&amp;Q&amp;$B773&amp;Q&amp;","&amp;Q&amp;$C$2&amp;Q&amp;":"&amp;Q&amp;$C773&amp;Q&amp;","&amp;Q&amp;"sets"&amp;Q&amp;":"&amp;Q&amp;substitute(SUBSTITUTE($H773,"[",""),"]","")&amp;Q&amp;"},"</f>
        <v>"jnwq":{"label":"Having An Operation","extra":"What a cutup! A real stitch.","sets":"Basic Set, Party Set"},</v>
      </c>
      <c r="E773" s="9" t="str">
        <f t="shared" si="2"/>
        <v>data:image/svg+xml,%3csvg xmlns='http://www.w3.org/2000/svg' viewBox='0 0 24 216'%3e%3ctext fill='%23fff' style='font: 900 16px sans-serif' text-anchor='end' transform='matrix(0 -1 1 0 18 5)'%3eHaving An Operation%3c/text%3e%3c/svg%3e</v>
      </c>
      <c r="F773" s="14" t="str">
        <f t="shared" si="3"/>
        <v>https://svgtext.heliohost.us/cgi-bin/gen.perl?text=Having%20An%20Operation</v>
      </c>
      <c r="G773" s="11" t="str">
        <f t="shared" si="4"/>
        <v>data:image/svg+xml,%3csvg xmlns='http://www.w3.org/2000/svg' viewBox='0 0 24 216'%3e%3ctext fill='%23fff' style='font: 900 16px sans-serif' text-anchor='end' transform='matrix(0 -1 1 0 18 5)'%3eHaving An Operation%3c/text%3e%3c/svg%3e</v>
      </c>
      <c r="H773" s="8" t="s">
        <v>29</v>
      </c>
      <c r="I773" s="8">
        <f t="shared" ref="I773:J773" si="774">len(B773)</f>
        <v>19</v>
      </c>
      <c r="J773" s="8">
        <f t="shared" si="774"/>
        <v>28</v>
      </c>
      <c r="K773" s="8" t="s">
        <v>4014</v>
      </c>
    </row>
    <row r="774">
      <c r="A774" s="7" t="b">
        <v>0</v>
      </c>
      <c r="B774" s="8" t="s">
        <v>4015</v>
      </c>
      <c r="C774" s="8" t="s">
        <v>4016</v>
      </c>
      <c r="D774" s="8" t="str">
        <f>Q&amp;$K774&amp;Q&amp;":{"&amp;Q&amp;$B$2&amp;Q&amp;":"&amp;Q&amp;$B774&amp;Q&amp;","&amp;Q&amp;$C$2&amp;Q&amp;":"&amp;Q&amp;$C774&amp;Q&amp;","&amp;Q&amp;"sets"&amp;Q&amp;":"&amp;Q&amp;substitute(SUBSTITUTE($H774,"[",""),"]","")&amp;Q&amp;"},"</f>
        <v>"vbre":{"label":"Hawaii","extra":"The eight islands that make up America's 50th state entered the Union on August 21, 1959.","sets":"Basic Set, Party Set"},</v>
      </c>
      <c r="E774" s="9" t="str">
        <f t="shared" si="2"/>
        <v>data:image/svg+xml,%3csvg xmlns='http://www.w3.org/2000/svg' viewBox='0 0 24 216'%3e%3ctext fill='%23fff' style='font: 900 16px sans-serif' text-anchor='end' transform='matrix(0 -1 1 0 18 5)'%3eHawaii%3c/text%3e%3c/svg%3e</v>
      </c>
      <c r="F774" s="14" t="str">
        <f t="shared" si="3"/>
        <v>https://svgtext.heliohost.us/cgi-bin/gen.perl?text=Hawaii</v>
      </c>
      <c r="G774" s="11" t="str">
        <f t="shared" si="4"/>
        <v>data:image/svg+xml,%3csvg xmlns='http://www.w3.org/2000/svg' viewBox='0 0 24 216'%3e%3ctext fill='%23fff' style='font: 900 16px sans-serif' text-anchor='end' transform='matrix(0 -1 1 0 18 5)'%3eHawaii%3c/text%3e%3c/svg%3e</v>
      </c>
      <c r="H774" s="8" t="s">
        <v>29</v>
      </c>
      <c r="I774" s="8">
        <f t="shared" ref="I774:J774" si="775">len(B774)</f>
        <v>6</v>
      </c>
      <c r="J774" s="8">
        <f t="shared" si="775"/>
        <v>89</v>
      </c>
      <c r="K774" s="8" t="s">
        <v>4017</v>
      </c>
    </row>
    <row r="775">
      <c r="A775" s="7" t="b">
        <v>0</v>
      </c>
      <c r="B775" s="8" t="s">
        <v>4018</v>
      </c>
      <c r="C775" s="8" t="s">
        <v>4019</v>
      </c>
      <c r="D775" s="8" t="str">
        <f>Q&amp;$K775&amp;Q&amp;":{"&amp;Q&amp;$B$2&amp;Q&amp;":"&amp;Q&amp;$B775&amp;Q&amp;","&amp;Q&amp;$C$2&amp;Q&amp;":"&amp;Q&amp;$C775&amp;Q&amp;","&amp;Q&amp;"sets"&amp;Q&amp;":"&amp;Q&amp;substitute(SUBSTITUTE($H775,"[",""),"]","")&amp;Q&amp;"},"</f>
        <v>"yvgt":{"label":"Hawks &amp; Doves","extra":"The big birds of war and peace.","sets":"Expansion Set 4, Party Expansion 1"},</v>
      </c>
      <c r="E775" s="9" t="str">
        <f t="shared" si="2"/>
        <v>data:image/svg+xml,%3csvg xmlns='http://www.w3.org/2000/svg' viewBox='0 0 24 216'%3e%3ctext fill='%23fff' style='font: 900 16px sans-serif' text-anchor='end' transform='matrix(0 -1 1 0 18 5)'%3eHawks %26amp%3B Doves%3c/text%3e%3c/svg%3e</v>
      </c>
      <c r="F775" s="14" t="str">
        <f t="shared" si="3"/>
        <v>https://svgtext.heliohost.us/cgi-bin/gen.perl?text=Hawks%20%26%20Doves</v>
      </c>
      <c r="G775" s="11" t="str">
        <f t="shared" si="4"/>
        <v>data:image/svg+xml,%3csvg xmlns='http://www.w3.org/2000/svg' viewBox='0 0 24 216'%3e%3ctext fill='%23fff' style='font: 900 16px sans-serif' text-anchor='end' transform='matrix(0 -1 1 0 18 5)'%3eHawks %26amp%3B Doves%3c/text%3e%3c/svg%3e</v>
      </c>
      <c r="H775" s="8" t="s">
        <v>63</v>
      </c>
      <c r="I775" s="8">
        <f t="shared" ref="I775:J775" si="776">len(B775)</f>
        <v>13</v>
      </c>
      <c r="J775" s="8">
        <f t="shared" si="776"/>
        <v>31</v>
      </c>
      <c r="K775" s="8" t="s">
        <v>4020</v>
      </c>
    </row>
    <row r="776">
      <c r="A776" s="7" t="b">
        <v>1</v>
      </c>
      <c r="B776" s="8" t="s">
        <v>4021</v>
      </c>
      <c r="C776" s="7" t="s">
        <v>4022</v>
      </c>
      <c r="D776" s="8" t="str">
        <f>Q&amp;$K776&amp;Q&amp;":{"&amp;Q&amp;$B$2&amp;Q&amp;":"&amp;Q&amp;$B776&amp;Q&amp;","&amp;Q&amp;$C$2&amp;Q&amp;":"&amp;Q&amp;$C776&amp;Q&amp;","&amp;Q&amp;"sets"&amp;Q&amp;":"&amp;Q&amp;substitute(SUBSTITUTE($H776,"[",""),"]","")&amp;Q&amp;"},"</f>
        <v>"jici":{"label":"Head Lice","extra":"Head lice suck blood from the scalp and spread like crazy. A REAL parasite.","sets":"Expansion Set 3, Party Expansion 1"},</v>
      </c>
      <c r="E776" s="9" t="str">
        <f t="shared" si="2"/>
        <v>data:image/svg+xml,%3csvg xmlns='http://www.w3.org/2000/svg' viewBox='0 0 24 216'%3e%3ctext fill='%23fff' style='font: 900 16px sans-serif' text-anchor='end' transform='matrix(0 -1 1 0 18 5)'%3eHead Lice%3c/text%3e%3c/svg%3e</v>
      </c>
      <c r="F776" s="14" t="str">
        <f t="shared" si="3"/>
        <v>https://svgtext.heliohost.us/cgi-bin/gen.perl?text=Head%20Lice</v>
      </c>
      <c r="G776" s="11" t="str">
        <f t="shared" si="4"/>
        <v>data:image/svg+xml,%3csvg xmlns='http://www.w3.org/2000/svg' viewBox='0 0 24 216'%3e%3ctext fill='%23fff' style='font: 900 16px sans-serif' text-anchor='end' transform='matrix(0 -1 1 0 18 5)'%3eHead Lice%3c/text%3e%3c/svg%3e</v>
      </c>
      <c r="H776" s="8" t="s">
        <v>39</v>
      </c>
      <c r="I776" s="8">
        <f t="shared" ref="I776:J776" si="777">len(B776)</f>
        <v>9</v>
      </c>
      <c r="J776" s="8">
        <f t="shared" si="777"/>
        <v>75</v>
      </c>
      <c r="K776" s="8" t="s">
        <v>4023</v>
      </c>
    </row>
    <row r="777">
      <c r="A777" s="7" t="b">
        <v>1</v>
      </c>
      <c r="B777" s="8" t="s">
        <v>4024</v>
      </c>
      <c r="C777" s="7" t="s">
        <v>4025</v>
      </c>
      <c r="D777" s="8" t="str">
        <f>Q&amp;$K777&amp;Q&amp;":{"&amp;Q&amp;$B$2&amp;Q&amp;":"&amp;Q&amp;$B777&amp;Q&amp;","&amp;Q&amp;$C$2&amp;Q&amp;":"&amp;Q&amp;$C777&amp;Q&amp;","&amp;Q&amp;"sets"&amp;Q&amp;":"&amp;Q&amp;substitute(SUBSTITUTE($H777,"[",""),"]","")&amp;Q&amp;"},"</f>
        <v>"{tsd":{"label":"Heart &amp; Soul","extra":"They’re yours. All yours!","sets":"Expansion Set 4, Party Expansion 1"},</v>
      </c>
      <c r="E777" s="9" t="str">
        <f t="shared" si="2"/>
        <v>data:image/svg+xml,%3csvg xmlns='http://www.w3.org/2000/svg' viewBox='0 0 24 216'%3e%3ctext fill='%23fff' style='font: 900 16px sans-serif' text-anchor='end' transform='matrix(0 -1 1 0 18 5)'%3eHeart %26amp%3B Soul%3c/text%3e%3c/svg%3e</v>
      </c>
      <c r="F777" s="14" t="str">
        <f t="shared" si="3"/>
        <v>https://svgtext.heliohost.us/cgi-bin/gen.perl?text=Heart%20%26%20Soul</v>
      </c>
      <c r="G777" s="11" t="str">
        <f t="shared" si="4"/>
        <v>data:image/svg+xml,%3csvg xmlns='http://www.w3.org/2000/svg' viewBox='0 0 24 216'%3e%3ctext fill='%23fff' style='font: 900 16px sans-serif' text-anchor='end' transform='matrix(0 -1 1 0 18 5)'%3eHeart %26amp%3B Soul%3c/text%3e%3c/svg%3e</v>
      </c>
      <c r="H777" s="8" t="s">
        <v>63</v>
      </c>
      <c r="I777" s="8">
        <f t="shared" ref="I777:J777" si="778">len(B777)</f>
        <v>12</v>
      </c>
      <c r="J777" s="8">
        <f t="shared" si="778"/>
        <v>25</v>
      </c>
      <c r="K777" s="8" t="s">
        <v>4026</v>
      </c>
    </row>
    <row r="778">
      <c r="A778" s="7" t="b">
        <v>1</v>
      </c>
      <c r="B778" s="8" t="s">
        <v>4027</v>
      </c>
      <c r="C778" s="8" t="s">
        <v>4028</v>
      </c>
      <c r="D778" s="8" t="str">
        <f>Q&amp;$K778&amp;Q&amp;":{"&amp;Q&amp;$B$2&amp;Q&amp;":"&amp;Q&amp;$B778&amp;Q&amp;","&amp;Q&amp;$C$2&amp;Q&amp;":"&amp;Q&amp;$C778&amp;Q&amp;","&amp;Q&amp;"sets"&amp;Q&amp;":"&amp;Q&amp;substitute(SUBSTITUTE($H778,"[",""),"]","")&amp;Q&amp;"},"</f>
        <v>"swlj":{"label":"Heaven &amp; Hell","extra":"The ups and down of the afterlife.","sets":"Expansion Set 4, Party Expansion 1"},</v>
      </c>
      <c r="E778" s="9" t="str">
        <f t="shared" si="2"/>
        <v>data:image/svg+xml,%3csvg xmlns='http://www.w3.org/2000/svg' viewBox='0 0 24 216'%3e%3ctext fill='%23fff' style='font: 900 16px sans-serif' text-anchor='end' transform='matrix(0 -1 1 0 18 5)'%3eHeaven %26amp%3B Hell%3c/text%3e%3c/svg%3e</v>
      </c>
      <c r="F778" s="14" t="str">
        <f t="shared" si="3"/>
        <v>https://svgtext.heliohost.us/cgi-bin/gen.perl?text=Heaven%20%26%20Hell</v>
      </c>
      <c r="G778" s="11" t="str">
        <f t="shared" si="4"/>
        <v>data:image/svg+xml,%3csvg xmlns='http://www.w3.org/2000/svg' viewBox='0 0 24 216'%3e%3ctext fill='%23fff' style='font: 900 16px sans-serif' text-anchor='end' transform='matrix(0 -1 1 0 18 5)'%3eHeaven %26amp%3B Hell%3c/text%3e%3c/svg%3e</v>
      </c>
      <c r="H778" s="8" t="s">
        <v>63</v>
      </c>
      <c r="I778" s="8">
        <f t="shared" ref="I778:J778" si="779">len(B778)</f>
        <v>13</v>
      </c>
      <c r="J778" s="8">
        <f t="shared" si="779"/>
        <v>34</v>
      </c>
      <c r="K778" s="8" t="s">
        <v>4029</v>
      </c>
    </row>
    <row r="779">
      <c r="A779" s="7" t="b">
        <v>0</v>
      </c>
      <c r="B779" s="8" t="s">
        <v>4030</v>
      </c>
      <c r="C779" s="8" t="s">
        <v>4031</v>
      </c>
      <c r="D779" s="8" t="str">
        <f>Q&amp;$K779&amp;Q&amp;":{"&amp;Q&amp;$B$2&amp;Q&amp;":"&amp;Q&amp;$B779&amp;Q&amp;","&amp;Q&amp;$C$2&amp;Q&amp;":"&amp;Q&amp;$C779&amp;Q&amp;","&amp;Q&amp;"sets"&amp;Q&amp;":"&amp;Q&amp;substitute(SUBSTITUTE($H779,"[",""),"]","")&amp;Q&amp;"},"</f>
        <v>"nvoo":{"label":"Helen Keller","extra":"1880-1968, American author and lecturer who overcame deafness and blindness with the help of her companion, Anne Sullivan.","sets":"Basic Set, Party Set"},</v>
      </c>
      <c r="E779" s="9" t="str">
        <f t="shared" si="2"/>
        <v>data:image/svg+xml,%3csvg xmlns='http://www.w3.org/2000/svg' viewBox='0 0 24 216'%3e%3ctext fill='%23fff' style='font: 900 16px sans-serif' text-anchor='end' transform='matrix(0 -1 1 0 18 5)'%3eHelen Keller%3c/text%3e%3c/svg%3e</v>
      </c>
      <c r="F779" s="14" t="str">
        <f t="shared" si="3"/>
        <v>https://svgtext.heliohost.us/cgi-bin/gen.perl?text=Helen%20Keller</v>
      </c>
      <c r="G779" s="11" t="str">
        <f t="shared" si="4"/>
        <v>data:image/svg+xml,%3csvg xmlns='http://www.w3.org/2000/svg' viewBox='0 0 24 216'%3e%3ctext fill='%23fff' style='font: 900 16px sans-serif' text-anchor='end' transform='matrix(0 -1 1 0 18 5)'%3eHelen Keller%3c/text%3e%3c/svg%3e</v>
      </c>
      <c r="H779" s="8" t="s">
        <v>29</v>
      </c>
      <c r="I779" s="8">
        <f t="shared" ref="I779:J779" si="780">len(B779)</f>
        <v>12</v>
      </c>
      <c r="J779" s="8">
        <f t="shared" si="780"/>
        <v>122</v>
      </c>
      <c r="K779" s="8" t="s">
        <v>4032</v>
      </c>
    </row>
    <row r="780">
      <c r="A780" s="7" t="b">
        <v>1</v>
      </c>
      <c r="B780" s="8" t="s">
        <v>4033</v>
      </c>
      <c r="C780" s="7" t="s">
        <v>4034</v>
      </c>
      <c r="D780" s="8" t="str">
        <f>Q&amp;$K780&amp;Q&amp;":{"&amp;Q&amp;$B$2&amp;Q&amp;":"&amp;Q&amp;$B780&amp;Q&amp;","&amp;Q&amp;$C$2&amp;Q&amp;":"&amp;Q&amp;$C780&amp;Q&amp;","&amp;Q&amp;"sets"&amp;Q&amp;":"&amp;Q&amp;substitute(SUBSTITUTE($H780,"[",""),"]","")&amp;Q&amp;"},"</f>
        <v>"gpvu":{"label":"Helicopters","extra":"The spinning blades keep the helicopter in the air… somehow.","sets":"Junior 9+ (2nd)"},</v>
      </c>
      <c r="E780" s="9" t="str">
        <f t="shared" si="2"/>
        <v>data:image/svg+xml,%3csvg xmlns='http://www.w3.org/2000/svg' viewBox='0 0 24 216'%3e%3ctext fill='%23fff' style='font: 900 16px sans-serif' text-anchor='end' transform='matrix(0 -1 1 0 18 5)'%3eHelicopters%3c/text%3e%3c/svg%3e</v>
      </c>
      <c r="F780" s="14" t="str">
        <f t="shared" si="3"/>
        <v>https://svgtext.heliohost.us/cgi-bin/gen.perl?text=Helicopters</v>
      </c>
      <c r="G780" s="11" t="str">
        <f t="shared" si="4"/>
        <v>data:image/svg+xml,%3csvg xmlns='http://www.w3.org/2000/svg' viewBox='0 0 24 216'%3e%3ctext fill='%23fff' style='font: 900 16px sans-serif' text-anchor='end' transform='matrix(0 -1 1 0 18 5)'%3eHelicopters%3c/text%3e%3c/svg%3e</v>
      </c>
      <c r="H780" s="8" t="s">
        <v>32</v>
      </c>
      <c r="I780" s="8">
        <f t="shared" ref="I780:J780" si="781">len(B780)</f>
        <v>11</v>
      </c>
      <c r="J780" s="8">
        <f t="shared" si="781"/>
        <v>60</v>
      </c>
      <c r="K780" s="8" t="s">
        <v>4035</v>
      </c>
    </row>
    <row r="781">
      <c r="A781" s="7" t="b">
        <v>1</v>
      </c>
      <c r="B781" s="8" t="s">
        <v>4036</v>
      </c>
      <c r="C781" s="7" t="s">
        <v>4037</v>
      </c>
      <c r="D781" s="8" t="str">
        <f>Q&amp;$K781&amp;Q&amp;":{"&amp;Q&amp;$B$2&amp;Q&amp;":"&amp;Q&amp;$B781&amp;Q&amp;","&amp;Q&amp;$C$2&amp;Q&amp;":"&amp;Q&amp;$C781&amp;Q&amp;","&amp;Q&amp;"sets"&amp;Q&amp;":"&amp;Q&amp;substitute(SUBSTITUTE($H781,"[",""),"]","")&amp;Q&amp;"},"</f>
        <v>"d{zq":{"label":"Herb Gardens","extra":"Rosemary, Basil, Chive… is it a herb garden or the cast from a British drama?","sets":"Expansion Set 3, Party Expansion 1"},</v>
      </c>
      <c r="E781" s="9" t="str">
        <f t="shared" si="2"/>
        <v>data:image/svg+xml,%3csvg xmlns='http://www.w3.org/2000/svg' viewBox='0 0 24 216'%3e%3ctext fill='%23fff' style='font: 900 16px sans-serif' text-anchor='end' transform='matrix(0 -1 1 0 18 5)'%3eHerb Gardens%3c/text%3e%3c/svg%3e</v>
      </c>
      <c r="F781" s="14" t="str">
        <f t="shared" si="3"/>
        <v>https://svgtext.heliohost.us/cgi-bin/gen.perl?text=Herb%20Gardens</v>
      </c>
      <c r="G781" s="11" t="str">
        <f t="shared" si="4"/>
        <v>data:image/svg+xml,%3csvg xmlns='http://www.w3.org/2000/svg' viewBox='0 0 24 216'%3e%3ctext fill='%23fff' style='font: 900 16px sans-serif' text-anchor='end' transform='matrix(0 -1 1 0 18 5)'%3eHerb Gardens%3c/text%3e%3c/svg%3e</v>
      </c>
      <c r="H781" s="8" t="s">
        <v>39</v>
      </c>
      <c r="I781" s="8">
        <f t="shared" ref="I781:J781" si="782">len(B781)</f>
        <v>12</v>
      </c>
      <c r="J781" s="8">
        <f t="shared" si="782"/>
        <v>77</v>
      </c>
      <c r="K781" s="8" t="s">
        <v>4038</v>
      </c>
    </row>
    <row r="782">
      <c r="A782" s="7" t="b">
        <v>1</v>
      </c>
      <c r="B782" s="8" t="s">
        <v>4039</v>
      </c>
      <c r="C782" s="7" t="s">
        <v>4040</v>
      </c>
      <c r="D782" s="8" t="str">
        <f>Q&amp;$K782&amp;Q&amp;":{"&amp;Q&amp;$B$2&amp;Q&amp;":"&amp;Q&amp;$B782&amp;Q&amp;","&amp;Q&amp;$C$2&amp;Q&amp;":"&amp;Q&amp;$C782&amp;Q&amp;","&amp;Q&amp;"sets"&amp;Q&amp;":"&amp;Q&amp;substitute(SUBSTITUTE($H782,"[",""),"]","")&amp;Q&amp;"},"</f>
        <v>"jdye":{"label":"Here &amp; There","extra":"And everywhere.","sets":"Expansion Set 4, Party Expansion 1"},</v>
      </c>
      <c r="E782" s="9" t="str">
        <f t="shared" si="2"/>
        <v>data:image/svg+xml,%3csvg xmlns='http://www.w3.org/2000/svg' viewBox='0 0 24 216'%3e%3ctext fill='%23fff' style='font: 900 16px sans-serif' text-anchor='end' transform='matrix(0 -1 1 0 18 5)'%3eHere %26amp%3B There%3c/text%3e%3c/svg%3e</v>
      </c>
      <c r="F782" s="14" t="str">
        <f t="shared" si="3"/>
        <v>https://svgtext.heliohost.us/cgi-bin/gen.perl?text=Here%20%26%20There</v>
      </c>
      <c r="G782" s="11" t="str">
        <f t="shared" si="4"/>
        <v>data:image/svg+xml,%3csvg xmlns='http://www.w3.org/2000/svg' viewBox='0 0 24 216'%3e%3ctext fill='%23fff' style='font: 900 16px sans-serif' text-anchor='end' transform='matrix(0 -1 1 0 18 5)'%3eHere %26amp%3B There%3c/text%3e%3c/svg%3e</v>
      </c>
      <c r="H782" s="8" t="s">
        <v>63</v>
      </c>
      <c r="I782" s="8">
        <f t="shared" ref="I782:J782" si="783">len(B782)</f>
        <v>12</v>
      </c>
      <c r="J782" s="8">
        <f t="shared" si="783"/>
        <v>15</v>
      </c>
      <c r="K782" s="8" t="s">
        <v>4041</v>
      </c>
    </row>
    <row r="783">
      <c r="A783" s="7" t="b">
        <v>0</v>
      </c>
      <c r="B783" s="8" t="s">
        <v>4042</v>
      </c>
      <c r="C783" s="7" t="s">
        <v>4043</v>
      </c>
      <c r="D783" s="8" t="str">
        <f>Q&amp;$K783&amp;Q&amp;":{"&amp;Q&amp;$B$2&amp;Q&amp;":"&amp;Q&amp;$B783&amp;Q&amp;","&amp;Q&amp;$C$2&amp;Q&amp;":"&amp;Q&amp;$C783&amp;Q&amp;","&amp;Q&amp;"sets"&amp;Q&amp;":"&amp;Q&amp;substitute(SUBSTITUTE($H783,"[",""),"]","")&amp;Q&amp;"},"</f>
        <v>"crhv":{"label":"Hiccups","extra":"How do you, hic, get em? How do you, hic, get rid of ’em?","sets":"Expansion Set 1, Party Set"},</v>
      </c>
      <c r="E783" s="9" t="str">
        <f t="shared" si="2"/>
        <v>data:image/svg+xml,%3csvg xmlns='http://www.w3.org/2000/svg' viewBox='0 0 24 216'%3e%3ctext fill='%23fff' style='font: 900 16px sans-serif' text-anchor='end' transform='matrix(0 -1 1 0 18 5)'%3eHiccups%3c/text%3e%3c/svg%3e</v>
      </c>
      <c r="F783" s="14" t="str">
        <f t="shared" si="3"/>
        <v>https://svgtext.heliohost.us/cgi-bin/gen.perl?text=Hiccups</v>
      </c>
      <c r="G783" s="11" t="str">
        <f t="shared" si="4"/>
        <v>data:image/svg+xml,%3csvg xmlns='http://www.w3.org/2000/svg' viewBox='0 0 24 216'%3e%3ctext fill='%23fff' style='font: 900 16px sans-serif' text-anchor='end' transform='matrix(0 -1 1 0 18 5)'%3eHiccups%3c/text%3e%3c/svg%3e</v>
      </c>
      <c r="H783" s="8" t="s">
        <v>25</v>
      </c>
      <c r="I783" s="8">
        <f t="shared" ref="I783:J783" si="784">len(B783)</f>
        <v>7</v>
      </c>
      <c r="J783" s="8">
        <f t="shared" si="784"/>
        <v>57</v>
      </c>
      <c r="K783" s="8" t="s">
        <v>4044</v>
      </c>
    </row>
    <row r="784">
      <c r="A784" s="7" t="b">
        <v>1</v>
      </c>
      <c r="B784" s="8" t="s">
        <v>4045</v>
      </c>
      <c r="C784" s="7" t="s">
        <v>4046</v>
      </c>
      <c r="D784" s="8" t="str">
        <f>Q&amp;$K784&amp;Q&amp;":{"&amp;Q&amp;$B$2&amp;Q&amp;":"&amp;Q&amp;$B784&amp;Q&amp;","&amp;Q&amp;$C$2&amp;Q&amp;":"&amp;Q&amp;$C784&amp;Q&amp;","&amp;Q&amp;"sets"&amp;Q&amp;":"&amp;Q&amp;substitute(SUBSTITUTE($H784,"[",""),"]","")&amp;Q&amp;"},"</f>
        <v>"xvul":{"label":"Hiding Places","extra":"It’s a secret.","sets":"Junior 9+ (1st) &amp; (2nd)"},</v>
      </c>
      <c r="E784" s="9" t="str">
        <f t="shared" si="2"/>
        <v>data:image/svg+xml,%3csvg xmlns='http://www.w3.org/2000/svg' viewBox='0 0 24 216'%3e%3ctext fill='%23fff' style='font: 900 16px sans-serif' text-anchor='end' transform='matrix(0 -1 1 0 18 5)'%3eHiding Places%3c/text%3e%3c/svg%3e</v>
      </c>
      <c r="F784" s="14" t="str">
        <f t="shared" si="3"/>
        <v>https://svgtext.heliohost.us/cgi-bin/gen.perl?text=Hiding%20Places</v>
      </c>
      <c r="G784" s="11" t="str">
        <f t="shared" si="4"/>
        <v>data:image/svg+xml,%3csvg xmlns='http://www.w3.org/2000/svg' viewBox='0 0 24 216'%3e%3ctext fill='%23fff' style='font: 900 16px sans-serif' text-anchor='end' transform='matrix(0 -1 1 0 18 5)'%3eHiding Places%3c/text%3e%3c/svg%3e</v>
      </c>
      <c r="H784" s="8" t="s">
        <v>42</v>
      </c>
      <c r="I784" s="8">
        <f t="shared" ref="I784:J784" si="785">len(B784)</f>
        <v>13</v>
      </c>
      <c r="J784" s="8">
        <f t="shared" si="785"/>
        <v>14</v>
      </c>
      <c r="K784" s="8" t="s">
        <v>4047</v>
      </c>
    </row>
    <row r="785">
      <c r="A785" s="7" t="b">
        <v>1</v>
      </c>
      <c r="B785" s="8" t="s">
        <v>4048</v>
      </c>
      <c r="C785" s="8" t="s">
        <v>4049</v>
      </c>
      <c r="D785" s="8" t="str">
        <f>Q&amp;$K785&amp;Q&amp;":{"&amp;Q&amp;$B$2&amp;Q&amp;":"&amp;Q&amp;$B785&amp;Q&amp;","&amp;Q&amp;$C$2&amp;Q&amp;":"&amp;Q&amp;$C785&amp;Q&amp;","&amp;Q&amp;"sets"&amp;Q&amp;":"&amp;Q&amp;substitute(SUBSTITUTE($H785,"[",""),"]","")&amp;Q&amp;"},"</f>
        <v>"twst":{"label":"High Heels","extra":"No running.","sets":"Junior 9+ (2nd)"},</v>
      </c>
      <c r="E785" s="9" t="str">
        <f t="shared" si="2"/>
        <v>data:image/svg+xml,%3csvg xmlns='http://www.w3.org/2000/svg' viewBox='0 0 24 216'%3e%3ctext fill='%23fff' style='font: 900 16px sans-serif' text-anchor='end' transform='matrix(0 -1 1 0 18 5)'%3eHigh Heels%3c/text%3e%3c/svg%3e</v>
      </c>
      <c r="F785" s="14" t="str">
        <f t="shared" si="3"/>
        <v>https://svgtext.heliohost.us/cgi-bin/gen.perl?text=High%20Heels</v>
      </c>
      <c r="G785" s="11" t="str">
        <f t="shared" si="4"/>
        <v>data:image/svg+xml,%3csvg xmlns='http://www.w3.org/2000/svg' viewBox='0 0 24 216'%3e%3ctext fill='%23fff' style='font: 900 16px sans-serif' text-anchor='end' transform='matrix(0 -1 1 0 18 5)'%3eHigh Heels%3c/text%3e%3c/svg%3e</v>
      </c>
      <c r="H785" s="8" t="s">
        <v>32</v>
      </c>
      <c r="I785" s="8">
        <f t="shared" ref="I785:J785" si="786">len(B785)</f>
        <v>10</v>
      </c>
      <c r="J785" s="8">
        <f t="shared" si="786"/>
        <v>11</v>
      </c>
      <c r="K785" s="8" t="s">
        <v>4050</v>
      </c>
    </row>
    <row r="786">
      <c r="A786" s="7" t="b">
        <v>1</v>
      </c>
      <c r="B786" s="8" t="s">
        <v>4051</v>
      </c>
      <c r="C786" s="8" t="s">
        <v>4052</v>
      </c>
      <c r="D786" s="8" t="str">
        <f>Q&amp;$K786&amp;Q&amp;":{"&amp;Q&amp;$B$2&amp;Q&amp;":"&amp;Q&amp;$B786&amp;Q&amp;","&amp;Q&amp;$C$2&amp;Q&amp;":"&amp;Q&amp;$C786&amp;Q&amp;","&amp;Q&amp;"sets"&amp;Q&amp;":"&amp;Q&amp;substitute(SUBSTITUTE($H786,"[",""),"]","")&amp;Q&amp;"},"</f>
        <v>"txhj":{"label":"High School","extra":"Most students start high school when they are fourteen.","sets":"Junior 9+ (1st) &amp; (2nd)"},</v>
      </c>
      <c r="E786" s="9" t="str">
        <f t="shared" si="2"/>
        <v>data:image/svg+xml,%3csvg xmlns='http://www.w3.org/2000/svg' viewBox='0 0 24 216'%3e%3ctext fill='%23fff' style='font: 900 16px sans-serif' text-anchor='end' transform='matrix(0 -1 1 0 18 5)'%3eHigh School%3c/text%3e%3c/svg%3e</v>
      </c>
      <c r="F786" s="14" t="str">
        <f t="shared" si="3"/>
        <v>https://svgtext.heliohost.us/cgi-bin/gen.perl?text=High%20School</v>
      </c>
      <c r="G786" s="11" t="str">
        <f t="shared" si="4"/>
        <v>data:image/svg+xml,%3csvg xmlns='http://www.w3.org/2000/svg' viewBox='0 0 24 216'%3e%3ctext fill='%23fff' style='font: 900 16px sans-serif' text-anchor='end' transform='matrix(0 -1 1 0 18 5)'%3eHigh School%3c/text%3e%3c/svg%3e</v>
      </c>
      <c r="H786" s="8" t="s">
        <v>42</v>
      </c>
      <c r="I786" s="8">
        <f t="shared" ref="I786:J786" si="787">len(B786)</f>
        <v>11</v>
      </c>
      <c r="J786" s="8">
        <f t="shared" si="787"/>
        <v>55</v>
      </c>
      <c r="K786" s="8" t="s">
        <v>4053</v>
      </c>
    </row>
    <row r="787">
      <c r="A787" s="7" t="b">
        <v>0</v>
      </c>
      <c r="B787" s="8" t="s">
        <v>4054</v>
      </c>
      <c r="C787" s="8" t="s">
        <v>4055</v>
      </c>
      <c r="D787" s="8" t="str">
        <f>Q&amp;$K787&amp;Q&amp;":{"&amp;Q&amp;$B$2&amp;Q&amp;":"&amp;Q&amp;$B787&amp;Q&amp;","&amp;Q&amp;$C$2&amp;Q&amp;":"&amp;Q&amp;$C787&amp;Q&amp;","&amp;Q&amp;"sets"&amp;Q&amp;":"&amp;Q&amp;substitute(SUBSTITUTE($H787,"[",""),"]","")&amp;Q&amp;"},"</f>
        <v>"rrtb":{"label":"High School Football","extra":"The whole ten yards!","sets":"Basic Set, Party Set"},</v>
      </c>
      <c r="E787" s="9" t="str">
        <f t="shared" si="2"/>
        <v>data:image/svg+xml,%3csvg xmlns='http://www.w3.org/2000/svg' viewBox='0 0 24 216'%3e%3ctext fill='%23fff' style='font: 900 16px sans-serif' text-anchor='end' transform='matrix(0 -1 1 0 18 5)'%3eHigh School Football%3c/text%3e%3c/svg%3e</v>
      </c>
      <c r="F787" s="14" t="str">
        <f t="shared" si="3"/>
        <v>https://svgtext.heliohost.us/cgi-bin/gen.perl?text=High%20School%20Football</v>
      </c>
      <c r="G787" s="11" t="str">
        <f t="shared" si="4"/>
        <v>data:image/svg+xml,%3csvg xmlns='http://www.w3.org/2000/svg' viewBox='0 0 24 216'%3e%3ctext fill='%23fff' style='font: 900 16px sans-serif' text-anchor='end' transform='matrix(0 -1 1 0 18 5)'%3eHigh School Football%3c/text%3e%3c/svg%3e</v>
      </c>
      <c r="H787" s="8" t="s">
        <v>29</v>
      </c>
      <c r="I787" s="8">
        <f t="shared" ref="I787:J787" si="788">len(B787)</f>
        <v>20</v>
      </c>
      <c r="J787" s="8">
        <f t="shared" si="788"/>
        <v>20</v>
      </c>
      <c r="K787" s="8" t="s">
        <v>4056</v>
      </c>
    </row>
    <row r="788">
      <c r="A788" s="7" t="b">
        <v>0</v>
      </c>
      <c r="B788" s="8" t="s">
        <v>4057</v>
      </c>
      <c r="C788" s="7" t="s">
        <v>4058</v>
      </c>
      <c r="D788" s="8" t="str">
        <f>Q&amp;$K788&amp;Q&amp;":{"&amp;Q&amp;$B$2&amp;Q&amp;":"&amp;Q&amp;$B788&amp;Q&amp;","&amp;Q&amp;$C$2&amp;Q&amp;":"&amp;Q&amp;$C788&amp;Q&amp;","&amp;Q&amp;"sets"&amp;Q&amp;":"&amp;Q&amp;substitute(SUBSTITUTE($H788,"[",""),"]","")&amp;Q&amp;"},"</f>
        <v>"ne{l":{"label":"High School Reunions","extra":"See also: “root canal, as fun as…”","sets":"Expansion Set 1, Party Set"},</v>
      </c>
      <c r="E788" s="9" t="str">
        <f t="shared" si="2"/>
        <v>data:image/svg+xml,%3csvg xmlns='http://www.w3.org/2000/svg' viewBox='0 0 24 216'%3e%3ctext fill='%23fff' style='font: 900 16px sans-serif' text-anchor='end' transform='matrix(0 -1 1 0 18 5)'%3eHigh School Reunions%3c/text%3e%3c/svg%3e</v>
      </c>
      <c r="F788" s="14" t="str">
        <f t="shared" si="3"/>
        <v>https://svgtext.heliohost.us/cgi-bin/gen.perl?text=High%20School%20Reunions</v>
      </c>
      <c r="G788" s="11" t="str">
        <f t="shared" si="4"/>
        <v>data:image/svg+xml,%3csvg xmlns='http://www.w3.org/2000/svg' viewBox='0 0 24 216'%3e%3ctext fill='%23fff' style='font: 900 16px sans-serif' text-anchor='end' transform='matrix(0 -1 1 0 18 5)'%3eHigh School Reunions%3c/text%3e%3c/svg%3e</v>
      </c>
      <c r="H788" s="8" t="s">
        <v>25</v>
      </c>
      <c r="I788" s="8">
        <f t="shared" ref="I788:J788" si="789">len(B788)</f>
        <v>20</v>
      </c>
      <c r="J788" s="8">
        <f t="shared" si="789"/>
        <v>34</v>
      </c>
      <c r="K788" s="8" t="s">
        <v>4059</v>
      </c>
    </row>
    <row r="789">
      <c r="A789" s="7" t="b">
        <v>1</v>
      </c>
      <c r="B789" s="8" t="s">
        <v>4060</v>
      </c>
      <c r="C789" s="7" t="s">
        <v>4061</v>
      </c>
      <c r="D789" s="8" t="str">
        <f>Q&amp;$K789&amp;Q&amp;":{"&amp;Q&amp;$B$2&amp;Q&amp;":"&amp;Q&amp;$B789&amp;Q&amp;","&amp;Q&amp;$C$2&amp;Q&amp;":"&amp;Q&amp;$C789&amp;Q&amp;","&amp;Q&amp;"sets"&amp;Q&amp;":"&amp;Q&amp;substitute(SUBSTITUTE($H789,"[",""),"]","")&amp;Q&amp;"},"</f>
        <v>"krlz":{"label":"Hiking In The Woods","extra":"It’s an adventure.","sets":"Junior 9+ (1st) &amp; (2nd)"},</v>
      </c>
      <c r="E789" s="9" t="str">
        <f t="shared" si="2"/>
        <v>data:image/svg+xml,%3csvg xmlns='http://www.w3.org/2000/svg' viewBox='0 0 24 216'%3e%3ctext fill='%23fff' style='font: 900 16px sans-serif' text-anchor='end' transform='matrix(0 -1 1 0 18 5)'%3eHiking In The Woods%3c/text%3e%3c/svg%3e</v>
      </c>
      <c r="F789" s="14" t="str">
        <f t="shared" si="3"/>
        <v>https://svgtext.heliohost.us/cgi-bin/gen.perl?text=Hiking%20In%20The%20Woods</v>
      </c>
      <c r="G789" s="11" t="str">
        <f t="shared" si="4"/>
        <v>data:image/svg+xml,%3csvg xmlns='http://www.w3.org/2000/svg' viewBox='0 0 24 216'%3e%3ctext fill='%23fff' style='font: 900 16px sans-serif' text-anchor='end' transform='matrix(0 -1 1 0 18 5)'%3eHiking In The Woods%3c/text%3e%3c/svg%3e</v>
      </c>
      <c r="H789" s="8" t="s">
        <v>42</v>
      </c>
      <c r="I789" s="8">
        <f t="shared" ref="I789:J789" si="790">len(B789)</f>
        <v>19</v>
      </c>
      <c r="J789" s="8">
        <f t="shared" si="790"/>
        <v>18</v>
      </c>
      <c r="K789" s="8" t="s">
        <v>4062</v>
      </c>
    </row>
    <row r="790">
      <c r="A790" s="7" t="b">
        <v>0</v>
      </c>
      <c r="B790" s="8" t="s">
        <v>4063</v>
      </c>
      <c r="C790" s="8" t="s">
        <v>4064</v>
      </c>
      <c r="D790" s="8" t="str">
        <f>Q&amp;$K790&amp;Q&amp;":{"&amp;Q&amp;$B$2&amp;Q&amp;":"&amp;Q&amp;$B790&amp;Q&amp;","&amp;Q&amp;$C$2&amp;Q&amp;":"&amp;Q&amp;$C790&amp;Q&amp;","&amp;Q&amp;"sets"&amp;Q&amp;":"&amp;Q&amp;substitute(SUBSTITUTE($H790,"[",""),"]","")&amp;Q&amp;"},"</f>
        <v>"mjhl":{"label":"Hillary Rodham Clinton","extra":"1947-, New York Senator, lawyer, and former American First Lady.","sets":"Basic Set, Party Set"},</v>
      </c>
      <c r="E790" s="9" t="str">
        <f t="shared" si="2"/>
        <v>data:image/svg+xml,%3csvg xmlns='http://www.w3.org/2000/svg' viewBox='0 0 24 216'%3e%3ctext fill='%23fff' style='font: 900 16px sans-serif' text-anchor='end' transform='matrix(0 -1 1 0 18 5)'%3eHillary Rodham Clinton%3c/text%3e%3c/svg%3e</v>
      </c>
      <c r="F790" s="14" t="str">
        <f t="shared" si="3"/>
        <v>https://svgtext.heliohost.us/cgi-bin/gen.perl?text=Hillary%20Rodham%20Clinton</v>
      </c>
      <c r="G790" s="11" t="str">
        <f t="shared" si="4"/>
        <v>data:image/svg+xml,%3csvg xmlns='http://www.w3.org/2000/svg' viewBox='0 0 24 216'%3e%3ctext fill='%23fff' style='font: 900 16px sans-serif' text-anchor='end' transform='matrix(0 -1 1 0 18 5)'%3eHillary Rodham Clinton%3c/text%3e%3c/svg%3e</v>
      </c>
      <c r="H790" s="8" t="s">
        <v>29</v>
      </c>
      <c r="I790" s="8">
        <f t="shared" ref="I790:J790" si="791">len(B790)</f>
        <v>22</v>
      </c>
      <c r="J790" s="8">
        <f t="shared" si="791"/>
        <v>64</v>
      </c>
      <c r="K790" s="8" t="s">
        <v>4065</v>
      </c>
    </row>
    <row r="791">
      <c r="A791" s="7" t="b">
        <v>1</v>
      </c>
      <c r="B791" s="8" t="s">
        <v>4066</v>
      </c>
      <c r="C791" s="7" t="s">
        <v>4067</v>
      </c>
      <c r="D791" s="8" t="str">
        <f>Q&amp;$K791&amp;Q&amp;":{"&amp;Q&amp;$B$2&amp;Q&amp;":"&amp;Q&amp;$B791&amp;Q&amp;","&amp;Q&amp;$C$2&amp;Q&amp;":"&amp;Q&amp;$C791&amp;Q&amp;","&amp;Q&amp;"sets"&amp;Q&amp;":"&amp;Q&amp;substitute(SUBSTITUTE($H791,"[",""),"]","")&amp;Q&amp;"},"</f>
        <v>"rlyx":{"label":"Hills &amp; Valleys","extra":"Nature’s little ups and down.","sets":"Expansion Set 4, Party Expansion 1"},</v>
      </c>
      <c r="E791" s="9" t="str">
        <f t="shared" si="2"/>
        <v>data:image/svg+xml,%3csvg xmlns='http://www.w3.org/2000/svg' viewBox='0 0 24 216'%3e%3ctext fill='%23fff' style='font: 900 16px sans-serif' text-anchor='end' transform='matrix(0 -1 1 0 18 5)'%3eHills %26amp%3B Valleys%3c/text%3e%3c/svg%3e</v>
      </c>
      <c r="F791" s="14" t="str">
        <f t="shared" si="3"/>
        <v>https://svgtext.heliohost.us/cgi-bin/gen.perl?text=Hills%20%26%20Valleys</v>
      </c>
      <c r="G791" s="11" t="str">
        <f t="shared" si="4"/>
        <v>data:image/svg+xml,%3csvg xmlns='http://www.w3.org/2000/svg' viewBox='0 0 24 216'%3e%3ctext fill='%23fff' style='font: 900 16px sans-serif' text-anchor='end' transform='matrix(0 -1 1 0 18 5)'%3eHills %26amp%3B Valleys%3c/text%3e%3c/svg%3e</v>
      </c>
      <c r="H791" s="8" t="s">
        <v>63</v>
      </c>
      <c r="I791" s="8">
        <f t="shared" ref="I791:J791" si="792">len(B791)</f>
        <v>15</v>
      </c>
      <c r="J791" s="8">
        <f t="shared" si="792"/>
        <v>29</v>
      </c>
      <c r="K791" s="8" t="s">
        <v>4068</v>
      </c>
    </row>
    <row r="792">
      <c r="A792" s="7" t="b">
        <v>0</v>
      </c>
      <c r="B792" s="8" t="s">
        <v>4069</v>
      </c>
      <c r="C792" s="7" t="s">
        <v>4070</v>
      </c>
      <c r="D792" s="8" t="str">
        <f>Q&amp;$K792&amp;Q&amp;":{"&amp;Q&amp;$B$2&amp;Q&amp;":"&amp;Q&amp;$B792&amp;Q&amp;","&amp;Q&amp;$C$2&amp;Q&amp;":"&amp;Q&amp;$C792&amp;Q&amp;","&amp;Q&amp;"sets"&amp;Q&amp;":"&amp;Q&amp;substitute(SUBSTITUTE($H792,"[",""),"]","")&amp;Q&amp;"},"</f>
        <v>"llgm":{"label":"Hip Hop","extra":"Musical and cultural movement that gained popularity in the 1980s. Yo, yo, yo.","sets":"Expansion Set 3, Party Expansion 1"},</v>
      </c>
      <c r="E792" s="9" t="str">
        <f t="shared" si="2"/>
        <v>data:image/svg+xml,%3csvg xmlns='http://www.w3.org/2000/svg' viewBox='0 0 24 216'%3e%3ctext fill='%23fff' style='font: 900 16px sans-serif' text-anchor='end' transform='matrix(0 -1 1 0 18 5)'%3eHip Hop%3c/text%3e%3c/svg%3e</v>
      </c>
      <c r="F792" s="14" t="str">
        <f t="shared" si="3"/>
        <v>https://svgtext.heliohost.us/cgi-bin/gen.perl?text=Hip%20Hop</v>
      </c>
      <c r="G792" s="11" t="str">
        <f t="shared" si="4"/>
        <v>data:image/svg+xml,%3csvg xmlns='http://www.w3.org/2000/svg' viewBox='0 0 24 216'%3e%3ctext fill='%23fff' style='font: 900 16px sans-serif' text-anchor='end' transform='matrix(0 -1 1 0 18 5)'%3eHip Hop%3c/text%3e%3c/svg%3e</v>
      </c>
      <c r="H792" s="8" t="s">
        <v>39</v>
      </c>
      <c r="I792" s="8">
        <f t="shared" ref="I792:J792" si="793">len(B792)</f>
        <v>7</v>
      </c>
      <c r="J792" s="8">
        <f t="shared" si="793"/>
        <v>78</v>
      </c>
      <c r="K792" s="8" t="s">
        <v>4071</v>
      </c>
    </row>
    <row r="793">
      <c r="A793" s="7" t="b">
        <v>1</v>
      </c>
      <c r="B793" s="8" t="s">
        <v>4072</v>
      </c>
      <c r="C793" s="7" t="s">
        <v>4073</v>
      </c>
      <c r="D793" s="8" t="str">
        <f>Q&amp;$K793&amp;Q&amp;":{"&amp;Q&amp;$B$2&amp;Q&amp;":"&amp;Q&amp;$B793&amp;Q&amp;","&amp;Q&amp;$C$2&amp;Q&amp;":"&amp;Q&amp;$C793&amp;Q&amp;","&amp;Q&amp;"sets"&amp;Q&amp;":"&amp;Q&amp;substitute(SUBSTITUTE($H793,"[",""),"]","")&amp;Q&amp;"},"</f>
        <v>"msuz":{"label":"Hippopotamus","extra":"Hippos are also called “river horses” and only eat plants.","sets":"Junior 9+ (2nd)"},</v>
      </c>
      <c r="E793" s="9" t="str">
        <f t="shared" si="2"/>
        <v>data:image/svg+xml,%3csvg xmlns='http://www.w3.org/2000/svg' viewBox='0 0 24 216'%3e%3ctext fill='%23fff' style='font: 900 16px sans-serif' text-anchor='end' transform='matrix(0 -1 1 0 18 5)'%3eHippopotamus%3c/text%3e%3c/svg%3e</v>
      </c>
      <c r="F793" s="14" t="str">
        <f t="shared" si="3"/>
        <v>https://svgtext.heliohost.us/cgi-bin/gen.perl?text=Hippopotamus</v>
      </c>
      <c r="G793" s="11" t="str">
        <f t="shared" si="4"/>
        <v>data:image/svg+xml,%3csvg xmlns='http://www.w3.org/2000/svg' viewBox='0 0 24 216'%3e%3ctext fill='%23fff' style='font: 900 16px sans-serif' text-anchor='end' transform='matrix(0 -1 1 0 18 5)'%3eHippopotamus%3c/text%3e%3c/svg%3e</v>
      </c>
      <c r="H793" s="8" t="s">
        <v>32</v>
      </c>
      <c r="I793" s="8">
        <f t="shared" ref="I793:J793" si="794">len(B793)</f>
        <v>12</v>
      </c>
      <c r="J793" s="8">
        <f t="shared" si="794"/>
        <v>58</v>
      </c>
      <c r="K793" s="8" t="s">
        <v>4074</v>
      </c>
    </row>
    <row r="794">
      <c r="A794" s="7" t="b">
        <v>0</v>
      </c>
      <c r="B794" s="8" t="s">
        <v>4075</v>
      </c>
      <c r="C794" s="7" t="s">
        <v>4076</v>
      </c>
      <c r="D794" s="8" t="str">
        <f>Q&amp;$K794&amp;Q&amp;":{"&amp;Q&amp;$B$2&amp;Q&amp;":"&amp;Q&amp;$B794&amp;Q&amp;","&amp;Q&amp;$C$2&amp;Q&amp;":"&amp;Q&amp;$C794&amp;Q&amp;","&amp;Q&amp;"sets"&amp;Q&amp;":"&amp;Q&amp;substitute(SUBSTITUTE($H794,"[",""),"]","")&amp;Q&amp;"},"</f>
        <v>"qruj":{"label":"Hiroshima - 1945","extra":"“I am become death, the destroyer of worlds” —J. Robert Oppenheimer, on the detonation of the first atmoic bomb.","sets":"Basic Set, Party Set"},</v>
      </c>
      <c r="E794" s="9" t="str">
        <f t="shared" si="2"/>
        <v>data:image/svg+xml,%3csvg xmlns='http://www.w3.org/2000/svg' viewBox='0 0 24 216'%3e%3ctext fill='%23fff' style='font: 900 16px sans-serif' text-anchor='end' transform='matrix(0 -1 1 0 18 5)'%3eHiroshima - 1945%3c/text%3e%3c/svg%3e</v>
      </c>
      <c r="F794" s="14" t="str">
        <f t="shared" si="3"/>
        <v>https://svgtext.heliohost.us/cgi-bin/gen.perl?text=Hiroshima%20-%201945</v>
      </c>
      <c r="G794" s="11" t="str">
        <f t="shared" si="4"/>
        <v>data:image/svg+xml,%3csvg xmlns='http://www.w3.org/2000/svg' viewBox='0 0 24 216'%3e%3ctext fill='%23fff' style='font: 900 16px sans-serif' text-anchor='end' transform='matrix(0 -1 1 0 18 5)'%3eHiroshima - 1945%3c/text%3e%3c/svg%3e</v>
      </c>
      <c r="H794" s="8" t="s">
        <v>29</v>
      </c>
      <c r="I794" s="8">
        <f t="shared" ref="I794:J794" si="795">len(B794)</f>
        <v>16</v>
      </c>
      <c r="J794" s="8">
        <f t="shared" si="795"/>
        <v>112</v>
      </c>
      <c r="K794" s="8" t="s">
        <v>4077</v>
      </c>
    </row>
    <row r="795">
      <c r="A795" s="7" t="b">
        <v>1</v>
      </c>
      <c r="B795" s="8" t="s">
        <v>4078</v>
      </c>
      <c r="C795" s="8" t="s">
        <v>4079</v>
      </c>
      <c r="D795" s="8" t="str">
        <f>Q&amp;$K795&amp;Q&amp;":{"&amp;Q&amp;$B$2&amp;Q&amp;":"&amp;Q&amp;$B795&amp;Q&amp;","&amp;Q&amp;$C$2&amp;Q&amp;":"&amp;Q&amp;$C795&amp;Q&amp;","&amp;Q&amp;"sets"&amp;Q&amp;":"&amp;Q&amp;substitute(SUBSTITUTE($H795,"[",""),"]","")&amp;Q&amp;"},"</f>
        <v>"gwos":{"label":"Hit &amp; Run","extra":"An automobile crash, or a baseball play.","sets":"Expansion Set 4, Party Expansion 1"},</v>
      </c>
      <c r="E795" s="9" t="str">
        <f t="shared" si="2"/>
        <v>data:image/svg+xml,%3csvg xmlns='http://www.w3.org/2000/svg' viewBox='0 0 24 216'%3e%3ctext fill='%23fff' style='font: 900 16px sans-serif' text-anchor='end' transform='matrix(0 -1 1 0 18 5)'%3eHit %26amp%3B Run%3c/text%3e%3c/svg%3e</v>
      </c>
      <c r="F795" s="14" t="str">
        <f t="shared" si="3"/>
        <v>https://svgtext.heliohost.us/cgi-bin/gen.perl?text=Hit%20%26%20Run</v>
      </c>
      <c r="G795" s="11" t="str">
        <f t="shared" si="4"/>
        <v>data:image/svg+xml,%3csvg xmlns='http://www.w3.org/2000/svg' viewBox='0 0 24 216'%3e%3ctext fill='%23fff' style='font: 900 16px sans-serif' text-anchor='end' transform='matrix(0 -1 1 0 18 5)'%3eHit %26amp%3B Run%3c/text%3e%3c/svg%3e</v>
      </c>
      <c r="H795" s="8" t="s">
        <v>63</v>
      </c>
      <c r="I795" s="8">
        <f t="shared" ref="I795:J795" si="796">len(B795)</f>
        <v>9</v>
      </c>
      <c r="J795" s="8">
        <f t="shared" si="796"/>
        <v>40</v>
      </c>
      <c r="K795" s="8" t="s">
        <v>4080</v>
      </c>
    </row>
    <row r="796">
      <c r="A796" s="7" t="b">
        <v>1</v>
      </c>
      <c r="B796" s="8" t="s">
        <v>4081</v>
      </c>
      <c r="C796" s="7" t="s">
        <v>4082</v>
      </c>
      <c r="D796" s="8" t="str">
        <f>Q&amp;$K796&amp;Q&amp;":{"&amp;Q&amp;$B$2&amp;Q&amp;":"&amp;Q&amp;$B796&amp;Q&amp;","&amp;Q&amp;$C$2&amp;Q&amp;":"&amp;Q&amp;$C796&amp;Q&amp;","&amp;Q&amp;"sets"&amp;Q&amp;":"&amp;Q&amp;substitute(SUBSTITUTE($H796,"[",""),"]","")&amp;Q&amp;"},"</f>
        <v>"lneb":{"label":"Hitting A Home-Run","extra":"Going… going… CRASH… through the neighbor’s window!","sets":"Junior 9+ (2nd)"},</v>
      </c>
      <c r="E796" s="9" t="str">
        <f t="shared" si="2"/>
        <v>data:image/svg+xml,%3csvg xmlns='http://www.w3.org/2000/svg' viewBox='0 0 24 216'%3e%3ctext fill='%23fff' style='font: 900 16px sans-serif' text-anchor='end' transform='matrix(0 -1 1 0 18 5)'%3eHitting A Home-Run%3c/text%3e%3c/svg%3e</v>
      </c>
      <c r="F796" s="14" t="str">
        <f t="shared" si="3"/>
        <v>https://svgtext.heliohost.us/cgi-bin/gen.perl?text=Hitting%20A%20Home-Run</v>
      </c>
      <c r="G796" s="11" t="str">
        <f t="shared" si="4"/>
        <v>data:image/svg+xml,%3csvg xmlns='http://www.w3.org/2000/svg' viewBox='0 0 24 216'%3e%3ctext fill='%23fff' style='font: 900 16px sans-serif' text-anchor='end' transform='matrix(0 -1 1 0 18 5)'%3eHitting A Home-Run%3c/text%3e%3c/svg%3e</v>
      </c>
      <c r="H796" s="8" t="s">
        <v>32</v>
      </c>
      <c r="I796" s="8">
        <f t="shared" ref="I796:J796" si="797">len(B796)</f>
        <v>18</v>
      </c>
      <c r="J796" s="8">
        <f t="shared" si="797"/>
        <v>51</v>
      </c>
      <c r="K796" s="8" t="s">
        <v>4083</v>
      </c>
    </row>
    <row r="797">
      <c r="A797" s="7" t="b">
        <v>0</v>
      </c>
      <c r="B797" s="8" t="s">
        <v>4084</v>
      </c>
      <c r="C797" s="7" t="s">
        <v>4085</v>
      </c>
      <c r="D797" s="8" t="str">
        <f>Q&amp;$K797&amp;Q&amp;":{"&amp;Q&amp;$B$2&amp;Q&amp;":"&amp;Q&amp;$B797&amp;Q&amp;","&amp;Q&amp;$C$2&amp;Q&amp;":"&amp;Q&amp;$C797&amp;Q&amp;","&amp;Q&amp;"sets"&amp;Q&amp;":"&amp;Q&amp;substitute(SUBSTITUTE($H797,"[",""),"]","")&amp;Q&amp;"},"</f>
        <v>"xkei":{"label":"HMOs","extra":"Heath Maintenance Organizations. Here&gt;'s to your health…","sets":"Expansion Set 2, Party Set"},</v>
      </c>
      <c r="E797" s="9" t="str">
        <f t="shared" si="2"/>
        <v>data:image/svg+xml,%3csvg xmlns='http://www.w3.org/2000/svg' viewBox='0 0 24 216'%3e%3ctext fill='%23fff' style='font: 900 16px sans-serif' text-anchor='end' transform='matrix(0 -1 1 0 18 5)'%3eHMOs%3c/text%3e%3c/svg%3e</v>
      </c>
      <c r="F797" s="14" t="str">
        <f t="shared" si="3"/>
        <v>https://svgtext.heliohost.us/cgi-bin/gen.perl?text=HMOs</v>
      </c>
      <c r="G797" s="11" t="str">
        <f t="shared" si="4"/>
        <v>data:image/svg+xml,%3csvg xmlns='http://www.w3.org/2000/svg' viewBox='0 0 24 216'%3e%3ctext fill='%23fff' style='font: 900 16px sans-serif' text-anchor='end' transform='matrix(0 -1 1 0 18 5)'%3eHMOs%3c/text%3e%3c/svg%3e</v>
      </c>
      <c r="H797" s="8" t="s">
        <v>17</v>
      </c>
      <c r="I797" s="8">
        <f t="shared" ref="I797:J797" si="798">len(B797)</f>
        <v>4</v>
      </c>
      <c r="J797" s="8">
        <f t="shared" si="798"/>
        <v>56</v>
      </c>
      <c r="K797" s="8" t="s">
        <v>4086</v>
      </c>
    </row>
    <row r="798">
      <c r="A798" s="7" t="b">
        <v>0</v>
      </c>
      <c r="B798" s="8" t="s">
        <v>4087</v>
      </c>
      <c r="C798" s="8" t="s">
        <v>4088</v>
      </c>
      <c r="D798" s="8" t="str">
        <f>Q&amp;$K798&amp;Q&amp;":{"&amp;Q&amp;$B$2&amp;Q&amp;":"&amp;Q&amp;$B798&amp;Q&amp;","&amp;Q&amp;$C$2&amp;Q&amp;":"&amp;Q&amp;$C798&amp;Q&amp;","&amp;Q&amp;"sets"&amp;Q&amp;":"&amp;Q&amp;substitute(SUBSTITUTE($H798,"[",""),"]","")&amp;Q&amp;"},"</f>
        <v>"gobb":{"label":"Hockey","extra":"Did you hear about the big fight last night? All of a sudden, a hockey game broke out!","sets":"Basic Set, Party Set"},</v>
      </c>
      <c r="E798" s="9" t="str">
        <f t="shared" si="2"/>
        <v>data:image/svg+xml,%3csvg xmlns='http://www.w3.org/2000/svg' viewBox='0 0 24 216'%3e%3ctext fill='%23fff' style='font: 900 16px sans-serif' text-anchor='end' transform='matrix(0 -1 1 0 18 5)'%3eHockey%3c/text%3e%3c/svg%3e</v>
      </c>
      <c r="F798" s="14" t="str">
        <f t="shared" si="3"/>
        <v>https://svgtext.heliohost.us/cgi-bin/gen.perl?text=Hockey</v>
      </c>
      <c r="G798" s="11" t="str">
        <f t="shared" si="4"/>
        <v>data:image/svg+xml,%3csvg xmlns='http://www.w3.org/2000/svg' viewBox='0 0 24 216'%3e%3ctext fill='%23fff' style='font: 900 16px sans-serif' text-anchor='end' transform='matrix(0 -1 1 0 18 5)'%3eHockey%3c/text%3e%3c/svg%3e</v>
      </c>
      <c r="H798" s="8" t="s">
        <v>29</v>
      </c>
      <c r="I798" s="8">
        <f t="shared" ref="I798:J798" si="799">len(B798)</f>
        <v>6</v>
      </c>
      <c r="J798" s="8">
        <f t="shared" si="799"/>
        <v>86</v>
      </c>
      <c r="K798" s="8" t="s">
        <v>4089</v>
      </c>
    </row>
    <row r="799">
      <c r="A799" s="7" t="b">
        <v>1</v>
      </c>
      <c r="B799" s="8" t="s">
        <v>4087</v>
      </c>
      <c r="C799" s="8" t="s">
        <v>4090</v>
      </c>
      <c r="D799" s="8" t="str">
        <f>Q&amp;$K799&amp;Q&amp;":{"&amp;Q&amp;$B$2&amp;Q&amp;":"&amp;Q&amp;$B799&amp;Q&amp;","&amp;Q&amp;$C$2&amp;Q&amp;":"&amp;Q&amp;$C799&amp;Q&amp;","&amp;Q&amp;"sets"&amp;Q&amp;":"&amp;Q&amp;substitute(SUBSTITUTE($H799,"[",""),"]","")&amp;Q&amp;"},"</f>
        <v>"dgjf":{"label":"Hockey","extra":"Skate! Pass! Score!","sets":"Junior 9+ (1st) &amp; (2nd)"},</v>
      </c>
      <c r="E799" s="9" t="str">
        <f t="shared" si="2"/>
        <v>data:image/svg+xml,%3csvg xmlns='http://www.w3.org/2000/svg' viewBox='0 0 24 216'%3e%3ctext fill='%23fff' style='font: 900 16px sans-serif' text-anchor='end' transform='matrix(0 -1 1 0 18 5)'%3eHockey%3c/text%3e%3c/svg%3e</v>
      </c>
      <c r="F799" s="14" t="str">
        <f t="shared" si="3"/>
        <v>https://svgtext.heliohost.us/cgi-bin/gen.perl?text=Hockey</v>
      </c>
      <c r="G799" s="11" t="str">
        <f t="shared" si="4"/>
        <v>data:image/svg+xml,%3csvg xmlns='http://www.w3.org/2000/svg' viewBox='0 0 24 216'%3e%3ctext fill='%23fff' style='font: 900 16px sans-serif' text-anchor='end' transform='matrix(0 -1 1 0 18 5)'%3eHockey%3c/text%3e%3c/svg%3e</v>
      </c>
      <c r="H799" s="8" t="s">
        <v>42</v>
      </c>
      <c r="I799" s="8">
        <f t="shared" ref="I799:J799" si="800">len(B799)</f>
        <v>6</v>
      </c>
      <c r="J799" s="8">
        <f t="shared" si="800"/>
        <v>19</v>
      </c>
      <c r="K799" s="8" t="s">
        <v>4091</v>
      </c>
    </row>
    <row r="800">
      <c r="A800" s="7" t="b">
        <v>0</v>
      </c>
      <c r="B800" s="8" t="s">
        <v>4092</v>
      </c>
      <c r="C800" s="8" t="s">
        <v>4093</v>
      </c>
      <c r="D800" s="8" t="str">
        <f>Q&amp;$K800&amp;Q&amp;":{"&amp;Q&amp;$B$2&amp;Q&amp;":"&amp;Q&amp;$B800&amp;Q&amp;","&amp;Q&amp;$C$2&amp;Q&amp;":"&amp;Q&amp;$C800&amp;Q&amp;","&amp;Q&amp;"sets"&amp;Q&amp;":"&amp;Q&amp;substitute(SUBSTITUTE($H800,"[",""),"]","")&amp;Q&amp;"},"</f>
        <v>"iqid":{"label":"Hollywood","extra":"Motion picture and television industry center of the world. Hooray for Hollywood!","sets":"Basic Set, Party Set"},</v>
      </c>
      <c r="E800" s="9" t="str">
        <f t="shared" si="2"/>
        <v>data:image/svg+xml,%3csvg xmlns='http://www.w3.org/2000/svg' viewBox='0 0 24 216'%3e%3ctext fill='%23fff' style='font: 900 16px sans-serif' text-anchor='end' transform='matrix(0 -1 1 0 18 5)'%3eHollywood%3c/text%3e%3c/svg%3e</v>
      </c>
      <c r="F800" s="14" t="str">
        <f t="shared" si="3"/>
        <v>https://svgtext.heliohost.us/cgi-bin/gen.perl?text=Hollywood</v>
      </c>
      <c r="G800" s="11" t="str">
        <f t="shared" si="4"/>
        <v>data:image/svg+xml,%3csvg xmlns='http://www.w3.org/2000/svg' viewBox='0 0 24 216'%3e%3ctext fill='%23fff' style='font: 900 16px sans-serif' text-anchor='end' transform='matrix(0 -1 1 0 18 5)'%3eHollywood%3c/text%3e%3c/svg%3e</v>
      </c>
      <c r="H800" s="8" t="s">
        <v>29</v>
      </c>
      <c r="I800" s="8">
        <f t="shared" ref="I800:J800" si="801">len(B800)</f>
        <v>9</v>
      </c>
      <c r="J800" s="8">
        <f t="shared" si="801"/>
        <v>81</v>
      </c>
      <c r="K800" s="8" t="s">
        <v>4094</v>
      </c>
    </row>
    <row r="801">
      <c r="A801" s="7" t="b">
        <v>0</v>
      </c>
      <c r="B801" s="8" t="s">
        <v>4095</v>
      </c>
      <c r="C801" s="7" t="s">
        <v>4096</v>
      </c>
      <c r="D801" s="8" t="str">
        <f>Q&amp;$K801&amp;Q&amp;":{"&amp;Q&amp;$B$2&amp;Q&amp;":"&amp;Q&amp;$B801&amp;Q&amp;","&amp;Q&amp;$C$2&amp;Q&amp;":"&amp;Q&amp;$C801&amp;Q&amp;","&amp;Q&amp;"sets"&amp;Q&amp;":"&amp;Q&amp;substitute(SUBSTITUTE($H801,"[",""),"]","")&amp;Q&amp;"},"</f>
        <v>"pgrk":{"label":"Hollywood &amp; Vine","extra":"The Los Angeles street corner where dreams come true.","sets":"Expansion Set 4, Party Expansion 1"},</v>
      </c>
      <c r="E801" s="9" t="str">
        <f t="shared" si="2"/>
        <v>data:image/svg+xml,%3csvg xmlns='http://www.w3.org/2000/svg' viewBox='0 0 24 216'%3e%3ctext fill='%23fff' style='font: 900 16px sans-serif' text-anchor='end' transform='matrix(0 -1 1 0 18 5)'%3eHollywood %26amp%3B Vine%3c/text%3e%3c/svg%3e</v>
      </c>
      <c r="F801" s="14" t="str">
        <f t="shared" si="3"/>
        <v>https://svgtext.heliohost.us/cgi-bin/gen.perl?text=Hollywood%20%26%20Vine</v>
      </c>
      <c r="G801" s="11" t="str">
        <f t="shared" si="4"/>
        <v>data:image/svg+xml,%3csvg xmlns='http://www.w3.org/2000/svg' viewBox='0 0 24 216'%3e%3ctext fill='%23fff' style='font: 900 16px sans-serif' text-anchor='end' transform='matrix(0 -1 1 0 18 5)'%3eHollywood %26amp%3B Vine%3c/text%3e%3c/svg%3e</v>
      </c>
      <c r="H801" s="8" t="s">
        <v>63</v>
      </c>
      <c r="I801" s="8">
        <f t="shared" ref="I801:J801" si="802">len(B801)</f>
        <v>16</v>
      </c>
      <c r="J801" s="8">
        <f t="shared" si="802"/>
        <v>53</v>
      </c>
      <c r="K801" s="8" t="s">
        <v>4097</v>
      </c>
    </row>
    <row r="802">
      <c r="A802" s="7" t="b">
        <v>0</v>
      </c>
      <c r="B802" s="8" t="s">
        <v>4098</v>
      </c>
      <c r="C802" s="8" t="s">
        <v>4099</v>
      </c>
      <c r="D802" s="8" t="str">
        <f>Q&amp;$K802&amp;Q&amp;":{"&amp;Q&amp;$B$2&amp;Q&amp;":"&amp;Q&amp;$B802&amp;Q&amp;","&amp;Q&amp;$C$2&amp;Q&amp;":"&amp;Q&amp;$C802&amp;Q&amp;","&amp;Q&amp;"sets"&amp;Q&amp;":"&amp;Q&amp;substitute(SUBSTITUTE($H802,"[",""),"]","")&amp;Q&amp;"},"</f>
        <v>"vjkd":{"label":"Homeless Shelters","extra":"In the United States, nearly three-quarters of the help for the homeless comes from the private sector, mostly from church soup kitchens.","sets":"Expansion Set 2, Party Set"},</v>
      </c>
      <c r="E802" s="9" t="str">
        <f t="shared" si="2"/>
        <v>data:image/svg+xml,%3csvg xmlns='http://www.w3.org/2000/svg' viewBox='0 0 24 216'%3e%3ctext fill='%23fff' style='font: 900 16px sans-serif' text-anchor='end' transform='matrix(0 -1 1 0 18 5)'%3eHomeless Shelters%3c/text%3e%3c/svg%3e</v>
      </c>
      <c r="F802" s="14" t="str">
        <f t="shared" si="3"/>
        <v>https://svgtext.heliohost.us/cgi-bin/gen.perl?text=Homeless%20Shelters</v>
      </c>
      <c r="G802" s="11" t="str">
        <f t="shared" si="4"/>
        <v>data:image/svg+xml,%3csvg xmlns='http://www.w3.org/2000/svg' viewBox='0 0 24 216'%3e%3ctext fill='%23fff' style='font: 900 16px sans-serif' text-anchor='end' transform='matrix(0 -1 1 0 18 5)'%3eHomeless Shelters%3c/text%3e%3c/svg%3e</v>
      </c>
      <c r="H802" s="8" t="s">
        <v>17</v>
      </c>
      <c r="I802" s="8">
        <f t="shared" ref="I802:J802" si="803">len(B802)</f>
        <v>17</v>
      </c>
      <c r="J802" s="8">
        <f t="shared" si="803"/>
        <v>137</v>
      </c>
      <c r="K802" s="8" t="s">
        <v>4100</v>
      </c>
    </row>
    <row r="803">
      <c r="A803" s="7" t="b">
        <v>0</v>
      </c>
      <c r="B803" s="8" t="s">
        <v>4101</v>
      </c>
      <c r="C803" s="7" t="s">
        <v>4102</v>
      </c>
      <c r="D803" s="8" t="str">
        <f>Q&amp;$K803&amp;Q&amp;":{"&amp;Q&amp;$B$2&amp;Q&amp;":"&amp;Q&amp;$B803&amp;Q&amp;","&amp;Q&amp;$C$2&amp;Q&amp;":"&amp;Q&amp;$C803&amp;Q&amp;","&amp;Q&amp;"sets"&amp;Q&amp;":"&amp;Q&amp;substitute(SUBSTITUTE($H803,"[",""),"]","")&amp;Q&amp;"},"</f>
        <v>"qvrk":{"label":"Homer Simpson","extra":"Fictional cartoon character created by Matt Groening. D’oh!","sets":"Basic Set, Party Set"},</v>
      </c>
      <c r="E803" s="9" t="str">
        <f t="shared" si="2"/>
        <v>data:image/svg+xml,%3csvg xmlns='http://www.w3.org/2000/svg' viewBox='0 0 24 216'%3e%3ctext fill='%23fff' style='font: 900 16px sans-serif' text-anchor='end' transform='matrix(0 -1 1 0 18 5)'%3eHomer Simpson%3c/text%3e%3c/svg%3e</v>
      </c>
      <c r="F803" s="14" t="str">
        <f t="shared" si="3"/>
        <v>https://svgtext.heliohost.us/cgi-bin/gen.perl?text=Homer%20Simpson</v>
      </c>
      <c r="G803" s="11" t="str">
        <f t="shared" si="4"/>
        <v>data:image/svg+xml,%3csvg xmlns='http://www.w3.org/2000/svg' viewBox='0 0 24 216'%3e%3ctext fill='%23fff' style='font: 900 16px sans-serif' text-anchor='end' transform='matrix(0 -1 1 0 18 5)'%3eHomer Simpson%3c/text%3e%3c/svg%3e</v>
      </c>
      <c r="H803" s="8" t="s">
        <v>29</v>
      </c>
      <c r="I803" s="8">
        <f t="shared" ref="I803:J803" si="804">len(B803)</f>
        <v>13</v>
      </c>
      <c r="J803" s="8">
        <f t="shared" si="804"/>
        <v>59</v>
      </c>
      <c r="K803" s="8" t="s">
        <v>4103</v>
      </c>
    </row>
    <row r="804">
      <c r="A804" s="7" t="b">
        <v>0</v>
      </c>
      <c r="B804" s="8" t="s">
        <v>4104</v>
      </c>
      <c r="C804" s="8" t="s">
        <v>4105</v>
      </c>
      <c r="D804" s="8" t="str">
        <f>Q&amp;$K804&amp;Q&amp;":{"&amp;Q&amp;$B$2&amp;Q&amp;":"&amp;Q&amp;$B804&amp;Q&amp;","&amp;Q&amp;$C$2&amp;Q&amp;":"&amp;Q&amp;$C804&amp;Q&amp;","&amp;Q&amp;"sets"&amp;Q&amp;":"&amp;Q&amp;substitute(SUBSTITUTE($H804,"[",""),"]","")&amp;Q&amp;"},"</f>
        <v>"psjc":{"label":"Homework","extra":"Finally, something to do during commercials.","sets":"Basic Set, Party Set"},</v>
      </c>
      <c r="E804" s="9" t="str">
        <f t="shared" si="2"/>
        <v>data:image/svg+xml,%3csvg xmlns='http://www.w3.org/2000/svg' viewBox='0 0 24 216'%3e%3ctext fill='%23fff' style='font: 900 16px sans-serif' text-anchor='end' transform='matrix(0 -1 1 0 18 5)'%3eHomework%3c/text%3e%3c/svg%3e</v>
      </c>
      <c r="F804" s="14" t="str">
        <f t="shared" si="3"/>
        <v>https://svgtext.heliohost.us/cgi-bin/gen.perl?text=Homework</v>
      </c>
      <c r="G804" s="11" t="str">
        <f t="shared" si="4"/>
        <v>data:image/svg+xml,%3csvg xmlns='http://www.w3.org/2000/svg' viewBox='0 0 24 216'%3e%3ctext fill='%23fff' style='font: 900 16px sans-serif' text-anchor='end' transform='matrix(0 -1 1 0 18 5)'%3eHomework%3c/text%3e%3c/svg%3e</v>
      </c>
      <c r="H804" s="8" t="s">
        <v>29</v>
      </c>
      <c r="I804" s="8">
        <f t="shared" ref="I804:J804" si="805">len(B804)</f>
        <v>8</v>
      </c>
      <c r="J804" s="8">
        <f t="shared" si="805"/>
        <v>44</v>
      </c>
      <c r="K804" s="8" t="s">
        <v>4106</v>
      </c>
    </row>
    <row r="805">
      <c r="A805" s="7" t="b">
        <v>1</v>
      </c>
      <c r="B805" s="8" t="s">
        <v>4104</v>
      </c>
      <c r="C805" s="8" t="s">
        <v>4107</v>
      </c>
      <c r="D805" s="8" t="str">
        <f>Q&amp;$K805&amp;Q&amp;":{"&amp;Q&amp;$B$2&amp;Q&amp;":"&amp;Q&amp;$B805&amp;Q&amp;","&amp;Q&amp;$C$2&amp;Q&amp;":"&amp;Q&amp;$C805&amp;Q&amp;","&amp;Q&amp;"sets"&amp;Q&amp;":"&amp;Q&amp;substitute(SUBSTITUTE($H805,"[",""),"]","")&amp;Q&amp;"},"</f>
        <v>"xhty":{"label":"Homework","extra":"Something to do during comercials.","sets":"Junior"},</v>
      </c>
      <c r="E805" s="9" t="str">
        <f t="shared" si="2"/>
        <v>data:image/svg+xml,%3csvg xmlns='http://www.w3.org/2000/svg' viewBox='0 0 24 216'%3e%3ctext fill='%23fff' style='font: 900 16px sans-serif' text-anchor='end' transform='matrix(0 -1 1 0 18 5)'%3eHomework%3c/text%3e%3c/svg%3e</v>
      </c>
      <c r="F805" s="14" t="str">
        <f t="shared" si="3"/>
        <v>https://svgtext.heliohost.us/cgi-bin/gen.perl?text=Homework</v>
      </c>
      <c r="G805" s="11" t="str">
        <f t="shared" si="4"/>
        <v>data:image/svg+xml,%3csvg xmlns='http://www.w3.org/2000/svg' viewBox='0 0 24 216'%3e%3ctext fill='%23fff' style='font: 900 16px sans-serif' text-anchor='end' transform='matrix(0 -1 1 0 18 5)'%3eHomework%3c/text%3e%3c/svg%3e</v>
      </c>
      <c r="H805" s="8" t="s">
        <v>84</v>
      </c>
      <c r="I805" s="8">
        <f t="shared" ref="I805:J805" si="806">len(B805)</f>
        <v>8</v>
      </c>
      <c r="J805" s="8">
        <f t="shared" si="806"/>
        <v>34</v>
      </c>
      <c r="K805" s="8" t="s">
        <v>4108</v>
      </c>
    </row>
    <row r="806">
      <c r="A806" s="7" t="b">
        <v>1</v>
      </c>
      <c r="B806" s="8" t="s">
        <v>4109</v>
      </c>
      <c r="C806" s="8" t="s">
        <v>4110</v>
      </c>
      <c r="D806" s="8" t="str">
        <f>Q&amp;$K806&amp;Q&amp;":{"&amp;Q&amp;$B$2&amp;Q&amp;":"&amp;Q&amp;$B806&amp;Q&amp;","&amp;Q&amp;$C$2&amp;Q&amp;":"&amp;Q&amp;$C806&amp;Q&amp;","&amp;Q&amp;"sets"&amp;Q&amp;":"&amp;Q&amp;substitute(SUBSTITUTE($H806,"[",""),"]","")&amp;Q&amp;"},"</f>
        <v>"ktaf":{"label":"Honey","extra":"A sweet, thick, gold liquid made by bees.","sets":"Junior 9+ (1st) &amp; (2nd)"},</v>
      </c>
      <c r="E806" s="9" t="str">
        <f t="shared" si="2"/>
        <v>data:image/svg+xml,%3csvg xmlns='http://www.w3.org/2000/svg' viewBox='0 0 24 216'%3e%3ctext fill='%23fff' style='font: 900 16px sans-serif' text-anchor='end' transform='matrix(0 -1 1 0 18 5)'%3eHoney%3c/text%3e%3c/svg%3e</v>
      </c>
      <c r="F806" s="14" t="str">
        <f t="shared" si="3"/>
        <v>https://svgtext.heliohost.us/cgi-bin/gen.perl?text=Honey</v>
      </c>
      <c r="G806" s="11" t="str">
        <f t="shared" si="4"/>
        <v>data:image/svg+xml,%3csvg xmlns='http://www.w3.org/2000/svg' viewBox='0 0 24 216'%3e%3ctext fill='%23fff' style='font: 900 16px sans-serif' text-anchor='end' transform='matrix(0 -1 1 0 18 5)'%3eHoney%3c/text%3e%3c/svg%3e</v>
      </c>
      <c r="H806" s="8" t="s">
        <v>42</v>
      </c>
      <c r="I806" s="8">
        <f t="shared" ref="I806:J806" si="807">len(B806)</f>
        <v>5</v>
      </c>
      <c r="J806" s="8">
        <f t="shared" si="807"/>
        <v>41</v>
      </c>
      <c r="K806" s="8" t="s">
        <v>4111</v>
      </c>
    </row>
    <row r="807">
      <c r="A807" s="7" t="b">
        <v>1</v>
      </c>
      <c r="B807" s="8" t="s">
        <v>4112</v>
      </c>
      <c r="C807" s="8" t="s">
        <v>4113</v>
      </c>
      <c r="D807" s="8" t="str">
        <f>Q&amp;$K807&amp;Q&amp;":{"&amp;Q&amp;$B$2&amp;Q&amp;":"&amp;Q&amp;$B807&amp;Q&amp;","&amp;Q&amp;$C$2&amp;Q&amp;":"&amp;Q&amp;$C807&amp;Q&amp;","&amp;Q&amp;"sets"&amp;Q&amp;":"&amp;Q&amp;substitute(SUBSTITUTE($H807,"[",""),"]","")&amp;Q&amp;"},"</f>
        <v>"nomg":{"label":"Hook &amp; Ladder Trucks","extra":"One big reason to become a firefighter.","sets":"Expansion Set 4, Party Expansion 1"},</v>
      </c>
      <c r="E807" s="9" t="str">
        <f t="shared" si="2"/>
        <v>data:image/svg+xml,%3csvg xmlns='http://www.w3.org/2000/svg' viewBox='0 0 24 216'%3e%3ctext fill='%23fff' style='font: 900 16px sans-serif' text-anchor='end' transform='matrix(0 -1 1 0 18 5)'%3eHook %26amp%3B Ladder Trucks%3c/text%3e%3c/svg%3e</v>
      </c>
      <c r="F807" s="14" t="str">
        <f t="shared" si="3"/>
        <v>https://svgtext.heliohost.us/cgi-bin/gen.perl?text=Hook%20%26%20Ladder%20Trucks</v>
      </c>
      <c r="G807" s="11" t="str">
        <f t="shared" si="4"/>
        <v>data:image/svg+xml,%3csvg xmlns='http://www.w3.org/2000/svg' viewBox='0 0 24 216'%3e%3ctext fill='%23fff' style='font: 900 16px sans-serif' text-anchor='end' transform='matrix(0 -1 1 0 18 5)'%3eHook %26amp%3B Ladder Trucks%3c/text%3e%3c/svg%3e</v>
      </c>
      <c r="H807" s="8" t="s">
        <v>63</v>
      </c>
      <c r="I807" s="8">
        <f t="shared" ref="I807:J807" si="808">len(B807)</f>
        <v>20</v>
      </c>
      <c r="J807" s="8">
        <f t="shared" si="808"/>
        <v>39</v>
      </c>
      <c r="K807" s="8" t="s">
        <v>4114</v>
      </c>
    </row>
    <row r="808">
      <c r="A808" s="7" t="b">
        <v>0</v>
      </c>
      <c r="B808" s="8" t="s">
        <v>4115</v>
      </c>
      <c r="C808" s="7" t="s">
        <v>4116</v>
      </c>
      <c r="D808" s="8" t="str">
        <f>Q&amp;$K808&amp;Q&amp;":{"&amp;Q&amp;$B$2&amp;Q&amp;":"&amp;Q&amp;$B808&amp;Q&amp;","&amp;Q&amp;$C$2&amp;Q&amp;":"&amp;Q&amp;$C808&amp;Q&amp;","&amp;Q&amp;"sets"&amp;Q&amp;":"&amp;Q&amp;substitute(SUBSTITUTE($H808,"[",""),"]","")&amp;Q&amp;"},"</f>
        <v>"fnvu":{"label":"Hooligans","extra":"“Hey! Kids! Get outta my yard!”","sets":"Basic Set, Party Set"},</v>
      </c>
      <c r="E808" s="9" t="str">
        <f t="shared" si="2"/>
        <v>data:image/svg+xml,%3csvg xmlns='http://www.w3.org/2000/svg' viewBox='0 0 24 216'%3e%3ctext fill='%23fff' style='font: 900 16px sans-serif' text-anchor='end' transform='matrix(0 -1 1 0 18 5)'%3eHooligans%3c/text%3e%3c/svg%3e</v>
      </c>
      <c r="F808" s="14" t="str">
        <f t="shared" si="3"/>
        <v>https://svgtext.heliohost.us/cgi-bin/gen.perl?text=Hooligans</v>
      </c>
      <c r="G808" s="11" t="str">
        <f t="shared" si="4"/>
        <v>data:image/svg+xml,%3csvg xmlns='http://www.w3.org/2000/svg' viewBox='0 0 24 216'%3e%3ctext fill='%23fff' style='font: 900 16px sans-serif' text-anchor='end' transform='matrix(0 -1 1 0 18 5)'%3eHooligans%3c/text%3e%3c/svg%3e</v>
      </c>
      <c r="H808" s="8" t="s">
        <v>29</v>
      </c>
      <c r="I808" s="8">
        <f t="shared" ref="I808:J808" si="809">len(B808)</f>
        <v>9</v>
      </c>
      <c r="J808" s="8">
        <f t="shared" si="809"/>
        <v>31</v>
      </c>
      <c r="K808" s="8" t="s">
        <v>4117</v>
      </c>
    </row>
    <row r="809">
      <c r="A809" s="7" t="b">
        <v>0</v>
      </c>
      <c r="B809" s="8" t="s">
        <v>4118</v>
      </c>
      <c r="C809" s="7" t="s">
        <v>4119</v>
      </c>
      <c r="D809" s="8" t="str">
        <f>Q&amp;$K809&amp;Q&amp;":{"&amp;Q&amp;$B$2&amp;Q&amp;":"&amp;Q&amp;$B809&amp;Q&amp;","&amp;Q&amp;$C$2&amp;Q&amp;":"&amp;Q&amp;$C809&amp;Q&amp;","&amp;Q&amp;"sets"&amp;Q&amp;":"&amp;Q&amp;substitute(SUBSTITUTE($H809,"[",""),"]","")&amp;Q&amp;"},"</f>
        <v>"obfq":{"label":"Hootie &amp; The Blowfish","extra":"One of the most commercially successful pop bands to emerge in the 1990s. I go blind when I think about them.","sets":"Expansion Set 4, Party Expansion 1"},</v>
      </c>
      <c r="E809" s="9" t="str">
        <f t="shared" si="2"/>
        <v>data:image/svg+xml,%3csvg xmlns='http://www.w3.org/2000/svg' viewBox='0 0 24 216'%3e%3ctext fill='%23fff' style='font: 900 16px sans-serif' text-anchor='end' transform='matrix(0 -1 1 0 18 5)'%3eHootie %26amp%3B The Blowfish%3c/text%3e%3c/svg%3e</v>
      </c>
      <c r="F809" s="14" t="str">
        <f t="shared" si="3"/>
        <v>https://svgtext.heliohost.us/cgi-bin/gen.perl?text=Hootie%20%26%20The%20Blowfish</v>
      </c>
      <c r="G809" s="11" t="str">
        <f t="shared" si="4"/>
        <v>data:image/svg+xml,%3csvg xmlns='http://www.w3.org/2000/svg' viewBox='0 0 24 216'%3e%3ctext fill='%23fff' style='font: 900 16px sans-serif' text-anchor='end' transform='matrix(0 -1 1 0 18 5)'%3eHootie %26amp%3B The Blowfish%3c/text%3e%3c/svg%3e</v>
      </c>
      <c r="H809" s="8" t="s">
        <v>63</v>
      </c>
      <c r="I809" s="8">
        <f t="shared" ref="I809:J809" si="810">len(B809)</f>
        <v>21</v>
      </c>
      <c r="J809" s="8">
        <f t="shared" si="810"/>
        <v>109</v>
      </c>
      <c r="K809" s="8" t="s">
        <v>4120</v>
      </c>
    </row>
    <row r="810">
      <c r="A810" s="7" t="b">
        <v>1</v>
      </c>
      <c r="B810" s="8" t="s">
        <v>4121</v>
      </c>
      <c r="C810" s="8" t="s">
        <v>4122</v>
      </c>
      <c r="D810" s="8" t="str">
        <f>Q&amp;$K810&amp;Q&amp;":{"&amp;Q&amp;$B$2&amp;Q&amp;":"&amp;Q&amp;$B810&amp;Q&amp;","&amp;Q&amp;$C$2&amp;Q&amp;":"&amp;Q&amp;$C810&amp;Q&amp;","&amp;Q&amp;"sets"&amp;Q&amp;":"&amp;Q&amp;substitute(SUBSTITUTE($H810,"[",""),"]","")&amp;Q&amp;"},"</f>
        <v>"eezr":{"label":"Hopscotch","extra":"All you need is a sidewalk, chalk, and a rock.","sets":"Junior 9+ (2nd)"},</v>
      </c>
      <c r="E810" s="9" t="str">
        <f t="shared" si="2"/>
        <v>data:image/svg+xml,%3csvg xmlns='http://www.w3.org/2000/svg' viewBox='0 0 24 216'%3e%3ctext fill='%23fff' style='font: 900 16px sans-serif' text-anchor='end' transform='matrix(0 -1 1 0 18 5)'%3eHopscotch%3c/text%3e%3c/svg%3e</v>
      </c>
      <c r="F810" s="14" t="str">
        <f t="shared" si="3"/>
        <v>https://svgtext.heliohost.us/cgi-bin/gen.perl?text=Hopscotch</v>
      </c>
      <c r="G810" s="11" t="str">
        <f t="shared" si="4"/>
        <v>data:image/svg+xml,%3csvg xmlns='http://www.w3.org/2000/svg' viewBox='0 0 24 216'%3e%3ctext fill='%23fff' style='font: 900 16px sans-serif' text-anchor='end' transform='matrix(0 -1 1 0 18 5)'%3eHopscotch%3c/text%3e%3c/svg%3e</v>
      </c>
      <c r="H810" s="8" t="s">
        <v>32</v>
      </c>
      <c r="I810" s="8">
        <f t="shared" ref="I810:J810" si="811">len(B810)</f>
        <v>9</v>
      </c>
      <c r="J810" s="8">
        <f t="shared" si="811"/>
        <v>46</v>
      </c>
      <c r="K810" s="8" t="s">
        <v>4123</v>
      </c>
    </row>
    <row r="811">
      <c r="A811" s="7" t="b">
        <v>1</v>
      </c>
      <c r="B811" s="8" t="s">
        <v>4124</v>
      </c>
      <c r="C811" s="8" t="s">
        <v>4125</v>
      </c>
      <c r="D811" s="8" t="str">
        <f>Q&amp;$K811&amp;Q&amp;":{"&amp;Q&amp;$B$2&amp;Q&amp;":"&amp;Q&amp;$B811&amp;Q&amp;","&amp;Q&amp;$C$2&amp;Q&amp;":"&amp;Q&amp;$C811&amp;Q&amp;","&amp;Q&amp;"sets"&amp;Q&amp;":"&amp;Q&amp;substitute(SUBSTITUTE($H811,"[",""),"]","")&amp;Q&amp;"},"</f>
        <v>"dbmp":{"label":"Horse &amp; Cart","extra":"Get the order right!","sets":"Expansion Set 4, Party Expansion 1"},</v>
      </c>
      <c r="E811" s="9" t="str">
        <f t="shared" si="2"/>
        <v>data:image/svg+xml,%3csvg xmlns='http://www.w3.org/2000/svg' viewBox='0 0 24 216'%3e%3ctext fill='%23fff' style='font: 900 16px sans-serif' text-anchor='end' transform='matrix(0 -1 1 0 18 5)'%3eHorse %26amp%3B Cart%3c/text%3e%3c/svg%3e</v>
      </c>
      <c r="F811" s="14" t="str">
        <f t="shared" si="3"/>
        <v>https://svgtext.heliohost.us/cgi-bin/gen.perl?text=Horse%20%26%20Cart</v>
      </c>
      <c r="G811" s="11" t="str">
        <f t="shared" si="4"/>
        <v>data:image/svg+xml,%3csvg xmlns='http://www.w3.org/2000/svg' viewBox='0 0 24 216'%3e%3ctext fill='%23fff' style='font: 900 16px sans-serif' text-anchor='end' transform='matrix(0 -1 1 0 18 5)'%3eHorse %26amp%3B Cart%3c/text%3e%3c/svg%3e</v>
      </c>
      <c r="H811" s="8" t="s">
        <v>63</v>
      </c>
      <c r="I811" s="8">
        <f t="shared" ref="I811:J811" si="812">len(B811)</f>
        <v>12</v>
      </c>
      <c r="J811" s="8">
        <f t="shared" si="812"/>
        <v>20</v>
      </c>
      <c r="K811" s="8" t="s">
        <v>4126</v>
      </c>
    </row>
    <row r="812">
      <c r="A812" s="7" t="b">
        <v>0</v>
      </c>
      <c r="B812" s="8" t="s">
        <v>4127</v>
      </c>
      <c r="C812" s="8" t="s">
        <v>4128</v>
      </c>
      <c r="D812" s="8" t="str">
        <f>Q&amp;$K812&amp;Q&amp;":{"&amp;Q&amp;$B$2&amp;Q&amp;":"&amp;Q&amp;$B812&amp;Q&amp;","&amp;Q&amp;$C$2&amp;Q&amp;":"&amp;Q&amp;$C812&amp;Q&amp;","&amp;Q&amp;"sets"&amp;Q&amp;":"&amp;Q&amp;substitute(SUBSTITUTE($H812,"[",""),"]","")&amp;Q&amp;"},"</f>
        <v>"ppcq":{"label":"Horseback Riding","extra":"WHOAAA!!!","sets":"Expansion Set 2, Party Set"},</v>
      </c>
      <c r="E812" s="9" t="str">
        <f t="shared" si="2"/>
        <v>data:image/svg+xml,%3csvg xmlns='http://www.w3.org/2000/svg' viewBox='0 0 24 216'%3e%3ctext fill='%23fff' style='font: 900 16px sans-serif' text-anchor='end' transform='matrix(0 -1 1 0 18 5)'%3eHorseback Riding%3c/text%3e%3c/svg%3e</v>
      </c>
      <c r="F812" s="14" t="str">
        <f t="shared" si="3"/>
        <v>https://svgtext.heliohost.us/cgi-bin/gen.perl?text=Horseback%20Riding</v>
      </c>
      <c r="G812" s="11" t="str">
        <f t="shared" si="4"/>
        <v>data:image/svg+xml,%3csvg xmlns='http://www.w3.org/2000/svg' viewBox='0 0 24 216'%3e%3ctext fill='%23fff' style='font: 900 16px sans-serif' text-anchor='end' transform='matrix(0 -1 1 0 18 5)'%3eHorseback Riding%3c/text%3e%3c/svg%3e</v>
      </c>
      <c r="H812" s="8" t="s">
        <v>17</v>
      </c>
      <c r="I812" s="8">
        <f t="shared" ref="I812:J812" si="813">len(B812)</f>
        <v>16</v>
      </c>
      <c r="J812" s="8">
        <f t="shared" si="813"/>
        <v>9</v>
      </c>
      <c r="K812" s="8" t="s">
        <v>4129</v>
      </c>
    </row>
    <row r="813">
      <c r="A813" s="7" t="b">
        <v>1</v>
      </c>
      <c r="B813" s="8" t="s">
        <v>4130</v>
      </c>
      <c r="C813" s="8" t="s">
        <v>4131</v>
      </c>
      <c r="D813" s="8" t="str">
        <f>Q&amp;$K813&amp;Q&amp;":{"&amp;Q&amp;$B$2&amp;Q&amp;":"&amp;Q&amp;$B813&amp;Q&amp;","&amp;Q&amp;$C$2&amp;Q&amp;":"&amp;Q&amp;$C813&amp;Q&amp;","&amp;Q&amp;"sets"&amp;Q&amp;":"&amp;Q&amp;substitute(SUBSTITUTE($H813,"[",""),"]","")&amp;Q&amp;"},"</f>
        <v>"jzcd":{"label":"Horses","extra":"Black Beauty, the Black Stallion, and Flicka are famous horses in literature.","sets":"Junior 9+ (1st) &amp; (2nd)"},</v>
      </c>
      <c r="E813" s="9" t="str">
        <f t="shared" si="2"/>
        <v>data:image/svg+xml,%3csvg xmlns='http://www.w3.org/2000/svg' viewBox='0 0 24 216'%3e%3ctext fill='%23fff' style='font: 900 16px sans-serif' text-anchor='end' transform='matrix(0 -1 1 0 18 5)'%3eHorses%3c/text%3e%3c/svg%3e</v>
      </c>
      <c r="F813" s="14" t="str">
        <f t="shared" si="3"/>
        <v>https://svgtext.heliohost.us/cgi-bin/gen.perl?text=Horses</v>
      </c>
      <c r="G813" s="11" t="str">
        <f t="shared" si="4"/>
        <v>data:image/svg+xml,%3csvg xmlns='http://www.w3.org/2000/svg' viewBox='0 0 24 216'%3e%3ctext fill='%23fff' style='font: 900 16px sans-serif' text-anchor='end' transform='matrix(0 -1 1 0 18 5)'%3eHorses%3c/text%3e%3c/svg%3e</v>
      </c>
      <c r="H813" s="8" t="s">
        <v>42</v>
      </c>
      <c r="I813" s="8">
        <f t="shared" ref="I813:J813" si="814">len(B813)</f>
        <v>6</v>
      </c>
      <c r="J813" s="8">
        <f t="shared" si="814"/>
        <v>77</v>
      </c>
      <c r="K813" s="8" t="s">
        <v>4132</v>
      </c>
    </row>
    <row r="814">
      <c r="A814" s="7" t="b">
        <v>1</v>
      </c>
      <c r="B814" s="8" t="s">
        <v>4133</v>
      </c>
      <c r="C814" s="7" t="s">
        <v>4134</v>
      </c>
      <c r="D814" s="8" t="str">
        <f>Q&amp;$K814&amp;Q&amp;":{"&amp;Q&amp;$B$2&amp;Q&amp;":"&amp;Q&amp;$B814&amp;Q&amp;","&amp;Q&amp;$C$2&amp;Q&amp;":"&amp;Q&amp;$C814&amp;Q&amp;","&amp;Q&amp;"sets"&amp;Q&amp;":"&amp;Q&amp;substitute(SUBSTITUTE($H814,"[",""),"]","")&amp;Q&amp;"},"</f>
        <v>"y{er":{"label":"Hospital Gowns","extra":"Open all hours.","sets":"Expansion Set 3, Party Expansion 1"},</v>
      </c>
      <c r="E814" s="9" t="str">
        <f t="shared" si="2"/>
        <v>data:image/svg+xml,%3csvg xmlns='http://www.w3.org/2000/svg' viewBox='0 0 24 216'%3e%3ctext fill='%23fff' style='font: 900 16px sans-serif' text-anchor='end' transform='matrix(0 -1 1 0 18 5)'%3eHospital Gowns%3c/text%3e%3c/svg%3e</v>
      </c>
      <c r="F814" s="14" t="str">
        <f t="shared" si="3"/>
        <v>https://svgtext.heliohost.us/cgi-bin/gen.perl?text=Hospital%20Gowns</v>
      </c>
      <c r="G814" s="11" t="str">
        <f t="shared" si="4"/>
        <v>data:image/svg+xml,%3csvg xmlns='http://www.w3.org/2000/svg' viewBox='0 0 24 216'%3e%3ctext fill='%23fff' style='font: 900 16px sans-serif' text-anchor='end' transform='matrix(0 -1 1 0 18 5)'%3eHospital Gowns%3c/text%3e%3c/svg%3e</v>
      </c>
      <c r="H814" s="8" t="s">
        <v>39</v>
      </c>
      <c r="I814" s="8">
        <f t="shared" ref="I814:J814" si="815">len(B814)</f>
        <v>14</v>
      </c>
      <c r="J814" s="8">
        <f t="shared" si="815"/>
        <v>15</v>
      </c>
      <c r="K814" s="8" t="s">
        <v>4135</v>
      </c>
    </row>
    <row r="815">
      <c r="A815" s="7" t="b">
        <v>1</v>
      </c>
      <c r="B815" s="8" t="s">
        <v>4136</v>
      </c>
      <c r="C815" s="8" t="s">
        <v>4137</v>
      </c>
      <c r="D815" s="8" t="str">
        <f>Q&amp;$K815&amp;Q&amp;":{"&amp;Q&amp;$B$2&amp;Q&amp;":"&amp;Q&amp;$B815&amp;Q&amp;","&amp;Q&amp;$C$2&amp;Q&amp;":"&amp;Q&amp;$C815&amp;Q&amp;","&amp;Q&amp;"sets"&amp;Q&amp;":"&amp;Q&amp;substitute(SUBSTITUTE($H815,"[",""),"]","")&amp;Q&amp;"},"</f>
        <v>"daqh":{"label":"Hospitals","extra":"The ambulance is the fastest way to get there.","sets":"Junior 9+ (1st) &amp; (2nd)"},</v>
      </c>
      <c r="E815" s="9" t="str">
        <f t="shared" si="2"/>
        <v>data:image/svg+xml,%3csvg xmlns='http://www.w3.org/2000/svg' viewBox='0 0 24 216'%3e%3ctext fill='%23fff' style='font: 900 16px sans-serif' text-anchor='end' transform='matrix(0 -1 1 0 18 5)'%3eHospitals%3c/text%3e%3c/svg%3e</v>
      </c>
      <c r="F815" s="14" t="str">
        <f t="shared" si="3"/>
        <v>https://svgtext.heliohost.us/cgi-bin/gen.perl?text=Hospitals</v>
      </c>
      <c r="G815" s="11" t="str">
        <f t="shared" si="4"/>
        <v>data:image/svg+xml,%3csvg xmlns='http://www.w3.org/2000/svg' viewBox='0 0 24 216'%3e%3ctext fill='%23fff' style='font: 900 16px sans-serif' text-anchor='end' transform='matrix(0 -1 1 0 18 5)'%3eHospitals%3c/text%3e%3c/svg%3e</v>
      </c>
      <c r="H815" s="8" t="s">
        <v>42</v>
      </c>
      <c r="I815" s="8">
        <f t="shared" ref="I815:J815" si="816">len(B815)</f>
        <v>9</v>
      </c>
      <c r="J815" s="8">
        <f t="shared" si="816"/>
        <v>46</v>
      </c>
      <c r="K815" s="8" t="s">
        <v>4138</v>
      </c>
    </row>
    <row r="816">
      <c r="A816" s="7" t="b">
        <v>1</v>
      </c>
      <c r="B816" s="8" t="s">
        <v>4139</v>
      </c>
      <c r="C816" s="8" t="s">
        <v>4140</v>
      </c>
      <c r="D816" s="8" t="str">
        <f>Q&amp;$K816&amp;Q&amp;":{"&amp;Q&amp;$B$2&amp;Q&amp;":"&amp;Q&amp;$B816&amp;Q&amp;","&amp;Q&amp;$C$2&amp;Q&amp;":"&amp;Q&amp;$C816&amp;Q&amp;","&amp;Q&amp;"sets"&amp;Q&amp;":"&amp;Q&amp;substitute(SUBSTITUTE($H816,"[",""),"]","")&amp;Q&amp;"},"</f>
        <v>"mkfh":{"label":"Hot Chocolate","extra":"A good drink on a cold day. Just add marshmallows!","sets":"Junior"},</v>
      </c>
      <c r="E816" s="9" t="str">
        <f t="shared" si="2"/>
        <v>data:image/svg+xml,%3csvg xmlns='http://www.w3.org/2000/svg' viewBox='0 0 24 216'%3e%3ctext fill='%23fff' style='font: 900 16px sans-serif' text-anchor='end' transform='matrix(0 -1 1 0 18 5)'%3eHot Chocolate%3c/text%3e%3c/svg%3e</v>
      </c>
      <c r="F816" s="14" t="str">
        <f t="shared" si="3"/>
        <v>https://svgtext.heliohost.us/cgi-bin/gen.perl?text=Hot%20Chocolate</v>
      </c>
      <c r="G816" s="11" t="str">
        <f t="shared" si="4"/>
        <v>data:image/svg+xml,%3csvg xmlns='http://www.w3.org/2000/svg' viewBox='0 0 24 216'%3e%3ctext fill='%23fff' style='font: 900 16px sans-serif' text-anchor='end' transform='matrix(0 -1 1 0 18 5)'%3eHot Chocolate%3c/text%3e%3c/svg%3e</v>
      </c>
      <c r="H816" s="8" t="s">
        <v>84</v>
      </c>
      <c r="I816" s="8">
        <f t="shared" ref="I816:J816" si="817">len(B816)</f>
        <v>13</v>
      </c>
      <c r="J816" s="8">
        <f t="shared" si="817"/>
        <v>50</v>
      </c>
      <c r="K816" s="8" t="s">
        <v>4141</v>
      </c>
    </row>
    <row r="817">
      <c r="A817" s="7" t="b">
        <v>0</v>
      </c>
      <c r="B817" s="8" t="s">
        <v>4142</v>
      </c>
      <c r="C817" s="7" t="s">
        <v>4143</v>
      </c>
      <c r="D817" s="8" t="str">
        <f>Q&amp;$K817&amp;Q&amp;":{"&amp;Q&amp;$B$2&amp;Q&amp;":"&amp;Q&amp;$B817&amp;Q&amp;","&amp;Q&amp;$C$2&amp;Q&amp;":"&amp;Q&amp;$C817&amp;Q&amp;","&amp;Q&amp;"sets"&amp;Q&amp;":"&amp;Q&amp;substitute(SUBSTITUTE($H817,"[",""),"]","")&amp;Q&amp;"},"</f>
        <v>"wnqk":{"label":"Hot Lava","extra":"There’s no better way to serve it.","sets":"Basic Set, Party Set"},</v>
      </c>
      <c r="E817" s="9" t="str">
        <f t="shared" si="2"/>
        <v>data:image/svg+xml,%3csvg xmlns='http://www.w3.org/2000/svg' viewBox='0 0 24 216'%3e%3ctext fill='%23fff' style='font: 900 16px sans-serif' text-anchor='end' transform='matrix(0 -1 1 0 18 5)'%3eHot Lava%3c/text%3e%3c/svg%3e</v>
      </c>
      <c r="F817" s="14" t="str">
        <f t="shared" si="3"/>
        <v>https://svgtext.heliohost.us/cgi-bin/gen.perl?text=Hot%20Lava</v>
      </c>
      <c r="G817" s="11" t="str">
        <f t="shared" si="4"/>
        <v>data:image/svg+xml,%3csvg xmlns='http://www.w3.org/2000/svg' viewBox='0 0 24 216'%3e%3ctext fill='%23fff' style='font: 900 16px sans-serif' text-anchor='end' transform='matrix(0 -1 1 0 18 5)'%3eHot Lava%3c/text%3e%3c/svg%3e</v>
      </c>
      <c r="H817" s="8" t="s">
        <v>29</v>
      </c>
      <c r="I817" s="8">
        <f t="shared" ref="I817:J817" si="818">len(B817)</f>
        <v>8</v>
      </c>
      <c r="J817" s="8">
        <f t="shared" si="818"/>
        <v>34</v>
      </c>
      <c r="K817" s="8" t="s">
        <v>4144</v>
      </c>
    </row>
    <row r="818">
      <c r="A818" s="7" t="b">
        <v>1</v>
      </c>
      <c r="B818" s="8" t="s">
        <v>4145</v>
      </c>
      <c r="C818" s="7" t="s">
        <v>4146</v>
      </c>
      <c r="D818" s="8" t="str">
        <f>Q&amp;$K818&amp;Q&amp;":{"&amp;Q&amp;$B$2&amp;Q&amp;":"&amp;Q&amp;$B818&amp;Q&amp;","&amp;Q&amp;$C$2&amp;Q&amp;":"&amp;Q&amp;$C818&amp;Q&amp;","&amp;Q&amp;"sets"&amp;Q&amp;":"&amp;Q&amp;substitute(SUBSTITUTE($H818,"[",""),"]","")&amp;Q&amp;"},"</f>
        <v>"lbzb":{"label":"Hot Tubs","extra":"Of course it’s hot—it’s a hot tub!","sets":"Junior 9+ (2nd)"},</v>
      </c>
      <c r="E818" s="9" t="str">
        <f t="shared" si="2"/>
        <v>data:image/svg+xml,%3csvg xmlns='http://www.w3.org/2000/svg' viewBox='0 0 24 216'%3e%3ctext fill='%23fff' style='font: 900 16px sans-serif' text-anchor='end' transform='matrix(0 -1 1 0 18 5)'%3eHot Tubs%3c/text%3e%3c/svg%3e</v>
      </c>
      <c r="F818" s="14" t="str">
        <f t="shared" si="3"/>
        <v>https://svgtext.heliohost.us/cgi-bin/gen.perl?text=Hot%20Tubs</v>
      </c>
      <c r="G818" s="11" t="str">
        <f t="shared" si="4"/>
        <v>data:image/svg+xml,%3csvg xmlns='http://www.w3.org/2000/svg' viewBox='0 0 24 216'%3e%3ctext fill='%23fff' style='font: 900 16px sans-serif' text-anchor='end' transform='matrix(0 -1 1 0 18 5)'%3eHot Tubs%3c/text%3e%3c/svg%3e</v>
      </c>
      <c r="H818" s="8" t="s">
        <v>32</v>
      </c>
      <c r="I818" s="8">
        <f t="shared" ref="I818:J818" si="819">len(B818)</f>
        <v>8</v>
      </c>
      <c r="J818" s="8">
        <f t="shared" si="819"/>
        <v>34</v>
      </c>
      <c r="K818" s="8" t="s">
        <v>4147</v>
      </c>
    </row>
    <row r="819">
      <c r="A819" s="7" t="b">
        <v>1</v>
      </c>
      <c r="B819" s="8" t="s">
        <v>4148</v>
      </c>
      <c r="C819" s="8" t="s">
        <v>4149</v>
      </c>
      <c r="D819" s="8" t="str">
        <f>Q&amp;$K819&amp;Q&amp;":{"&amp;Q&amp;$B$2&amp;Q&amp;":"&amp;Q&amp;$B819&amp;Q&amp;","&amp;Q&amp;$C$2&amp;Q&amp;":"&amp;Q&amp;$C819&amp;Q&amp;","&amp;Q&amp;"sets"&amp;Q&amp;":"&amp;Q&amp;substitute(SUBSTITUTE($H819,"[",""),"]","")&amp;Q&amp;"},"</f>
        <v>"pqbe":{"label":"Hot Wheels Cars","extra":"Small, metal cars to play with and collect. They can go over 300 miles per hour downhill!","sets":"Junior"},</v>
      </c>
      <c r="E819" s="9" t="str">
        <f t="shared" si="2"/>
        <v>data:image/svg+xml,%3csvg xmlns='http://www.w3.org/2000/svg' viewBox='0 0 24 216'%3e%3ctext fill='%23fff' style='font: 900 16px sans-serif' text-anchor='end' transform='matrix(0 -1 1 0 18 5)'%3eHot Wheels Cars%3c/text%3e%3c/svg%3e</v>
      </c>
      <c r="F819" s="14" t="str">
        <f t="shared" si="3"/>
        <v>https://svgtext.heliohost.us/cgi-bin/gen.perl?text=Hot%20Wheels%20Cars</v>
      </c>
      <c r="G819" s="11" t="str">
        <f t="shared" si="4"/>
        <v>data:image/svg+xml,%3csvg xmlns='http://www.w3.org/2000/svg' viewBox='0 0 24 216'%3e%3ctext fill='%23fff' style='font: 900 16px sans-serif' text-anchor='end' transform='matrix(0 -1 1 0 18 5)'%3eHot Wheels Cars%3c/text%3e%3c/svg%3e</v>
      </c>
      <c r="H819" s="8" t="s">
        <v>84</v>
      </c>
      <c r="I819" s="8">
        <f t="shared" ref="I819:J819" si="820">len(B819)</f>
        <v>15</v>
      </c>
      <c r="J819" s="8">
        <f t="shared" si="820"/>
        <v>89</v>
      </c>
      <c r="K819" s="8" t="s">
        <v>4150</v>
      </c>
    </row>
    <row r="820">
      <c r="A820" s="7" t="b">
        <v>1</v>
      </c>
      <c r="B820" s="8" t="s">
        <v>4151</v>
      </c>
      <c r="C820" s="8" t="s">
        <v>4152</v>
      </c>
      <c r="D820" s="8" t="str">
        <f>Q&amp;$K820&amp;Q&amp;":{"&amp;Q&amp;$B$2&amp;Q&amp;":"&amp;Q&amp;$B820&amp;Q&amp;","&amp;Q&amp;$C$2&amp;Q&amp;":"&amp;Q&amp;$C820&amp;Q&amp;","&amp;Q&amp;"sets"&amp;Q&amp;":"&amp;Q&amp;substitute(SUBSTITUTE($H820,"[",""),"]","")&amp;Q&amp;"},"</f>
        <v>"dylg":{"label":"Hotdogs","extra":"A sausage served at ballgames and cookouts. They are NOT made from dogs!","sets":"Junior"},</v>
      </c>
      <c r="E820" s="9" t="str">
        <f t="shared" si="2"/>
        <v>data:image/svg+xml,%3csvg xmlns='http://www.w3.org/2000/svg' viewBox='0 0 24 216'%3e%3ctext fill='%23fff' style='font: 900 16px sans-serif' text-anchor='end' transform='matrix(0 -1 1 0 18 5)'%3eHotdogs%3c/text%3e%3c/svg%3e</v>
      </c>
      <c r="F820" s="14" t="str">
        <f t="shared" si="3"/>
        <v>https://svgtext.heliohost.us/cgi-bin/gen.perl?text=Hotdogs</v>
      </c>
      <c r="G820" s="11" t="str">
        <f t="shared" si="4"/>
        <v>data:image/svg+xml,%3csvg xmlns='http://www.w3.org/2000/svg' viewBox='0 0 24 216'%3e%3ctext fill='%23fff' style='font: 900 16px sans-serif' text-anchor='end' transform='matrix(0 -1 1 0 18 5)'%3eHotdogs%3c/text%3e%3c/svg%3e</v>
      </c>
      <c r="H820" s="8" t="s">
        <v>84</v>
      </c>
      <c r="I820" s="8">
        <f t="shared" ref="I820:J820" si="821">len(B820)</f>
        <v>7</v>
      </c>
      <c r="J820" s="8">
        <f t="shared" si="821"/>
        <v>72</v>
      </c>
      <c r="K820" s="8" t="s">
        <v>4153</v>
      </c>
    </row>
    <row r="821">
      <c r="A821" s="7" t="b">
        <v>1</v>
      </c>
      <c r="B821" s="8" t="s">
        <v>4154</v>
      </c>
      <c r="C821" s="8" t="s">
        <v>4155</v>
      </c>
      <c r="D821" s="8" t="str">
        <f>Q&amp;$K821&amp;Q&amp;":{"&amp;Q&amp;$B$2&amp;Q&amp;":"&amp;Q&amp;$B821&amp;Q&amp;","&amp;Q&amp;$C$2&amp;Q&amp;":"&amp;Q&amp;$C821&amp;Q&amp;","&amp;Q&amp;"sets"&amp;Q&amp;":"&amp;Q&amp;substitute(SUBSTITUTE($H821,"[",""),"]","")&amp;Q&amp;"},"</f>
        <v>"imkn":{"label":"Hotels &amp; Motels","extra":"Get a room!","sets":"Expansion Set 4, Party Expansion 1"},</v>
      </c>
      <c r="E821" s="9" t="str">
        <f t="shared" si="2"/>
        <v>data:image/svg+xml,%3csvg xmlns='http://www.w3.org/2000/svg' viewBox='0 0 24 216'%3e%3ctext fill='%23fff' style='font: 900 16px sans-serif' text-anchor='end' transform='matrix(0 -1 1 0 18 5)'%3eHotels %26amp%3B Motels%3c/text%3e%3c/svg%3e</v>
      </c>
      <c r="F821" s="14" t="str">
        <f t="shared" si="3"/>
        <v>https://svgtext.heliohost.us/cgi-bin/gen.perl?text=Hotels%20%26%20Motels</v>
      </c>
      <c r="G821" s="11" t="str">
        <f t="shared" si="4"/>
        <v>data:image/svg+xml,%3csvg xmlns='http://www.w3.org/2000/svg' viewBox='0 0 24 216'%3e%3ctext fill='%23fff' style='font: 900 16px sans-serif' text-anchor='end' transform='matrix(0 -1 1 0 18 5)'%3eHotels %26amp%3B Motels%3c/text%3e%3c/svg%3e</v>
      </c>
      <c r="H821" s="8" t="s">
        <v>63</v>
      </c>
      <c r="I821" s="8">
        <f t="shared" ref="I821:J821" si="822">len(B821)</f>
        <v>15</v>
      </c>
      <c r="J821" s="8">
        <f t="shared" si="822"/>
        <v>11</v>
      </c>
      <c r="K821" s="8" t="s">
        <v>4156</v>
      </c>
    </row>
    <row r="822">
      <c r="A822" s="7" t="b">
        <v>1</v>
      </c>
      <c r="B822" s="8" t="s">
        <v>4157</v>
      </c>
      <c r="C822" s="7" t="s">
        <v>4158</v>
      </c>
      <c r="D822" s="8" t="str">
        <f>Q&amp;$K822&amp;Q&amp;":{"&amp;Q&amp;$B$2&amp;Q&amp;":"&amp;Q&amp;$B822&amp;Q&amp;","&amp;Q&amp;$C$2&amp;Q&amp;":"&amp;Q&amp;$C822&amp;Q&amp;","&amp;Q&amp;"sets"&amp;Q&amp;":"&amp;Q&amp;substitute(SUBSTITUTE($H822,"[",""),"]","")&amp;Q&amp;"},"</f>
        <v>"tckf":{"label":"House &amp; Home","extra":"And money pit.","sets":"Expansion Set 4, Party Expansion 1"},</v>
      </c>
      <c r="E822" s="9" t="str">
        <f t="shared" si="2"/>
        <v>data:image/svg+xml,%3csvg xmlns='http://www.w3.org/2000/svg' viewBox='0 0 24 216'%3e%3ctext fill='%23fff' style='font: 900 16px sans-serif' text-anchor='end' transform='matrix(0 -1 1 0 18 5)'%3eHouse %26amp%3B Home%3c/text%3e%3c/svg%3e</v>
      </c>
      <c r="F822" s="14" t="str">
        <f t="shared" si="3"/>
        <v>https://svgtext.heliohost.us/cgi-bin/gen.perl?text=House%20%26%20Home</v>
      </c>
      <c r="G822" s="11" t="str">
        <f t="shared" si="4"/>
        <v>data:image/svg+xml,%3csvg xmlns='http://www.w3.org/2000/svg' viewBox='0 0 24 216'%3e%3ctext fill='%23fff' style='font: 900 16px sans-serif' text-anchor='end' transform='matrix(0 -1 1 0 18 5)'%3eHouse %26amp%3B Home%3c/text%3e%3c/svg%3e</v>
      </c>
      <c r="H822" s="8" t="s">
        <v>63</v>
      </c>
      <c r="I822" s="8">
        <f t="shared" ref="I822:J822" si="823">len(B822)</f>
        <v>12</v>
      </c>
      <c r="J822" s="8">
        <f t="shared" si="823"/>
        <v>14</v>
      </c>
      <c r="K822" s="8" t="s">
        <v>4159</v>
      </c>
    </row>
    <row r="823">
      <c r="A823" s="7" t="b">
        <v>0</v>
      </c>
      <c r="B823" s="8" t="s">
        <v>4160</v>
      </c>
      <c r="C823" s="7" t="s">
        <v>4161</v>
      </c>
      <c r="D823" s="8" t="str">
        <f>Q&amp;$K823&amp;Q&amp;":{"&amp;Q&amp;$B$2&amp;Q&amp;":"&amp;Q&amp;$B823&amp;Q&amp;","&amp;Q&amp;$C$2&amp;Q&amp;":"&amp;Q&amp;$C823&amp;Q&amp;","&amp;Q&amp;"sets"&amp;Q&amp;":"&amp;Q&amp;substitute(SUBSTITUTE($H823,"[",""),"]","")&amp;Q&amp;"},"</f>
        <v>"uocf":{"label":"House Guests","extra":"How many visitors does it take to drive you crazy? Go on …take a guest!","sets":"Expansion Set 1, Party Set"},</v>
      </c>
      <c r="E823" s="9" t="str">
        <f t="shared" si="2"/>
        <v>data:image/svg+xml,%3csvg xmlns='http://www.w3.org/2000/svg' viewBox='0 0 24 216'%3e%3ctext fill='%23fff' style='font: 900 16px sans-serif' text-anchor='end' transform='matrix(0 -1 1 0 18 5)'%3eHouse Guests%3c/text%3e%3c/svg%3e</v>
      </c>
      <c r="F823" s="14" t="str">
        <f t="shared" si="3"/>
        <v>https://svgtext.heliohost.us/cgi-bin/gen.perl?text=House%20Guests</v>
      </c>
      <c r="G823" s="11" t="str">
        <f t="shared" si="4"/>
        <v>data:image/svg+xml,%3csvg xmlns='http://www.w3.org/2000/svg' viewBox='0 0 24 216'%3e%3ctext fill='%23fff' style='font: 900 16px sans-serif' text-anchor='end' transform='matrix(0 -1 1 0 18 5)'%3eHouse Guests%3c/text%3e%3c/svg%3e</v>
      </c>
      <c r="H823" s="8" t="s">
        <v>25</v>
      </c>
      <c r="I823" s="8">
        <f t="shared" ref="I823:J823" si="824">len(B823)</f>
        <v>12</v>
      </c>
      <c r="J823" s="8">
        <f t="shared" si="824"/>
        <v>71</v>
      </c>
      <c r="K823" s="8" t="s">
        <v>4162</v>
      </c>
    </row>
    <row r="824">
      <c r="A824" s="7" t="b">
        <v>0</v>
      </c>
      <c r="B824" s="8" t="s">
        <v>4163</v>
      </c>
      <c r="C824" s="7" t="s">
        <v>4164</v>
      </c>
      <c r="D824" s="8" t="str">
        <f>Q&amp;$K824&amp;Q&amp;":{"&amp;Q&amp;$B$2&amp;Q&amp;":"&amp;Q&amp;$B824&amp;Q&amp;","&amp;Q&amp;$C$2&amp;Q&amp;":"&amp;Q&amp;$C824&amp;Q&amp;","&amp;Q&amp;"sets"&amp;Q&amp;":"&amp;Q&amp;substitute(SUBSTITUTE($H824,"[",""),"]","")&amp;Q&amp;"},"</f>
        <v>"socu":{"label":"Howard Stern","extra":"1954-, American shock disc jockey. His autobiography is titled Private Parts. If only they WERE private.","sets":"Expansion Set 3, Party Expansion 1"},</v>
      </c>
      <c r="E824" s="9" t="str">
        <f t="shared" si="2"/>
        <v>data:image/svg+xml,%3csvg xmlns='http://www.w3.org/2000/svg' viewBox='0 0 24 216'%3e%3ctext fill='%23fff' style='font: 900 16px sans-serif' text-anchor='end' transform='matrix(0 -1 1 0 18 5)'%3eHoward Stern%3c/text%3e%3c/svg%3e</v>
      </c>
      <c r="F824" s="14" t="str">
        <f t="shared" si="3"/>
        <v>https://svgtext.heliohost.us/cgi-bin/gen.perl?text=Howard%20Stern</v>
      </c>
      <c r="G824" s="11" t="str">
        <f t="shared" si="4"/>
        <v>data:image/svg+xml,%3csvg xmlns='http://www.w3.org/2000/svg' viewBox='0 0 24 216'%3e%3ctext fill='%23fff' style='font: 900 16px sans-serif' text-anchor='end' transform='matrix(0 -1 1 0 18 5)'%3eHoward Stern%3c/text%3e%3c/svg%3e</v>
      </c>
      <c r="H824" s="8" t="s">
        <v>39</v>
      </c>
      <c r="I824" s="8">
        <f t="shared" ref="I824:J824" si="825">len(B824)</f>
        <v>12</v>
      </c>
      <c r="J824" s="8">
        <f t="shared" si="825"/>
        <v>104</v>
      </c>
      <c r="K824" s="8" t="s">
        <v>4165</v>
      </c>
    </row>
    <row r="825">
      <c r="A825" s="7" t="b">
        <v>1</v>
      </c>
      <c r="B825" s="8" t="s">
        <v>4166</v>
      </c>
      <c r="C825" s="8" t="s">
        <v>4167</v>
      </c>
      <c r="D825" s="8" t="str">
        <f>Q&amp;$K825&amp;Q&amp;":{"&amp;Q&amp;$B$2&amp;Q&amp;":"&amp;Q&amp;$B825&amp;Q&amp;","&amp;Q&amp;$C$2&amp;Q&amp;":"&amp;Q&amp;$C825&amp;Q&amp;","&amp;Q&amp;"sets"&amp;Q&amp;":"&amp;Q&amp;substitute(SUBSTITUTE($H825,"[",""),"]","")&amp;Q&amp;"},"</f>
        <v>"zhgl":{"label":"Hugs","extra":"There are bear hugs, Grandma hugs, friend hugs, and love hugs.","sets":"Junior"},</v>
      </c>
      <c r="E825" s="9" t="str">
        <f t="shared" si="2"/>
        <v>data:image/svg+xml,%3csvg xmlns='http://www.w3.org/2000/svg' viewBox='0 0 24 216'%3e%3ctext fill='%23fff' style='font: 900 16px sans-serif' text-anchor='end' transform='matrix(0 -1 1 0 18 5)'%3eHugs%3c/text%3e%3c/svg%3e</v>
      </c>
      <c r="F825" s="14" t="str">
        <f t="shared" si="3"/>
        <v>https://svgtext.heliohost.us/cgi-bin/gen.perl?text=Hugs</v>
      </c>
      <c r="G825" s="11" t="str">
        <f t="shared" si="4"/>
        <v>data:image/svg+xml,%3csvg xmlns='http://www.w3.org/2000/svg' viewBox='0 0 24 216'%3e%3ctext fill='%23fff' style='font: 900 16px sans-serif' text-anchor='end' transform='matrix(0 -1 1 0 18 5)'%3eHugs%3c/text%3e%3c/svg%3e</v>
      </c>
      <c r="H825" s="8" t="s">
        <v>84</v>
      </c>
      <c r="I825" s="8">
        <f t="shared" ref="I825:J825" si="826">len(B825)</f>
        <v>4</v>
      </c>
      <c r="J825" s="8">
        <f t="shared" si="826"/>
        <v>62</v>
      </c>
      <c r="K825" s="8" t="s">
        <v>4168</v>
      </c>
    </row>
    <row r="826">
      <c r="A826" s="7" t="b">
        <v>0</v>
      </c>
      <c r="B826" s="8" t="s">
        <v>4169</v>
      </c>
      <c r="C826" s="7" t="s">
        <v>4170</v>
      </c>
      <c r="D826" s="8" t="str">
        <f>Q&amp;$K826&amp;Q&amp;":{"&amp;Q&amp;$B$2&amp;Q&amp;":"&amp;Q&amp;$B826&amp;Q&amp;","&amp;Q&amp;$C$2&amp;Q&amp;":"&amp;Q&amp;$C826&amp;Q&amp;","&amp;Q&amp;"sets"&amp;Q&amp;":"&amp;Q&amp;substitute(SUBSTITUTE($H826,"[",""),"]","")&amp;Q&amp;"},"</f>
        <v>"fsav":{"label":"Hummingbirds","extra":"Why do hummingbirds hum? Because they don’t know the words…… da-dum, dum!","sets":"Basic Set, Party Set"},</v>
      </c>
      <c r="E826" s="9" t="str">
        <f t="shared" si="2"/>
        <v>data:image/svg+xml,%3csvg xmlns='http://www.w3.org/2000/svg' viewBox='0 0 24 216'%3e%3ctext fill='%23fff' style='font: 900 16px sans-serif' text-anchor='end' transform='matrix(0 -1 1 0 18 5)'%3eHummingbirds%3c/text%3e%3c/svg%3e</v>
      </c>
      <c r="F826" s="14" t="str">
        <f t="shared" si="3"/>
        <v>https://svgtext.heliohost.us/cgi-bin/gen.perl?text=Hummingbirds</v>
      </c>
      <c r="G826" s="11" t="str">
        <f t="shared" si="4"/>
        <v>data:image/svg+xml,%3csvg xmlns='http://www.w3.org/2000/svg' viewBox='0 0 24 216'%3e%3ctext fill='%23fff' style='font: 900 16px sans-serif' text-anchor='end' transform='matrix(0 -1 1 0 18 5)'%3eHummingbirds%3c/text%3e%3c/svg%3e</v>
      </c>
      <c r="H826" s="8" t="s">
        <v>29</v>
      </c>
      <c r="I826" s="8">
        <f t="shared" ref="I826:J826" si="827">len(B826)</f>
        <v>12</v>
      </c>
      <c r="J826" s="8">
        <f t="shared" si="827"/>
        <v>73</v>
      </c>
      <c r="K826" s="8" t="s">
        <v>4171</v>
      </c>
    </row>
    <row r="827">
      <c r="A827" s="7" t="b">
        <v>0</v>
      </c>
      <c r="B827" s="8" t="s">
        <v>4172</v>
      </c>
      <c r="C827" s="7" t="s">
        <v>4173</v>
      </c>
      <c r="D827" s="8" t="str">
        <f>Q&amp;$K827&amp;Q&amp;":{"&amp;Q&amp;$B$2&amp;Q&amp;":"&amp;Q&amp;$B827&amp;Q&amp;","&amp;Q&amp;$C$2&amp;Q&amp;":"&amp;Q&amp;$C827&amp;Q&amp;","&amp;Q&amp;"sets"&amp;Q&amp;":"&amp;Q&amp;substitute(SUBSTITUTE($H827,"[",""),"]","")&amp;Q&amp;"},"</f>
        <v>"exrx":{"label":"Humphrey Bogart","extra":"1899-1957, American film actor, starred in such classics as “The Maltese Falcon” and “Casablanca.” “Here's looking at you kid.”","sets":"Basic Set, Party Set"},</v>
      </c>
      <c r="E827" s="9" t="str">
        <f t="shared" si="2"/>
        <v>data:image/svg+xml,%3csvg xmlns='http://www.w3.org/2000/svg' viewBox='0 0 24 216'%3e%3ctext fill='%23fff' style='font: 900 16px sans-serif' text-anchor='end' transform='matrix(0 -1 1 0 18 5)'%3eHumphrey Bogart%3c/text%3e%3c/svg%3e</v>
      </c>
      <c r="F827" s="14" t="str">
        <f t="shared" si="3"/>
        <v>https://svgtext.heliohost.us/cgi-bin/gen.perl?text=Humphrey%20Bogart</v>
      </c>
      <c r="G827" s="11" t="str">
        <f t="shared" si="4"/>
        <v>data:image/svg+xml,%3csvg xmlns='http://www.w3.org/2000/svg' viewBox='0 0 24 216'%3e%3ctext fill='%23fff' style='font: 900 16px sans-serif' text-anchor='end' transform='matrix(0 -1 1 0 18 5)'%3eHumphrey Bogart%3c/text%3e%3c/svg%3e</v>
      </c>
      <c r="H827" s="8" t="s">
        <v>29</v>
      </c>
      <c r="I827" s="8">
        <f t="shared" ref="I827:J827" si="828">len(B827)</f>
        <v>15</v>
      </c>
      <c r="J827" s="8">
        <f t="shared" si="828"/>
        <v>127</v>
      </c>
      <c r="K827" s="8" t="s">
        <v>4174</v>
      </c>
    </row>
    <row r="828">
      <c r="A828" s="7" t="b">
        <v>1</v>
      </c>
      <c r="B828" s="8" t="s">
        <v>4175</v>
      </c>
      <c r="C828" s="8" t="s">
        <v>4176</v>
      </c>
      <c r="D828" s="8" t="str">
        <f>Q&amp;$K828&amp;Q&amp;":{"&amp;Q&amp;$B$2&amp;Q&amp;":"&amp;Q&amp;$B828&amp;Q&amp;","&amp;Q&amp;$C$2&amp;Q&amp;":"&amp;Q&amp;$C828&amp;Q&amp;","&amp;Q&amp;"sets"&amp;Q&amp;":"&amp;Q&amp;substitute(SUBSTITUTE($H828,"[",""),"]","")&amp;Q&amp;"},"</f>
        <v>"iqzy":{"label":"Hunters","extra":"Wolves, hawks, owls, and people all hunt for food.","sets":"Junior 9+ (1st) &amp; (2nd)"},</v>
      </c>
      <c r="E828" s="9" t="str">
        <f t="shared" si="2"/>
        <v>data:image/svg+xml,%3csvg xmlns='http://www.w3.org/2000/svg' viewBox='0 0 24 216'%3e%3ctext fill='%23fff' style='font: 900 16px sans-serif' text-anchor='end' transform='matrix(0 -1 1 0 18 5)'%3eHunters%3c/text%3e%3c/svg%3e</v>
      </c>
      <c r="F828" s="14" t="str">
        <f t="shared" si="3"/>
        <v>https://svgtext.heliohost.us/cgi-bin/gen.perl?text=Hunters</v>
      </c>
      <c r="G828" s="11" t="str">
        <f t="shared" si="4"/>
        <v>data:image/svg+xml,%3csvg xmlns='http://www.w3.org/2000/svg' viewBox='0 0 24 216'%3e%3ctext fill='%23fff' style='font: 900 16px sans-serif' text-anchor='end' transform='matrix(0 -1 1 0 18 5)'%3eHunters%3c/text%3e%3c/svg%3e</v>
      </c>
      <c r="H828" s="8" t="s">
        <v>42</v>
      </c>
      <c r="I828" s="8">
        <f t="shared" ref="I828:J828" si="829">len(B828)</f>
        <v>7</v>
      </c>
      <c r="J828" s="8">
        <f t="shared" si="829"/>
        <v>50</v>
      </c>
      <c r="K828" s="8" t="s">
        <v>4177</v>
      </c>
    </row>
    <row r="829">
      <c r="A829" s="7" t="b">
        <v>1</v>
      </c>
      <c r="B829" s="8" t="s">
        <v>4178</v>
      </c>
      <c r="C829" s="7" t="s">
        <v>4179</v>
      </c>
      <c r="D829" s="8" t="str">
        <f>Q&amp;$K829&amp;Q&amp;":{"&amp;Q&amp;$B$2&amp;Q&amp;":"&amp;Q&amp;$B829&amp;Q&amp;","&amp;Q&amp;$C$2&amp;Q&amp;":"&amp;Q&amp;$C829&amp;Q&amp;","&amp;Q&amp;"sets"&amp;Q&amp;":"&amp;Q&amp;substitute(SUBSTITUTE($H829,"[",""),"]","")&amp;Q&amp;"},"</f>
        <v>"lemt":{"label":"Husbands &amp; Wives","extra":"For richer… hopefully.","sets":"Expansion Set 4, Party Expansion 1"},</v>
      </c>
      <c r="E829" s="9" t="str">
        <f t="shared" si="2"/>
        <v>data:image/svg+xml,%3csvg xmlns='http://www.w3.org/2000/svg' viewBox='0 0 24 216'%3e%3ctext fill='%23fff' style='font: 900 16px sans-serif' text-anchor='end' transform='matrix(0 -1 1 0 18 5)'%3eHusbands %26amp%3B Wives%3c/text%3e%3c/svg%3e</v>
      </c>
      <c r="F829" s="14" t="str">
        <f t="shared" si="3"/>
        <v>https://svgtext.heliohost.us/cgi-bin/gen.perl?text=Husbands%20%26%20Wives</v>
      </c>
      <c r="G829" s="11" t="str">
        <f t="shared" si="4"/>
        <v>data:image/svg+xml,%3csvg xmlns='http://www.w3.org/2000/svg' viewBox='0 0 24 216'%3e%3ctext fill='%23fff' style='font: 900 16px sans-serif' text-anchor='end' transform='matrix(0 -1 1 0 18 5)'%3eHusbands %26amp%3B Wives%3c/text%3e%3c/svg%3e</v>
      </c>
      <c r="H829" s="8" t="s">
        <v>63</v>
      </c>
      <c r="I829" s="8">
        <f t="shared" ref="I829:J829" si="830">len(B829)</f>
        <v>16</v>
      </c>
      <c r="J829" s="8">
        <f t="shared" si="830"/>
        <v>22</v>
      </c>
      <c r="K829" s="8" t="s">
        <v>4180</v>
      </c>
    </row>
    <row r="830">
      <c r="A830" s="7" t="b">
        <v>1</v>
      </c>
      <c r="B830" s="8" t="s">
        <v>4181</v>
      </c>
      <c r="C830" s="8" t="s">
        <v>4182</v>
      </c>
      <c r="D830" s="8" t="str">
        <f>Q&amp;$K830&amp;Q&amp;":{"&amp;Q&amp;$B$2&amp;Q&amp;":"&amp;Q&amp;$B830&amp;Q&amp;","&amp;Q&amp;$C$2&amp;Q&amp;":"&amp;Q&amp;$C830&amp;Q&amp;","&amp;Q&amp;"sets"&amp;Q&amp;":"&amp;Q&amp;substitute(SUBSTITUTE($H830,"[",""),"]","")&amp;Q&amp;"},"</f>
        <v>"sarr":{"label":"Ice","extra":"Good for drinks in the summer and skating in the winter.","sets":"Junior 9+ (1st) &amp; (2nd)"},</v>
      </c>
      <c r="E830" s="9" t="str">
        <f t="shared" si="2"/>
        <v>data:image/svg+xml,%3csvg xmlns='http://www.w3.org/2000/svg' viewBox='0 0 24 216'%3e%3ctext fill='%23fff' style='font: 900 16px sans-serif' text-anchor='end' transform='matrix(0 -1 1 0 18 5)'%3eIce%3c/text%3e%3c/svg%3e</v>
      </c>
      <c r="F830" s="14" t="str">
        <f t="shared" si="3"/>
        <v>https://svgtext.heliohost.us/cgi-bin/gen.perl?text=Ice</v>
      </c>
      <c r="G830" s="11" t="str">
        <f t="shared" si="4"/>
        <v>data:image/svg+xml,%3csvg xmlns='http://www.w3.org/2000/svg' viewBox='0 0 24 216'%3e%3ctext fill='%23fff' style='font: 900 16px sans-serif' text-anchor='end' transform='matrix(0 -1 1 0 18 5)'%3eIce%3c/text%3e%3c/svg%3e</v>
      </c>
      <c r="H830" s="8" t="s">
        <v>42</v>
      </c>
      <c r="I830" s="8">
        <f t="shared" ref="I830:J830" si="831">len(B830)</f>
        <v>3</v>
      </c>
      <c r="J830" s="8">
        <f t="shared" si="831"/>
        <v>56</v>
      </c>
      <c r="K830" s="8" t="s">
        <v>4183</v>
      </c>
    </row>
    <row r="831">
      <c r="A831" s="7" t="b">
        <v>1</v>
      </c>
      <c r="B831" s="8" t="s">
        <v>4184</v>
      </c>
      <c r="C831" s="7" t="s">
        <v>4185</v>
      </c>
      <c r="D831" s="8" t="str">
        <f>Q&amp;$K831&amp;Q&amp;":{"&amp;Q&amp;$B$2&amp;Q&amp;":"&amp;Q&amp;$B831&amp;Q&amp;","&amp;Q&amp;$C$2&amp;Q&amp;":"&amp;Q&amp;$C831&amp;Q&amp;","&amp;Q&amp;"sets"&amp;Q&amp;":"&amp;Q&amp;substitute(SUBSTITUTE($H831,"[",""),"]","")&amp;Q&amp;"},"</f>
        <v>"gqfj":{"label":"Ice &amp; Snow","extra":"“We come from the land of the ice and snow / From the midnight sun where the hot springs blow.” —Led Zeppelin","sets":"Expansion Set 4, Party Expansion 1"},</v>
      </c>
      <c r="E831" s="9" t="str">
        <f t="shared" si="2"/>
        <v>data:image/svg+xml,%3csvg xmlns='http://www.w3.org/2000/svg' viewBox='0 0 24 216'%3e%3ctext fill='%23fff' style='font: 900 16px sans-serif' text-anchor='end' transform='matrix(0 -1 1 0 18 5)'%3eIce %26amp%3B Snow%3c/text%3e%3c/svg%3e</v>
      </c>
      <c r="F831" s="14" t="str">
        <f t="shared" si="3"/>
        <v>https://svgtext.heliohost.us/cgi-bin/gen.perl?text=Ice%20%26%20Snow</v>
      </c>
      <c r="G831" s="11" t="str">
        <f t="shared" si="4"/>
        <v>data:image/svg+xml,%3csvg xmlns='http://www.w3.org/2000/svg' viewBox='0 0 24 216'%3e%3ctext fill='%23fff' style='font: 900 16px sans-serif' text-anchor='end' transform='matrix(0 -1 1 0 18 5)'%3eIce %26amp%3B Snow%3c/text%3e%3c/svg%3e</v>
      </c>
      <c r="H831" s="8" t="s">
        <v>63</v>
      </c>
      <c r="I831" s="8">
        <f t="shared" ref="I831:J831" si="832">len(B831)</f>
        <v>10</v>
      </c>
      <c r="J831" s="8">
        <f t="shared" si="832"/>
        <v>109</v>
      </c>
      <c r="K831" s="8" t="s">
        <v>4186</v>
      </c>
    </row>
    <row r="832">
      <c r="A832" s="7" t="b">
        <v>1</v>
      </c>
      <c r="B832" s="8" t="s">
        <v>4187</v>
      </c>
      <c r="C832" s="7" t="s">
        <v>4188</v>
      </c>
      <c r="D832" s="8" t="str">
        <f>Q&amp;$K832&amp;Q&amp;":{"&amp;Q&amp;$B$2&amp;Q&amp;":"&amp;Q&amp;$B832&amp;Q&amp;","&amp;Q&amp;$C$2&amp;Q&amp;":"&amp;Q&amp;$C832&amp;Q&amp;","&amp;Q&amp;"sets"&amp;Q&amp;":"&amp;Q&amp;substitute(SUBSTITUTE($H832,"[",""),"]","")&amp;Q&amp;"},"</f>
        <v>"tbdy":{"label":"Ice Cream","extra":"“I scream, you scream, we all scream, for ice cream!”","sets":"Junior"},</v>
      </c>
      <c r="E832" s="9" t="str">
        <f t="shared" si="2"/>
        <v>data:image/svg+xml,%3csvg xmlns='http://www.w3.org/2000/svg' viewBox='0 0 24 216'%3e%3ctext fill='%23fff' style='font: 900 16px sans-serif' text-anchor='end' transform='matrix(0 -1 1 0 18 5)'%3eIce Cream%3c/text%3e%3c/svg%3e</v>
      </c>
      <c r="F832" s="14" t="str">
        <f t="shared" si="3"/>
        <v>https://svgtext.heliohost.us/cgi-bin/gen.perl?text=Ice%20Cream</v>
      </c>
      <c r="G832" s="11" t="str">
        <f t="shared" si="4"/>
        <v>data:image/svg+xml,%3csvg xmlns='http://www.w3.org/2000/svg' viewBox='0 0 24 216'%3e%3ctext fill='%23fff' style='font: 900 16px sans-serif' text-anchor='end' transform='matrix(0 -1 1 0 18 5)'%3eIce Cream%3c/text%3e%3c/svg%3e</v>
      </c>
      <c r="H832" s="8" t="s">
        <v>84</v>
      </c>
      <c r="I832" s="8">
        <f t="shared" ref="I832:J832" si="833">len(B832)</f>
        <v>9</v>
      </c>
      <c r="J832" s="8">
        <f t="shared" si="833"/>
        <v>53</v>
      </c>
      <c r="K832" s="8" t="s">
        <v>4189</v>
      </c>
    </row>
    <row r="833">
      <c r="A833" s="7" t="b">
        <v>1</v>
      </c>
      <c r="B833" s="8" t="s">
        <v>4190</v>
      </c>
      <c r="C833" s="8" t="s">
        <v>4191</v>
      </c>
      <c r="D833" s="8" t="str">
        <f>Q&amp;$K833&amp;Q&amp;":{"&amp;Q&amp;$B$2&amp;Q&amp;":"&amp;Q&amp;$B833&amp;Q&amp;","&amp;Q&amp;$C$2&amp;Q&amp;":"&amp;Q&amp;$C833&amp;Q&amp;","&amp;Q&amp;"sets"&amp;Q&amp;":"&amp;Q&amp;substitute(SUBSTITUTE($H833,"[",""),"]","")&amp;Q&amp;"},"</f>
        <v>"ltbx":{"label":"Ice Skating","extra":"You can do fancy turns, have a race, go backwards, or just glide.","sets":"Junior"},</v>
      </c>
      <c r="E833" s="9" t="str">
        <f t="shared" si="2"/>
        <v>data:image/svg+xml,%3csvg xmlns='http://www.w3.org/2000/svg' viewBox='0 0 24 216'%3e%3ctext fill='%23fff' style='font: 900 16px sans-serif' text-anchor='end' transform='matrix(0 -1 1 0 18 5)'%3eIce Skating%3c/text%3e%3c/svg%3e</v>
      </c>
      <c r="F833" s="14" t="str">
        <f t="shared" si="3"/>
        <v>https://svgtext.heliohost.us/cgi-bin/gen.perl?text=Ice%20Skating</v>
      </c>
      <c r="G833" s="11" t="str">
        <f t="shared" si="4"/>
        <v>data:image/svg+xml,%3csvg xmlns='http://www.w3.org/2000/svg' viewBox='0 0 24 216'%3e%3ctext fill='%23fff' style='font: 900 16px sans-serif' text-anchor='end' transform='matrix(0 -1 1 0 18 5)'%3eIce Skating%3c/text%3e%3c/svg%3e</v>
      </c>
      <c r="H833" s="8" t="s">
        <v>84</v>
      </c>
      <c r="I833" s="8">
        <f t="shared" ref="I833:J833" si="834">len(B833)</f>
        <v>11</v>
      </c>
      <c r="J833" s="8">
        <f t="shared" si="834"/>
        <v>65</v>
      </c>
      <c r="K833" s="8" t="s">
        <v>4192</v>
      </c>
    </row>
    <row r="834">
      <c r="A834" s="7" t="b">
        <v>0</v>
      </c>
      <c r="B834" s="8" t="s">
        <v>4193</v>
      </c>
      <c r="C834" s="7" t="s">
        <v>4194</v>
      </c>
      <c r="D834" s="8" t="str">
        <f>Q&amp;$K834&amp;Q&amp;":{"&amp;Q&amp;$B$2&amp;Q&amp;":"&amp;Q&amp;$B834&amp;Q&amp;","&amp;Q&amp;$C$2&amp;Q&amp;":"&amp;Q&amp;$C834&amp;Q&amp;","&amp;Q&amp;"sets"&amp;Q&amp;":"&amp;Q&amp;substitute(SUBSTITUTE($H834,"[",""),"]","")&amp;Q&amp;"},"</f>
        <v>"{woi":{"label":"Icebergs","extra":"May reach 300 to 500 feet above the oceans’s surface. Ask the captain of the Titanic about the 90 percent that’s UNDER water.","sets":"Basic Set, Party Set"},</v>
      </c>
      <c r="E834" s="9" t="str">
        <f t="shared" si="2"/>
        <v>data:image/svg+xml,%3csvg xmlns='http://www.w3.org/2000/svg' viewBox='0 0 24 216'%3e%3ctext fill='%23fff' style='font: 900 16px sans-serif' text-anchor='end' transform='matrix(0 -1 1 0 18 5)'%3eIcebergs%3c/text%3e%3c/svg%3e</v>
      </c>
      <c r="F834" s="14" t="str">
        <f t="shared" si="3"/>
        <v>https://svgtext.heliohost.us/cgi-bin/gen.perl?text=Icebergs</v>
      </c>
      <c r="G834" s="11" t="str">
        <f t="shared" si="4"/>
        <v>data:image/svg+xml,%3csvg xmlns='http://www.w3.org/2000/svg' viewBox='0 0 24 216'%3e%3ctext fill='%23fff' style='font: 900 16px sans-serif' text-anchor='end' transform='matrix(0 -1 1 0 18 5)'%3eIcebergs%3c/text%3e%3c/svg%3e</v>
      </c>
      <c r="H834" s="8" t="s">
        <v>29</v>
      </c>
      <c r="I834" s="8">
        <f t="shared" ref="I834:J834" si="835">len(B834)</f>
        <v>8</v>
      </c>
      <c r="J834" s="8">
        <f t="shared" si="835"/>
        <v>125</v>
      </c>
      <c r="K834" s="8" t="s">
        <v>4195</v>
      </c>
    </row>
    <row r="835">
      <c r="A835" s="7" t="b">
        <v>0</v>
      </c>
      <c r="B835" s="8" t="s">
        <v>4196</v>
      </c>
      <c r="C835" s="7" t="s">
        <v>4197</v>
      </c>
      <c r="D835" s="8" t="str">
        <f>Q&amp;$K835&amp;Q&amp;":{"&amp;Q&amp;$B$2&amp;Q&amp;":"&amp;Q&amp;$B835&amp;Q&amp;","&amp;Q&amp;$C$2&amp;Q&amp;":"&amp;Q&amp;$C835&amp;Q&amp;","&amp;Q&amp;"sets"&amp;Q&amp;":"&amp;Q&amp;substitute(SUBSTITUTE($H835,"[",""),"]","")&amp;Q&amp;"},"</f>
        <v>"kgjc":{"label":"In A Coma","extra":"A deep, prolonged state of unconsciousness… sometimes you just feel that way.","sets":"Expansion Set 2, Party Set"},</v>
      </c>
      <c r="E835" s="9" t="str">
        <f t="shared" si="2"/>
        <v>data:image/svg+xml,%3csvg xmlns='http://www.w3.org/2000/svg' viewBox='0 0 24 216'%3e%3ctext fill='%23fff' style='font: 900 16px sans-serif' text-anchor='end' transform='matrix(0 -1 1 0 18 5)'%3eIn A Coma%3c/text%3e%3c/svg%3e</v>
      </c>
      <c r="F835" s="14" t="str">
        <f t="shared" si="3"/>
        <v>https://svgtext.heliohost.us/cgi-bin/gen.perl?text=In%20A%20Coma</v>
      </c>
      <c r="G835" s="11" t="str">
        <f t="shared" si="4"/>
        <v>data:image/svg+xml,%3csvg xmlns='http://www.w3.org/2000/svg' viewBox='0 0 24 216'%3e%3ctext fill='%23fff' style='font: 900 16px sans-serif' text-anchor='end' transform='matrix(0 -1 1 0 18 5)'%3eIn A Coma%3c/text%3e%3c/svg%3e</v>
      </c>
      <c r="H835" s="8" t="s">
        <v>17</v>
      </c>
      <c r="I835" s="8">
        <f t="shared" ref="I835:J835" si="836">len(B835)</f>
        <v>9</v>
      </c>
      <c r="J835" s="8">
        <f t="shared" si="836"/>
        <v>77</v>
      </c>
      <c r="K835" s="8" t="s">
        <v>4198</v>
      </c>
    </row>
    <row r="836">
      <c r="A836" s="7" t="b">
        <v>1</v>
      </c>
      <c r="B836" s="8" t="s">
        <v>4199</v>
      </c>
      <c r="C836" s="8" t="s">
        <v>4200</v>
      </c>
      <c r="D836" s="8" t="str">
        <f>Q&amp;$K836&amp;Q&amp;":{"&amp;Q&amp;$B$2&amp;Q&amp;":"&amp;Q&amp;$B836&amp;Q&amp;","&amp;Q&amp;$C$2&amp;Q&amp;":"&amp;Q&amp;$C836&amp;Q&amp;","&amp;Q&amp;"sets"&amp;Q&amp;":"&amp;Q&amp;substitute(SUBSTITUTE($H836,"[",""),"]","")&amp;Q&amp;"},"</f>
        <v>"ymvr":{"label":"In The Attic","extra":"Old clothes, old toys, old furniture, and more old stuff.","sets":"Junior 9+ (2nd)"},</v>
      </c>
      <c r="E836" s="9" t="str">
        <f t="shared" si="2"/>
        <v>data:image/svg+xml,%3csvg xmlns='http://www.w3.org/2000/svg' viewBox='0 0 24 216'%3e%3ctext fill='%23fff' style='font: 900 16px sans-serif' text-anchor='end' transform='matrix(0 -1 1 0 18 5)'%3eIn The Attic%3c/text%3e%3c/svg%3e</v>
      </c>
      <c r="F836" s="14" t="str">
        <f t="shared" si="3"/>
        <v>https://svgtext.heliohost.us/cgi-bin/gen.perl?text=In%20The%20Attic</v>
      </c>
      <c r="G836" s="11" t="str">
        <f t="shared" si="4"/>
        <v>data:image/svg+xml,%3csvg xmlns='http://www.w3.org/2000/svg' viewBox='0 0 24 216'%3e%3ctext fill='%23fff' style='font: 900 16px sans-serif' text-anchor='end' transform='matrix(0 -1 1 0 18 5)'%3eIn The Attic%3c/text%3e%3c/svg%3e</v>
      </c>
      <c r="H836" s="8" t="s">
        <v>32</v>
      </c>
      <c r="I836" s="8">
        <f t="shared" ref="I836:J836" si="837">len(B836)</f>
        <v>12</v>
      </c>
      <c r="J836" s="8">
        <f t="shared" si="837"/>
        <v>57</v>
      </c>
      <c r="K836" s="8" t="s">
        <v>4201</v>
      </c>
    </row>
    <row r="837">
      <c r="A837" s="7" t="b">
        <v>1</v>
      </c>
      <c r="B837" s="8" t="s">
        <v>4202</v>
      </c>
      <c r="C837" s="8" t="s">
        <v>4203</v>
      </c>
      <c r="D837" s="8" t="str">
        <f>Q&amp;$K837&amp;Q&amp;":{"&amp;Q&amp;$B$2&amp;Q&amp;":"&amp;Q&amp;$B837&amp;Q&amp;","&amp;Q&amp;$C$2&amp;Q&amp;":"&amp;Q&amp;$C837&amp;Q&amp;","&amp;Q&amp;"sets"&amp;Q&amp;":"&amp;Q&amp;substitute(SUBSTITUTE($H837,"[",""),"]","")&amp;Q&amp;"},"</f>
        <v>"vayp":{"label":"In The Basement","extra":"You never know what you will find down there.","sets":"Junior"},</v>
      </c>
      <c r="E837" s="9" t="str">
        <f t="shared" si="2"/>
        <v>data:image/svg+xml,%3csvg xmlns='http://www.w3.org/2000/svg' viewBox='0 0 24 216'%3e%3ctext fill='%23fff' style='font: 900 16px sans-serif' text-anchor='end' transform='matrix(0 -1 1 0 18 5)'%3eIn The Basement%3c/text%3e%3c/svg%3e</v>
      </c>
      <c r="F837" s="14" t="str">
        <f t="shared" si="3"/>
        <v>https://svgtext.heliohost.us/cgi-bin/gen.perl?text=In%20The%20Basement</v>
      </c>
      <c r="G837" s="11" t="str">
        <f t="shared" si="4"/>
        <v>data:image/svg+xml,%3csvg xmlns='http://www.w3.org/2000/svg' viewBox='0 0 24 216'%3e%3ctext fill='%23fff' style='font: 900 16px sans-serif' text-anchor='end' transform='matrix(0 -1 1 0 18 5)'%3eIn The Basement%3c/text%3e%3c/svg%3e</v>
      </c>
      <c r="H837" s="8" t="s">
        <v>84</v>
      </c>
      <c r="I837" s="8">
        <f t="shared" ref="I837:J837" si="838">len(B837)</f>
        <v>15</v>
      </c>
      <c r="J837" s="8">
        <f t="shared" si="838"/>
        <v>45</v>
      </c>
      <c r="K837" s="8" t="s">
        <v>4204</v>
      </c>
    </row>
    <row r="838">
      <c r="A838" s="7" t="b">
        <v>1</v>
      </c>
      <c r="B838" s="8" t="s">
        <v>4205</v>
      </c>
      <c r="C838" s="7" t="s">
        <v>4206</v>
      </c>
      <c r="D838" s="8" t="str">
        <f>Q&amp;$K838&amp;Q&amp;":{"&amp;Q&amp;$B$2&amp;Q&amp;":"&amp;Q&amp;$B838&amp;Q&amp;","&amp;Q&amp;$C$2&amp;Q&amp;":"&amp;Q&amp;$C838&amp;Q&amp;","&amp;Q&amp;"sets"&amp;Q&amp;":"&amp;Q&amp;substitute(SUBSTITUTE($H838,"[",""),"]","")&amp;Q&amp;"},"</f>
        <v>"zwkx":{"label":"In The Doghouse","extra":"All told, I’d rather be in the cathouse.","sets":"Expansion Set 3, Party Expansion 1"},</v>
      </c>
      <c r="E838" s="9" t="str">
        <f t="shared" si="2"/>
        <v>data:image/svg+xml,%3csvg xmlns='http://www.w3.org/2000/svg' viewBox='0 0 24 216'%3e%3ctext fill='%23fff' style='font: 900 16px sans-serif' text-anchor='end' transform='matrix(0 -1 1 0 18 5)'%3eIn The Doghouse%3c/text%3e%3c/svg%3e</v>
      </c>
      <c r="F838" s="14" t="str">
        <f t="shared" si="3"/>
        <v>https://svgtext.heliohost.us/cgi-bin/gen.perl?text=In%20The%20Doghouse</v>
      </c>
      <c r="G838" s="11" t="str">
        <f t="shared" si="4"/>
        <v>data:image/svg+xml,%3csvg xmlns='http://www.w3.org/2000/svg' viewBox='0 0 24 216'%3e%3ctext fill='%23fff' style='font: 900 16px sans-serif' text-anchor='end' transform='matrix(0 -1 1 0 18 5)'%3eIn The Doghouse%3c/text%3e%3c/svg%3e</v>
      </c>
      <c r="H838" s="8" t="s">
        <v>39</v>
      </c>
      <c r="I838" s="8">
        <f t="shared" ref="I838:J838" si="839">len(B838)</f>
        <v>15</v>
      </c>
      <c r="J838" s="8">
        <f t="shared" si="839"/>
        <v>40</v>
      </c>
      <c r="K838" s="8" t="s">
        <v>4207</v>
      </c>
    </row>
    <row r="839">
      <c r="A839" s="7" t="b">
        <v>0</v>
      </c>
      <c r="B839" s="8" t="s">
        <v>4208</v>
      </c>
      <c r="C839" s="8" t="s">
        <v>4209</v>
      </c>
      <c r="D839" s="8" t="str">
        <f>Q&amp;$K839&amp;Q&amp;":{"&amp;Q&amp;$B$2&amp;Q&amp;":"&amp;Q&amp;$B839&amp;Q&amp;","&amp;Q&amp;$C$2&amp;Q&amp;":"&amp;Q&amp;$C839&amp;Q&amp;","&amp;Q&amp;"sets"&amp;Q&amp;":"&amp;Q&amp;substitute(SUBSTITUTE($H839,"[",""),"]","")&amp;Q&amp;"},"</f>
        <v>"wtrb":{"label":"Incense","extra":"Incense is better than no sense at all.","sets":"Expansion Set 1, Party Set"},</v>
      </c>
      <c r="E839" s="9" t="str">
        <f t="shared" si="2"/>
        <v>data:image/svg+xml,%3csvg xmlns='http://www.w3.org/2000/svg' viewBox='0 0 24 216'%3e%3ctext fill='%23fff' style='font: 900 16px sans-serif' text-anchor='end' transform='matrix(0 -1 1 0 18 5)'%3eIncense%3c/text%3e%3c/svg%3e</v>
      </c>
      <c r="F839" s="14" t="str">
        <f t="shared" si="3"/>
        <v>https://svgtext.heliohost.us/cgi-bin/gen.perl?text=Incense</v>
      </c>
      <c r="G839" s="11" t="str">
        <f t="shared" si="4"/>
        <v>data:image/svg+xml,%3csvg xmlns='http://www.w3.org/2000/svg' viewBox='0 0 24 216'%3e%3ctext fill='%23fff' style='font: 900 16px sans-serif' text-anchor='end' transform='matrix(0 -1 1 0 18 5)'%3eIncense%3c/text%3e%3c/svg%3e</v>
      </c>
      <c r="H839" s="8" t="s">
        <v>25</v>
      </c>
      <c r="I839" s="8">
        <f t="shared" ref="I839:J839" si="840">len(B839)</f>
        <v>7</v>
      </c>
      <c r="J839" s="8">
        <f t="shared" si="840"/>
        <v>39</v>
      </c>
      <c r="K839" s="8" t="s">
        <v>4210</v>
      </c>
    </row>
    <row r="840">
      <c r="A840" s="7" t="b">
        <v>1</v>
      </c>
      <c r="B840" s="8" t="s">
        <v>4211</v>
      </c>
      <c r="C840" s="8" t="s">
        <v>4212</v>
      </c>
      <c r="D840" s="8" t="str">
        <f>Q&amp;$K840&amp;Q&amp;":{"&amp;Q&amp;$B$2&amp;Q&amp;":"&amp;Q&amp;$B840&amp;Q&amp;","&amp;Q&amp;$C$2&amp;Q&amp;":"&amp;Q&amp;$C840&amp;Q&amp;","&amp;Q&amp;"sets"&amp;Q&amp;":"&amp;Q&amp;substitute(SUBSTITUTE($H840,"[",""),"]","")&amp;Q&amp;"},"</f>
        <v>"pzhj":{"label":"Inchworm","extra":"An inchworm is actually a small, hairless caterpillar.","sets":"Junior 9+ (2nd)"},</v>
      </c>
      <c r="E840" s="9" t="str">
        <f t="shared" si="2"/>
        <v>data:image/svg+xml,%3csvg xmlns='http://www.w3.org/2000/svg' viewBox='0 0 24 216'%3e%3ctext fill='%23fff' style='font: 900 16px sans-serif' text-anchor='end' transform='matrix(0 -1 1 0 18 5)'%3eInchworm%3c/text%3e%3c/svg%3e</v>
      </c>
      <c r="F840" s="14" t="str">
        <f t="shared" si="3"/>
        <v>https://svgtext.heliohost.us/cgi-bin/gen.perl?text=Inchworm</v>
      </c>
      <c r="G840" s="11" t="str">
        <f t="shared" si="4"/>
        <v>data:image/svg+xml,%3csvg xmlns='http://www.w3.org/2000/svg' viewBox='0 0 24 216'%3e%3ctext fill='%23fff' style='font: 900 16px sans-serif' text-anchor='end' transform='matrix(0 -1 1 0 18 5)'%3eInchworm%3c/text%3e%3c/svg%3e</v>
      </c>
      <c r="H840" s="8" t="s">
        <v>32</v>
      </c>
      <c r="I840" s="8">
        <f t="shared" ref="I840:J840" si="841">len(B840)</f>
        <v>8</v>
      </c>
      <c r="J840" s="8">
        <f t="shared" si="841"/>
        <v>54</v>
      </c>
      <c r="K840" s="8" t="s">
        <v>4213</v>
      </c>
    </row>
    <row r="841">
      <c r="A841" s="7" t="b">
        <v>0</v>
      </c>
      <c r="B841" s="8" t="s">
        <v>4214</v>
      </c>
      <c r="C841" s="7" t="s">
        <v>4215</v>
      </c>
      <c r="D841" s="8" t="str">
        <f>Q&amp;$K841&amp;Q&amp;":{"&amp;Q&amp;$B$2&amp;Q&amp;":"&amp;Q&amp;$B841&amp;Q&amp;","&amp;Q&amp;$C$2&amp;Q&amp;":"&amp;Q&amp;$C841&amp;Q&amp;","&amp;Q&amp;"sets"&amp;Q&amp;":"&amp;Q&amp;substitute(SUBSTITUTE($H841,"[",""),"]","")&amp;Q&amp;"},"</f>
        <v>"padx":{"label":"India","extra":"The world’s seventh largest country by area, but the second most populous, with one billion people.","sets":"Expansion Set 2, Party Set"},</v>
      </c>
      <c r="E841" s="9" t="str">
        <f t="shared" si="2"/>
        <v>data:image/svg+xml,%3csvg xmlns='http://www.w3.org/2000/svg' viewBox='0 0 24 216'%3e%3ctext fill='%23fff' style='font: 900 16px sans-serif' text-anchor='end' transform='matrix(0 -1 1 0 18 5)'%3eIndia%3c/text%3e%3c/svg%3e</v>
      </c>
      <c r="F841" s="14" t="str">
        <f t="shared" si="3"/>
        <v>https://svgtext.heliohost.us/cgi-bin/gen.perl?text=India</v>
      </c>
      <c r="G841" s="11" t="str">
        <f t="shared" si="4"/>
        <v>data:image/svg+xml,%3csvg xmlns='http://www.w3.org/2000/svg' viewBox='0 0 24 216'%3e%3ctext fill='%23fff' style='font: 900 16px sans-serif' text-anchor='end' transform='matrix(0 -1 1 0 18 5)'%3eIndia%3c/text%3e%3c/svg%3e</v>
      </c>
      <c r="H841" s="8" t="s">
        <v>17</v>
      </c>
      <c r="I841" s="8">
        <f t="shared" ref="I841:J841" si="842">len(B841)</f>
        <v>5</v>
      </c>
      <c r="J841" s="8">
        <f t="shared" si="842"/>
        <v>99</v>
      </c>
      <c r="K841" s="8" t="s">
        <v>4216</v>
      </c>
    </row>
    <row r="842">
      <c r="A842" s="7" t="b">
        <v>0</v>
      </c>
      <c r="B842" s="8" t="s">
        <v>4217</v>
      </c>
      <c r="C842" s="8" t="s">
        <v>4218</v>
      </c>
      <c r="D842" s="8" t="str">
        <f>Q&amp;$K842&amp;Q&amp;":{"&amp;Q&amp;$B$2&amp;Q&amp;":"&amp;Q&amp;$B842&amp;Q&amp;","&amp;Q&amp;$C$2&amp;Q&amp;":"&amp;Q&amp;$C842&amp;Q&amp;","&amp;Q&amp;"sets"&amp;Q&amp;":"&amp;Q&amp;substitute(SUBSTITUTE($H842,"[",""),"]","")&amp;Q&amp;"},"</f>
        <v>"vwvo":{"label":"Indiana Jones","extra":"Fictional archeologist and action hero. Proof that a good hat and a whip can take you a long way.","sets":"Expansion Set 2, Party Set"},</v>
      </c>
      <c r="E842" s="9" t="str">
        <f t="shared" si="2"/>
        <v>data:image/svg+xml,%3csvg xmlns='http://www.w3.org/2000/svg' viewBox='0 0 24 216'%3e%3ctext fill='%23fff' style='font: 900 16px sans-serif' text-anchor='end' transform='matrix(0 -1 1 0 18 5)'%3eIndiana Jones%3c/text%3e%3c/svg%3e</v>
      </c>
      <c r="F842" s="14" t="str">
        <f t="shared" si="3"/>
        <v>https://svgtext.heliohost.us/cgi-bin/gen.perl?text=Indiana%20Jones</v>
      </c>
      <c r="G842" s="11" t="str">
        <f t="shared" si="4"/>
        <v>data:image/svg+xml,%3csvg xmlns='http://www.w3.org/2000/svg' viewBox='0 0 24 216'%3e%3ctext fill='%23fff' style='font: 900 16px sans-serif' text-anchor='end' transform='matrix(0 -1 1 0 18 5)'%3eIndiana Jones%3c/text%3e%3c/svg%3e</v>
      </c>
      <c r="H842" s="8" t="s">
        <v>17</v>
      </c>
      <c r="I842" s="8">
        <f t="shared" ref="I842:J842" si="843">len(B842)</f>
        <v>13</v>
      </c>
      <c r="J842" s="8">
        <f t="shared" si="843"/>
        <v>97</v>
      </c>
      <c r="K842" s="8" t="s">
        <v>4219</v>
      </c>
    </row>
    <row r="843">
      <c r="A843" s="7" t="b">
        <v>0</v>
      </c>
      <c r="B843" s="8" t="s">
        <v>4220</v>
      </c>
      <c r="C843" s="7" t="s">
        <v>4221</v>
      </c>
      <c r="D843" s="8" t="str">
        <f>Q&amp;$K843&amp;Q&amp;":{"&amp;Q&amp;$B$2&amp;Q&amp;":"&amp;Q&amp;$B843&amp;Q&amp;","&amp;Q&amp;$C$2&amp;Q&amp;":"&amp;Q&amp;$C843&amp;Q&amp;","&amp;Q&amp;"sets"&amp;Q&amp;":"&amp;Q&amp;substitute(SUBSTITUTE($H843,"[",""),"]","")&amp;Q&amp;"},"</f>
        <v>"nowp":{"label":"Industrial Revolution","extra":"The first Industrial Revolution occurred in Great Britain at the end of the 1700s. The second came with the invention of the “Clapper.”","sets":"Basic Set, Party Set"},</v>
      </c>
      <c r="E843" s="9" t="str">
        <f t="shared" si="2"/>
        <v>data:image/svg+xml,%3csvg xmlns='http://www.w3.org/2000/svg' viewBox='0 0 24 216'%3e%3ctext fill='%23fff' style='font: 900 16px sans-serif' text-anchor='end' transform='matrix(0 -1 1 0 18 5)'%3eIndustrial Revolution%3c/text%3e%3c/svg%3e</v>
      </c>
      <c r="F843" s="14" t="str">
        <f t="shared" si="3"/>
        <v>https://svgtext.heliohost.us/cgi-bin/gen.perl?text=Industrial%20Revolution</v>
      </c>
      <c r="G843" s="11" t="str">
        <f t="shared" si="4"/>
        <v>data:image/svg+xml,%3csvg xmlns='http://www.w3.org/2000/svg' viewBox='0 0 24 216'%3e%3ctext fill='%23fff' style='font: 900 16px sans-serif' text-anchor='end' transform='matrix(0 -1 1 0 18 5)'%3eIndustrial Revolution%3c/text%3e%3c/svg%3e</v>
      </c>
      <c r="H843" s="8" t="s">
        <v>29</v>
      </c>
      <c r="I843" s="8">
        <f t="shared" ref="I843:J843" si="844">len(B843)</f>
        <v>21</v>
      </c>
      <c r="J843" s="8">
        <f t="shared" si="844"/>
        <v>135</v>
      </c>
      <c r="K843" s="8" t="s">
        <v>4222</v>
      </c>
    </row>
    <row r="844">
      <c r="A844" s="7" t="b">
        <v>0</v>
      </c>
      <c r="B844" s="8" t="s">
        <v>4223</v>
      </c>
      <c r="C844" s="8" t="s">
        <v>4224</v>
      </c>
      <c r="D844" s="8" t="str">
        <f>Q&amp;$K844&amp;Q&amp;":{"&amp;Q&amp;$B$2&amp;Q&amp;":"&amp;Q&amp;$B844&amp;Q&amp;","&amp;Q&amp;$C$2&amp;Q&amp;":"&amp;Q&amp;$C844&amp;Q&amp;","&amp;Q&amp;"sets"&amp;Q&amp;":"&amp;Q&amp;substitute(SUBSTITUTE($H844,"[",""),"]","")&amp;Q&amp;"},"</f>
        <v>"fxxo":{"label":"Infomercials","extra":"One of these days, one of them may even say something informative.","sets":"Basic Set, Party Set"},</v>
      </c>
      <c r="E844" s="9" t="str">
        <f t="shared" si="2"/>
        <v>data:image/svg+xml,%3csvg xmlns='http://www.w3.org/2000/svg' viewBox='0 0 24 216'%3e%3ctext fill='%23fff' style='font: 900 16px sans-serif' text-anchor='end' transform='matrix(0 -1 1 0 18 5)'%3eInfomercials%3c/text%3e%3c/svg%3e</v>
      </c>
      <c r="F844" s="14" t="str">
        <f t="shared" si="3"/>
        <v>https://svgtext.heliohost.us/cgi-bin/gen.perl?text=Infomercials</v>
      </c>
      <c r="G844" s="11" t="str">
        <f t="shared" si="4"/>
        <v>data:image/svg+xml,%3csvg xmlns='http://www.w3.org/2000/svg' viewBox='0 0 24 216'%3e%3ctext fill='%23fff' style='font: 900 16px sans-serif' text-anchor='end' transform='matrix(0 -1 1 0 18 5)'%3eInfomercials%3c/text%3e%3c/svg%3e</v>
      </c>
      <c r="H844" s="8" t="s">
        <v>29</v>
      </c>
      <c r="I844" s="8">
        <f t="shared" ref="I844:J844" si="845">len(B844)</f>
        <v>12</v>
      </c>
      <c r="J844" s="8">
        <f t="shared" si="845"/>
        <v>66</v>
      </c>
      <c r="K844" s="8" t="s">
        <v>4225</v>
      </c>
    </row>
    <row r="845">
      <c r="A845" s="7" t="b">
        <v>0</v>
      </c>
      <c r="B845" s="8" t="s">
        <v>4226</v>
      </c>
      <c r="C845" s="8" t="s">
        <v>4227</v>
      </c>
      <c r="D845" s="8" t="str">
        <f>Q&amp;$K845&amp;Q&amp;":{"&amp;Q&amp;$B$2&amp;Q&amp;":"&amp;Q&amp;$B845&amp;Q&amp;","&amp;Q&amp;$C$2&amp;Q&amp;":"&amp;Q&amp;$C845&amp;Q&amp;","&amp;Q&amp;"sets"&amp;Q&amp;":"&amp;Q&amp;substitute(SUBSTITUTE($H845,"[",""),"]","")&amp;Q&amp;"},"</f>
        <v>"jbe{":{"label":"Inside The Sun","extra":"Consisting mostly of hydrogen, the temperature reaches almost 16,000,000 K (about 29,000,000 F).","sets":"Basic Set, Party Set"},</v>
      </c>
      <c r="E845" s="9" t="str">
        <f t="shared" si="2"/>
        <v>data:image/svg+xml,%3csvg xmlns='http://www.w3.org/2000/svg' viewBox='0 0 24 216'%3e%3ctext fill='%23fff' style='font: 900 16px sans-serif' text-anchor='end' transform='matrix(0 -1 1 0 18 5)'%3eInside The Sun%3c/text%3e%3c/svg%3e</v>
      </c>
      <c r="F845" s="14" t="str">
        <f t="shared" si="3"/>
        <v>https://svgtext.heliohost.us/cgi-bin/gen.perl?text=Inside%20The%20Sun</v>
      </c>
      <c r="G845" s="11" t="str">
        <f t="shared" si="4"/>
        <v>data:image/svg+xml,%3csvg xmlns='http://www.w3.org/2000/svg' viewBox='0 0 24 216'%3e%3ctext fill='%23fff' style='font: 900 16px sans-serif' text-anchor='end' transform='matrix(0 -1 1 0 18 5)'%3eInside The Sun%3c/text%3e%3c/svg%3e</v>
      </c>
      <c r="H845" s="8" t="s">
        <v>29</v>
      </c>
      <c r="I845" s="8">
        <f t="shared" ref="I845:J845" si="846">len(B845)</f>
        <v>14</v>
      </c>
      <c r="J845" s="8">
        <f t="shared" si="846"/>
        <v>96</v>
      </c>
      <c r="K845" s="8" t="s">
        <v>4228</v>
      </c>
    </row>
    <row r="846">
      <c r="A846" s="7" t="b">
        <v>0</v>
      </c>
      <c r="B846" s="8" t="s">
        <v>4229</v>
      </c>
      <c r="C846" s="7" t="s">
        <v>4230</v>
      </c>
      <c r="D846" s="8" t="str">
        <f>Q&amp;$K846&amp;Q&amp;":{"&amp;Q&amp;$B$2&amp;Q&amp;":"&amp;Q&amp;$B846&amp;Q&amp;","&amp;Q&amp;$C$2&amp;Q&amp;":"&amp;Q&amp;$C846&amp;Q&amp;","&amp;Q&amp;"sets"&amp;Q&amp;":"&amp;Q&amp;substitute(SUBSTITUTE($H846,"[",""),"]","")&amp;Q&amp;"},"</f>
        <v>"odyg":{"label":"Intellectuals","extra":"They think they’re so smart.","sets":"Expansion Set 2, Party Set"},</v>
      </c>
      <c r="E846" s="9" t="str">
        <f t="shared" si="2"/>
        <v>data:image/svg+xml,%3csvg xmlns='http://www.w3.org/2000/svg' viewBox='0 0 24 216'%3e%3ctext fill='%23fff' style='font: 900 16px sans-serif' text-anchor='end' transform='matrix(0 -1 1 0 18 5)'%3eIntellectuals%3c/text%3e%3c/svg%3e</v>
      </c>
      <c r="F846" s="14" t="str">
        <f t="shared" si="3"/>
        <v>https://svgtext.heliohost.us/cgi-bin/gen.perl?text=Intellectuals</v>
      </c>
      <c r="G846" s="11" t="str">
        <f t="shared" si="4"/>
        <v>data:image/svg+xml,%3csvg xmlns='http://www.w3.org/2000/svg' viewBox='0 0 24 216'%3e%3ctext fill='%23fff' style='font: 900 16px sans-serif' text-anchor='end' transform='matrix(0 -1 1 0 18 5)'%3eIntellectuals%3c/text%3e%3c/svg%3e</v>
      </c>
      <c r="H846" s="8" t="s">
        <v>17</v>
      </c>
      <c r="I846" s="8">
        <f t="shared" ref="I846:J846" si="847">len(B846)</f>
        <v>13</v>
      </c>
      <c r="J846" s="8">
        <f t="shared" si="847"/>
        <v>28</v>
      </c>
      <c r="K846" s="8" t="s">
        <v>4231</v>
      </c>
    </row>
    <row r="847">
      <c r="A847" s="7" t="b">
        <v>0</v>
      </c>
      <c r="B847" s="8" t="s">
        <v>4232</v>
      </c>
      <c r="C847" s="8" t="s">
        <v>4233</v>
      </c>
      <c r="D847" s="8" t="str">
        <f>Q&amp;$K847&amp;Q&amp;":{"&amp;Q&amp;$B$2&amp;Q&amp;":"&amp;Q&amp;$B847&amp;Q&amp;","&amp;Q&amp;$C$2&amp;Q&amp;":"&amp;Q&amp;$C847&amp;Q&amp;","&amp;Q&amp;"sets"&amp;Q&amp;":"&amp;Q&amp;substitute(SUBSTITUTE($H847,"[",""),"]","")&amp;Q&amp;"},"</f>
        <v>"qj{v":{"label":"Ireland","extra":"Island of the British Isles, west of Great Britain. Known for its distinctive traditional dance and music.","sets":"Expansion Set 2, Party Set"},</v>
      </c>
      <c r="E847" s="9" t="str">
        <f t="shared" si="2"/>
        <v>data:image/svg+xml,%3csvg xmlns='http://www.w3.org/2000/svg' viewBox='0 0 24 216'%3e%3ctext fill='%23fff' style='font: 900 16px sans-serif' text-anchor='end' transform='matrix(0 -1 1 0 18 5)'%3eIreland%3c/text%3e%3c/svg%3e</v>
      </c>
      <c r="F847" s="14" t="str">
        <f t="shared" si="3"/>
        <v>https://svgtext.heliohost.us/cgi-bin/gen.perl?text=Ireland</v>
      </c>
      <c r="G847" s="11" t="str">
        <f t="shared" si="4"/>
        <v>data:image/svg+xml,%3csvg xmlns='http://www.w3.org/2000/svg' viewBox='0 0 24 216'%3e%3ctext fill='%23fff' style='font: 900 16px sans-serif' text-anchor='end' transform='matrix(0 -1 1 0 18 5)'%3eIreland%3c/text%3e%3c/svg%3e</v>
      </c>
      <c r="H847" s="8" t="s">
        <v>17</v>
      </c>
      <c r="I847" s="8">
        <f t="shared" ref="I847:J847" si="848">len(B847)</f>
        <v>7</v>
      </c>
      <c r="J847" s="8">
        <f t="shared" si="848"/>
        <v>106</v>
      </c>
      <c r="K847" s="8" t="s">
        <v>4234</v>
      </c>
    </row>
    <row r="848">
      <c r="A848" s="7" t="b">
        <v>1</v>
      </c>
      <c r="B848" s="8" t="s">
        <v>4235</v>
      </c>
      <c r="C848" s="7" t="s">
        <v>4236</v>
      </c>
      <c r="D848" s="8" t="str">
        <f>Q&amp;$K848&amp;Q&amp;":{"&amp;Q&amp;$B$2&amp;Q&amp;":"&amp;Q&amp;$B848&amp;Q&amp;","&amp;Q&amp;$C$2&amp;Q&amp;":"&amp;Q&amp;$C848&amp;Q&amp;","&amp;Q&amp;"sets"&amp;Q&amp;":"&amp;Q&amp;substitute(SUBSTITUTE($H848,"[",""),"]","")&amp;Q&amp;"},"</f>
        <v>"ucgf":{"label":"Irrational Fears","extra":"What’s that sound?","sets":"Expansion Set 3, Party Expansion 1"},</v>
      </c>
      <c r="E848" s="9" t="str">
        <f t="shared" si="2"/>
        <v>data:image/svg+xml,%3csvg xmlns='http://www.w3.org/2000/svg' viewBox='0 0 24 216'%3e%3ctext fill='%23fff' style='font: 900 16px sans-serif' text-anchor='end' transform='matrix(0 -1 1 0 18 5)'%3eIrrational Fears%3c/text%3e%3c/svg%3e</v>
      </c>
      <c r="F848" s="14" t="str">
        <f t="shared" si="3"/>
        <v>https://svgtext.heliohost.us/cgi-bin/gen.perl?text=Irrational%20Fears</v>
      </c>
      <c r="G848" s="11" t="str">
        <f t="shared" si="4"/>
        <v>data:image/svg+xml,%3csvg xmlns='http://www.w3.org/2000/svg' viewBox='0 0 24 216'%3e%3ctext fill='%23fff' style='font: 900 16px sans-serif' text-anchor='end' transform='matrix(0 -1 1 0 18 5)'%3eIrrational Fears%3c/text%3e%3c/svg%3e</v>
      </c>
      <c r="H848" s="8" t="s">
        <v>39</v>
      </c>
      <c r="I848" s="8">
        <f t="shared" ref="I848:J848" si="849">len(B848)</f>
        <v>16</v>
      </c>
      <c r="J848" s="8">
        <f t="shared" si="849"/>
        <v>18</v>
      </c>
      <c r="K848" s="8" t="s">
        <v>4237</v>
      </c>
    </row>
    <row r="849">
      <c r="A849" s="7" t="b">
        <v>0</v>
      </c>
      <c r="B849" s="8" t="s">
        <v>4238</v>
      </c>
      <c r="C849" s="8" t="s">
        <v>4239</v>
      </c>
      <c r="D849" s="8" t="str">
        <f>Q&amp;$K849&amp;Q&amp;":{"&amp;Q&amp;$B$2&amp;Q&amp;":"&amp;Q&amp;$B849&amp;Q&amp;","&amp;Q&amp;$C$2&amp;Q&amp;":"&amp;Q&amp;$C849&amp;Q&amp;","&amp;Q&amp;"sets"&amp;Q&amp;":"&amp;Q&amp;substitute(SUBSTITUTE($H849,"[",""),"]","")&amp;Q&amp;"},"</f>
        <v>"bcnh":{"label":"Israel","extra":"Located on the Mediterranean, the state of Israel was reated by a 1948 U.N. mandate.","sets":"Expansion Set 2, Party Set"},</v>
      </c>
      <c r="E849" s="9" t="str">
        <f t="shared" si="2"/>
        <v>data:image/svg+xml,%3csvg xmlns='http://www.w3.org/2000/svg' viewBox='0 0 24 216'%3e%3ctext fill='%23fff' style='font: 900 16px sans-serif' text-anchor='end' transform='matrix(0 -1 1 0 18 5)'%3eIsrael%3c/text%3e%3c/svg%3e</v>
      </c>
      <c r="F849" s="14" t="str">
        <f t="shared" si="3"/>
        <v>https://svgtext.heliohost.us/cgi-bin/gen.perl?text=Israel</v>
      </c>
      <c r="G849" s="11" t="str">
        <f t="shared" si="4"/>
        <v>data:image/svg+xml,%3csvg xmlns='http://www.w3.org/2000/svg' viewBox='0 0 24 216'%3e%3ctext fill='%23fff' style='font: 900 16px sans-serif' text-anchor='end' transform='matrix(0 -1 1 0 18 5)'%3eIsrael%3c/text%3e%3c/svg%3e</v>
      </c>
      <c r="H849" s="8" t="s">
        <v>17</v>
      </c>
      <c r="I849" s="8">
        <f t="shared" ref="I849:J849" si="850">len(B849)</f>
        <v>6</v>
      </c>
      <c r="J849" s="8">
        <f t="shared" si="850"/>
        <v>84</v>
      </c>
      <c r="K849" s="8" t="s">
        <v>4240</v>
      </c>
    </row>
    <row r="850">
      <c r="A850" s="7" t="b">
        <v>0</v>
      </c>
      <c r="B850" s="8" t="s">
        <v>4241</v>
      </c>
      <c r="C850" s="8" t="s">
        <v>4242</v>
      </c>
      <c r="D850" s="8" t="str">
        <f>Q&amp;$K850&amp;Q&amp;":{"&amp;Q&amp;$B$2&amp;Q&amp;":"&amp;Q&amp;$B850&amp;Q&amp;","&amp;Q&amp;$C$2&amp;Q&amp;":"&amp;Q&amp;$C850&amp;Q&amp;","&amp;Q&amp;"sets"&amp;Q&amp;":"&amp;Q&amp;substitute(SUBSTITUTE($H850,"[",""),"]","")&amp;Q&amp;"},"</f>
        <v>"kicb":{"label":"Italy","extra":"European Republic, shaped like a boot a very fashionable boot.","sets":"Basic Set, Party Set"},</v>
      </c>
      <c r="E850" s="9" t="str">
        <f t="shared" si="2"/>
        <v>data:image/svg+xml,%3csvg xmlns='http://www.w3.org/2000/svg' viewBox='0 0 24 216'%3e%3ctext fill='%23fff' style='font: 900 16px sans-serif' text-anchor='end' transform='matrix(0 -1 1 0 18 5)'%3eItaly%3c/text%3e%3c/svg%3e</v>
      </c>
      <c r="F850" s="14" t="str">
        <f t="shared" si="3"/>
        <v>https://svgtext.heliohost.us/cgi-bin/gen.perl?text=Italy</v>
      </c>
      <c r="G850" s="11" t="str">
        <f t="shared" si="4"/>
        <v>data:image/svg+xml,%3csvg xmlns='http://www.w3.org/2000/svg' viewBox='0 0 24 216'%3e%3ctext fill='%23fff' style='font: 900 16px sans-serif' text-anchor='end' transform='matrix(0 -1 1 0 18 5)'%3eItaly%3c/text%3e%3c/svg%3e</v>
      </c>
      <c r="H850" s="8" t="s">
        <v>29</v>
      </c>
      <c r="I850" s="8">
        <f t="shared" ref="I850:J850" si="851">len(B850)</f>
        <v>5</v>
      </c>
      <c r="J850" s="8">
        <f t="shared" si="851"/>
        <v>62</v>
      </c>
      <c r="K850" s="8" t="s">
        <v>4243</v>
      </c>
    </row>
    <row r="851">
      <c r="A851" s="7" t="b">
        <v>1</v>
      </c>
      <c r="B851" s="8" t="s">
        <v>4244</v>
      </c>
      <c r="C851" s="7" t="s">
        <v>4245</v>
      </c>
      <c r="D851" s="8" t="str">
        <f>Q&amp;$K851&amp;Q&amp;":{"&amp;Q&amp;$B$2&amp;Q&amp;":"&amp;Q&amp;$B851&amp;Q&amp;","&amp;Q&amp;$C$2&amp;Q&amp;":"&amp;Q&amp;$C851&amp;Q&amp;","&amp;Q&amp;"sets"&amp;Q&amp;":"&amp;Q&amp;substitute(SUBSTITUTE($H851,"[",""),"]","")&amp;Q&amp;"},"</f>
        <v>"ylpr":{"label":"Itchy Clothes","extra":"Rough, prickly, scratchy they’re awful!","sets":"Junior"},</v>
      </c>
      <c r="E851" s="9" t="str">
        <f t="shared" si="2"/>
        <v>data:image/svg+xml,%3csvg xmlns='http://www.w3.org/2000/svg' viewBox='0 0 24 216'%3e%3ctext fill='%23fff' style='font: 900 16px sans-serif' text-anchor='end' transform='matrix(0 -1 1 0 18 5)'%3eItchy Clothes%3c/text%3e%3c/svg%3e</v>
      </c>
      <c r="F851" s="14" t="str">
        <f t="shared" si="3"/>
        <v>https://svgtext.heliohost.us/cgi-bin/gen.perl?text=Itchy%20Clothes</v>
      </c>
      <c r="G851" s="11" t="str">
        <f t="shared" si="4"/>
        <v>data:image/svg+xml,%3csvg xmlns='http://www.w3.org/2000/svg' viewBox='0 0 24 216'%3e%3ctext fill='%23fff' style='font: 900 16px sans-serif' text-anchor='end' transform='matrix(0 -1 1 0 18 5)'%3eItchy Clothes%3c/text%3e%3c/svg%3e</v>
      </c>
      <c r="H851" s="8" t="s">
        <v>84</v>
      </c>
      <c r="I851" s="8">
        <f t="shared" ref="I851:J851" si="852">len(B851)</f>
        <v>13</v>
      </c>
      <c r="J851" s="8">
        <f t="shared" si="852"/>
        <v>39</v>
      </c>
      <c r="K851" s="8" t="s">
        <v>4246</v>
      </c>
    </row>
    <row r="852">
      <c r="A852" s="7" t="b">
        <v>0</v>
      </c>
      <c r="B852" s="8" t="s">
        <v>4247</v>
      </c>
      <c r="C852" s="7" t="s">
        <v>4248</v>
      </c>
      <c r="D852" s="8" t="str">
        <f>Q&amp;$K852&amp;Q&amp;":{"&amp;Q&amp;$B$2&amp;Q&amp;":"&amp;Q&amp;$B852&amp;Q&amp;","&amp;Q&amp;$C$2&amp;Q&amp;":"&amp;Q&amp;$C852&amp;Q&amp;","&amp;Q&amp;"sets"&amp;Q&amp;":"&amp;Q&amp;substitute(SUBSTITUTE($H852,"[",""),"]","")&amp;Q&amp;"},"</f>
        <v>"xzka":{"label":"Jack Nicholson","extra":"1937-, American motion-picture actor of “Chinatown,” “Terms Of Endearment” and “The Shining.” He's as good as it gets!","sets":"Expansion Set 1, Party Set"},</v>
      </c>
      <c r="E852" s="9" t="str">
        <f t="shared" si="2"/>
        <v>data:image/svg+xml,%3csvg xmlns='http://www.w3.org/2000/svg' viewBox='0 0 24 216'%3e%3ctext fill='%23fff' style='font: 900 16px sans-serif' text-anchor='end' transform='matrix(0 -1 1 0 18 5)'%3eJack Nicholson%3c/text%3e%3c/svg%3e</v>
      </c>
      <c r="F852" s="14" t="str">
        <f t="shared" si="3"/>
        <v>https://svgtext.heliohost.us/cgi-bin/gen.perl?text=Jack%20Nicholson</v>
      </c>
      <c r="G852" s="11" t="str">
        <f t="shared" si="4"/>
        <v>data:image/svg+xml,%3csvg xmlns='http://www.w3.org/2000/svg' viewBox='0 0 24 216'%3e%3ctext fill='%23fff' style='font: 900 16px sans-serif' text-anchor='end' transform='matrix(0 -1 1 0 18 5)'%3eJack Nicholson%3c/text%3e%3c/svg%3e</v>
      </c>
      <c r="H852" s="8" t="s">
        <v>25</v>
      </c>
      <c r="I852" s="8">
        <f t="shared" ref="I852:J852" si="853">len(B852)</f>
        <v>14</v>
      </c>
      <c r="J852" s="8">
        <f t="shared" si="853"/>
        <v>118</v>
      </c>
      <c r="K852" s="8" t="s">
        <v>4249</v>
      </c>
    </row>
    <row r="853">
      <c r="A853" s="7" t="b">
        <v>0</v>
      </c>
      <c r="B853" s="8" t="s">
        <v>4250</v>
      </c>
      <c r="C853" s="8" t="s">
        <v>4251</v>
      </c>
      <c r="D853" s="8" t="str">
        <f>Q&amp;$K853&amp;Q&amp;":{"&amp;Q&amp;$B$2&amp;Q&amp;":"&amp;Q&amp;$B853&amp;Q&amp;","&amp;Q&amp;$C$2&amp;Q&amp;":"&amp;Q&amp;$C853&amp;Q&amp;","&amp;Q&amp;"sets"&amp;Q&amp;":"&amp;Q&amp;substitute(SUBSTITUTE($H853,"[",""),"]","")&amp;Q&amp;"},"</f>
        <v>"ufao":{"label":"Jack The Ripper","extra":"Accused of murdering six women in 1888, and suspected in other murders. Still at large.","sets":"Expansion Set 1, Party Set"},</v>
      </c>
      <c r="E853" s="9" t="str">
        <f t="shared" si="2"/>
        <v>data:image/svg+xml,%3csvg xmlns='http://www.w3.org/2000/svg' viewBox='0 0 24 216'%3e%3ctext fill='%23fff' style='font: 900 16px sans-serif' text-anchor='end' transform='matrix(0 -1 1 0 18 5)'%3eJack The Ripper%3c/text%3e%3c/svg%3e</v>
      </c>
      <c r="F853" s="14" t="str">
        <f t="shared" si="3"/>
        <v>https://svgtext.heliohost.us/cgi-bin/gen.perl?text=Jack%20The%20Ripper</v>
      </c>
      <c r="G853" s="11" t="str">
        <f t="shared" si="4"/>
        <v>data:image/svg+xml,%3csvg xmlns='http://www.w3.org/2000/svg' viewBox='0 0 24 216'%3e%3ctext fill='%23fff' style='font: 900 16px sans-serif' text-anchor='end' transform='matrix(0 -1 1 0 18 5)'%3eJack The Ripper%3c/text%3e%3c/svg%3e</v>
      </c>
      <c r="H853" s="8" t="s">
        <v>25</v>
      </c>
      <c r="I853" s="8">
        <f t="shared" ref="I853:J853" si="854">len(B853)</f>
        <v>15</v>
      </c>
      <c r="J853" s="8">
        <f t="shared" si="854"/>
        <v>87</v>
      </c>
      <c r="K853" s="8" t="s">
        <v>4252</v>
      </c>
    </row>
    <row r="854">
      <c r="A854" s="7" t="b">
        <v>0</v>
      </c>
      <c r="B854" s="8" t="s">
        <v>4253</v>
      </c>
      <c r="C854" s="7" t="s">
        <v>4254</v>
      </c>
      <c r="D854" s="8" t="str">
        <f>Q&amp;$K854&amp;Q&amp;":{"&amp;Q&amp;$B$2&amp;Q&amp;":"&amp;Q&amp;$B854&amp;Q&amp;","&amp;Q&amp;$C$2&amp;Q&amp;":"&amp;Q&amp;$C854&amp;Q&amp;","&amp;Q&amp;"sets"&amp;Q&amp;":"&amp;Q&amp;substitute(SUBSTITUTE($H854,"[",""),"]","")&amp;Q&amp;"},"</f>
        <v>"xyqy":{"label":"Jackie Chan","extra":"1954-, actor, director, martial artist. Screen name, Sing Lung, means “Becoming the Dragon.” That’s “MISTER Becoming the Dragon” to you!","sets":"Expansion Set 1, Party Set"},</v>
      </c>
      <c r="E854" s="9" t="str">
        <f t="shared" si="2"/>
        <v>data:image/svg+xml,%3csvg xmlns='http://www.w3.org/2000/svg' viewBox='0 0 24 216'%3e%3ctext fill='%23fff' style='font: 900 16px sans-serif' text-anchor='end' transform='matrix(0 -1 1 0 18 5)'%3eJackie Chan%3c/text%3e%3c/svg%3e</v>
      </c>
      <c r="F854" s="14" t="str">
        <f t="shared" si="3"/>
        <v>https://svgtext.heliohost.us/cgi-bin/gen.perl?text=Jackie%20Chan</v>
      </c>
      <c r="G854" s="11" t="str">
        <f t="shared" si="4"/>
        <v>data:image/svg+xml,%3csvg xmlns='http://www.w3.org/2000/svg' viewBox='0 0 24 216'%3e%3ctext fill='%23fff' style='font: 900 16px sans-serif' text-anchor='end' transform='matrix(0 -1 1 0 18 5)'%3eJackie Chan%3c/text%3e%3c/svg%3e</v>
      </c>
      <c r="H854" s="8" t="s">
        <v>25</v>
      </c>
      <c r="I854" s="8">
        <f t="shared" ref="I854:J854" si="855">len(B854)</f>
        <v>11</v>
      </c>
      <c r="J854" s="8">
        <f t="shared" si="855"/>
        <v>136</v>
      </c>
      <c r="K854" s="8" t="s">
        <v>4255</v>
      </c>
    </row>
    <row r="855">
      <c r="A855" s="7" t="b">
        <v>0</v>
      </c>
      <c r="B855" s="8" t="s">
        <v>4256</v>
      </c>
      <c r="C855" s="8" t="s">
        <v>4257</v>
      </c>
      <c r="D855" s="8" t="str">
        <f>Q&amp;$K855&amp;Q&amp;":{"&amp;Q&amp;$B$2&amp;Q&amp;":"&amp;Q&amp;$B855&amp;Q&amp;","&amp;Q&amp;$C$2&amp;Q&amp;":"&amp;Q&amp;$C855&amp;Q&amp;","&amp;Q&amp;"sets"&amp;Q&amp;":"&amp;Q&amp;substitute(SUBSTITUTE($H855,"[",""),"]","")&amp;Q&amp;"},"</f>
        <v>"dygj":{"label":"Jacques Cousteau","extra":"1910-97, French naval officer, marine explorer, and author. Best known as a documentary filmmaker.","sets":"Basic Set, Party Set"},</v>
      </c>
      <c r="E855" s="9" t="str">
        <f t="shared" si="2"/>
        <v>data:image/svg+xml,%3csvg xmlns='http://www.w3.org/2000/svg' viewBox='0 0 24 216'%3e%3ctext fill='%23fff' style='font: 900 16px sans-serif' text-anchor='end' transform='matrix(0 -1 1 0 18 5)'%3eJacques Cousteau%3c/text%3e%3c/svg%3e</v>
      </c>
      <c r="F855" s="14" t="str">
        <f t="shared" si="3"/>
        <v>https://svgtext.heliohost.us/cgi-bin/gen.perl?text=Jacques%20Cousteau</v>
      </c>
      <c r="G855" s="11" t="str">
        <f t="shared" si="4"/>
        <v>data:image/svg+xml,%3csvg xmlns='http://www.w3.org/2000/svg' viewBox='0 0 24 216'%3e%3ctext fill='%23fff' style='font: 900 16px sans-serif' text-anchor='end' transform='matrix(0 -1 1 0 18 5)'%3eJacques Cousteau%3c/text%3e%3c/svg%3e</v>
      </c>
      <c r="H855" s="8" t="s">
        <v>29</v>
      </c>
      <c r="I855" s="8">
        <f t="shared" ref="I855:J855" si="856">len(B855)</f>
        <v>16</v>
      </c>
      <c r="J855" s="8">
        <f t="shared" si="856"/>
        <v>98</v>
      </c>
      <c r="K855" s="8" t="s">
        <v>4258</v>
      </c>
    </row>
    <row r="856">
      <c r="A856" s="7" t="b">
        <v>1</v>
      </c>
      <c r="B856" s="8" t="s">
        <v>4259</v>
      </c>
      <c r="C856" s="8" t="s">
        <v>4260</v>
      </c>
      <c r="D856" s="8" t="str">
        <f>Q&amp;$K856&amp;Q&amp;":{"&amp;Q&amp;$B$2&amp;Q&amp;":"&amp;Q&amp;$B856&amp;Q&amp;","&amp;Q&amp;$C$2&amp;Q&amp;":"&amp;Q&amp;$C856&amp;Q&amp;","&amp;Q&amp;"sets"&amp;Q&amp;":"&amp;Q&amp;substitute(SUBSTITUTE($H856,"[",""),"]","")&amp;Q&amp;"},"</f>
        <v>"yiyd":{"label":"Jail","extra":"A place for keeping people who have broken the law.","sets":"Junior"},</v>
      </c>
      <c r="E856" s="9" t="str">
        <f t="shared" si="2"/>
        <v>data:image/svg+xml,%3csvg xmlns='http://www.w3.org/2000/svg' viewBox='0 0 24 216'%3e%3ctext fill='%23fff' style='font: 900 16px sans-serif' text-anchor='end' transform='matrix(0 -1 1 0 18 5)'%3eJail%3c/text%3e%3c/svg%3e</v>
      </c>
      <c r="F856" s="14" t="str">
        <f t="shared" si="3"/>
        <v>https://svgtext.heliohost.us/cgi-bin/gen.perl?text=Jail</v>
      </c>
      <c r="G856" s="11" t="str">
        <f t="shared" si="4"/>
        <v>data:image/svg+xml,%3csvg xmlns='http://www.w3.org/2000/svg' viewBox='0 0 24 216'%3e%3ctext fill='%23fff' style='font: 900 16px sans-serif' text-anchor='end' transform='matrix(0 -1 1 0 18 5)'%3eJail%3c/text%3e%3c/svg%3e</v>
      </c>
      <c r="H856" s="8" t="s">
        <v>84</v>
      </c>
      <c r="I856" s="8">
        <f t="shared" ref="I856:J856" si="857">len(B856)</f>
        <v>4</v>
      </c>
      <c r="J856" s="8">
        <f t="shared" si="857"/>
        <v>51</v>
      </c>
      <c r="K856" s="8" t="s">
        <v>4261</v>
      </c>
    </row>
    <row r="857">
      <c r="A857" s="7" t="b">
        <v>0</v>
      </c>
      <c r="B857" s="8" t="s">
        <v>4262</v>
      </c>
      <c r="C857" s="8" t="s">
        <v>4263</v>
      </c>
      <c r="D857" s="8" t="str">
        <f>Q&amp;$K857&amp;Q&amp;":{"&amp;Q&amp;$B$2&amp;Q&amp;":"&amp;Q&amp;$B857&amp;Q&amp;","&amp;Q&amp;$C$2&amp;Q&amp;":"&amp;Q&amp;$C857&amp;Q&amp;","&amp;Q&amp;"sets"&amp;Q&amp;":"&amp;Q&amp;substitute(SUBSTITUTE($H857,"[",""),"]","")&amp;Q&amp;"},"</f>
        <v>"xagv":{"label":"Jamaica","extra":"Third largest island of the Greater Antilles, south of Cuba. Tropical climate, reggae music, and jerk cooking.","sets":"Expansion Set 2, Party Set"},</v>
      </c>
      <c r="E857" s="9" t="str">
        <f t="shared" si="2"/>
        <v>data:image/svg+xml,%3csvg xmlns='http://www.w3.org/2000/svg' viewBox='0 0 24 216'%3e%3ctext fill='%23fff' style='font: 900 16px sans-serif' text-anchor='end' transform='matrix(0 -1 1 0 18 5)'%3eJamaica%3c/text%3e%3c/svg%3e</v>
      </c>
      <c r="F857" s="14" t="str">
        <f t="shared" si="3"/>
        <v>https://svgtext.heliohost.us/cgi-bin/gen.perl?text=Jamaica</v>
      </c>
      <c r="G857" s="11" t="str">
        <f t="shared" si="4"/>
        <v>data:image/svg+xml,%3csvg xmlns='http://www.w3.org/2000/svg' viewBox='0 0 24 216'%3e%3ctext fill='%23fff' style='font: 900 16px sans-serif' text-anchor='end' transform='matrix(0 -1 1 0 18 5)'%3eJamaica%3c/text%3e%3c/svg%3e</v>
      </c>
      <c r="H857" s="8" t="s">
        <v>17</v>
      </c>
      <c r="I857" s="8">
        <f t="shared" ref="I857:J857" si="858">len(B857)</f>
        <v>7</v>
      </c>
      <c r="J857" s="8">
        <f t="shared" si="858"/>
        <v>110</v>
      </c>
      <c r="K857" s="8" t="s">
        <v>4264</v>
      </c>
    </row>
    <row r="858">
      <c r="A858" s="7" t="b">
        <v>0</v>
      </c>
      <c r="B858" s="8" t="s">
        <v>4265</v>
      </c>
      <c r="C858" s="8" t="s">
        <v>4266</v>
      </c>
      <c r="D858" s="8" t="str">
        <f>Q&amp;$K858&amp;Q&amp;":{"&amp;Q&amp;$B$2&amp;Q&amp;":"&amp;Q&amp;$B858&amp;Q&amp;","&amp;Q&amp;$C$2&amp;Q&amp;":"&amp;Q&amp;$C858&amp;Q&amp;","&amp;Q&amp;"sets"&amp;Q&amp;":"&amp;Q&amp;substitute(SUBSTITUTE($H858,"[",""),"]","")&amp;Q&amp;"},"</f>
        <v>"ujec":{"label":"James Bond","extra":"Fictional British secret agent created by English author Ian Fleming. Shaken, but never stirred.","sets":"Basic Set, Party Set"},</v>
      </c>
      <c r="E858" s="9" t="str">
        <f t="shared" si="2"/>
        <v>data:image/svg+xml,%3csvg xmlns='http://www.w3.org/2000/svg' viewBox='0 0 24 216'%3e%3ctext fill='%23fff' style='font: 900 16px sans-serif' text-anchor='end' transform='matrix(0 -1 1 0 18 5)'%3eJames Bond%3c/text%3e%3c/svg%3e</v>
      </c>
      <c r="F858" s="14" t="str">
        <f t="shared" si="3"/>
        <v>https://svgtext.heliohost.us/cgi-bin/gen.perl?text=James%20Bond</v>
      </c>
      <c r="G858" s="11" t="str">
        <f t="shared" si="4"/>
        <v>data:image/svg+xml,%3csvg xmlns='http://www.w3.org/2000/svg' viewBox='0 0 24 216'%3e%3ctext fill='%23fff' style='font: 900 16px sans-serif' text-anchor='end' transform='matrix(0 -1 1 0 18 5)'%3eJames Bond%3c/text%3e%3c/svg%3e</v>
      </c>
      <c r="H858" s="8" t="s">
        <v>29</v>
      </c>
      <c r="I858" s="8">
        <f t="shared" ref="I858:J858" si="859">len(B858)</f>
        <v>10</v>
      </c>
      <c r="J858" s="8">
        <f t="shared" si="859"/>
        <v>96</v>
      </c>
      <c r="K858" s="8" t="s">
        <v>4267</v>
      </c>
    </row>
    <row r="859">
      <c r="A859" s="7" t="b">
        <v>0</v>
      </c>
      <c r="B859" s="8" t="s">
        <v>4268</v>
      </c>
      <c r="C859" s="7" t="s">
        <v>4269</v>
      </c>
      <c r="D859" s="8" t="str">
        <f>Q&amp;$K859&amp;Q&amp;":{"&amp;Q&amp;$B$2&amp;Q&amp;":"&amp;Q&amp;$B859&amp;Q&amp;","&amp;Q&amp;$C$2&amp;Q&amp;":"&amp;Q&amp;$C859&amp;Q&amp;","&amp;Q&amp;"sets"&amp;Q&amp;":"&amp;Q&amp;substitute(SUBSTITUTE($H859,"[",""),"]","")&amp;Q&amp;"},"</f>
        <v>"bzhq":{"label":"James Dean","extra":"1931-55, American actor of film, stage, and television. His role in “Rebel Without a Cause” helped define “cool.”","sets":"Basic Set, Party Set"},</v>
      </c>
      <c r="E859" s="9" t="str">
        <f t="shared" si="2"/>
        <v>data:image/svg+xml,%3csvg xmlns='http://www.w3.org/2000/svg' viewBox='0 0 24 216'%3e%3ctext fill='%23fff' style='font: 900 16px sans-serif' text-anchor='end' transform='matrix(0 -1 1 0 18 5)'%3eJames Dean%3c/text%3e%3c/svg%3e</v>
      </c>
      <c r="F859" s="14" t="str">
        <f t="shared" si="3"/>
        <v>https://svgtext.heliohost.us/cgi-bin/gen.perl?text=James%20Dean</v>
      </c>
      <c r="G859" s="11" t="str">
        <f t="shared" si="4"/>
        <v>data:image/svg+xml,%3csvg xmlns='http://www.w3.org/2000/svg' viewBox='0 0 24 216'%3e%3ctext fill='%23fff' style='font: 900 16px sans-serif' text-anchor='end' transform='matrix(0 -1 1 0 18 5)'%3eJames Dean%3c/text%3e%3c/svg%3e</v>
      </c>
      <c r="H859" s="8" t="s">
        <v>29</v>
      </c>
      <c r="I859" s="8">
        <f t="shared" ref="I859:J859" si="860">len(B859)</f>
        <v>10</v>
      </c>
      <c r="J859" s="8">
        <f t="shared" si="860"/>
        <v>113</v>
      </c>
      <c r="K859" s="8" t="s">
        <v>4270</v>
      </c>
    </row>
    <row r="860">
      <c r="A860" s="7" t="b">
        <v>0</v>
      </c>
      <c r="B860" s="8" t="s">
        <v>4271</v>
      </c>
      <c r="C860" s="7" t="s">
        <v>4272</v>
      </c>
      <c r="D860" s="8" t="str">
        <f>Q&amp;$K860&amp;Q&amp;":{"&amp;Q&amp;$B$2&amp;Q&amp;":"&amp;Q&amp;$B860&amp;Q&amp;","&amp;Q&amp;$C$2&amp;Q&amp;":"&amp;Q&amp;$C860&amp;Q&amp;","&amp;Q&amp;"sets"&amp;Q&amp;":"&amp;Q&amp;substitute(SUBSTITUTE($H860,"[",""),"]","")&amp;Q&amp;"},"</f>
        <v>"hawo":{"label":"Japan","extra":"An Asian constitutional monarchy. The capital city is Tokyo. Let’s see… sushi, Godzilla, earthquakes…","sets":"Basic Set, Party Set"},</v>
      </c>
      <c r="E860" s="9" t="str">
        <f t="shared" si="2"/>
        <v>data:image/svg+xml,%3csvg xmlns='http://www.w3.org/2000/svg' viewBox='0 0 24 216'%3e%3ctext fill='%23fff' style='font: 900 16px sans-serif' text-anchor='end' transform='matrix(0 -1 1 0 18 5)'%3eJapan%3c/text%3e%3c/svg%3e</v>
      </c>
      <c r="F860" s="14" t="str">
        <f t="shared" si="3"/>
        <v>https://svgtext.heliohost.us/cgi-bin/gen.perl?text=Japan</v>
      </c>
      <c r="G860" s="11" t="str">
        <f t="shared" si="4"/>
        <v>data:image/svg+xml,%3csvg xmlns='http://www.w3.org/2000/svg' viewBox='0 0 24 216'%3e%3ctext fill='%23fff' style='font: 900 16px sans-serif' text-anchor='end' transform='matrix(0 -1 1 0 18 5)'%3eJapan%3c/text%3e%3c/svg%3e</v>
      </c>
      <c r="H860" s="8" t="s">
        <v>29</v>
      </c>
      <c r="I860" s="8">
        <f t="shared" ref="I860:J860" si="861">len(B860)</f>
        <v>5</v>
      </c>
      <c r="J860" s="8">
        <f t="shared" si="861"/>
        <v>101</v>
      </c>
      <c r="K860" s="8" t="s">
        <v>4273</v>
      </c>
    </row>
    <row r="861">
      <c r="A861" s="7" t="b">
        <v>0</v>
      </c>
      <c r="B861" s="8" t="s">
        <v>4274</v>
      </c>
      <c r="C861" s="7" t="s">
        <v>4275</v>
      </c>
      <c r="D861" s="8" t="str">
        <f>Q&amp;$K861&amp;Q&amp;":{"&amp;Q&amp;$B$2&amp;Q&amp;":"&amp;Q&amp;$B861&amp;Q&amp;","&amp;Q&amp;$C$2&amp;Q&amp;":"&amp;Q&amp;$C861&amp;Q&amp;","&amp;Q&amp;"sets"&amp;Q&amp;":"&amp;Q&amp;substitute(SUBSTITUTE($H861,"[",""),"]","")&amp;Q&amp;"},"</f>
        <v>"nffg":{"label":"Japanese","extra":"How many Japanese does it take to screw in a light bulb? Who needs light bulbs when you’ve got OUR new technology!","sets":"Basic Set, Party Set"},</v>
      </c>
      <c r="E861" s="9" t="str">
        <f t="shared" si="2"/>
        <v>data:image/svg+xml,%3csvg xmlns='http://www.w3.org/2000/svg' viewBox='0 0 24 216'%3e%3ctext fill='%23fff' style='font: 900 16px sans-serif' text-anchor='end' transform='matrix(0 -1 1 0 18 5)'%3eJapanese%3c/text%3e%3c/svg%3e</v>
      </c>
      <c r="F861" s="14" t="str">
        <f t="shared" si="3"/>
        <v>https://svgtext.heliohost.us/cgi-bin/gen.perl?text=Japanese</v>
      </c>
      <c r="G861" s="11" t="str">
        <f t="shared" si="4"/>
        <v>data:image/svg+xml,%3csvg xmlns='http://www.w3.org/2000/svg' viewBox='0 0 24 216'%3e%3ctext fill='%23fff' style='font: 900 16px sans-serif' text-anchor='end' transform='matrix(0 -1 1 0 18 5)'%3eJapanese%3c/text%3e%3c/svg%3e</v>
      </c>
      <c r="H861" s="8" t="s">
        <v>29</v>
      </c>
      <c r="I861" s="8">
        <f t="shared" ref="I861:J861" si="862">len(B861)</f>
        <v>8</v>
      </c>
      <c r="J861" s="8">
        <f t="shared" si="862"/>
        <v>114</v>
      </c>
      <c r="K861" s="8" t="s">
        <v>4276</v>
      </c>
    </row>
    <row r="862">
      <c r="A862" s="7" t="b">
        <v>1</v>
      </c>
      <c r="B862" s="8" t="s">
        <v>4277</v>
      </c>
      <c r="C862" s="8" t="s">
        <v>4278</v>
      </c>
      <c r="D862" s="8" t="str">
        <f>Q&amp;$K862&amp;Q&amp;":{"&amp;Q&amp;$B$2&amp;Q&amp;":"&amp;Q&amp;$B862&amp;Q&amp;","&amp;Q&amp;$C$2&amp;Q&amp;":"&amp;Q&amp;$C862&amp;Q&amp;","&amp;Q&amp;"sets"&amp;Q&amp;":"&amp;Q&amp;substitute(SUBSTITUTE($H862,"[",""),"]","")&amp;Q&amp;"},"</f>
        <v>"bvri":{"label":"Jell-O","extra":"A solid, clear treat in lots of fruit flavors. It wiggles and jiggles!","sets":"Junior"},</v>
      </c>
      <c r="E862" s="9" t="str">
        <f t="shared" si="2"/>
        <v>data:image/svg+xml,%3csvg xmlns='http://www.w3.org/2000/svg' viewBox='0 0 24 216'%3e%3ctext fill='%23fff' style='font: 900 16px sans-serif' text-anchor='end' transform='matrix(0 -1 1 0 18 5)'%3eJell-O%3c/text%3e%3c/svg%3e</v>
      </c>
      <c r="F862" s="14" t="str">
        <f t="shared" si="3"/>
        <v>https://svgtext.heliohost.us/cgi-bin/gen.perl?text=Jell-O</v>
      </c>
      <c r="G862" s="11" t="str">
        <f t="shared" si="4"/>
        <v>data:image/svg+xml,%3csvg xmlns='http://www.w3.org/2000/svg' viewBox='0 0 24 216'%3e%3ctext fill='%23fff' style='font: 900 16px sans-serif' text-anchor='end' transform='matrix(0 -1 1 0 18 5)'%3eJell-O%3c/text%3e%3c/svg%3e</v>
      </c>
      <c r="H862" s="8" t="s">
        <v>84</v>
      </c>
      <c r="I862" s="8">
        <f t="shared" ref="I862:J862" si="863">len(B862)</f>
        <v>6</v>
      </c>
      <c r="J862" s="8">
        <f t="shared" si="863"/>
        <v>70</v>
      </c>
      <c r="K862" s="8" t="s">
        <v>4279</v>
      </c>
    </row>
    <row r="863">
      <c r="A863" s="7" t="b">
        <v>1</v>
      </c>
      <c r="B863" s="8" t="s">
        <v>4280</v>
      </c>
      <c r="C863" s="8" t="s">
        <v>4281</v>
      </c>
      <c r="D863" s="8" t="str">
        <f>Q&amp;$K863&amp;Q&amp;":{"&amp;Q&amp;$B$2&amp;Q&amp;":"&amp;Q&amp;$B863&amp;Q&amp;","&amp;Q&amp;$C$2&amp;Q&amp;":"&amp;Q&amp;$C863&amp;Q&amp;","&amp;Q&amp;"sets"&amp;Q&amp;":"&amp;Q&amp;substitute(SUBSTITUTE($H863,"[",""),"]","")&amp;Q&amp;"},"</f>
        <v>"efcm":{"label":"Jelly Beans","extra":"Jelly beans are now available in 50 different flavors!","sets":"Junior 9+ (2nd)"},</v>
      </c>
      <c r="E863" s="9" t="str">
        <f t="shared" si="2"/>
        <v>data:image/svg+xml,%3csvg xmlns='http://www.w3.org/2000/svg' viewBox='0 0 24 216'%3e%3ctext fill='%23fff' style='font: 900 16px sans-serif' text-anchor='end' transform='matrix(0 -1 1 0 18 5)'%3eJelly Beans%3c/text%3e%3c/svg%3e</v>
      </c>
      <c r="F863" s="14" t="str">
        <f t="shared" si="3"/>
        <v>https://svgtext.heliohost.us/cgi-bin/gen.perl?text=Jelly%20Beans</v>
      </c>
      <c r="G863" s="11" t="str">
        <f t="shared" si="4"/>
        <v>data:image/svg+xml,%3csvg xmlns='http://www.w3.org/2000/svg' viewBox='0 0 24 216'%3e%3ctext fill='%23fff' style='font: 900 16px sans-serif' text-anchor='end' transform='matrix(0 -1 1 0 18 5)'%3eJelly Beans%3c/text%3e%3c/svg%3e</v>
      </c>
      <c r="H863" s="8" t="s">
        <v>32</v>
      </c>
      <c r="I863" s="8">
        <f t="shared" ref="I863:J863" si="864">len(B863)</f>
        <v>11</v>
      </c>
      <c r="J863" s="8">
        <f t="shared" si="864"/>
        <v>54</v>
      </c>
      <c r="K863" s="8" t="s">
        <v>4282</v>
      </c>
    </row>
    <row r="864">
      <c r="A864" s="7" t="b">
        <v>0</v>
      </c>
      <c r="B864" s="8" t="s">
        <v>4280</v>
      </c>
      <c r="C864" s="7" t="s">
        <v>4283</v>
      </c>
      <c r="D864" s="8" t="str">
        <f>Q&amp;$K864&amp;Q&amp;":{"&amp;Q&amp;$B$2&amp;Q&amp;":"&amp;Q&amp;$B864&amp;Q&amp;","&amp;Q&amp;$C$2&amp;Q&amp;":"&amp;Q&amp;$C864&amp;Q&amp;","&amp;Q&amp;"sets"&amp;Q&amp;":"&amp;Q&amp;substitute(SUBSTITUTE($H864,"[",""),"]","")&amp;Q&amp;"},"</f>
        <v>"swpn":{"label":"Jelly Beans","extra":"Well, as long as we HAVE to eat our vegetables…","sets":"Expansion Set 1, Party Set"},</v>
      </c>
      <c r="E864" s="9" t="str">
        <f t="shared" si="2"/>
        <v>data:image/svg+xml,%3csvg xmlns='http://www.w3.org/2000/svg' viewBox='0 0 24 216'%3e%3ctext fill='%23fff' style='font: 900 16px sans-serif' text-anchor='end' transform='matrix(0 -1 1 0 18 5)'%3eJelly Beans%3c/text%3e%3c/svg%3e</v>
      </c>
      <c r="F864" s="14" t="str">
        <f t="shared" si="3"/>
        <v>https://svgtext.heliohost.us/cgi-bin/gen.perl?text=Jelly%20Beans</v>
      </c>
      <c r="G864" s="11" t="str">
        <f t="shared" si="4"/>
        <v>data:image/svg+xml,%3csvg xmlns='http://www.w3.org/2000/svg' viewBox='0 0 24 216'%3e%3ctext fill='%23fff' style='font: 900 16px sans-serif' text-anchor='end' transform='matrix(0 -1 1 0 18 5)'%3eJelly Beans%3c/text%3e%3c/svg%3e</v>
      </c>
      <c r="H864" s="8" t="s">
        <v>25</v>
      </c>
      <c r="I864" s="8">
        <f t="shared" ref="I864:J864" si="865">len(B864)</f>
        <v>11</v>
      </c>
      <c r="J864" s="8">
        <f t="shared" si="865"/>
        <v>47</v>
      </c>
      <c r="K864" s="8" t="s">
        <v>4284</v>
      </c>
    </row>
    <row r="865">
      <c r="A865" s="7" t="b">
        <v>0</v>
      </c>
      <c r="B865" s="8" t="s">
        <v>4285</v>
      </c>
      <c r="C865" s="7" t="s">
        <v>4286</v>
      </c>
      <c r="D865" s="8" t="str">
        <f>Q&amp;$K865&amp;Q&amp;":{"&amp;Q&amp;$B$2&amp;Q&amp;":"&amp;Q&amp;$B865&amp;Q&amp;","&amp;Q&amp;$C$2&amp;Q&amp;":"&amp;Q&amp;$C865&amp;Q&amp;","&amp;Q&amp;"sets"&amp;Q&amp;":"&amp;Q&amp;substitute(SUBSTITUTE($H865,"[",""),"]","")&amp;Q&amp;"},"</f>
        <v>"wuun":{"label":"Jenna &amp; Barbara","extra":"President Bush’s daughters, the “First Twins.”","sets":"Expansion Set 4, Party Expansion 1"},</v>
      </c>
      <c r="E865" s="9" t="str">
        <f t="shared" si="2"/>
        <v>data:image/svg+xml,%3csvg xmlns='http://www.w3.org/2000/svg' viewBox='0 0 24 216'%3e%3ctext fill='%23fff' style='font: 900 16px sans-serif' text-anchor='end' transform='matrix(0 -1 1 0 18 5)'%3eJenna %26amp%3B Barbara%3c/text%3e%3c/svg%3e</v>
      </c>
      <c r="F865" s="14" t="str">
        <f t="shared" si="3"/>
        <v>https://svgtext.heliohost.us/cgi-bin/gen.perl?text=Jenna%20%26%20Barbara</v>
      </c>
      <c r="G865" s="11" t="str">
        <f t="shared" si="4"/>
        <v>data:image/svg+xml,%3csvg xmlns='http://www.w3.org/2000/svg' viewBox='0 0 24 216'%3e%3ctext fill='%23fff' style='font: 900 16px sans-serif' text-anchor='end' transform='matrix(0 -1 1 0 18 5)'%3eJenna %26amp%3B Barbara%3c/text%3e%3c/svg%3e</v>
      </c>
      <c r="H865" s="8" t="s">
        <v>63</v>
      </c>
      <c r="I865" s="8">
        <f t="shared" ref="I865:J865" si="866">len(B865)</f>
        <v>15</v>
      </c>
      <c r="J865" s="8">
        <f t="shared" si="866"/>
        <v>46</v>
      </c>
      <c r="K865" s="8" t="s">
        <v>4287</v>
      </c>
    </row>
    <row r="866">
      <c r="A866" s="7" t="b">
        <v>0</v>
      </c>
      <c r="B866" s="8" t="s">
        <v>4288</v>
      </c>
      <c r="C866" s="8" t="s">
        <v>4289</v>
      </c>
      <c r="D866" s="8" t="str">
        <f>Q&amp;$K866&amp;Q&amp;":{"&amp;Q&amp;$B$2&amp;Q&amp;":"&amp;Q&amp;$B866&amp;Q&amp;","&amp;Q&amp;$C$2&amp;Q&amp;":"&amp;Q&amp;$C866&amp;Q&amp;","&amp;Q&amp;"sets"&amp;Q&amp;":"&amp;Q&amp;substitute(SUBSTITUTE($H866,"[",""),"]","")&amp;Q&amp;"},"</f>
        <v>"qr{k":{"label":"Jennifer Lopez","extra":"1970-, American singer and actor of Selena, Money Train, and Maid In Manhattan.","sets":"Expansion Set 2, Party Set"},</v>
      </c>
      <c r="E866" s="9" t="str">
        <f t="shared" si="2"/>
        <v>data:image/svg+xml,%3csvg xmlns='http://www.w3.org/2000/svg' viewBox='0 0 24 216'%3e%3ctext fill='%23fff' style='font: 900 16px sans-serif' text-anchor='end' transform='matrix(0 -1 1 0 18 5)'%3eJennifer Lopez%3c/text%3e%3c/svg%3e</v>
      </c>
      <c r="F866" s="14" t="str">
        <f t="shared" si="3"/>
        <v>https://svgtext.heliohost.us/cgi-bin/gen.perl?text=Jennifer%20Lopez</v>
      </c>
      <c r="G866" s="11" t="str">
        <f t="shared" si="4"/>
        <v>data:image/svg+xml,%3csvg xmlns='http://www.w3.org/2000/svg' viewBox='0 0 24 216'%3e%3ctext fill='%23fff' style='font: 900 16px sans-serif' text-anchor='end' transform='matrix(0 -1 1 0 18 5)'%3eJennifer Lopez%3c/text%3e%3c/svg%3e</v>
      </c>
      <c r="H866" s="8" t="s">
        <v>17</v>
      </c>
      <c r="I866" s="8">
        <f t="shared" ref="I866:J866" si="867">len(B866)</f>
        <v>14</v>
      </c>
      <c r="J866" s="8">
        <f t="shared" si="867"/>
        <v>79</v>
      </c>
      <c r="K866" s="8" t="s">
        <v>4290</v>
      </c>
    </row>
    <row r="867">
      <c r="A867" s="7" t="b">
        <v>0</v>
      </c>
      <c r="B867" s="8" t="s">
        <v>4291</v>
      </c>
      <c r="C867" s="7" t="s">
        <v>4292</v>
      </c>
      <c r="D867" s="8" t="str">
        <f>Q&amp;$K867&amp;Q&amp;":{"&amp;Q&amp;$B$2&amp;Q&amp;":"&amp;Q&amp;$B867&amp;Q&amp;","&amp;Q&amp;$C$2&amp;Q&amp;":"&amp;Q&amp;$C867&amp;Q&amp;","&amp;Q&amp;"sets"&amp;Q&amp;":"&amp;Q&amp;substitute(SUBSTITUTE($H867,"[",""),"]","")&amp;Q&amp;"},"</f>
        <v>"mqjk":{"label":"Jerry Springer","extra":"1944-, controversial talk-show host. Don’t those people know that millions of us are watching?","sets":"Expansion Set 1, Party Set"},</v>
      </c>
      <c r="E867" s="9" t="str">
        <f t="shared" si="2"/>
        <v>data:image/svg+xml,%3csvg xmlns='http://www.w3.org/2000/svg' viewBox='0 0 24 216'%3e%3ctext fill='%23fff' style='font: 900 16px sans-serif' text-anchor='end' transform='matrix(0 -1 1 0 18 5)'%3eJerry Springer%3c/text%3e%3c/svg%3e</v>
      </c>
      <c r="F867" s="14" t="str">
        <f t="shared" si="3"/>
        <v>https://svgtext.heliohost.us/cgi-bin/gen.perl?text=Jerry%20Springer</v>
      </c>
      <c r="G867" s="11" t="str">
        <f t="shared" si="4"/>
        <v>data:image/svg+xml,%3csvg xmlns='http://www.w3.org/2000/svg' viewBox='0 0 24 216'%3e%3ctext fill='%23fff' style='font: 900 16px sans-serif' text-anchor='end' transform='matrix(0 -1 1 0 18 5)'%3eJerry Springer%3c/text%3e%3c/svg%3e</v>
      </c>
      <c r="H867" s="8" t="s">
        <v>25</v>
      </c>
      <c r="I867" s="8">
        <f t="shared" ref="I867:J867" si="868">len(B867)</f>
        <v>14</v>
      </c>
      <c r="J867" s="8">
        <f t="shared" si="868"/>
        <v>94</v>
      </c>
      <c r="K867" s="8" t="s">
        <v>4293</v>
      </c>
    </row>
    <row r="868">
      <c r="A868" s="7" t="b">
        <v>0</v>
      </c>
      <c r="B868" s="8" t="s">
        <v>4294</v>
      </c>
      <c r="C868" s="7" t="s">
        <v>4295</v>
      </c>
      <c r="D868" s="8" t="str">
        <f>Q&amp;$K868&amp;Q&amp;":{"&amp;Q&amp;$B$2&amp;Q&amp;":"&amp;Q&amp;$B868&amp;Q&amp;","&amp;Q&amp;$C$2&amp;Q&amp;":"&amp;Q&amp;$C868&amp;Q&amp;","&amp;Q&amp;"sets"&amp;Q&amp;":"&amp;Q&amp;substitute(SUBSTITUTE($H868,"[",""),"]","")&amp;Q&amp;"},"</f>
        <v>"vyrg":{"label":"Jesse Jackson","extra":"1941-, American civil rights leader. Named to “The Gallup List of Ten Most Respected by Americans” for ten years.","sets":"Expansion Set 1, Party Set"},</v>
      </c>
      <c r="E868" s="9" t="str">
        <f t="shared" si="2"/>
        <v>data:image/svg+xml,%3csvg xmlns='http://www.w3.org/2000/svg' viewBox='0 0 24 216'%3e%3ctext fill='%23fff' style='font: 900 16px sans-serif' text-anchor='end' transform='matrix(0 -1 1 0 18 5)'%3eJesse Jackson%3c/text%3e%3c/svg%3e</v>
      </c>
      <c r="F868" s="14" t="str">
        <f t="shared" si="3"/>
        <v>https://svgtext.heliohost.us/cgi-bin/gen.perl?text=Jesse%20Jackson</v>
      </c>
      <c r="G868" s="11" t="str">
        <f t="shared" si="4"/>
        <v>data:image/svg+xml,%3csvg xmlns='http://www.w3.org/2000/svg' viewBox='0 0 24 216'%3e%3ctext fill='%23fff' style='font: 900 16px sans-serif' text-anchor='end' transform='matrix(0 -1 1 0 18 5)'%3eJesse Jackson%3c/text%3e%3c/svg%3e</v>
      </c>
      <c r="H868" s="8" t="s">
        <v>25</v>
      </c>
      <c r="I868" s="8">
        <f t="shared" ref="I868:J868" si="869">len(B868)</f>
        <v>13</v>
      </c>
      <c r="J868" s="8">
        <f t="shared" si="869"/>
        <v>113</v>
      </c>
      <c r="K868" s="8" t="s">
        <v>4296</v>
      </c>
    </row>
    <row r="869">
      <c r="A869" s="7" t="b">
        <v>0</v>
      </c>
      <c r="B869" s="8" t="s">
        <v>4297</v>
      </c>
      <c r="C869" s="7" t="s">
        <v>4298</v>
      </c>
      <c r="D869" s="8" t="str">
        <f>Q&amp;$K869&amp;Q&amp;":{"&amp;Q&amp;$B$2&amp;Q&amp;":"&amp;Q&amp;$B869&amp;Q&amp;","&amp;Q&amp;$C$2&amp;Q&amp;":"&amp;Q&amp;$C869&amp;Q&amp;","&amp;Q&amp;"sets"&amp;Q&amp;":"&amp;Q&amp;substitute(SUBSTITUTE($H869,"[",""),"]","")&amp;Q&amp;"},"</f>
        <v>"kwol":{"label":"Jesse Ventura","extra":"1951-, wrestler, Navy Seal, and former governor of Minnesota. Author of I Ain’t Got Time To Bleed.","sets":"Expansion Set 1, Party Set"},</v>
      </c>
      <c r="E869" s="9" t="str">
        <f t="shared" si="2"/>
        <v>data:image/svg+xml,%3csvg xmlns='http://www.w3.org/2000/svg' viewBox='0 0 24 216'%3e%3ctext fill='%23fff' style='font: 900 16px sans-serif' text-anchor='end' transform='matrix(0 -1 1 0 18 5)'%3eJesse Ventura%3c/text%3e%3c/svg%3e</v>
      </c>
      <c r="F869" s="14" t="str">
        <f t="shared" si="3"/>
        <v>https://svgtext.heliohost.us/cgi-bin/gen.perl?text=Jesse%20Ventura</v>
      </c>
      <c r="G869" s="11" t="str">
        <f t="shared" si="4"/>
        <v>data:image/svg+xml,%3csvg xmlns='http://www.w3.org/2000/svg' viewBox='0 0 24 216'%3e%3ctext fill='%23fff' style='font: 900 16px sans-serif' text-anchor='end' transform='matrix(0 -1 1 0 18 5)'%3eJesse Ventura%3c/text%3e%3c/svg%3e</v>
      </c>
      <c r="H869" s="8" t="s">
        <v>25</v>
      </c>
      <c r="I869" s="8">
        <f t="shared" ref="I869:J869" si="870">len(B869)</f>
        <v>13</v>
      </c>
      <c r="J869" s="8">
        <f t="shared" si="870"/>
        <v>98</v>
      </c>
      <c r="K869" s="8" t="s">
        <v>4299</v>
      </c>
    </row>
    <row r="870">
      <c r="A870" s="7" t="b">
        <v>0</v>
      </c>
      <c r="B870" s="8" t="s">
        <v>4300</v>
      </c>
      <c r="C870" s="8" t="s">
        <v>4301</v>
      </c>
      <c r="D870" s="8" t="str">
        <f>Q&amp;$K870&amp;Q&amp;":{"&amp;Q&amp;$B$2&amp;Q&amp;":"&amp;Q&amp;$B870&amp;Q&amp;","&amp;Q&amp;$C$2&amp;Q&amp;":"&amp;Q&amp;$C870&amp;Q&amp;","&amp;Q&amp;"sets"&amp;Q&amp;":"&amp;Q&amp;substitute(SUBSTITUTE($H870,"[",""),"]","")&amp;Q&amp;"},"</f>
        <v>"ypon":{"label":"Jim Carrey","extra":"1962-, Canadian comedian and actor. Famous for outrageous faces, and dumb and dumber characters.","sets":"Expansion Set 1, Party Set"},</v>
      </c>
      <c r="E870" s="9" t="str">
        <f t="shared" si="2"/>
        <v>data:image/svg+xml,%3csvg xmlns='http://www.w3.org/2000/svg' viewBox='0 0 24 216'%3e%3ctext fill='%23fff' style='font: 900 16px sans-serif' text-anchor='end' transform='matrix(0 -1 1 0 18 5)'%3eJim Carrey%3c/text%3e%3c/svg%3e</v>
      </c>
      <c r="F870" s="14" t="str">
        <f t="shared" si="3"/>
        <v>https://svgtext.heliohost.us/cgi-bin/gen.perl?text=Jim%20Carrey</v>
      </c>
      <c r="G870" s="11" t="str">
        <f t="shared" si="4"/>
        <v>data:image/svg+xml,%3csvg xmlns='http://www.w3.org/2000/svg' viewBox='0 0 24 216'%3e%3ctext fill='%23fff' style='font: 900 16px sans-serif' text-anchor='end' transform='matrix(0 -1 1 0 18 5)'%3eJim Carrey%3c/text%3e%3c/svg%3e</v>
      </c>
      <c r="H870" s="8" t="s">
        <v>25</v>
      </c>
      <c r="I870" s="8">
        <f t="shared" ref="I870:J870" si="871">len(B870)</f>
        <v>10</v>
      </c>
      <c r="J870" s="8">
        <f t="shared" si="871"/>
        <v>96</v>
      </c>
      <c r="K870" s="8" t="s">
        <v>4302</v>
      </c>
    </row>
    <row r="871">
      <c r="A871" s="7" t="b">
        <v>0</v>
      </c>
      <c r="B871" s="8" t="s">
        <v>4303</v>
      </c>
      <c r="C871" s="7" t="s">
        <v>4304</v>
      </c>
      <c r="D871" s="8" t="str">
        <f>Q&amp;$K871&amp;Q&amp;":{"&amp;Q&amp;$B$2&amp;Q&amp;":"&amp;Q&amp;$B871&amp;Q&amp;","&amp;Q&amp;$C$2&amp;Q&amp;":"&amp;Q&amp;$C871&amp;Q&amp;","&amp;Q&amp;"sets"&amp;Q&amp;":"&amp;Q&amp;substitute(SUBSTITUTE($H871,"[",""),"]","")&amp;Q&amp;"},"</f>
        <v>"iszk":{"label":"Jimmy Stewart","extra":"1908-97, America’s favorite self-image. “Mr. Smith Goes to Washington,” “Rear Window,” “Vertigo,” and “It’s a Wonderful Life,” …and it probably was.","sets":"Expansion Set 2, Party Set"},</v>
      </c>
      <c r="E871" s="9" t="str">
        <f t="shared" si="2"/>
        <v>data:image/svg+xml,%3csvg xmlns='http://www.w3.org/2000/svg' viewBox='0 0 24 216'%3e%3ctext fill='%23fff' style='font: 900 16px sans-serif' text-anchor='end' transform='matrix(0 -1 1 0 18 5)'%3eJimmy Stewart%3c/text%3e%3c/svg%3e</v>
      </c>
      <c r="F871" s="14" t="str">
        <f t="shared" si="3"/>
        <v>https://svgtext.heliohost.us/cgi-bin/gen.perl?text=Jimmy%20Stewart</v>
      </c>
      <c r="G871" s="11" t="str">
        <f t="shared" si="4"/>
        <v>data:image/svg+xml,%3csvg xmlns='http://www.w3.org/2000/svg' viewBox='0 0 24 216'%3e%3ctext fill='%23fff' style='font: 900 16px sans-serif' text-anchor='end' transform='matrix(0 -1 1 0 18 5)'%3eJimmy Stewart%3c/text%3e%3c/svg%3e</v>
      </c>
      <c r="H871" s="8" t="s">
        <v>17</v>
      </c>
      <c r="I871" s="8">
        <f t="shared" ref="I871:J871" si="872">len(B871)</f>
        <v>13</v>
      </c>
      <c r="J871" s="8">
        <f t="shared" si="872"/>
        <v>148</v>
      </c>
      <c r="K871" s="8" t="s">
        <v>4305</v>
      </c>
    </row>
    <row r="872">
      <c r="A872" s="7" t="b">
        <v>0</v>
      </c>
      <c r="B872" s="8" t="s">
        <v>4306</v>
      </c>
      <c r="C872" s="7" t="s">
        <v>4307</v>
      </c>
      <c r="D872" s="8" t="str">
        <f>Q&amp;$K872&amp;Q&amp;":{"&amp;Q&amp;$B$2&amp;Q&amp;":"&amp;Q&amp;$B872&amp;Q&amp;","&amp;Q&amp;$C$2&amp;Q&amp;":"&amp;Q&amp;$C872&amp;Q&amp;","&amp;Q&amp;"sets"&amp;Q&amp;":"&amp;Q&amp;substitute(SUBSTITUTE($H872,"[",""),"]","")&amp;Q&amp;"},"</f>
        <v>"thuu":{"label":"Joan Of Arc","extra":"1412-31, patron saint of France who decisively turned the tide of the Hundred Years’ War, which really burned her up.","sets":"Basic Set, Party Set"},</v>
      </c>
      <c r="E872" s="9" t="str">
        <f t="shared" si="2"/>
        <v>data:image/svg+xml,%3csvg xmlns='http://www.w3.org/2000/svg' viewBox='0 0 24 216'%3e%3ctext fill='%23fff' style='font: 900 16px sans-serif' text-anchor='end' transform='matrix(0 -1 1 0 18 5)'%3eJoan Of Arc%3c/text%3e%3c/svg%3e</v>
      </c>
      <c r="F872" s="14" t="str">
        <f t="shared" si="3"/>
        <v>https://svgtext.heliohost.us/cgi-bin/gen.perl?text=Joan%20Of%20Arc</v>
      </c>
      <c r="G872" s="11" t="str">
        <f t="shared" si="4"/>
        <v>data:image/svg+xml,%3csvg xmlns='http://www.w3.org/2000/svg' viewBox='0 0 24 216'%3e%3ctext fill='%23fff' style='font: 900 16px sans-serif' text-anchor='end' transform='matrix(0 -1 1 0 18 5)'%3eJoan Of Arc%3c/text%3e%3c/svg%3e</v>
      </c>
      <c r="H872" s="8" t="s">
        <v>29</v>
      </c>
      <c r="I872" s="8">
        <f t="shared" ref="I872:J872" si="873">len(B872)</f>
        <v>11</v>
      </c>
      <c r="J872" s="8">
        <f t="shared" si="873"/>
        <v>117</v>
      </c>
      <c r="K872" s="8" t="s">
        <v>4308</v>
      </c>
    </row>
    <row r="873">
      <c r="A873" s="7" t="b">
        <v>0</v>
      </c>
      <c r="B873" s="8" t="s">
        <v>4309</v>
      </c>
      <c r="C873" s="7" t="s">
        <v>4310</v>
      </c>
      <c r="D873" s="8" t="str">
        <f>Q&amp;$K873&amp;Q&amp;":{"&amp;Q&amp;$B$2&amp;Q&amp;":"&amp;Q&amp;$B873&amp;Q&amp;","&amp;Q&amp;$C$2&amp;Q&amp;":"&amp;Q&amp;$C873&amp;Q&amp;","&amp;Q&amp;"sets"&amp;Q&amp;":"&amp;Q&amp;substitute(SUBSTITUTE($H873,"[",""),"]","")&amp;Q&amp;"},"</f>
        <v>"tyha":{"label":"Jodie Foster","extra":"1962-, American actor began her career on Mayberry, R.F.D. and went on to win Academy Awards for “The Accused” and “Silence Of The Lambs.”","sets":"Expansion Set 2, Party Set"},</v>
      </c>
      <c r="E873" s="9" t="str">
        <f t="shared" si="2"/>
        <v>data:image/svg+xml,%3csvg xmlns='http://www.w3.org/2000/svg' viewBox='0 0 24 216'%3e%3ctext fill='%23fff' style='font: 900 16px sans-serif' text-anchor='end' transform='matrix(0 -1 1 0 18 5)'%3eJodie Foster%3c/text%3e%3c/svg%3e</v>
      </c>
      <c r="F873" s="14" t="str">
        <f t="shared" si="3"/>
        <v>https://svgtext.heliohost.us/cgi-bin/gen.perl?text=Jodie%20Foster</v>
      </c>
      <c r="G873" s="11" t="str">
        <f t="shared" si="4"/>
        <v>data:image/svg+xml,%3csvg xmlns='http://www.w3.org/2000/svg' viewBox='0 0 24 216'%3e%3ctext fill='%23fff' style='font: 900 16px sans-serif' text-anchor='end' transform='matrix(0 -1 1 0 18 5)'%3eJodie Foster%3c/text%3e%3c/svg%3e</v>
      </c>
      <c r="H873" s="8" t="s">
        <v>17</v>
      </c>
      <c r="I873" s="8">
        <f t="shared" ref="I873:J873" si="874">len(B873)</f>
        <v>12</v>
      </c>
      <c r="J873" s="8">
        <f t="shared" si="874"/>
        <v>138</v>
      </c>
      <c r="K873" s="8" t="s">
        <v>4311</v>
      </c>
    </row>
    <row r="874">
      <c r="A874" s="7" t="b">
        <v>0</v>
      </c>
      <c r="B874" s="8" t="s">
        <v>4312</v>
      </c>
      <c r="C874" s="7" t="s">
        <v>4313</v>
      </c>
      <c r="D874" s="8" t="str">
        <f>Q&amp;$K874&amp;Q&amp;":{"&amp;Q&amp;$B$2&amp;Q&amp;":"&amp;Q&amp;$B874&amp;Q&amp;","&amp;Q&amp;$C$2&amp;Q&amp;":"&amp;Q&amp;$C874&amp;Q&amp;","&amp;Q&amp;"sets"&amp;Q&amp;":"&amp;Q&amp;substitute(SUBSTITUTE($H874,"[",""),"]","")&amp;Q&amp;"},"</f>
        <v>"lewo":{"label":"John F. Kennedy","extra":"1917-63, 35th president of the US. “Ask not what your country can do for you; ask what you can do for your country.”","sets":"Basic Set, Party Set"},</v>
      </c>
      <c r="E874" s="9" t="str">
        <f t="shared" si="2"/>
        <v>data:image/svg+xml,%3csvg xmlns='http://www.w3.org/2000/svg' viewBox='0 0 24 216'%3e%3ctext fill='%23fff' style='font: 900 16px sans-serif' text-anchor='end' transform='matrix(0 -1 1 0 18 5)'%3eJohn F. Kennedy%3c/text%3e%3c/svg%3e</v>
      </c>
      <c r="F874" s="14" t="str">
        <f t="shared" si="3"/>
        <v>https://svgtext.heliohost.us/cgi-bin/gen.perl?text=John%20F.%20Kennedy</v>
      </c>
      <c r="G874" s="11" t="str">
        <f t="shared" si="4"/>
        <v>data:image/svg+xml,%3csvg xmlns='http://www.w3.org/2000/svg' viewBox='0 0 24 216'%3e%3ctext fill='%23fff' style='font: 900 16px sans-serif' text-anchor='end' transform='matrix(0 -1 1 0 18 5)'%3eJohn F. Kennedy%3c/text%3e%3c/svg%3e</v>
      </c>
      <c r="H874" s="8" t="s">
        <v>29</v>
      </c>
      <c r="I874" s="8">
        <f t="shared" ref="I874:J874" si="875">len(B874)</f>
        <v>15</v>
      </c>
      <c r="J874" s="8">
        <f t="shared" si="875"/>
        <v>116</v>
      </c>
      <c r="K874" s="8" t="s">
        <v>4314</v>
      </c>
    </row>
    <row r="875">
      <c r="A875" s="7" t="b">
        <v>0</v>
      </c>
      <c r="B875" s="8" t="s">
        <v>4315</v>
      </c>
      <c r="C875" s="8" t="s">
        <v>4316</v>
      </c>
      <c r="D875" s="8" t="str">
        <f>Q&amp;$K875&amp;Q&amp;":{"&amp;Q&amp;$B$2&amp;Q&amp;":"&amp;Q&amp;$B875&amp;Q&amp;","&amp;Q&amp;$C$2&amp;Q&amp;":"&amp;Q&amp;$C875&amp;Q&amp;","&amp;Q&amp;"sets"&amp;Q&amp;":"&amp;Q&amp;substitute(SUBSTITUTE($H875,"[",""),"]","")&amp;Q&amp;"},"</f>
        <v>"coyi":{"label":"John Glenn","extra":"1921-, The first U.S. astronaut to orbit the earth in 1962, and a U.S. Senator. Never too old to shoot for the moon!","sets":"Expansion Set 2, Party Set"},</v>
      </c>
      <c r="E875" s="9" t="str">
        <f t="shared" si="2"/>
        <v>data:image/svg+xml,%3csvg xmlns='http://www.w3.org/2000/svg' viewBox='0 0 24 216'%3e%3ctext fill='%23fff' style='font: 900 16px sans-serif' text-anchor='end' transform='matrix(0 -1 1 0 18 5)'%3eJohn Glenn%3c/text%3e%3c/svg%3e</v>
      </c>
      <c r="F875" s="14" t="str">
        <f t="shared" si="3"/>
        <v>https://svgtext.heliohost.us/cgi-bin/gen.perl?text=John%20Glenn</v>
      </c>
      <c r="G875" s="11" t="str">
        <f t="shared" si="4"/>
        <v>data:image/svg+xml,%3csvg xmlns='http://www.w3.org/2000/svg' viewBox='0 0 24 216'%3e%3ctext fill='%23fff' style='font: 900 16px sans-serif' text-anchor='end' transform='matrix(0 -1 1 0 18 5)'%3eJohn Glenn%3c/text%3e%3c/svg%3e</v>
      </c>
      <c r="H875" s="8" t="s">
        <v>17</v>
      </c>
      <c r="I875" s="8">
        <f t="shared" ref="I875:J875" si="876">len(B875)</f>
        <v>10</v>
      </c>
      <c r="J875" s="8">
        <f t="shared" si="876"/>
        <v>116</v>
      </c>
      <c r="K875" s="8" t="s">
        <v>4317</v>
      </c>
    </row>
    <row r="876">
      <c r="A876" s="7" t="b">
        <v>0</v>
      </c>
      <c r="B876" s="8" t="s">
        <v>4318</v>
      </c>
      <c r="C876" s="7" t="s">
        <v>4319</v>
      </c>
      <c r="D876" s="8" t="str">
        <f>Q&amp;$K876&amp;Q&amp;":{"&amp;Q&amp;$B$2&amp;Q&amp;":"&amp;Q&amp;$B876&amp;Q&amp;","&amp;Q&amp;$C$2&amp;Q&amp;":"&amp;Q&amp;$C876&amp;Q&amp;","&amp;Q&amp;"sets"&amp;Q&amp;":"&amp;Q&amp;substitute(SUBSTITUTE($H876,"[",""),"]","")&amp;Q&amp;"},"</f>
        <v>"tcac":{"label":"John Philip Sousa","extra":"1854-1932, American bandmaster and composer of “Stars and Stripes Forever.” Known as “The March King.”","sets":"Expansion Set 2, Party Set"},</v>
      </c>
      <c r="E876" s="9" t="str">
        <f t="shared" si="2"/>
        <v>data:image/svg+xml,%3csvg xmlns='http://www.w3.org/2000/svg' viewBox='0 0 24 216'%3e%3ctext fill='%23fff' style='font: 900 16px sans-serif' text-anchor='end' transform='matrix(0 -1 1 0 18 5)'%3eJohn Philip Sousa%3c/text%3e%3c/svg%3e</v>
      </c>
      <c r="F876" s="14" t="str">
        <f t="shared" si="3"/>
        <v>https://svgtext.heliohost.us/cgi-bin/gen.perl?text=John%20Philip%20Sousa</v>
      </c>
      <c r="G876" s="11" t="str">
        <f t="shared" si="4"/>
        <v>data:image/svg+xml,%3csvg xmlns='http://www.w3.org/2000/svg' viewBox='0 0 24 216'%3e%3ctext fill='%23fff' style='font: 900 16px sans-serif' text-anchor='end' transform='matrix(0 -1 1 0 18 5)'%3eJohn Philip Sousa%3c/text%3e%3c/svg%3e</v>
      </c>
      <c r="H876" s="8" t="s">
        <v>17</v>
      </c>
      <c r="I876" s="8">
        <f t="shared" ref="I876:J876" si="877">len(B876)</f>
        <v>17</v>
      </c>
      <c r="J876" s="8">
        <f t="shared" si="877"/>
        <v>102</v>
      </c>
      <c r="K876" s="8" t="s">
        <v>4320</v>
      </c>
    </row>
    <row r="877">
      <c r="A877" s="7" t="b">
        <v>0</v>
      </c>
      <c r="B877" s="8" t="s">
        <v>4321</v>
      </c>
      <c r="C877" s="7" t="s">
        <v>4322</v>
      </c>
      <c r="D877" s="8" t="str">
        <f>Q&amp;$K877&amp;Q&amp;":{"&amp;Q&amp;$B$2&amp;Q&amp;":"&amp;Q&amp;$B877&amp;Q&amp;","&amp;Q&amp;$C$2&amp;Q&amp;":"&amp;Q&amp;$C877&amp;Q&amp;","&amp;Q&amp;"sets"&amp;Q&amp;":"&amp;Q&amp;substitute(SUBSTITUTE($H877,"[",""),"]","")&amp;Q&amp;"},"</f>
        <v>"zpww":{"label":"John Travolta","extra":"1954, American actor of “Welcome Back, Kotter,” “Grease,” “Saturday Night Fever” and “Pulp Fiction.” That man can dance!","sets":"Expansion Set 1, Party Set"},</v>
      </c>
      <c r="E877" s="9" t="str">
        <f t="shared" si="2"/>
        <v>data:image/svg+xml,%3csvg xmlns='http://www.w3.org/2000/svg' viewBox='0 0 24 216'%3e%3ctext fill='%23fff' style='font: 900 16px sans-serif' text-anchor='end' transform='matrix(0 -1 1 0 18 5)'%3eJohn Travolta%3c/text%3e%3c/svg%3e</v>
      </c>
      <c r="F877" s="14" t="str">
        <f t="shared" si="3"/>
        <v>https://svgtext.heliohost.us/cgi-bin/gen.perl?text=John%20Travolta</v>
      </c>
      <c r="G877" s="11" t="str">
        <f t="shared" si="4"/>
        <v>data:image/svg+xml,%3csvg xmlns='http://www.w3.org/2000/svg' viewBox='0 0 24 216'%3e%3ctext fill='%23fff' style='font: 900 16px sans-serif' text-anchor='end' transform='matrix(0 -1 1 0 18 5)'%3eJohn Travolta%3c/text%3e%3c/svg%3e</v>
      </c>
      <c r="H877" s="8" t="s">
        <v>25</v>
      </c>
      <c r="I877" s="8">
        <f t="shared" ref="I877:J877" si="878">len(B877)</f>
        <v>13</v>
      </c>
      <c r="J877" s="8">
        <f t="shared" si="878"/>
        <v>120</v>
      </c>
      <c r="K877" s="8" t="s">
        <v>4323</v>
      </c>
    </row>
    <row r="878">
      <c r="A878" s="7" t="b">
        <v>1</v>
      </c>
      <c r="B878" s="8" t="s">
        <v>4324</v>
      </c>
      <c r="C878" s="7" t="s">
        <v>4325</v>
      </c>
      <c r="D878" s="8" t="str">
        <f>Q&amp;$K878&amp;Q&amp;":{"&amp;Q&amp;$B$2&amp;Q&amp;":"&amp;Q&amp;$B878&amp;Q&amp;","&amp;Q&amp;$C$2&amp;Q&amp;":"&amp;Q&amp;$C878&amp;Q&amp;","&amp;Q&amp;"sets"&amp;Q&amp;":"&amp;Q&amp;substitute(SUBSTITUTE($H878,"[",""),"]","")&amp;Q&amp;"},"</f>
        <v>"vluf":{"label":"John Wayne","extra":"1907-79, legendary American actor, “The Duke” starred in such classics as “Stagecoach,” “The Sands of Iwo Jima” and “True Grit.”","sets":"Expansion Set 3, Party Expansion 1"},</v>
      </c>
      <c r="E878" s="9" t="str">
        <f t="shared" si="2"/>
        <v>data:image/svg+xml,%3csvg xmlns='http://www.w3.org/2000/svg' viewBox='0 0 24 216'%3e%3ctext fill='%23fff' style='font: 900 16px sans-serif' text-anchor='end' transform='matrix(0 -1 1 0 18 5)'%3eJohn Wayne%3c/text%3e%3c/svg%3e</v>
      </c>
      <c r="F878" s="14" t="str">
        <f t="shared" si="3"/>
        <v>https://svgtext.heliohost.us/cgi-bin/gen.perl?text=John%20Wayne</v>
      </c>
      <c r="G878" s="11" t="str">
        <f t="shared" si="4"/>
        <v>data:image/svg+xml,%3csvg xmlns='http://www.w3.org/2000/svg' viewBox='0 0 24 216'%3e%3ctext fill='%23fff' style='font: 900 16px sans-serif' text-anchor='end' transform='matrix(0 -1 1 0 18 5)'%3eJohn Wayne%3c/text%3e%3c/svg%3e</v>
      </c>
      <c r="H878" s="8" t="s">
        <v>39</v>
      </c>
      <c r="I878" s="8">
        <f t="shared" ref="I878:J878" si="879">len(B878)</f>
        <v>10</v>
      </c>
      <c r="J878" s="8">
        <f t="shared" si="879"/>
        <v>128</v>
      </c>
      <c r="K878" s="8" t="s">
        <v>4326</v>
      </c>
    </row>
    <row r="879">
      <c r="A879" s="7" t="b">
        <v>0</v>
      </c>
      <c r="B879" s="8" t="s">
        <v>4327</v>
      </c>
      <c r="C879" s="7" t="s">
        <v>4328</v>
      </c>
      <c r="D879" s="8" t="str">
        <f>Q&amp;$K879&amp;Q&amp;":{"&amp;Q&amp;$B$2&amp;Q&amp;":"&amp;Q&amp;$B879&amp;Q&amp;","&amp;Q&amp;$C$2&amp;Q&amp;":"&amp;Q&amp;$C879&amp;Q&amp;","&amp;Q&amp;"sets"&amp;Q&amp;":"&amp;Q&amp;substitute(SUBSTITUTE($H879,"[",""),"]","")&amp;Q&amp;"},"</f>
        <v>"zrsd":{"label":"Johnny Depp","extra":"1963-, American actor and heart-throb. From “Cry-Baby” to “The Man Who Cried” he's as smooth as “Chocolat.”","sets":"Expansion Set 3, Party Expansion 1"},</v>
      </c>
      <c r="E879" s="9" t="str">
        <f t="shared" si="2"/>
        <v>data:image/svg+xml,%3csvg xmlns='http://www.w3.org/2000/svg' viewBox='0 0 24 216'%3e%3ctext fill='%23fff' style='font: 900 16px sans-serif' text-anchor='end' transform='matrix(0 -1 1 0 18 5)'%3eJohnny Depp%3c/text%3e%3c/svg%3e</v>
      </c>
      <c r="F879" s="14" t="str">
        <f t="shared" si="3"/>
        <v>https://svgtext.heliohost.us/cgi-bin/gen.perl?text=Johnny%20Depp</v>
      </c>
      <c r="G879" s="11" t="str">
        <f t="shared" si="4"/>
        <v>data:image/svg+xml,%3csvg xmlns='http://www.w3.org/2000/svg' viewBox='0 0 24 216'%3e%3ctext fill='%23fff' style='font: 900 16px sans-serif' text-anchor='end' transform='matrix(0 -1 1 0 18 5)'%3eJohnny Depp%3c/text%3e%3c/svg%3e</v>
      </c>
      <c r="H879" s="8" t="s">
        <v>39</v>
      </c>
      <c r="I879" s="8">
        <f t="shared" ref="I879:J879" si="880">len(B879)</f>
        <v>11</v>
      </c>
      <c r="J879" s="8">
        <f t="shared" si="880"/>
        <v>107</v>
      </c>
      <c r="K879" s="8" t="s">
        <v>4329</v>
      </c>
    </row>
    <row r="880">
      <c r="A880" s="7" t="b">
        <v>1</v>
      </c>
      <c r="B880" s="8" t="s">
        <v>4330</v>
      </c>
      <c r="C880" s="7" t="s">
        <v>4331</v>
      </c>
      <c r="D880" s="8" t="str">
        <f>Q&amp;$K880&amp;Q&amp;":{"&amp;Q&amp;$B$2&amp;Q&amp;":"&amp;Q&amp;$B880&amp;Q&amp;","&amp;Q&amp;$C$2&amp;Q&amp;":"&amp;Q&amp;$C880&amp;Q&amp;","&amp;Q&amp;"sets"&amp;Q&amp;":"&amp;Q&amp;substitute(SUBSTITUTE($H880,"[",""),"]","")&amp;Q&amp;"},"</f>
        <v>"cdye":{"label":"Jonah &amp; The Whale","extra":"The greatest fish story ever told, in the Bible, that is.","sets":"Expansion Set 4, Party Expansion 1"},</v>
      </c>
      <c r="E880" s="9" t="str">
        <f t="shared" si="2"/>
        <v>data:image/svg+xml,%3csvg xmlns='http://www.w3.org/2000/svg' viewBox='0 0 24 216'%3e%3ctext fill='%23fff' style='font: 900 16px sans-serif' text-anchor='end' transform='matrix(0 -1 1 0 18 5)'%3eJonah %26amp%3B The Whale%3c/text%3e%3c/svg%3e</v>
      </c>
      <c r="F880" s="14" t="str">
        <f t="shared" si="3"/>
        <v>https://svgtext.heliohost.us/cgi-bin/gen.perl?text=Jonah%20%26%20The%20Whale</v>
      </c>
      <c r="G880" s="11" t="str">
        <f t="shared" si="4"/>
        <v>data:image/svg+xml,%3csvg xmlns='http://www.w3.org/2000/svg' viewBox='0 0 24 216'%3e%3ctext fill='%23fff' style='font: 900 16px sans-serif' text-anchor='end' transform='matrix(0 -1 1 0 18 5)'%3eJonah %26amp%3B The Whale%3c/text%3e%3c/svg%3e</v>
      </c>
      <c r="H880" s="8" t="s">
        <v>63</v>
      </c>
      <c r="I880" s="8">
        <f t="shared" ref="I880:J880" si="881">len(B880)</f>
        <v>17</v>
      </c>
      <c r="J880" s="8">
        <f t="shared" si="881"/>
        <v>57</v>
      </c>
      <c r="K880" s="8" t="s">
        <v>4332</v>
      </c>
    </row>
    <row r="881">
      <c r="A881" s="7" t="b">
        <v>0</v>
      </c>
      <c r="B881" s="8" t="s">
        <v>4333</v>
      </c>
      <c r="C881" s="7" t="s">
        <v>4334</v>
      </c>
      <c r="D881" s="8" t="str">
        <f>Q&amp;$K881&amp;Q&amp;":{"&amp;Q&amp;$B$2&amp;Q&amp;":"&amp;Q&amp;$B881&amp;Q&amp;","&amp;Q&amp;$C$2&amp;Q&amp;":"&amp;Q&amp;$C881&amp;Q&amp;","&amp;Q&amp;"sets"&amp;Q&amp;":"&amp;Q&amp;substitute(SUBSTITUTE($H881,"[",""),"]","")&amp;Q&amp;"},"</f>
        <v>"gxxs":{"label":"Judge Judy","extra":"Ms. Sheindlin presides over real-life cases on this TV courtroom show. “I'm the boss, applesauce!”","sets":"Expansion Set 2, Party Set"},</v>
      </c>
      <c r="E881" s="9" t="str">
        <f t="shared" si="2"/>
        <v>data:image/svg+xml,%3csvg xmlns='http://www.w3.org/2000/svg' viewBox='0 0 24 216'%3e%3ctext fill='%23fff' style='font: 900 16px sans-serif' text-anchor='end' transform='matrix(0 -1 1 0 18 5)'%3eJudge Judy%3c/text%3e%3c/svg%3e</v>
      </c>
      <c r="F881" s="14" t="str">
        <f t="shared" si="3"/>
        <v>https://svgtext.heliohost.us/cgi-bin/gen.perl?text=Judge%20Judy</v>
      </c>
      <c r="G881" s="11" t="str">
        <f t="shared" si="4"/>
        <v>data:image/svg+xml,%3csvg xmlns='http://www.w3.org/2000/svg' viewBox='0 0 24 216'%3e%3ctext fill='%23fff' style='font: 900 16px sans-serif' text-anchor='end' transform='matrix(0 -1 1 0 18 5)'%3eJudge Judy%3c/text%3e%3c/svg%3e</v>
      </c>
      <c r="H881" s="8" t="s">
        <v>17</v>
      </c>
      <c r="I881" s="8">
        <f t="shared" ref="I881:J881" si="882">len(B881)</f>
        <v>10</v>
      </c>
      <c r="J881" s="8">
        <f t="shared" si="882"/>
        <v>98</v>
      </c>
      <c r="K881" s="8" t="s">
        <v>4335</v>
      </c>
    </row>
    <row r="882">
      <c r="A882" s="7" t="b">
        <v>1</v>
      </c>
      <c r="B882" s="8" t="s">
        <v>4336</v>
      </c>
      <c r="C882" s="8" t="s">
        <v>4337</v>
      </c>
      <c r="D882" s="8" t="str">
        <f>Q&amp;$K882&amp;Q&amp;":{"&amp;Q&amp;$B$2&amp;Q&amp;":"&amp;Q&amp;$B882&amp;Q&amp;","&amp;Q&amp;$C$2&amp;Q&amp;":"&amp;Q&amp;$C882&amp;Q&amp;","&amp;Q&amp;"sets"&amp;Q&amp;":"&amp;Q&amp;substitute(SUBSTITUTE($H882,"[",""),"]","")&amp;Q&amp;"},"</f>
        <v>"lrkg":{"label":"Juggling","extra":"Start with two and see how you do.","sets":"Junior 9+ (1st) &amp; (2nd)"},</v>
      </c>
      <c r="E882" s="9" t="str">
        <f t="shared" si="2"/>
        <v>data:image/svg+xml,%3csvg xmlns='http://www.w3.org/2000/svg' viewBox='0 0 24 216'%3e%3ctext fill='%23fff' style='font: 900 16px sans-serif' text-anchor='end' transform='matrix(0 -1 1 0 18 5)'%3eJuggling%3c/text%3e%3c/svg%3e</v>
      </c>
      <c r="F882" s="14" t="str">
        <f t="shared" si="3"/>
        <v>https://svgtext.heliohost.us/cgi-bin/gen.perl?text=Juggling</v>
      </c>
      <c r="G882" s="11" t="str">
        <f t="shared" si="4"/>
        <v>data:image/svg+xml,%3csvg xmlns='http://www.w3.org/2000/svg' viewBox='0 0 24 216'%3e%3ctext fill='%23fff' style='font: 900 16px sans-serif' text-anchor='end' transform='matrix(0 -1 1 0 18 5)'%3eJuggling%3c/text%3e%3c/svg%3e</v>
      </c>
      <c r="H882" s="8" t="s">
        <v>42</v>
      </c>
      <c r="I882" s="8">
        <f t="shared" ref="I882:J882" si="883">len(B882)</f>
        <v>8</v>
      </c>
      <c r="J882" s="8">
        <f t="shared" si="883"/>
        <v>34</v>
      </c>
      <c r="K882" s="8" t="s">
        <v>4338</v>
      </c>
    </row>
    <row r="883">
      <c r="A883" s="7" t="b">
        <v>0</v>
      </c>
      <c r="B883" s="8" t="s">
        <v>4339</v>
      </c>
      <c r="C883" s="7" t="s">
        <v>4340</v>
      </c>
      <c r="D883" s="8" t="str">
        <f>Q&amp;$K883&amp;Q&amp;":{"&amp;Q&amp;$B$2&amp;Q&amp;":"&amp;Q&amp;$B883&amp;Q&amp;","&amp;Q&amp;$C$2&amp;Q&amp;":"&amp;Q&amp;$C883&amp;Q&amp;","&amp;Q&amp;"sets"&amp;Q&amp;":"&amp;Q&amp;substitute(SUBSTITUTE($H883,"[",""),"]","")&amp;Q&amp;"},"</f>
        <v>"suyj":{"label":"Julia Roberts","extra":"1967-, American actor and Pretty Woman. Also starred in Steel Magnolias, My Best Friend's Wedding, and Erin Brockovich.","sets":"Expansion Set 2, Party Set"},</v>
      </c>
      <c r="E883" s="9" t="str">
        <f t="shared" si="2"/>
        <v>data:image/svg+xml,%3csvg xmlns='http://www.w3.org/2000/svg' viewBox='0 0 24 216'%3e%3ctext fill='%23fff' style='font: 900 16px sans-serif' text-anchor='end' transform='matrix(0 -1 1 0 18 5)'%3eJulia Roberts%3c/text%3e%3c/svg%3e</v>
      </c>
      <c r="F883" s="14" t="str">
        <f t="shared" si="3"/>
        <v>https://svgtext.heliohost.us/cgi-bin/gen.perl?text=Julia%20Roberts</v>
      </c>
      <c r="G883" s="11" t="str">
        <f t="shared" si="4"/>
        <v>data:image/svg+xml,%3csvg xmlns='http://www.w3.org/2000/svg' viewBox='0 0 24 216'%3e%3ctext fill='%23fff' style='font: 900 16px sans-serif' text-anchor='end' transform='matrix(0 -1 1 0 18 5)'%3eJulia Roberts%3c/text%3e%3c/svg%3e</v>
      </c>
      <c r="H883" s="8" t="s">
        <v>17</v>
      </c>
      <c r="I883" s="8">
        <f t="shared" ref="I883:J883" si="884">len(B883)</f>
        <v>13</v>
      </c>
      <c r="J883" s="8">
        <f t="shared" si="884"/>
        <v>119</v>
      </c>
      <c r="K883" s="8" t="s">
        <v>4341</v>
      </c>
    </row>
    <row r="884">
      <c r="A884" s="7" t="b">
        <v>1</v>
      </c>
      <c r="B884" s="8" t="s">
        <v>4342</v>
      </c>
      <c r="C884" s="8" t="s">
        <v>4343</v>
      </c>
      <c r="D884" s="8" t="str">
        <f>Q&amp;$K884&amp;Q&amp;":{"&amp;Q&amp;$B$2&amp;Q&amp;":"&amp;Q&amp;$B884&amp;Q&amp;","&amp;Q&amp;$C$2&amp;Q&amp;":"&amp;Q&amp;$C884&amp;Q&amp;","&amp;Q&amp;"sets"&amp;Q&amp;":"&amp;Q&amp;substitute(SUBSTITUTE($H884,"[",""),"]","")&amp;Q&amp;"},"</f>
        <v>"{ptz":{"label":"Jumping Rope","extra":"Twirl the rope and jump!","sets":"Junior"},</v>
      </c>
      <c r="E884" s="9" t="str">
        <f t="shared" si="2"/>
        <v>data:image/svg+xml,%3csvg xmlns='http://www.w3.org/2000/svg' viewBox='0 0 24 216'%3e%3ctext fill='%23fff' style='font: 900 16px sans-serif' text-anchor='end' transform='matrix(0 -1 1 0 18 5)'%3eJumping Rope%3c/text%3e%3c/svg%3e</v>
      </c>
      <c r="F884" s="14" t="str">
        <f t="shared" si="3"/>
        <v>https://svgtext.heliohost.us/cgi-bin/gen.perl?text=Jumping%20Rope</v>
      </c>
      <c r="G884" s="11" t="str">
        <f t="shared" si="4"/>
        <v>data:image/svg+xml,%3csvg xmlns='http://www.w3.org/2000/svg' viewBox='0 0 24 216'%3e%3ctext fill='%23fff' style='font: 900 16px sans-serif' text-anchor='end' transform='matrix(0 -1 1 0 18 5)'%3eJumping Rope%3c/text%3e%3c/svg%3e</v>
      </c>
      <c r="H884" s="8" t="s">
        <v>84</v>
      </c>
      <c r="I884" s="8">
        <f t="shared" ref="I884:J884" si="885">len(B884)</f>
        <v>12</v>
      </c>
      <c r="J884" s="8">
        <f t="shared" si="885"/>
        <v>24</v>
      </c>
      <c r="K884" s="8" t="s">
        <v>4344</v>
      </c>
    </row>
    <row r="885">
      <c r="A885" s="7" t="b">
        <v>0</v>
      </c>
      <c r="B885" s="8" t="s">
        <v>4345</v>
      </c>
      <c r="C885" s="8" t="s">
        <v>4346</v>
      </c>
      <c r="D885" s="8" t="str">
        <f>Q&amp;$K885&amp;Q&amp;":{"&amp;Q&amp;$B$2&amp;Q&amp;":"&amp;Q&amp;$B885&amp;Q&amp;","&amp;Q&amp;$C$2&amp;Q&amp;":"&amp;Q&amp;$C885&amp;Q&amp;","&amp;Q&amp;"sets"&amp;Q&amp;":"&amp;Q&amp;substitute(SUBSTITUTE($H885,"[",""),"]","")&amp;Q&amp;"},"</f>
        <v>"pdul":{"label":"Junk Mail","extra":"Contests, credit card applications, solicitations and political ads.","sets":"Expansion Set 2, Party Set"},</v>
      </c>
      <c r="E885" s="9" t="str">
        <f t="shared" si="2"/>
        <v>data:image/svg+xml,%3csvg xmlns='http://www.w3.org/2000/svg' viewBox='0 0 24 216'%3e%3ctext fill='%23fff' style='font: 900 16px sans-serif' text-anchor='end' transform='matrix(0 -1 1 0 18 5)'%3eJunk Mail%3c/text%3e%3c/svg%3e</v>
      </c>
      <c r="F885" s="14" t="str">
        <f t="shared" si="3"/>
        <v>https://svgtext.heliohost.us/cgi-bin/gen.perl?text=Junk%20Mail</v>
      </c>
      <c r="G885" s="11" t="str">
        <f t="shared" si="4"/>
        <v>data:image/svg+xml,%3csvg xmlns='http://www.w3.org/2000/svg' viewBox='0 0 24 216'%3e%3ctext fill='%23fff' style='font: 900 16px sans-serif' text-anchor='end' transform='matrix(0 -1 1 0 18 5)'%3eJunk Mail%3c/text%3e%3c/svg%3e</v>
      </c>
      <c r="H885" s="8" t="s">
        <v>17</v>
      </c>
      <c r="I885" s="8">
        <f t="shared" ref="I885:J885" si="886">len(B885)</f>
        <v>9</v>
      </c>
      <c r="J885" s="8">
        <f t="shared" si="886"/>
        <v>68</v>
      </c>
      <c r="K885" s="8" t="s">
        <v>4347</v>
      </c>
    </row>
    <row r="886">
      <c r="A886" s="7" t="b">
        <v>1</v>
      </c>
      <c r="B886" s="8" t="s">
        <v>4348</v>
      </c>
      <c r="C886" s="7" t="s">
        <v>4349</v>
      </c>
      <c r="D886" s="8" t="str">
        <f>Q&amp;$K886&amp;Q&amp;":{"&amp;Q&amp;$B$2&amp;Q&amp;":"&amp;Q&amp;$B886&amp;Q&amp;","&amp;Q&amp;$C$2&amp;Q&amp;":"&amp;Q&amp;$C886&amp;Q&amp;","&amp;Q&amp;"sets"&amp;Q&amp;":"&amp;Q&amp;substitute(SUBSTITUTE($H886,"[",""),"]","")&amp;Q&amp;"},"</f>
        <v>"djnv":{"label":"Junkyard Dogs","extra":"Not as mean as bad, bad Leroy Brown.","sets":"Expansion Set 3, Party Expansion 1"},</v>
      </c>
      <c r="E886" s="9" t="str">
        <f t="shared" si="2"/>
        <v>data:image/svg+xml,%3csvg xmlns='http://www.w3.org/2000/svg' viewBox='0 0 24 216'%3e%3ctext fill='%23fff' style='font: 900 16px sans-serif' text-anchor='end' transform='matrix(0 -1 1 0 18 5)'%3eJunkyard Dogs%3c/text%3e%3c/svg%3e</v>
      </c>
      <c r="F886" s="14" t="str">
        <f t="shared" si="3"/>
        <v>https://svgtext.heliohost.us/cgi-bin/gen.perl?text=Junkyard%20Dogs</v>
      </c>
      <c r="G886" s="11" t="str">
        <f t="shared" si="4"/>
        <v>data:image/svg+xml,%3csvg xmlns='http://www.w3.org/2000/svg' viewBox='0 0 24 216'%3e%3ctext fill='%23fff' style='font: 900 16px sans-serif' text-anchor='end' transform='matrix(0 -1 1 0 18 5)'%3eJunkyard Dogs%3c/text%3e%3c/svg%3e</v>
      </c>
      <c r="H886" s="8" t="s">
        <v>39</v>
      </c>
      <c r="I886" s="8">
        <f t="shared" ref="I886:J886" si="887">len(B886)</f>
        <v>13</v>
      </c>
      <c r="J886" s="8">
        <f t="shared" si="887"/>
        <v>36</v>
      </c>
      <c r="K886" s="8" t="s">
        <v>4350</v>
      </c>
    </row>
    <row r="887">
      <c r="A887" s="7" t="b">
        <v>0</v>
      </c>
      <c r="B887" s="8" t="s">
        <v>4351</v>
      </c>
      <c r="C887" s="8" t="s">
        <v>4352</v>
      </c>
      <c r="D887" s="8" t="str">
        <f>Q&amp;$K887&amp;Q&amp;":{"&amp;Q&amp;$B$2&amp;Q&amp;":"&amp;Q&amp;$B887&amp;Q&amp;","&amp;Q&amp;$C$2&amp;Q&amp;":"&amp;Q&amp;$C887&amp;Q&amp;","&amp;Q&amp;"sets"&amp;Q&amp;":"&amp;Q&amp;substitute(SUBSTITUTE($H887,"[",""),"]","")&amp;Q&amp;"},"</f>
        <v>"j{gm":{"label":"Jupiter","extra":"Story Problem: If one year on Jupiter equals 11.86 Earth years, and one day equals 9.92 Earth hours, how many Earth hours are there in a Jupiter year?","sets":"Expansion Set 2, Party Set"},</v>
      </c>
      <c r="E887" s="9" t="str">
        <f t="shared" si="2"/>
        <v>data:image/svg+xml,%3csvg xmlns='http://www.w3.org/2000/svg' viewBox='0 0 24 216'%3e%3ctext fill='%23fff' style='font: 900 16px sans-serif' text-anchor='end' transform='matrix(0 -1 1 0 18 5)'%3eJupiter%3c/text%3e%3c/svg%3e</v>
      </c>
      <c r="F887" s="14" t="str">
        <f t="shared" si="3"/>
        <v>https://svgtext.heliohost.us/cgi-bin/gen.perl?text=Jupiter</v>
      </c>
      <c r="G887" s="11" t="str">
        <f t="shared" si="4"/>
        <v>data:image/svg+xml,%3csvg xmlns='http://www.w3.org/2000/svg' viewBox='0 0 24 216'%3e%3ctext fill='%23fff' style='font: 900 16px sans-serif' text-anchor='end' transform='matrix(0 -1 1 0 18 5)'%3eJupiter%3c/text%3e%3c/svg%3e</v>
      </c>
      <c r="H887" s="8" t="s">
        <v>17</v>
      </c>
      <c r="I887" s="8">
        <f t="shared" ref="I887:J887" si="888">len(B887)</f>
        <v>7</v>
      </c>
      <c r="J887" s="8">
        <f t="shared" si="888"/>
        <v>150</v>
      </c>
      <c r="K887" s="8" t="s">
        <v>4353</v>
      </c>
    </row>
    <row r="888">
      <c r="A888" s="7" t="b">
        <v>1</v>
      </c>
      <c r="B888" s="8" t="s">
        <v>4354</v>
      </c>
      <c r="C888" s="8" t="s">
        <v>4355</v>
      </c>
      <c r="D888" s="8" t="str">
        <f>Q&amp;$K888&amp;Q&amp;":{"&amp;Q&amp;$B$2&amp;Q&amp;":"&amp;Q&amp;$B888&amp;Q&amp;","&amp;Q&amp;$C$2&amp;Q&amp;":"&amp;Q&amp;$C888&amp;Q&amp;","&amp;Q&amp;"sets"&amp;Q&amp;":"&amp;Q&amp;substitute(SUBSTITUTE($H888,"[",""),"]","")&amp;Q&amp;"},"</f>
        <v>"snzp":{"label":"Jurassic Park","extra":"1993 film based on Michael Chrichton's book about dinosaurs brought back to life, with Oscar-winning visual effects.","sets":"Expansion Set 3, Party Expansion 1"},</v>
      </c>
      <c r="E888" s="9" t="str">
        <f t="shared" si="2"/>
        <v>data:image/svg+xml,%3csvg xmlns='http://www.w3.org/2000/svg' viewBox='0 0 24 216'%3e%3ctext fill='%23fff' style='font: 900 16px sans-serif' text-anchor='end' transform='matrix(0 -1 1 0 18 5)'%3eJurassic Park%3c/text%3e%3c/svg%3e</v>
      </c>
      <c r="F888" s="14" t="str">
        <f t="shared" si="3"/>
        <v>https://svgtext.heliohost.us/cgi-bin/gen.perl?text=Jurassic%20Park</v>
      </c>
      <c r="G888" s="11" t="str">
        <f t="shared" si="4"/>
        <v>data:image/svg+xml,%3csvg xmlns='http://www.w3.org/2000/svg' viewBox='0 0 24 216'%3e%3ctext fill='%23fff' style='font: 900 16px sans-serif' text-anchor='end' transform='matrix(0 -1 1 0 18 5)'%3eJurassic Park%3c/text%3e%3c/svg%3e</v>
      </c>
      <c r="H888" s="8" t="s">
        <v>39</v>
      </c>
      <c r="I888" s="8">
        <f t="shared" ref="I888:J888" si="889">len(B888)</f>
        <v>13</v>
      </c>
      <c r="J888" s="8">
        <f t="shared" si="889"/>
        <v>116</v>
      </c>
      <c r="K888" s="8" t="s">
        <v>4356</v>
      </c>
    </row>
    <row r="889">
      <c r="A889" s="7" t="b">
        <v>1</v>
      </c>
      <c r="B889" s="8" t="s">
        <v>4357</v>
      </c>
      <c r="C889" s="8" t="s">
        <v>4358</v>
      </c>
      <c r="D889" s="8" t="str">
        <f>Q&amp;$K889&amp;Q&amp;":{"&amp;Q&amp;$B$2&amp;Q&amp;":"&amp;Q&amp;$B889&amp;Q&amp;","&amp;Q&amp;$C$2&amp;Q&amp;":"&amp;Q&amp;$C889&amp;Q&amp;","&amp;Q&amp;"sets"&amp;Q&amp;":"&amp;Q&amp;substitute(SUBSTITUTE($H889,"[",""),"]","")&amp;Q&amp;"},"</f>
        <v>"xgjn":{"label":"Kangaroos","extra":"Large animals from Australia that hop. Mother kangaroos carry their babies in pouches.","sets":"Junior"},</v>
      </c>
      <c r="E889" s="9" t="str">
        <f t="shared" si="2"/>
        <v>data:image/svg+xml,%3csvg xmlns='http://www.w3.org/2000/svg' viewBox='0 0 24 216'%3e%3ctext fill='%23fff' style='font: 900 16px sans-serif' text-anchor='end' transform='matrix(0 -1 1 0 18 5)'%3eKangaroos%3c/text%3e%3c/svg%3e</v>
      </c>
      <c r="F889" s="14" t="str">
        <f t="shared" si="3"/>
        <v>https://svgtext.heliohost.us/cgi-bin/gen.perl?text=Kangaroos</v>
      </c>
      <c r="G889" s="11" t="str">
        <f t="shared" si="4"/>
        <v>data:image/svg+xml,%3csvg xmlns='http://www.w3.org/2000/svg' viewBox='0 0 24 216'%3e%3ctext fill='%23fff' style='font: 900 16px sans-serif' text-anchor='end' transform='matrix(0 -1 1 0 18 5)'%3eKangaroos%3c/text%3e%3c/svg%3e</v>
      </c>
      <c r="H889" s="8" t="s">
        <v>84</v>
      </c>
      <c r="I889" s="8">
        <f t="shared" ref="I889:J889" si="890">len(B889)</f>
        <v>9</v>
      </c>
      <c r="J889" s="8">
        <f t="shared" si="890"/>
        <v>86</v>
      </c>
      <c r="K889" s="8" t="s">
        <v>4359</v>
      </c>
    </row>
    <row r="890">
      <c r="A890" s="7" t="b">
        <v>0</v>
      </c>
      <c r="B890" s="8" t="s">
        <v>4360</v>
      </c>
      <c r="C890" s="7" t="s">
        <v>4361</v>
      </c>
      <c r="D890" s="8" t="str">
        <f>Q&amp;$K890&amp;Q&amp;":{"&amp;Q&amp;$B$2&amp;Q&amp;":"&amp;Q&amp;$B890&amp;Q&amp;","&amp;Q&amp;$C$2&amp;Q&amp;":"&amp;Q&amp;$C890&amp;Q&amp;","&amp;Q&amp;"sets"&amp;Q&amp;":"&amp;Q&amp;substitute(SUBSTITUTE($H890,"[",""),"]","")&amp;Q&amp;"},"</f>
        <v>"eccj":{"label":"Katherine Hepburn","extra":"1909-2003, American actor and winner of four Academy Awards. She starred in such classics as The African Queen.","sets":"Basic Set, Party Set"},</v>
      </c>
      <c r="E890" s="9" t="str">
        <f t="shared" si="2"/>
        <v>data:image/svg+xml,%3csvg xmlns='http://www.w3.org/2000/svg' viewBox='0 0 24 216'%3e%3ctext fill='%23fff' style='font: 900 16px sans-serif' text-anchor='end' transform='matrix(0 -1 1 0 18 5)'%3eKatherine Hepburn%3c/text%3e%3c/svg%3e</v>
      </c>
      <c r="F890" s="14" t="str">
        <f t="shared" si="3"/>
        <v>https://svgtext.heliohost.us/cgi-bin/gen.perl?text=Katherine%20Hepburn</v>
      </c>
      <c r="G890" s="11" t="str">
        <f t="shared" si="4"/>
        <v>data:image/svg+xml,%3csvg xmlns='http://www.w3.org/2000/svg' viewBox='0 0 24 216'%3e%3ctext fill='%23fff' style='font: 900 16px sans-serif' text-anchor='end' transform='matrix(0 -1 1 0 18 5)'%3eKatherine Hepburn%3c/text%3e%3c/svg%3e</v>
      </c>
      <c r="H890" s="8" t="s">
        <v>29</v>
      </c>
      <c r="I890" s="8">
        <f t="shared" ref="I890:J890" si="891">len(B890)</f>
        <v>17</v>
      </c>
      <c r="J890" s="8">
        <f t="shared" si="891"/>
        <v>111</v>
      </c>
      <c r="K890" s="8" t="s">
        <v>4362</v>
      </c>
    </row>
    <row r="891">
      <c r="A891" s="7" t="b">
        <v>0</v>
      </c>
      <c r="B891" s="8" t="s">
        <v>4363</v>
      </c>
      <c r="C891" s="7" t="s">
        <v>4364</v>
      </c>
      <c r="D891" s="8" t="str">
        <f>Q&amp;$K891&amp;Q&amp;":{"&amp;Q&amp;$B$2&amp;Q&amp;":"&amp;Q&amp;$B891&amp;Q&amp;","&amp;Q&amp;$C$2&amp;Q&amp;":"&amp;Q&amp;$C891&amp;Q&amp;","&amp;Q&amp;"sets"&amp;Q&amp;":"&amp;Q&amp;substitute(SUBSTITUTE($H891,"[",""),"]","")&amp;Q&amp;"},"</f>
        <v>"yfnn":{"label":"Keanu Reeves","extra":"1964-, American actor of “Bill And Ted’s Excellent Adventure,” “The Matrix” and “Speed.” Keanu means “cool breeze over the mountains.”","sets":"Expansion Set 2, Party Set"},</v>
      </c>
      <c r="E891" s="9" t="str">
        <f t="shared" si="2"/>
        <v>data:image/svg+xml,%3csvg xmlns='http://www.w3.org/2000/svg' viewBox='0 0 24 216'%3e%3ctext fill='%23fff' style='font: 900 16px sans-serif' text-anchor='end' transform='matrix(0 -1 1 0 18 5)'%3eKeanu Reeves%3c/text%3e%3c/svg%3e</v>
      </c>
      <c r="F891" s="14" t="str">
        <f t="shared" si="3"/>
        <v>https://svgtext.heliohost.us/cgi-bin/gen.perl?text=Keanu%20Reeves</v>
      </c>
      <c r="G891" s="11" t="str">
        <f t="shared" si="4"/>
        <v>data:image/svg+xml,%3csvg xmlns='http://www.w3.org/2000/svg' viewBox='0 0 24 216'%3e%3ctext fill='%23fff' style='font: 900 16px sans-serif' text-anchor='end' transform='matrix(0 -1 1 0 18 5)'%3eKeanu Reeves%3c/text%3e%3c/svg%3e</v>
      </c>
      <c r="H891" s="8" t="s">
        <v>17</v>
      </c>
      <c r="I891" s="8">
        <f t="shared" ref="I891:J891" si="892">len(B891)</f>
        <v>12</v>
      </c>
      <c r="J891" s="8">
        <f t="shared" si="892"/>
        <v>134</v>
      </c>
      <c r="K891" s="8" t="s">
        <v>4365</v>
      </c>
    </row>
    <row r="892">
      <c r="A892" s="7" t="b">
        <v>1</v>
      </c>
      <c r="B892" s="8" t="s">
        <v>4366</v>
      </c>
      <c r="C892" s="7" t="s">
        <v>4367</v>
      </c>
      <c r="D892" s="8" t="str">
        <f>Q&amp;$K892&amp;Q&amp;":{"&amp;Q&amp;$B$2&amp;Q&amp;":"&amp;Q&amp;$B892&amp;Q&amp;","&amp;Q&amp;$C$2&amp;Q&amp;":"&amp;Q&amp;$C892&amp;Q&amp;","&amp;Q&amp;"sets"&amp;Q&amp;":"&amp;Q&amp;substitute(SUBSTITUTE($H892,"[",""),"]","")&amp;Q&amp;"},"</f>
        <v>"pkup":{"label":"Kickball","extra":"You’ll get a kick out of it!","sets":"Junior 9+ (2nd)"},</v>
      </c>
      <c r="E892" s="9" t="str">
        <f t="shared" si="2"/>
        <v>data:image/svg+xml,%3csvg xmlns='http://www.w3.org/2000/svg' viewBox='0 0 24 216'%3e%3ctext fill='%23fff' style='font: 900 16px sans-serif' text-anchor='end' transform='matrix(0 -1 1 0 18 5)'%3eKickball%3c/text%3e%3c/svg%3e</v>
      </c>
      <c r="F892" s="14" t="str">
        <f t="shared" si="3"/>
        <v>https://svgtext.heliohost.us/cgi-bin/gen.perl?text=Kickball</v>
      </c>
      <c r="G892" s="11" t="str">
        <f t="shared" si="4"/>
        <v>data:image/svg+xml,%3csvg xmlns='http://www.w3.org/2000/svg' viewBox='0 0 24 216'%3e%3ctext fill='%23fff' style='font: 900 16px sans-serif' text-anchor='end' transform='matrix(0 -1 1 0 18 5)'%3eKickball%3c/text%3e%3c/svg%3e</v>
      </c>
      <c r="H892" s="8" t="s">
        <v>32</v>
      </c>
      <c r="I892" s="8">
        <f t="shared" ref="I892:J892" si="893">len(B892)</f>
        <v>8</v>
      </c>
      <c r="J892" s="8">
        <f t="shared" si="893"/>
        <v>28</v>
      </c>
      <c r="K892" s="8" t="s">
        <v>4368</v>
      </c>
    </row>
    <row r="893">
      <c r="A893" s="7" t="b">
        <v>0</v>
      </c>
      <c r="B893" s="8" t="s">
        <v>4369</v>
      </c>
      <c r="C893" s="8" t="s">
        <v>4370</v>
      </c>
      <c r="D893" s="8" t="str">
        <f>Q&amp;$K893&amp;Q&amp;":{"&amp;Q&amp;$B$2&amp;Q&amp;":"&amp;Q&amp;$B893&amp;Q&amp;","&amp;Q&amp;$C$2&amp;Q&amp;":"&amp;Q&amp;$C893&amp;Q&amp;","&amp;Q&amp;"sets"&amp;Q&amp;":"&amp;Q&amp;substitute(SUBSTITUTE($H893,"[",""),"]","")&amp;Q&amp;"},"</f>
        <v>"go{o":{"label":"Killer Whales","extra":"Black and white predatory whales. Boy, can they sing!","sets":"Basic Set, Party Set"},</v>
      </c>
      <c r="E893" s="9" t="str">
        <f t="shared" si="2"/>
        <v>data:image/svg+xml,%3csvg xmlns='http://www.w3.org/2000/svg' viewBox='0 0 24 216'%3e%3ctext fill='%23fff' style='font: 900 16px sans-serif' text-anchor='end' transform='matrix(0 -1 1 0 18 5)'%3eKiller Whales%3c/text%3e%3c/svg%3e</v>
      </c>
      <c r="F893" s="14" t="str">
        <f t="shared" si="3"/>
        <v>https://svgtext.heliohost.us/cgi-bin/gen.perl?text=Killer%20Whales</v>
      </c>
      <c r="G893" s="11" t="str">
        <f t="shared" si="4"/>
        <v>data:image/svg+xml,%3csvg xmlns='http://www.w3.org/2000/svg' viewBox='0 0 24 216'%3e%3ctext fill='%23fff' style='font: 900 16px sans-serif' text-anchor='end' transform='matrix(0 -1 1 0 18 5)'%3eKiller Whales%3c/text%3e%3c/svg%3e</v>
      </c>
      <c r="H893" s="8" t="s">
        <v>29</v>
      </c>
      <c r="I893" s="8">
        <f t="shared" ref="I893:J893" si="894">len(B893)</f>
        <v>13</v>
      </c>
      <c r="J893" s="8">
        <f t="shared" si="894"/>
        <v>53</v>
      </c>
      <c r="K893" s="8" t="s">
        <v>4371</v>
      </c>
    </row>
    <row r="894">
      <c r="A894" s="7" t="b">
        <v>0</v>
      </c>
      <c r="B894" s="8" t="s">
        <v>4372</v>
      </c>
      <c r="C894" s="7" t="s">
        <v>4373</v>
      </c>
      <c r="D894" s="8" t="str">
        <f>Q&amp;$K894&amp;Q&amp;":{"&amp;Q&amp;$B$2&amp;Q&amp;":"&amp;Q&amp;$B894&amp;Q&amp;","&amp;Q&amp;$C$2&amp;Q&amp;":"&amp;Q&amp;$C894&amp;Q&amp;","&amp;Q&amp;"sets"&amp;Q&amp;":"&amp;Q&amp;substitute(SUBSTITUTE($H894,"[",""),"]","")&amp;Q&amp;"},"</f>
        <v>"iyvv":{"label":"Kilts","extra":"If Mel Gibson can wear one, so can you.","sets":"Expansion Set 2, Party Set"},</v>
      </c>
      <c r="E894" s="9" t="str">
        <f t="shared" si="2"/>
        <v>data:image/svg+xml,%3csvg xmlns='http://www.w3.org/2000/svg' viewBox='0 0 24 216'%3e%3ctext fill='%23fff' style='font: 900 16px sans-serif' text-anchor='end' transform='matrix(0 -1 1 0 18 5)'%3eKilts%3c/text%3e%3c/svg%3e</v>
      </c>
      <c r="F894" s="14" t="str">
        <f t="shared" si="3"/>
        <v>https://svgtext.heliohost.us/cgi-bin/gen.perl?text=Kilts</v>
      </c>
      <c r="G894" s="11" t="str">
        <f t="shared" si="4"/>
        <v>data:image/svg+xml,%3csvg xmlns='http://www.w3.org/2000/svg' viewBox='0 0 24 216'%3e%3ctext fill='%23fff' style='font: 900 16px sans-serif' text-anchor='end' transform='matrix(0 -1 1 0 18 5)'%3eKilts%3c/text%3e%3c/svg%3e</v>
      </c>
      <c r="H894" s="8" t="s">
        <v>17</v>
      </c>
      <c r="I894" s="8">
        <f t="shared" ref="I894:J894" si="895">len(B894)</f>
        <v>5</v>
      </c>
      <c r="J894" s="8">
        <f t="shared" si="895"/>
        <v>39</v>
      </c>
      <c r="K894" s="8" t="s">
        <v>4374</v>
      </c>
    </row>
    <row r="895">
      <c r="A895" s="7" t="b">
        <v>1</v>
      </c>
      <c r="B895" s="8" t="s">
        <v>4375</v>
      </c>
      <c r="C895" s="7" t="s">
        <v>4376</v>
      </c>
      <c r="D895" s="8" t="str">
        <f>Q&amp;$K895&amp;Q&amp;":{"&amp;Q&amp;$B$2&amp;Q&amp;":"&amp;Q&amp;$B895&amp;Q&amp;","&amp;Q&amp;$C$2&amp;Q&amp;":"&amp;Q&amp;$C895&amp;Q&amp;","&amp;Q&amp;"sets"&amp;Q&amp;":"&amp;Q&amp;substitute(SUBSTITUTE($H895,"[",""),"]","")&amp;Q&amp;"},"</f>
        <v>"dsnu":{"label":"Kindergarten","extra":"“A, B, C, D, E, F, G… Won’t you sing along with me?”","sets":"Junior 9+ (2nd)"},</v>
      </c>
      <c r="E895" s="9" t="str">
        <f t="shared" si="2"/>
        <v>data:image/svg+xml,%3csvg xmlns='http://www.w3.org/2000/svg' viewBox='0 0 24 216'%3e%3ctext fill='%23fff' style='font: 900 16px sans-serif' text-anchor='end' transform='matrix(0 -1 1 0 18 5)'%3eKindergarten%3c/text%3e%3c/svg%3e</v>
      </c>
      <c r="F895" s="14" t="str">
        <f t="shared" si="3"/>
        <v>https://svgtext.heliohost.us/cgi-bin/gen.perl?text=Kindergarten</v>
      </c>
      <c r="G895" s="11" t="str">
        <f t="shared" si="4"/>
        <v>data:image/svg+xml,%3csvg xmlns='http://www.w3.org/2000/svg' viewBox='0 0 24 216'%3e%3ctext fill='%23fff' style='font: 900 16px sans-serif' text-anchor='end' transform='matrix(0 -1 1 0 18 5)'%3eKindergarten%3c/text%3e%3c/svg%3e</v>
      </c>
      <c r="H895" s="8" t="s">
        <v>32</v>
      </c>
      <c r="I895" s="8">
        <f t="shared" ref="I895:J895" si="896">len(B895)</f>
        <v>12</v>
      </c>
      <c r="J895" s="8">
        <f t="shared" si="896"/>
        <v>52</v>
      </c>
      <c r="K895" s="8" t="s">
        <v>4377</v>
      </c>
    </row>
    <row r="896">
      <c r="A896" s="7" t="b">
        <v>0</v>
      </c>
      <c r="B896" s="8" t="s">
        <v>4378</v>
      </c>
      <c r="C896" s="8" t="s">
        <v>4379</v>
      </c>
      <c r="D896" s="8" t="str">
        <f>Q&amp;$K896&amp;Q&amp;":{"&amp;Q&amp;$B$2&amp;Q&amp;":"&amp;Q&amp;$B896&amp;Q&amp;","&amp;Q&amp;$C$2&amp;Q&amp;":"&amp;Q&amp;$C896&amp;Q&amp;","&amp;Q&amp;"sets"&amp;Q&amp;":"&amp;Q&amp;substitute(SUBSTITUTE($H896,"[",""),"]","")&amp;Q&amp;"},"</f>
        <v>"lfft":{"label":"King Arthur","extra":"Legendary British king best known for Camelot and round tables.","sets":"Expansion Set 1, Party Set"},</v>
      </c>
      <c r="E896" s="9" t="str">
        <f t="shared" si="2"/>
        <v>data:image/svg+xml,%3csvg xmlns='http://www.w3.org/2000/svg' viewBox='0 0 24 216'%3e%3ctext fill='%23fff' style='font: 900 16px sans-serif' text-anchor='end' transform='matrix(0 -1 1 0 18 5)'%3eKing Arthur%3c/text%3e%3c/svg%3e</v>
      </c>
      <c r="F896" s="14" t="str">
        <f t="shared" si="3"/>
        <v>https://svgtext.heliohost.us/cgi-bin/gen.perl?text=King%20Arthur</v>
      </c>
      <c r="G896" s="11" t="str">
        <f t="shared" si="4"/>
        <v>data:image/svg+xml,%3csvg xmlns='http://www.w3.org/2000/svg' viewBox='0 0 24 216'%3e%3ctext fill='%23fff' style='font: 900 16px sans-serif' text-anchor='end' transform='matrix(0 -1 1 0 18 5)'%3eKing Arthur%3c/text%3e%3c/svg%3e</v>
      </c>
      <c r="H896" s="8" t="s">
        <v>25</v>
      </c>
      <c r="I896" s="8">
        <f t="shared" ref="I896:J896" si="897">len(B896)</f>
        <v>11</v>
      </c>
      <c r="J896" s="8">
        <f t="shared" si="897"/>
        <v>63</v>
      </c>
      <c r="K896" s="8" t="s">
        <v>4380</v>
      </c>
    </row>
    <row r="897">
      <c r="A897" s="7" t="b">
        <v>0</v>
      </c>
      <c r="B897" s="8" t="s">
        <v>4381</v>
      </c>
      <c r="C897" s="8" t="s">
        <v>4382</v>
      </c>
      <c r="D897" s="8" t="str">
        <f>Q&amp;$K897&amp;Q&amp;":{"&amp;Q&amp;$B$2&amp;Q&amp;":"&amp;Q&amp;$B897&amp;Q&amp;","&amp;Q&amp;$C$2&amp;Q&amp;":"&amp;Q&amp;$C897&amp;Q&amp;","&amp;Q&amp;"sets"&amp;Q&amp;":"&amp;Q&amp;substitute(SUBSTITUTE($H897,"[",""),"]","")&amp;Q&amp;"},"</f>
        <v>"ijqk":{"label":"King Henry VIII","extra":"1491-1547, King of England, and founder of the Church of England. Six wives, no waiting.","sets":"Basic Set, Party Set"},</v>
      </c>
      <c r="E897" s="9" t="str">
        <f t="shared" si="2"/>
        <v>data:image/svg+xml,%3csvg xmlns='http://www.w3.org/2000/svg' viewBox='0 0 24 216'%3e%3ctext fill='%23fff' style='font: 900 16px sans-serif' text-anchor='end' transform='matrix(0 -1 1 0 18 5)'%3eKing Henry VIII%3c/text%3e%3c/svg%3e</v>
      </c>
      <c r="F897" s="14" t="str">
        <f t="shared" si="3"/>
        <v>https://svgtext.heliohost.us/cgi-bin/gen.perl?text=King%20Henry%20VIII</v>
      </c>
      <c r="G897" s="11" t="str">
        <f t="shared" si="4"/>
        <v>data:image/svg+xml,%3csvg xmlns='http://www.w3.org/2000/svg' viewBox='0 0 24 216'%3e%3ctext fill='%23fff' style='font: 900 16px sans-serif' text-anchor='end' transform='matrix(0 -1 1 0 18 5)'%3eKing Henry VIII%3c/text%3e%3c/svg%3e</v>
      </c>
      <c r="H897" s="8" t="s">
        <v>29</v>
      </c>
      <c r="I897" s="8">
        <f t="shared" ref="I897:J897" si="898">len(B897)</f>
        <v>15</v>
      </c>
      <c r="J897" s="8">
        <f t="shared" si="898"/>
        <v>88</v>
      </c>
      <c r="K897" s="8" t="s">
        <v>4383</v>
      </c>
    </row>
    <row r="898">
      <c r="A898" s="7" t="b">
        <v>1</v>
      </c>
      <c r="B898" s="8" t="s">
        <v>4384</v>
      </c>
      <c r="C898" s="7" t="s">
        <v>4385</v>
      </c>
      <c r="D898" s="8" t="str">
        <f>Q&amp;$K898&amp;Q&amp;":{"&amp;Q&amp;$B$2&amp;Q&amp;":"&amp;Q&amp;$B898&amp;Q&amp;","&amp;Q&amp;$C$2&amp;Q&amp;":"&amp;Q&amp;$C898&amp;Q&amp;","&amp;Q&amp;"sets"&amp;Q&amp;":"&amp;Q&amp;substitute(SUBSTITUTE($H898,"[",""),"]","")&amp;Q&amp;"},"</f>
        <v>"bpdn":{"label":"King Tut","extra":"Boy king who ruled Egypt from 1333 to 1323 B.C., known for the great wealth of objects found in his tomb. He took it with him.","sets":"Expansion Set 3, Party Expansion 1"},</v>
      </c>
      <c r="E898" s="9" t="str">
        <f t="shared" si="2"/>
        <v>data:image/svg+xml,%3csvg xmlns='http://www.w3.org/2000/svg' viewBox='0 0 24 216'%3e%3ctext fill='%23fff' style='font: 900 16px sans-serif' text-anchor='end' transform='matrix(0 -1 1 0 18 5)'%3eKing Tut%3c/text%3e%3c/svg%3e</v>
      </c>
      <c r="F898" s="14" t="str">
        <f t="shared" si="3"/>
        <v>https://svgtext.heliohost.us/cgi-bin/gen.perl?text=King%20Tut</v>
      </c>
      <c r="G898" s="11" t="str">
        <f t="shared" si="4"/>
        <v>data:image/svg+xml,%3csvg xmlns='http://www.w3.org/2000/svg' viewBox='0 0 24 216'%3e%3ctext fill='%23fff' style='font: 900 16px sans-serif' text-anchor='end' transform='matrix(0 -1 1 0 18 5)'%3eKing Tut%3c/text%3e%3c/svg%3e</v>
      </c>
      <c r="H898" s="8" t="s">
        <v>39</v>
      </c>
      <c r="I898" s="8">
        <f t="shared" ref="I898:J898" si="899">len(B898)</f>
        <v>8</v>
      </c>
      <c r="J898" s="8">
        <f t="shared" si="899"/>
        <v>126</v>
      </c>
      <c r="K898" s="8" t="s">
        <v>4386</v>
      </c>
    </row>
    <row r="899">
      <c r="A899" s="7" t="b">
        <v>0</v>
      </c>
      <c r="B899" s="8" t="s">
        <v>4387</v>
      </c>
      <c r="C899" s="7" t="s">
        <v>4388</v>
      </c>
      <c r="D899" s="8" t="str">
        <f>Q&amp;$K899&amp;Q&amp;":{"&amp;Q&amp;$B$2&amp;Q&amp;":"&amp;Q&amp;$B899&amp;Q&amp;","&amp;Q&amp;$C$2&amp;Q&amp;":"&amp;Q&amp;$C899&amp;Q&amp;","&amp;Q&amp;"sets"&amp;Q&amp;":"&amp;Q&amp;substitute(SUBSTITUTE($H899,"[",""),"]","")&amp;Q&amp;"},"</f>
        <v>"dgpl":{"label":"Kiss &amp; Tell","extra":"Best to keep your mouth shut.","sets":"Expansion Set 4, Party Expansion 1"},</v>
      </c>
      <c r="E899" s="9" t="str">
        <f t="shared" si="2"/>
        <v>data:image/svg+xml,%3csvg xmlns='http://www.w3.org/2000/svg' viewBox='0 0 24 216'%3e%3ctext fill='%23fff' style='font: 900 16px sans-serif' text-anchor='end' transform='matrix(0 -1 1 0 18 5)'%3eKiss %26amp%3B Tell%3c/text%3e%3c/svg%3e</v>
      </c>
      <c r="F899" s="14" t="str">
        <f t="shared" si="3"/>
        <v>https://svgtext.heliohost.us/cgi-bin/gen.perl?text=Kiss%20%26%20Tell</v>
      </c>
      <c r="G899" s="11" t="str">
        <f t="shared" si="4"/>
        <v>data:image/svg+xml,%3csvg xmlns='http://www.w3.org/2000/svg' viewBox='0 0 24 216'%3e%3ctext fill='%23fff' style='font: 900 16px sans-serif' text-anchor='end' transform='matrix(0 -1 1 0 18 5)'%3eKiss %26amp%3B Tell%3c/text%3e%3c/svg%3e</v>
      </c>
      <c r="H899" s="8" t="s">
        <v>63</v>
      </c>
      <c r="I899" s="8">
        <f t="shared" ref="I899:J899" si="900">len(B899)</f>
        <v>11</v>
      </c>
      <c r="J899" s="8">
        <f t="shared" si="900"/>
        <v>29</v>
      </c>
      <c r="K899" s="8" t="s">
        <v>4389</v>
      </c>
    </row>
    <row r="900">
      <c r="A900" s="7" t="b">
        <v>1</v>
      </c>
      <c r="B900" s="8" t="s">
        <v>4390</v>
      </c>
      <c r="C900" s="8" t="s">
        <v>4391</v>
      </c>
      <c r="D900" s="8" t="str">
        <f>Q&amp;$K900&amp;Q&amp;":{"&amp;Q&amp;$B$2&amp;Q&amp;":"&amp;Q&amp;$B900&amp;Q&amp;","&amp;Q&amp;$C$2&amp;Q&amp;":"&amp;Q&amp;$C900&amp;Q&amp;","&amp;Q&amp;"sets"&amp;Q&amp;":"&amp;Q&amp;substitute(SUBSTITUTE($H900,"[",""),"]","")&amp;Q&amp;"},"</f>
        <v>"waow":{"label":"Kisses","extra":"Chocolate kisses are the best!","sets":"Junior 9+ (1st) &amp; (2nd)"},</v>
      </c>
      <c r="E900" s="9" t="str">
        <f t="shared" si="2"/>
        <v>data:image/svg+xml,%3csvg xmlns='http://www.w3.org/2000/svg' viewBox='0 0 24 216'%3e%3ctext fill='%23fff' style='font: 900 16px sans-serif' text-anchor='end' transform='matrix(0 -1 1 0 18 5)'%3eKisses%3c/text%3e%3c/svg%3e</v>
      </c>
      <c r="F900" s="14" t="str">
        <f t="shared" si="3"/>
        <v>https://svgtext.heliohost.us/cgi-bin/gen.perl?text=Kisses</v>
      </c>
      <c r="G900" s="11" t="str">
        <f t="shared" si="4"/>
        <v>data:image/svg+xml,%3csvg xmlns='http://www.w3.org/2000/svg' viewBox='0 0 24 216'%3e%3ctext fill='%23fff' style='font: 900 16px sans-serif' text-anchor='end' transform='matrix(0 -1 1 0 18 5)'%3eKisses%3c/text%3e%3c/svg%3e</v>
      </c>
      <c r="H900" s="8" t="s">
        <v>42</v>
      </c>
      <c r="I900" s="8">
        <f t="shared" ref="I900:J900" si="901">len(B900)</f>
        <v>6</v>
      </c>
      <c r="J900" s="8">
        <f t="shared" si="901"/>
        <v>30</v>
      </c>
      <c r="K900" s="8" t="s">
        <v>4392</v>
      </c>
    </row>
    <row r="901">
      <c r="A901" s="7" t="b">
        <v>1</v>
      </c>
      <c r="B901" s="8" t="s">
        <v>4393</v>
      </c>
      <c r="C901" s="8" t="s">
        <v>4394</v>
      </c>
      <c r="D901" s="8" t="str">
        <f>Q&amp;$K901&amp;Q&amp;":{"&amp;Q&amp;$B$2&amp;Q&amp;":"&amp;Q&amp;$B901&amp;Q&amp;","&amp;Q&amp;$C$2&amp;Q&amp;":"&amp;Q&amp;$C901&amp;Q&amp;","&amp;Q&amp;"sets"&amp;Q&amp;":"&amp;Q&amp;substitute(SUBSTITUTE($H901,"[",""),"]","")&amp;Q&amp;"},"</f>
        <v>"jnqk":{"label":"Kittens","extra":"Baby cats, usually playful and fuzzy. Meow.","sets":"Junior"},</v>
      </c>
      <c r="E901" s="9" t="str">
        <f t="shared" si="2"/>
        <v>data:image/svg+xml,%3csvg xmlns='http://www.w3.org/2000/svg' viewBox='0 0 24 216'%3e%3ctext fill='%23fff' style='font: 900 16px sans-serif' text-anchor='end' transform='matrix(0 -1 1 0 18 5)'%3eKittens%3c/text%3e%3c/svg%3e</v>
      </c>
      <c r="F901" s="14" t="str">
        <f t="shared" si="3"/>
        <v>https://svgtext.heliohost.us/cgi-bin/gen.perl?text=Kittens</v>
      </c>
      <c r="G901" s="11" t="str">
        <f t="shared" si="4"/>
        <v>data:image/svg+xml,%3csvg xmlns='http://www.w3.org/2000/svg' viewBox='0 0 24 216'%3e%3ctext fill='%23fff' style='font: 900 16px sans-serif' text-anchor='end' transform='matrix(0 -1 1 0 18 5)'%3eKittens%3c/text%3e%3c/svg%3e</v>
      </c>
      <c r="H901" s="8" t="s">
        <v>84</v>
      </c>
      <c r="I901" s="8">
        <f t="shared" ref="I901:J901" si="902">len(B901)</f>
        <v>7</v>
      </c>
      <c r="J901" s="8">
        <f t="shared" si="902"/>
        <v>43</v>
      </c>
      <c r="K901" s="8" t="s">
        <v>4395</v>
      </c>
    </row>
    <row r="902">
      <c r="A902" s="7" t="b">
        <v>1</v>
      </c>
      <c r="B902" s="8" t="s">
        <v>4396</v>
      </c>
      <c r="C902" s="8" t="s">
        <v>4397</v>
      </c>
      <c r="D902" s="8" t="str">
        <f>Q&amp;$K902&amp;Q&amp;":{"&amp;Q&amp;$B$2&amp;Q&amp;":"&amp;Q&amp;$B902&amp;Q&amp;","&amp;Q&amp;$C$2&amp;Q&amp;":"&amp;Q&amp;$C902&amp;Q&amp;","&amp;Q&amp;"sets"&amp;Q&amp;":"&amp;Q&amp;substitute(SUBSTITUTE($H902,"[",""),"]","")&amp;Q&amp;"},"</f>
        <v>"l{zk":{"label":"Knife &amp; Fork","extra":"Knife on the right, fork on the left.","sets":"Expansion Set 4, Party Expansion 1"},</v>
      </c>
      <c r="E902" s="9" t="str">
        <f t="shared" si="2"/>
        <v>data:image/svg+xml,%3csvg xmlns='http://www.w3.org/2000/svg' viewBox='0 0 24 216'%3e%3ctext fill='%23fff' style='font: 900 16px sans-serif' text-anchor='end' transform='matrix(0 -1 1 0 18 5)'%3eKnife %26amp%3B Fork%3c/text%3e%3c/svg%3e</v>
      </c>
      <c r="F902" s="14" t="str">
        <f t="shared" si="3"/>
        <v>https://svgtext.heliohost.us/cgi-bin/gen.perl?text=Knife%20%26%20Fork</v>
      </c>
      <c r="G902" s="11" t="str">
        <f t="shared" si="4"/>
        <v>data:image/svg+xml,%3csvg xmlns='http://www.w3.org/2000/svg' viewBox='0 0 24 216'%3e%3ctext fill='%23fff' style='font: 900 16px sans-serif' text-anchor='end' transform='matrix(0 -1 1 0 18 5)'%3eKnife %26amp%3B Fork%3c/text%3e%3c/svg%3e</v>
      </c>
      <c r="H902" s="8" t="s">
        <v>63</v>
      </c>
      <c r="I902" s="8">
        <f t="shared" ref="I902:J902" si="903">len(B902)</f>
        <v>12</v>
      </c>
      <c r="J902" s="8">
        <f t="shared" si="903"/>
        <v>37</v>
      </c>
      <c r="K902" s="8" t="s">
        <v>4398</v>
      </c>
    </row>
    <row r="903">
      <c r="A903" s="7" t="b">
        <v>1</v>
      </c>
      <c r="B903" s="8" t="s">
        <v>4399</v>
      </c>
      <c r="C903" s="7" t="s">
        <v>4400</v>
      </c>
      <c r="D903" s="8" t="str">
        <f>Q&amp;$K903&amp;Q&amp;":{"&amp;Q&amp;$B$2&amp;Q&amp;":"&amp;Q&amp;$B903&amp;Q&amp;","&amp;Q&amp;$C$2&amp;Q&amp;":"&amp;Q&amp;$C903&amp;Q&amp;","&amp;Q&amp;"sets"&amp;Q&amp;":"&amp;Q&amp;substitute(SUBSTITUTE($H903,"[",""),"]","")&amp;Q&amp;"},"</f>
        <v>"zgyl":{"label":"Knitting Needles","extra":"Knit one, pearl two…","sets":"Expansion Set 3, Party Expansion 1"},</v>
      </c>
      <c r="E903" s="9" t="str">
        <f t="shared" si="2"/>
        <v>data:image/svg+xml,%3csvg xmlns='http://www.w3.org/2000/svg' viewBox='0 0 24 216'%3e%3ctext fill='%23fff' style='font: 900 16px sans-serif' text-anchor='end' transform='matrix(0 -1 1 0 18 5)'%3eKnitting Needles%3c/text%3e%3c/svg%3e</v>
      </c>
      <c r="F903" s="14" t="str">
        <f t="shared" si="3"/>
        <v>https://svgtext.heliohost.us/cgi-bin/gen.perl?text=Knitting%20Needles</v>
      </c>
      <c r="G903" s="11" t="str">
        <f t="shared" si="4"/>
        <v>data:image/svg+xml,%3csvg xmlns='http://www.w3.org/2000/svg' viewBox='0 0 24 216'%3e%3ctext fill='%23fff' style='font: 900 16px sans-serif' text-anchor='end' transform='matrix(0 -1 1 0 18 5)'%3eKnitting Needles%3c/text%3e%3c/svg%3e</v>
      </c>
      <c r="H903" s="8" t="s">
        <v>39</v>
      </c>
      <c r="I903" s="8">
        <f t="shared" ref="I903:J903" si="904">len(B903)</f>
        <v>16</v>
      </c>
      <c r="J903" s="8">
        <f t="shared" si="904"/>
        <v>20</v>
      </c>
      <c r="K903" s="8" t="s">
        <v>4401</v>
      </c>
    </row>
    <row r="904">
      <c r="A904" s="7" t="b">
        <v>0</v>
      </c>
      <c r="B904" s="8" t="s">
        <v>4402</v>
      </c>
      <c r="C904" s="7" t="s">
        <v>4403</v>
      </c>
      <c r="D904" s="8" t="str">
        <f>Q&amp;$K904&amp;Q&amp;":{"&amp;Q&amp;$B$2&amp;Q&amp;":"&amp;Q&amp;$B904&amp;Q&amp;","&amp;Q&amp;$C$2&amp;Q&amp;":"&amp;Q&amp;$C904&amp;Q&amp;","&amp;Q&amp;"sets"&amp;Q&amp;":"&amp;Q&amp;substitute(SUBSTITUTE($H904,"[",""),"]","")&amp;Q&amp;"},"</f>
        <v>"wsls":{"label":"Knock-Knock Jokes","extra":"Who’s there?","sets":"Expansion Set 1, Party Set"},</v>
      </c>
      <c r="E904" s="9" t="str">
        <f t="shared" si="2"/>
        <v>data:image/svg+xml,%3csvg xmlns='http://www.w3.org/2000/svg' viewBox='0 0 24 216'%3e%3ctext fill='%23fff' style='font: 900 16px sans-serif' text-anchor='end' transform='matrix(0 -1 1 0 18 5)'%3eKnock-Knock Jokes%3c/text%3e%3c/svg%3e</v>
      </c>
      <c r="F904" s="14" t="str">
        <f t="shared" si="3"/>
        <v>https://svgtext.heliohost.us/cgi-bin/gen.perl?text=Knock-Knock%20Jokes</v>
      </c>
      <c r="G904" s="11" t="str">
        <f t="shared" si="4"/>
        <v>data:image/svg+xml,%3csvg xmlns='http://www.w3.org/2000/svg' viewBox='0 0 24 216'%3e%3ctext fill='%23fff' style='font: 900 16px sans-serif' text-anchor='end' transform='matrix(0 -1 1 0 18 5)'%3eKnock-Knock Jokes%3c/text%3e%3c/svg%3e</v>
      </c>
      <c r="H904" s="8" t="s">
        <v>25</v>
      </c>
      <c r="I904" s="8">
        <f t="shared" ref="I904:J904" si="905">len(B904)</f>
        <v>17</v>
      </c>
      <c r="J904" s="8">
        <f t="shared" si="905"/>
        <v>12</v>
      </c>
      <c r="K904" s="8" t="s">
        <v>4404</v>
      </c>
    </row>
    <row r="905">
      <c r="A905" s="7" t="b">
        <v>0</v>
      </c>
      <c r="B905" s="8" t="s">
        <v>4405</v>
      </c>
      <c r="C905" s="7" t="s">
        <v>4406</v>
      </c>
      <c r="D905" s="8" t="str">
        <f>Q&amp;$K905&amp;Q&amp;":{"&amp;Q&amp;$B$2&amp;Q&amp;":"&amp;Q&amp;$B905&amp;Q&amp;","&amp;Q&amp;$C$2&amp;Q&amp;":"&amp;Q&amp;$C905&amp;Q&amp;","&amp;Q&amp;"sets"&amp;Q&amp;":"&amp;Q&amp;substitute(SUBSTITUTE($H905,"[",""),"]","")&amp;Q&amp;"},"</f>
        <v>"ugez":{"label":"Labor Unions","extra":"Look for the Union label. And, while you’re at it, look for Jimmy Hoffa…","sets":"Expansion Set 1, Party Set"},</v>
      </c>
      <c r="E905" s="9" t="str">
        <f t="shared" si="2"/>
        <v>data:image/svg+xml,%3csvg xmlns='http://www.w3.org/2000/svg' viewBox='0 0 24 216'%3e%3ctext fill='%23fff' style='font: 900 16px sans-serif' text-anchor='end' transform='matrix(0 -1 1 0 18 5)'%3eLabor Unions%3c/text%3e%3c/svg%3e</v>
      </c>
      <c r="F905" s="14" t="str">
        <f t="shared" si="3"/>
        <v>https://svgtext.heliohost.us/cgi-bin/gen.perl?text=Labor%20Unions</v>
      </c>
      <c r="G905" s="11" t="str">
        <f t="shared" si="4"/>
        <v>data:image/svg+xml,%3csvg xmlns='http://www.w3.org/2000/svg' viewBox='0 0 24 216'%3e%3ctext fill='%23fff' style='font: 900 16px sans-serif' text-anchor='end' transform='matrix(0 -1 1 0 18 5)'%3eLabor Unions%3c/text%3e%3c/svg%3e</v>
      </c>
      <c r="H905" s="8" t="s">
        <v>25</v>
      </c>
      <c r="I905" s="8">
        <f t="shared" ref="I905:J905" si="906">len(B905)</f>
        <v>12</v>
      </c>
      <c r="J905" s="8">
        <f t="shared" si="906"/>
        <v>72</v>
      </c>
      <c r="K905" s="8" t="s">
        <v>4407</v>
      </c>
    </row>
    <row r="906">
      <c r="A906" s="7" t="b">
        <v>1</v>
      </c>
      <c r="B906" s="8" t="s">
        <v>4408</v>
      </c>
      <c r="C906" s="8" t="s">
        <v>4409</v>
      </c>
      <c r="D906" s="8" t="str">
        <f>Q&amp;$K906&amp;Q&amp;":{"&amp;Q&amp;$B$2&amp;Q&amp;":"&amp;Q&amp;$B906&amp;Q&amp;","&amp;Q&amp;$C$2&amp;Q&amp;":"&amp;Q&amp;$C906&amp;Q&amp;","&amp;Q&amp;"sets"&amp;Q&amp;":"&amp;Q&amp;substitute(SUBSTITUTE($H906,"[",""),"]","")&amp;Q&amp;"},"</f>
        <v>"faht":{"label":"Lady &amp; The Tramp","extra":"The 1955 Disney animated film featuring dogs, love and spaghetti.","sets":"Expansion Set 4, Party Expansion 1"},</v>
      </c>
      <c r="E906" s="9" t="str">
        <f t="shared" si="2"/>
        <v>data:image/svg+xml,%3csvg xmlns='http://www.w3.org/2000/svg' viewBox='0 0 24 216'%3e%3ctext fill='%23fff' style='font: 900 16px sans-serif' text-anchor='end' transform='matrix(0 -1 1 0 18 5)'%3eLady %26amp%3B The Tramp%3c/text%3e%3c/svg%3e</v>
      </c>
      <c r="F906" s="14" t="str">
        <f t="shared" si="3"/>
        <v>https://svgtext.heliohost.us/cgi-bin/gen.perl?text=Lady%20%26%20The%20Tramp</v>
      </c>
      <c r="G906" s="11" t="str">
        <f t="shared" si="4"/>
        <v>data:image/svg+xml,%3csvg xmlns='http://www.w3.org/2000/svg' viewBox='0 0 24 216'%3e%3ctext fill='%23fff' style='font: 900 16px sans-serif' text-anchor='end' transform='matrix(0 -1 1 0 18 5)'%3eLady %26amp%3B The Tramp%3c/text%3e%3c/svg%3e</v>
      </c>
      <c r="H906" s="8" t="s">
        <v>63</v>
      </c>
      <c r="I906" s="8">
        <f t="shared" ref="I906:J906" si="907">len(B906)</f>
        <v>16</v>
      </c>
      <c r="J906" s="8">
        <f t="shared" si="907"/>
        <v>65</v>
      </c>
      <c r="K906" s="8" t="s">
        <v>4410</v>
      </c>
    </row>
    <row r="907">
      <c r="A907" s="7" t="b">
        <v>1</v>
      </c>
      <c r="B907" s="8" t="s">
        <v>4411</v>
      </c>
      <c r="C907" s="8" t="s">
        <v>4412</v>
      </c>
      <c r="D907" s="8" t="str">
        <f>Q&amp;$K907&amp;Q&amp;":{"&amp;Q&amp;$B$2&amp;Q&amp;":"&amp;Q&amp;$B907&amp;Q&amp;","&amp;Q&amp;$C$2&amp;Q&amp;":"&amp;Q&amp;$C907&amp;Q&amp;","&amp;Q&amp;"sets"&amp;Q&amp;":"&amp;Q&amp;substitute(SUBSTITUTE($H907,"[",""),"]","")&amp;Q&amp;"},"</f>
        <v>"rfwh":{"label":"Ladybugs","extra":"Small, round red or orange beetles with black spots. They can fly!","sets":"Junior"},</v>
      </c>
      <c r="E907" s="9" t="str">
        <f t="shared" si="2"/>
        <v>data:image/svg+xml,%3csvg xmlns='http://www.w3.org/2000/svg' viewBox='0 0 24 216'%3e%3ctext fill='%23fff' style='font: 900 16px sans-serif' text-anchor='end' transform='matrix(0 -1 1 0 18 5)'%3eLadybugs%3c/text%3e%3c/svg%3e</v>
      </c>
      <c r="F907" s="14" t="str">
        <f t="shared" si="3"/>
        <v>https://svgtext.heliohost.us/cgi-bin/gen.perl?text=Ladybugs</v>
      </c>
      <c r="G907" s="11" t="str">
        <f t="shared" si="4"/>
        <v>data:image/svg+xml,%3csvg xmlns='http://www.w3.org/2000/svg' viewBox='0 0 24 216'%3e%3ctext fill='%23fff' style='font: 900 16px sans-serif' text-anchor='end' transform='matrix(0 -1 1 0 18 5)'%3eLadybugs%3c/text%3e%3c/svg%3e</v>
      </c>
      <c r="H907" s="8" t="s">
        <v>84</v>
      </c>
      <c r="I907" s="8">
        <f t="shared" ref="I907:J907" si="908">len(B907)</f>
        <v>8</v>
      </c>
      <c r="J907" s="8">
        <f t="shared" si="908"/>
        <v>66</v>
      </c>
      <c r="K907" s="8" t="s">
        <v>4413</v>
      </c>
    </row>
    <row r="908">
      <c r="A908" s="7" t="b">
        <v>1</v>
      </c>
      <c r="B908" s="8" t="s">
        <v>4414</v>
      </c>
      <c r="C908" s="7" t="s">
        <v>4415</v>
      </c>
      <c r="D908" s="8" t="str">
        <f>Q&amp;$K908&amp;Q&amp;":{"&amp;Q&amp;$B$2&amp;Q&amp;":"&amp;Q&amp;$B908&amp;Q&amp;","&amp;Q&amp;$C$2&amp;Q&amp;":"&amp;Q&amp;$C908&amp;Q&amp;","&amp;Q&amp;"sets"&amp;Q&amp;":"&amp;Q&amp;substitute(SUBSTITUTE($H908,"[",""),"]","")&amp;Q&amp;"},"</f>
        <v>"jjxi":{"label":"Lance Armstrong","extra":"1971-, American cyclist, cancer survivor and winner of the Tour De France brought new meaning to the phrase “Going Postal.”","sets":"Expansion Set 3, Party Expansion 1"},</v>
      </c>
      <c r="E908" s="9" t="str">
        <f t="shared" si="2"/>
        <v>data:image/svg+xml,%3csvg xmlns='http://www.w3.org/2000/svg' viewBox='0 0 24 216'%3e%3ctext fill='%23fff' style='font: 900 16px sans-serif' text-anchor='end' transform='matrix(0 -1 1 0 18 5)'%3eLance Armstrong%3c/text%3e%3c/svg%3e</v>
      </c>
      <c r="F908" s="14" t="str">
        <f t="shared" si="3"/>
        <v>https://svgtext.heliohost.us/cgi-bin/gen.perl?text=Lance%20Armstrong</v>
      </c>
      <c r="G908" s="11" t="str">
        <f t="shared" si="4"/>
        <v>data:image/svg+xml,%3csvg xmlns='http://www.w3.org/2000/svg' viewBox='0 0 24 216'%3e%3ctext fill='%23fff' style='font: 900 16px sans-serif' text-anchor='end' transform='matrix(0 -1 1 0 18 5)'%3eLance Armstrong%3c/text%3e%3c/svg%3e</v>
      </c>
      <c r="H908" s="8" t="s">
        <v>39</v>
      </c>
      <c r="I908" s="8">
        <f t="shared" ref="I908:J908" si="909">len(B908)</f>
        <v>15</v>
      </c>
      <c r="J908" s="8">
        <f t="shared" si="909"/>
        <v>123</v>
      </c>
      <c r="K908" s="8" t="s">
        <v>4416</v>
      </c>
    </row>
    <row r="909">
      <c r="A909" s="7" t="b">
        <v>0</v>
      </c>
      <c r="B909" s="8" t="s">
        <v>4417</v>
      </c>
      <c r="C909" s="7" t="s">
        <v>4418</v>
      </c>
      <c r="D909" s="8" t="str">
        <f>Q&amp;$K909&amp;Q&amp;":{"&amp;Q&amp;$B$2&amp;Q&amp;":"&amp;Q&amp;$B909&amp;Q&amp;","&amp;Q&amp;$C$2&amp;Q&amp;":"&amp;Q&amp;$C909&amp;Q&amp;","&amp;Q&amp;"sets"&amp;Q&amp;":"&amp;Q&amp;substitute(SUBSTITUTE($H909,"[",""),"]","")&amp;Q&amp;"},"</f>
        <v>"wtbv":{"label":"Large Mouth Bass","extra":"Oh, please, let it not sing…","sets":"Expansion Set 2, Party Set"},</v>
      </c>
      <c r="E909" s="9" t="str">
        <f t="shared" si="2"/>
        <v>data:image/svg+xml,%3csvg xmlns='http://www.w3.org/2000/svg' viewBox='0 0 24 216'%3e%3ctext fill='%23fff' style='font: 900 16px sans-serif' text-anchor='end' transform='matrix(0 -1 1 0 18 5)'%3eLarge Mouth Bass%3c/text%3e%3c/svg%3e</v>
      </c>
      <c r="F909" s="14" t="str">
        <f t="shared" si="3"/>
        <v>https://svgtext.heliohost.us/cgi-bin/gen.perl?text=Large%20Mouth%20Bass</v>
      </c>
      <c r="G909" s="11" t="str">
        <f t="shared" si="4"/>
        <v>data:image/svg+xml,%3csvg xmlns='http://www.w3.org/2000/svg' viewBox='0 0 24 216'%3e%3ctext fill='%23fff' style='font: 900 16px sans-serif' text-anchor='end' transform='matrix(0 -1 1 0 18 5)'%3eLarge Mouth Bass%3c/text%3e%3c/svg%3e</v>
      </c>
      <c r="H909" s="8" t="s">
        <v>17</v>
      </c>
      <c r="I909" s="8">
        <f t="shared" ref="I909:J909" si="910">len(B909)</f>
        <v>16</v>
      </c>
      <c r="J909" s="8">
        <f t="shared" si="910"/>
        <v>28</v>
      </c>
      <c r="K909" s="8" t="s">
        <v>4419</v>
      </c>
    </row>
    <row r="910">
      <c r="A910" s="7" t="b">
        <v>0</v>
      </c>
      <c r="B910" s="8" t="s">
        <v>4420</v>
      </c>
      <c r="C910" s="7" t="s">
        <v>4421</v>
      </c>
      <c r="D910" s="8" t="str">
        <f>Q&amp;$K910&amp;Q&amp;":{"&amp;Q&amp;$B$2&amp;Q&amp;":"&amp;Q&amp;$B910&amp;Q&amp;","&amp;Q&amp;$C$2&amp;Q&amp;":"&amp;Q&amp;$C910&amp;Q&amp;","&amp;Q&amp;"sets"&amp;Q&amp;":"&amp;Q&amp;substitute(SUBSTITUTE($H910,"[",""),"]","")&amp;Q&amp;"},"</f>
        <v>"jaaf":{"label":"Las Vegas","extra":"The first casino opened in Las Vegas in 1946. “Las Vegas… or it that Lost Wages?”","sets":"Basic Set, Party Set"},</v>
      </c>
      <c r="E910" s="9" t="str">
        <f t="shared" si="2"/>
        <v>data:image/svg+xml,%3csvg xmlns='http://www.w3.org/2000/svg' viewBox='0 0 24 216'%3e%3ctext fill='%23fff' style='font: 900 16px sans-serif' text-anchor='end' transform='matrix(0 -1 1 0 18 5)'%3eLas Vegas%3c/text%3e%3c/svg%3e</v>
      </c>
      <c r="F910" s="14" t="str">
        <f t="shared" si="3"/>
        <v>https://svgtext.heliohost.us/cgi-bin/gen.perl?text=Las%20Vegas</v>
      </c>
      <c r="G910" s="11" t="str">
        <f t="shared" si="4"/>
        <v>data:image/svg+xml,%3csvg xmlns='http://www.w3.org/2000/svg' viewBox='0 0 24 216'%3e%3ctext fill='%23fff' style='font: 900 16px sans-serif' text-anchor='end' transform='matrix(0 -1 1 0 18 5)'%3eLas Vegas%3c/text%3e%3c/svg%3e</v>
      </c>
      <c r="H910" s="8" t="s">
        <v>29</v>
      </c>
      <c r="I910" s="8">
        <f t="shared" ref="I910:J910" si="911">len(B910)</f>
        <v>9</v>
      </c>
      <c r="J910" s="8">
        <f t="shared" si="911"/>
        <v>81</v>
      </c>
      <c r="K910" s="8" t="s">
        <v>4422</v>
      </c>
    </row>
    <row r="911">
      <c r="A911" s="7" t="b">
        <v>1</v>
      </c>
      <c r="B911" s="8" t="s">
        <v>4423</v>
      </c>
      <c r="C911" s="7" t="s">
        <v>4424</v>
      </c>
      <c r="D911" s="8" t="str">
        <f>Q&amp;$K911&amp;Q&amp;":{"&amp;Q&amp;$B$2&amp;Q&amp;":"&amp;Q&amp;$B911&amp;Q&amp;","&amp;Q&amp;$C$2&amp;Q&amp;":"&amp;Q&amp;$C911&amp;Q&amp;","&amp;Q&amp;"sets"&amp;Q&amp;":"&amp;Q&amp;substitute(SUBSTITUTE($H911,"[",""),"]","")&amp;Q&amp;"},"</f>
        <v>"mpre":{"label":"Lassie","extra":"A famous collie, Lassie starred in her own TV show. “What’s that you say Lassie? Little Timmy’s fallen down the well?”","sets":"Expansion Set 3, Party Expansion 1"},</v>
      </c>
      <c r="E911" s="9" t="str">
        <f t="shared" si="2"/>
        <v>data:image/svg+xml,%3csvg xmlns='http://www.w3.org/2000/svg' viewBox='0 0 24 216'%3e%3ctext fill='%23fff' style='font: 900 16px sans-serif' text-anchor='end' transform='matrix(0 -1 1 0 18 5)'%3eLassie%3c/text%3e%3c/svg%3e</v>
      </c>
      <c r="F911" s="14" t="str">
        <f t="shared" si="3"/>
        <v>https://svgtext.heliohost.us/cgi-bin/gen.perl?text=Lassie</v>
      </c>
      <c r="G911" s="11" t="str">
        <f t="shared" si="4"/>
        <v>data:image/svg+xml,%3csvg xmlns='http://www.w3.org/2000/svg' viewBox='0 0 24 216'%3e%3ctext fill='%23fff' style='font: 900 16px sans-serif' text-anchor='end' transform='matrix(0 -1 1 0 18 5)'%3eLassie%3c/text%3e%3c/svg%3e</v>
      </c>
      <c r="H911" s="8" t="s">
        <v>39</v>
      </c>
      <c r="I911" s="8">
        <f t="shared" ref="I911:J911" si="912">len(B911)</f>
        <v>6</v>
      </c>
      <c r="J911" s="8">
        <f t="shared" si="912"/>
        <v>118</v>
      </c>
      <c r="K911" s="8" t="s">
        <v>4425</v>
      </c>
    </row>
    <row r="912">
      <c r="A912" s="7" t="b">
        <v>0</v>
      </c>
      <c r="B912" s="8" t="s">
        <v>4426</v>
      </c>
      <c r="C912" s="7" t="s">
        <v>4427</v>
      </c>
      <c r="D912" s="8" t="str">
        <f>Q&amp;$K912&amp;Q&amp;":{"&amp;Q&amp;$B$2&amp;Q&amp;":"&amp;Q&amp;$B912&amp;Q&amp;","&amp;Q&amp;$C$2&amp;Q&amp;":"&amp;Q&amp;$C912&amp;Q&amp;","&amp;Q&amp;"sets"&amp;Q&amp;":"&amp;Q&amp;substitute(SUBSTITUTE($H912,"[",""),"]","")&amp;Q&amp;"},"</f>
        <v>"xumk":{"label":"Last Night","extra":"About last night…","sets":"Expansion Set 3, Party Expansion 1"},</v>
      </c>
      <c r="E912" s="9" t="str">
        <f t="shared" si="2"/>
        <v>data:image/svg+xml,%3csvg xmlns='http://www.w3.org/2000/svg' viewBox='0 0 24 216'%3e%3ctext fill='%23fff' style='font: 900 16px sans-serif' text-anchor='end' transform='matrix(0 -1 1 0 18 5)'%3eLast Night%3c/text%3e%3c/svg%3e</v>
      </c>
      <c r="F912" s="14" t="str">
        <f t="shared" si="3"/>
        <v>https://svgtext.heliohost.us/cgi-bin/gen.perl?text=Last%20Night</v>
      </c>
      <c r="G912" s="11" t="str">
        <f t="shared" si="4"/>
        <v>data:image/svg+xml,%3csvg xmlns='http://www.w3.org/2000/svg' viewBox='0 0 24 216'%3e%3ctext fill='%23fff' style='font: 900 16px sans-serif' text-anchor='end' transform='matrix(0 -1 1 0 18 5)'%3eLast Night%3c/text%3e%3c/svg%3e</v>
      </c>
      <c r="H912" s="8" t="s">
        <v>39</v>
      </c>
      <c r="I912" s="8">
        <f t="shared" ref="I912:J912" si="913">len(B912)</f>
        <v>10</v>
      </c>
      <c r="J912" s="8">
        <f t="shared" si="913"/>
        <v>17</v>
      </c>
      <c r="K912" s="8" t="s">
        <v>4428</v>
      </c>
    </row>
    <row r="913">
      <c r="A913" s="7" t="b">
        <v>1</v>
      </c>
      <c r="B913" s="8" t="s">
        <v>4429</v>
      </c>
      <c r="C913" s="7" t="s">
        <v>4430</v>
      </c>
      <c r="D913" s="8" t="str">
        <f>Q&amp;$K913&amp;Q&amp;":{"&amp;Q&amp;$B$2&amp;Q&amp;":"&amp;Q&amp;$B913&amp;Q&amp;","&amp;Q&amp;$C$2&amp;Q&amp;":"&amp;Q&amp;$C913&amp;Q&amp;","&amp;Q&amp;"sets"&amp;Q&amp;":"&amp;Q&amp;substitute(SUBSTITUTE($H913,"[",""),"]","")&amp;Q&amp;"},"</f>
        <v>"uuec":{"label":"Last Will &amp; Testament","extra":"It may be your only chance to get the last word on anything.","sets":"Expansion Set 4, Party Expansion 1"},</v>
      </c>
      <c r="E913" s="9" t="str">
        <f t="shared" si="2"/>
        <v>data:image/svg+xml,%3csvg xmlns='http://www.w3.org/2000/svg' viewBox='0 0 24 216'%3e%3ctext fill='%23fff' style='font: 900 16px sans-serif' text-anchor='end' transform='matrix(0 -1 1 0 18 5)'%3eLast Will %26amp%3B Testament%3c/text%3e%3c/svg%3e</v>
      </c>
      <c r="F913" s="14" t="str">
        <f t="shared" si="3"/>
        <v>https://svgtext.heliohost.us/cgi-bin/gen.perl?text=Last%20Will%20%26%20Testament</v>
      </c>
      <c r="G913" s="11" t="str">
        <f t="shared" si="4"/>
        <v>data:image/svg+xml,%3csvg xmlns='http://www.w3.org/2000/svg' viewBox='0 0 24 216'%3e%3ctext fill='%23fff' style='font: 900 16px sans-serif' text-anchor='end' transform='matrix(0 -1 1 0 18 5)'%3eLast Will %26amp%3B Testament%3c/text%3e%3c/svg%3e</v>
      </c>
      <c r="H913" s="8" t="s">
        <v>63</v>
      </c>
      <c r="I913" s="8">
        <f t="shared" ref="I913:J913" si="914">len(B913)</f>
        <v>21</v>
      </c>
      <c r="J913" s="8">
        <f t="shared" si="914"/>
        <v>60</v>
      </c>
      <c r="K913" s="8" t="s">
        <v>4431</v>
      </c>
    </row>
    <row r="914">
      <c r="A914" s="7" t="b">
        <v>0</v>
      </c>
      <c r="B914" s="8" t="s">
        <v>4432</v>
      </c>
      <c r="C914" s="8" t="s">
        <v>4433</v>
      </c>
      <c r="D914" s="8" t="str">
        <f>Q&amp;$K914&amp;Q&amp;":{"&amp;Q&amp;$B$2&amp;Q&amp;":"&amp;Q&amp;$B914&amp;Q&amp;","&amp;Q&amp;$C$2&amp;Q&amp;":"&amp;Q&amp;$C914&amp;Q&amp;","&amp;Q&amp;"sets"&amp;Q&amp;":"&amp;Q&amp;substitute(SUBSTITUTE($H914,"[",""),"]","")&amp;Q&amp;"},"</f>
        <v>"uzco":{"label":"Laurel &amp; Hardy","extra":"Classic fat-skinny comedy duo of the 1920s.","sets":"Expansion Set 4, Party Expansion 1"},</v>
      </c>
      <c r="E914" s="9" t="str">
        <f t="shared" si="2"/>
        <v>data:image/svg+xml,%3csvg xmlns='http://www.w3.org/2000/svg' viewBox='0 0 24 216'%3e%3ctext fill='%23fff' style='font: 900 16px sans-serif' text-anchor='end' transform='matrix(0 -1 1 0 18 5)'%3eLaurel %26amp%3B Hardy%3c/text%3e%3c/svg%3e</v>
      </c>
      <c r="F914" s="14" t="str">
        <f t="shared" si="3"/>
        <v>https://svgtext.heliohost.us/cgi-bin/gen.perl?text=Laurel%20%26%20Hardy</v>
      </c>
      <c r="G914" s="11" t="str">
        <f t="shared" si="4"/>
        <v>data:image/svg+xml,%3csvg xmlns='http://www.w3.org/2000/svg' viewBox='0 0 24 216'%3e%3ctext fill='%23fff' style='font: 900 16px sans-serif' text-anchor='end' transform='matrix(0 -1 1 0 18 5)'%3eLaurel %26amp%3B Hardy%3c/text%3e%3c/svg%3e</v>
      </c>
      <c r="H914" s="8" t="s">
        <v>63</v>
      </c>
      <c r="I914" s="8">
        <f t="shared" ref="I914:J914" si="915">len(B914)</f>
        <v>14</v>
      </c>
      <c r="J914" s="8">
        <f t="shared" si="915"/>
        <v>43</v>
      </c>
      <c r="K914" s="8" t="s">
        <v>4434</v>
      </c>
    </row>
    <row r="915">
      <c r="A915" s="7" t="b">
        <v>0</v>
      </c>
      <c r="B915" s="8" t="s">
        <v>4435</v>
      </c>
      <c r="C915" s="7" t="s">
        <v>4436</v>
      </c>
      <c r="D915" s="8" t="str">
        <f>Q&amp;$K915&amp;Q&amp;":{"&amp;Q&amp;$B$2&amp;Q&amp;":"&amp;Q&amp;$B915&amp;Q&amp;","&amp;Q&amp;$C$2&amp;Q&amp;":"&amp;Q&amp;$C915&amp;Q&amp;","&amp;Q&amp;"sets"&amp;Q&amp;":"&amp;Q&amp;substitute(SUBSTITUTE($H915,"[",""),"]","")&amp;Q&amp;"},"</f>
        <v>"srsx":{"label":"Laverne &amp; Shirley","extra":"The 1970s sitcom phenomenon that defined Milwaukee for the world. And Milwaukee’s still trying to live it down!","sets":"Expansion Set 4, Party Expansion 1"},</v>
      </c>
      <c r="E915" s="9" t="str">
        <f t="shared" si="2"/>
        <v>data:image/svg+xml,%3csvg xmlns='http://www.w3.org/2000/svg' viewBox='0 0 24 216'%3e%3ctext fill='%23fff' style='font: 900 16px sans-serif' text-anchor='end' transform='matrix(0 -1 1 0 18 5)'%3eLaverne %26amp%3B Shirley%3c/text%3e%3c/svg%3e</v>
      </c>
      <c r="F915" s="14" t="str">
        <f t="shared" si="3"/>
        <v>https://svgtext.heliohost.us/cgi-bin/gen.perl?text=Laverne%20%26%20Shirley</v>
      </c>
      <c r="G915" s="11" t="str">
        <f t="shared" si="4"/>
        <v>data:image/svg+xml,%3csvg xmlns='http://www.w3.org/2000/svg' viewBox='0 0 24 216'%3e%3ctext fill='%23fff' style='font: 900 16px sans-serif' text-anchor='end' transform='matrix(0 -1 1 0 18 5)'%3eLaverne %26amp%3B Shirley%3c/text%3e%3c/svg%3e</v>
      </c>
      <c r="H915" s="8" t="s">
        <v>63</v>
      </c>
      <c r="I915" s="8">
        <f t="shared" ref="I915:J915" si="916">len(B915)</f>
        <v>17</v>
      </c>
      <c r="J915" s="8">
        <f t="shared" si="916"/>
        <v>111</v>
      </c>
      <c r="K915" s="8" t="s">
        <v>4437</v>
      </c>
    </row>
    <row r="916">
      <c r="A916" s="7" t="b">
        <v>1</v>
      </c>
      <c r="B916" s="8" t="s">
        <v>4438</v>
      </c>
      <c r="C916" s="8" t="s">
        <v>4439</v>
      </c>
      <c r="D916" s="8" t="str">
        <f>Q&amp;$K916&amp;Q&amp;":{"&amp;Q&amp;$B$2&amp;Q&amp;":"&amp;Q&amp;$B916&amp;Q&amp;","&amp;Q&amp;$C$2&amp;Q&amp;":"&amp;Q&amp;$C916&amp;Q&amp;","&amp;Q&amp;"sets"&amp;Q&amp;":"&amp;Q&amp;substitute(SUBSTITUTE($H916,"[",""),"]","")&amp;Q&amp;"},"</f>
        <v>"qubc":{"label":"Law &amp; Order","extra":"The television show, or the concept.","sets":"Expansion Set 4, Party Expansion 1"},</v>
      </c>
      <c r="E916" s="9" t="str">
        <f t="shared" si="2"/>
        <v>data:image/svg+xml,%3csvg xmlns='http://www.w3.org/2000/svg' viewBox='0 0 24 216'%3e%3ctext fill='%23fff' style='font: 900 16px sans-serif' text-anchor='end' transform='matrix(0 -1 1 0 18 5)'%3eLaw %26amp%3B Order%3c/text%3e%3c/svg%3e</v>
      </c>
      <c r="F916" s="14" t="str">
        <f t="shared" si="3"/>
        <v>https://svgtext.heliohost.us/cgi-bin/gen.perl?text=Law%20%26%20Order</v>
      </c>
      <c r="G916" s="11" t="str">
        <f t="shared" si="4"/>
        <v>data:image/svg+xml,%3csvg xmlns='http://www.w3.org/2000/svg' viewBox='0 0 24 216'%3e%3ctext fill='%23fff' style='font: 900 16px sans-serif' text-anchor='end' transform='matrix(0 -1 1 0 18 5)'%3eLaw %26amp%3B Order%3c/text%3e%3c/svg%3e</v>
      </c>
      <c r="H916" s="8" t="s">
        <v>63</v>
      </c>
      <c r="I916" s="8">
        <f t="shared" ref="I916:J916" si="917">len(B916)</f>
        <v>11</v>
      </c>
      <c r="J916" s="8">
        <f t="shared" si="917"/>
        <v>36</v>
      </c>
      <c r="K916" s="8" t="s">
        <v>4440</v>
      </c>
    </row>
    <row r="917">
      <c r="A917" s="7" t="b">
        <v>0</v>
      </c>
      <c r="B917" s="8" t="s">
        <v>4441</v>
      </c>
      <c r="C917" s="7" t="s">
        <v>4442</v>
      </c>
      <c r="D917" s="8" t="str">
        <f>Q&amp;$K917&amp;Q&amp;":{"&amp;Q&amp;$B$2&amp;Q&amp;":"&amp;Q&amp;$B917&amp;Q&amp;","&amp;Q&amp;$C$2&amp;Q&amp;":"&amp;Q&amp;$C917&amp;Q&amp;","&amp;Q&amp;"sets"&amp;Q&amp;":"&amp;Q&amp;substitute(SUBSTITUTE($H917,"[",""),"]","")&amp;Q&amp;"},"</f>
        <v>"qsrc":{"label":"Lawyers","extra":"We’d throw some joke in here, but we're afraid of getting sued.","sets":"Basic Set, Party Set"},</v>
      </c>
      <c r="E917" s="9" t="str">
        <f t="shared" si="2"/>
        <v>data:image/svg+xml,%3csvg xmlns='http://www.w3.org/2000/svg' viewBox='0 0 24 216'%3e%3ctext fill='%23fff' style='font: 900 16px sans-serif' text-anchor='end' transform='matrix(0 -1 1 0 18 5)'%3eLawyers%3c/text%3e%3c/svg%3e</v>
      </c>
      <c r="F917" s="14" t="str">
        <f t="shared" si="3"/>
        <v>https://svgtext.heliohost.us/cgi-bin/gen.perl?text=Lawyers</v>
      </c>
      <c r="G917" s="11" t="str">
        <f t="shared" si="4"/>
        <v>data:image/svg+xml,%3csvg xmlns='http://www.w3.org/2000/svg' viewBox='0 0 24 216'%3e%3ctext fill='%23fff' style='font: 900 16px sans-serif' text-anchor='end' transform='matrix(0 -1 1 0 18 5)'%3eLawyers%3c/text%3e%3c/svg%3e</v>
      </c>
      <c r="H917" s="8" t="s">
        <v>29</v>
      </c>
      <c r="I917" s="8">
        <f t="shared" ref="I917:J917" si="918">len(B917)</f>
        <v>7</v>
      </c>
      <c r="J917" s="8">
        <f t="shared" si="918"/>
        <v>63</v>
      </c>
      <c r="K917" s="8" t="s">
        <v>4443</v>
      </c>
    </row>
    <row r="918">
      <c r="A918" s="7" t="b">
        <v>0</v>
      </c>
      <c r="B918" s="8" t="s">
        <v>4444</v>
      </c>
      <c r="C918" s="8" t="s">
        <v>4445</v>
      </c>
      <c r="D918" s="8" t="str">
        <f>Q&amp;$K918&amp;Q&amp;":{"&amp;Q&amp;$B$2&amp;Q&amp;":"&amp;Q&amp;$B918&amp;Q&amp;","&amp;Q&amp;$C$2&amp;Q&amp;":"&amp;Q&amp;$C918&amp;Q&amp;","&amp;Q&amp;"sets"&amp;Q&amp;":"&amp;Q&amp;substitute(SUBSTITUTE($H918,"[",""),"]","")&amp;Q&amp;"},"</f>
        <v>"sjrq":{"label":"Leaf Blowers","extra":"Toro, Toro, Toro!","sets":"Expansion Set 2, Party Set"},</v>
      </c>
      <c r="E918" s="9" t="str">
        <f t="shared" si="2"/>
        <v>data:image/svg+xml,%3csvg xmlns='http://www.w3.org/2000/svg' viewBox='0 0 24 216'%3e%3ctext fill='%23fff' style='font: 900 16px sans-serif' text-anchor='end' transform='matrix(0 -1 1 0 18 5)'%3eLeaf Blowers%3c/text%3e%3c/svg%3e</v>
      </c>
      <c r="F918" s="14" t="str">
        <f t="shared" si="3"/>
        <v>https://svgtext.heliohost.us/cgi-bin/gen.perl?text=Leaf%20Blowers</v>
      </c>
      <c r="G918" s="11" t="str">
        <f t="shared" si="4"/>
        <v>data:image/svg+xml,%3csvg xmlns='http://www.w3.org/2000/svg' viewBox='0 0 24 216'%3e%3ctext fill='%23fff' style='font: 900 16px sans-serif' text-anchor='end' transform='matrix(0 -1 1 0 18 5)'%3eLeaf Blowers%3c/text%3e%3c/svg%3e</v>
      </c>
      <c r="H918" s="8" t="s">
        <v>17</v>
      </c>
      <c r="I918" s="8">
        <f t="shared" ref="I918:J918" si="919">len(B918)</f>
        <v>12</v>
      </c>
      <c r="J918" s="8">
        <f t="shared" si="919"/>
        <v>17</v>
      </c>
      <c r="K918" s="8" t="s">
        <v>4446</v>
      </c>
    </row>
    <row r="919">
      <c r="A919" s="7" t="b">
        <v>1</v>
      </c>
      <c r="B919" s="8" t="s">
        <v>4447</v>
      </c>
      <c r="C919" s="7" t="s">
        <v>4448</v>
      </c>
      <c r="D919" s="8" t="str">
        <f>Q&amp;$K919&amp;Q&amp;":{"&amp;Q&amp;$B$2&amp;Q&amp;":"&amp;Q&amp;$B919&amp;Q&amp;","&amp;Q&amp;$C$2&amp;Q&amp;":"&amp;Q&amp;$C919&amp;Q&amp;","&amp;Q&amp;"sets"&amp;Q&amp;":"&amp;Q&amp;substitute(SUBSTITUTE($H919,"[",""),"]","")&amp;Q&amp;"},"</f>
        <v>"jcob":{"label":"Learning Spanish","extra":"Who knows, maybe you’ll need it someday.","sets":"Junior 9+ (2nd)"},</v>
      </c>
      <c r="E919" s="9" t="str">
        <f t="shared" si="2"/>
        <v>data:image/svg+xml,%3csvg xmlns='http://www.w3.org/2000/svg' viewBox='0 0 24 216'%3e%3ctext fill='%23fff' style='font: 900 16px sans-serif' text-anchor='end' transform='matrix(0 -1 1 0 18 5)'%3eLearning Spanish%3c/text%3e%3c/svg%3e</v>
      </c>
      <c r="F919" s="14" t="str">
        <f t="shared" si="3"/>
        <v>https://svgtext.heliohost.us/cgi-bin/gen.perl?text=Learning%20Spanish</v>
      </c>
      <c r="G919" s="11" t="str">
        <f t="shared" si="4"/>
        <v>data:image/svg+xml,%3csvg xmlns='http://www.w3.org/2000/svg' viewBox='0 0 24 216'%3e%3ctext fill='%23fff' style='font: 900 16px sans-serif' text-anchor='end' transform='matrix(0 -1 1 0 18 5)'%3eLearning Spanish%3c/text%3e%3c/svg%3e</v>
      </c>
      <c r="H919" s="8" t="s">
        <v>32</v>
      </c>
      <c r="I919" s="8">
        <f t="shared" ref="I919:J919" si="920">len(B919)</f>
        <v>16</v>
      </c>
      <c r="J919" s="8">
        <f t="shared" si="920"/>
        <v>40</v>
      </c>
      <c r="K919" s="8" t="s">
        <v>4449</v>
      </c>
    </row>
    <row r="920">
      <c r="A920" s="7" t="b">
        <v>1</v>
      </c>
      <c r="B920" s="8" t="s">
        <v>4450</v>
      </c>
      <c r="C920" s="7" t="s">
        <v>4451</v>
      </c>
      <c r="D920" s="8" t="str">
        <f>Q&amp;$K920&amp;Q&amp;":{"&amp;Q&amp;$B$2&amp;Q&amp;":"&amp;Q&amp;$B920&amp;Q&amp;","&amp;Q&amp;$C$2&amp;Q&amp;":"&amp;Q&amp;$C920&amp;Q&amp;","&amp;Q&amp;"sets"&amp;Q&amp;":"&amp;Q&amp;substitute(SUBSTITUTE($H920,"[",""),"]","")&amp;Q&amp;"},"</f>
        <v>"ehur":{"label":"Learning To Ski","extra":"Put on the ski boots, then the skis, then get up to the top of the hill…","sets":"Junior 9+ (2nd)"},</v>
      </c>
      <c r="E920" s="9" t="str">
        <f t="shared" si="2"/>
        <v>data:image/svg+xml,%3csvg xmlns='http://www.w3.org/2000/svg' viewBox='0 0 24 216'%3e%3ctext fill='%23fff' style='font: 900 16px sans-serif' text-anchor='end' transform='matrix(0 -1 1 0 18 5)'%3eLearning To Ski%3c/text%3e%3c/svg%3e</v>
      </c>
      <c r="F920" s="14" t="str">
        <f t="shared" si="3"/>
        <v>https://svgtext.heliohost.us/cgi-bin/gen.perl?text=Learning%20To%20Ski</v>
      </c>
      <c r="G920" s="11" t="str">
        <f t="shared" si="4"/>
        <v>data:image/svg+xml,%3csvg xmlns='http://www.w3.org/2000/svg' viewBox='0 0 24 216'%3e%3ctext fill='%23fff' style='font: 900 16px sans-serif' text-anchor='end' transform='matrix(0 -1 1 0 18 5)'%3eLearning To Ski%3c/text%3e%3c/svg%3e</v>
      </c>
      <c r="H920" s="8" t="s">
        <v>32</v>
      </c>
      <c r="I920" s="8">
        <f t="shared" ref="I920:J920" si="921">len(B920)</f>
        <v>15</v>
      </c>
      <c r="J920" s="8">
        <f t="shared" si="921"/>
        <v>72</v>
      </c>
      <c r="K920" s="8" t="s">
        <v>4452</v>
      </c>
    </row>
    <row r="921">
      <c r="A921" s="7" t="b">
        <v>0</v>
      </c>
      <c r="B921" s="8" t="s">
        <v>4453</v>
      </c>
      <c r="C921" s="8" t="s">
        <v>4454</v>
      </c>
      <c r="D921" s="8" t="str">
        <f>Q&amp;$K921&amp;Q&amp;":{"&amp;Q&amp;$B$2&amp;Q&amp;":"&amp;Q&amp;$B921&amp;Q&amp;","&amp;Q&amp;$C$2&amp;Q&amp;":"&amp;Q&amp;$C921&amp;Q&amp;","&amp;Q&amp;"sets"&amp;Q&amp;":"&amp;Q&amp;substitute(SUBSTITUTE($H921,"[",""),"]","")&amp;Q&amp;"},"</f>
        <v>"dxef":{"label":"Leather","extra":"Animal hide. Leather you like it or not.","sets":"Basic Set, Party Set"},</v>
      </c>
      <c r="E921" s="9" t="str">
        <f t="shared" si="2"/>
        <v>data:image/svg+xml,%3csvg xmlns='http://www.w3.org/2000/svg' viewBox='0 0 24 216'%3e%3ctext fill='%23fff' style='font: 900 16px sans-serif' text-anchor='end' transform='matrix(0 -1 1 0 18 5)'%3eLeather%3c/text%3e%3c/svg%3e</v>
      </c>
      <c r="F921" s="14" t="str">
        <f t="shared" si="3"/>
        <v>https://svgtext.heliohost.us/cgi-bin/gen.perl?text=Leather</v>
      </c>
      <c r="G921" s="11" t="str">
        <f t="shared" si="4"/>
        <v>data:image/svg+xml,%3csvg xmlns='http://www.w3.org/2000/svg' viewBox='0 0 24 216'%3e%3ctext fill='%23fff' style='font: 900 16px sans-serif' text-anchor='end' transform='matrix(0 -1 1 0 18 5)'%3eLeather%3c/text%3e%3c/svg%3e</v>
      </c>
      <c r="H921" s="8" t="s">
        <v>29</v>
      </c>
      <c r="I921" s="8">
        <f t="shared" ref="I921:J921" si="922">len(B921)</f>
        <v>7</v>
      </c>
      <c r="J921" s="8">
        <f t="shared" si="922"/>
        <v>40</v>
      </c>
      <c r="K921" s="8" t="s">
        <v>4455</v>
      </c>
    </row>
    <row r="922">
      <c r="A922" s="7" t="b">
        <v>0</v>
      </c>
      <c r="B922" s="8" t="s">
        <v>4456</v>
      </c>
      <c r="C922" s="7" t="s">
        <v>4457</v>
      </c>
      <c r="D922" s="8" t="str">
        <f>Q&amp;$K922&amp;Q&amp;":{"&amp;Q&amp;$B$2&amp;Q&amp;":"&amp;Q&amp;$B922&amp;Q&amp;","&amp;Q&amp;$C$2&amp;Q&amp;":"&amp;Q&amp;$C922&amp;Q&amp;","&amp;Q&amp;"sets"&amp;Q&amp;":"&amp;Q&amp;substitute(SUBSTITUTE($H922,"[",""),"]","")&amp;Q&amp;"},"</f>
        <v>"enla":{"label":"Leather &amp; Lace","extra":"It’s a texture thing.","sets":"Expansion Set 4, Party Expansion 1"},</v>
      </c>
      <c r="E922" s="9" t="str">
        <f t="shared" si="2"/>
        <v>data:image/svg+xml,%3csvg xmlns='http://www.w3.org/2000/svg' viewBox='0 0 24 216'%3e%3ctext fill='%23fff' style='font: 900 16px sans-serif' text-anchor='end' transform='matrix(0 -1 1 0 18 5)'%3eLeather %26amp%3B Lace%3c/text%3e%3c/svg%3e</v>
      </c>
      <c r="F922" s="14" t="str">
        <f t="shared" si="3"/>
        <v>https://svgtext.heliohost.us/cgi-bin/gen.perl?text=Leather%20%26%20Lace</v>
      </c>
      <c r="G922" s="11" t="str">
        <f t="shared" si="4"/>
        <v>data:image/svg+xml,%3csvg xmlns='http://www.w3.org/2000/svg' viewBox='0 0 24 216'%3e%3ctext fill='%23fff' style='font: 900 16px sans-serif' text-anchor='end' transform='matrix(0 -1 1 0 18 5)'%3eLeather %26amp%3B Lace%3c/text%3e%3c/svg%3e</v>
      </c>
      <c r="H922" s="8" t="s">
        <v>63</v>
      </c>
      <c r="I922" s="8">
        <f t="shared" ref="I922:J922" si="923">len(B922)</f>
        <v>14</v>
      </c>
      <c r="J922" s="8">
        <f t="shared" si="923"/>
        <v>21</v>
      </c>
      <c r="K922" s="8" t="s">
        <v>4458</v>
      </c>
    </row>
    <row r="923">
      <c r="A923" s="7" t="b">
        <v>0</v>
      </c>
      <c r="B923" s="8" t="s">
        <v>4459</v>
      </c>
      <c r="C923" s="7" t="s">
        <v>4460</v>
      </c>
      <c r="D923" s="8" t="str">
        <f>Q&amp;$K923&amp;Q&amp;":{"&amp;Q&amp;$B$2&amp;Q&amp;":"&amp;Q&amp;$B923&amp;Q&amp;","&amp;Q&amp;$C$2&amp;Q&amp;":"&amp;Q&amp;$C923&amp;Q&amp;","&amp;Q&amp;"sets"&amp;Q&amp;":"&amp;Q&amp;substitute(SUBSTITUTE($H923,"[",""),"]","")&amp;Q&amp;"},"</f>
        <v>"teve":{"label":"Leeches","extra":"Any mention of lawyers, agents, or reporters would be FAR too easy…","sets":"Expansion Set 1, Party Set"},</v>
      </c>
      <c r="E923" s="9" t="str">
        <f t="shared" si="2"/>
        <v>data:image/svg+xml,%3csvg xmlns='http://www.w3.org/2000/svg' viewBox='0 0 24 216'%3e%3ctext fill='%23fff' style='font: 900 16px sans-serif' text-anchor='end' transform='matrix(0 -1 1 0 18 5)'%3eLeeches%3c/text%3e%3c/svg%3e</v>
      </c>
      <c r="F923" s="14" t="str">
        <f t="shared" si="3"/>
        <v>https://svgtext.heliohost.us/cgi-bin/gen.perl?text=Leeches</v>
      </c>
      <c r="G923" s="11" t="str">
        <f t="shared" si="4"/>
        <v>data:image/svg+xml,%3csvg xmlns='http://www.w3.org/2000/svg' viewBox='0 0 24 216'%3e%3ctext fill='%23fff' style='font: 900 16px sans-serif' text-anchor='end' transform='matrix(0 -1 1 0 18 5)'%3eLeeches%3c/text%3e%3c/svg%3e</v>
      </c>
      <c r="H923" s="8" t="s">
        <v>25</v>
      </c>
      <c r="I923" s="8">
        <f t="shared" ref="I923:J923" si="924">len(B923)</f>
        <v>7</v>
      </c>
      <c r="J923" s="8">
        <f t="shared" si="924"/>
        <v>67</v>
      </c>
      <c r="K923" s="8" t="s">
        <v>4461</v>
      </c>
    </row>
    <row r="924">
      <c r="A924" s="7" t="b">
        <v>1</v>
      </c>
      <c r="B924" s="8" t="s">
        <v>4462</v>
      </c>
      <c r="C924" s="7" t="s">
        <v>4463</v>
      </c>
      <c r="D924" s="8" t="str">
        <f>Q&amp;$K924&amp;Q&amp;":{"&amp;Q&amp;$B$2&amp;Q&amp;":"&amp;Q&amp;$B924&amp;Q&amp;","&amp;Q&amp;$C$2&amp;Q&amp;":"&amp;Q&amp;$C924&amp;Q&amp;","&amp;Q&amp;"sets"&amp;Q&amp;":"&amp;Q&amp;substitute(SUBSTITUTE($H924,"[",""),"]","")&amp;Q&amp;"},"</f>
        <v>"qmvs":{"label":"Lego Building Blocks","extra":"Get more blocks! We’re building the Golden Gate Bridge.","sets":"Junior 9+ (2nd)"},</v>
      </c>
      <c r="E924" s="9" t="str">
        <f t="shared" si="2"/>
        <v>data:image/svg+xml,%3csvg xmlns='http://www.w3.org/2000/svg' viewBox='0 0 24 216'%3e%3ctext fill='%23fff' style='font: 900 16px sans-serif' text-anchor='end' transform='matrix(0 -1 1 0 18 5)'%3eLego Building Blocks%3c/text%3e%3c/svg%3e</v>
      </c>
      <c r="F924" s="14" t="str">
        <f t="shared" si="3"/>
        <v>https://svgtext.heliohost.us/cgi-bin/gen.perl?text=Lego%20Building%20Blocks</v>
      </c>
      <c r="G924" s="11" t="str">
        <f t="shared" si="4"/>
        <v>data:image/svg+xml,%3csvg xmlns='http://www.w3.org/2000/svg' viewBox='0 0 24 216'%3e%3ctext fill='%23fff' style='font: 900 16px sans-serif' text-anchor='end' transform='matrix(0 -1 1 0 18 5)'%3eLego Building Blocks%3c/text%3e%3c/svg%3e</v>
      </c>
      <c r="H924" s="8" t="s">
        <v>32</v>
      </c>
      <c r="I924" s="8">
        <f t="shared" ref="I924:J924" si="925">len(B924)</f>
        <v>20</v>
      </c>
      <c r="J924" s="8">
        <f t="shared" si="925"/>
        <v>55</v>
      </c>
      <c r="K924" s="8" t="s">
        <v>4464</v>
      </c>
    </row>
    <row r="925">
      <c r="A925" s="7" t="b">
        <v>1</v>
      </c>
      <c r="B925" s="8" t="s">
        <v>4465</v>
      </c>
      <c r="C925" s="8" t="s">
        <v>4466</v>
      </c>
      <c r="D925" s="8" t="str">
        <f>Q&amp;$K925&amp;Q&amp;":{"&amp;Q&amp;$B$2&amp;Q&amp;":"&amp;Q&amp;$B925&amp;Q&amp;","&amp;Q&amp;$C$2&amp;Q&amp;":"&amp;Q&amp;$C925&amp;Q&amp;","&amp;Q&amp;"sets"&amp;Q&amp;":"&amp;Q&amp;substitute(SUBSTITUTE($H925,"[",""),"]","")&amp;Q&amp;"},"</f>
        <v>"buhj":{"label":"Legs","extra":"People have them, animals have them, even tables have them.","sets":"Junior 9+ (2nd)"},</v>
      </c>
      <c r="E925" s="9" t="str">
        <f t="shared" si="2"/>
        <v>data:image/svg+xml,%3csvg xmlns='http://www.w3.org/2000/svg' viewBox='0 0 24 216'%3e%3ctext fill='%23fff' style='font: 900 16px sans-serif' text-anchor='end' transform='matrix(0 -1 1 0 18 5)'%3eLegs%3c/text%3e%3c/svg%3e</v>
      </c>
      <c r="F925" s="14" t="str">
        <f t="shared" si="3"/>
        <v>https://svgtext.heliohost.us/cgi-bin/gen.perl?text=Legs</v>
      </c>
      <c r="G925" s="11" t="str">
        <f t="shared" si="4"/>
        <v>data:image/svg+xml,%3csvg xmlns='http://www.w3.org/2000/svg' viewBox='0 0 24 216'%3e%3ctext fill='%23fff' style='font: 900 16px sans-serif' text-anchor='end' transform='matrix(0 -1 1 0 18 5)'%3eLegs%3c/text%3e%3c/svg%3e</v>
      </c>
      <c r="H925" s="8" t="s">
        <v>32</v>
      </c>
      <c r="I925" s="8">
        <f t="shared" ref="I925:J925" si="926">len(B925)</f>
        <v>4</v>
      </c>
      <c r="J925" s="8">
        <f t="shared" si="926"/>
        <v>59</v>
      </c>
      <c r="K925" s="8" t="s">
        <v>4467</v>
      </c>
    </row>
    <row r="926">
      <c r="A926" s="7" t="b">
        <v>1</v>
      </c>
      <c r="B926" s="8" t="s">
        <v>4468</v>
      </c>
      <c r="C926" s="7" t="s">
        <v>4469</v>
      </c>
      <c r="D926" s="8" t="str">
        <f>Q&amp;$K926&amp;Q&amp;":{"&amp;Q&amp;$B$2&amp;Q&amp;":"&amp;Q&amp;$B926&amp;Q&amp;","&amp;Q&amp;$C$2&amp;Q&amp;":"&amp;Q&amp;$C926&amp;Q&amp;","&amp;Q&amp;"sets"&amp;Q&amp;":"&amp;Q&amp;substitute(SUBSTITUTE($H926,"[",""),"]","")&amp;Q&amp;"},"</f>
        <v>"wykx":{"label":"Lemon &amp; Lime","extra":"Pucker up.","sets":"Expansion Set 4, Party Expansion 1"},</v>
      </c>
      <c r="E926" s="9" t="str">
        <f t="shared" si="2"/>
        <v>data:image/svg+xml,%3csvg xmlns='http://www.w3.org/2000/svg' viewBox='0 0 24 216'%3e%3ctext fill='%23fff' style='font: 900 16px sans-serif' text-anchor='end' transform='matrix(0 -1 1 0 18 5)'%3eLemon %26amp%3B Lime%3c/text%3e%3c/svg%3e</v>
      </c>
      <c r="F926" s="14" t="str">
        <f t="shared" si="3"/>
        <v>https://svgtext.heliohost.us/cgi-bin/gen.perl?text=Lemon%20%26%20Lime</v>
      </c>
      <c r="G926" s="11" t="str">
        <f t="shared" si="4"/>
        <v>data:image/svg+xml,%3csvg xmlns='http://www.w3.org/2000/svg' viewBox='0 0 24 216'%3e%3ctext fill='%23fff' style='font: 900 16px sans-serif' text-anchor='end' transform='matrix(0 -1 1 0 18 5)'%3eLemon %26amp%3B Lime%3c/text%3e%3c/svg%3e</v>
      </c>
      <c r="H926" s="8" t="s">
        <v>63</v>
      </c>
      <c r="I926" s="8">
        <f t="shared" ref="I926:J926" si="927">len(B926)</f>
        <v>12</v>
      </c>
      <c r="J926" s="8">
        <f t="shared" si="927"/>
        <v>10</v>
      </c>
      <c r="K926" s="8" t="s">
        <v>4470</v>
      </c>
    </row>
    <row r="927">
      <c r="A927" s="7" t="b">
        <v>1</v>
      </c>
      <c r="B927" s="8" t="s">
        <v>4471</v>
      </c>
      <c r="C927" s="8" t="s">
        <v>4472</v>
      </c>
      <c r="D927" s="8" t="str">
        <f>Q&amp;$K927&amp;Q&amp;":{"&amp;Q&amp;$B$2&amp;Q&amp;":"&amp;Q&amp;$B927&amp;Q&amp;","&amp;Q&amp;$C$2&amp;Q&amp;":"&amp;Q&amp;$C927&amp;Q&amp;","&amp;Q&amp;"sets"&amp;Q&amp;":"&amp;Q&amp;substitute(SUBSTITUTE($H927,"[",""),"]","")&amp;Q&amp;"},"</f>
        <v>"zxbf":{"label":"Lemon Meringue Pie","extra":"Tart, sweet and smooth.","sets":"Expansion Set 3, Party Expansion 1"},</v>
      </c>
      <c r="E927" s="9" t="str">
        <f t="shared" si="2"/>
        <v>data:image/svg+xml,%3csvg xmlns='http://www.w3.org/2000/svg' viewBox='0 0 24 216'%3e%3ctext fill='%23fff' style='font: 900 16px sans-serif' text-anchor='end' transform='matrix(0 -1 1 0 18 5)'%3eLemon Meringue Pie%3c/text%3e%3c/svg%3e</v>
      </c>
      <c r="F927" s="14" t="str">
        <f t="shared" si="3"/>
        <v>https://svgtext.heliohost.us/cgi-bin/gen.perl?text=Lemon%20Meringue%20Pie</v>
      </c>
      <c r="G927" s="11" t="str">
        <f t="shared" si="4"/>
        <v>data:image/svg+xml,%3csvg xmlns='http://www.w3.org/2000/svg' viewBox='0 0 24 216'%3e%3ctext fill='%23fff' style='font: 900 16px sans-serif' text-anchor='end' transform='matrix(0 -1 1 0 18 5)'%3eLemon Meringue Pie%3c/text%3e%3c/svg%3e</v>
      </c>
      <c r="H927" s="8" t="s">
        <v>39</v>
      </c>
      <c r="I927" s="8">
        <f t="shared" ref="I927:J927" si="928">len(B927)</f>
        <v>18</v>
      </c>
      <c r="J927" s="8">
        <f t="shared" si="928"/>
        <v>23</v>
      </c>
      <c r="K927" s="8" t="s">
        <v>4473</v>
      </c>
    </row>
    <row r="928">
      <c r="A928" s="7" t="b">
        <v>1</v>
      </c>
      <c r="B928" s="8" t="s">
        <v>4474</v>
      </c>
      <c r="C928" s="8" t="s">
        <v>4475</v>
      </c>
      <c r="D928" s="8" t="str">
        <f>Q&amp;$K928&amp;Q&amp;":{"&amp;Q&amp;$B$2&amp;Q&amp;":"&amp;Q&amp;$B928&amp;Q&amp;","&amp;Q&amp;$C$2&amp;Q&amp;":"&amp;Q&amp;$C928&amp;Q&amp;","&amp;Q&amp;"sets"&amp;Q&amp;":"&amp;Q&amp;substitute(SUBSTITUTE($H928,"[",""),"]","")&amp;Q&amp;"},"</f>
        <v>"zwgj":{"label":"Lemonade","extra":"Needs more sugar!","sets":"Junior 9+ (2nd)"},</v>
      </c>
      <c r="E928" s="9" t="str">
        <f t="shared" si="2"/>
        <v>data:image/svg+xml,%3csvg xmlns='http://www.w3.org/2000/svg' viewBox='0 0 24 216'%3e%3ctext fill='%23fff' style='font: 900 16px sans-serif' text-anchor='end' transform='matrix(0 -1 1 0 18 5)'%3eLemonade%3c/text%3e%3c/svg%3e</v>
      </c>
      <c r="F928" s="14" t="str">
        <f t="shared" si="3"/>
        <v>https://svgtext.heliohost.us/cgi-bin/gen.perl?text=Lemonade</v>
      </c>
      <c r="G928" s="11" t="str">
        <f t="shared" si="4"/>
        <v>data:image/svg+xml,%3csvg xmlns='http://www.w3.org/2000/svg' viewBox='0 0 24 216'%3e%3ctext fill='%23fff' style='font: 900 16px sans-serif' text-anchor='end' transform='matrix(0 -1 1 0 18 5)'%3eLemonade%3c/text%3e%3c/svg%3e</v>
      </c>
      <c r="H928" s="8" t="s">
        <v>32</v>
      </c>
      <c r="I928" s="8">
        <f t="shared" ref="I928:J928" si="929">len(B928)</f>
        <v>8</v>
      </c>
      <c r="J928" s="8">
        <f t="shared" si="929"/>
        <v>17</v>
      </c>
      <c r="K928" s="8" t="s">
        <v>4476</v>
      </c>
    </row>
    <row r="929">
      <c r="A929" s="7" t="b">
        <v>0</v>
      </c>
      <c r="B929" s="8" t="s">
        <v>4477</v>
      </c>
      <c r="C929" s="7" t="s">
        <v>4478</v>
      </c>
      <c r="D929" s="8" t="str">
        <f>Q&amp;$K929&amp;Q&amp;":{"&amp;Q&amp;$B$2&amp;Q&amp;":"&amp;Q&amp;$B929&amp;Q&amp;","&amp;Q&amp;$C$2&amp;Q&amp;":"&amp;Q&amp;$C929&amp;Q&amp;","&amp;Q&amp;"sets"&amp;Q&amp;":"&amp;Q&amp;substitute(SUBSTITUTE($H929,"[",""),"]","")&amp;Q&amp;"},"</f>
        <v>"hlum":{"label":"Lemons","extra":"When life gives you lemons, make lemonade… or, in the case of a car, take it back. There’s a law, you know!","sets":"Expansion Set 1, Party Set"},</v>
      </c>
      <c r="E929" s="9" t="str">
        <f t="shared" si="2"/>
        <v>data:image/svg+xml,%3csvg xmlns='http://www.w3.org/2000/svg' viewBox='0 0 24 216'%3e%3ctext fill='%23fff' style='font: 900 16px sans-serif' text-anchor='end' transform='matrix(0 -1 1 0 18 5)'%3eLemons%3c/text%3e%3c/svg%3e</v>
      </c>
      <c r="F929" s="14" t="str">
        <f t="shared" si="3"/>
        <v>https://svgtext.heliohost.us/cgi-bin/gen.perl?text=Lemons</v>
      </c>
      <c r="G929" s="11" t="str">
        <f t="shared" si="4"/>
        <v>data:image/svg+xml,%3csvg xmlns='http://www.w3.org/2000/svg' viewBox='0 0 24 216'%3e%3ctext fill='%23fff' style='font: 900 16px sans-serif' text-anchor='end' transform='matrix(0 -1 1 0 18 5)'%3eLemons%3c/text%3e%3c/svg%3e</v>
      </c>
      <c r="H929" s="8" t="s">
        <v>25</v>
      </c>
      <c r="I929" s="8">
        <f t="shared" ref="I929:J929" si="930">len(B929)</f>
        <v>6</v>
      </c>
      <c r="J929" s="8">
        <f t="shared" si="930"/>
        <v>107</v>
      </c>
      <c r="K929" s="8" t="s">
        <v>4479</v>
      </c>
    </row>
    <row r="930">
      <c r="A930" s="7" t="b">
        <v>1</v>
      </c>
      <c r="B930" s="8" t="s">
        <v>4477</v>
      </c>
      <c r="C930" s="8" t="s">
        <v>4480</v>
      </c>
      <c r="D930" s="8" t="str">
        <f>Q&amp;$K930&amp;Q&amp;":{"&amp;Q&amp;$B$2&amp;Q&amp;":"&amp;Q&amp;$B930&amp;Q&amp;","&amp;Q&amp;$C$2&amp;Q&amp;":"&amp;Q&amp;$C930&amp;Q&amp;","&amp;Q&amp;"sets"&amp;Q&amp;":"&amp;Q&amp;substitute(SUBSTITUTE($H930,"[",""),"]","")&amp;Q&amp;"},"</f>
        <v>"sshm":{"label":"Lemons","extra":"Sour yellow fruit. Add sugar and water and you can make lemonade!","sets":"Junior"},</v>
      </c>
      <c r="E930" s="9" t="str">
        <f t="shared" si="2"/>
        <v>data:image/svg+xml,%3csvg xmlns='http://www.w3.org/2000/svg' viewBox='0 0 24 216'%3e%3ctext fill='%23fff' style='font: 900 16px sans-serif' text-anchor='end' transform='matrix(0 -1 1 0 18 5)'%3eLemons%3c/text%3e%3c/svg%3e</v>
      </c>
      <c r="F930" s="14" t="str">
        <f t="shared" si="3"/>
        <v>https://svgtext.heliohost.us/cgi-bin/gen.perl?text=Lemons</v>
      </c>
      <c r="G930" s="11" t="str">
        <f t="shared" si="4"/>
        <v>data:image/svg+xml,%3csvg xmlns='http://www.w3.org/2000/svg' viewBox='0 0 24 216'%3e%3ctext fill='%23fff' style='font: 900 16px sans-serif' text-anchor='end' transform='matrix(0 -1 1 0 18 5)'%3eLemons%3c/text%3e%3c/svg%3e</v>
      </c>
      <c r="H930" s="8" t="s">
        <v>84</v>
      </c>
      <c r="I930" s="8">
        <f t="shared" ref="I930:J930" si="931">len(B930)</f>
        <v>6</v>
      </c>
      <c r="J930" s="8">
        <f t="shared" si="931"/>
        <v>65</v>
      </c>
      <c r="K930" s="8" t="s">
        <v>4481</v>
      </c>
    </row>
    <row r="931">
      <c r="A931" s="7" t="b">
        <v>0</v>
      </c>
      <c r="B931" s="7" t="s">
        <v>4482</v>
      </c>
      <c r="C931" s="7" t="s">
        <v>4483</v>
      </c>
      <c r="D931" s="8" t="str">
        <f>Q&amp;$K931&amp;Q&amp;":{"&amp;Q&amp;$B$2&amp;Q&amp;":"&amp;Q&amp;$B931&amp;Q&amp;","&amp;Q&amp;$C$2&amp;Q&amp;":"&amp;Q&amp;$C931&amp;Q&amp;","&amp;Q&amp;"sets"&amp;Q&amp;":"&amp;Q&amp;substitute(SUBSTITUTE($H931,"[",""),"]","")&amp;Q&amp;"},"</f>
        <v>"ubus":{"label":"Lenin’s Tomb","extra":"We'd love to visit Lenin’s Tomb, but it's probably just another communist plot.","sets":"Expansion Set 2, Party Set"},</v>
      </c>
      <c r="E931" s="9" t="str">
        <f t="shared" si="2"/>
        <v>data:image/svg+xml,%3csvg xmlns='http://www.w3.org/2000/svg' viewBox='0 0 24 216'%3e%3ctext fill='%23fff' style='font: 900 16px sans-serif' text-anchor='end' transform='matrix(0 -1 1 0 18 5)'%3eLenin%E2%80%99s Tomb%3c/text%3e%3c/svg%3e</v>
      </c>
      <c r="F931" s="14" t="str">
        <f t="shared" si="3"/>
        <v>https://svgtext.heliohost.us/cgi-bin/gen.perl?text=Lenin%E2%80%99s%20Tomb</v>
      </c>
      <c r="G931" s="11" t="str">
        <f t="shared" si="4"/>
        <v>data:image/svg+xml,%3csvg xmlns='http://www.w3.org/2000/svg' viewBox='0 0 24 216'%3e%3ctext fill='%23fff' style='font: 900 16px sans-serif' text-anchor='end' transform='matrix(0 -1 1 0 18 5)'%3eLenin%E2%80%99s Tomb%3c/text%3e%3c/svg%3e</v>
      </c>
      <c r="H931" s="8" t="s">
        <v>17</v>
      </c>
      <c r="I931" s="8">
        <f t="shared" ref="I931:J931" si="932">len(B931)</f>
        <v>12</v>
      </c>
      <c r="J931" s="8">
        <f t="shared" si="932"/>
        <v>79</v>
      </c>
      <c r="K931" s="8" t="s">
        <v>4484</v>
      </c>
    </row>
    <row r="932">
      <c r="A932" s="7" t="b">
        <v>0</v>
      </c>
      <c r="B932" s="8" t="s">
        <v>4485</v>
      </c>
      <c r="C932" s="8" t="s">
        <v>4486</v>
      </c>
      <c r="D932" s="8" t="str">
        <f>Q&amp;$K932&amp;Q&amp;":{"&amp;Q&amp;$B$2&amp;Q&amp;":"&amp;Q&amp;$B932&amp;Q&amp;","&amp;Q&amp;$C$2&amp;Q&amp;":"&amp;Q&amp;$C932&amp;Q&amp;","&amp;Q&amp;"sets"&amp;Q&amp;":"&amp;Q&amp;substitute(SUBSTITUTE($H932,"[",""),"]","")&amp;Q&amp;"},"</f>
        <v>"a{it":{"label":"Leonardo Da Vinci","extra":"1452-1519, Florentine artist, sculptor, architect, engineer, scientist, and all-around smartypants.","sets":"Basic Set, Party Set"},</v>
      </c>
      <c r="E932" s="9" t="str">
        <f t="shared" si="2"/>
        <v>data:image/svg+xml,%3csvg xmlns='http://www.w3.org/2000/svg' viewBox='0 0 24 216'%3e%3ctext fill='%23fff' style='font: 900 16px sans-serif' text-anchor='end' transform='matrix(0 -1 1 0 18 5)'%3eLeonardo Da Vinci%3c/text%3e%3c/svg%3e</v>
      </c>
      <c r="F932" s="14" t="str">
        <f t="shared" si="3"/>
        <v>https://svgtext.heliohost.us/cgi-bin/gen.perl?text=Leonardo%20Da%20Vinci</v>
      </c>
      <c r="G932" s="11" t="str">
        <f t="shared" si="4"/>
        <v>data:image/svg+xml,%3csvg xmlns='http://www.w3.org/2000/svg' viewBox='0 0 24 216'%3e%3ctext fill='%23fff' style='font: 900 16px sans-serif' text-anchor='end' transform='matrix(0 -1 1 0 18 5)'%3eLeonardo Da Vinci%3c/text%3e%3c/svg%3e</v>
      </c>
      <c r="H932" s="8" t="s">
        <v>29</v>
      </c>
      <c r="I932" s="8">
        <f t="shared" ref="I932:J932" si="933">len(B932)</f>
        <v>17</v>
      </c>
      <c r="J932" s="8">
        <f t="shared" si="933"/>
        <v>99</v>
      </c>
      <c r="K932" s="8" t="s">
        <v>4487</v>
      </c>
    </row>
    <row r="933">
      <c r="A933" s="7" t="b">
        <v>1</v>
      </c>
      <c r="B933" s="8" t="s">
        <v>4488</v>
      </c>
      <c r="C933" s="7" t="s">
        <v>4489</v>
      </c>
      <c r="D933" s="8" t="str">
        <f>Q&amp;$K933&amp;Q&amp;":{"&amp;Q&amp;$B$2&amp;Q&amp;":"&amp;Q&amp;$B933&amp;Q&amp;","&amp;Q&amp;$C$2&amp;Q&amp;":"&amp;Q&amp;$C933&amp;Q&amp;","&amp;Q&amp;"sets"&amp;Q&amp;":"&amp;Q&amp;substitute(SUBSTITUTE($H933,"[",""),"]","")&amp;Q&amp;"},"</f>
        <v>"xljs":{"label":"Lethal Injection","extra":"It’s a killer.","sets":"Expansion Set 3, Party Expansion 1"},</v>
      </c>
      <c r="E933" s="9" t="str">
        <f t="shared" si="2"/>
        <v>data:image/svg+xml,%3csvg xmlns='http://www.w3.org/2000/svg' viewBox='0 0 24 216'%3e%3ctext fill='%23fff' style='font: 900 16px sans-serif' text-anchor='end' transform='matrix(0 -1 1 0 18 5)'%3eLethal Injection%3c/text%3e%3c/svg%3e</v>
      </c>
      <c r="F933" s="14" t="str">
        <f t="shared" si="3"/>
        <v>https://svgtext.heliohost.us/cgi-bin/gen.perl?text=Lethal%20Injection</v>
      </c>
      <c r="G933" s="11" t="str">
        <f t="shared" si="4"/>
        <v>data:image/svg+xml,%3csvg xmlns='http://www.w3.org/2000/svg' viewBox='0 0 24 216'%3e%3ctext fill='%23fff' style='font: 900 16px sans-serif' text-anchor='end' transform='matrix(0 -1 1 0 18 5)'%3eLethal Injection%3c/text%3e%3c/svg%3e</v>
      </c>
      <c r="H933" s="8" t="s">
        <v>39</v>
      </c>
      <c r="I933" s="8">
        <f t="shared" ref="I933:J933" si="934">len(B933)</f>
        <v>16</v>
      </c>
      <c r="J933" s="8">
        <f t="shared" si="934"/>
        <v>14</v>
      </c>
      <c r="K933" s="8" t="s">
        <v>4490</v>
      </c>
    </row>
    <row r="934">
      <c r="A934" s="7" t="b">
        <v>1</v>
      </c>
      <c r="B934" s="8" t="s">
        <v>4491</v>
      </c>
      <c r="C934" s="7" t="s">
        <v>4492</v>
      </c>
      <c r="D934" s="8" t="str">
        <f>Q&amp;$K934&amp;Q&amp;":{"&amp;Q&amp;$B$2&amp;Q&amp;":"&amp;Q&amp;$B934&amp;Q&amp;","&amp;Q&amp;$C$2&amp;Q&amp;":"&amp;Q&amp;$C934&amp;Q&amp;","&amp;Q&amp;"sets"&amp;Q&amp;":"&amp;Q&amp;substitute(SUBSTITUTE($H934,"[",""),"]","")&amp;Q&amp;"},"</f>
        <v>"fgua":{"label":"Lewis &amp; Clark","extra":"The early 1800s expedition covered over 8000 miles and confirmed that the Louisiana Purchase was a very good deal.","sets":"Expansion Set 4, Party Expansion 1"},</v>
      </c>
      <c r="E934" s="9" t="str">
        <f t="shared" si="2"/>
        <v>data:image/svg+xml,%3csvg xmlns='http://www.w3.org/2000/svg' viewBox='0 0 24 216'%3e%3ctext fill='%23fff' style='font: 900 16px sans-serif' text-anchor='end' transform='matrix(0 -1 1 0 18 5)'%3eLewis %26amp%3B Clark%3c/text%3e%3c/svg%3e</v>
      </c>
      <c r="F934" s="14" t="str">
        <f t="shared" si="3"/>
        <v>https://svgtext.heliohost.us/cgi-bin/gen.perl?text=Lewis%20%26%20Clark</v>
      </c>
      <c r="G934" s="11" t="str">
        <f t="shared" si="4"/>
        <v>data:image/svg+xml,%3csvg xmlns='http://www.w3.org/2000/svg' viewBox='0 0 24 216'%3e%3ctext fill='%23fff' style='font: 900 16px sans-serif' text-anchor='end' transform='matrix(0 -1 1 0 18 5)'%3eLewis %26amp%3B Clark%3c/text%3e%3c/svg%3e</v>
      </c>
      <c r="H934" s="8" t="s">
        <v>63</v>
      </c>
      <c r="I934" s="8">
        <f t="shared" ref="I934:J934" si="935">len(B934)</f>
        <v>13</v>
      </c>
      <c r="J934" s="8">
        <f t="shared" si="935"/>
        <v>114</v>
      </c>
      <c r="K934" s="8" t="s">
        <v>4493</v>
      </c>
    </row>
    <row r="935">
      <c r="A935" s="7" t="b">
        <v>1</v>
      </c>
      <c r="B935" s="8" t="s">
        <v>4494</v>
      </c>
      <c r="C935" s="8" t="s">
        <v>4495</v>
      </c>
      <c r="D935" s="8" t="str">
        <f>Q&amp;$K935&amp;Q&amp;":{"&amp;Q&amp;$B$2&amp;Q&amp;":"&amp;Q&amp;$B935&amp;Q&amp;","&amp;Q&amp;$C$2&amp;Q&amp;":"&amp;Q&amp;$C935&amp;Q&amp;","&amp;Q&amp;"sets"&amp;Q&amp;":"&amp;Q&amp;substitute(SUBSTITUTE($H935,"[",""),"]","")&amp;Q&amp;"},"</f>
        <v>"wnkj":{"label":"Liberty &amp; Justice","extra":"For all.","sets":"Expansion Set 4, Party Expansion 1"},</v>
      </c>
      <c r="E935" s="9" t="str">
        <f t="shared" si="2"/>
        <v>data:image/svg+xml,%3csvg xmlns='http://www.w3.org/2000/svg' viewBox='0 0 24 216'%3e%3ctext fill='%23fff' style='font: 900 16px sans-serif' text-anchor='end' transform='matrix(0 -1 1 0 18 5)'%3eLiberty %26amp%3B Justice%3c/text%3e%3c/svg%3e</v>
      </c>
      <c r="F935" s="14" t="str">
        <f t="shared" si="3"/>
        <v>https://svgtext.heliohost.us/cgi-bin/gen.perl?text=Liberty%20%26%20Justice</v>
      </c>
      <c r="G935" s="11" t="str">
        <f t="shared" si="4"/>
        <v>data:image/svg+xml,%3csvg xmlns='http://www.w3.org/2000/svg' viewBox='0 0 24 216'%3e%3ctext fill='%23fff' style='font: 900 16px sans-serif' text-anchor='end' transform='matrix(0 -1 1 0 18 5)'%3eLiberty %26amp%3B Justice%3c/text%3e%3c/svg%3e</v>
      </c>
      <c r="H935" s="8" t="s">
        <v>63</v>
      </c>
      <c r="I935" s="8">
        <f t="shared" ref="I935:J935" si="936">len(B935)</f>
        <v>17</v>
      </c>
      <c r="J935" s="8">
        <f t="shared" si="936"/>
        <v>8</v>
      </c>
      <c r="K935" s="8" t="s">
        <v>4496</v>
      </c>
    </row>
    <row r="936">
      <c r="A936" s="7" t="b">
        <v>1</v>
      </c>
      <c r="B936" s="8" t="s">
        <v>4497</v>
      </c>
      <c r="C936" s="7" t="s">
        <v>4498</v>
      </c>
      <c r="D936" s="8" t="str">
        <f>Q&amp;$K936&amp;Q&amp;":{"&amp;Q&amp;$B$2&amp;Q&amp;":"&amp;Q&amp;$B936&amp;Q&amp;","&amp;Q&amp;$C$2&amp;Q&amp;":"&amp;Q&amp;$C936&amp;Q&amp;","&amp;Q&amp;"sets"&amp;Q&amp;":"&amp;Q&amp;substitute(SUBSTITUTE($H936,"[",""),"]","")&amp;Q&amp;"},"</f>
        <v>"glnt":{"label":"Life Jackets","extra":"It won’t work if you don’t wear it!","sets":"Junior 9+ (2nd)"},</v>
      </c>
      <c r="E936" s="9" t="str">
        <f t="shared" si="2"/>
        <v>data:image/svg+xml,%3csvg xmlns='http://www.w3.org/2000/svg' viewBox='0 0 24 216'%3e%3ctext fill='%23fff' style='font: 900 16px sans-serif' text-anchor='end' transform='matrix(0 -1 1 0 18 5)'%3eLife Jackets%3c/text%3e%3c/svg%3e</v>
      </c>
      <c r="F936" s="14" t="str">
        <f t="shared" si="3"/>
        <v>https://svgtext.heliohost.us/cgi-bin/gen.perl?text=Life%20Jackets</v>
      </c>
      <c r="G936" s="11" t="str">
        <f t="shared" si="4"/>
        <v>data:image/svg+xml,%3csvg xmlns='http://www.w3.org/2000/svg' viewBox='0 0 24 216'%3e%3ctext fill='%23fff' style='font: 900 16px sans-serif' text-anchor='end' transform='matrix(0 -1 1 0 18 5)'%3eLife Jackets%3c/text%3e%3c/svg%3e</v>
      </c>
      <c r="H936" s="8" t="s">
        <v>32</v>
      </c>
      <c r="I936" s="8">
        <f t="shared" ref="I936:J936" si="937">len(B936)</f>
        <v>12</v>
      </c>
      <c r="J936" s="8">
        <f t="shared" si="937"/>
        <v>35</v>
      </c>
      <c r="K936" s="8" t="s">
        <v>4499</v>
      </c>
    </row>
    <row r="937">
      <c r="A937" s="7" t="b">
        <v>1</v>
      </c>
      <c r="B937" s="8" t="s">
        <v>4500</v>
      </c>
      <c r="C937" s="8" t="s">
        <v>4501</v>
      </c>
      <c r="D937" s="8" t="str">
        <f>Q&amp;$K937&amp;Q&amp;":{"&amp;Q&amp;$B$2&amp;Q&amp;":"&amp;Q&amp;$B937&amp;Q&amp;","&amp;Q&amp;$C$2&amp;Q&amp;":"&amp;Q&amp;$C937&amp;Q&amp;","&amp;Q&amp;"sets"&amp;Q&amp;":"&amp;Q&amp;substitute(SUBSTITUTE($H937,"[",""),"]","")&amp;Q&amp;"},"</f>
        <v>"qtvm":{"label":"Lifeguard","extra":"A person whose job it is to help and protect swimmers.","sets":"Junior"},</v>
      </c>
      <c r="E937" s="9" t="str">
        <f t="shared" si="2"/>
        <v>data:image/svg+xml,%3csvg xmlns='http://www.w3.org/2000/svg' viewBox='0 0 24 216'%3e%3ctext fill='%23fff' style='font: 900 16px sans-serif' text-anchor='end' transform='matrix(0 -1 1 0 18 5)'%3eLifeguard%3c/text%3e%3c/svg%3e</v>
      </c>
      <c r="F937" s="14" t="str">
        <f t="shared" si="3"/>
        <v>https://svgtext.heliohost.us/cgi-bin/gen.perl?text=Lifeguard</v>
      </c>
      <c r="G937" s="11" t="str">
        <f t="shared" si="4"/>
        <v>data:image/svg+xml,%3csvg xmlns='http://www.w3.org/2000/svg' viewBox='0 0 24 216'%3e%3ctext fill='%23fff' style='font: 900 16px sans-serif' text-anchor='end' transform='matrix(0 -1 1 0 18 5)'%3eLifeguard%3c/text%3e%3c/svg%3e</v>
      </c>
      <c r="H937" s="8" t="s">
        <v>84</v>
      </c>
      <c r="I937" s="8">
        <f t="shared" ref="I937:J937" si="938">len(B937)</f>
        <v>9</v>
      </c>
      <c r="J937" s="8">
        <f t="shared" si="938"/>
        <v>54</v>
      </c>
      <c r="K937" s="8" t="s">
        <v>4502</v>
      </c>
    </row>
    <row r="938">
      <c r="A938" s="7" t="b">
        <v>0</v>
      </c>
      <c r="B938" s="8" t="s">
        <v>4503</v>
      </c>
      <c r="C938" s="8" t="s">
        <v>4504</v>
      </c>
      <c r="D938" s="8" t="str">
        <f>Q&amp;$K938&amp;Q&amp;":{"&amp;Q&amp;$B$2&amp;Q&amp;":"&amp;Q&amp;$B938&amp;Q&amp;","&amp;Q&amp;$C$2&amp;Q&amp;":"&amp;Q&amp;$C938&amp;Q&amp;","&amp;Q&amp;"sets"&amp;Q&amp;":"&amp;Q&amp;substitute(SUBSTITUTE($H938,"[",""),"]","")&amp;Q&amp;"},"</f>
        <v>"szkb":{"label":"Lightning","extra":"Electrical discharge between rain clouds, or between a rain cloud and the earth, or between a rain cloud and an idiot with a kite.","sets":"Basic Set, Party Set"},</v>
      </c>
      <c r="E938" s="9" t="str">
        <f t="shared" si="2"/>
        <v>data:image/svg+xml,%3csvg xmlns='http://www.w3.org/2000/svg' viewBox='0 0 24 216'%3e%3ctext fill='%23fff' style='font: 900 16px sans-serif' text-anchor='end' transform='matrix(0 -1 1 0 18 5)'%3eLightning%3c/text%3e%3c/svg%3e</v>
      </c>
      <c r="F938" s="14" t="str">
        <f t="shared" si="3"/>
        <v>https://svgtext.heliohost.us/cgi-bin/gen.perl?text=Lightning</v>
      </c>
      <c r="G938" s="11" t="str">
        <f t="shared" si="4"/>
        <v>data:image/svg+xml,%3csvg xmlns='http://www.w3.org/2000/svg' viewBox='0 0 24 216'%3e%3ctext fill='%23fff' style='font: 900 16px sans-serif' text-anchor='end' transform='matrix(0 -1 1 0 18 5)'%3eLightning%3c/text%3e%3c/svg%3e</v>
      </c>
      <c r="H938" s="8" t="s">
        <v>29</v>
      </c>
      <c r="I938" s="8">
        <f t="shared" ref="I938:J938" si="939">len(B938)</f>
        <v>9</v>
      </c>
      <c r="J938" s="8">
        <f t="shared" si="939"/>
        <v>130</v>
      </c>
      <c r="K938" s="8" t="s">
        <v>4505</v>
      </c>
    </row>
    <row r="939">
      <c r="A939" s="7" t="b">
        <v>1</v>
      </c>
      <c r="B939" s="8" t="s">
        <v>4503</v>
      </c>
      <c r="C939" s="8" t="s">
        <v>4506</v>
      </c>
      <c r="D939" s="8" t="str">
        <f>Q&amp;$K939&amp;Q&amp;":{"&amp;Q&amp;$B$2&amp;Q&amp;":"&amp;Q&amp;$B939&amp;Q&amp;","&amp;Q&amp;$C$2&amp;Q&amp;":"&amp;Q&amp;$C939&amp;Q&amp;","&amp;Q&amp;"sets"&amp;Q&amp;":"&amp;Q&amp;substitute(SUBSTITUTE($H939,"[",""),"]","")&amp;Q&amp;"},"</f>
        <v>"qvsq":{"label":"Lightning","extra":"An electrical flash of light in the sky, usually during a rainstorm.","sets":"Junior"},</v>
      </c>
      <c r="E939" s="9" t="str">
        <f t="shared" si="2"/>
        <v>data:image/svg+xml,%3csvg xmlns='http://www.w3.org/2000/svg' viewBox='0 0 24 216'%3e%3ctext fill='%23fff' style='font: 900 16px sans-serif' text-anchor='end' transform='matrix(0 -1 1 0 18 5)'%3eLightning%3c/text%3e%3c/svg%3e</v>
      </c>
      <c r="F939" s="14" t="str">
        <f t="shared" si="3"/>
        <v>https://svgtext.heliohost.us/cgi-bin/gen.perl?text=Lightning</v>
      </c>
      <c r="G939" s="11" t="str">
        <f t="shared" si="4"/>
        <v>data:image/svg+xml,%3csvg xmlns='http://www.w3.org/2000/svg' viewBox='0 0 24 216'%3e%3ctext fill='%23fff' style='font: 900 16px sans-serif' text-anchor='end' transform='matrix(0 -1 1 0 18 5)'%3eLightning%3c/text%3e%3c/svg%3e</v>
      </c>
      <c r="H939" s="8" t="s">
        <v>84</v>
      </c>
      <c r="I939" s="8">
        <f t="shared" ref="I939:J939" si="940">len(B939)</f>
        <v>9</v>
      </c>
      <c r="J939" s="8">
        <f t="shared" si="940"/>
        <v>68</v>
      </c>
      <c r="K939" s="8" t="s">
        <v>4507</v>
      </c>
    </row>
    <row r="940">
      <c r="A940" s="7" t="b">
        <v>0</v>
      </c>
      <c r="B940" s="8" t="s">
        <v>4508</v>
      </c>
      <c r="C940" s="7" t="s">
        <v>4509</v>
      </c>
      <c r="D940" s="8" t="str">
        <f>Q&amp;$K940&amp;Q&amp;":{"&amp;Q&amp;$B$2&amp;Q&amp;":"&amp;Q&amp;$B940&amp;Q&amp;","&amp;Q&amp;$C$2&amp;Q&amp;":"&amp;Q&amp;$C940&amp;Q&amp;","&amp;Q&amp;"sets"&amp;Q&amp;":"&amp;Q&amp;substitute(SUBSTITUTE($H940,"[",""),"]","")&amp;Q&amp;"},"</f>
        <v>"xfqv":{"label":"Linguine With Clam Sauce","extra":"Pass the parmesan…","sets":"Expansion Set 3, Party Expansion 1"},</v>
      </c>
      <c r="E940" s="9" t="str">
        <f t="shared" si="2"/>
        <v>data:image/svg+xml,%3csvg xmlns='http://www.w3.org/2000/svg' viewBox='0 0 24 216'%3e%3ctext fill='%23fff' style='font: 900 16px sans-serif' text-anchor='end' transform='matrix(0 -1 1 0 18 5)'%3eLinguine With Clam Sauce%3c/text%3e%3c/svg%3e</v>
      </c>
      <c r="F940" s="14" t="str">
        <f t="shared" si="3"/>
        <v>https://svgtext.heliohost.us/cgi-bin/gen.perl?text=Linguine%20With%20Clam%20Sauce</v>
      </c>
      <c r="G940" s="11" t="str">
        <f t="shared" si="4"/>
        <v>data:image/svg+xml,%3csvg xmlns='http://www.w3.org/2000/svg' viewBox='0 0 24 216'%3e%3ctext fill='%23fff' style='font: 900 16px sans-serif' text-anchor='end' transform='matrix(0 -1 1 0 18 5)'%3eLinguine With Clam Sauce%3c/text%3e%3c/svg%3e</v>
      </c>
      <c r="H940" s="8" t="s">
        <v>39</v>
      </c>
      <c r="I940" s="8">
        <f t="shared" ref="I940:J940" si="941">len(B940)</f>
        <v>24</v>
      </c>
      <c r="J940" s="8">
        <f t="shared" si="941"/>
        <v>18</v>
      </c>
      <c r="K940" s="8" t="s">
        <v>4510</v>
      </c>
    </row>
    <row r="941">
      <c r="A941" s="7" t="b">
        <v>1</v>
      </c>
      <c r="B941" s="8" t="s">
        <v>4511</v>
      </c>
      <c r="C941" s="8" t="s">
        <v>4512</v>
      </c>
      <c r="D941" s="8" t="str">
        <f>Q&amp;$K941&amp;Q&amp;":{"&amp;Q&amp;$B$2&amp;Q&amp;":"&amp;Q&amp;$B941&amp;Q&amp;","&amp;Q&amp;$C$2&amp;Q&amp;":"&amp;Q&amp;$C941&amp;Q&amp;","&amp;Q&amp;"sets"&amp;Q&amp;":"&amp;Q&amp;substitute(SUBSTITUTE($H941,"[",""),"]","")&amp;Q&amp;"},"</f>
        <v>"lowk":{"label":"Lions","extra":"King of the jungle. Roar!","sets":"Junior"},</v>
      </c>
      <c r="E941" s="9" t="str">
        <f t="shared" si="2"/>
        <v>data:image/svg+xml,%3csvg xmlns='http://www.w3.org/2000/svg' viewBox='0 0 24 216'%3e%3ctext fill='%23fff' style='font: 900 16px sans-serif' text-anchor='end' transform='matrix(0 -1 1 0 18 5)'%3eLions%3c/text%3e%3c/svg%3e</v>
      </c>
      <c r="F941" s="14" t="str">
        <f t="shared" si="3"/>
        <v>https://svgtext.heliohost.us/cgi-bin/gen.perl?text=Lions</v>
      </c>
      <c r="G941" s="11" t="str">
        <f t="shared" si="4"/>
        <v>data:image/svg+xml,%3csvg xmlns='http://www.w3.org/2000/svg' viewBox='0 0 24 216'%3e%3ctext fill='%23fff' style='font: 900 16px sans-serif' text-anchor='end' transform='matrix(0 -1 1 0 18 5)'%3eLions%3c/text%3e%3c/svg%3e</v>
      </c>
      <c r="H941" s="8" t="s">
        <v>84</v>
      </c>
      <c r="I941" s="8">
        <f t="shared" ref="I941:J941" si="942">len(B941)</f>
        <v>5</v>
      </c>
      <c r="J941" s="8">
        <f t="shared" si="942"/>
        <v>25</v>
      </c>
      <c r="K941" s="8" t="s">
        <v>4513</v>
      </c>
    </row>
    <row r="942">
      <c r="A942" s="7" t="b">
        <v>1</v>
      </c>
      <c r="B942" s="8" t="s">
        <v>4514</v>
      </c>
      <c r="C942" s="7" t="s">
        <v>4515</v>
      </c>
      <c r="D942" s="8" t="str">
        <f>Q&amp;$K942&amp;Q&amp;":{"&amp;Q&amp;$B$2&amp;Q&amp;":"&amp;Q&amp;$B942&amp;Q&amp;","&amp;Q&amp;$C$2&amp;Q&amp;":"&amp;Q&amp;$C942&amp;Q&amp;","&amp;Q&amp;"sets"&amp;Q&amp;":"&amp;Q&amp;substitute(SUBSTITUTE($H942,"[",""),"]","")&amp;Q&amp;"},"</f>
        <v>"pjah":{"label":"Lions &amp; Tigers","extra":"And bears…","sets":"Expansion Set 4, Party Expansion 1"},</v>
      </c>
      <c r="E942" s="9" t="str">
        <f t="shared" si="2"/>
        <v>data:image/svg+xml,%3csvg xmlns='http://www.w3.org/2000/svg' viewBox='0 0 24 216'%3e%3ctext fill='%23fff' style='font: 900 16px sans-serif' text-anchor='end' transform='matrix(0 -1 1 0 18 5)'%3eLions %26amp%3B Tigers%3c/text%3e%3c/svg%3e</v>
      </c>
      <c r="F942" s="14" t="str">
        <f t="shared" si="3"/>
        <v>https://svgtext.heliohost.us/cgi-bin/gen.perl?text=Lions%20%26%20Tigers</v>
      </c>
      <c r="G942" s="11" t="str">
        <f t="shared" si="4"/>
        <v>data:image/svg+xml,%3csvg xmlns='http://www.w3.org/2000/svg' viewBox='0 0 24 216'%3e%3ctext fill='%23fff' style='font: 900 16px sans-serif' text-anchor='end' transform='matrix(0 -1 1 0 18 5)'%3eLions %26amp%3B Tigers%3c/text%3e%3c/svg%3e</v>
      </c>
      <c r="H942" s="8" t="s">
        <v>63</v>
      </c>
      <c r="I942" s="8">
        <f t="shared" ref="I942:J942" si="943">len(B942)</f>
        <v>14</v>
      </c>
      <c r="J942" s="8">
        <f t="shared" si="943"/>
        <v>10</v>
      </c>
      <c r="K942" s="8" t="s">
        <v>4516</v>
      </c>
    </row>
    <row r="943">
      <c r="A943" s="7" t="b">
        <v>1</v>
      </c>
      <c r="B943" s="8" t="s">
        <v>4517</v>
      </c>
      <c r="C943" s="7" t="s">
        <v>4518</v>
      </c>
      <c r="D943" s="8" t="str">
        <f>Q&amp;$K943&amp;Q&amp;":{"&amp;Q&amp;$B$2&amp;Q&amp;":"&amp;Q&amp;$B943&amp;Q&amp;","&amp;Q&amp;$C$2&amp;Q&amp;":"&amp;Q&amp;$C943&amp;Q&amp;","&amp;Q&amp;"sets"&amp;Q&amp;":"&amp;Q&amp;substitute(SUBSTITUTE($H943,"[",""),"]","")&amp;Q&amp;"},"</f>
        <v>"rlif":{"label":"Liposuction","extra":"Fatty tissue? That sucks…","sets":"Expansion Set 3, Party Expansion 1"},</v>
      </c>
      <c r="E943" s="9" t="str">
        <f t="shared" si="2"/>
        <v>data:image/svg+xml,%3csvg xmlns='http://www.w3.org/2000/svg' viewBox='0 0 24 216'%3e%3ctext fill='%23fff' style='font: 900 16px sans-serif' text-anchor='end' transform='matrix(0 -1 1 0 18 5)'%3eLiposuction%3c/text%3e%3c/svg%3e</v>
      </c>
      <c r="F943" s="14" t="str">
        <f t="shared" si="3"/>
        <v>https://svgtext.heliohost.us/cgi-bin/gen.perl?text=Liposuction</v>
      </c>
      <c r="G943" s="11" t="str">
        <f t="shared" si="4"/>
        <v>data:image/svg+xml,%3csvg xmlns='http://www.w3.org/2000/svg' viewBox='0 0 24 216'%3e%3ctext fill='%23fff' style='font: 900 16px sans-serif' text-anchor='end' transform='matrix(0 -1 1 0 18 5)'%3eLiposuction%3c/text%3e%3c/svg%3e</v>
      </c>
      <c r="H943" s="8" t="s">
        <v>39</v>
      </c>
      <c r="I943" s="8">
        <f t="shared" ref="I943:J943" si="944">len(B943)</f>
        <v>11</v>
      </c>
      <c r="J943" s="8">
        <f t="shared" si="944"/>
        <v>25</v>
      </c>
      <c r="K943" s="8" t="s">
        <v>4519</v>
      </c>
    </row>
    <row r="944">
      <c r="A944" s="7" t="b">
        <v>1</v>
      </c>
      <c r="B944" s="8" t="s">
        <v>4520</v>
      </c>
      <c r="C944" s="7" t="s">
        <v>4521</v>
      </c>
      <c r="D944" s="8" t="str">
        <f>Q&amp;$K944&amp;Q&amp;":{"&amp;Q&amp;$B$2&amp;Q&amp;":"&amp;Q&amp;$B944&amp;Q&amp;","&amp;Q&amp;$C$2&amp;Q&amp;":"&amp;Q&amp;$C944&amp;Q&amp;","&amp;Q&amp;"sets"&amp;Q&amp;":"&amp;Q&amp;substitute(SUBSTITUTE($H944,"[",""),"]","")&amp;Q&amp;"},"</f>
        <v>"{okg":{"label":"Listening To Music","extra":"Nobody’s home… play it loud!","sets":"Junior 9+ (2nd)"},</v>
      </c>
      <c r="E944" s="9" t="str">
        <f t="shared" si="2"/>
        <v>data:image/svg+xml,%3csvg xmlns='http://www.w3.org/2000/svg' viewBox='0 0 24 216'%3e%3ctext fill='%23fff' style='font: 900 16px sans-serif' text-anchor='end' transform='matrix(0 -1 1 0 18 5)'%3eListening To Music%3c/text%3e%3c/svg%3e</v>
      </c>
      <c r="F944" s="14" t="str">
        <f t="shared" si="3"/>
        <v>https://svgtext.heliohost.us/cgi-bin/gen.perl?text=Listening%20To%20Music</v>
      </c>
      <c r="G944" s="11" t="str">
        <f t="shared" si="4"/>
        <v>data:image/svg+xml,%3csvg xmlns='http://www.w3.org/2000/svg' viewBox='0 0 24 216'%3e%3ctext fill='%23fff' style='font: 900 16px sans-serif' text-anchor='end' transform='matrix(0 -1 1 0 18 5)'%3eListening To Music%3c/text%3e%3c/svg%3e</v>
      </c>
      <c r="H944" s="8" t="s">
        <v>32</v>
      </c>
      <c r="I944" s="8">
        <f t="shared" ref="I944:J944" si="945">len(B944)</f>
        <v>18</v>
      </c>
      <c r="J944" s="8">
        <f t="shared" si="945"/>
        <v>28</v>
      </c>
      <c r="K944" s="8" t="s">
        <v>4522</v>
      </c>
    </row>
    <row r="945">
      <c r="A945" s="7" t="b">
        <v>1</v>
      </c>
      <c r="B945" s="8" t="s">
        <v>4523</v>
      </c>
      <c r="C945" s="8" t="s">
        <v>4524</v>
      </c>
      <c r="D945" s="8" t="str">
        <f>Q&amp;$K945&amp;Q&amp;":{"&amp;Q&amp;$B$2&amp;Q&amp;":"&amp;Q&amp;$B945&amp;Q&amp;","&amp;Q&amp;$C$2&amp;Q&amp;":"&amp;Q&amp;$C945&amp;Q&amp;","&amp;Q&amp;"sets"&amp;Q&amp;":"&amp;Q&amp;substitute(SUBSTITUTE($H945,"[",""),"]","")&amp;Q&amp;"},"</f>
        <v>"kcpz":{"label":"Little Brown Mice","extra":"EEEK!","sets":"Junior 9+ (2nd)"},</v>
      </c>
      <c r="E945" s="9" t="str">
        <f t="shared" si="2"/>
        <v>data:image/svg+xml,%3csvg xmlns='http://www.w3.org/2000/svg' viewBox='0 0 24 216'%3e%3ctext fill='%23fff' style='font: 900 16px sans-serif' text-anchor='end' transform='matrix(0 -1 1 0 18 5)'%3eLittle Brown Mice%3c/text%3e%3c/svg%3e</v>
      </c>
      <c r="F945" s="14" t="str">
        <f t="shared" si="3"/>
        <v>https://svgtext.heliohost.us/cgi-bin/gen.perl?text=Little%20Brown%20Mice</v>
      </c>
      <c r="G945" s="11" t="str">
        <f t="shared" si="4"/>
        <v>data:image/svg+xml,%3csvg xmlns='http://www.w3.org/2000/svg' viewBox='0 0 24 216'%3e%3ctext fill='%23fff' style='font: 900 16px sans-serif' text-anchor='end' transform='matrix(0 -1 1 0 18 5)'%3eLittle Brown Mice%3c/text%3e%3c/svg%3e</v>
      </c>
      <c r="H945" s="8" t="s">
        <v>32</v>
      </c>
      <c r="I945" s="8">
        <f t="shared" ref="I945:J945" si="946">len(B945)</f>
        <v>17</v>
      </c>
      <c r="J945" s="8">
        <f t="shared" si="946"/>
        <v>5</v>
      </c>
      <c r="K945" s="8" t="s">
        <v>4525</v>
      </c>
    </row>
    <row r="946">
      <c r="A946" s="7" t="b">
        <v>0</v>
      </c>
      <c r="B946" s="8" t="s">
        <v>4526</v>
      </c>
      <c r="C946" s="7" t="s">
        <v>4527</v>
      </c>
      <c r="D946" s="8" t="str">
        <f>Q&amp;$K946&amp;Q&amp;":{"&amp;Q&amp;$B$2&amp;Q&amp;":"&amp;Q&amp;$B946&amp;Q&amp;","&amp;Q&amp;$C$2&amp;Q&amp;":"&amp;Q&amp;$C946&amp;Q&amp;","&amp;Q&amp;"sets"&amp;Q&amp;":"&amp;Q&amp;substitute(SUBSTITUTE($H946,"[",""),"]","")&amp;Q&amp;"},"</f>
        <v>"ixyu":{"label":"Liver And Onions","extra":"An acquired taste.","sets":"Expansion Set 3, Party Expansion 1"},</v>
      </c>
      <c r="E946" s="9" t="str">
        <f t="shared" si="2"/>
        <v>data:image/svg+xml,%3csvg xmlns='http://www.w3.org/2000/svg' viewBox='0 0 24 216'%3e%3ctext fill='%23fff' style='font: 900 16px sans-serif' text-anchor='end' transform='matrix(0 -1 1 0 18 5)'%3eLiver And Onions%3c/text%3e%3c/svg%3e</v>
      </c>
      <c r="F946" s="14" t="str">
        <f t="shared" si="3"/>
        <v>https://svgtext.heliohost.us/cgi-bin/gen.perl?text=Liver%20And%20Onions</v>
      </c>
      <c r="G946" s="11" t="str">
        <f t="shared" si="4"/>
        <v>data:image/svg+xml,%3csvg xmlns='http://www.w3.org/2000/svg' viewBox='0 0 24 216'%3e%3ctext fill='%23fff' style='font: 900 16px sans-serif' text-anchor='end' transform='matrix(0 -1 1 0 18 5)'%3eLiver And Onions%3c/text%3e%3c/svg%3e</v>
      </c>
      <c r="H946" s="8" t="s">
        <v>39</v>
      </c>
      <c r="I946" s="8">
        <f t="shared" ref="I946:J946" si="947">len(B946)</f>
        <v>16</v>
      </c>
      <c r="J946" s="8">
        <f t="shared" si="947"/>
        <v>18</v>
      </c>
      <c r="K946" s="8" t="s">
        <v>4528</v>
      </c>
    </row>
    <row r="947">
      <c r="A947" s="7" t="b">
        <v>1</v>
      </c>
      <c r="B947" s="8" t="s">
        <v>4529</v>
      </c>
      <c r="C947" s="8" t="s">
        <v>4530</v>
      </c>
      <c r="D947" s="8" t="str">
        <f>Q&amp;$K947&amp;Q&amp;":{"&amp;Q&amp;$B$2&amp;Q&amp;":"&amp;Q&amp;$B947&amp;Q&amp;","&amp;Q&amp;$C$2&amp;Q&amp;":"&amp;Q&amp;$C947&amp;Q&amp;","&amp;Q&amp;"sets"&amp;Q&amp;":"&amp;Q&amp;substitute(SUBSTITUTE($H947,"[",""),"]","")&amp;Q&amp;"},"</f>
        <v>"lltw":{"label":"Lizards","extra":"The Komodo dragon is the largest living lizard. They can grow to over ten feet long.","sets":"Junior 9+ (1st) &amp; (2nd)"},</v>
      </c>
      <c r="E947" s="9" t="str">
        <f t="shared" si="2"/>
        <v>data:image/svg+xml,%3csvg xmlns='http://www.w3.org/2000/svg' viewBox='0 0 24 216'%3e%3ctext fill='%23fff' style='font: 900 16px sans-serif' text-anchor='end' transform='matrix(0 -1 1 0 18 5)'%3eLizards%3c/text%3e%3c/svg%3e</v>
      </c>
      <c r="F947" s="14" t="str">
        <f t="shared" si="3"/>
        <v>https://svgtext.heliohost.us/cgi-bin/gen.perl?text=Lizards</v>
      </c>
      <c r="G947" s="11" t="str">
        <f t="shared" si="4"/>
        <v>data:image/svg+xml,%3csvg xmlns='http://www.w3.org/2000/svg' viewBox='0 0 24 216'%3e%3ctext fill='%23fff' style='font: 900 16px sans-serif' text-anchor='end' transform='matrix(0 -1 1 0 18 5)'%3eLizards%3c/text%3e%3c/svg%3e</v>
      </c>
      <c r="H947" s="8" t="s">
        <v>42</v>
      </c>
      <c r="I947" s="8">
        <f t="shared" ref="I947:J947" si="948">len(B947)</f>
        <v>7</v>
      </c>
      <c r="J947" s="8">
        <f t="shared" si="948"/>
        <v>84</v>
      </c>
      <c r="K947" s="8" t="s">
        <v>4531</v>
      </c>
    </row>
    <row r="948">
      <c r="A948" s="7" t="b">
        <v>1</v>
      </c>
      <c r="B948" s="8" t="s">
        <v>4532</v>
      </c>
      <c r="C948" s="8" t="s">
        <v>4533</v>
      </c>
      <c r="D948" s="8" t="str">
        <f>Q&amp;$K948&amp;Q&amp;":{"&amp;Q&amp;$B$2&amp;Q&amp;":"&amp;Q&amp;$B948&amp;Q&amp;","&amp;Q&amp;$C$2&amp;Q&amp;":"&amp;Q&amp;$C948&amp;Q&amp;","&amp;Q&amp;"sets"&amp;Q&amp;":"&amp;Q&amp;substitute(SUBSTITUTE($H948,"[",""),"]","")&amp;Q&amp;"},"</f>
        <v>"vfud":{"label":"Llamas","extra":"South American animal related to the camel, raised for wool, and used as pack animals.","sets":"Junior 9+ (1st) &amp; (2nd)"},</v>
      </c>
      <c r="E948" s="9" t="str">
        <f t="shared" si="2"/>
        <v>data:image/svg+xml,%3csvg xmlns='http://www.w3.org/2000/svg' viewBox='0 0 24 216'%3e%3ctext fill='%23fff' style='font: 900 16px sans-serif' text-anchor='end' transform='matrix(0 -1 1 0 18 5)'%3eLlamas%3c/text%3e%3c/svg%3e</v>
      </c>
      <c r="F948" s="14" t="str">
        <f t="shared" si="3"/>
        <v>https://svgtext.heliohost.us/cgi-bin/gen.perl?text=Llamas</v>
      </c>
      <c r="G948" s="11" t="str">
        <f t="shared" si="4"/>
        <v>data:image/svg+xml,%3csvg xmlns='http://www.w3.org/2000/svg' viewBox='0 0 24 216'%3e%3ctext fill='%23fff' style='font: 900 16px sans-serif' text-anchor='end' transform='matrix(0 -1 1 0 18 5)'%3eLlamas%3c/text%3e%3c/svg%3e</v>
      </c>
      <c r="H948" s="8" t="s">
        <v>42</v>
      </c>
      <c r="I948" s="8">
        <f t="shared" ref="I948:J948" si="949">len(B948)</f>
        <v>6</v>
      </c>
      <c r="J948" s="8">
        <f t="shared" si="949"/>
        <v>86</v>
      </c>
      <c r="K948" s="8" t="s">
        <v>4534</v>
      </c>
    </row>
    <row r="949">
      <c r="A949" s="7" t="b">
        <v>0</v>
      </c>
      <c r="B949" s="8" t="s">
        <v>4535</v>
      </c>
      <c r="C949" s="7" t="s">
        <v>4536</v>
      </c>
      <c r="D949" s="8" t="str">
        <f>Q&amp;$K949&amp;Q&amp;":{"&amp;Q&amp;$B$2&amp;Q&amp;":"&amp;Q&amp;$B949&amp;Q&amp;","&amp;Q&amp;$C$2&amp;Q&amp;":"&amp;Q&amp;$C949&amp;Q&amp;","&amp;Q&amp;"sets"&amp;Q&amp;":"&amp;Q&amp;substitute(SUBSTITUTE($H949,"[",""),"]","")&amp;Q&amp;"},"</f>
        <v>"umef":{"label":"Loan Sharks","extra":"As dangerous as “Jaws,” but without the charisma.","sets":"Expansion Set 2, Party Set"},</v>
      </c>
      <c r="E949" s="9" t="str">
        <f t="shared" si="2"/>
        <v>data:image/svg+xml,%3csvg xmlns='http://www.w3.org/2000/svg' viewBox='0 0 24 216'%3e%3ctext fill='%23fff' style='font: 900 16px sans-serif' text-anchor='end' transform='matrix(0 -1 1 0 18 5)'%3eLoan Sharks%3c/text%3e%3c/svg%3e</v>
      </c>
      <c r="F949" s="14" t="str">
        <f t="shared" si="3"/>
        <v>https://svgtext.heliohost.us/cgi-bin/gen.perl?text=Loan%20Sharks</v>
      </c>
      <c r="G949" s="11" t="str">
        <f t="shared" si="4"/>
        <v>data:image/svg+xml,%3csvg xmlns='http://www.w3.org/2000/svg' viewBox='0 0 24 216'%3e%3ctext fill='%23fff' style='font: 900 16px sans-serif' text-anchor='end' transform='matrix(0 -1 1 0 18 5)'%3eLoan Sharks%3c/text%3e%3c/svg%3e</v>
      </c>
      <c r="H949" s="8" t="s">
        <v>17</v>
      </c>
      <c r="I949" s="8">
        <f t="shared" ref="I949:J949" si="950">len(B949)</f>
        <v>11</v>
      </c>
      <c r="J949" s="8">
        <f t="shared" si="950"/>
        <v>49</v>
      </c>
      <c r="K949" s="8" t="s">
        <v>4537</v>
      </c>
    </row>
    <row r="950">
      <c r="A950" s="7" t="b">
        <v>0</v>
      </c>
      <c r="B950" s="8" t="s">
        <v>4538</v>
      </c>
      <c r="C950" s="8" t="s">
        <v>4539</v>
      </c>
      <c r="D950" s="8" t="str">
        <f>Q&amp;$K950&amp;Q&amp;":{"&amp;Q&amp;$B$2&amp;Q&amp;":"&amp;Q&amp;$B950&amp;Q&amp;","&amp;Q&amp;$C$2&amp;Q&amp;":"&amp;Q&amp;$C950&amp;Q&amp;","&amp;Q&amp;"sets"&amp;Q&amp;":"&amp;Q&amp;substitute(SUBSTITUTE($H950,"[",""),"]","")&amp;Q&amp;"},"</f>
        <v>"glys":{"label":"Lobster","extra":"Crustaceans closely related to freshwater crayfishes. Market price.","sets":"Basic Set, Party Set"},</v>
      </c>
      <c r="E950" s="9" t="str">
        <f t="shared" si="2"/>
        <v>data:image/svg+xml,%3csvg xmlns='http://www.w3.org/2000/svg' viewBox='0 0 24 216'%3e%3ctext fill='%23fff' style='font: 900 16px sans-serif' text-anchor='end' transform='matrix(0 -1 1 0 18 5)'%3eLobster%3c/text%3e%3c/svg%3e</v>
      </c>
      <c r="F950" s="14" t="str">
        <f t="shared" si="3"/>
        <v>https://svgtext.heliohost.us/cgi-bin/gen.perl?text=Lobster</v>
      </c>
      <c r="G950" s="11" t="str">
        <f t="shared" si="4"/>
        <v>data:image/svg+xml,%3csvg xmlns='http://www.w3.org/2000/svg' viewBox='0 0 24 216'%3e%3ctext fill='%23fff' style='font: 900 16px sans-serif' text-anchor='end' transform='matrix(0 -1 1 0 18 5)'%3eLobster%3c/text%3e%3c/svg%3e</v>
      </c>
      <c r="H950" s="8" t="s">
        <v>29</v>
      </c>
      <c r="I950" s="8">
        <f t="shared" ref="I950:J950" si="951">len(B950)</f>
        <v>7</v>
      </c>
      <c r="J950" s="8">
        <f t="shared" si="951"/>
        <v>67</v>
      </c>
      <c r="K950" s="8" t="s">
        <v>4540</v>
      </c>
    </row>
    <row r="951">
      <c r="A951" s="7" t="b">
        <v>1</v>
      </c>
      <c r="B951" s="8" t="s">
        <v>4541</v>
      </c>
      <c r="C951" s="8" t="s">
        <v>4542</v>
      </c>
      <c r="D951" s="8" t="str">
        <f>Q&amp;$K951&amp;Q&amp;":{"&amp;Q&amp;$B$2&amp;Q&amp;":"&amp;Q&amp;$B951&amp;Q&amp;","&amp;Q&amp;$C$2&amp;Q&amp;":"&amp;Q&amp;$C951&amp;Q&amp;","&amp;Q&amp;"sets"&amp;Q&amp;":"&amp;Q&amp;substitute(SUBSTITUTE($H951,"[",""),"]","")&amp;Q&amp;"},"</f>
        <v>"nmpe":{"label":"Lobsters","extra":"Their large claws are actually their front pair of legs.","sets":"Junior 9+ (2nd)"},</v>
      </c>
      <c r="E951" s="9" t="str">
        <f t="shared" si="2"/>
        <v>data:image/svg+xml,%3csvg xmlns='http://www.w3.org/2000/svg' viewBox='0 0 24 216'%3e%3ctext fill='%23fff' style='font: 900 16px sans-serif' text-anchor='end' transform='matrix(0 -1 1 0 18 5)'%3eLobsters%3c/text%3e%3c/svg%3e</v>
      </c>
      <c r="F951" s="14" t="str">
        <f t="shared" si="3"/>
        <v>https://svgtext.heliohost.us/cgi-bin/gen.perl?text=Lobsters</v>
      </c>
      <c r="G951" s="11" t="str">
        <f t="shared" si="4"/>
        <v>data:image/svg+xml,%3csvg xmlns='http://www.w3.org/2000/svg' viewBox='0 0 24 216'%3e%3ctext fill='%23fff' style='font: 900 16px sans-serif' text-anchor='end' transform='matrix(0 -1 1 0 18 5)'%3eLobsters%3c/text%3e%3c/svg%3e</v>
      </c>
      <c r="H951" s="8" t="s">
        <v>32</v>
      </c>
      <c r="I951" s="8">
        <f t="shared" ref="I951:J951" si="952">len(B951)</f>
        <v>8</v>
      </c>
      <c r="J951" s="8">
        <f t="shared" si="952"/>
        <v>56</v>
      </c>
      <c r="K951" s="8" t="s">
        <v>4543</v>
      </c>
    </row>
    <row r="952">
      <c r="A952" s="7" t="b">
        <v>0</v>
      </c>
      <c r="B952" s="8" t="s">
        <v>4544</v>
      </c>
      <c r="C952" s="8" t="s">
        <v>4545</v>
      </c>
      <c r="D952" s="8" t="str">
        <f>Q&amp;$K952&amp;Q&amp;":{"&amp;Q&amp;$B$2&amp;Q&amp;":"&amp;Q&amp;$B952&amp;Q&amp;","&amp;Q&amp;$C$2&amp;Q&amp;":"&amp;Q&amp;$C952&amp;Q&amp;","&amp;Q&amp;"sets"&amp;Q&amp;":"&amp;Q&amp;substitute(SUBSTITUTE($H952,"[",""),"]","")&amp;Q&amp;"},"</f>
        <v>"yaji":{"label":"Local Police","extra":"They know who you are and they know where you live.","sets":"Expansion Set 2, Party Set"},</v>
      </c>
      <c r="E952" s="9" t="str">
        <f t="shared" si="2"/>
        <v>data:image/svg+xml,%3csvg xmlns='http://www.w3.org/2000/svg' viewBox='0 0 24 216'%3e%3ctext fill='%23fff' style='font: 900 16px sans-serif' text-anchor='end' transform='matrix(0 -1 1 0 18 5)'%3eLocal Police%3c/text%3e%3c/svg%3e</v>
      </c>
      <c r="F952" s="14" t="str">
        <f t="shared" si="3"/>
        <v>https://svgtext.heliohost.us/cgi-bin/gen.perl?text=Local%20Police</v>
      </c>
      <c r="G952" s="11" t="str">
        <f t="shared" si="4"/>
        <v>data:image/svg+xml,%3csvg xmlns='http://www.w3.org/2000/svg' viewBox='0 0 24 216'%3e%3ctext fill='%23fff' style='font: 900 16px sans-serif' text-anchor='end' transform='matrix(0 -1 1 0 18 5)'%3eLocal Police%3c/text%3e%3c/svg%3e</v>
      </c>
      <c r="H952" s="8" t="s">
        <v>17</v>
      </c>
      <c r="I952" s="8">
        <f t="shared" ref="I952:J952" si="953">len(B952)</f>
        <v>12</v>
      </c>
      <c r="J952" s="8">
        <f t="shared" si="953"/>
        <v>51</v>
      </c>
      <c r="K952" s="8" t="s">
        <v>4546</v>
      </c>
    </row>
    <row r="953">
      <c r="A953" s="7" t="b">
        <v>1</v>
      </c>
      <c r="B953" s="8" t="s">
        <v>4547</v>
      </c>
      <c r="C953" s="7" t="s">
        <v>4548</v>
      </c>
      <c r="D953" s="8" t="str">
        <f>Q&amp;$K953&amp;Q&amp;":{"&amp;Q&amp;$B$2&amp;Q&amp;":"&amp;Q&amp;$B953&amp;Q&amp;","&amp;Q&amp;$C$2&amp;Q&amp;":"&amp;Q&amp;$C953&amp;Q&amp;","&amp;Q&amp;"sets"&amp;Q&amp;":"&amp;Q&amp;substitute(SUBSTITUTE($H953,"[",""),"]","")&amp;Q&amp;"},"</f>
        <v>"otnz":{"label":"Loch Ness Monster","extra":"“Nessie,” the legendary beast of Loch Ness, Scotland. It must be real, they have pictures.","sets":"Expansion Set 3, Party Expansion 1"},</v>
      </c>
      <c r="E953" s="9" t="str">
        <f t="shared" si="2"/>
        <v>data:image/svg+xml,%3csvg xmlns='http://www.w3.org/2000/svg' viewBox='0 0 24 216'%3e%3ctext fill='%23fff' style='font: 900 16px sans-serif' text-anchor='end' transform='matrix(0 -1 1 0 18 5)'%3eLoch Ness Monster%3c/text%3e%3c/svg%3e</v>
      </c>
      <c r="F953" s="14" t="str">
        <f t="shared" si="3"/>
        <v>https://svgtext.heliohost.us/cgi-bin/gen.perl?text=Loch%20Ness%20Monster</v>
      </c>
      <c r="G953" s="11" t="str">
        <f t="shared" si="4"/>
        <v>data:image/svg+xml,%3csvg xmlns='http://www.w3.org/2000/svg' viewBox='0 0 24 216'%3e%3ctext fill='%23fff' style='font: 900 16px sans-serif' text-anchor='end' transform='matrix(0 -1 1 0 18 5)'%3eLoch Ness Monster%3c/text%3e%3c/svg%3e</v>
      </c>
      <c r="H953" s="8" t="s">
        <v>39</v>
      </c>
      <c r="I953" s="8">
        <f t="shared" ref="I953:J953" si="954">len(B953)</f>
        <v>17</v>
      </c>
      <c r="J953" s="8">
        <f t="shared" si="954"/>
        <v>90</v>
      </c>
      <c r="K953" s="8" t="s">
        <v>4549</v>
      </c>
    </row>
    <row r="954">
      <c r="A954" s="7" t="b">
        <v>1</v>
      </c>
      <c r="B954" s="8" t="s">
        <v>4550</v>
      </c>
      <c r="C954" s="8" t="s">
        <v>4551</v>
      </c>
      <c r="D954" s="8" t="str">
        <f>Q&amp;$K954&amp;Q&amp;":{"&amp;Q&amp;$B$2&amp;Q&amp;":"&amp;Q&amp;$B954&amp;Q&amp;","&amp;Q&amp;$C$2&amp;Q&amp;":"&amp;Q&amp;$C954&amp;Q&amp;","&amp;Q&amp;"sets"&amp;Q&amp;":"&amp;Q&amp;substitute(SUBSTITUTE($H954,"[",""),"]","")&amp;Q&amp;"},"</f>
        <v>"gjsr":{"label":"Lock &amp; Key","extra":"Quit picking on me!","sets":"Expansion Set 4, Party Expansion 1"},</v>
      </c>
      <c r="E954" s="9" t="str">
        <f t="shared" si="2"/>
        <v>data:image/svg+xml,%3csvg xmlns='http://www.w3.org/2000/svg' viewBox='0 0 24 216'%3e%3ctext fill='%23fff' style='font: 900 16px sans-serif' text-anchor='end' transform='matrix(0 -1 1 0 18 5)'%3eLock %26amp%3B Key%3c/text%3e%3c/svg%3e</v>
      </c>
      <c r="F954" s="14" t="str">
        <f t="shared" si="3"/>
        <v>https://svgtext.heliohost.us/cgi-bin/gen.perl?text=Lock%20%26%20Key</v>
      </c>
      <c r="G954" s="11" t="str">
        <f t="shared" si="4"/>
        <v>data:image/svg+xml,%3csvg xmlns='http://www.w3.org/2000/svg' viewBox='0 0 24 216'%3e%3ctext fill='%23fff' style='font: 900 16px sans-serif' text-anchor='end' transform='matrix(0 -1 1 0 18 5)'%3eLock %26amp%3B Key%3c/text%3e%3c/svg%3e</v>
      </c>
      <c r="H954" s="8" t="s">
        <v>63</v>
      </c>
      <c r="I954" s="8">
        <f t="shared" ref="I954:J954" si="955">len(B954)</f>
        <v>10</v>
      </c>
      <c r="J954" s="8">
        <f t="shared" si="955"/>
        <v>19</v>
      </c>
      <c r="K954" s="8" t="s">
        <v>4552</v>
      </c>
    </row>
    <row r="955">
      <c r="A955" s="7" t="b">
        <v>1</v>
      </c>
      <c r="B955" s="8" t="s">
        <v>4553</v>
      </c>
      <c r="C955" s="7" t="s">
        <v>4554</v>
      </c>
      <c r="D955" s="8" t="str">
        <f>Q&amp;$K955&amp;Q&amp;":{"&amp;Q&amp;$B$2&amp;Q&amp;":"&amp;Q&amp;$B955&amp;Q&amp;","&amp;Q&amp;$C$2&amp;Q&amp;":"&amp;Q&amp;$C955&amp;Q&amp;","&amp;Q&amp;"sets"&amp;Q&amp;":"&amp;Q&amp;substitute(SUBSTITUTE($H955,"[",""),"]","")&amp;Q&amp;"},"</f>
        <v>"mcfl":{"label":"Lock &amp; Load","extra":"It’s off to war we go.","sets":"Expansion Set 4, Party Expansion 1"},</v>
      </c>
      <c r="E955" s="9" t="str">
        <f t="shared" si="2"/>
        <v>data:image/svg+xml,%3csvg xmlns='http://www.w3.org/2000/svg' viewBox='0 0 24 216'%3e%3ctext fill='%23fff' style='font: 900 16px sans-serif' text-anchor='end' transform='matrix(0 -1 1 0 18 5)'%3eLock %26amp%3B Load%3c/text%3e%3c/svg%3e</v>
      </c>
      <c r="F955" s="14" t="str">
        <f t="shared" si="3"/>
        <v>https://svgtext.heliohost.us/cgi-bin/gen.perl?text=Lock%20%26%20Load</v>
      </c>
      <c r="G955" s="11" t="str">
        <f t="shared" si="4"/>
        <v>data:image/svg+xml,%3csvg xmlns='http://www.w3.org/2000/svg' viewBox='0 0 24 216'%3e%3ctext fill='%23fff' style='font: 900 16px sans-serif' text-anchor='end' transform='matrix(0 -1 1 0 18 5)'%3eLock %26amp%3B Load%3c/text%3e%3c/svg%3e</v>
      </c>
      <c r="H955" s="8" t="s">
        <v>63</v>
      </c>
      <c r="I955" s="8">
        <f t="shared" ref="I955:J955" si="956">len(B955)</f>
        <v>11</v>
      </c>
      <c r="J955" s="8">
        <f t="shared" si="956"/>
        <v>22</v>
      </c>
      <c r="K955" s="8" t="s">
        <v>4555</v>
      </c>
    </row>
    <row r="956">
      <c r="A956" s="7" t="b">
        <v>0</v>
      </c>
      <c r="B956" s="8" t="s">
        <v>4556</v>
      </c>
      <c r="C956" s="7" t="s">
        <v>4557</v>
      </c>
      <c r="D956" s="8" t="str">
        <f>Q&amp;$K956&amp;Q&amp;":{"&amp;Q&amp;$B$2&amp;Q&amp;":"&amp;Q&amp;$B956&amp;Q&amp;","&amp;Q&amp;$C$2&amp;Q&amp;":"&amp;Q&amp;$C956&amp;Q&amp;","&amp;Q&amp;"sets"&amp;Q&amp;":"&amp;Q&amp;substitute(SUBSTITUTE($H956,"[",""),"]","")&amp;Q&amp;"},"</f>
        <v>"zxhs":{"label":"Log Cabins","extra":"Among the many Americans born in log cabins were Preisdents Harrison, Lincoln, and Grant. Just pass the maple syrup.","sets":"Expansion Set 2, Party Set"},</v>
      </c>
      <c r="E956" s="9" t="str">
        <f t="shared" si="2"/>
        <v>data:image/svg+xml,%3csvg xmlns='http://www.w3.org/2000/svg' viewBox='0 0 24 216'%3e%3ctext fill='%23fff' style='font: 900 16px sans-serif' text-anchor='end' transform='matrix(0 -1 1 0 18 5)'%3eLog Cabins%3c/text%3e%3c/svg%3e</v>
      </c>
      <c r="F956" s="14" t="str">
        <f t="shared" si="3"/>
        <v>https://svgtext.heliohost.us/cgi-bin/gen.perl?text=Log%20Cabins</v>
      </c>
      <c r="G956" s="11" t="str">
        <f t="shared" si="4"/>
        <v>data:image/svg+xml,%3csvg xmlns='http://www.w3.org/2000/svg' viewBox='0 0 24 216'%3e%3ctext fill='%23fff' style='font: 900 16px sans-serif' text-anchor='end' transform='matrix(0 -1 1 0 18 5)'%3eLog Cabins%3c/text%3e%3c/svg%3e</v>
      </c>
      <c r="H956" s="8" t="s">
        <v>17</v>
      </c>
      <c r="I956" s="8">
        <f t="shared" ref="I956:J956" si="957">len(B956)</f>
        <v>10</v>
      </c>
      <c r="J956" s="8">
        <f t="shared" si="957"/>
        <v>116</v>
      </c>
      <c r="K956" s="8" t="s">
        <v>4558</v>
      </c>
    </row>
    <row r="957">
      <c r="A957" s="7" t="b">
        <v>0</v>
      </c>
      <c r="B957" s="8" t="s">
        <v>4559</v>
      </c>
      <c r="C957" s="8" t="s">
        <v>4560</v>
      </c>
      <c r="D957" s="8" t="str">
        <f>Q&amp;$K957&amp;Q&amp;":{"&amp;Q&amp;$B$2&amp;Q&amp;":"&amp;Q&amp;$B957&amp;Q&amp;","&amp;Q&amp;$C$2&amp;Q&amp;":"&amp;Q&amp;$C957&amp;Q&amp;","&amp;Q&amp;"sets"&amp;Q&amp;":"&amp;Q&amp;substitute(SUBSTITUTE($H957,"[",""),"]","")&amp;Q&amp;"},"</f>
        <v>"qtef":{"label":"Lollipops","extra":"Sucker!","sets":"Basic Set, Party Set"},</v>
      </c>
      <c r="E957" s="9" t="str">
        <f t="shared" si="2"/>
        <v>data:image/svg+xml,%3csvg xmlns='http://www.w3.org/2000/svg' viewBox='0 0 24 216'%3e%3ctext fill='%23fff' style='font: 900 16px sans-serif' text-anchor='end' transform='matrix(0 -1 1 0 18 5)'%3eLollipops%3c/text%3e%3c/svg%3e</v>
      </c>
      <c r="F957" s="14" t="str">
        <f t="shared" si="3"/>
        <v>https://svgtext.heliohost.us/cgi-bin/gen.perl?text=Lollipops</v>
      </c>
      <c r="G957" s="11" t="str">
        <f t="shared" si="4"/>
        <v>data:image/svg+xml,%3csvg xmlns='http://www.w3.org/2000/svg' viewBox='0 0 24 216'%3e%3ctext fill='%23fff' style='font: 900 16px sans-serif' text-anchor='end' transform='matrix(0 -1 1 0 18 5)'%3eLollipops%3c/text%3e%3c/svg%3e</v>
      </c>
      <c r="H957" s="8" t="s">
        <v>29</v>
      </c>
      <c r="I957" s="8">
        <f t="shared" ref="I957:J957" si="958">len(B957)</f>
        <v>9</v>
      </c>
      <c r="J957" s="8">
        <f t="shared" si="958"/>
        <v>7</v>
      </c>
      <c r="K957" s="8" t="s">
        <v>4561</v>
      </c>
    </row>
    <row r="958">
      <c r="A958" s="7" t="b">
        <v>0</v>
      </c>
      <c r="B958" s="8" t="s">
        <v>4562</v>
      </c>
      <c r="C958" s="7" t="s">
        <v>4563</v>
      </c>
      <c r="D958" s="8" t="str">
        <f>Q&amp;$K958&amp;Q&amp;":{"&amp;Q&amp;$B$2&amp;Q&amp;":"&amp;Q&amp;$B958&amp;Q&amp;","&amp;Q&amp;$C$2&amp;Q&amp;":"&amp;Q&amp;$C958&amp;Q&amp;","&amp;Q&amp;"sets"&amp;Q&amp;":"&amp;Q&amp;substitute(SUBSTITUTE($H958,"[",""),"]","")&amp;Q&amp;"},"</f>
        <v>"qiac":{"label":"London","extra":"Founded even before the Romans reached England’s shores, now the capital of Great Britain.","sets":"Basic Set, Party Set"},</v>
      </c>
      <c r="E958" s="9" t="str">
        <f t="shared" si="2"/>
        <v>data:image/svg+xml,%3csvg xmlns='http://www.w3.org/2000/svg' viewBox='0 0 24 216'%3e%3ctext fill='%23fff' style='font: 900 16px sans-serif' text-anchor='end' transform='matrix(0 -1 1 0 18 5)'%3eLondon%3c/text%3e%3c/svg%3e</v>
      </c>
      <c r="F958" s="14" t="str">
        <f t="shared" si="3"/>
        <v>https://svgtext.heliohost.us/cgi-bin/gen.perl?text=London</v>
      </c>
      <c r="G958" s="11" t="str">
        <f t="shared" si="4"/>
        <v>data:image/svg+xml,%3csvg xmlns='http://www.w3.org/2000/svg' viewBox='0 0 24 216'%3e%3ctext fill='%23fff' style='font: 900 16px sans-serif' text-anchor='end' transform='matrix(0 -1 1 0 18 5)'%3eLondon%3c/text%3e%3c/svg%3e</v>
      </c>
      <c r="H958" s="8" t="s">
        <v>29</v>
      </c>
      <c r="I958" s="8">
        <f t="shared" ref="I958:J958" si="959">len(B958)</f>
        <v>6</v>
      </c>
      <c r="J958" s="8">
        <f t="shared" si="959"/>
        <v>90</v>
      </c>
      <c r="K958" s="8" t="s">
        <v>4564</v>
      </c>
    </row>
    <row r="959">
      <c r="A959" s="7" t="b">
        <v>1</v>
      </c>
      <c r="B959" s="8" t="s">
        <v>4565</v>
      </c>
      <c r="C959" s="8" t="s">
        <v>4566</v>
      </c>
      <c r="D959" s="8" t="str">
        <f>Q&amp;$K959&amp;Q&amp;":{"&amp;Q&amp;$B$2&amp;Q&amp;":"&amp;Q&amp;$B959&amp;Q&amp;","&amp;Q&amp;$C$2&amp;Q&amp;":"&amp;Q&amp;$C959&amp;Q&amp;","&amp;Q&amp;"sets"&amp;Q&amp;":"&amp;Q&amp;substitute(SUBSTITUTE($H959,"[",""),"]","")&amp;Q&amp;"},"</f>
        <v>"dyfn":{"label":"Long Hair","extra":"Braid it, tie it in a ponytail, or just let it fly in the wind.","sets":"Junior 9+ (1st) &amp; (2nd)"},</v>
      </c>
      <c r="E959" s="9" t="str">
        <f t="shared" si="2"/>
        <v>data:image/svg+xml,%3csvg xmlns='http://www.w3.org/2000/svg' viewBox='0 0 24 216'%3e%3ctext fill='%23fff' style='font: 900 16px sans-serif' text-anchor='end' transform='matrix(0 -1 1 0 18 5)'%3eLong Hair%3c/text%3e%3c/svg%3e</v>
      </c>
      <c r="F959" s="14" t="str">
        <f t="shared" si="3"/>
        <v>https://svgtext.heliohost.us/cgi-bin/gen.perl?text=Long%20Hair</v>
      </c>
      <c r="G959" s="11" t="str">
        <f t="shared" si="4"/>
        <v>data:image/svg+xml,%3csvg xmlns='http://www.w3.org/2000/svg' viewBox='0 0 24 216'%3e%3ctext fill='%23fff' style='font: 900 16px sans-serif' text-anchor='end' transform='matrix(0 -1 1 0 18 5)'%3eLong Hair%3c/text%3e%3c/svg%3e</v>
      </c>
      <c r="H959" s="8" t="s">
        <v>42</v>
      </c>
      <c r="I959" s="8">
        <f t="shared" ref="I959:J959" si="960">len(B959)</f>
        <v>9</v>
      </c>
      <c r="J959" s="8">
        <f t="shared" si="960"/>
        <v>63</v>
      </c>
      <c r="K959" s="8" t="s">
        <v>4567</v>
      </c>
    </row>
    <row r="960">
      <c r="A960" s="7" t="b">
        <v>0</v>
      </c>
      <c r="B960" s="8" t="s">
        <v>4568</v>
      </c>
      <c r="C960" s="7" t="s">
        <v>4569</v>
      </c>
      <c r="D960" s="8" t="str">
        <f>Q&amp;$K960&amp;Q&amp;":{"&amp;Q&amp;$B$2&amp;Q&amp;":"&amp;Q&amp;$B960&amp;Q&amp;","&amp;Q&amp;$C$2&amp;Q&amp;":"&amp;Q&amp;$C960&amp;Q&amp;","&amp;Q&amp;"sets"&amp;Q&amp;":"&amp;Q&amp;substitute(SUBSTITUTE($H960,"[",""),"]","")&amp;Q&amp;"},"</f>
        <v>"ccpp":{"label":"Looking For A Job","extra":"Will work for fool…","sets":"Expansion Set 2, Party Set"},</v>
      </c>
      <c r="E960" s="9" t="str">
        <f t="shared" si="2"/>
        <v>data:image/svg+xml,%3csvg xmlns='http://www.w3.org/2000/svg' viewBox='0 0 24 216'%3e%3ctext fill='%23fff' style='font: 900 16px sans-serif' text-anchor='end' transform='matrix(0 -1 1 0 18 5)'%3eLooking For A Job%3c/text%3e%3c/svg%3e</v>
      </c>
      <c r="F960" s="14" t="str">
        <f t="shared" si="3"/>
        <v>https://svgtext.heliohost.us/cgi-bin/gen.perl?text=Looking%20For%20A%20Job</v>
      </c>
      <c r="G960" s="11" t="str">
        <f t="shared" si="4"/>
        <v>data:image/svg+xml,%3csvg xmlns='http://www.w3.org/2000/svg' viewBox='0 0 24 216'%3e%3ctext fill='%23fff' style='font: 900 16px sans-serif' text-anchor='end' transform='matrix(0 -1 1 0 18 5)'%3eLooking For A Job%3c/text%3e%3c/svg%3e</v>
      </c>
      <c r="H960" s="8" t="s">
        <v>17</v>
      </c>
      <c r="I960" s="8">
        <f t="shared" ref="I960:J960" si="961">len(B960)</f>
        <v>17</v>
      </c>
      <c r="J960" s="8">
        <f t="shared" si="961"/>
        <v>19</v>
      </c>
      <c r="K960" s="8" t="s">
        <v>4570</v>
      </c>
    </row>
    <row r="961">
      <c r="A961" s="7" t="b">
        <v>1</v>
      </c>
      <c r="B961" s="8" t="s">
        <v>4571</v>
      </c>
      <c r="C961" s="8" t="s">
        <v>4572</v>
      </c>
      <c r="D961" s="8" t="str">
        <f>Q&amp;$K961&amp;Q&amp;":{"&amp;Q&amp;$B$2&amp;Q&amp;":"&amp;Q&amp;$B961&amp;Q&amp;","&amp;Q&amp;$C$2&amp;Q&amp;":"&amp;Q&amp;$C961&amp;Q&amp;","&amp;Q&amp;"sets"&amp;Q&amp;":"&amp;Q&amp;substitute(SUBSTITUTE($H961,"[",""),"]","")&amp;Q&amp;"},"</f>
        <v>"cyxc":{"label":"Looney Tunes","extra":"Warner Brothers cartoons featuring Porky Pig and Bugs Bunny.","sets":"Expansion Set 3, Party Expansion 1"},</v>
      </c>
      <c r="E961" s="9" t="str">
        <f t="shared" si="2"/>
        <v>data:image/svg+xml,%3csvg xmlns='http://www.w3.org/2000/svg' viewBox='0 0 24 216'%3e%3ctext fill='%23fff' style='font: 900 16px sans-serif' text-anchor='end' transform='matrix(0 -1 1 0 18 5)'%3eLooney Tunes%3c/text%3e%3c/svg%3e</v>
      </c>
      <c r="F961" s="14" t="str">
        <f t="shared" si="3"/>
        <v>https://svgtext.heliohost.us/cgi-bin/gen.perl?text=Looney%20Tunes</v>
      </c>
      <c r="G961" s="11" t="str">
        <f t="shared" si="4"/>
        <v>data:image/svg+xml,%3csvg xmlns='http://www.w3.org/2000/svg' viewBox='0 0 24 216'%3e%3ctext fill='%23fff' style='font: 900 16px sans-serif' text-anchor='end' transform='matrix(0 -1 1 0 18 5)'%3eLooney Tunes%3c/text%3e%3c/svg%3e</v>
      </c>
      <c r="H961" s="8" t="s">
        <v>39</v>
      </c>
      <c r="I961" s="8">
        <f t="shared" ref="I961:J961" si="962">len(B961)</f>
        <v>12</v>
      </c>
      <c r="J961" s="8">
        <f t="shared" si="962"/>
        <v>60</v>
      </c>
      <c r="K961" s="8" t="s">
        <v>4573</v>
      </c>
    </row>
    <row r="962">
      <c r="A962" s="7" t="b">
        <v>0</v>
      </c>
      <c r="B962" s="8" t="s">
        <v>4574</v>
      </c>
      <c r="C962" s="7" t="s">
        <v>4575</v>
      </c>
      <c r="D962" s="8" t="str">
        <f>Q&amp;$K962&amp;Q&amp;":{"&amp;Q&amp;$B$2&amp;Q&amp;":"&amp;Q&amp;$B962&amp;Q&amp;","&amp;Q&amp;$C$2&amp;Q&amp;":"&amp;Q&amp;$C962&amp;Q&amp;","&amp;Q&amp;"sets"&amp;Q&amp;":"&amp;Q&amp;substitute(SUBSTITUTE($H962,"[",""),"]","")&amp;Q&amp;"},"</f>
        <v>"ervm":{"label":"Los Angeles","extra":"LA LA Land.","sets":"Expansion Set 2, Party Set"},</v>
      </c>
      <c r="E962" s="9" t="str">
        <f t="shared" si="2"/>
        <v>data:image/svg+xml,%3csvg xmlns='http://www.w3.org/2000/svg' viewBox='0 0 24 216'%3e%3ctext fill='%23fff' style='font: 900 16px sans-serif' text-anchor='end' transform='matrix(0 -1 1 0 18 5)'%3eLos Angeles%3c/text%3e%3c/svg%3e</v>
      </c>
      <c r="F962" s="14" t="str">
        <f t="shared" si="3"/>
        <v>https://svgtext.heliohost.us/cgi-bin/gen.perl?text=Los%20Angeles</v>
      </c>
      <c r="G962" s="11" t="str">
        <f t="shared" si="4"/>
        <v>data:image/svg+xml,%3csvg xmlns='http://www.w3.org/2000/svg' viewBox='0 0 24 216'%3e%3ctext fill='%23fff' style='font: 900 16px sans-serif' text-anchor='end' transform='matrix(0 -1 1 0 18 5)'%3eLos Angeles%3c/text%3e%3c/svg%3e</v>
      </c>
      <c r="H962" s="8" t="s">
        <v>17</v>
      </c>
      <c r="I962" s="8">
        <f t="shared" ref="I962:J962" si="963">len(B962)</f>
        <v>11</v>
      </c>
      <c r="J962" s="8">
        <f t="shared" si="963"/>
        <v>11</v>
      </c>
      <c r="K962" s="8" t="s">
        <v>4576</v>
      </c>
    </row>
    <row r="963">
      <c r="A963" s="7" t="b">
        <v>1</v>
      </c>
      <c r="B963" s="8" t="s">
        <v>4577</v>
      </c>
      <c r="C963" s="7" t="s">
        <v>4578</v>
      </c>
      <c r="D963" s="8" t="str">
        <f>Q&amp;$K963&amp;Q&amp;":{"&amp;Q&amp;$B$2&amp;Q&amp;":"&amp;Q&amp;$B963&amp;Q&amp;","&amp;Q&amp;$C$2&amp;Q&amp;":"&amp;Q&amp;$C963&amp;Q&amp;","&amp;Q&amp;"sets"&amp;Q&amp;":"&amp;Q&amp;substitute(SUBSTITUTE($H963,"[",""),"]","")&amp;Q&amp;"},"</f>
        <v>"gzea":{"label":"Losing Your Backpack","extra":"“I know I had it on the bus…”","sets":"Junior 9+ (2nd)"},</v>
      </c>
      <c r="E963" s="9" t="str">
        <f t="shared" si="2"/>
        <v>data:image/svg+xml,%3csvg xmlns='http://www.w3.org/2000/svg' viewBox='0 0 24 216'%3e%3ctext fill='%23fff' style='font: 900 16px sans-serif' text-anchor='end' transform='matrix(0 -1 1 0 18 5)'%3eLosing Your Backpack%3c/text%3e%3c/svg%3e</v>
      </c>
      <c r="F963" s="14" t="str">
        <f t="shared" si="3"/>
        <v>https://svgtext.heliohost.us/cgi-bin/gen.perl?text=Losing%20Your%20Backpack</v>
      </c>
      <c r="G963" s="11" t="str">
        <f t="shared" si="4"/>
        <v>data:image/svg+xml,%3csvg xmlns='http://www.w3.org/2000/svg' viewBox='0 0 24 216'%3e%3ctext fill='%23fff' style='font: 900 16px sans-serif' text-anchor='end' transform='matrix(0 -1 1 0 18 5)'%3eLosing Your Backpack%3c/text%3e%3c/svg%3e</v>
      </c>
      <c r="H963" s="8" t="s">
        <v>32</v>
      </c>
      <c r="I963" s="8">
        <f t="shared" ref="I963:J963" si="964">len(B963)</f>
        <v>20</v>
      </c>
      <c r="J963" s="8">
        <f t="shared" si="964"/>
        <v>29</v>
      </c>
      <c r="K963" s="8" t="s">
        <v>4579</v>
      </c>
    </row>
    <row r="964">
      <c r="A964" s="7" t="b">
        <v>0</v>
      </c>
      <c r="B964" s="8" t="s">
        <v>4580</v>
      </c>
      <c r="C964" s="7" t="s">
        <v>4581</v>
      </c>
      <c r="D964" s="8" t="str">
        <f>Q&amp;$K964&amp;Q&amp;":{"&amp;Q&amp;$B$2&amp;Q&amp;":"&amp;Q&amp;$B964&amp;Q&amp;","&amp;Q&amp;$C$2&amp;Q&amp;":"&amp;Q&amp;$C964&amp;Q&amp;","&amp;Q&amp;"sets"&amp;Q&amp;":"&amp;Q&amp;substitute(SUBSTITUTE($H964,"[",""),"]","")&amp;Q&amp;"},"</f>
        <v>"rhhk":{"label":"Losing Your Job","extra":"They just didn’t understand me!","sets":"Expansion Set 1, Party Set"},</v>
      </c>
      <c r="E964" s="9" t="str">
        <f t="shared" si="2"/>
        <v>data:image/svg+xml,%3csvg xmlns='http://www.w3.org/2000/svg' viewBox='0 0 24 216'%3e%3ctext fill='%23fff' style='font: 900 16px sans-serif' text-anchor='end' transform='matrix(0 -1 1 0 18 5)'%3eLosing Your Job%3c/text%3e%3c/svg%3e</v>
      </c>
      <c r="F964" s="14" t="str">
        <f t="shared" si="3"/>
        <v>https://svgtext.heliohost.us/cgi-bin/gen.perl?text=Losing%20Your%20Job</v>
      </c>
      <c r="G964" s="11" t="str">
        <f t="shared" si="4"/>
        <v>data:image/svg+xml,%3csvg xmlns='http://www.w3.org/2000/svg' viewBox='0 0 24 216'%3e%3ctext fill='%23fff' style='font: 900 16px sans-serif' text-anchor='end' transform='matrix(0 -1 1 0 18 5)'%3eLosing Your Job%3c/text%3e%3c/svg%3e</v>
      </c>
      <c r="H964" s="8" t="s">
        <v>25</v>
      </c>
      <c r="I964" s="8">
        <f t="shared" ref="I964:J964" si="965">len(B964)</f>
        <v>15</v>
      </c>
      <c r="J964" s="8">
        <f t="shared" si="965"/>
        <v>31</v>
      </c>
      <c r="K964" s="8" t="s">
        <v>4582</v>
      </c>
    </row>
    <row r="965">
      <c r="A965" s="7" t="b">
        <v>1</v>
      </c>
      <c r="B965" s="8" t="s">
        <v>4583</v>
      </c>
      <c r="C965" s="7" t="s">
        <v>4584</v>
      </c>
      <c r="D965" s="8" t="str">
        <f>Q&amp;$K965&amp;Q&amp;":{"&amp;Q&amp;$B$2&amp;Q&amp;":"&amp;Q&amp;$B965&amp;Q&amp;","&amp;Q&amp;$C$2&amp;Q&amp;":"&amp;Q&amp;$C965&amp;Q&amp;","&amp;Q&amp;"sets"&amp;Q&amp;":"&amp;Q&amp;substitute(SUBSTITUTE($H965,"[",""),"]","")&amp;Q&amp;"},"</f>
        <v>"wout":{"label":"Love &amp; Marriage","extra":"First comes love, then comes marriage…","sets":"Expansion Set 4, Party Expansion 1"},</v>
      </c>
      <c r="E965" s="9" t="str">
        <f t="shared" si="2"/>
        <v>data:image/svg+xml,%3csvg xmlns='http://www.w3.org/2000/svg' viewBox='0 0 24 216'%3e%3ctext fill='%23fff' style='font: 900 16px sans-serif' text-anchor='end' transform='matrix(0 -1 1 0 18 5)'%3eLove %26amp%3B Marriage%3c/text%3e%3c/svg%3e</v>
      </c>
      <c r="F965" s="14" t="str">
        <f t="shared" si="3"/>
        <v>https://svgtext.heliohost.us/cgi-bin/gen.perl?text=Love%20%26%20Marriage</v>
      </c>
      <c r="G965" s="11" t="str">
        <f t="shared" si="4"/>
        <v>data:image/svg+xml,%3csvg xmlns='http://www.w3.org/2000/svg' viewBox='0 0 24 216'%3e%3ctext fill='%23fff' style='font: 900 16px sans-serif' text-anchor='end' transform='matrix(0 -1 1 0 18 5)'%3eLove %26amp%3B Marriage%3c/text%3e%3c/svg%3e</v>
      </c>
      <c r="H965" s="8" t="s">
        <v>63</v>
      </c>
      <c r="I965" s="8">
        <f t="shared" ref="I965:J965" si="966">len(B965)</f>
        <v>15</v>
      </c>
      <c r="J965" s="8">
        <f t="shared" si="966"/>
        <v>38</v>
      </c>
      <c r="K965" s="8" t="s">
        <v>4585</v>
      </c>
    </row>
    <row r="966">
      <c r="A966" s="7" t="b">
        <v>1</v>
      </c>
      <c r="B966" s="8" t="s">
        <v>4586</v>
      </c>
      <c r="C966" s="7" t="s">
        <v>4587</v>
      </c>
      <c r="D966" s="8" t="str">
        <f>Q&amp;$K966&amp;Q&amp;":{"&amp;Q&amp;$B$2&amp;Q&amp;":"&amp;Q&amp;$B966&amp;Q&amp;","&amp;Q&amp;$C$2&amp;Q&amp;":"&amp;Q&amp;$C966&amp;Q&amp;","&amp;Q&amp;"sets"&amp;Q&amp;":"&amp;Q&amp;substitute(SUBSTITUTE($H966,"[",""),"]","")&amp;Q&amp;"},"</f>
        <v>"vmrx":{"label":"Love Letters","extra":"“Roses are red, violets are blue…”","sets":"Junior 9+ (2nd)"},</v>
      </c>
      <c r="E966" s="9" t="str">
        <f t="shared" si="2"/>
        <v>data:image/svg+xml,%3csvg xmlns='http://www.w3.org/2000/svg' viewBox='0 0 24 216'%3e%3ctext fill='%23fff' style='font: 900 16px sans-serif' text-anchor='end' transform='matrix(0 -1 1 0 18 5)'%3eLove Letters%3c/text%3e%3c/svg%3e</v>
      </c>
      <c r="F966" s="14" t="str">
        <f t="shared" si="3"/>
        <v>https://svgtext.heliohost.us/cgi-bin/gen.perl?text=Love%20Letters</v>
      </c>
      <c r="G966" s="11" t="str">
        <f t="shared" si="4"/>
        <v>data:image/svg+xml,%3csvg xmlns='http://www.w3.org/2000/svg' viewBox='0 0 24 216'%3e%3ctext fill='%23fff' style='font: 900 16px sans-serif' text-anchor='end' transform='matrix(0 -1 1 0 18 5)'%3eLove Letters%3c/text%3e%3c/svg%3e</v>
      </c>
      <c r="H966" s="8" t="s">
        <v>32</v>
      </c>
      <c r="I966" s="8">
        <f t="shared" ref="I966:J966" si="967">len(B966)</f>
        <v>12</v>
      </c>
      <c r="J966" s="8">
        <f t="shared" si="967"/>
        <v>34</v>
      </c>
      <c r="K966" s="8" t="s">
        <v>4588</v>
      </c>
    </row>
    <row r="967">
      <c r="A967" s="7" t="b">
        <v>0</v>
      </c>
      <c r="B967" s="8" t="s">
        <v>4589</v>
      </c>
      <c r="C967" s="8" t="s">
        <v>4590</v>
      </c>
      <c r="D967" s="8" t="str">
        <f>Q&amp;$K967&amp;Q&amp;":{"&amp;Q&amp;$B$2&amp;Q&amp;":"&amp;Q&amp;$B967&amp;Q&amp;","&amp;Q&amp;$C$2&amp;Q&amp;":"&amp;Q&amp;$C967&amp;Q&amp;","&amp;Q&amp;"sets"&amp;Q&amp;":"&amp;Q&amp;substitute(SUBSTITUTE($H967,"[",""),"]","")&amp;Q&amp;"},"</f>
        <v>"vcmk":{"label":"Lox &amp; Bagels","extra":"A deli favorite. Pass the cream cheese!","sets":"Expansion Set 4, Party Expansion 1"},</v>
      </c>
      <c r="E967" s="9" t="str">
        <f t="shared" si="2"/>
        <v>data:image/svg+xml,%3csvg xmlns='http://www.w3.org/2000/svg' viewBox='0 0 24 216'%3e%3ctext fill='%23fff' style='font: 900 16px sans-serif' text-anchor='end' transform='matrix(0 -1 1 0 18 5)'%3eLox %26amp%3B Bagels%3c/text%3e%3c/svg%3e</v>
      </c>
      <c r="F967" s="14" t="str">
        <f t="shared" si="3"/>
        <v>https://svgtext.heliohost.us/cgi-bin/gen.perl?text=Lox%20%26%20Bagels</v>
      </c>
      <c r="G967" s="11" t="str">
        <f t="shared" si="4"/>
        <v>data:image/svg+xml,%3csvg xmlns='http://www.w3.org/2000/svg' viewBox='0 0 24 216'%3e%3ctext fill='%23fff' style='font: 900 16px sans-serif' text-anchor='end' transform='matrix(0 -1 1 0 18 5)'%3eLox %26amp%3B Bagels%3c/text%3e%3c/svg%3e</v>
      </c>
      <c r="H967" s="8" t="s">
        <v>63</v>
      </c>
      <c r="I967" s="8">
        <f t="shared" ref="I967:J967" si="968">len(B967)</f>
        <v>12</v>
      </c>
      <c r="J967" s="8">
        <f t="shared" si="968"/>
        <v>39</v>
      </c>
      <c r="K967" s="8" t="s">
        <v>4591</v>
      </c>
    </row>
    <row r="968">
      <c r="A968" s="7" t="b">
        <v>0</v>
      </c>
      <c r="B968" s="8" t="s">
        <v>4592</v>
      </c>
      <c r="C968" s="8" t="s">
        <v>4593</v>
      </c>
      <c r="D968" s="8" t="str">
        <f>Q&amp;$K968&amp;Q&amp;":{"&amp;Q&amp;$B$2&amp;Q&amp;":"&amp;Q&amp;$B968&amp;Q&amp;","&amp;Q&amp;$C$2&amp;Q&amp;":"&amp;Q&amp;$C968&amp;Q&amp;","&amp;Q&amp;"sets"&amp;Q&amp;":"&amp;Q&amp;substitute(SUBSTITUTE($H968,"[",""),"]","")&amp;Q&amp;"},"</f>
        <v>"cmej":{"label":"Lucille Ball","extra":"1911-89, American actor and comedian. You love Lucy? I love Lucy.","sets":"Basic Set, Party Set"},</v>
      </c>
      <c r="E968" s="9" t="str">
        <f t="shared" si="2"/>
        <v>data:image/svg+xml,%3csvg xmlns='http://www.w3.org/2000/svg' viewBox='0 0 24 216'%3e%3ctext fill='%23fff' style='font: 900 16px sans-serif' text-anchor='end' transform='matrix(0 -1 1 0 18 5)'%3eLucille Ball%3c/text%3e%3c/svg%3e</v>
      </c>
      <c r="F968" s="14" t="str">
        <f t="shared" si="3"/>
        <v>https://svgtext.heliohost.us/cgi-bin/gen.perl?text=Lucille%20Ball</v>
      </c>
      <c r="G968" s="11" t="str">
        <f t="shared" si="4"/>
        <v>data:image/svg+xml,%3csvg xmlns='http://www.w3.org/2000/svg' viewBox='0 0 24 216'%3e%3ctext fill='%23fff' style='font: 900 16px sans-serif' text-anchor='end' transform='matrix(0 -1 1 0 18 5)'%3eLucille Ball%3c/text%3e%3c/svg%3e</v>
      </c>
      <c r="H968" s="8" t="s">
        <v>29</v>
      </c>
      <c r="I968" s="8">
        <f t="shared" ref="I968:J968" si="969">len(B968)</f>
        <v>12</v>
      </c>
      <c r="J968" s="8">
        <f t="shared" si="969"/>
        <v>65</v>
      </c>
      <c r="K968" s="8" t="s">
        <v>4594</v>
      </c>
    </row>
    <row r="969">
      <c r="A969" s="7" t="b">
        <v>1</v>
      </c>
      <c r="B969" s="8" t="s">
        <v>4595</v>
      </c>
      <c r="C969" s="7" t="s">
        <v>4596</v>
      </c>
      <c r="D969" s="8" t="str">
        <f>Q&amp;$K969&amp;Q&amp;":{"&amp;Q&amp;$B$2&amp;Q&amp;":"&amp;Q&amp;$B969&amp;Q&amp;","&amp;Q&amp;$C$2&amp;Q&amp;":"&amp;Q&amp;$C969&amp;Q&amp;","&amp;Q&amp;"sets"&amp;Q&amp;":"&amp;Q&amp;substitute(SUBSTITUTE($H969,"[",""),"]","")&amp;Q&amp;"},"</f>
        <v>"ljzd":{"label":"Lucy &amp; Desi","extra":"Thirty years later and we still love Lucy.","sets":"Expansion Set 4, Party Expansion 1"},</v>
      </c>
      <c r="E969" s="9" t="str">
        <f t="shared" si="2"/>
        <v>data:image/svg+xml,%3csvg xmlns='http://www.w3.org/2000/svg' viewBox='0 0 24 216'%3e%3ctext fill='%23fff' style='font: 900 16px sans-serif' text-anchor='end' transform='matrix(0 -1 1 0 18 5)'%3eLucy %26amp%3B Desi%3c/text%3e%3c/svg%3e</v>
      </c>
      <c r="F969" s="14" t="str">
        <f t="shared" si="3"/>
        <v>https://svgtext.heliohost.us/cgi-bin/gen.perl?text=Lucy%20%26%20Desi</v>
      </c>
      <c r="G969" s="11" t="str">
        <f t="shared" si="4"/>
        <v>data:image/svg+xml,%3csvg xmlns='http://www.w3.org/2000/svg' viewBox='0 0 24 216'%3e%3ctext fill='%23fff' style='font: 900 16px sans-serif' text-anchor='end' transform='matrix(0 -1 1 0 18 5)'%3eLucy %26amp%3B Desi%3c/text%3e%3c/svg%3e</v>
      </c>
      <c r="H969" s="8" t="s">
        <v>63</v>
      </c>
      <c r="I969" s="8">
        <f t="shared" ref="I969:J969" si="970">len(B969)</f>
        <v>11</v>
      </c>
      <c r="J969" s="8">
        <f t="shared" si="970"/>
        <v>42</v>
      </c>
      <c r="K969" s="8" t="s">
        <v>4597</v>
      </c>
    </row>
    <row r="970">
      <c r="A970" s="7" t="b">
        <v>1</v>
      </c>
      <c r="B970" s="8" t="s">
        <v>4598</v>
      </c>
      <c r="C970" s="8" t="s">
        <v>4599</v>
      </c>
      <c r="D970" s="8" t="str">
        <f>Q&amp;$K970&amp;Q&amp;":{"&amp;Q&amp;$B$2&amp;Q&amp;":"&amp;Q&amp;$B970&amp;Q&amp;","&amp;Q&amp;$C$2&amp;Q&amp;":"&amp;Q&amp;$C970&amp;Q&amp;","&amp;Q&amp;"sets"&amp;Q&amp;":"&amp;Q&amp;substitute(SUBSTITUTE($H970,"[",""),"]","")&amp;Q&amp;"},"</f>
        <v>"rfzc":{"label":"M &amp; M's","extra":"Candy coated chocolates first sold in 1941. Now available in purple.","sets":"Expansion Set 4, Party Expansion 1"},</v>
      </c>
      <c r="E970" s="9" t="str">
        <f t="shared" si="2"/>
        <v>data:image/svg+xml,%3csvg xmlns='http://www.w3.org/2000/svg' viewBox='0 0 24 216'%3e%3ctext fill='%23fff' style='font: 900 16px sans-serif' text-anchor='end' transform='matrix(0 -1 1 0 18 5)'%3eM %26amp%3B M%27s%3c/text%3e%3c/svg%3e</v>
      </c>
      <c r="F970" s="14" t="str">
        <f t="shared" si="3"/>
        <v>https://svgtext.heliohost.us/cgi-bin/gen.perl?text=M%20%26%20M%27s</v>
      </c>
      <c r="G970" s="11" t="str">
        <f t="shared" si="4"/>
        <v>data:image/svg+xml,%3csvg xmlns='http://www.w3.org/2000/svg' viewBox='0 0 24 216'%3e%3ctext fill='%23fff' style='font: 900 16px sans-serif' text-anchor='end' transform='matrix(0 -1 1 0 18 5)'%3eM %26amp%3B M%27s%3c/text%3e%3c/svg%3e</v>
      </c>
      <c r="H970" s="8" t="s">
        <v>63</v>
      </c>
      <c r="I970" s="8">
        <f t="shared" ref="I970:J970" si="971">len(B970)</f>
        <v>7</v>
      </c>
      <c r="J970" s="8">
        <f t="shared" si="971"/>
        <v>68</v>
      </c>
      <c r="K970" s="8" t="s">
        <v>4600</v>
      </c>
    </row>
    <row r="971">
      <c r="A971" s="7" t="b">
        <v>1</v>
      </c>
      <c r="B971" s="8" t="s">
        <v>4601</v>
      </c>
      <c r="C971" s="7" t="s">
        <v>4602</v>
      </c>
      <c r="D971" s="8" t="str">
        <f>Q&amp;$K971&amp;Q&amp;":{"&amp;Q&amp;$B$2&amp;Q&amp;":"&amp;Q&amp;$B971&amp;Q&amp;","&amp;Q&amp;$C$2&amp;Q&amp;":"&amp;Q&amp;$C971&amp;Q&amp;","&amp;Q&amp;"sets"&amp;Q&amp;":"&amp;Q&amp;substitute(SUBSTITUTE($H971,"[",""),"]","")&amp;Q&amp;"},"</f>
        <v>"ttpb":{"label":"Macaroni &amp; Cheese","extra":"It’s the easiest.","sets":"Expansion Set 4, Party Expansion 1"},</v>
      </c>
      <c r="E971" s="9" t="str">
        <f t="shared" si="2"/>
        <v>data:image/svg+xml,%3csvg xmlns='http://www.w3.org/2000/svg' viewBox='0 0 24 216'%3e%3ctext fill='%23fff' style='font: 900 16px sans-serif' text-anchor='end' transform='matrix(0 -1 1 0 18 5)'%3eMacaroni %26amp%3B Cheese%3c/text%3e%3c/svg%3e</v>
      </c>
      <c r="F971" s="14" t="str">
        <f t="shared" si="3"/>
        <v>https://svgtext.heliohost.us/cgi-bin/gen.perl?text=Macaroni%20%26%20Cheese</v>
      </c>
      <c r="G971" s="11" t="str">
        <f t="shared" si="4"/>
        <v>data:image/svg+xml,%3csvg xmlns='http://www.w3.org/2000/svg' viewBox='0 0 24 216'%3e%3ctext fill='%23fff' style='font: 900 16px sans-serif' text-anchor='end' transform='matrix(0 -1 1 0 18 5)'%3eMacaroni %26amp%3B Cheese%3c/text%3e%3c/svg%3e</v>
      </c>
      <c r="H971" s="8" t="s">
        <v>63</v>
      </c>
      <c r="I971" s="8">
        <f t="shared" ref="I971:J971" si="972">len(B971)</f>
        <v>17</v>
      </c>
      <c r="J971" s="8">
        <f t="shared" si="972"/>
        <v>17</v>
      </c>
      <c r="K971" s="8" t="s">
        <v>4603</v>
      </c>
    </row>
    <row r="972">
      <c r="A972" s="7" t="b">
        <v>0</v>
      </c>
      <c r="B972" s="8" t="s">
        <v>4604</v>
      </c>
      <c r="C972" s="7" t="s">
        <v>4605</v>
      </c>
      <c r="D972" s="8" t="str">
        <f>Q&amp;$K972&amp;Q&amp;":{"&amp;Q&amp;$B$2&amp;Q&amp;":"&amp;Q&amp;$B972&amp;Q&amp;","&amp;Q&amp;$C$2&amp;Q&amp;":"&amp;Q&amp;$C972&amp;Q&amp;","&amp;Q&amp;"sets"&amp;Q&amp;":"&amp;Q&amp;substitute(SUBSTITUTE($H972,"[",""),"]","")&amp;Q&amp;"},"</f>
        <v>"xquv":{"label":"Macaroni And Cheese","extra":"A good, hot meal that’s fun to eat.","sets":"Junior"},</v>
      </c>
      <c r="E972" s="9" t="str">
        <f t="shared" si="2"/>
        <v>data:image/svg+xml,%3csvg xmlns='http://www.w3.org/2000/svg' viewBox='0 0 24 216'%3e%3ctext fill='%23fff' style='font: 900 16px sans-serif' text-anchor='end' transform='matrix(0 -1 1 0 18 5)'%3eMacaroni And Cheese%3c/text%3e%3c/svg%3e</v>
      </c>
      <c r="F972" s="14" t="str">
        <f t="shared" si="3"/>
        <v>https://svgtext.heliohost.us/cgi-bin/gen.perl?text=Macaroni%20And%20Cheese</v>
      </c>
      <c r="G972" s="11" t="str">
        <f t="shared" si="4"/>
        <v>data:image/svg+xml,%3csvg xmlns='http://www.w3.org/2000/svg' viewBox='0 0 24 216'%3e%3ctext fill='%23fff' style='font: 900 16px sans-serif' text-anchor='end' transform='matrix(0 -1 1 0 18 5)'%3eMacaroni And Cheese%3c/text%3e%3c/svg%3e</v>
      </c>
      <c r="H972" s="8" t="s">
        <v>84</v>
      </c>
      <c r="I972" s="8">
        <f t="shared" ref="I972:J972" si="973">len(B972)</f>
        <v>19</v>
      </c>
      <c r="J972" s="8">
        <f t="shared" si="973"/>
        <v>35</v>
      </c>
      <c r="K972" s="8" t="s">
        <v>4606</v>
      </c>
    </row>
    <row r="973">
      <c r="A973" s="7" t="b">
        <v>0</v>
      </c>
      <c r="B973" s="8" t="s">
        <v>4607</v>
      </c>
      <c r="C973" s="8" t="s">
        <v>4608</v>
      </c>
      <c r="D973" s="8" t="str">
        <f>Q&amp;$K973&amp;Q&amp;":{"&amp;Q&amp;$B$2&amp;Q&amp;":"&amp;Q&amp;$B973&amp;Q&amp;","&amp;Q&amp;$C$2&amp;Q&amp;":"&amp;Q&amp;$C973&amp;Q&amp;","&amp;Q&amp;"sets"&amp;Q&amp;":"&amp;Q&amp;substitute(SUBSTITUTE($H973,"[",""),"]","")&amp;Q&amp;"},"</f>
        <v>"y{sn":{"label":"Machine Guns","extra":"Automatic, rapid-fire, repeating weapons. The Gatling gun was used as early as the American Civil War.","sets":"Basic Set, Party Set"},</v>
      </c>
      <c r="E973" s="9" t="str">
        <f t="shared" si="2"/>
        <v>data:image/svg+xml,%3csvg xmlns='http://www.w3.org/2000/svg' viewBox='0 0 24 216'%3e%3ctext fill='%23fff' style='font: 900 16px sans-serif' text-anchor='end' transform='matrix(0 -1 1 0 18 5)'%3eMachine Guns%3c/text%3e%3c/svg%3e</v>
      </c>
      <c r="F973" s="14" t="str">
        <f t="shared" si="3"/>
        <v>https://svgtext.heliohost.us/cgi-bin/gen.perl?text=Machine%20Guns</v>
      </c>
      <c r="G973" s="11" t="str">
        <f t="shared" si="4"/>
        <v>data:image/svg+xml,%3csvg xmlns='http://www.w3.org/2000/svg' viewBox='0 0 24 216'%3e%3ctext fill='%23fff' style='font: 900 16px sans-serif' text-anchor='end' transform='matrix(0 -1 1 0 18 5)'%3eMachine Guns%3c/text%3e%3c/svg%3e</v>
      </c>
      <c r="H973" s="8" t="s">
        <v>29</v>
      </c>
      <c r="I973" s="8">
        <f t="shared" ref="I973:J973" si="974">len(B973)</f>
        <v>12</v>
      </c>
      <c r="J973" s="8">
        <f t="shared" si="974"/>
        <v>102</v>
      </c>
      <c r="K973" s="8" t="s">
        <v>4609</v>
      </c>
    </row>
    <row r="974">
      <c r="A974" s="7" t="b">
        <v>0</v>
      </c>
      <c r="B974" s="8" t="s">
        <v>4610</v>
      </c>
      <c r="C974" s="7" t="s">
        <v>4611</v>
      </c>
      <c r="D974" s="8" t="str">
        <f>Q&amp;$K974&amp;Q&amp;":{"&amp;Q&amp;$B$2&amp;Q&amp;":"&amp;Q&amp;$B974&amp;Q&amp;","&amp;Q&amp;$C$2&amp;Q&amp;":"&amp;Q&amp;$C974&amp;Q&amp;","&amp;Q&amp;"sets"&amp;Q&amp;":"&amp;Q&amp;substitute(SUBSTITUTE($H974,"[",""),"]","")&amp;Q&amp;"},"</f>
        <v>"ccyu":{"label":"Mad Cow Disease","extra":"Degenerative brain disorder in cattle. The reason they don’t know enough to come in out of the rain?","sets":"Expansion Set 1, Party Set"},</v>
      </c>
      <c r="E974" s="9" t="str">
        <f t="shared" si="2"/>
        <v>data:image/svg+xml,%3csvg xmlns='http://www.w3.org/2000/svg' viewBox='0 0 24 216'%3e%3ctext fill='%23fff' style='font: 900 16px sans-serif' text-anchor='end' transform='matrix(0 -1 1 0 18 5)'%3eMad Cow Disease%3c/text%3e%3c/svg%3e</v>
      </c>
      <c r="F974" s="14" t="str">
        <f t="shared" si="3"/>
        <v>https://svgtext.heliohost.us/cgi-bin/gen.perl?text=Mad%20Cow%20Disease</v>
      </c>
      <c r="G974" s="11" t="str">
        <f t="shared" si="4"/>
        <v>data:image/svg+xml,%3csvg xmlns='http://www.w3.org/2000/svg' viewBox='0 0 24 216'%3e%3ctext fill='%23fff' style='font: 900 16px sans-serif' text-anchor='end' transform='matrix(0 -1 1 0 18 5)'%3eMad Cow Disease%3c/text%3e%3c/svg%3e</v>
      </c>
      <c r="H974" s="8" t="s">
        <v>25</v>
      </c>
      <c r="I974" s="8">
        <f t="shared" ref="I974:J974" si="975">len(B974)</f>
        <v>15</v>
      </c>
      <c r="J974" s="8">
        <f t="shared" si="975"/>
        <v>100</v>
      </c>
      <c r="K974" s="8" t="s">
        <v>4612</v>
      </c>
    </row>
    <row r="975">
      <c r="A975" s="7" t="b">
        <v>0</v>
      </c>
      <c r="B975" s="8" t="s">
        <v>4613</v>
      </c>
      <c r="C975" s="7" t="s">
        <v>4614</v>
      </c>
      <c r="D975" s="8" t="str">
        <f>Q&amp;$K975&amp;Q&amp;":{"&amp;Q&amp;$B$2&amp;Q&amp;":"&amp;Q&amp;$B975&amp;Q&amp;","&amp;Q&amp;$C$2&amp;Q&amp;":"&amp;Q&amp;$C975&amp;Q&amp;","&amp;Q&amp;"sets"&amp;Q&amp;":"&amp;Q&amp;substitute(SUBSTITUTE($H975,"[",""),"]","")&amp;Q&amp;"},"</f>
        <v>"efqs":{"label":"Madame Curie","extra":"1867-1934, French chemist and physicist who won a Nobel Prize for her work on radiation. Fun fact: A “curie” is a unit of radioactivity.","sets":"Expansion Set 2, Party Set"},</v>
      </c>
      <c r="E975" s="9" t="str">
        <f t="shared" si="2"/>
        <v>data:image/svg+xml,%3csvg xmlns='http://www.w3.org/2000/svg' viewBox='0 0 24 216'%3e%3ctext fill='%23fff' style='font: 900 16px sans-serif' text-anchor='end' transform='matrix(0 -1 1 0 18 5)'%3eMadame Curie%3c/text%3e%3c/svg%3e</v>
      </c>
      <c r="F975" s="14" t="str">
        <f t="shared" si="3"/>
        <v>https://svgtext.heliohost.us/cgi-bin/gen.perl?text=Madame%20Curie</v>
      </c>
      <c r="G975" s="11" t="str">
        <f t="shared" si="4"/>
        <v>data:image/svg+xml,%3csvg xmlns='http://www.w3.org/2000/svg' viewBox='0 0 24 216'%3e%3ctext fill='%23fff' style='font: 900 16px sans-serif' text-anchor='end' transform='matrix(0 -1 1 0 18 5)'%3eMadame Curie%3c/text%3e%3c/svg%3e</v>
      </c>
      <c r="H975" s="8" t="s">
        <v>17</v>
      </c>
      <c r="I975" s="8">
        <f t="shared" ref="I975:J975" si="976">len(B975)</f>
        <v>12</v>
      </c>
      <c r="J975" s="8">
        <f t="shared" si="976"/>
        <v>136</v>
      </c>
      <c r="K975" s="8" t="s">
        <v>4615</v>
      </c>
    </row>
    <row r="976">
      <c r="A976" s="7" t="b">
        <v>0</v>
      </c>
      <c r="B976" s="8" t="s">
        <v>4616</v>
      </c>
      <c r="C976" s="8" t="s">
        <v>4617</v>
      </c>
      <c r="D976" s="8" t="str">
        <f>Q&amp;$K976&amp;Q&amp;":{"&amp;Q&amp;$B$2&amp;Q&amp;":"&amp;Q&amp;$B976&amp;Q&amp;","&amp;Q&amp;$C$2&amp;Q&amp;":"&amp;Q&amp;$C976&amp;Q&amp;","&amp;Q&amp;"sets"&amp;Q&amp;":"&amp;Q&amp;substitute(SUBSTITUTE($H976,"[",""),"]","")&amp;Q&amp;"},"</f>
        <v>"lvie":{"label":"Madeline","extra":"Brave storybook character who lived in an old house in Paris that was covered in vines.","sets":"Junior"},</v>
      </c>
      <c r="E976" s="9" t="str">
        <f t="shared" si="2"/>
        <v>data:image/svg+xml,%3csvg xmlns='http://www.w3.org/2000/svg' viewBox='0 0 24 216'%3e%3ctext fill='%23fff' style='font: 900 16px sans-serif' text-anchor='end' transform='matrix(0 -1 1 0 18 5)'%3eMadeline%3c/text%3e%3c/svg%3e</v>
      </c>
      <c r="F976" s="14" t="str">
        <f t="shared" si="3"/>
        <v>https://svgtext.heliohost.us/cgi-bin/gen.perl?text=Madeline</v>
      </c>
      <c r="G976" s="11" t="str">
        <f t="shared" si="4"/>
        <v>data:image/svg+xml,%3csvg xmlns='http://www.w3.org/2000/svg' viewBox='0 0 24 216'%3e%3ctext fill='%23fff' style='font: 900 16px sans-serif' text-anchor='end' transform='matrix(0 -1 1 0 18 5)'%3eMadeline%3c/text%3e%3c/svg%3e</v>
      </c>
      <c r="H976" s="8" t="s">
        <v>84</v>
      </c>
      <c r="I976" s="8">
        <f t="shared" ref="I976:J976" si="977">len(B976)</f>
        <v>8</v>
      </c>
      <c r="J976" s="8">
        <f t="shared" si="977"/>
        <v>87</v>
      </c>
      <c r="K976" s="8" t="s">
        <v>4618</v>
      </c>
    </row>
    <row r="977">
      <c r="A977" s="7" t="b">
        <v>0</v>
      </c>
      <c r="B977" s="8" t="s">
        <v>4619</v>
      </c>
      <c r="C977" s="8" t="s">
        <v>4620</v>
      </c>
      <c r="D977" s="8" t="str">
        <f>Q&amp;$K977&amp;Q&amp;":{"&amp;Q&amp;$B$2&amp;Q&amp;":"&amp;Q&amp;$B977&amp;Q&amp;","&amp;Q&amp;$C$2&amp;Q&amp;":"&amp;Q&amp;$C977&amp;Q&amp;","&amp;Q&amp;"sets"&amp;Q&amp;":"&amp;Q&amp;substitute(SUBSTITUTE($H977,"[",""),"]","")&amp;Q&amp;"},"</f>
        <v>"iphx":{"label":"Madonna","extra":"1958-, American singer, songwriter, actor, writer, and 1980s pop icon. Blond Ambition.","sets":"Basic Set, Party Set"},</v>
      </c>
      <c r="E977" s="9" t="str">
        <f t="shared" si="2"/>
        <v>data:image/svg+xml,%3csvg xmlns='http://www.w3.org/2000/svg' viewBox='0 0 24 216'%3e%3ctext fill='%23fff' style='font: 900 16px sans-serif' text-anchor='end' transform='matrix(0 -1 1 0 18 5)'%3eMadonna%3c/text%3e%3c/svg%3e</v>
      </c>
      <c r="F977" s="14" t="str">
        <f t="shared" si="3"/>
        <v>https://svgtext.heliohost.us/cgi-bin/gen.perl?text=Madonna</v>
      </c>
      <c r="G977" s="11" t="str">
        <f t="shared" si="4"/>
        <v>data:image/svg+xml,%3csvg xmlns='http://www.w3.org/2000/svg' viewBox='0 0 24 216'%3e%3ctext fill='%23fff' style='font: 900 16px sans-serif' text-anchor='end' transform='matrix(0 -1 1 0 18 5)'%3eMadonna%3c/text%3e%3c/svg%3e</v>
      </c>
      <c r="H977" s="8" t="s">
        <v>29</v>
      </c>
      <c r="I977" s="8">
        <f t="shared" ref="I977:J977" si="978">len(B977)</f>
        <v>7</v>
      </c>
      <c r="J977" s="8">
        <f t="shared" si="978"/>
        <v>86</v>
      </c>
      <c r="K977" s="8" t="s">
        <v>4621</v>
      </c>
    </row>
    <row r="978">
      <c r="A978" s="7" t="b">
        <v>0</v>
      </c>
      <c r="B978" s="8" t="s">
        <v>4622</v>
      </c>
      <c r="C978" s="7" t="s">
        <v>4623</v>
      </c>
      <c r="D978" s="8" t="str">
        <f>Q&amp;$K978&amp;Q&amp;":{"&amp;Q&amp;$B$2&amp;Q&amp;":"&amp;Q&amp;$B978&amp;Q&amp;","&amp;Q&amp;$C$2&amp;Q&amp;":"&amp;Q&amp;$C978&amp;Q&amp;","&amp;Q&amp;"sets"&amp;Q&amp;":"&amp;Q&amp;substitute(SUBSTITUTE($H978,"[",""),"]","")&amp;Q&amp;"},"</f>
        <v>"negt":{"label":"Mae West","extra":"1892-1980, American stage and film comedian. “Too much of a good thing can be wonderful.”","sets":"Expansion Set 3, Party Expansion 1"},</v>
      </c>
      <c r="E978" s="9" t="str">
        <f t="shared" si="2"/>
        <v>data:image/svg+xml,%3csvg xmlns='http://www.w3.org/2000/svg' viewBox='0 0 24 216'%3e%3ctext fill='%23fff' style='font: 900 16px sans-serif' text-anchor='end' transform='matrix(0 -1 1 0 18 5)'%3eMae West%3c/text%3e%3c/svg%3e</v>
      </c>
      <c r="F978" s="14" t="str">
        <f t="shared" si="3"/>
        <v>https://svgtext.heliohost.us/cgi-bin/gen.perl?text=Mae%20West</v>
      </c>
      <c r="G978" s="11" t="str">
        <f t="shared" si="4"/>
        <v>data:image/svg+xml,%3csvg xmlns='http://www.w3.org/2000/svg' viewBox='0 0 24 216'%3e%3ctext fill='%23fff' style='font: 900 16px sans-serif' text-anchor='end' transform='matrix(0 -1 1 0 18 5)'%3eMae West%3c/text%3e%3c/svg%3e</v>
      </c>
      <c r="H978" s="8" t="s">
        <v>39</v>
      </c>
      <c r="I978" s="8">
        <f t="shared" ref="I978:J978" si="979">len(B978)</f>
        <v>8</v>
      </c>
      <c r="J978" s="8">
        <f t="shared" si="979"/>
        <v>89</v>
      </c>
      <c r="K978" s="8" t="s">
        <v>4624</v>
      </c>
    </row>
    <row r="979">
      <c r="A979" s="7" t="b">
        <v>1</v>
      </c>
      <c r="B979" s="8" t="s">
        <v>4625</v>
      </c>
      <c r="C979" s="7" t="s">
        <v>4626</v>
      </c>
      <c r="D979" s="8" t="str">
        <f>Q&amp;$K979&amp;Q&amp;":{"&amp;Q&amp;$B$2&amp;Q&amp;":"&amp;Q&amp;$B979&amp;Q&amp;","&amp;Q&amp;$C$2&amp;Q&amp;":"&amp;Q&amp;$C979&amp;Q&amp;","&amp;Q&amp;"sets"&amp;Q&amp;":"&amp;Q&amp;substitute(SUBSTITUTE($H979,"[",""),"]","")&amp;Q&amp;"},"</f>
        <v>"aser":{"label":"Maggots","extra":"I though it was rice.","sets":"Expansion Set 3, Party Expansion 1"},</v>
      </c>
      <c r="E979" s="9" t="str">
        <f t="shared" si="2"/>
        <v>data:image/svg+xml,%3csvg xmlns='http://www.w3.org/2000/svg' viewBox='0 0 24 216'%3e%3ctext fill='%23fff' style='font: 900 16px sans-serif' text-anchor='end' transform='matrix(0 -1 1 0 18 5)'%3eMaggots%3c/text%3e%3c/svg%3e</v>
      </c>
      <c r="F979" s="14" t="str">
        <f t="shared" si="3"/>
        <v>https://svgtext.heliohost.us/cgi-bin/gen.perl?text=Maggots</v>
      </c>
      <c r="G979" s="11" t="str">
        <f t="shared" si="4"/>
        <v>data:image/svg+xml,%3csvg xmlns='http://www.w3.org/2000/svg' viewBox='0 0 24 216'%3e%3ctext fill='%23fff' style='font: 900 16px sans-serif' text-anchor='end' transform='matrix(0 -1 1 0 18 5)'%3eMaggots%3c/text%3e%3c/svg%3e</v>
      </c>
      <c r="H979" s="8" t="s">
        <v>39</v>
      </c>
      <c r="I979" s="8">
        <f t="shared" ref="I979:J979" si="980">len(B979)</f>
        <v>7</v>
      </c>
      <c r="J979" s="8">
        <f t="shared" si="980"/>
        <v>21</v>
      </c>
      <c r="K979" s="8" t="s">
        <v>4627</v>
      </c>
    </row>
    <row r="980">
      <c r="A980" s="7" t="b">
        <v>0</v>
      </c>
      <c r="B980" s="8" t="s">
        <v>4628</v>
      </c>
      <c r="C980" s="7" t="s">
        <v>4629</v>
      </c>
      <c r="D980" s="8" t="str">
        <f>Q&amp;$K980&amp;Q&amp;":{"&amp;Q&amp;$B$2&amp;Q&amp;":"&amp;Q&amp;$B980&amp;Q&amp;","&amp;Q&amp;$C$2&amp;Q&amp;":"&amp;Q&amp;$C980&amp;Q&amp;","&amp;Q&amp;"sets"&amp;Q&amp;":"&amp;Q&amp;substitute(SUBSTITUTE($H980,"[",""),"]","")&amp;Q&amp;"},"</f>
        <v>"nihr":{"label":"Magic Tricks","extra":"“Nothin’ up my sleeve…” —Bullwinkle","sets":"Expansion Set 2, Party Set"},</v>
      </c>
      <c r="E980" s="9" t="str">
        <f t="shared" si="2"/>
        <v>data:image/svg+xml,%3csvg xmlns='http://www.w3.org/2000/svg' viewBox='0 0 24 216'%3e%3ctext fill='%23fff' style='font: 900 16px sans-serif' text-anchor='end' transform='matrix(0 -1 1 0 18 5)'%3eMagic Tricks%3c/text%3e%3c/svg%3e</v>
      </c>
      <c r="F980" s="14" t="str">
        <f t="shared" si="3"/>
        <v>https://svgtext.heliohost.us/cgi-bin/gen.perl?text=Magic%20Tricks</v>
      </c>
      <c r="G980" s="11" t="str">
        <f t="shared" si="4"/>
        <v>data:image/svg+xml,%3csvg xmlns='http://www.w3.org/2000/svg' viewBox='0 0 24 216'%3e%3ctext fill='%23fff' style='font: 900 16px sans-serif' text-anchor='end' transform='matrix(0 -1 1 0 18 5)'%3eMagic Tricks%3c/text%3e%3c/svg%3e</v>
      </c>
      <c r="H980" s="8" t="s">
        <v>17</v>
      </c>
      <c r="I980" s="8">
        <f t="shared" ref="I980:J980" si="981">len(B980)</f>
        <v>12</v>
      </c>
      <c r="J980" s="8">
        <f t="shared" si="981"/>
        <v>35</v>
      </c>
      <c r="K980" s="8" t="s">
        <v>4630</v>
      </c>
    </row>
    <row r="981">
      <c r="A981" s="7" t="b">
        <v>1</v>
      </c>
      <c r="B981" s="8" t="s">
        <v>4628</v>
      </c>
      <c r="C981" s="7" t="s">
        <v>4631</v>
      </c>
      <c r="D981" s="8" t="str">
        <f>Q&amp;$K981&amp;Q&amp;":{"&amp;Q&amp;$B$2&amp;Q&amp;":"&amp;Q&amp;$B981&amp;Q&amp;","&amp;Q&amp;$C$2&amp;Q&amp;":"&amp;Q&amp;$C981&amp;Q&amp;","&amp;Q&amp;"sets"&amp;Q&amp;":"&amp;Q&amp;substitute(SUBSTITUTE($H981,"[",""),"]","")&amp;Q&amp;"},"</f>
        <v>"cdgd":{"label":"Magic Tricks","extra":"Now you see it, now you don’t!","sets":"Junior 9+ (1st) &amp; (2nd)"},</v>
      </c>
      <c r="E981" s="9" t="str">
        <f t="shared" si="2"/>
        <v>data:image/svg+xml,%3csvg xmlns='http://www.w3.org/2000/svg' viewBox='0 0 24 216'%3e%3ctext fill='%23fff' style='font: 900 16px sans-serif' text-anchor='end' transform='matrix(0 -1 1 0 18 5)'%3eMagic Tricks%3c/text%3e%3c/svg%3e</v>
      </c>
      <c r="F981" s="14" t="str">
        <f t="shared" si="3"/>
        <v>https://svgtext.heliohost.us/cgi-bin/gen.perl?text=Magic%20Tricks</v>
      </c>
      <c r="G981" s="11" t="str">
        <f t="shared" si="4"/>
        <v>data:image/svg+xml,%3csvg xmlns='http://www.w3.org/2000/svg' viewBox='0 0 24 216'%3e%3ctext fill='%23fff' style='font: 900 16px sans-serif' text-anchor='end' transform='matrix(0 -1 1 0 18 5)'%3eMagic Tricks%3c/text%3e%3c/svg%3e</v>
      </c>
      <c r="H981" s="8" t="s">
        <v>42</v>
      </c>
      <c r="I981" s="8">
        <f t="shared" ref="I981:J981" si="982">len(B981)</f>
        <v>12</v>
      </c>
      <c r="J981" s="8">
        <f t="shared" si="982"/>
        <v>30</v>
      </c>
      <c r="K981" s="8" t="s">
        <v>4632</v>
      </c>
    </row>
    <row r="982">
      <c r="A982" s="7" t="b">
        <v>0</v>
      </c>
      <c r="B982" s="8" t="s">
        <v>4633</v>
      </c>
      <c r="C982" s="8" t="s">
        <v>4634</v>
      </c>
      <c r="D982" s="8" t="str">
        <f>Q&amp;$K982&amp;Q&amp;":{"&amp;Q&amp;$B$2&amp;Q&amp;":"&amp;Q&amp;$B982&amp;Q&amp;","&amp;Q&amp;$C$2&amp;Q&amp;":"&amp;Q&amp;$C982&amp;Q&amp;","&amp;Q&amp;"sets"&amp;Q&amp;":"&amp;Q&amp;substitute(SUBSTITUTE($H982,"[",""),"]","")&amp;Q&amp;"},"</f>
        <v>"lqhc":{"label":"Mahatma Gandhi","extra":"1869-1948, Indian leader and philosopher who preached nonviolence. Was assassinated for his efforts.","sets":"Basic Set, Party Set"},</v>
      </c>
      <c r="E982" s="9" t="str">
        <f t="shared" si="2"/>
        <v>data:image/svg+xml,%3csvg xmlns='http://www.w3.org/2000/svg' viewBox='0 0 24 216'%3e%3ctext fill='%23fff' style='font: 900 16px sans-serif' text-anchor='end' transform='matrix(0 -1 1 0 18 5)'%3eMahatma Gandhi%3c/text%3e%3c/svg%3e</v>
      </c>
      <c r="F982" s="14" t="str">
        <f t="shared" si="3"/>
        <v>https://svgtext.heliohost.us/cgi-bin/gen.perl?text=Mahatma%20Gandhi</v>
      </c>
      <c r="G982" s="11" t="str">
        <f t="shared" si="4"/>
        <v>data:image/svg+xml,%3csvg xmlns='http://www.w3.org/2000/svg' viewBox='0 0 24 216'%3e%3ctext fill='%23fff' style='font: 900 16px sans-serif' text-anchor='end' transform='matrix(0 -1 1 0 18 5)'%3eMahatma Gandhi%3c/text%3e%3c/svg%3e</v>
      </c>
      <c r="H982" s="8" t="s">
        <v>29</v>
      </c>
      <c r="I982" s="8">
        <f t="shared" ref="I982:J982" si="983">len(B982)</f>
        <v>14</v>
      </c>
      <c r="J982" s="8">
        <f t="shared" si="983"/>
        <v>100</v>
      </c>
      <c r="K982" s="8" t="s">
        <v>4635</v>
      </c>
    </row>
    <row r="983">
      <c r="A983" s="7" t="b">
        <v>1</v>
      </c>
      <c r="B983" s="8" t="s">
        <v>4636</v>
      </c>
      <c r="C983" s="8" t="s">
        <v>4637</v>
      </c>
      <c r="D983" s="8" t="str">
        <f>Q&amp;$K983&amp;Q&amp;":{"&amp;Q&amp;$B$2&amp;Q&amp;":"&amp;Q&amp;$B983&amp;Q&amp;","&amp;Q&amp;$C$2&amp;Q&amp;":"&amp;Q&amp;$C983&amp;Q&amp;","&amp;Q&amp;"sets"&amp;Q&amp;":"&amp;Q&amp;substitute(SUBSTITUTE($H983,"[",""),"]","")&amp;Q&amp;"},"</f>
        <v>"kjnm":{"label":"Mail Carrier","extra":"A person who brings the mail to your house, no matter what the weather.","sets":"Junior"},</v>
      </c>
      <c r="E983" s="9" t="str">
        <f t="shared" si="2"/>
        <v>data:image/svg+xml,%3csvg xmlns='http://www.w3.org/2000/svg' viewBox='0 0 24 216'%3e%3ctext fill='%23fff' style='font: 900 16px sans-serif' text-anchor='end' transform='matrix(0 -1 1 0 18 5)'%3eMail Carrier%3c/text%3e%3c/svg%3e</v>
      </c>
      <c r="F983" s="14" t="str">
        <f t="shared" si="3"/>
        <v>https://svgtext.heliohost.us/cgi-bin/gen.perl?text=Mail%20Carrier</v>
      </c>
      <c r="G983" s="11" t="str">
        <f t="shared" si="4"/>
        <v>data:image/svg+xml,%3csvg xmlns='http://www.w3.org/2000/svg' viewBox='0 0 24 216'%3e%3ctext fill='%23fff' style='font: 900 16px sans-serif' text-anchor='end' transform='matrix(0 -1 1 0 18 5)'%3eMail Carrier%3c/text%3e%3c/svg%3e</v>
      </c>
      <c r="H983" s="8" t="s">
        <v>84</v>
      </c>
      <c r="I983" s="8">
        <f t="shared" ref="I983:J983" si="984">len(B983)</f>
        <v>12</v>
      </c>
      <c r="J983" s="8">
        <f t="shared" si="984"/>
        <v>71</v>
      </c>
      <c r="K983" s="8" t="s">
        <v>4638</v>
      </c>
    </row>
    <row r="984">
      <c r="A984" s="7" t="b">
        <v>0</v>
      </c>
      <c r="B984" s="8" t="s">
        <v>4639</v>
      </c>
      <c r="C984" s="7" t="s">
        <v>4640</v>
      </c>
      <c r="D984" s="8" t="str">
        <f>Q&amp;$K984&amp;Q&amp;":{"&amp;Q&amp;$B$2&amp;Q&amp;":"&amp;Q&amp;$B984&amp;Q&amp;","&amp;Q&amp;$C$2&amp;Q&amp;":"&amp;Q&amp;$C984&amp;Q&amp;","&amp;Q&amp;"sets"&amp;Q&amp;":"&amp;Q&amp;substitute(SUBSTITUTE($H984,"[",""),"]","")&amp;Q&amp;"},"</f>
        <v>"cpgu":{"label":"Manhattan","extra":"I'll take Manhattan!.","sets":"Expansion Set 2, Party Set"},</v>
      </c>
      <c r="E984" s="9" t="str">
        <f t="shared" si="2"/>
        <v>data:image/svg+xml,%3csvg xmlns='http://www.w3.org/2000/svg' viewBox='0 0 24 216'%3e%3ctext fill='%23fff' style='font: 900 16px sans-serif' text-anchor='end' transform='matrix(0 -1 1 0 18 5)'%3eManhattan%3c/text%3e%3c/svg%3e</v>
      </c>
      <c r="F984" s="14" t="str">
        <f t="shared" si="3"/>
        <v>https://svgtext.heliohost.us/cgi-bin/gen.perl?text=Manhattan</v>
      </c>
      <c r="G984" s="11" t="str">
        <f t="shared" si="4"/>
        <v>data:image/svg+xml,%3csvg xmlns='http://www.w3.org/2000/svg' viewBox='0 0 24 216'%3e%3ctext fill='%23fff' style='font: 900 16px sans-serif' text-anchor='end' transform='matrix(0 -1 1 0 18 5)'%3eManhattan%3c/text%3e%3c/svg%3e</v>
      </c>
      <c r="H984" s="8" t="s">
        <v>17</v>
      </c>
      <c r="I984" s="8">
        <f t="shared" ref="I984:J984" si="985">len(B984)</f>
        <v>9</v>
      </c>
      <c r="J984" s="8">
        <f t="shared" si="985"/>
        <v>21</v>
      </c>
      <c r="K984" s="8" t="s">
        <v>4641</v>
      </c>
    </row>
    <row r="985">
      <c r="A985" s="7" t="b">
        <v>1</v>
      </c>
      <c r="B985" s="8" t="s">
        <v>4642</v>
      </c>
      <c r="C985" s="7" t="s">
        <v>4643</v>
      </c>
      <c r="D985" s="8" t="str">
        <f>Q&amp;$K985&amp;Q&amp;":{"&amp;Q&amp;$B$2&amp;Q&amp;":"&amp;Q&amp;$B985&amp;Q&amp;","&amp;Q&amp;$C$2&amp;Q&amp;":"&amp;Q&amp;$C985&amp;Q&amp;","&amp;Q&amp;"sets"&amp;Q&amp;":"&amp;Q&amp;substitute(SUBSTITUTE($H985,"[",""),"]","")&amp;Q&amp;"},"</f>
        <v>"shge":{"label":"Maple Syrup","extra":"Made from the sweet sap of the maple tree or black maple tree, produced only in North America a “must have” for pancakes.","sets":"Expansion Set 3, Party Expansion 1"},</v>
      </c>
      <c r="E985" s="9" t="str">
        <f t="shared" si="2"/>
        <v>data:image/svg+xml,%3csvg xmlns='http://www.w3.org/2000/svg' viewBox='0 0 24 216'%3e%3ctext fill='%23fff' style='font: 900 16px sans-serif' text-anchor='end' transform='matrix(0 -1 1 0 18 5)'%3eMaple Syrup%3c/text%3e%3c/svg%3e</v>
      </c>
      <c r="F985" s="14" t="str">
        <f t="shared" si="3"/>
        <v>https://svgtext.heliohost.us/cgi-bin/gen.perl?text=Maple%20Syrup</v>
      </c>
      <c r="G985" s="11" t="str">
        <f t="shared" si="4"/>
        <v>data:image/svg+xml,%3csvg xmlns='http://www.w3.org/2000/svg' viewBox='0 0 24 216'%3e%3ctext fill='%23fff' style='font: 900 16px sans-serif' text-anchor='end' transform='matrix(0 -1 1 0 18 5)'%3eMaple Syrup%3c/text%3e%3c/svg%3e</v>
      </c>
      <c r="H985" s="8" t="s">
        <v>39</v>
      </c>
      <c r="I985" s="8">
        <f t="shared" ref="I985:J985" si="986">len(B985)</f>
        <v>11</v>
      </c>
      <c r="J985" s="8">
        <f t="shared" si="986"/>
        <v>121</v>
      </c>
      <c r="K985" s="8" t="s">
        <v>4644</v>
      </c>
    </row>
    <row r="986">
      <c r="A986" s="7" t="b">
        <v>0</v>
      </c>
      <c r="B986" s="8" t="s">
        <v>4645</v>
      </c>
      <c r="C986" s="8" t="s">
        <v>4646</v>
      </c>
      <c r="D986" s="8" t="str">
        <f>Q&amp;$K986&amp;Q&amp;":{"&amp;Q&amp;$B$2&amp;Q&amp;":"&amp;Q&amp;$B986&amp;Q&amp;","&amp;Q&amp;$C$2&amp;Q&amp;":"&amp;Q&amp;$C986&amp;Q&amp;","&amp;Q&amp;"sets"&amp;Q&amp;":"&amp;Q&amp;substitute(SUBSTITUTE($H986,"[",""),"]","")&amp;Q&amp;"},"</f>
        <v>"vn{e":{"label":"Mardi Gras","extra":"Fat Tuesday marks the final day before the Christian fast of Lent, a 40-day period of self-denial and abstinence. SO LET'S PARTY!","sets":"Expansion Set 2, Party Set"},</v>
      </c>
      <c r="E986" s="9" t="str">
        <f t="shared" si="2"/>
        <v>data:image/svg+xml,%3csvg xmlns='http://www.w3.org/2000/svg' viewBox='0 0 24 216'%3e%3ctext fill='%23fff' style='font: 900 16px sans-serif' text-anchor='end' transform='matrix(0 -1 1 0 18 5)'%3eMardi Gras%3c/text%3e%3c/svg%3e</v>
      </c>
      <c r="F986" s="14" t="str">
        <f t="shared" si="3"/>
        <v>https://svgtext.heliohost.us/cgi-bin/gen.perl?text=Mardi%20Gras</v>
      </c>
      <c r="G986" s="11" t="str">
        <f t="shared" si="4"/>
        <v>data:image/svg+xml,%3csvg xmlns='http://www.w3.org/2000/svg' viewBox='0 0 24 216'%3e%3ctext fill='%23fff' style='font: 900 16px sans-serif' text-anchor='end' transform='matrix(0 -1 1 0 18 5)'%3eMardi Gras%3c/text%3e%3c/svg%3e</v>
      </c>
      <c r="H986" s="8" t="s">
        <v>17</v>
      </c>
      <c r="I986" s="8">
        <f t="shared" ref="I986:J986" si="987">len(B986)</f>
        <v>10</v>
      </c>
      <c r="J986" s="8">
        <f t="shared" si="987"/>
        <v>129</v>
      </c>
      <c r="K986" s="8" t="s">
        <v>4647</v>
      </c>
    </row>
    <row r="987">
      <c r="A987" s="7" t="b">
        <v>0</v>
      </c>
      <c r="B987" s="8" t="s">
        <v>4648</v>
      </c>
      <c r="C987" s="8" t="s">
        <v>4649</v>
      </c>
      <c r="D987" s="8" t="str">
        <f>Q&amp;$K987&amp;Q&amp;":{"&amp;Q&amp;$B$2&amp;Q&amp;":"&amp;Q&amp;$B987&amp;Q&amp;","&amp;Q&amp;$C$2&amp;Q&amp;":"&amp;Q&amp;$C987&amp;Q&amp;","&amp;Q&amp;"sets"&amp;Q&amp;":"&amp;Q&amp;substitute(SUBSTITUTE($H987,"[",""),"]","")&amp;Q&amp;"},"</f>
        <v>"zqzf":{"label":"Marilyn Monroe","extra":"1926-62, American movie star, pinup and sex symbol. Just ask the Kennedys.","sets":"Basic Set, Party Set"},</v>
      </c>
      <c r="E987" s="9" t="str">
        <f t="shared" si="2"/>
        <v>data:image/svg+xml,%3csvg xmlns='http://www.w3.org/2000/svg' viewBox='0 0 24 216'%3e%3ctext fill='%23fff' style='font: 900 16px sans-serif' text-anchor='end' transform='matrix(0 -1 1 0 18 5)'%3eMarilyn Monroe%3c/text%3e%3c/svg%3e</v>
      </c>
      <c r="F987" s="14" t="str">
        <f t="shared" si="3"/>
        <v>https://svgtext.heliohost.us/cgi-bin/gen.perl?text=Marilyn%20Monroe</v>
      </c>
      <c r="G987" s="11" t="str">
        <f t="shared" si="4"/>
        <v>data:image/svg+xml,%3csvg xmlns='http://www.w3.org/2000/svg' viewBox='0 0 24 216'%3e%3ctext fill='%23fff' style='font: 900 16px sans-serif' text-anchor='end' transform='matrix(0 -1 1 0 18 5)'%3eMarilyn Monroe%3c/text%3e%3c/svg%3e</v>
      </c>
      <c r="H987" s="8" t="s">
        <v>29</v>
      </c>
      <c r="I987" s="8">
        <f t="shared" ref="I987:J987" si="988">len(B987)</f>
        <v>14</v>
      </c>
      <c r="J987" s="8">
        <f t="shared" si="988"/>
        <v>74</v>
      </c>
      <c r="K987" s="8" t="s">
        <v>4650</v>
      </c>
    </row>
    <row r="988">
      <c r="A988" s="7" t="b">
        <v>0</v>
      </c>
      <c r="B988" s="8" t="s">
        <v>4651</v>
      </c>
      <c r="C988" s="8" t="s">
        <v>4652</v>
      </c>
      <c r="D988" s="8" t="str">
        <f>Q&amp;$K988&amp;Q&amp;":{"&amp;Q&amp;$B$2&amp;Q&amp;":"&amp;Q&amp;$B988&amp;Q&amp;","&amp;Q&amp;$C$2&amp;Q&amp;":"&amp;Q&amp;$C988&amp;Q&amp;","&amp;Q&amp;"sets"&amp;Q&amp;":"&amp;Q&amp;substitute(SUBSTITUTE($H988,"[",""),"]","")&amp;Q&amp;"},"</f>
        <v>"ihjj":{"label":"Mark Twain","extra":"1835-1910, American writer and humorist, best known for the adventures of Tom Sawyer and Huckleberry Finn.","sets":"Basic Set, Party Set"},</v>
      </c>
      <c r="E988" s="9" t="str">
        <f t="shared" si="2"/>
        <v>data:image/svg+xml,%3csvg xmlns='http://www.w3.org/2000/svg' viewBox='0 0 24 216'%3e%3ctext fill='%23fff' style='font: 900 16px sans-serif' text-anchor='end' transform='matrix(0 -1 1 0 18 5)'%3eMark Twain%3c/text%3e%3c/svg%3e</v>
      </c>
      <c r="F988" s="14" t="str">
        <f t="shared" si="3"/>
        <v>https://svgtext.heliohost.us/cgi-bin/gen.perl?text=Mark%20Twain</v>
      </c>
      <c r="G988" s="11" t="str">
        <f t="shared" si="4"/>
        <v>data:image/svg+xml,%3csvg xmlns='http://www.w3.org/2000/svg' viewBox='0 0 24 216'%3e%3ctext fill='%23fff' style='font: 900 16px sans-serif' text-anchor='end' transform='matrix(0 -1 1 0 18 5)'%3eMark Twain%3c/text%3e%3c/svg%3e</v>
      </c>
      <c r="H988" s="8" t="s">
        <v>29</v>
      </c>
      <c r="I988" s="8">
        <f t="shared" ref="I988:J988" si="989">len(B988)</f>
        <v>10</v>
      </c>
      <c r="J988" s="8">
        <f t="shared" si="989"/>
        <v>106</v>
      </c>
      <c r="K988" s="8" t="s">
        <v>4653</v>
      </c>
    </row>
    <row r="989">
      <c r="A989" s="7" t="b">
        <v>0</v>
      </c>
      <c r="B989" s="8" t="s">
        <v>4654</v>
      </c>
      <c r="C989" s="7" t="s">
        <v>4655</v>
      </c>
      <c r="D989" s="8" t="str">
        <f>Q&amp;$K989&amp;Q&amp;":{"&amp;Q&amp;$B$2&amp;Q&amp;":"&amp;Q&amp;$B989&amp;Q&amp;","&amp;Q&amp;$C$2&amp;Q&amp;":"&amp;Q&amp;$C989&amp;Q&amp;","&amp;Q&amp;"sets"&amp;Q&amp;":"&amp;Q&amp;substitute(SUBSTITUTE($H989,"[",""),"]","")&amp;Q&amp;"},"</f>
        <v>"zrnt":{"label":"Marlon Brando","extra":"1924-, legendary America actor who starred in “A Streetcar Named Desire” and won awards for “On the Waterfront” and “The Godfather.”","sets":"Expansion Set 3, Party Expansion 1"},</v>
      </c>
      <c r="E989" s="9" t="str">
        <f t="shared" si="2"/>
        <v>data:image/svg+xml,%3csvg xmlns='http://www.w3.org/2000/svg' viewBox='0 0 24 216'%3e%3ctext fill='%23fff' style='font: 900 16px sans-serif' text-anchor='end' transform='matrix(0 -1 1 0 18 5)'%3eMarlon Brando%3c/text%3e%3c/svg%3e</v>
      </c>
      <c r="F989" s="14" t="str">
        <f t="shared" si="3"/>
        <v>https://svgtext.heliohost.us/cgi-bin/gen.perl?text=Marlon%20Brando</v>
      </c>
      <c r="G989" s="11" t="str">
        <f t="shared" si="4"/>
        <v>data:image/svg+xml,%3csvg xmlns='http://www.w3.org/2000/svg' viewBox='0 0 24 216'%3e%3ctext fill='%23fff' style='font: 900 16px sans-serif' text-anchor='end' transform='matrix(0 -1 1 0 18 5)'%3eMarlon Brando%3c/text%3e%3c/svg%3e</v>
      </c>
      <c r="H989" s="8" t="s">
        <v>39</v>
      </c>
      <c r="I989" s="8">
        <f t="shared" ref="I989:J989" si="990">len(B989)</f>
        <v>13</v>
      </c>
      <c r="J989" s="8">
        <f t="shared" si="990"/>
        <v>132</v>
      </c>
      <c r="K989" s="8" t="s">
        <v>4656</v>
      </c>
    </row>
    <row r="990">
      <c r="A990" s="7" t="b">
        <v>0</v>
      </c>
      <c r="B990" s="8" t="s">
        <v>4657</v>
      </c>
      <c r="C990" s="7" t="s">
        <v>4658</v>
      </c>
      <c r="D990" s="8" t="str">
        <f>Q&amp;$K990&amp;Q&amp;":{"&amp;Q&amp;$B$2&amp;Q&amp;":"&amp;Q&amp;$B990&amp;Q&amp;","&amp;Q&amp;$C$2&amp;Q&amp;":"&amp;Q&amp;$C990&amp;Q&amp;","&amp;Q&amp;"sets"&amp;Q&amp;":"&amp;Q&amp;substitute(SUBSTITUTE($H990,"[",""),"]","")&amp;Q&amp;"},"</f>
        <v>"wgsv":{"label":"Marriage","extra":"If love and marriage go together like a horse and carriage… who’s the horse?","sets":"Basic Set, Party Set"},</v>
      </c>
      <c r="E990" s="9" t="str">
        <f t="shared" si="2"/>
        <v>data:image/svg+xml,%3csvg xmlns='http://www.w3.org/2000/svg' viewBox='0 0 24 216'%3e%3ctext fill='%23fff' style='font: 900 16px sans-serif' text-anchor='end' transform='matrix(0 -1 1 0 18 5)'%3eMarriage%3c/text%3e%3c/svg%3e</v>
      </c>
      <c r="F990" s="14" t="str">
        <f t="shared" si="3"/>
        <v>https://svgtext.heliohost.us/cgi-bin/gen.perl?text=Marriage</v>
      </c>
      <c r="G990" s="11" t="str">
        <f t="shared" si="4"/>
        <v>data:image/svg+xml,%3csvg xmlns='http://www.w3.org/2000/svg' viewBox='0 0 24 216'%3e%3ctext fill='%23fff' style='font: 900 16px sans-serif' text-anchor='end' transform='matrix(0 -1 1 0 18 5)'%3eMarriage%3c/text%3e%3c/svg%3e</v>
      </c>
      <c r="H990" s="8" t="s">
        <v>29</v>
      </c>
      <c r="I990" s="8">
        <f t="shared" ref="I990:J990" si="991">len(B990)</f>
        <v>8</v>
      </c>
      <c r="J990" s="8">
        <f t="shared" si="991"/>
        <v>76</v>
      </c>
      <c r="K990" s="8" t="s">
        <v>4659</v>
      </c>
    </row>
    <row r="991">
      <c r="A991" s="7" t="b">
        <v>0</v>
      </c>
      <c r="B991" s="8" t="s">
        <v>4660</v>
      </c>
      <c r="C991" s="8" t="s">
        <v>4661</v>
      </c>
      <c r="D991" s="8" t="str">
        <f>Q&amp;$K991&amp;Q&amp;":{"&amp;Q&amp;$B$2&amp;Q&amp;":"&amp;Q&amp;$B991&amp;Q&amp;","&amp;Q&amp;$C$2&amp;Q&amp;":"&amp;Q&amp;$C991&amp;Q&amp;","&amp;Q&amp;"sets"&amp;Q&amp;":"&amp;Q&amp;substitute(SUBSTITUTE($H991,"[",""),"]","")&amp;Q&amp;"},"</f>
        <v>"pyse":{"label":"Mars","extra":"The fourth planet from the sun. Where men come from.","sets":"Expansion Set 1, Party Set"},</v>
      </c>
      <c r="E991" s="9" t="str">
        <f t="shared" si="2"/>
        <v>data:image/svg+xml,%3csvg xmlns='http://www.w3.org/2000/svg' viewBox='0 0 24 216'%3e%3ctext fill='%23fff' style='font: 900 16px sans-serif' text-anchor='end' transform='matrix(0 -1 1 0 18 5)'%3eMars%3c/text%3e%3c/svg%3e</v>
      </c>
      <c r="F991" s="14" t="str">
        <f t="shared" si="3"/>
        <v>https://svgtext.heliohost.us/cgi-bin/gen.perl?text=Mars</v>
      </c>
      <c r="G991" s="11" t="str">
        <f t="shared" si="4"/>
        <v>data:image/svg+xml,%3csvg xmlns='http://www.w3.org/2000/svg' viewBox='0 0 24 216'%3e%3ctext fill='%23fff' style='font: 900 16px sans-serif' text-anchor='end' transform='matrix(0 -1 1 0 18 5)'%3eMars%3c/text%3e%3c/svg%3e</v>
      </c>
      <c r="H991" s="8" t="s">
        <v>25</v>
      </c>
      <c r="I991" s="8">
        <f t="shared" ref="I991:J991" si="992">len(B991)</f>
        <v>4</v>
      </c>
      <c r="J991" s="8">
        <f t="shared" si="992"/>
        <v>52</v>
      </c>
      <c r="K991" s="8" t="s">
        <v>4662</v>
      </c>
    </row>
    <row r="992">
      <c r="A992" s="7" t="b">
        <v>0</v>
      </c>
      <c r="B992" s="8" t="s">
        <v>4663</v>
      </c>
      <c r="C992" s="8" t="s">
        <v>4664</v>
      </c>
      <c r="D992" s="8" t="str">
        <f>Q&amp;$K992&amp;Q&amp;":{"&amp;Q&amp;$B$2&amp;Q&amp;":"&amp;Q&amp;$B992&amp;Q&amp;","&amp;Q&amp;$C$2&amp;Q&amp;":"&amp;Q&amp;$C992&amp;Q&amp;","&amp;Q&amp;"sets"&amp;Q&amp;":"&amp;Q&amp;substitute(SUBSTITUTE($H992,"[",""),"]","")&amp;Q&amp;"},"</f>
        <v>"iwzk":{"label":"Martha Stewart","extra":"1941-, television personality, magazine editor, and author. Domestic arts are her stock-in-trade.","sets":"Basic Set, Party Set"},</v>
      </c>
      <c r="E992" s="9" t="str">
        <f t="shared" si="2"/>
        <v>data:image/svg+xml,%3csvg xmlns='http://www.w3.org/2000/svg' viewBox='0 0 24 216'%3e%3ctext fill='%23fff' style='font: 900 16px sans-serif' text-anchor='end' transform='matrix(0 -1 1 0 18 5)'%3eMartha Stewart%3c/text%3e%3c/svg%3e</v>
      </c>
      <c r="F992" s="14" t="str">
        <f t="shared" si="3"/>
        <v>https://svgtext.heliohost.us/cgi-bin/gen.perl?text=Martha%20Stewart</v>
      </c>
      <c r="G992" s="11" t="str">
        <f t="shared" si="4"/>
        <v>data:image/svg+xml,%3csvg xmlns='http://www.w3.org/2000/svg' viewBox='0 0 24 216'%3e%3ctext fill='%23fff' style='font: 900 16px sans-serif' text-anchor='end' transform='matrix(0 -1 1 0 18 5)'%3eMartha Stewart%3c/text%3e%3c/svg%3e</v>
      </c>
      <c r="H992" s="8" t="s">
        <v>29</v>
      </c>
      <c r="I992" s="8">
        <f t="shared" ref="I992:J992" si="993">len(B992)</f>
        <v>14</v>
      </c>
      <c r="J992" s="8">
        <f t="shared" si="993"/>
        <v>97</v>
      </c>
      <c r="K992" s="8" t="s">
        <v>4665</v>
      </c>
    </row>
    <row r="993">
      <c r="A993" s="7" t="b">
        <v>0</v>
      </c>
      <c r="B993" s="8" t="s">
        <v>4666</v>
      </c>
      <c r="C993" s="8" t="s">
        <v>4667</v>
      </c>
      <c r="D993" s="8" t="str">
        <f>Q&amp;$K993&amp;Q&amp;":{"&amp;Q&amp;$B$2&amp;Q&amp;":"&amp;Q&amp;$B993&amp;Q&amp;","&amp;Q&amp;$C$2&amp;Q&amp;":"&amp;Q&amp;$C993&amp;Q&amp;","&amp;Q&amp;"sets"&amp;Q&amp;":"&amp;Q&amp;substitute(SUBSTITUTE($H993,"[",""),"]","")&amp;Q&amp;"},"</f>
        <v>"zvwg":{"label":"Martin Luther King, Jr.","extra":"1929-68, American civil rights leader and advocate of nonviolent resistance. Was assassinated for his efforts.","sets":"Basic Set, Party Set"},</v>
      </c>
      <c r="E993" s="9" t="str">
        <f t="shared" si="2"/>
        <v>data:image/svg+xml,%3csvg xmlns='http://www.w3.org/2000/svg' viewBox='0 0 24 216'%3e%3ctext fill='%23fff' style='font: 900 16px sans-serif' text-anchor='end' transform='matrix(0 -1 1 0 18 5)'%3eMartin Luther King%2C Jr.%3c/text%3e%3c/svg%3e</v>
      </c>
      <c r="F993" s="14" t="str">
        <f t="shared" si="3"/>
        <v>https://svgtext.heliohost.us/cgi-bin/gen.perl?text=Martin%20Luther%20King%2C%20Jr.</v>
      </c>
      <c r="G993" s="11" t="str">
        <f t="shared" si="4"/>
        <v>data:image/svg+xml,%3csvg xmlns='http://www.w3.org/2000/svg' viewBox='0 0 24 216'%3e%3ctext fill='%23fff' style='font: 900 16px sans-serif' text-anchor='end' transform='matrix(0 -1 1 0 18 5)'%3eMartin Luther King%2C Jr.%3c/text%3e%3c/svg%3e</v>
      </c>
      <c r="H993" s="8" t="s">
        <v>29</v>
      </c>
      <c r="I993" s="8">
        <f t="shared" ref="I993:J993" si="994">len(B993)</f>
        <v>23</v>
      </c>
      <c r="J993" s="8">
        <f t="shared" si="994"/>
        <v>110</v>
      </c>
      <c r="K993" s="8" t="s">
        <v>4668</v>
      </c>
    </row>
    <row r="994">
      <c r="A994" s="7" t="b">
        <v>1</v>
      </c>
      <c r="B994" s="8" t="s">
        <v>4666</v>
      </c>
      <c r="C994" s="8" t="s">
        <v>4669</v>
      </c>
      <c r="D994" s="8" t="str">
        <f>Q&amp;$K994&amp;Q&amp;":{"&amp;Q&amp;$B$2&amp;Q&amp;":"&amp;Q&amp;$B994&amp;Q&amp;","&amp;Q&amp;$C$2&amp;Q&amp;":"&amp;Q&amp;$C994&amp;Q&amp;","&amp;Q&amp;"sets"&amp;Q&amp;":"&amp;Q&amp;substitute(SUBSTITUTE($H994,"[",""),"]","")&amp;Q&amp;"},"</f>
        <v>"zlhe":{"label":"Martin Luther King, Jr.","extra":"He believed that everyone should have equal rights, regardless of the color of their skin.","sets":"Junior 9+ (1st) &amp; (2nd)"},</v>
      </c>
      <c r="E994" s="9" t="str">
        <f t="shared" si="2"/>
        <v>data:image/svg+xml,%3csvg xmlns='http://www.w3.org/2000/svg' viewBox='0 0 24 216'%3e%3ctext fill='%23fff' style='font: 900 16px sans-serif' text-anchor='end' transform='matrix(0 -1 1 0 18 5)'%3eMartin Luther King%2C Jr.%3c/text%3e%3c/svg%3e</v>
      </c>
      <c r="F994" s="14" t="str">
        <f t="shared" si="3"/>
        <v>https://svgtext.heliohost.us/cgi-bin/gen.perl?text=Martin%20Luther%20King%2C%20Jr.</v>
      </c>
      <c r="G994" s="11" t="str">
        <f t="shared" si="4"/>
        <v>data:image/svg+xml,%3csvg xmlns='http://www.w3.org/2000/svg' viewBox='0 0 24 216'%3e%3ctext fill='%23fff' style='font: 900 16px sans-serif' text-anchor='end' transform='matrix(0 -1 1 0 18 5)'%3eMartin Luther King%2C Jr.%3c/text%3e%3c/svg%3e</v>
      </c>
      <c r="H994" s="8" t="s">
        <v>42</v>
      </c>
      <c r="I994" s="8">
        <f t="shared" ref="I994:J994" si="995">len(B994)</f>
        <v>23</v>
      </c>
      <c r="J994" s="8">
        <f t="shared" si="995"/>
        <v>90</v>
      </c>
      <c r="K994" s="8" t="s">
        <v>4670</v>
      </c>
    </row>
    <row r="995">
      <c r="A995" s="7" t="b">
        <v>1</v>
      </c>
      <c r="B995" s="8" t="s">
        <v>4671</v>
      </c>
      <c r="C995" s="8" t="s">
        <v>4672</v>
      </c>
      <c r="D995" s="8" t="str">
        <f>Q&amp;$K995&amp;Q&amp;":{"&amp;Q&amp;$B$2&amp;Q&amp;":"&amp;Q&amp;$B995&amp;Q&amp;","&amp;Q&amp;$C$2&amp;Q&amp;":"&amp;Q&amp;$C995&amp;Q&amp;","&amp;Q&amp;"sets"&amp;Q&amp;":"&amp;Q&amp;substitute(SUBSTITUTE($H995,"[",""),"]","")&amp;Q&amp;"},"</f>
        <v>"lqvs":{"label":"Mary-Kate And Ashley","extra":"The Olsen twins have been TV stars since the 1980s. They also have books and videos.","sets":"Junior 9+ (1st) &amp; (2nd)"},</v>
      </c>
      <c r="E995" s="9" t="str">
        <f t="shared" si="2"/>
        <v>data:image/svg+xml,%3csvg xmlns='http://www.w3.org/2000/svg' viewBox='0 0 24 216'%3e%3ctext fill='%23fff' style='font: 900 16px sans-serif' text-anchor='end' transform='matrix(0 -1 1 0 18 5)'%3eMary-Kate And Ashley%3c/text%3e%3c/svg%3e</v>
      </c>
      <c r="F995" s="14" t="str">
        <f t="shared" si="3"/>
        <v>https://svgtext.heliohost.us/cgi-bin/gen.perl?text=Mary-Kate%20And%20Ashley</v>
      </c>
      <c r="G995" s="11" t="str">
        <f t="shared" si="4"/>
        <v>data:image/svg+xml,%3csvg xmlns='http://www.w3.org/2000/svg' viewBox='0 0 24 216'%3e%3ctext fill='%23fff' style='font: 900 16px sans-serif' text-anchor='end' transform='matrix(0 -1 1 0 18 5)'%3eMary-Kate And Ashley%3c/text%3e%3c/svg%3e</v>
      </c>
      <c r="H995" s="8" t="s">
        <v>42</v>
      </c>
      <c r="I995" s="8">
        <f t="shared" ref="I995:J995" si="996">len(B995)</f>
        <v>20</v>
      </c>
      <c r="J995" s="8">
        <f t="shared" si="996"/>
        <v>84</v>
      </c>
      <c r="K995" s="8" t="s">
        <v>4673</v>
      </c>
    </row>
    <row r="996">
      <c r="A996" s="7" t="b">
        <v>1</v>
      </c>
      <c r="B996" s="8" t="s">
        <v>4674</v>
      </c>
      <c r="C996" s="8" t="s">
        <v>4675</v>
      </c>
      <c r="D996" s="8" t="str">
        <f>Q&amp;$K996&amp;Q&amp;":{"&amp;Q&amp;$B$2&amp;Q&amp;":"&amp;Q&amp;$B996&amp;Q&amp;","&amp;Q&amp;$C$2&amp;Q&amp;":"&amp;Q&amp;$C996&amp;Q&amp;","&amp;Q&amp;"sets"&amp;Q&amp;":"&amp;Q&amp;substitute(SUBSTITUTE($H996,"[",""),"]","")&amp;Q&amp;"},"</f>
        <v>"moar":{"label":"Mashed Potatoes","extra":"Pile them up like a volcano and put butter in the middle.","sets":"Junior 9+ (1st) &amp; (2nd)"},</v>
      </c>
      <c r="E996" s="9" t="str">
        <f t="shared" si="2"/>
        <v>data:image/svg+xml,%3csvg xmlns='http://www.w3.org/2000/svg' viewBox='0 0 24 216'%3e%3ctext fill='%23fff' style='font: 900 16px sans-serif' text-anchor='end' transform='matrix(0 -1 1 0 18 5)'%3eMashed Potatoes%3c/text%3e%3c/svg%3e</v>
      </c>
      <c r="F996" s="14" t="str">
        <f t="shared" si="3"/>
        <v>https://svgtext.heliohost.us/cgi-bin/gen.perl?text=Mashed%20Potatoes</v>
      </c>
      <c r="G996" s="11" t="str">
        <f t="shared" si="4"/>
        <v>data:image/svg+xml,%3csvg xmlns='http://www.w3.org/2000/svg' viewBox='0 0 24 216'%3e%3ctext fill='%23fff' style='font: 900 16px sans-serif' text-anchor='end' transform='matrix(0 -1 1 0 18 5)'%3eMashed Potatoes%3c/text%3e%3c/svg%3e</v>
      </c>
      <c r="H996" s="8" t="s">
        <v>42</v>
      </c>
      <c r="I996" s="8">
        <f t="shared" ref="I996:J996" si="997">len(B996)</f>
        <v>15</v>
      </c>
      <c r="J996" s="8">
        <f t="shared" si="997"/>
        <v>57</v>
      </c>
      <c r="K996" s="8" t="s">
        <v>4676</v>
      </c>
    </row>
    <row r="997">
      <c r="A997" s="7" t="b">
        <v>1</v>
      </c>
      <c r="B997" s="8" t="s">
        <v>4677</v>
      </c>
      <c r="C997" s="7" t="s">
        <v>4678</v>
      </c>
      <c r="D997" s="8" t="str">
        <f>Q&amp;$K997&amp;Q&amp;":{"&amp;Q&amp;$B$2&amp;Q&amp;":"&amp;Q&amp;$B997&amp;Q&amp;","&amp;Q&amp;$C$2&amp;Q&amp;":"&amp;Q&amp;$C997&amp;Q&amp;","&amp;Q&amp;"sets"&amp;Q&amp;":"&amp;Q&amp;substitute(SUBSTITUTE($H997,"[",""),"]","")&amp;Q&amp;"},"</f>
        <v>"qlac":{"label":"Math","extra":"Add, subtract, multiply and divide—or use a calculator!","sets":"Junior 9+ (1st) &amp; (2nd)"},</v>
      </c>
      <c r="E997" s="9" t="str">
        <f t="shared" si="2"/>
        <v>data:image/svg+xml,%3csvg xmlns='http://www.w3.org/2000/svg' viewBox='0 0 24 216'%3e%3ctext fill='%23fff' style='font: 900 16px sans-serif' text-anchor='end' transform='matrix(0 -1 1 0 18 5)'%3eMath%3c/text%3e%3c/svg%3e</v>
      </c>
      <c r="F997" s="14" t="str">
        <f t="shared" si="3"/>
        <v>https://svgtext.heliohost.us/cgi-bin/gen.perl?text=Math</v>
      </c>
      <c r="G997" s="11" t="str">
        <f t="shared" si="4"/>
        <v>data:image/svg+xml,%3csvg xmlns='http://www.w3.org/2000/svg' viewBox='0 0 24 216'%3e%3ctext fill='%23fff' style='font: 900 16px sans-serif' text-anchor='end' transform='matrix(0 -1 1 0 18 5)'%3eMath%3c/text%3e%3c/svg%3e</v>
      </c>
      <c r="H997" s="8" t="s">
        <v>42</v>
      </c>
      <c r="I997" s="8">
        <f t="shared" ref="I997:J997" si="998">len(B997)</f>
        <v>4</v>
      </c>
      <c r="J997" s="8">
        <f t="shared" si="998"/>
        <v>55</v>
      </c>
      <c r="K997" s="8" t="s">
        <v>4679</v>
      </c>
    </row>
    <row r="998">
      <c r="A998" s="7" t="b">
        <v>0</v>
      </c>
      <c r="B998" s="8" t="s">
        <v>4680</v>
      </c>
      <c r="C998" s="7" t="s">
        <v>4681</v>
      </c>
      <c r="D998" s="8" t="str">
        <f>Q&amp;$K998&amp;Q&amp;":{"&amp;Q&amp;$B$2&amp;Q&amp;":"&amp;Q&amp;$B998&amp;Q&amp;","&amp;Q&amp;$C$2&amp;Q&amp;":"&amp;Q&amp;$C998&amp;Q&amp;","&amp;Q&amp;"sets"&amp;Q&amp;":"&amp;Q&amp;substitute(SUBSTITUTE($H998,"[",""),"]","")&amp;Q&amp;"},"</f>
        <v>"mwds":{"label":"Matzo Balls","extra":"Soul for the chicken soup.","sets":"Expansion Set 3, Party Expansion 1"},</v>
      </c>
      <c r="E998" s="9" t="str">
        <f t="shared" si="2"/>
        <v>data:image/svg+xml,%3csvg xmlns='http://www.w3.org/2000/svg' viewBox='0 0 24 216'%3e%3ctext fill='%23fff' style='font: 900 16px sans-serif' text-anchor='end' transform='matrix(0 -1 1 0 18 5)'%3eMatzo Balls%3c/text%3e%3c/svg%3e</v>
      </c>
      <c r="F998" s="14" t="str">
        <f t="shared" si="3"/>
        <v>https://svgtext.heliohost.us/cgi-bin/gen.perl?text=Matzo%20Balls</v>
      </c>
      <c r="G998" s="11" t="str">
        <f t="shared" si="4"/>
        <v>data:image/svg+xml,%3csvg xmlns='http://www.w3.org/2000/svg' viewBox='0 0 24 216'%3e%3ctext fill='%23fff' style='font: 900 16px sans-serif' text-anchor='end' transform='matrix(0 -1 1 0 18 5)'%3eMatzo Balls%3c/text%3e%3c/svg%3e</v>
      </c>
      <c r="H998" s="8" t="s">
        <v>39</v>
      </c>
      <c r="I998" s="8">
        <f t="shared" ref="I998:J998" si="999">len(B998)</f>
        <v>11</v>
      </c>
      <c r="J998" s="8">
        <f t="shared" si="999"/>
        <v>26</v>
      </c>
      <c r="K998" s="8" t="s">
        <v>4682</v>
      </c>
    </row>
    <row r="999">
      <c r="A999" s="7" t="b">
        <v>1</v>
      </c>
      <c r="B999" s="8" t="s">
        <v>4683</v>
      </c>
      <c r="C999" s="7" t="s">
        <v>4684</v>
      </c>
      <c r="D999" s="8" t="str">
        <f>Q&amp;$K999&amp;Q&amp;":{"&amp;Q&amp;$B$2&amp;Q&amp;":"&amp;Q&amp;$B999&amp;Q&amp;","&amp;Q&amp;$C$2&amp;Q&amp;":"&amp;Q&amp;$C999&amp;Q&amp;","&amp;Q&amp;"sets"&amp;Q&amp;":"&amp;Q&amp;substitute(SUBSTITUTE($H999,"[",""),"]","")&amp;Q&amp;"},"</f>
        <v>"ocqt":{"label":"Maui","extra":"Hawaiian volcanic island, 728 square miles in area. Heaven on Earth.","sets":"Expansion Set 3, Party Expansion 1"},</v>
      </c>
      <c r="E999" s="9" t="str">
        <f t="shared" si="2"/>
        <v>data:image/svg+xml,%3csvg xmlns='http://www.w3.org/2000/svg' viewBox='0 0 24 216'%3e%3ctext fill='%23fff' style='font: 900 16px sans-serif' text-anchor='end' transform='matrix(0 -1 1 0 18 5)'%3eMaui%3c/text%3e%3c/svg%3e</v>
      </c>
      <c r="F999" s="14" t="str">
        <f t="shared" si="3"/>
        <v>https://svgtext.heliohost.us/cgi-bin/gen.perl?text=Maui</v>
      </c>
      <c r="G999" s="11" t="str">
        <f t="shared" si="4"/>
        <v>data:image/svg+xml,%3csvg xmlns='http://www.w3.org/2000/svg' viewBox='0 0 24 216'%3e%3ctext fill='%23fff' style='font: 900 16px sans-serif' text-anchor='end' transform='matrix(0 -1 1 0 18 5)'%3eMaui%3c/text%3e%3c/svg%3e</v>
      </c>
      <c r="H999" s="8" t="s">
        <v>39</v>
      </c>
      <c r="I999" s="8">
        <f t="shared" ref="I999:J999" si="1000">len(B999)</f>
        <v>4</v>
      </c>
      <c r="J999" s="8">
        <f t="shared" si="1000"/>
        <v>68</v>
      </c>
      <c r="K999" s="8" t="s">
        <v>4685</v>
      </c>
    </row>
    <row r="1000">
      <c r="A1000" s="7" t="b">
        <v>1</v>
      </c>
      <c r="B1000" s="8" t="s">
        <v>4686</v>
      </c>
      <c r="C1000" s="7" t="s">
        <v>4687</v>
      </c>
      <c r="D1000" s="8" t="str">
        <f>Q&amp;$K1000&amp;Q&amp;":{"&amp;Q&amp;$B$2&amp;Q&amp;":"&amp;Q&amp;$B1000&amp;Q&amp;","&amp;Q&amp;$C$2&amp;Q&amp;":"&amp;Q&amp;$C1000&amp;Q&amp;","&amp;Q&amp;"sets"&amp;Q&amp;":"&amp;Q&amp;substitute(SUBSTITUTE($H1000,"[",""),"]","")&amp;Q&amp;"},"</f>
        <v>"rqmy":{"label":"Maximum Security Prison","extra":"When a regular strength prison just won’t do.","sets":"Expansion Set 3, Party Expansion 1"},</v>
      </c>
      <c r="E1000" s="9" t="str">
        <f t="shared" si="2"/>
        <v>data:image/svg+xml,%3csvg xmlns='http://www.w3.org/2000/svg' viewBox='0 0 24 216'%3e%3ctext fill='%23fff' style='font: 900 16px sans-serif' text-anchor='end' transform='matrix(0 -1 1 0 18 5)'%3eMaximum Security Prison%3c/text%3e%3c/svg%3e</v>
      </c>
      <c r="F1000" s="14" t="str">
        <f t="shared" si="3"/>
        <v>https://svgtext.heliohost.us/cgi-bin/gen.perl?text=Maximum%20Security%20Prison</v>
      </c>
      <c r="G1000" s="11" t="str">
        <f t="shared" si="4"/>
        <v>data:image/svg+xml,%3csvg xmlns='http://www.w3.org/2000/svg' viewBox='0 0 24 216'%3e%3ctext fill='%23fff' style='font: 900 16px sans-serif' text-anchor='end' transform='matrix(0 -1 1 0 18 5)'%3eMaximum Security Prison%3c/text%3e%3c/svg%3e</v>
      </c>
      <c r="H1000" s="8" t="s">
        <v>39</v>
      </c>
      <c r="I1000" s="8">
        <f t="shared" ref="I1000:J1000" si="1001">len(B1000)</f>
        <v>23</v>
      </c>
      <c r="J1000" s="8">
        <f t="shared" si="1001"/>
        <v>45</v>
      </c>
      <c r="K1000" s="8" t="s">
        <v>4688</v>
      </c>
    </row>
    <row r="1001">
      <c r="A1001" s="7" t="b">
        <v>1</v>
      </c>
      <c r="B1001" s="8" t="s">
        <v>4689</v>
      </c>
      <c r="C1001" s="7" t="s">
        <v>4690</v>
      </c>
      <c r="D1001" s="8" t="str">
        <f>Q&amp;$K1001&amp;Q&amp;":{"&amp;Q&amp;$B$2&amp;Q&amp;":"&amp;Q&amp;$B1001&amp;Q&amp;","&amp;Q&amp;$C$2&amp;Q&amp;":"&amp;Q&amp;$C1001&amp;Q&amp;","&amp;Q&amp;"sets"&amp;Q&amp;":"&amp;Q&amp;substitute(SUBSTITUTE($H1001,"[",""),"]","")&amp;Q&amp;"},"</f>
        <v>"ljyi":{"label":"McDonald's","extra":"At a McDonald's restaurant in Mexico you can order a “hamburguesa.”","sets":"Junior 9+ (2nd)"},</v>
      </c>
      <c r="E1001" s="9" t="str">
        <f t="shared" si="2"/>
        <v>data:image/svg+xml,%3csvg xmlns='http://www.w3.org/2000/svg' viewBox='0 0 24 216'%3e%3ctext fill='%23fff' style='font: 900 16px sans-serif' text-anchor='end' transform='matrix(0 -1 1 0 18 5)'%3eMcDonald%27s%3c/text%3e%3c/svg%3e</v>
      </c>
      <c r="F1001" s="14" t="str">
        <f t="shared" si="3"/>
        <v>https://svgtext.heliohost.us/cgi-bin/gen.perl?text=McDonald%27s</v>
      </c>
      <c r="G1001" s="11" t="str">
        <f t="shared" si="4"/>
        <v>data:image/svg+xml,%3csvg xmlns='http://www.w3.org/2000/svg' viewBox='0 0 24 216'%3e%3ctext fill='%23fff' style='font: 900 16px sans-serif' text-anchor='end' transform='matrix(0 -1 1 0 18 5)'%3eMcDonald%27s%3c/text%3e%3c/svg%3e</v>
      </c>
      <c r="H1001" s="8" t="s">
        <v>32</v>
      </c>
      <c r="I1001" s="8">
        <f t="shared" ref="I1001:J1001" si="1002">len(B1001)</f>
        <v>10</v>
      </c>
      <c r="J1001" s="8">
        <f t="shared" si="1002"/>
        <v>67</v>
      </c>
      <c r="K1001" s="8" t="s">
        <v>4691</v>
      </c>
    </row>
    <row r="1002">
      <c r="A1002" s="7" t="b">
        <v>1</v>
      </c>
      <c r="B1002" s="8" t="s">
        <v>4692</v>
      </c>
      <c r="C1002" s="7" t="s">
        <v>4693</v>
      </c>
      <c r="D1002" s="8" t="str">
        <f>Q&amp;$K1002&amp;Q&amp;":{"&amp;Q&amp;$B$2&amp;Q&amp;":"&amp;Q&amp;$B1002&amp;Q&amp;","&amp;Q&amp;$C$2&amp;Q&amp;":"&amp;Q&amp;$C1002&amp;Q&amp;","&amp;Q&amp;"sets"&amp;Q&amp;":"&amp;Q&amp;substitute(SUBSTITUTE($H1002,"[",""),"]","")&amp;Q&amp;"},"</f>
        <v>"iqyd":{"label":"Me &amp; My Shadow","extra":"“Strolling down the avenue…”","sets":"Expansion Set 4, Party Expansion 1"},</v>
      </c>
      <c r="E1002" s="9" t="str">
        <f t="shared" si="2"/>
        <v>data:image/svg+xml,%3csvg xmlns='http://www.w3.org/2000/svg' viewBox='0 0 24 216'%3e%3ctext fill='%23fff' style='font: 900 16px sans-serif' text-anchor='end' transform='matrix(0 -1 1 0 18 5)'%3eMe %26amp%3B My Shadow%3c/text%3e%3c/svg%3e</v>
      </c>
      <c r="F1002" s="14" t="str">
        <f t="shared" si="3"/>
        <v>https://svgtext.heliohost.us/cgi-bin/gen.perl?text=Me%20%26%20My%20Shadow</v>
      </c>
      <c r="G1002" s="11" t="str">
        <f t="shared" si="4"/>
        <v>data:image/svg+xml,%3csvg xmlns='http://www.w3.org/2000/svg' viewBox='0 0 24 216'%3e%3ctext fill='%23fff' style='font: 900 16px sans-serif' text-anchor='end' transform='matrix(0 -1 1 0 18 5)'%3eMe %26amp%3B My Shadow%3c/text%3e%3c/svg%3e</v>
      </c>
      <c r="H1002" s="8" t="s">
        <v>63</v>
      </c>
      <c r="I1002" s="8">
        <f t="shared" ref="I1002:J1002" si="1003">len(B1002)</f>
        <v>14</v>
      </c>
      <c r="J1002" s="8">
        <f t="shared" si="1003"/>
        <v>28</v>
      </c>
      <c r="K1002" s="8" t="s">
        <v>4694</v>
      </c>
    </row>
    <row r="1003">
      <c r="A1003" s="7" t="b">
        <v>1</v>
      </c>
      <c r="B1003" s="8" t="s">
        <v>4695</v>
      </c>
      <c r="C1003" s="8" t="s">
        <v>4696</v>
      </c>
      <c r="D1003" s="8" t="str">
        <f>Q&amp;$K1003&amp;Q&amp;":{"&amp;Q&amp;$B$2&amp;Q&amp;":"&amp;Q&amp;$B1003&amp;Q&amp;","&amp;Q&amp;$C$2&amp;Q&amp;":"&amp;Q&amp;$C1003&amp;Q&amp;","&amp;Q&amp;"sets"&amp;Q&amp;":"&amp;Q&amp;substitute(SUBSTITUTE($H1003,"[",""),"]","")&amp;Q&amp;"},"</f>
        <v>"ijkz":{"label":"Meat &amp; Potatoes","extra":"A simpler meal for a simpler time.","sets":"Expansion Set 4, Party Expansion 1"},</v>
      </c>
      <c r="E1003" s="9" t="str">
        <f t="shared" si="2"/>
        <v>data:image/svg+xml,%3csvg xmlns='http://www.w3.org/2000/svg' viewBox='0 0 24 216'%3e%3ctext fill='%23fff' style='font: 900 16px sans-serif' text-anchor='end' transform='matrix(0 -1 1 0 18 5)'%3eMeat %26amp%3B Potatoes%3c/text%3e%3c/svg%3e</v>
      </c>
      <c r="F1003" s="14" t="str">
        <f t="shared" si="3"/>
        <v>https://svgtext.heliohost.us/cgi-bin/gen.perl?text=Meat%20%26%20Potatoes</v>
      </c>
      <c r="G1003" s="11" t="str">
        <f t="shared" si="4"/>
        <v>data:image/svg+xml,%3csvg xmlns='http://www.w3.org/2000/svg' viewBox='0 0 24 216'%3e%3ctext fill='%23fff' style='font: 900 16px sans-serif' text-anchor='end' transform='matrix(0 -1 1 0 18 5)'%3eMeat %26amp%3B Potatoes%3c/text%3e%3c/svg%3e</v>
      </c>
      <c r="H1003" s="8" t="s">
        <v>63</v>
      </c>
      <c r="I1003" s="8">
        <f t="shared" ref="I1003:J1003" si="1004">len(B1003)</f>
        <v>15</v>
      </c>
      <c r="J1003" s="8">
        <f t="shared" si="1004"/>
        <v>34</v>
      </c>
      <c r="K1003" s="8" t="s">
        <v>4697</v>
      </c>
    </row>
    <row r="1004">
      <c r="A1004" s="7" t="b">
        <v>0</v>
      </c>
      <c r="B1004" s="8" t="s">
        <v>4698</v>
      </c>
      <c r="C1004" s="7" t="s">
        <v>4699</v>
      </c>
      <c r="D1004" s="8" t="str">
        <f>Q&amp;$K1004&amp;Q&amp;":{"&amp;Q&amp;$B$2&amp;Q&amp;":"&amp;Q&amp;$B1004&amp;Q&amp;","&amp;Q&amp;$C$2&amp;Q&amp;":"&amp;Q&amp;$C1004&amp;Q&amp;","&amp;Q&amp;"sets"&amp;Q&amp;":"&amp;Q&amp;substitute(SUBSTITUTE($H1004,"[",""),"]","")&amp;Q&amp;"},"</f>
        <v>"kepx":{"label":"Meat Cleavers","extra":"No relation to Ward, June, or the Beaver…","sets":"Expansion Set 2, Party Set"},</v>
      </c>
      <c r="E1004" s="9" t="str">
        <f t="shared" si="2"/>
        <v>data:image/svg+xml,%3csvg xmlns='http://www.w3.org/2000/svg' viewBox='0 0 24 216'%3e%3ctext fill='%23fff' style='font: 900 16px sans-serif' text-anchor='end' transform='matrix(0 -1 1 0 18 5)'%3eMeat Cleavers%3c/text%3e%3c/svg%3e</v>
      </c>
      <c r="F1004" s="14" t="str">
        <f t="shared" si="3"/>
        <v>https://svgtext.heliohost.us/cgi-bin/gen.perl?text=Meat%20Cleavers</v>
      </c>
      <c r="G1004" s="11" t="str">
        <f t="shared" si="4"/>
        <v>data:image/svg+xml,%3csvg xmlns='http://www.w3.org/2000/svg' viewBox='0 0 24 216'%3e%3ctext fill='%23fff' style='font: 900 16px sans-serif' text-anchor='end' transform='matrix(0 -1 1 0 18 5)'%3eMeat Cleavers%3c/text%3e%3c/svg%3e</v>
      </c>
      <c r="H1004" s="8" t="s">
        <v>17</v>
      </c>
      <c r="I1004" s="8">
        <f t="shared" ref="I1004:J1004" si="1005">len(B1004)</f>
        <v>13</v>
      </c>
      <c r="J1004" s="8">
        <f t="shared" si="1005"/>
        <v>41</v>
      </c>
      <c r="K1004" s="8" t="s">
        <v>4700</v>
      </c>
    </row>
    <row r="1005">
      <c r="A1005" s="7" t="b">
        <v>1</v>
      </c>
      <c r="B1005" s="8" t="s">
        <v>4701</v>
      </c>
      <c r="C1005" s="7" t="s">
        <v>4702</v>
      </c>
      <c r="D1005" s="8" t="str">
        <f>Q&amp;$K1005&amp;Q&amp;":{"&amp;Q&amp;$B$2&amp;Q&amp;":"&amp;Q&amp;$B1005&amp;Q&amp;","&amp;Q&amp;$C$2&amp;Q&amp;":"&amp;Q&amp;$C1005&amp;Q&amp;","&amp;Q&amp;"sets"&amp;Q&amp;":"&amp;Q&amp;substitute(SUBSTITUTE($H1005,"[",""),"]","")&amp;Q&amp;"},"</f>
        <v>"kveq":{"label":"Meat Markets","extra":"A cut above the rest.","sets":"Expansion Set 3, Party Expansion 1"},</v>
      </c>
      <c r="E1005" s="9" t="str">
        <f t="shared" si="2"/>
        <v>data:image/svg+xml,%3csvg xmlns='http://www.w3.org/2000/svg' viewBox='0 0 24 216'%3e%3ctext fill='%23fff' style='font: 900 16px sans-serif' text-anchor='end' transform='matrix(0 -1 1 0 18 5)'%3eMeat Markets%3c/text%3e%3c/svg%3e</v>
      </c>
      <c r="F1005" s="14" t="str">
        <f t="shared" si="3"/>
        <v>https://svgtext.heliohost.us/cgi-bin/gen.perl?text=Meat%20Markets</v>
      </c>
      <c r="G1005" s="11" t="str">
        <f t="shared" si="4"/>
        <v>data:image/svg+xml,%3csvg xmlns='http://www.w3.org/2000/svg' viewBox='0 0 24 216'%3e%3ctext fill='%23fff' style='font: 900 16px sans-serif' text-anchor='end' transform='matrix(0 -1 1 0 18 5)'%3eMeat Markets%3c/text%3e%3c/svg%3e</v>
      </c>
      <c r="H1005" s="8" t="s">
        <v>39</v>
      </c>
      <c r="I1005" s="8">
        <f t="shared" ref="I1005:J1005" si="1006">len(B1005)</f>
        <v>12</v>
      </c>
      <c r="J1005" s="8">
        <f t="shared" si="1006"/>
        <v>21</v>
      </c>
      <c r="K1005" s="8" t="s">
        <v>4703</v>
      </c>
    </row>
    <row r="1006">
      <c r="A1006" s="7" t="b">
        <v>1</v>
      </c>
      <c r="B1006" s="8" t="s">
        <v>4704</v>
      </c>
      <c r="C1006" s="8" t="s">
        <v>4705</v>
      </c>
      <c r="D1006" s="8" t="str">
        <f>Q&amp;$K1006&amp;Q&amp;":{"&amp;Q&amp;$B$2&amp;Q&amp;":"&amp;Q&amp;$B1006&amp;Q&amp;","&amp;Q&amp;$C$2&amp;Q&amp;":"&amp;Q&amp;$C1006&amp;Q&amp;","&amp;Q&amp;"sets"&amp;Q&amp;":"&amp;Q&amp;substitute(SUBSTITUTE($H1006,"[",""),"]","")&amp;Q&amp;"},"</f>
        <v>"ehyj":{"label":"Meatballs","extra":"Like meatloaf, only smaller.","sets":"Junior 9+ (1st) &amp; (2nd)"},</v>
      </c>
      <c r="E1006" s="9" t="str">
        <f t="shared" si="2"/>
        <v>data:image/svg+xml,%3csvg xmlns='http://www.w3.org/2000/svg' viewBox='0 0 24 216'%3e%3ctext fill='%23fff' style='font: 900 16px sans-serif' text-anchor='end' transform='matrix(0 -1 1 0 18 5)'%3eMeatballs%3c/text%3e%3c/svg%3e</v>
      </c>
      <c r="F1006" s="14" t="str">
        <f t="shared" si="3"/>
        <v>https://svgtext.heliohost.us/cgi-bin/gen.perl?text=Meatballs</v>
      </c>
      <c r="G1006" s="11" t="str">
        <f t="shared" si="4"/>
        <v>data:image/svg+xml,%3csvg xmlns='http://www.w3.org/2000/svg' viewBox='0 0 24 216'%3e%3ctext fill='%23fff' style='font: 900 16px sans-serif' text-anchor='end' transform='matrix(0 -1 1 0 18 5)'%3eMeatballs%3c/text%3e%3c/svg%3e</v>
      </c>
      <c r="H1006" s="8" t="s">
        <v>42</v>
      </c>
      <c r="I1006" s="8">
        <f t="shared" ref="I1006:J1006" si="1007">len(B1006)</f>
        <v>9</v>
      </c>
      <c r="J1006" s="8">
        <f t="shared" si="1007"/>
        <v>28</v>
      </c>
      <c r="K1006" s="8" t="s">
        <v>4706</v>
      </c>
    </row>
    <row r="1007">
      <c r="A1007" s="7" t="b">
        <v>0</v>
      </c>
      <c r="B1007" s="8" t="s">
        <v>4707</v>
      </c>
      <c r="C1007" s="7" t="s">
        <v>4708</v>
      </c>
      <c r="D1007" s="8" t="str">
        <f>Q&amp;$K1007&amp;Q&amp;":{"&amp;Q&amp;$B$2&amp;Q&amp;":"&amp;Q&amp;$B1007&amp;Q&amp;","&amp;Q&amp;$C$2&amp;Q&amp;":"&amp;Q&amp;$C1007&amp;Q&amp;","&amp;Q&amp;"sets"&amp;Q&amp;":"&amp;Q&amp;substitute(SUBSTITUTE($H1007,"[",""),"]","")&amp;Q&amp;"},"</f>
        <v>"rpek":{"label":"Meatloaf","extra":"Large and intimidating the dish not the singer!","sets":"Expansion Set 1, Party Set"},</v>
      </c>
      <c r="E1007" s="9" t="str">
        <f t="shared" si="2"/>
        <v>data:image/svg+xml,%3csvg xmlns='http://www.w3.org/2000/svg' viewBox='0 0 24 216'%3e%3ctext fill='%23fff' style='font: 900 16px sans-serif' text-anchor='end' transform='matrix(0 -1 1 0 18 5)'%3eMeatloaf%3c/text%3e%3c/svg%3e</v>
      </c>
      <c r="F1007" s="14" t="str">
        <f t="shared" si="3"/>
        <v>https://svgtext.heliohost.us/cgi-bin/gen.perl?text=Meatloaf</v>
      </c>
      <c r="G1007" s="11" t="str">
        <f t="shared" si="4"/>
        <v>data:image/svg+xml,%3csvg xmlns='http://www.w3.org/2000/svg' viewBox='0 0 24 216'%3e%3ctext fill='%23fff' style='font: 900 16px sans-serif' text-anchor='end' transform='matrix(0 -1 1 0 18 5)'%3eMeatloaf%3c/text%3e%3c/svg%3e</v>
      </c>
      <c r="H1007" s="8" t="s">
        <v>25</v>
      </c>
      <c r="I1007" s="8">
        <f t="shared" ref="I1007:J1007" si="1008">len(B1007)</f>
        <v>8</v>
      </c>
      <c r="J1007" s="8">
        <f t="shared" si="1008"/>
        <v>47</v>
      </c>
      <c r="K1007" s="8" t="s">
        <v>4709</v>
      </c>
    </row>
    <row r="1008">
      <c r="A1008" s="7" t="b">
        <v>0</v>
      </c>
      <c r="B1008" s="8" t="s">
        <v>4710</v>
      </c>
      <c r="C1008" s="7" t="s">
        <v>4711</v>
      </c>
      <c r="D1008" s="8" t="str">
        <f>Q&amp;$K1008&amp;Q&amp;":{"&amp;Q&amp;$B$2&amp;Q&amp;":"&amp;Q&amp;$B1008&amp;Q&amp;","&amp;Q&amp;$C$2&amp;Q&amp;":"&amp;Q&amp;$C1008&amp;Q&amp;","&amp;Q&amp;"sets"&amp;Q&amp;":"&amp;Q&amp;substitute(SUBSTITUTE($H1008,"[",""),"]","")&amp;Q&amp;"},"</f>
        <v>"mfev":{"label":"Meg Ryan","extra":"1961-, American actor and girl-next-door star of “When Harry Met Sally,” “Sleepless In Seattle,” and “You’ve Got Mail.”","sets":"Expansion Set 2, Party Set"},</v>
      </c>
      <c r="E1008" s="9" t="str">
        <f t="shared" si="2"/>
        <v>data:image/svg+xml,%3csvg xmlns='http://www.w3.org/2000/svg' viewBox='0 0 24 216'%3e%3ctext fill='%23fff' style='font: 900 16px sans-serif' text-anchor='end' transform='matrix(0 -1 1 0 18 5)'%3eMeg Ryan%3c/text%3e%3c/svg%3e</v>
      </c>
      <c r="F1008" s="14" t="str">
        <f t="shared" si="3"/>
        <v>https://svgtext.heliohost.us/cgi-bin/gen.perl?text=Meg%20Ryan</v>
      </c>
      <c r="G1008" s="11" t="str">
        <f t="shared" si="4"/>
        <v>data:image/svg+xml,%3csvg xmlns='http://www.w3.org/2000/svg' viewBox='0 0 24 216'%3e%3ctext fill='%23fff' style='font: 900 16px sans-serif' text-anchor='end' transform='matrix(0 -1 1 0 18 5)'%3eMeg Ryan%3c/text%3e%3c/svg%3e</v>
      </c>
      <c r="H1008" s="8" t="s">
        <v>17</v>
      </c>
      <c r="I1008" s="8">
        <f t="shared" ref="I1008:J1008" si="1009">len(B1008)</f>
        <v>8</v>
      </c>
      <c r="J1008" s="8">
        <f t="shared" si="1009"/>
        <v>119</v>
      </c>
      <c r="K1008" s="8" t="s">
        <v>4712</v>
      </c>
    </row>
    <row r="1009">
      <c r="A1009" s="7" t="b">
        <v>0</v>
      </c>
      <c r="B1009" s="8" t="s">
        <v>4713</v>
      </c>
      <c r="C1009" s="7" t="s">
        <v>4714</v>
      </c>
      <c r="D1009" s="8" t="str">
        <f>Q&amp;$K1009&amp;Q&amp;":{"&amp;Q&amp;$B$2&amp;Q&amp;":"&amp;Q&amp;$B1009&amp;Q&amp;","&amp;Q&amp;$C$2&amp;Q&amp;":"&amp;Q&amp;$C1009&amp;Q&amp;","&amp;Q&amp;"sets"&amp;Q&amp;":"&amp;Q&amp;substitute(SUBSTITUTE($H1009,"[",""),"]","")&amp;Q&amp;"},"</f>
        <v>"dqhl":{"label":"Mel Gibson","extra":"1956-, Australian actor. Known for The Road Warrior, Braveheart and Leathal Weapon I, II, III, IV…","sets":"Expansion Set 1, Party Set"},</v>
      </c>
      <c r="E1009" s="9" t="str">
        <f t="shared" si="2"/>
        <v>data:image/svg+xml,%3csvg xmlns='http://www.w3.org/2000/svg' viewBox='0 0 24 216'%3e%3ctext fill='%23fff' style='font: 900 16px sans-serif' text-anchor='end' transform='matrix(0 -1 1 0 18 5)'%3eMel Gibson%3c/text%3e%3c/svg%3e</v>
      </c>
      <c r="F1009" s="14" t="str">
        <f t="shared" si="3"/>
        <v>https://svgtext.heliohost.us/cgi-bin/gen.perl?text=Mel%20Gibson</v>
      </c>
      <c r="G1009" s="11" t="str">
        <f t="shared" si="4"/>
        <v>data:image/svg+xml,%3csvg xmlns='http://www.w3.org/2000/svg' viewBox='0 0 24 216'%3e%3ctext fill='%23fff' style='font: 900 16px sans-serif' text-anchor='end' transform='matrix(0 -1 1 0 18 5)'%3eMel Gibson%3c/text%3e%3c/svg%3e</v>
      </c>
      <c r="H1009" s="8" t="s">
        <v>25</v>
      </c>
      <c r="I1009" s="8">
        <f t="shared" ref="I1009:J1009" si="1010">len(B1009)</f>
        <v>10</v>
      </c>
      <c r="J1009" s="8">
        <f t="shared" si="1010"/>
        <v>98</v>
      </c>
      <c r="K1009" s="8" t="s">
        <v>4715</v>
      </c>
    </row>
    <row r="1010">
      <c r="A1010" s="7" t="b">
        <v>0</v>
      </c>
      <c r="B1010" s="8" t="s">
        <v>4716</v>
      </c>
      <c r="C1010" s="7" t="s">
        <v>4717</v>
      </c>
      <c r="D1010" s="8" t="str">
        <f>Q&amp;$K1010&amp;Q&amp;":{"&amp;Q&amp;$B$2&amp;Q&amp;":"&amp;Q&amp;$B1010&amp;Q&amp;","&amp;Q&amp;$C$2&amp;Q&amp;":"&amp;Q&amp;$C1010&amp;Q&amp;","&amp;Q&amp;"sets"&amp;Q&amp;":"&amp;Q&amp;substitute(SUBSTITUTE($H1010,"[",""),"]","")&amp;Q&amp;"},"</f>
        <v>"ihwg":{"label":"Men","extra":"REAL Men.","sets":"Expansion Set 2, Party Set"},</v>
      </c>
      <c r="E1010" s="9" t="str">
        <f t="shared" si="2"/>
        <v>data:image/svg+xml,%3csvg xmlns='http://www.w3.org/2000/svg' viewBox='0 0 24 216'%3e%3ctext fill='%23fff' style='font: 900 16px sans-serif' text-anchor='end' transform='matrix(0 -1 1 0 18 5)'%3eMen%3c/text%3e%3c/svg%3e</v>
      </c>
      <c r="F1010" s="14" t="str">
        <f t="shared" si="3"/>
        <v>https://svgtext.heliohost.us/cgi-bin/gen.perl?text=Men</v>
      </c>
      <c r="G1010" s="11" t="str">
        <f t="shared" si="4"/>
        <v>data:image/svg+xml,%3csvg xmlns='http://www.w3.org/2000/svg' viewBox='0 0 24 216'%3e%3ctext fill='%23fff' style='font: 900 16px sans-serif' text-anchor='end' transform='matrix(0 -1 1 0 18 5)'%3eMen%3c/text%3e%3c/svg%3e</v>
      </c>
      <c r="H1010" s="8" t="s">
        <v>17</v>
      </c>
      <c r="I1010" s="8">
        <f t="shared" ref="I1010:J1010" si="1011">len(B1010)</f>
        <v>3</v>
      </c>
      <c r="J1010" s="8">
        <f t="shared" si="1011"/>
        <v>9</v>
      </c>
      <c r="K1010" s="8" t="s">
        <v>4718</v>
      </c>
    </row>
    <row r="1011">
      <c r="A1011" s="7" t="b">
        <v>0</v>
      </c>
      <c r="B1011" s="8" t="s">
        <v>4719</v>
      </c>
      <c r="C1011" s="7" t="s">
        <v>4720</v>
      </c>
      <c r="D1011" s="8" t="str">
        <f>Q&amp;$K1011&amp;Q&amp;":{"&amp;Q&amp;$B$2&amp;Q&amp;":"&amp;Q&amp;$B1011&amp;Q&amp;","&amp;Q&amp;$C$2&amp;Q&amp;":"&amp;Q&amp;$C1011&amp;Q&amp;","&amp;Q&amp;"sets"&amp;Q&amp;":"&amp;Q&amp;substitute(SUBSTITUTE($H1011,"[",""),"]","")&amp;Q&amp;"},"</f>
        <v>"nleq":{"label":"Men In Black","extra":"We’re not here. You don’t see us. The government did NOT send us.","sets":"Expansion Set 1, Party Set"},</v>
      </c>
      <c r="E1011" s="9" t="str">
        <f t="shared" si="2"/>
        <v>data:image/svg+xml,%3csvg xmlns='http://www.w3.org/2000/svg' viewBox='0 0 24 216'%3e%3ctext fill='%23fff' style='font: 900 16px sans-serif' text-anchor='end' transform='matrix(0 -1 1 0 18 5)'%3eMen In Black%3c/text%3e%3c/svg%3e</v>
      </c>
      <c r="F1011" s="14" t="str">
        <f t="shared" si="3"/>
        <v>https://svgtext.heliohost.us/cgi-bin/gen.perl?text=Men%20In%20Black</v>
      </c>
      <c r="G1011" s="11" t="str">
        <f t="shared" si="4"/>
        <v>data:image/svg+xml,%3csvg xmlns='http://www.w3.org/2000/svg' viewBox='0 0 24 216'%3e%3ctext fill='%23fff' style='font: 900 16px sans-serif' text-anchor='end' transform='matrix(0 -1 1 0 18 5)'%3eMen In Black%3c/text%3e%3c/svg%3e</v>
      </c>
      <c r="H1011" s="8" t="s">
        <v>25</v>
      </c>
      <c r="I1011" s="8">
        <f t="shared" ref="I1011:J1011" si="1012">len(B1011)</f>
        <v>12</v>
      </c>
      <c r="J1011" s="8">
        <f t="shared" si="1012"/>
        <v>65</v>
      </c>
      <c r="K1011" s="8" t="s">
        <v>4721</v>
      </c>
    </row>
    <row r="1012">
      <c r="A1012" s="7" t="b">
        <v>1</v>
      </c>
      <c r="B1012" s="8" t="s">
        <v>4722</v>
      </c>
      <c r="C1012" s="8" t="s">
        <v>4723</v>
      </c>
      <c r="D1012" s="8" t="str">
        <f>Q&amp;$K1012&amp;Q&amp;":{"&amp;Q&amp;$B$2&amp;Q&amp;":"&amp;Q&amp;$B1012&amp;Q&amp;","&amp;Q&amp;$C$2&amp;Q&amp;":"&amp;Q&amp;$C1012&amp;Q&amp;","&amp;Q&amp;"sets"&amp;Q&amp;":"&amp;Q&amp;substitute(SUBSTITUTE($H1012,"[",""),"]","")&amp;Q&amp;"},"</f>
        <v>"mgrb":{"label":"Mensa High IQ Society","extra":"Members have IQ's in the top 2% of the population.","sets":"Expansion Set 3, Party Expansion 1"},</v>
      </c>
      <c r="E1012" s="9" t="str">
        <f t="shared" si="2"/>
        <v>data:image/svg+xml,%3csvg xmlns='http://www.w3.org/2000/svg' viewBox='0 0 24 216'%3e%3ctext fill='%23fff' style='font: 900 16px sans-serif' text-anchor='end' transform='matrix(0 -1 1 0 18 5)'%3eMensa High IQ Society%3c/text%3e%3c/svg%3e</v>
      </c>
      <c r="F1012" s="14" t="str">
        <f t="shared" si="3"/>
        <v>https://svgtext.heliohost.us/cgi-bin/gen.perl?text=Mensa%20High%20IQ%20Society</v>
      </c>
      <c r="G1012" s="11" t="str">
        <f t="shared" si="4"/>
        <v>data:image/svg+xml,%3csvg xmlns='http://www.w3.org/2000/svg' viewBox='0 0 24 216'%3e%3ctext fill='%23fff' style='font: 900 16px sans-serif' text-anchor='end' transform='matrix(0 -1 1 0 18 5)'%3eMensa High IQ Society%3c/text%3e%3c/svg%3e</v>
      </c>
      <c r="H1012" s="8" t="s">
        <v>39</v>
      </c>
      <c r="I1012" s="8">
        <f t="shared" ref="I1012:J1012" si="1013">len(B1012)</f>
        <v>21</v>
      </c>
      <c r="J1012" s="8">
        <f t="shared" si="1013"/>
        <v>50</v>
      </c>
      <c r="K1012" s="8" t="s">
        <v>4724</v>
      </c>
    </row>
    <row r="1013">
      <c r="A1013" s="7" t="b">
        <v>0</v>
      </c>
      <c r="B1013" s="8" t="s">
        <v>4725</v>
      </c>
      <c r="C1013" s="8" t="s">
        <v>4726</v>
      </c>
      <c r="D1013" s="8" t="str">
        <f>Q&amp;$K1013&amp;Q&amp;":{"&amp;Q&amp;$B$2&amp;Q&amp;":"&amp;Q&amp;$B1013&amp;Q&amp;","&amp;Q&amp;$C$2&amp;Q&amp;":"&amp;Q&amp;$C1013&amp;Q&amp;","&amp;Q&amp;"sets"&amp;Q&amp;":"&amp;Q&amp;substitute(SUBSTITUTE($H1013,"[",""),"]","")&amp;Q&amp;"},"</f>
        <v>"mkix":{"label":"Meryl Streep","extra":"1959-, accomplished American actor, two-time Oscar winner, with over a dozen Academy Award nominations.","sets":"Expansion Set 2, Party Set"},</v>
      </c>
      <c r="E1013" s="9" t="str">
        <f t="shared" si="2"/>
        <v>data:image/svg+xml,%3csvg xmlns='http://www.w3.org/2000/svg' viewBox='0 0 24 216'%3e%3ctext fill='%23fff' style='font: 900 16px sans-serif' text-anchor='end' transform='matrix(0 -1 1 0 18 5)'%3eMeryl Streep%3c/text%3e%3c/svg%3e</v>
      </c>
      <c r="F1013" s="14" t="str">
        <f t="shared" si="3"/>
        <v>https://svgtext.heliohost.us/cgi-bin/gen.perl?text=Meryl%20Streep</v>
      </c>
      <c r="G1013" s="11" t="str">
        <f t="shared" si="4"/>
        <v>data:image/svg+xml,%3csvg xmlns='http://www.w3.org/2000/svg' viewBox='0 0 24 216'%3e%3ctext fill='%23fff' style='font: 900 16px sans-serif' text-anchor='end' transform='matrix(0 -1 1 0 18 5)'%3eMeryl Streep%3c/text%3e%3c/svg%3e</v>
      </c>
      <c r="H1013" s="8" t="s">
        <v>17</v>
      </c>
      <c r="I1013" s="8">
        <f t="shared" ref="I1013:J1013" si="1014">len(B1013)</f>
        <v>12</v>
      </c>
      <c r="J1013" s="8">
        <f t="shared" si="1014"/>
        <v>103</v>
      </c>
      <c r="K1013" s="8" t="s">
        <v>4727</v>
      </c>
    </row>
    <row r="1014">
      <c r="A1014" s="7" t="b">
        <v>1</v>
      </c>
      <c r="B1014" s="8" t="s">
        <v>4728</v>
      </c>
      <c r="C1014" s="8" t="s">
        <v>4729</v>
      </c>
      <c r="D1014" s="8" t="str">
        <f>Q&amp;$K1014&amp;Q&amp;":{"&amp;Q&amp;$B$2&amp;Q&amp;":"&amp;Q&amp;$B1014&amp;Q&amp;","&amp;Q&amp;$C$2&amp;Q&amp;":"&amp;Q&amp;$C1014&amp;Q&amp;","&amp;Q&amp;"sets"&amp;Q&amp;":"&amp;Q&amp;substitute(SUBSTITUTE($H1014,"[",""),"]","")&amp;Q&amp;"},"</f>
        <v>"fouh":{"label":"Mexico","extra":"Country in North America, just south of the United States. Spanish is spoken in Mexico.","sets":"Junior 9+ (1st) &amp; (2nd)"},</v>
      </c>
      <c r="E1014" s="9" t="str">
        <f t="shared" si="2"/>
        <v>data:image/svg+xml,%3csvg xmlns='http://www.w3.org/2000/svg' viewBox='0 0 24 216'%3e%3ctext fill='%23fff' style='font: 900 16px sans-serif' text-anchor='end' transform='matrix(0 -1 1 0 18 5)'%3eMexico%3c/text%3e%3c/svg%3e</v>
      </c>
      <c r="F1014" s="14" t="str">
        <f t="shared" si="3"/>
        <v>https://svgtext.heliohost.us/cgi-bin/gen.perl?text=Mexico</v>
      </c>
      <c r="G1014" s="11" t="str">
        <f t="shared" si="4"/>
        <v>data:image/svg+xml,%3csvg xmlns='http://www.w3.org/2000/svg' viewBox='0 0 24 216'%3e%3ctext fill='%23fff' style='font: 900 16px sans-serif' text-anchor='end' transform='matrix(0 -1 1 0 18 5)'%3eMexico%3c/text%3e%3c/svg%3e</v>
      </c>
      <c r="H1014" s="8" t="s">
        <v>42</v>
      </c>
      <c r="I1014" s="8">
        <f t="shared" ref="I1014:J1014" si="1015">len(B1014)</f>
        <v>6</v>
      </c>
      <c r="J1014" s="8">
        <f t="shared" si="1015"/>
        <v>87</v>
      </c>
      <c r="K1014" s="8" t="s">
        <v>4730</v>
      </c>
    </row>
    <row r="1015">
      <c r="A1015" s="7" t="b">
        <v>0</v>
      </c>
      <c r="B1015" s="8" t="s">
        <v>4728</v>
      </c>
      <c r="C1015" s="8" t="s">
        <v>4731</v>
      </c>
      <c r="D1015" s="8" t="str">
        <f>Q&amp;$K1015&amp;Q&amp;":{"&amp;Q&amp;$B$2&amp;Q&amp;":"&amp;Q&amp;$B1015&amp;Q&amp;","&amp;Q&amp;$C$2&amp;Q&amp;":"&amp;Q&amp;$C1015&amp;Q&amp;","&amp;Q&amp;"sets"&amp;Q&amp;":"&amp;Q&amp;substitute(SUBSTITUTE($H1015,"[",""),"]","")&amp;Q&amp;"},"</f>
        <v>"bwhz":{"label":"Mexico","extra":"Federal republic in North America. The capital and largest city is Mexico City.","sets":"Basic Set, Party Set"},</v>
      </c>
      <c r="E1015" s="9" t="str">
        <f t="shared" si="2"/>
        <v>data:image/svg+xml,%3csvg xmlns='http://www.w3.org/2000/svg' viewBox='0 0 24 216'%3e%3ctext fill='%23fff' style='font: 900 16px sans-serif' text-anchor='end' transform='matrix(0 -1 1 0 18 5)'%3eMexico%3c/text%3e%3c/svg%3e</v>
      </c>
      <c r="F1015" s="14" t="str">
        <f t="shared" si="3"/>
        <v>https://svgtext.heliohost.us/cgi-bin/gen.perl?text=Mexico</v>
      </c>
      <c r="G1015" s="11" t="str">
        <f t="shared" si="4"/>
        <v>data:image/svg+xml,%3csvg xmlns='http://www.w3.org/2000/svg' viewBox='0 0 24 216'%3e%3ctext fill='%23fff' style='font: 900 16px sans-serif' text-anchor='end' transform='matrix(0 -1 1 0 18 5)'%3eMexico%3c/text%3e%3c/svg%3e</v>
      </c>
      <c r="H1015" s="8" t="s">
        <v>29</v>
      </c>
      <c r="I1015" s="8">
        <f t="shared" ref="I1015:J1015" si="1016">len(B1015)</f>
        <v>6</v>
      </c>
      <c r="J1015" s="8">
        <f t="shared" si="1016"/>
        <v>79</v>
      </c>
      <c r="K1015" s="8" t="s">
        <v>4732</v>
      </c>
    </row>
    <row r="1016">
      <c r="A1016" s="7" t="b">
        <v>0</v>
      </c>
      <c r="B1016" s="8" t="s">
        <v>4733</v>
      </c>
      <c r="C1016" s="7" t="s">
        <v>4734</v>
      </c>
      <c r="D1016" s="8" t="str">
        <f>Q&amp;$K1016&amp;Q&amp;":{"&amp;Q&amp;$B$2&amp;Q&amp;":"&amp;Q&amp;$B1016&amp;Q&amp;","&amp;Q&amp;$C$2&amp;Q&amp;":"&amp;Q&amp;$C1016&amp;Q&amp;","&amp;Q&amp;"sets"&amp;Q&amp;":"&amp;Q&amp;substitute(SUBSTITUTE($H1016,"[",""),"]","")&amp;Q&amp;"},"</f>
        <v>"jblw":{"label":"Mice","extra":"“The best-laid schemes o’ mice an’ men…” —Robert Burns","sets":"Basic Set, Party Set"},</v>
      </c>
      <c r="E1016" s="9" t="str">
        <f t="shared" si="2"/>
        <v>data:image/svg+xml,%3csvg xmlns='http://www.w3.org/2000/svg' viewBox='0 0 24 216'%3e%3ctext fill='%23fff' style='font: 900 16px sans-serif' text-anchor='end' transform='matrix(0 -1 1 0 18 5)'%3eMice%3c/text%3e%3c/svg%3e</v>
      </c>
      <c r="F1016" s="14" t="str">
        <f t="shared" si="3"/>
        <v>https://svgtext.heliohost.us/cgi-bin/gen.perl?text=Mice</v>
      </c>
      <c r="G1016" s="11" t="str">
        <f t="shared" si="4"/>
        <v>data:image/svg+xml,%3csvg xmlns='http://www.w3.org/2000/svg' viewBox='0 0 24 216'%3e%3ctext fill='%23fff' style='font: 900 16px sans-serif' text-anchor='end' transform='matrix(0 -1 1 0 18 5)'%3eMice%3c/text%3e%3c/svg%3e</v>
      </c>
      <c r="H1016" s="8" t="s">
        <v>29</v>
      </c>
      <c r="I1016" s="8">
        <f t="shared" ref="I1016:J1016" si="1017">len(B1016)</f>
        <v>4</v>
      </c>
      <c r="J1016" s="8">
        <f t="shared" si="1017"/>
        <v>54</v>
      </c>
      <c r="K1016" s="8" t="s">
        <v>4735</v>
      </c>
    </row>
    <row r="1017">
      <c r="A1017" s="7" t="b">
        <v>0</v>
      </c>
      <c r="B1017" s="8" t="s">
        <v>4736</v>
      </c>
      <c r="C1017" s="8" t="s">
        <v>4737</v>
      </c>
      <c r="D1017" s="8" t="str">
        <f>Q&amp;$K1017&amp;Q&amp;":{"&amp;Q&amp;$B$2&amp;Q&amp;":"&amp;Q&amp;$B1017&amp;Q&amp;","&amp;Q&amp;$C$2&amp;Q&amp;":"&amp;Q&amp;$C1017&amp;Q&amp;","&amp;Q&amp;"sets"&amp;Q&amp;":"&amp;Q&amp;substitute(SUBSTITUTE($H1017,"[",""),"]","")&amp;Q&amp;"},"</f>
        <v>"vqjl":{"label":"Michael Jackson","extra":"1958-, American popular singer, dancer, and songwriter. Welcome to Neverland.","sets":"Basic Set, Party Set"},</v>
      </c>
      <c r="E1017" s="9" t="str">
        <f t="shared" si="2"/>
        <v>data:image/svg+xml,%3csvg xmlns='http://www.w3.org/2000/svg' viewBox='0 0 24 216'%3e%3ctext fill='%23fff' style='font: 900 16px sans-serif' text-anchor='end' transform='matrix(0 -1 1 0 18 5)'%3eMichael Jackson%3c/text%3e%3c/svg%3e</v>
      </c>
      <c r="F1017" s="14" t="str">
        <f t="shared" si="3"/>
        <v>https://svgtext.heliohost.us/cgi-bin/gen.perl?text=Michael%20Jackson</v>
      </c>
      <c r="G1017" s="11" t="str">
        <f t="shared" si="4"/>
        <v>data:image/svg+xml,%3csvg xmlns='http://www.w3.org/2000/svg' viewBox='0 0 24 216'%3e%3ctext fill='%23fff' style='font: 900 16px sans-serif' text-anchor='end' transform='matrix(0 -1 1 0 18 5)'%3eMichael Jackson%3c/text%3e%3c/svg%3e</v>
      </c>
      <c r="H1017" s="8" t="s">
        <v>29</v>
      </c>
      <c r="I1017" s="8">
        <f t="shared" ref="I1017:J1017" si="1018">len(B1017)</f>
        <v>15</v>
      </c>
      <c r="J1017" s="8">
        <f t="shared" si="1018"/>
        <v>77</v>
      </c>
      <c r="K1017" s="8" t="s">
        <v>4738</v>
      </c>
    </row>
    <row r="1018">
      <c r="A1018" s="7" t="b">
        <v>0</v>
      </c>
      <c r="B1018" s="8" t="s">
        <v>4739</v>
      </c>
      <c r="C1018" s="8" t="s">
        <v>4740</v>
      </c>
      <c r="D1018" s="8" t="str">
        <f>Q&amp;$K1018&amp;Q&amp;":{"&amp;Q&amp;$B$2&amp;Q&amp;":"&amp;Q&amp;$B1018&amp;Q&amp;","&amp;Q&amp;$C$2&amp;Q&amp;":"&amp;Q&amp;$C1018&amp;Q&amp;","&amp;Q&amp;"sets"&amp;Q&amp;":"&amp;Q&amp;substitute(SUBSTITUTE($H1018,"[",""),"]","")&amp;Q&amp;"},"</f>
        <v>"bcjp":{"label":"Michael Jordon","extra":"1963-, American professional basketball legend, led Chicago to six world championships. No bull.","sets":"Basic Set, Party Set"},</v>
      </c>
      <c r="E1018" s="9" t="str">
        <f t="shared" si="2"/>
        <v>data:image/svg+xml,%3csvg xmlns='http://www.w3.org/2000/svg' viewBox='0 0 24 216'%3e%3ctext fill='%23fff' style='font: 900 16px sans-serif' text-anchor='end' transform='matrix(0 -1 1 0 18 5)'%3eMichael Jordon%3c/text%3e%3c/svg%3e</v>
      </c>
      <c r="F1018" s="14" t="str">
        <f t="shared" si="3"/>
        <v>https://svgtext.heliohost.us/cgi-bin/gen.perl?text=Michael%20Jordon</v>
      </c>
      <c r="G1018" s="11" t="str">
        <f t="shared" si="4"/>
        <v>data:image/svg+xml,%3csvg xmlns='http://www.w3.org/2000/svg' viewBox='0 0 24 216'%3e%3ctext fill='%23fff' style='font: 900 16px sans-serif' text-anchor='end' transform='matrix(0 -1 1 0 18 5)'%3eMichael Jordon%3c/text%3e%3c/svg%3e</v>
      </c>
      <c r="H1018" s="8" t="s">
        <v>29</v>
      </c>
      <c r="I1018" s="8">
        <f t="shared" ref="I1018:J1018" si="1019">len(B1018)</f>
        <v>14</v>
      </c>
      <c r="J1018" s="8">
        <f t="shared" si="1019"/>
        <v>96</v>
      </c>
      <c r="K1018" s="8" t="s">
        <v>4741</v>
      </c>
    </row>
    <row r="1019">
      <c r="A1019" s="7" t="b">
        <v>0</v>
      </c>
      <c r="B1019" s="8" t="s">
        <v>4742</v>
      </c>
      <c r="C1019" s="8" t="s">
        <v>4743</v>
      </c>
      <c r="D1019" s="8" t="str">
        <f>Q&amp;$K1019&amp;Q&amp;":{"&amp;Q&amp;$B$2&amp;Q&amp;":"&amp;Q&amp;$B1019&amp;Q&amp;","&amp;Q&amp;$C$2&amp;Q&amp;":"&amp;Q&amp;$C1019&amp;Q&amp;","&amp;Q&amp;"sets"&amp;Q&amp;":"&amp;Q&amp;substitute(SUBSTITUTE($H1019,"[",""),"]","")&amp;Q&amp;"},"</f>
        <v>"geyo":{"label":"Michelangelo","extra":"1475-1564, inspired Italian sculptor, architect, painter, and poet. A REAL Renaissance man.","sets":"Expansion Set 1, Party Set"},</v>
      </c>
      <c r="E1019" s="9" t="str">
        <f t="shared" si="2"/>
        <v>data:image/svg+xml,%3csvg xmlns='http://www.w3.org/2000/svg' viewBox='0 0 24 216'%3e%3ctext fill='%23fff' style='font: 900 16px sans-serif' text-anchor='end' transform='matrix(0 -1 1 0 18 5)'%3eMichelangelo%3c/text%3e%3c/svg%3e</v>
      </c>
      <c r="F1019" s="14" t="str">
        <f t="shared" si="3"/>
        <v>https://svgtext.heliohost.us/cgi-bin/gen.perl?text=Michelangelo</v>
      </c>
      <c r="G1019" s="11" t="str">
        <f t="shared" si="4"/>
        <v>data:image/svg+xml,%3csvg xmlns='http://www.w3.org/2000/svg' viewBox='0 0 24 216'%3e%3ctext fill='%23fff' style='font: 900 16px sans-serif' text-anchor='end' transform='matrix(0 -1 1 0 18 5)'%3eMichelangelo%3c/text%3e%3c/svg%3e</v>
      </c>
      <c r="H1019" s="8" t="s">
        <v>25</v>
      </c>
      <c r="I1019" s="8">
        <f t="shared" ref="I1019:J1019" si="1020">len(B1019)</f>
        <v>12</v>
      </c>
      <c r="J1019" s="8">
        <f t="shared" si="1020"/>
        <v>91</v>
      </c>
      <c r="K1019" s="8" t="s">
        <v>4744</v>
      </c>
    </row>
    <row r="1020">
      <c r="A1020" s="7" t="b">
        <v>0</v>
      </c>
      <c r="B1020" s="8" t="s">
        <v>4745</v>
      </c>
      <c r="C1020" s="7" t="s">
        <v>4746</v>
      </c>
      <c r="D1020" s="8" t="str">
        <f>Q&amp;$K1020&amp;Q&amp;":{"&amp;Q&amp;$B$2&amp;Q&amp;":"&amp;Q&amp;$B1020&amp;Q&amp;","&amp;Q&amp;$C$2&amp;Q&amp;":"&amp;Q&amp;$C1020&amp;Q&amp;","&amp;Q&amp;"sets"&amp;Q&amp;":"&amp;Q&amp;substitute(SUBSTITUTE($H1020,"[",""),"]","")&amp;Q&amp;"},"</f>
        <v>"kgnn":{"label":"Michelle Pfeiffer","extra":"1957-, American actor whose career began with “Grease 2.” She’d like us to forget that but remember her Oscar nominations.","sets":"Basic Set, Party Set"},</v>
      </c>
      <c r="E1020" s="9" t="str">
        <f t="shared" si="2"/>
        <v>data:image/svg+xml,%3csvg xmlns='http://www.w3.org/2000/svg' viewBox='0 0 24 216'%3e%3ctext fill='%23fff' style='font: 900 16px sans-serif' text-anchor='end' transform='matrix(0 -1 1 0 18 5)'%3eMichelle Pfeiffer%3c/text%3e%3c/svg%3e</v>
      </c>
      <c r="F1020" s="14" t="str">
        <f t="shared" si="3"/>
        <v>https://svgtext.heliohost.us/cgi-bin/gen.perl?text=Michelle%20Pfeiffer</v>
      </c>
      <c r="G1020" s="11" t="str">
        <f t="shared" si="4"/>
        <v>data:image/svg+xml,%3csvg xmlns='http://www.w3.org/2000/svg' viewBox='0 0 24 216'%3e%3ctext fill='%23fff' style='font: 900 16px sans-serif' text-anchor='end' transform='matrix(0 -1 1 0 18 5)'%3eMichelle Pfeiffer%3c/text%3e%3c/svg%3e</v>
      </c>
      <c r="H1020" s="8" t="s">
        <v>29</v>
      </c>
      <c r="I1020" s="8">
        <f t="shared" ref="I1020:J1020" si="1021">len(B1020)</f>
        <v>17</v>
      </c>
      <c r="J1020" s="8">
        <f t="shared" si="1021"/>
        <v>122</v>
      </c>
      <c r="K1020" s="8" t="s">
        <v>4747</v>
      </c>
    </row>
    <row r="1021">
      <c r="A1021" s="7" t="b">
        <v>1</v>
      </c>
      <c r="B1021" s="8" t="s">
        <v>4748</v>
      </c>
      <c r="C1021" s="7" t="s">
        <v>4749</v>
      </c>
      <c r="D1021" s="8" t="str">
        <f>Q&amp;$K1021&amp;Q&amp;":{"&amp;Q&amp;$B$2&amp;Q&amp;":"&amp;Q&amp;$B1021&amp;Q&amp;","&amp;Q&amp;$C$2&amp;Q&amp;":"&amp;Q&amp;$C1021&amp;Q&amp;","&amp;Q&amp;"sets"&amp;Q&amp;":"&amp;Q&amp;substitute(SUBSTITUTE($H1021,"[",""),"]","")&amp;Q&amp;"},"</f>
        <v>"lczl":{"label":"Mickey &amp; Minnie","extra":"Mouse, that is. Disney’s dynamic duo.","sets":"Expansion Set 4, Party Expansion 1"},</v>
      </c>
      <c r="E1021" s="9" t="str">
        <f t="shared" si="2"/>
        <v>data:image/svg+xml,%3csvg xmlns='http://www.w3.org/2000/svg' viewBox='0 0 24 216'%3e%3ctext fill='%23fff' style='font: 900 16px sans-serif' text-anchor='end' transform='matrix(0 -1 1 0 18 5)'%3eMickey %26amp%3B Minnie%3c/text%3e%3c/svg%3e</v>
      </c>
      <c r="F1021" s="14" t="str">
        <f t="shared" si="3"/>
        <v>https://svgtext.heliohost.us/cgi-bin/gen.perl?text=Mickey%20%26%20Minnie</v>
      </c>
      <c r="G1021" s="11" t="str">
        <f t="shared" si="4"/>
        <v>data:image/svg+xml,%3csvg xmlns='http://www.w3.org/2000/svg' viewBox='0 0 24 216'%3e%3ctext fill='%23fff' style='font: 900 16px sans-serif' text-anchor='end' transform='matrix(0 -1 1 0 18 5)'%3eMickey %26amp%3B Minnie%3c/text%3e%3c/svg%3e</v>
      </c>
      <c r="H1021" s="8" t="s">
        <v>63</v>
      </c>
      <c r="I1021" s="8">
        <f t="shared" ref="I1021:J1021" si="1022">len(B1021)</f>
        <v>15</v>
      </c>
      <c r="J1021" s="8">
        <f t="shared" si="1022"/>
        <v>37</v>
      </c>
      <c r="K1021" s="8" t="s">
        <v>4750</v>
      </c>
    </row>
    <row r="1022">
      <c r="A1022" s="7" t="b">
        <v>1</v>
      </c>
      <c r="B1022" s="8" t="s">
        <v>4751</v>
      </c>
      <c r="C1022" s="8" t="s">
        <v>4752</v>
      </c>
      <c r="D1022" s="8" t="str">
        <f>Q&amp;$K1022&amp;Q&amp;":{"&amp;Q&amp;$B$2&amp;Q&amp;":"&amp;Q&amp;$B1022&amp;Q&amp;","&amp;Q&amp;$C$2&amp;Q&amp;":"&amp;Q&amp;$C1022&amp;Q&amp;","&amp;Q&amp;"sets"&amp;Q&amp;":"&amp;Q&amp;substitute(SUBSTITUTE($H1022,"[",""),"]","")&amp;Q&amp;"},"</f>
        <v>"isxj":{"label":"Mickey Mouse","extra":"Disney cartoon character, friends with Minnie Mouse and Goofy.","sets":"Junior"},</v>
      </c>
      <c r="E1022" s="9" t="str">
        <f t="shared" si="2"/>
        <v>data:image/svg+xml,%3csvg xmlns='http://www.w3.org/2000/svg' viewBox='0 0 24 216'%3e%3ctext fill='%23fff' style='font: 900 16px sans-serif' text-anchor='end' transform='matrix(0 -1 1 0 18 5)'%3eMickey Mouse%3c/text%3e%3c/svg%3e</v>
      </c>
      <c r="F1022" s="14" t="str">
        <f t="shared" si="3"/>
        <v>https://svgtext.heliohost.us/cgi-bin/gen.perl?text=Mickey%20Mouse</v>
      </c>
      <c r="G1022" s="11" t="str">
        <f t="shared" si="4"/>
        <v>data:image/svg+xml,%3csvg xmlns='http://www.w3.org/2000/svg' viewBox='0 0 24 216'%3e%3ctext fill='%23fff' style='font: 900 16px sans-serif' text-anchor='end' transform='matrix(0 -1 1 0 18 5)'%3eMickey Mouse%3c/text%3e%3c/svg%3e</v>
      </c>
      <c r="H1022" s="8" t="s">
        <v>84</v>
      </c>
      <c r="I1022" s="8">
        <f t="shared" ref="I1022:J1022" si="1023">len(B1022)</f>
        <v>12</v>
      </c>
      <c r="J1022" s="8">
        <f t="shared" si="1023"/>
        <v>62</v>
      </c>
      <c r="K1022" s="8" t="s">
        <v>4753</v>
      </c>
    </row>
    <row r="1023">
      <c r="A1023" s="7" t="b">
        <v>0</v>
      </c>
      <c r="B1023" s="8" t="s">
        <v>4754</v>
      </c>
      <c r="C1023" s="7" t="s">
        <v>4755</v>
      </c>
      <c r="D1023" s="8" t="str">
        <f>Q&amp;$K1023&amp;Q&amp;":{"&amp;Q&amp;$B$2&amp;Q&amp;":"&amp;Q&amp;$B1023&amp;Q&amp;","&amp;Q&amp;$C$2&amp;Q&amp;":"&amp;Q&amp;$C1023&amp;Q&amp;","&amp;Q&amp;"sets"&amp;Q&amp;":"&amp;Q&amp;substitute(SUBSTITUTE($H1023,"[",""),"]","")&amp;Q&amp;"},"</f>
        <v>"zigl":{"label":"Microsoft","extra":"A leading American software company. We’d say more but we don't want to monopolize your time…","sets":"Expansion Set 2, Party Set"},</v>
      </c>
      <c r="E1023" s="9" t="str">
        <f t="shared" si="2"/>
        <v>data:image/svg+xml,%3csvg xmlns='http://www.w3.org/2000/svg' viewBox='0 0 24 216'%3e%3ctext fill='%23fff' style='font: 900 16px sans-serif' text-anchor='end' transform='matrix(0 -1 1 0 18 5)'%3eMicrosoft%3c/text%3e%3c/svg%3e</v>
      </c>
      <c r="F1023" s="14" t="str">
        <f t="shared" si="3"/>
        <v>https://svgtext.heliohost.us/cgi-bin/gen.perl?text=Microsoft</v>
      </c>
      <c r="G1023" s="11" t="str">
        <f t="shared" si="4"/>
        <v>data:image/svg+xml,%3csvg xmlns='http://www.w3.org/2000/svg' viewBox='0 0 24 216'%3e%3ctext fill='%23fff' style='font: 900 16px sans-serif' text-anchor='end' transform='matrix(0 -1 1 0 18 5)'%3eMicrosoft%3c/text%3e%3c/svg%3e</v>
      </c>
      <c r="H1023" s="8" t="s">
        <v>17</v>
      </c>
      <c r="I1023" s="8">
        <f t="shared" ref="I1023:J1023" si="1024">len(B1023)</f>
        <v>9</v>
      </c>
      <c r="J1023" s="8">
        <f t="shared" si="1024"/>
        <v>93</v>
      </c>
      <c r="K1023" s="8" t="s">
        <v>4756</v>
      </c>
    </row>
    <row r="1024">
      <c r="A1024" s="7" t="b">
        <v>0</v>
      </c>
      <c r="B1024" s="8" t="s">
        <v>4757</v>
      </c>
      <c r="C1024" s="7" t="s">
        <v>4758</v>
      </c>
      <c r="D1024" s="8" t="str">
        <f>Q&amp;$K1024&amp;Q&amp;":{"&amp;Q&amp;$B$2&amp;Q&amp;":"&amp;Q&amp;$B1024&amp;Q&amp;","&amp;Q&amp;$C$2&amp;Q&amp;":"&amp;Q&amp;$C1024&amp;Q&amp;","&amp;Q&amp;"sets"&amp;Q&amp;":"&amp;Q&amp;substitute(SUBSTITUTE($H1024,"[",""),"]","")&amp;Q&amp;"},"</f>
        <v>"zqsl":{"label":"Midlife Crisis","extra":"“Here comes your 19th nervous breakdown…” —The Rolling Stone","sets":"Expansion Set 1, Party Set"},</v>
      </c>
      <c r="E1024" s="9" t="str">
        <f t="shared" si="2"/>
        <v>data:image/svg+xml,%3csvg xmlns='http://www.w3.org/2000/svg' viewBox='0 0 24 216'%3e%3ctext fill='%23fff' style='font: 900 16px sans-serif' text-anchor='end' transform='matrix(0 -1 1 0 18 5)'%3eMidlife Crisis%3c/text%3e%3c/svg%3e</v>
      </c>
      <c r="F1024" s="14" t="str">
        <f t="shared" si="3"/>
        <v>https://svgtext.heliohost.us/cgi-bin/gen.perl?text=Midlife%20Crisis</v>
      </c>
      <c r="G1024" s="11" t="str">
        <f t="shared" si="4"/>
        <v>data:image/svg+xml,%3csvg xmlns='http://www.w3.org/2000/svg' viewBox='0 0 24 216'%3e%3ctext fill='%23fff' style='font: 900 16px sans-serif' text-anchor='end' transform='matrix(0 -1 1 0 18 5)'%3eMidlife Crisis%3c/text%3e%3c/svg%3e</v>
      </c>
      <c r="H1024" s="8" t="s">
        <v>25</v>
      </c>
      <c r="I1024" s="8">
        <f t="shared" ref="I1024:J1024" si="1025">len(B1024)</f>
        <v>14</v>
      </c>
      <c r="J1024" s="8">
        <f t="shared" si="1025"/>
        <v>60</v>
      </c>
      <c r="K1024" s="8" t="s">
        <v>4759</v>
      </c>
    </row>
    <row r="1025">
      <c r="A1025" s="7" t="b">
        <v>1</v>
      </c>
      <c r="B1025" s="8" t="s">
        <v>4760</v>
      </c>
      <c r="C1025" s="7" t="s">
        <v>4761</v>
      </c>
      <c r="D1025" s="8" t="str">
        <f>Q&amp;$K1025&amp;Q&amp;":{"&amp;Q&amp;$B$2&amp;Q&amp;":"&amp;Q&amp;$B1025&amp;Q&amp;","&amp;Q&amp;$C$2&amp;Q&amp;":"&amp;Q&amp;$C1025&amp;Q&amp;","&amp;Q&amp;"sets"&amp;Q&amp;":"&amp;Q&amp;substitute(SUBSTITUTE($H1025,"[",""),"]","")&amp;Q&amp;"},"</f>
        <v>"da{l":{"label":"Midnight","extra":"Cinderella’s curfew.","sets":"Junior 9+ (2nd)"},</v>
      </c>
      <c r="E1025" s="9" t="str">
        <f t="shared" si="2"/>
        <v>data:image/svg+xml,%3csvg xmlns='http://www.w3.org/2000/svg' viewBox='0 0 24 216'%3e%3ctext fill='%23fff' style='font: 900 16px sans-serif' text-anchor='end' transform='matrix(0 -1 1 0 18 5)'%3eMidnight%3c/text%3e%3c/svg%3e</v>
      </c>
      <c r="F1025" s="14" t="str">
        <f t="shared" si="3"/>
        <v>https://svgtext.heliohost.us/cgi-bin/gen.perl?text=Midnight</v>
      </c>
      <c r="G1025" s="11" t="str">
        <f t="shared" si="4"/>
        <v>data:image/svg+xml,%3csvg xmlns='http://www.w3.org/2000/svg' viewBox='0 0 24 216'%3e%3ctext fill='%23fff' style='font: 900 16px sans-serif' text-anchor='end' transform='matrix(0 -1 1 0 18 5)'%3eMidnight%3c/text%3e%3c/svg%3e</v>
      </c>
      <c r="H1025" s="8" t="s">
        <v>32</v>
      </c>
      <c r="I1025" s="8">
        <f t="shared" ref="I1025:J1025" si="1026">len(B1025)</f>
        <v>8</v>
      </c>
      <c r="J1025" s="8">
        <f t="shared" si="1026"/>
        <v>20</v>
      </c>
      <c r="K1025" s="8" t="s">
        <v>4762</v>
      </c>
    </row>
    <row r="1026">
      <c r="A1026" s="7" t="b">
        <v>1</v>
      </c>
      <c r="B1026" s="8" t="s">
        <v>4763</v>
      </c>
      <c r="C1026" s="7" t="s">
        <v>4764</v>
      </c>
      <c r="D1026" s="8" t="str">
        <f>Q&amp;$K1026&amp;Q&amp;":{"&amp;Q&amp;$B$2&amp;Q&amp;":"&amp;Q&amp;$B1026&amp;Q&amp;","&amp;Q&amp;$C$2&amp;Q&amp;":"&amp;Q&amp;$C1026&amp;Q&amp;","&amp;Q&amp;"sets"&amp;Q&amp;":"&amp;Q&amp;substitute(SUBSTITUTE($H1026,"[",""),"]","")&amp;Q&amp;"},"</f>
        <v>"wias":{"label":"Migraine Headaches","extra":"Not just any headache.","sets":"Expansion Set 3, Party Expansion 1"},</v>
      </c>
      <c r="E1026" s="9" t="str">
        <f t="shared" si="2"/>
        <v>data:image/svg+xml,%3csvg xmlns='http://www.w3.org/2000/svg' viewBox='0 0 24 216'%3e%3ctext fill='%23fff' style='font: 900 16px sans-serif' text-anchor='end' transform='matrix(0 -1 1 0 18 5)'%3eMigraine Headaches%3c/text%3e%3c/svg%3e</v>
      </c>
      <c r="F1026" s="14" t="str">
        <f t="shared" si="3"/>
        <v>https://svgtext.heliohost.us/cgi-bin/gen.perl?text=Migraine%20Headaches</v>
      </c>
      <c r="G1026" s="11" t="str">
        <f t="shared" si="4"/>
        <v>data:image/svg+xml,%3csvg xmlns='http://www.w3.org/2000/svg' viewBox='0 0 24 216'%3e%3ctext fill='%23fff' style='font: 900 16px sans-serif' text-anchor='end' transform='matrix(0 -1 1 0 18 5)'%3eMigraine Headaches%3c/text%3e%3c/svg%3e</v>
      </c>
      <c r="H1026" s="8" t="s">
        <v>39</v>
      </c>
      <c r="I1026" s="8">
        <f t="shared" ref="I1026:J1026" si="1027">len(B1026)</f>
        <v>18</v>
      </c>
      <c r="J1026" s="8">
        <f t="shared" si="1027"/>
        <v>22</v>
      </c>
      <c r="K1026" s="8" t="s">
        <v>4765</v>
      </c>
    </row>
    <row r="1027">
      <c r="A1027" s="7" t="b">
        <v>0</v>
      </c>
      <c r="B1027" s="8" t="s">
        <v>4766</v>
      </c>
      <c r="C1027" s="7" t="s">
        <v>4767</v>
      </c>
      <c r="D1027" s="8" t="str">
        <f>Q&amp;$K1027&amp;Q&amp;":{"&amp;Q&amp;$B$2&amp;Q&amp;":"&amp;Q&amp;$B1027&amp;Q&amp;","&amp;Q&amp;$C$2&amp;Q&amp;":"&amp;Q&amp;$C1027&amp;Q&amp;","&amp;Q&amp;"sets"&amp;Q&amp;":"&amp;Q&amp;substitute(SUBSTITUTE($H1027,"[",""),"]","")&amp;Q&amp;"},"</f>
        <v>"nmlh":{"label":"Mike Tyson","extra":"1966-, American heavyweight boxer. Lend him your ear…","sets":"Basic Set, Party Set"},</v>
      </c>
      <c r="E1027" s="9" t="str">
        <f t="shared" si="2"/>
        <v>data:image/svg+xml,%3csvg xmlns='http://www.w3.org/2000/svg' viewBox='0 0 24 216'%3e%3ctext fill='%23fff' style='font: 900 16px sans-serif' text-anchor='end' transform='matrix(0 -1 1 0 18 5)'%3eMike Tyson%3c/text%3e%3c/svg%3e</v>
      </c>
      <c r="F1027" s="14" t="str">
        <f t="shared" si="3"/>
        <v>https://svgtext.heliohost.us/cgi-bin/gen.perl?text=Mike%20Tyson</v>
      </c>
      <c r="G1027" s="11" t="str">
        <f t="shared" si="4"/>
        <v>data:image/svg+xml,%3csvg xmlns='http://www.w3.org/2000/svg' viewBox='0 0 24 216'%3e%3ctext fill='%23fff' style='font: 900 16px sans-serif' text-anchor='end' transform='matrix(0 -1 1 0 18 5)'%3eMike Tyson%3c/text%3e%3c/svg%3e</v>
      </c>
      <c r="H1027" s="8" t="s">
        <v>29</v>
      </c>
      <c r="I1027" s="8">
        <f t="shared" ref="I1027:J1027" si="1028">len(B1027)</f>
        <v>10</v>
      </c>
      <c r="J1027" s="8">
        <f t="shared" si="1028"/>
        <v>53</v>
      </c>
      <c r="K1027" s="8" t="s">
        <v>4768</v>
      </c>
    </row>
    <row r="1028">
      <c r="A1028" s="7" t="b">
        <v>0</v>
      </c>
      <c r="B1028" s="8" t="s">
        <v>4769</v>
      </c>
      <c r="C1028" s="8" t="s">
        <v>4770</v>
      </c>
      <c r="D1028" s="8" t="str">
        <f>Q&amp;$K1028&amp;Q&amp;":{"&amp;Q&amp;$B$2&amp;Q&amp;":"&amp;Q&amp;$B1028&amp;Q&amp;","&amp;Q&amp;$C$2&amp;Q&amp;":"&amp;Q&amp;$C1028&amp;Q&amp;","&amp;Q&amp;"sets"&amp;Q&amp;":"&amp;Q&amp;substitute(SUBSTITUTE($H1028,"[",""),"]","")&amp;Q&amp;"},"</f>
        <v>"rqms":{"label":"Miles Davis","extra":"1926-91, innovative, influential, and respected American jazz trumpter player and band layer.","sets":"Expansion Set 1, Party Set"},</v>
      </c>
      <c r="E1028" s="9" t="str">
        <f t="shared" si="2"/>
        <v>data:image/svg+xml,%3csvg xmlns='http://www.w3.org/2000/svg' viewBox='0 0 24 216'%3e%3ctext fill='%23fff' style='font: 900 16px sans-serif' text-anchor='end' transform='matrix(0 -1 1 0 18 5)'%3eMiles Davis%3c/text%3e%3c/svg%3e</v>
      </c>
      <c r="F1028" s="14" t="str">
        <f t="shared" si="3"/>
        <v>https://svgtext.heliohost.us/cgi-bin/gen.perl?text=Miles%20Davis</v>
      </c>
      <c r="G1028" s="11" t="str">
        <f t="shared" si="4"/>
        <v>data:image/svg+xml,%3csvg xmlns='http://www.w3.org/2000/svg' viewBox='0 0 24 216'%3e%3ctext fill='%23fff' style='font: 900 16px sans-serif' text-anchor='end' transform='matrix(0 -1 1 0 18 5)'%3eMiles Davis%3c/text%3e%3c/svg%3e</v>
      </c>
      <c r="H1028" s="8" t="s">
        <v>25</v>
      </c>
      <c r="I1028" s="8">
        <f t="shared" ref="I1028:J1028" si="1029">len(B1028)</f>
        <v>11</v>
      </c>
      <c r="J1028" s="8">
        <f t="shared" si="1029"/>
        <v>93</v>
      </c>
      <c r="K1028" s="8" t="s">
        <v>4771</v>
      </c>
    </row>
    <row r="1029">
      <c r="A1029" s="7" t="b">
        <v>0</v>
      </c>
      <c r="B1029" s="8" t="s">
        <v>4772</v>
      </c>
      <c r="C1029" s="7" t="s">
        <v>4773</v>
      </c>
      <c r="D1029" s="8" t="str">
        <f>Q&amp;$K1029&amp;Q&amp;":{"&amp;Q&amp;$B$2&amp;Q&amp;":"&amp;Q&amp;$B1029&amp;Q&amp;","&amp;Q&amp;$C$2&amp;Q&amp;":"&amp;Q&amp;$C1029&amp;Q&amp;","&amp;Q&amp;"sets"&amp;Q&amp;":"&amp;Q&amp;substitute(SUBSTITUTE($H1029,"[",""),"]","")&amp;Q&amp;"},"</f>
        <v>"cjen":{"label":"Milk","extra":"Three glasses a day will give you… the gratitude of the dairy industry.","sets":"Basic Set, Party Set"},</v>
      </c>
      <c r="E1029" s="9" t="str">
        <f t="shared" si="2"/>
        <v>data:image/svg+xml,%3csvg xmlns='http://www.w3.org/2000/svg' viewBox='0 0 24 216'%3e%3ctext fill='%23fff' style='font: 900 16px sans-serif' text-anchor='end' transform='matrix(0 -1 1 0 18 5)'%3eMilk%3c/text%3e%3c/svg%3e</v>
      </c>
      <c r="F1029" s="14" t="str">
        <f t="shared" si="3"/>
        <v>https://svgtext.heliohost.us/cgi-bin/gen.perl?text=Milk</v>
      </c>
      <c r="G1029" s="11" t="str">
        <f t="shared" si="4"/>
        <v>data:image/svg+xml,%3csvg xmlns='http://www.w3.org/2000/svg' viewBox='0 0 24 216'%3e%3ctext fill='%23fff' style='font: 900 16px sans-serif' text-anchor='end' transform='matrix(0 -1 1 0 18 5)'%3eMilk%3c/text%3e%3c/svg%3e</v>
      </c>
      <c r="H1029" s="8" t="s">
        <v>29</v>
      </c>
      <c r="I1029" s="8">
        <f t="shared" ref="I1029:J1029" si="1030">len(B1029)</f>
        <v>4</v>
      </c>
      <c r="J1029" s="8">
        <f t="shared" si="1030"/>
        <v>71</v>
      </c>
      <c r="K1029" s="8" t="s">
        <v>4774</v>
      </c>
    </row>
    <row r="1030">
      <c r="A1030" s="7" t="b">
        <v>1</v>
      </c>
      <c r="B1030" s="8" t="s">
        <v>4775</v>
      </c>
      <c r="C1030" s="7" t="s">
        <v>4776</v>
      </c>
      <c r="D1030" s="8" t="str">
        <f>Q&amp;$K1030&amp;Q&amp;":{"&amp;Q&amp;$B$2&amp;Q&amp;":"&amp;Q&amp;$B1030&amp;Q&amp;","&amp;Q&amp;$C$2&amp;Q&amp;":"&amp;Q&amp;$C1030&amp;Q&amp;","&amp;Q&amp;"sets"&amp;Q&amp;":"&amp;Q&amp;substitute(SUBSTITUTE($H1030,"[",""),"]","")&amp;Q&amp;"},"</f>
        <v>"cqfe":{"label":"Milk &amp; Cookies","extra":"The ultimate after-school special.","sets":"Expansion Set 4, Party Expansion 1"},</v>
      </c>
      <c r="E1030" s="9" t="str">
        <f t="shared" si="2"/>
        <v>data:image/svg+xml,%3csvg xmlns='http://www.w3.org/2000/svg' viewBox='0 0 24 216'%3e%3ctext fill='%23fff' style='font: 900 16px sans-serif' text-anchor='end' transform='matrix(0 -1 1 0 18 5)'%3eMilk %26amp%3B Cookies%3c/text%3e%3c/svg%3e</v>
      </c>
      <c r="F1030" s="14" t="str">
        <f t="shared" si="3"/>
        <v>https://svgtext.heliohost.us/cgi-bin/gen.perl?text=Milk%20%26%20Cookies</v>
      </c>
      <c r="G1030" s="11" t="str">
        <f t="shared" si="4"/>
        <v>data:image/svg+xml,%3csvg xmlns='http://www.w3.org/2000/svg' viewBox='0 0 24 216'%3e%3ctext fill='%23fff' style='font: 900 16px sans-serif' text-anchor='end' transform='matrix(0 -1 1 0 18 5)'%3eMilk %26amp%3B Cookies%3c/text%3e%3c/svg%3e</v>
      </c>
      <c r="H1030" s="8" t="s">
        <v>63</v>
      </c>
      <c r="I1030" s="8">
        <f t="shared" ref="I1030:J1030" si="1031">len(B1030)</f>
        <v>14</v>
      </c>
      <c r="J1030" s="8">
        <f t="shared" si="1031"/>
        <v>34</v>
      </c>
      <c r="K1030" s="8" t="s">
        <v>154</v>
      </c>
    </row>
    <row r="1031">
      <c r="A1031" s="7" t="b">
        <v>0</v>
      </c>
      <c r="B1031" s="8" t="s">
        <v>4777</v>
      </c>
      <c r="C1031" s="8" t="s">
        <v>4778</v>
      </c>
      <c r="D1031" s="8" t="str">
        <f>Q&amp;$K1031&amp;Q&amp;":{"&amp;Q&amp;$B$2&amp;Q&amp;":"&amp;Q&amp;$B1031&amp;Q&amp;","&amp;Q&amp;$C$2&amp;Q&amp;":"&amp;Q&amp;$C1031&amp;Q&amp;","&amp;Q&amp;"sets"&amp;Q&amp;":"&amp;Q&amp;substitute(SUBSTITUTE($H1031,"[",""),"]","")&amp;Q&amp;"},"</f>
        <v>"ryqq":{"label":"Milk Duds","extra":"Chocolate and caramel candy balls. Tooth extractions at no extra charge!","sets":"Expansion Set 2, Party Set"},</v>
      </c>
      <c r="E1031" s="9" t="str">
        <f t="shared" si="2"/>
        <v>data:image/svg+xml,%3csvg xmlns='http://www.w3.org/2000/svg' viewBox='0 0 24 216'%3e%3ctext fill='%23fff' style='font: 900 16px sans-serif' text-anchor='end' transform='matrix(0 -1 1 0 18 5)'%3eMilk Duds%3c/text%3e%3c/svg%3e</v>
      </c>
      <c r="F1031" s="14" t="str">
        <f t="shared" si="3"/>
        <v>https://svgtext.heliohost.us/cgi-bin/gen.perl?text=Milk%20Duds</v>
      </c>
      <c r="G1031" s="11" t="str">
        <f t="shared" si="4"/>
        <v>data:image/svg+xml,%3csvg xmlns='http://www.w3.org/2000/svg' viewBox='0 0 24 216'%3e%3ctext fill='%23fff' style='font: 900 16px sans-serif' text-anchor='end' transform='matrix(0 -1 1 0 18 5)'%3eMilk Duds%3c/text%3e%3c/svg%3e</v>
      </c>
      <c r="H1031" s="8" t="s">
        <v>17</v>
      </c>
      <c r="I1031" s="8">
        <f t="shared" ref="I1031:J1031" si="1032">len(B1031)</f>
        <v>9</v>
      </c>
      <c r="J1031" s="8">
        <f t="shared" si="1032"/>
        <v>72</v>
      </c>
      <c r="K1031" s="8" t="s">
        <v>4779</v>
      </c>
    </row>
    <row r="1032">
      <c r="A1032" s="7" t="b">
        <v>1</v>
      </c>
      <c r="B1032" s="8" t="s">
        <v>4780</v>
      </c>
      <c r="C1032" s="8" t="s">
        <v>4781</v>
      </c>
      <c r="D1032" s="8" t="str">
        <f>Q&amp;$K1032&amp;Q&amp;":{"&amp;Q&amp;$B$2&amp;Q&amp;":"&amp;Q&amp;$B1032&amp;Q&amp;","&amp;Q&amp;$C$2&amp;Q&amp;":"&amp;Q&amp;$C1032&amp;Q&amp;","&amp;Q&amp;"sets"&amp;Q&amp;":"&amp;Q&amp;substitute(SUBSTITUTE($H1032,"[",""),"]","")&amp;Q&amp;"},"</f>
        <v>"hpov":{"label":"Milking A Cow","extra":"They have machines for that now.","sets":"Junior 9+ (2nd)"},</v>
      </c>
      <c r="E1032" s="9" t="str">
        <f t="shared" si="2"/>
        <v>data:image/svg+xml,%3csvg xmlns='http://www.w3.org/2000/svg' viewBox='0 0 24 216'%3e%3ctext fill='%23fff' style='font: 900 16px sans-serif' text-anchor='end' transform='matrix(0 -1 1 0 18 5)'%3eMilking A Cow%3c/text%3e%3c/svg%3e</v>
      </c>
      <c r="F1032" s="14" t="str">
        <f t="shared" si="3"/>
        <v>https://svgtext.heliohost.us/cgi-bin/gen.perl?text=Milking%20A%20Cow</v>
      </c>
      <c r="G1032" s="11" t="str">
        <f t="shared" si="4"/>
        <v>data:image/svg+xml,%3csvg xmlns='http://www.w3.org/2000/svg' viewBox='0 0 24 216'%3e%3ctext fill='%23fff' style='font: 900 16px sans-serif' text-anchor='end' transform='matrix(0 -1 1 0 18 5)'%3eMilking A Cow%3c/text%3e%3c/svg%3e</v>
      </c>
      <c r="H1032" s="8" t="s">
        <v>32</v>
      </c>
      <c r="I1032" s="8">
        <f t="shared" ref="I1032:J1032" si="1033">len(B1032)</f>
        <v>13</v>
      </c>
      <c r="J1032" s="8">
        <f t="shared" si="1033"/>
        <v>32</v>
      </c>
      <c r="K1032" s="8" t="s">
        <v>4782</v>
      </c>
    </row>
    <row r="1033">
      <c r="A1033" s="7" t="b">
        <v>0</v>
      </c>
      <c r="B1033" s="8" t="s">
        <v>4783</v>
      </c>
      <c r="C1033" s="7" t="s">
        <v>4784</v>
      </c>
      <c r="D1033" s="8" t="str">
        <f>Q&amp;$K1033&amp;Q&amp;":{"&amp;Q&amp;$B$2&amp;Q&amp;":"&amp;Q&amp;$B1033&amp;Q&amp;","&amp;Q&amp;$C$2&amp;Q&amp;":"&amp;Q&amp;$C1033&amp;Q&amp;","&amp;Q&amp;"sets"&amp;Q&amp;":"&amp;Q&amp;substitute(SUBSTITUTE($H1033,"[",""),"]","")&amp;Q&amp;"},"</f>
        <v>"cdqg":{"label":"Milwaukee","extra":"The Genuine American City. It’s come along way since Laverne and Shirley.","sets":"Expansion Set 3, Party Expansion 1"},</v>
      </c>
      <c r="E1033" s="9" t="str">
        <f t="shared" si="2"/>
        <v>data:image/svg+xml,%3csvg xmlns='http://www.w3.org/2000/svg' viewBox='0 0 24 216'%3e%3ctext fill='%23fff' style='font: 900 16px sans-serif' text-anchor='end' transform='matrix(0 -1 1 0 18 5)'%3eMilwaukee%3c/text%3e%3c/svg%3e</v>
      </c>
      <c r="F1033" s="14" t="str">
        <f t="shared" si="3"/>
        <v>https://svgtext.heliohost.us/cgi-bin/gen.perl?text=Milwaukee</v>
      </c>
      <c r="G1033" s="11" t="str">
        <f t="shared" si="4"/>
        <v>data:image/svg+xml,%3csvg xmlns='http://www.w3.org/2000/svg' viewBox='0 0 24 216'%3e%3ctext fill='%23fff' style='font: 900 16px sans-serif' text-anchor='end' transform='matrix(0 -1 1 0 18 5)'%3eMilwaukee%3c/text%3e%3c/svg%3e</v>
      </c>
      <c r="H1033" s="8" t="s">
        <v>39</v>
      </c>
      <c r="I1033" s="8">
        <f t="shared" ref="I1033:J1033" si="1034">len(B1033)</f>
        <v>9</v>
      </c>
      <c r="J1033" s="8">
        <f t="shared" si="1034"/>
        <v>73</v>
      </c>
      <c r="K1033" s="8" t="s">
        <v>4785</v>
      </c>
    </row>
    <row r="1034">
      <c r="A1034" s="7" t="b">
        <v>1</v>
      </c>
      <c r="B1034" s="8" t="s">
        <v>4786</v>
      </c>
      <c r="C1034" s="7" t="s">
        <v>4787</v>
      </c>
      <c r="D1034" s="8" t="str">
        <f>Q&amp;$K1034&amp;Q&amp;":{"&amp;Q&amp;$B$2&amp;Q&amp;":"&amp;Q&amp;$B1034&amp;Q&amp;","&amp;Q&amp;$C$2&amp;Q&amp;":"&amp;Q&amp;$C1034&amp;Q&amp;","&amp;Q&amp;"sets"&amp;Q&amp;":"&amp;Q&amp;substitute(SUBSTITUTE($H1034,"[",""),"]","")&amp;Q&amp;"},"</f>
        <v>"crog":{"label":"Miniature Golf","extra":"You don’t have to be miniature to play!","sets":"Junior 9+ (2nd)"},</v>
      </c>
      <c r="E1034" s="9" t="str">
        <f t="shared" si="2"/>
        <v>data:image/svg+xml,%3csvg xmlns='http://www.w3.org/2000/svg' viewBox='0 0 24 216'%3e%3ctext fill='%23fff' style='font: 900 16px sans-serif' text-anchor='end' transform='matrix(0 -1 1 0 18 5)'%3eMiniature Golf%3c/text%3e%3c/svg%3e</v>
      </c>
      <c r="F1034" s="14" t="str">
        <f t="shared" si="3"/>
        <v>https://svgtext.heliohost.us/cgi-bin/gen.perl?text=Miniature%20Golf</v>
      </c>
      <c r="G1034" s="11" t="str">
        <f t="shared" si="4"/>
        <v>data:image/svg+xml,%3csvg xmlns='http://www.w3.org/2000/svg' viewBox='0 0 24 216'%3e%3ctext fill='%23fff' style='font: 900 16px sans-serif' text-anchor='end' transform='matrix(0 -1 1 0 18 5)'%3eMiniature Golf%3c/text%3e%3c/svg%3e</v>
      </c>
      <c r="H1034" s="8" t="s">
        <v>32</v>
      </c>
      <c r="I1034" s="8">
        <f t="shared" ref="I1034:J1034" si="1035">len(B1034)</f>
        <v>14</v>
      </c>
      <c r="J1034" s="8">
        <f t="shared" si="1035"/>
        <v>39</v>
      </c>
      <c r="K1034" s="8" t="s">
        <v>4788</v>
      </c>
    </row>
    <row r="1035">
      <c r="A1035" s="7" t="b">
        <v>0</v>
      </c>
      <c r="B1035" s="8" t="s">
        <v>4789</v>
      </c>
      <c r="C1035" s="7" t="s">
        <v>4790</v>
      </c>
      <c r="D1035" s="8" t="str">
        <f>Q&amp;$K1035&amp;Q&amp;":{"&amp;Q&amp;$B$2&amp;Q&amp;":"&amp;Q&amp;$B1035&amp;Q&amp;","&amp;Q&amp;$C$2&amp;Q&amp;":"&amp;Q&amp;$C1035&amp;Q&amp;","&amp;Q&amp;"sets"&amp;Q&amp;":"&amp;Q&amp;substitute(SUBSTITUTE($H1035,"[",""),"]","")&amp;Q&amp;"},"</f>
        <v>"ebaj":{"label":"Minneapolis &amp; St. Paul","extra":"The “Twin Cities” are Minnesota’s largest population center. They may be twins but you can tell the difference.","sets":"Expansion Set 4, Party Expansion 1"},</v>
      </c>
      <c r="E1035" s="9" t="str">
        <f t="shared" si="2"/>
        <v>data:image/svg+xml,%3csvg xmlns='http://www.w3.org/2000/svg' viewBox='0 0 24 216'%3e%3ctext fill='%23fff' style='font: 900 16px sans-serif' text-anchor='end' transform='matrix(0 -1 1 0 18 5)'%3eMinneapolis %26amp%3B St. Paul%3c/text%3e%3c/svg%3e</v>
      </c>
      <c r="F1035" s="14" t="str">
        <f t="shared" si="3"/>
        <v>https://svgtext.heliohost.us/cgi-bin/gen.perl?text=Minneapolis%20%26%20St.%20Paul</v>
      </c>
      <c r="G1035" s="11" t="str">
        <f t="shared" si="4"/>
        <v>data:image/svg+xml,%3csvg xmlns='http://www.w3.org/2000/svg' viewBox='0 0 24 216'%3e%3ctext fill='%23fff' style='font: 900 16px sans-serif' text-anchor='end' transform='matrix(0 -1 1 0 18 5)'%3eMinneapolis %26amp%3B St. Paul%3c/text%3e%3c/svg%3e</v>
      </c>
      <c r="H1035" s="8" t="s">
        <v>63</v>
      </c>
      <c r="I1035" s="8">
        <f t="shared" ref="I1035:J1035" si="1036">len(B1035)</f>
        <v>22</v>
      </c>
      <c r="J1035" s="8">
        <f t="shared" si="1036"/>
        <v>111</v>
      </c>
      <c r="K1035" s="8" t="s">
        <v>4791</v>
      </c>
    </row>
    <row r="1036">
      <c r="A1036" s="7" t="b">
        <v>0</v>
      </c>
      <c r="B1036" s="8" t="s">
        <v>4792</v>
      </c>
      <c r="C1036" s="8" t="s">
        <v>4793</v>
      </c>
      <c r="D1036" s="8" t="str">
        <f>Q&amp;$K1036&amp;Q&amp;":{"&amp;Q&amp;$B$2&amp;Q&amp;":"&amp;Q&amp;$B1036&amp;Q&amp;","&amp;Q&amp;$C$2&amp;Q&amp;":"&amp;Q&amp;$C1036&amp;Q&amp;","&amp;Q&amp;"sets"&amp;Q&amp;":"&amp;Q&amp;substitute(SUBSTITUTE($H1036,"[",""),"]","")&amp;Q&amp;"},"</f>
        <v>"fswi":{"label":"Mirrors","extra":"And now, a moment for reflection.","sets":"Basic Set, Party Set"},</v>
      </c>
      <c r="E1036" s="9" t="str">
        <f t="shared" si="2"/>
        <v>data:image/svg+xml,%3csvg xmlns='http://www.w3.org/2000/svg' viewBox='0 0 24 216'%3e%3ctext fill='%23fff' style='font: 900 16px sans-serif' text-anchor='end' transform='matrix(0 -1 1 0 18 5)'%3eMirrors%3c/text%3e%3c/svg%3e</v>
      </c>
      <c r="F1036" s="14" t="str">
        <f t="shared" si="3"/>
        <v>https://svgtext.heliohost.us/cgi-bin/gen.perl?text=Mirrors</v>
      </c>
      <c r="G1036" s="11" t="str">
        <f t="shared" si="4"/>
        <v>data:image/svg+xml,%3csvg xmlns='http://www.w3.org/2000/svg' viewBox='0 0 24 216'%3e%3ctext fill='%23fff' style='font: 900 16px sans-serif' text-anchor='end' transform='matrix(0 -1 1 0 18 5)'%3eMirrors%3c/text%3e%3c/svg%3e</v>
      </c>
      <c r="H1036" s="8" t="s">
        <v>29</v>
      </c>
      <c r="I1036" s="8">
        <f t="shared" ref="I1036:J1036" si="1037">len(B1036)</f>
        <v>7</v>
      </c>
      <c r="J1036" s="8">
        <f t="shared" si="1037"/>
        <v>33</v>
      </c>
      <c r="K1036" s="8" t="s">
        <v>4794</v>
      </c>
    </row>
    <row r="1037">
      <c r="A1037" s="7" t="b">
        <v>1</v>
      </c>
      <c r="B1037" s="8" t="s">
        <v>4795</v>
      </c>
      <c r="C1037" s="7" t="s">
        <v>4796</v>
      </c>
      <c r="D1037" s="8" t="str">
        <f>Q&amp;$K1037&amp;Q&amp;":{"&amp;Q&amp;$B$2&amp;Q&amp;":"&amp;Q&amp;$B1037&amp;Q&amp;","&amp;Q&amp;$C$2&amp;Q&amp;":"&amp;Q&amp;$C1037&amp;Q&amp;","&amp;Q&amp;"sets"&amp;Q&amp;":"&amp;Q&amp;substitute(SUBSTITUTE($H1037,"[",""),"]","")&amp;Q&amp;"},"</f>
        <v>"qrdn":{"label":"Mittens","extra":"“Three little kittens; they lost their mittens.”","sets":"Junior"},</v>
      </c>
      <c r="E1037" s="9" t="str">
        <f t="shared" si="2"/>
        <v>data:image/svg+xml,%3csvg xmlns='http://www.w3.org/2000/svg' viewBox='0 0 24 216'%3e%3ctext fill='%23fff' style='font: 900 16px sans-serif' text-anchor='end' transform='matrix(0 -1 1 0 18 5)'%3eMittens%3c/text%3e%3c/svg%3e</v>
      </c>
      <c r="F1037" s="14" t="str">
        <f t="shared" si="3"/>
        <v>https://svgtext.heliohost.us/cgi-bin/gen.perl?text=Mittens</v>
      </c>
      <c r="G1037" s="11" t="str">
        <f t="shared" si="4"/>
        <v>data:image/svg+xml,%3csvg xmlns='http://www.w3.org/2000/svg' viewBox='0 0 24 216'%3e%3ctext fill='%23fff' style='font: 900 16px sans-serif' text-anchor='end' transform='matrix(0 -1 1 0 18 5)'%3eMittens%3c/text%3e%3c/svg%3e</v>
      </c>
      <c r="H1037" s="8" t="s">
        <v>84</v>
      </c>
      <c r="I1037" s="8">
        <f t="shared" ref="I1037:J1037" si="1038">len(B1037)</f>
        <v>7</v>
      </c>
      <c r="J1037" s="8">
        <f t="shared" si="1038"/>
        <v>48</v>
      </c>
      <c r="K1037" s="8" t="s">
        <v>4797</v>
      </c>
    </row>
    <row r="1038">
      <c r="A1038" s="7" t="b">
        <v>0</v>
      </c>
      <c r="B1038" s="8" t="s">
        <v>4798</v>
      </c>
      <c r="C1038" s="7" t="s">
        <v>4799</v>
      </c>
      <c r="D1038" s="8" t="str">
        <f>Q&amp;$K1038&amp;Q&amp;":{"&amp;Q&amp;$B$2&amp;Q&amp;":"&amp;Q&amp;$B1038&amp;Q&amp;","&amp;Q&amp;$C$2&amp;Q&amp;":"&amp;Q&amp;$C1038&amp;Q&amp;","&amp;Q&amp;"sets"&amp;Q&amp;":"&amp;Q&amp;substitute(SUBSTITUTE($H1038,"[",""),"]","")&amp;Q&amp;"},"</f>
        <v>"hbye":{"label":"Mold","extra":"Fuzzy growth produced on organic matter by several types of fungi. Particularly attracted to students’ refrigerators","sets":"Basic Set, Party Set"},</v>
      </c>
      <c r="E1038" s="9" t="str">
        <f t="shared" si="2"/>
        <v>data:image/svg+xml,%3csvg xmlns='http://www.w3.org/2000/svg' viewBox='0 0 24 216'%3e%3ctext fill='%23fff' style='font: 900 16px sans-serif' text-anchor='end' transform='matrix(0 -1 1 0 18 5)'%3eMold%3c/text%3e%3c/svg%3e</v>
      </c>
      <c r="F1038" s="14" t="str">
        <f t="shared" si="3"/>
        <v>https://svgtext.heliohost.us/cgi-bin/gen.perl?text=Mold</v>
      </c>
      <c r="G1038" s="11" t="str">
        <f t="shared" si="4"/>
        <v>data:image/svg+xml,%3csvg xmlns='http://www.w3.org/2000/svg' viewBox='0 0 24 216'%3e%3ctext fill='%23fff' style='font: 900 16px sans-serif' text-anchor='end' transform='matrix(0 -1 1 0 18 5)'%3eMold%3c/text%3e%3c/svg%3e</v>
      </c>
      <c r="H1038" s="8" t="s">
        <v>29</v>
      </c>
      <c r="I1038" s="8">
        <f t="shared" ref="I1038:J1038" si="1039">len(B1038)</f>
        <v>4</v>
      </c>
      <c r="J1038" s="8">
        <f t="shared" si="1039"/>
        <v>116</v>
      </c>
      <c r="K1038" s="8" t="s">
        <v>4800</v>
      </c>
    </row>
    <row r="1039">
      <c r="A1039" s="7" t="b">
        <v>0</v>
      </c>
      <c r="B1039" s="8" t="s">
        <v>4801</v>
      </c>
      <c r="C1039" s="8" t="s">
        <v>4802</v>
      </c>
      <c r="D1039" s="8" t="str">
        <f>Q&amp;$K1039&amp;Q&amp;":{"&amp;Q&amp;$B$2&amp;Q&amp;":"&amp;Q&amp;$B1039&amp;Q&amp;","&amp;Q&amp;$C$2&amp;Q&amp;":"&amp;Q&amp;$C1039&amp;Q&amp;","&amp;Q&amp;"sets"&amp;Q&amp;":"&amp;Q&amp;substitute(SUBSTITUTE($H1039,"[",""),"]","")&amp;Q&amp;"},"</f>
        <v>"zybh":{"label":"Mom &amp; Apple Pie","extra":"Worth fighting for.","sets":"Expansion Set 4, Party Expansion 1"},</v>
      </c>
      <c r="E1039" s="9" t="str">
        <f t="shared" si="2"/>
        <v>data:image/svg+xml,%3csvg xmlns='http://www.w3.org/2000/svg' viewBox='0 0 24 216'%3e%3ctext fill='%23fff' style='font: 900 16px sans-serif' text-anchor='end' transform='matrix(0 -1 1 0 18 5)'%3eMom %26amp%3B Apple Pie%3c/text%3e%3c/svg%3e</v>
      </c>
      <c r="F1039" s="14" t="str">
        <f t="shared" si="3"/>
        <v>https://svgtext.heliohost.us/cgi-bin/gen.perl?text=Mom%20%26%20Apple%20Pie</v>
      </c>
      <c r="G1039" s="11" t="str">
        <f t="shared" si="4"/>
        <v>data:image/svg+xml,%3csvg xmlns='http://www.w3.org/2000/svg' viewBox='0 0 24 216'%3e%3ctext fill='%23fff' style='font: 900 16px sans-serif' text-anchor='end' transform='matrix(0 -1 1 0 18 5)'%3eMom %26amp%3B Apple Pie%3c/text%3e%3c/svg%3e</v>
      </c>
      <c r="H1039" s="8" t="s">
        <v>63</v>
      </c>
      <c r="I1039" s="8">
        <f t="shared" ref="I1039:J1039" si="1040">len(B1039)</f>
        <v>15</v>
      </c>
      <c r="J1039" s="8">
        <f t="shared" si="1040"/>
        <v>19</v>
      </c>
      <c r="K1039" s="8" t="s">
        <v>4803</v>
      </c>
    </row>
    <row r="1040">
      <c r="A1040" s="7" t="b">
        <v>1</v>
      </c>
      <c r="B1040" s="8" t="s">
        <v>4804</v>
      </c>
      <c r="C1040" s="8" t="s">
        <v>4805</v>
      </c>
      <c r="D1040" s="8" t="str">
        <f>Q&amp;$K1040&amp;Q&amp;":{"&amp;Q&amp;$B$2&amp;Q&amp;":"&amp;Q&amp;$B1040&amp;Q&amp;","&amp;Q&amp;$C$2&amp;Q&amp;":"&amp;Q&amp;$C1040&amp;Q&amp;","&amp;Q&amp;"sets"&amp;Q&amp;":"&amp;Q&amp;substitute(SUBSTITUTE($H1040,"[",""),"]","")&amp;Q&amp;"},"</f>
        <v>"tk{b":{"label":"Mom &amp; Pop","extra":"Hey! Maybe they should open a store!","sets":"Expansion Set 4, Party Expansion 1"},</v>
      </c>
      <c r="E1040" s="9" t="str">
        <f t="shared" si="2"/>
        <v>data:image/svg+xml,%3csvg xmlns='http://www.w3.org/2000/svg' viewBox='0 0 24 216'%3e%3ctext fill='%23fff' style='font: 900 16px sans-serif' text-anchor='end' transform='matrix(0 -1 1 0 18 5)'%3eMom %26amp%3B Pop%3c/text%3e%3c/svg%3e</v>
      </c>
      <c r="F1040" s="14" t="str">
        <f t="shared" si="3"/>
        <v>https://svgtext.heliohost.us/cgi-bin/gen.perl?text=Mom%20%26%20Pop</v>
      </c>
      <c r="G1040" s="11" t="str">
        <f t="shared" si="4"/>
        <v>data:image/svg+xml,%3csvg xmlns='http://www.w3.org/2000/svg' viewBox='0 0 24 216'%3e%3ctext fill='%23fff' style='font: 900 16px sans-serif' text-anchor='end' transform='matrix(0 -1 1 0 18 5)'%3eMom %26amp%3B Pop%3c/text%3e%3c/svg%3e</v>
      </c>
      <c r="H1040" s="8" t="s">
        <v>63</v>
      </c>
      <c r="I1040" s="8">
        <f t="shared" ref="I1040:J1040" si="1041">len(B1040)</f>
        <v>9</v>
      </c>
      <c r="J1040" s="8">
        <f t="shared" si="1041"/>
        <v>36</v>
      </c>
      <c r="K1040" s="8" t="s">
        <v>4806</v>
      </c>
    </row>
    <row r="1041">
      <c r="A1041" s="7" t="b">
        <v>1</v>
      </c>
      <c r="B1041" s="8" t="s">
        <v>4807</v>
      </c>
      <c r="C1041" s="7" t="s">
        <v>4808</v>
      </c>
      <c r="D1041" s="8" t="str">
        <f>Q&amp;$K1041&amp;Q&amp;":{"&amp;Q&amp;$B$2&amp;Q&amp;":"&amp;Q&amp;$B1041&amp;Q&amp;","&amp;Q&amp;$C$2&amp;Q&amp;":"&amp;Q&amp;$C1041&amp;Q&amp;","&amp;Q&amp;"sets"&amp;Q&amp;":"&amp;Q&amp;substitute(SUBSTITUTE($H1041,"[",""),"]","")&amp;Q&amp;"},"</f>
        <v>"w{lj":{"label":"Mom's Cooking","extra":"Just like Mom USED to make.","sets":"Expansion Set 3, Party Expansion 1"},</v>
      </c>
      <c r="E1041" s="9" t="str">
        <f t="shared" si="2"/>
        <v>data:image/svg+xml,%3csvg xmlns='http://www.w3.org/2000/svg' viewBox='0 0 24 216'%3e%3ctext fill='%23fff' style='font: 900 16px sans-serif' text-anchor='end' transform='matrix(0 -1 1 0 18 5)'%3eMom%27s Cooking%3c/text%3e%3c/svg%3e</v>
      </c>
      <c r="F1041" s="14" t="str">
        <f t="shared" si="3"/>
        <v>https://svgtext.heliohost.us/cgi-bin/gen.perl?text=Mom%27s%20Cooking</v>
      </c>
      <c r="G1041" s="11" t="str">
        <f t="shared" si="4"/>
        <v>data:image/svg+xml,%3csvg xmlns='http://www.w3.org/2000/svg' viewBox='0 0 24 216'%3e%3ctext fill='%23fff' style='font: 900 16px sans-serif' text-anchor='end' transform='matrix(0 -1 1 0 18 5)'%3eMom%27s Cooking%3c/text%3e%3c/svg%3e</v>
      </c>
      <c r="H1041" s="8" t="s">
        <v>39</v>
      </c>
      <c r="I1041" s="8">
        <f t="shared" ref="I1041:J1041" si="1042">len(B1041)</f>
        <v>13</v>
      </c>
      <c r="J1041" s="8">
        <f t="shared" si="1042"/>
        <v>27</v>
      </c>
      <c r="K1041" s="8" t="s">
        <v>4809</v>
      </c>
    </row>
    <row r="1042">
      <c r="A1042" s="7" t="b">
        <v>0</v>
      </c>
      <c r="B1042" s="8" t="s">
        <v>4810</v>
      </c>
      <c r="C1042" s="7" t="s">
        <v>4811</v>
      </c>
      <c r="D1042" s="8" t="str">
        <f>Q&amp;$K1042&amp;Q&amp;":{"&amp;Q&amp;$B$2&amp;Q&amp;":"&amp;Q&amp;$B1042&amp;Q&amp;","&amp;Q&amp;$C$2&amp;Q&amp;":"&amp;Q&amp;$C1042&amp;Q&amp;","&amp;Q&amp;"sets"&amp;Q&amp;":"&amp;Q&amp;substitute(SUBSTITUTE($H1042,"[",""),"]","")&amp;Q&amp;"},"</f>
        <v>"jsca":{"label":"Money","extra":"“The best things in life are free / But you can give them to the birds and bees / Just give me money…” —Bradford and Gordy","sets":"Basic Set, Party Set"},</v>
      </c>
      <c r="E1042" s="9" t="str">
        <f t="shared" si="2"/>
        <v>data:image/svg+xml,%3csvg xmlns='http://www.w3.org/2000/svg' viewBox='0 0 24 216'%3e%3ctext fill='%23fff' style='font: 900 16px sans-serif' text-anchor='end' transform='matrix(0 -1 1 0 18 5)'%3eMoney%3c/text%3e%3c/svg%3e</v>
      </c>
      <c r="F1042" s="14" t="str">
        <f t="shared" si="3"/>
        <v>https://svgtext.heliohost.us/cgi-bin/gen.perl?text=Money</v>
      </c>
      <c r="G1042" s="11" t="str">
        <f t="shared" si="4"/>
        <v>data:image/svg+xml,%3csvg xmlns='http://www.w3.org/2000/svg' viewBox='0 0 24 216'%3e%3ctext fill='%23fff' style='font: 900 16px sans-serif' text-anchor='end' transform='matrix(0 -1 1 0 18 5)'%3eMoney%3c/text%3e%3c/svg%3e</v>
      </c>
      <c r="H1042" s="8" t="s">
        <v>29</v>
      </c>
      <c r="I1042" s="8">
        <f t="shared" ref="I1042:J1042" si="1043">len(B1042)</f>
        <v>5</v>
      </c>
      <c r="J1042" s="8">
        <f t="shared" si="1043"/>
        <v>122</v>
      </c>
      <c r="K1042" s="8" t="s">
        <v>4812</v>
      </c>
    </row>
    <row r="1043">
      <c r="A1043" s="7" t="b">
        <v>1</v>
      </c>
      <c r="B1043" s="8" t="s">
        <v>4813</v>
      </c>
      <c r="C1043" s="8" t="s">
        <v>4814</v>
      </c>
      <c r="D1043" s="8" t="str">
        <f>Q&amp;$K1043&amp;Q&amp;":{"&amp;Q&amp;$B$2&amp;Q&amp;":"&amp;Q&amp;$B1043&amp;Q&amp;","&amp;Q&amp;$C$2&amp;Q&amp;":"&amp;Q&amp;$C1043&amp;Q&amp;","&amp;Q&amp;"sets"&amp;Q&amp;":"&amp;Q&amp;substitute(SUBSTITUTE($H1043,"[",""),"]","")&amp;Q&amp;"},"</f>
        <v>"nudy":{"label":"Monitor &amp; The Merrimac","extra":"American Civil War ironclads, first fought each other in 1862.","sets":"Expansion Set 4, Party Expansion 1"},</v>
      </c>
      <c r="E1043" s="9" t="str">
        <f t="shared" si="2"/>
        <v>data:image/svg+xml,%3csvg xmlns='http://www.w3.org/2000/svg' viewBox='0 0 24 216'%3e%3ctext fill='%23fff' style='font: 900 16px sans-serif' text-anchor='end' transform='matrix(0 -1 1 0 18 5)'%3eMonitor %26amp%3B The Merrimac%3c/text%3e%3c/svg%3e</v>
      </c>
      <c r="F1043" s="14" t="str">
        <f t="shared" si="3"/>
        <v>https://svgtext.heliohost.us/cgi-bin/gen.perl?text=Monitor%20%26%20The%20Merrimac</v>
      </c>
      <c r="G1043" s="11" t="str">
        <f t="shared" si="4"/>
        <v>data:image/svg+xml,%3csvg xmlns='http://www.w3.org/2000/svg' viewBox='0 0 24 216'%3e%3ctext fill='%23fff' style='font: 900 16px sans-serif' text-anchor='end' transform='matrix(0 -1 1 0 18 5)'%3eMonitor %26amp%3B The Merrimac%3c/text%3e%3c/svg%3e</v>
      </c>
      <c r="H1043" s="8" t="s">
        <v>63</v>
      </c>
      <c r="I1043" s="8">
        <f t="shared" ref="I1043:J1043" si="1044">len(B1043)</f>
        <v>22</v>
      </c>
      <c r="J1043" s="8">
        <f t="shared" si="1044"/>
        <v>62</v>
      </c>
      <c r="K1043" s="8" t="s">
        <v>4815</v>
      </c>
    </row>
    <row r="1044">
      <c r="A1044" s="7" t="b">
        <v>1</v>
      </c>
      <c r="B1044" s="8" t="s">
        <v>4816</v>
      </c>
      <c r="C1044" s="8" t="s">
        <v>4817</v>
      </c>
      <c r="D1044" s="8" t="str">
        <f>Q&amp;$K1044&amp;Q&amp;":{"&amp;Q&amp;$B$2&amp;Q&amp;":"&amp;Q&amp;$B1044&amp;Q&amp;","&amp;Q&amp;$C$2&amp;Q&amp;":"&amp;Q&amp;$C1044&amp;Q&amp;","&amp;Q&amp;"sets"&amp;Q&amp;":"&amp;Q&amp;substitute(SUBSTITUTE($H1044,"[",""),"]","")&amp;Q&amp;"},"</f>
        <v>"kuxk":{"label":"Monkeys","extra":"Monkeys are playful, intelligent mammals. They just monkey around!","sets":"Junior 9+ (2nd)"},</v>
      </c>
      <c r="E1044" s="9" t="str">
        <f t="shared" si="2"/>
        <v>data:image/svg+xml,%3csvg xmlns='http://www.w3.org/2000/svg' viewBox='0 0 24 216'%3e%3ctext fill='%23fff' style='font: 900 16px sans-serif' text-anchor='end' transform='matrix(0 -1 1 0 18 5)'%3eMonkeys%3c/text%3e%3c/svg%3e</v>
      </c>
      <c r="F1044" s="14" t="str">
        <f t="shared" si="3"/>
        <v>https://svgtext.heliohost.us/cgi-bin/gen.perl?text=Monkeys</v>
      </c>
      <c r="G1044" s="11" t="str">
        <f t="shared" si="4"/>
        <v>data:image/svg+xml,%3csvg xmlns='http://www.w3.org/2000/svg' viewBox='0 0 24 216'%3e%3ctext fill='%23fff' style='font: 900 16px sans-serif' text-anchor='end' transform='matrix(0 -1 1 0 18 5)'%3eMonkeys%3c/text%3e%3c/svg%3e</v>
      </c>
      <c r="H1044" s="8" t="s">
        <v>32</v>
      </c>
      <c r="I1044" s="8">
        <f t="shared" ref="I1044:J1044" si="1045">len(B1044)</f>
        <v>7</v>
      </c>
      <c r="J1044" s="8">
        <f t="shared" si="1045"/>
        <v>66</v>
      </c>
      <c r="K1044" s="8" t="s">
        <v>4818</v>
      </c>
    </row>
    <row r="1045">
      <c r="A1045" s="7" t="b">
        <v>1</v>
      </c>
      <c r="B1045" s="8" t="s">
        <v>4816</v>
      </c>
      <c r="C1045" s="7" t="s">
        <v>4819</v>
      </c>
      <c r="D1045" s="8" t="str">
        <f>Q&amp;$K1045&amp;Q&amp;":{"&amp;Q&amp;$B$2&amp;Q&amp;":"&amp;Q&amp;$B1045&amp;Q&amp;","&amp;Q&amp;$C$2&amp;Q&amp;":"&amp;Q&amp;$C1045&amp;Q&amp;","&amp;Q&amp;"sets"&amp;Q&amp;":"&amp;Q&amp;substitute(SUBSTITUTE($H1045,"[",""),"]","")&amp;Q&amp;"},"</f>
        <v>"aglg":{"label":"Monkeys","extra":"Monkeys see…","sets":"Expansion Set 3, Party Expansion 1"},</v>
      </c>
      <c r="E1045" s="9" t="str">
        <f t="shared" si="2"/>
        <v>data:image/svg+xml,%3csvg xmlns='http://www.w3.org/2000/svg' viewBox='0 0 24 216'%3e%3ctext fill='%23fff' style='font: 900 16px sans-serif' text-anchor='end' transform='matrix(0 -1 1 0 18 5)'%3eMonkeys%3c/text%3e%3c/svg%3e</v>
      </c>
      <c r="F1045" s="14" t="str">
        <f t="shared" si="3"/>
        <v>https://svgtext.heliohost.us/cgi-bin/gen.perl?text=Monkeys</v>
      </c>
      <c r="G1045" s="11" t="str">
        <f t="shared" si="4"/>
        <v>data:image/svg+xml,%3csvg xmlns='http://www.w3.org/2000/svg' viewBox='0 0 24 216'%3e%3ctext fill='%23fff' style='font: 900 16px sans-serif' text-anchor='end' transform='matrix(0 -1 1 0 18 5)'%3eMonkeys%3c/text%3e%3c/svg%3e</v>
      </c>
      <c r="H1045" s="8" t="s">
        <v>39</v>
      </c>
      <c r="I1045" s="8">
        <f t="shared" ref="I1045:J1045" si="1046">len(B1045)</f>
        <v>7</v>
      </c>
      <c r="J1045" s="8">
        <f t="shared" si="1046"/>
        <v>12</v>
      </c>
      <c r="K1045" s="8" t="s">
        <v>4820</v>
      </c>
    </row>
    <row r="1046">
      <c r="A1046" s="7" t="b">
        <v>1</v>
      </c>
      <c r="B1046" s="8" t="s">
        <v>4821</v>
      </c>
      <c r="C1046" s="8" t="s">
        <v>4822</v>
      </c>
      <c r="D1046" s="8" t="str">
        <f>Q&amp;$K1046&amp;Q&amp;":{"&amp;Q&amp;$B$2&amp;Q&amp;":"&amp;Q&amp;$B1046&amp;Q&amp;","&amp;Q&amp;$C$2&amp;Q&amp;":"&amp;Q&amp;$C1046&amp;Q&amp;","&amp;Q&amp;"sets"&amp;Q&amp;":"&amp;Q&amp;substitute(SUBSTITUTE($H1046,"[",""),"]","")&amp;Q&amp;"},"</f>
        <v>"tgtn":{"label":"Monster Trucks","extra":"Large, noisy trucks that drive over cars and crush them.","sets":"Junior"},</v>
      </c>
      <c r="E1046" s="9" t="str">
        <f t="shared" si="2"/>
        <v>data:image/svg+xml,%3csvg xmlns='http://www.w3.org/2000/svg' viewBox='0 0 24 216'%3e%3ctext fill='%23fff' style='font: 900 16px sans-serif' text-anchor='end' transform='matrix(0 -1 1 0 18 5)'%3eMonster Trucks%3c/text%3e%3c/svg%3e</v>
      </c>
      <c r="F1046" s="14" t="str">
        <f t="shared" si="3"/>
        <v>https://svgtext.heliohost.us/cgi-bin/gen.perl?text=Monster%20Trucks</v>
      </c>
      <c r="G1046" s="11" t="str">
        <f t="shared" si="4"/>
        <v>data:image/svg+xml,%3csvg xmlns='http://www.w3.org/2000/svg' viewBox='0 0 24 216'%3e%3ctext fill='%23fff' style='font: 900 16px sans-serif' text-anchor='end' transform='matrix(0 -1 1 0 18 5)'%3eMonster Trucks%3c/text%3e%3c/svg%3e</v>
      </c>
      <c r="H1046" s="8" t="s">
        <v>84</v>
      </c>
      <c r="I1046" s="8">
        <f t="shared" ref="I1046:J1046" si="1047">len(B1046)</f>
        <v>14</v>
      </c>
      <c r="J1046" s="8">
        <f t="shared" si="1047"/>
        <v>56</v>
      </c>
      <c r="K1046" s="8" t="s">
        <v>4823</v>
      </c>
    </row>
    <row r="1047">
      <c r="A1047" s="7" t="b">
        <v>1</v>
      </c>
      <c r="B1047" s="8" t="s">
        <v>4824</v>
      </c>
      <c r="C1047" s="8" t="s">
        <v>4825</v>
      </c>
      <c r="D1047" s="8" t="str">
        <f>Q&amp;$K1047&amp;Q&amp;":{"&amp;Q&amp;$B$2&amp;Q&amp;":"&amp;Q&amp;$B1047&amp;Q&amp;","&amp;Q&amp;$C$2&amp;Q&amp;":"&amp;Q&amp;$C1047&amp;Q&amp;","&amp;Q&amp;"sets"&amp;Q&amp;":"&amp;Q&amp;substitute(SUBSTITUTE($H1047,"[",""),"]","")&amp;Q&amp;"},"</f>
        <v>"wbsi":{"label":"Monsters","extra":"Some people think they live in closets, basements, or under beds.","sets":"Junior"},</v>
      </c>
      <c r="E1047" s="9" t="str">
        <f t="shared" si="2"/>
        <v>data:image/svg+xml,%3csvg xmlns='http://www.w3.org/2000/svg' viewBox='0 0 24 216'%3e%3ctext fill='%23fff' style='font: 900 16px sans-serif' text-anchor='end' transform='matrix(0 -1 1 0 18 5)'%3eMonsters%3c/text%3e%3c/svg%3e</v>
      </c>
      <c r="F1047" s="14" t="str">
        <f t="shared" si="3"/>
        <v>https://svgtext.heliohost.us/cgi-bin/gen.perl?text=Monsters</v>
      </c>
      <c r="G1047" s="11" t="str">
        <f t="shared" si="4"/>
        <v>data:image/svg+xml,%3csvg xmlns='http://www.w3.org/2000/svg' viewBox='0 0 24 216'%3e%3ctext fill='%23fff' style='font: 900 16px sans-serif' text-anchor='end' transform='matrix(0 -1 1 0 18 5)'%3eMonsters%3c/text%3e%3c/svg%3e</v>
      </c>
      <c r="H1047" s="8" t="s">
        <v>84</v>
      </c>
      <c r="I1047" s="8">
        <f t="shared" ref="I1047:J1047" si="1048">len(B1047)</f>
        <v>8</v>
      </c>
      <c r="J1047" s="8">
        <f t="shared" si="1048"/>
        <v>65</v>
      </c>
      <c r="K1047" s="8" t="s">
        <v>4826</v>
      </c>
    </row>
    <row r="1048">
      <c r="A1048" s="7" t="b">
        <v>1</v>
      </c>
      <c r="B1048" s="8" t="s">
        <v>4827</v>
      </c>
      <c r="C1048" s="8" t="s">
        <v>4828</v>
      </c>
      <c r="D1048" s="8" t="str">
        <f>Q&amp;$K1048&amp;Q&amp;":{"&amp;Q&amp;$B$2&amp;Q&amp;":"&amp;Q&amp;$B1048&amp;Q&amp;","&amp;Q&amp;$C$2&amp;Q&amp;":"&amp;Q&amp;$C1048&amp;Q&amp;","&amp;Q&amp;"sets"&amp;Q&amp;":"&amp;Q&amp;substitute(SUBSTITUTE($H1048,"[",""),"]","")&amp;Q&amp;"},"</f>
        <v>"wxir":{"label":"Moon &amp; The Stars","extra":"You want what?","sets":"Expansion Set 4, Party Expansion 1"},</v>
      </c>
      <c r="E1048" s="9" t="str">
        <f t="shared" si="2"/>
        <v>data:image/svg+xml,%3csvg xmlns='http://www.w3.org/2000/svg' viewBox='0 0 24 216'%3e%3ctext fill='%23fff' style='font: 900 16px sans-serif' text-anchor='end' transform='matrix(0 -1 1 0 18 5)'%3eMoon %26amp%3B The Stars%3c/text%3e%3c/svg%3e</v>
      </c>
      <c r="F1048" s="14" t="str">
        <f t="shared" si="3"/>
        <v>https://svgtext.heliohost.us/cgi-bin/gen.perl?text=Moon%20%26%20The%20Stars</v>
      </c>
      <c r="G1048" s="11" t="str">
        <f t="shared" si="4"/>
        <v>data:image/svg+xml,%3csvg xmlns='http://www.w3.org/2000/svg' viewBox='0 0 24 216'%3e%3ctext fill='%23fff' style='font: 900 16px sans-serif' text-anchor='end' transform='matrix(0 -1 1 0 18 5)'%3eMoon %26amp%3B The Stars%3c/text%3e%3c/svg%3e</v>
      </c>
      <c r="H1048" s="8" t="s">
        <v>63</v>
      </c>
      <c r="I1048" s="8">
        <f t="shared" ref="I1048:J1048" si="1049">len(B1048)</f>
        <v>16</v>
      </c>
      <c r="J1048" s="8">
        <f t="shared" si="1049"/>
        <v>14</v>
      </c>
      <c r="K1048" s="8" t="s">
        <v>4829</v>
      </c>
    </row>
    <row r="1049">
      <c r="A1049" s="7" t="b">
        <v>0</v>
      </c>
      <c r="B1049" s="8" t="s">
        <v>4830</v>
      </c>
      <c r="C1049" s="7" t="s">
        <v>4831</v>
      </c>
      <c r="D1049" s="8" t="str">
        <f>Q&amp;$K1049&amp;Q&amp;":{"&amp;Q&amp;$B$2&amp;Q&amp;":"&amp;Q&amp;$B1049&amp;Q&amp;","&amp;Q&amp;$C$2&amp;Q&amp;":"&amp;Q&amp;$C1049&amp;Q&amp;","&amp;Q&amp;"sets"&amp;Q&amp;":"&amp;Q&amp;substitute(SUBSTITUTE($H1049,"[",""),"]","")&amp;Q&amp;"},"</f>
        <v>"vvzv":{"label":"Morticians","extra":"Why do you hang around with THOSE stiffs…?","sets":"Basic Set, Party Set"},</v>
      </c>
      <c r="E1049" s="9" t="str">
        <f t="shared" si="2"/>
        <v>data:image/svg+xml,%3csvg xmlns='http://www.w3.org/2000/svg' viewBox='0 0 24 216'%3e%3ctext fill='%23fff' style='font: 900 16px sans-serif' text-anchor='end' transform='matrix(0 -1 1 0 18 5)'%3eMorticians%3c/text%3e%3c/svg%3e</v>
      </c>
      <c r="F1049" s="14" t="str">
        <f t="shared" si="3"/>
        <v>https://svgtext.heliohost.us/cgi-bin/gen.perl?text=Morticians</v>
      </c>
      <c r="G1049" s="11" t="str">
        <f t="shared" si="4"/>
        <v>data:image/svg+xml,%3csvg xmlns='http://www.w3.org/2000/svg' viewBox='0 0 24 216'%3e%3ctext fill='%23fff' style='font: 900 16px sans-serif' text-anchor='end' transform='matrix(0 -1 1 0 18 5)'%3eMorticians%3c/text%3e%3c/svg%3e</v>
      </c>
      <c r="H1049" s="8" t="s">
        <v>29</v>
      </c>
      <c r="I1049" s="8">
        <f t="shared" ref="I1049:J1049" si="1050">len(B1049)</f>
        <v>10</v>
      </c>
      <c r="J1049" s="8">
        <f t="shared" si="1050"/>
        <v>42</v>
      </c>
      <c r="K1049" s="8" t="s">
        <v>4832</v>
      </c>
    </row>
    <row r="1050">
      <c r="A1050" s="7" t="b">
        <v>1</v>
      </c>
      <c r="B1050" s="8" t="s">
        <v>4833</v>
      </c>
      <c r="C1050" s="8" t="s">
        <v>4834</v>
      </c>
      <c r="D1050" s="8" t="str">
        <f>Q&amp;$K1050&amp;Q&amp;":{"&amp;Q&amp;$B$2&amp;Q&amp;":"&amp;Q&amp;$B1050&amp;Q&amp;","&amp;Q&amp;$C$2&amp;Q&amp;":"&amp;Q&amp;$C1050&amp;Q&amp;","&amp;Q&amp;"sets"&amp;Q&amp;":"&amp;Q&amp;substitute(SUBSTITUTE($H1050,"[",""),"]","")&amp;Q&amp;"},"</f>
        <v>"zeoe":{"label":"Mosquito Bites","extra":"They just want your blood.","sets":"Junior 9+ (2nd)"},</v>
      </c>
      <c r="E1050" s="9" t="str">
        <f t="shared" si="2"/>
        <v>data:image/svg+xml,%3csvg xmlns='http://www.w3.org/2000/svg' viewBox='0 0 24 216'%3e%3ctext fill='%23fff' style='font: 900 16px sans-serif' text-anchor='end' transform='matrix(0 -1 1 0 18 5)'%3eMosquito Bites%3c/text%3e%3c/svg%3e</v>
      </c>
      <c r="F1050" s="14" t="str">
        <f t="shared" si="3"/>
        <v>https://svgtext.heliohost.us/cgi-bin/gen.perl?text=Mosquito%20Bites</v>
      </c>
      <c r="G1050" s="11" t="str">
        <f t="shared" si="4"/>
        <v>data:image/svg+xml,%3csvg xmlns='http://www.w3.org/2000/svg' viewBox='0 0 24 216'%3e%3ctext fill='%23fff' style='font: 900 16px sans-serif' text-anchor='end' transform='matrix(0 -1 1 0 18 5)'%3eMosquito Bites%3c/text%3e%3c/svg%3e</v>
      </c>
      <c r="H1050" s="8" t="s">
        <v>32</v>
      </c>
      <c r="I1050" s="8">
        <f t="shared" ref="I1050:J1050" si="1051">len(B1050)</f>
        <v>14</v>
      </c>
      <c r="J1050" s="8">
        <f t="shared" si="1051"/>
        <v>26</v>
      </c>
      <c r="K1050" s="8" t="s">
        <v>4835</v>
      </c>
    </row>
    <row r="1051">
      <c r="A1051" s="7" t="b">
        <v>0</v>
      </c>
      <c r="B1051" s="8" t="s">
        <v>4836</v>
      </c>
      <c r="C1051" s="8" t="s">
        <v>4837</v>
      </c>
      <c r="D1051" s="8" t="str">
        <f>Q&amp;$K1051&amp;Q&amp;":{"&amp;Q&amp;$B$2&amp;Q&amp;":"&amp;Q&amp;$B1051&amp;Q&amp;","&amp;Q&amp;$C$2&amp;Q&amp;":"&amp;Q&amp;$C1051&amp;Q&amp;","&amp;Q&amp;"sets"&amp;Q&amp;":"&amp;Q&amp;substitute(SUBSTITUTE($H1051,"[",""),"]","")&amp;Q&amp;"},"</f>
        <v>"dmkq":{"label":"Mosquitoes","extra":"They suck.","sets":"Expansion Set 1, Party Set"},</v>
      </c>
      <c r="E1051" s="9" t="str">
        <f t="shared" si="2"/>
        <v>data:image/svg+xml,%3csvg xmlns='http://www.w3.org/2000/svg' viewBox='0 0 24 216'%3e%3ctext fill='%23fff' style='font: 900 16px sans-serif' text-anchor='end' transform='matrix(0 -1 1 0 18 5)'%3eMosquitoes%3c/text%3e%3c/svg%3e</v>
      </c>
      <c r="F1051" s="14" t="str">
        <f t="shared" si="3"/>
        <v>https://svgtext.heliohost.us/cgi-bin/gen.perl?text=Mosquitoes</v>
      </c>
      <c r="G1051" s="11" t="str">
        <f t="shared" si="4"/>
        <v>data:image/svg+xml,%3csvg xmlns='http://www.w3.org/2000/svg' viewBox='0 0 24 216'%3e%3ctext fill='%23fff' style='font: 900 16px sans-serif' text-anchor='end' transform='matrix(0 -1 1 0 18 5)'%3eMosquitoes%3c/text%3e%3c/svg%3e</v>
      </c>
      <c r="H1051" s="8" t="s">
        <v>25</v>
      </c>
      <c r="I1051" s="8">
        <f t="shared" ref="I1051:J1051" si="1052">len(B1051)</f>
        <v>10</v>
      </c>
      <c r="J1051" s="8">
        <f t="shared" si="1052"/>
        <v>10</v>
      </c>
      <c r="K1051" s="8" t="s">
        <v>4838</v>
      </c>
    </row>
    <row r="1052">
      <c r="A1052" s="7" t="b">
        <v>1</v>
      </c>
      <c r="B1052" s="8" t="s">
        <v>4839</v>
      </c>
      <c r="C1052" s="7" t="s">
        <v>4840</v>
      </c>
      <c r="D1052" s="8" t="str">
        <f>Q&amp;$K1052&amp;Q&amp;":{"&amp;Q&amp;$B$2&amp;Q&amp;":"&amp;Q&amp;$B1052&amp;Q&amp;","&amp;Q&amp;$C$2&amp;Q&amp;":"&amp;Q&amp;$C1052&amp;Q&amp;","&amp;Q&amp;"sets"&amp;Q&amp;":"&amp;Q&amp;substitute(SUBSTITUTE($H1052,"[",""),"]","")&amp;Q&amp;"},"</f>
        <v>"fhey":{"label":"Motorcycles","extra":"Feel the wind in your hair! Or… feel the wind on your helmet!","sets":"Junior 9+ (2nd)"},</v>
      </c>
      <c r="E1052" s="9" t="str">
        <f t="shared" si="2"/>
        <v>data:image/svg+xml,%3csvg xmlns='http://www.w3.org/2000/svg' viewBox='0 0 24 216'%3e%3ctext fill='%23fff' style='font: 900 16px sans-serif' text-anchor='end' transform='matrix(0 -1 1 0 18 5)'%3eMotorcycles%3c/text%3e%3c/svg%3e</v>
      </c>
      <c r="F1052" s="14" t="str">
        <f t="shared" si="3"/>
        <v>https://svgtext.heliohost.us/cgi-bin/gen.perl?text=Motorcycles</v>
      </c>
      <c r="G1052" s="11" t="str">
        <f t="shared" si="4"/>
        <v>data:image/svg+xml,%3csvg xmlns='http://www.w3.org/2000/svg' viewBox='0 0 24 216'%3e%3ctext fill='%23fff' style='font: 900 16px sans-serif' text-anchor='end' transform='matrix(0 -1 1 0 18 5)'%3eMotorcycles%3c/text%3e%3c/svg%3e</v>
      </c>
      <c r="H1052" s="8" t="s">
        <v>32</v>
      </c>
      <c r="I1052" s="8">
        <f t="shared" ref="I1052:J1052" si="1053">len(B1052)</f>
        <v>11</v>
      </c>
      <c r="J1052" s="8">
        <f t="shared" si="1053"/>
        <v>61</v>
      </c>
      <c r="K1052" s="8" t="s">
        <v>4841</v>
      </c>
    </row>
    <row r="1053">
      <c r="A1053" s="7" t="b">
        <v>0</v>
      </c>
      <c r="B1053" s="8" t="s">
        <v>4839</v>
      </c>
      <c r="C1053" s="7" t="s">
        <v>4842</v>
      </c>
      <c r="D1053" s="8" t="str">
        <f>Q&amp;$K1053&amp;Q&amp;":{"&amp;Q&amp;$B$2&amp;Q&amp;":"&amp;Q&amp;$B1053&amp;Q&amp;","&amp;Q&amp;$C$2&amp;Q&amp;":"&amp;Q&amp;$C1053&amp;Q&amp;","&amp;Q&amp;"sets"&amp;Q&amp;":"&amp;Q&amp;substitute(SUBSTITUTE($H1053,"[",""),"]","")&amp;Q&amp;"},"</f>
        <v>"obys":{"label":"Motorcycles","extra":"The air in your hair and bugs in your teeth.","sets":"Expansion Set 2, Party Set"},</v>
      </c>
      <c r="E1053" s="9" t="str">
        <f t="shared" si="2"/>
        <v>data:image/svg+xml,%3csvg xmlns='http://www.w3.org/2000/svg' viewBox='0 0 24 216'%3e%3ctext fill='%23fff' style='font: 900 16px sans-serif' text-anchor='end' transform='matrix(0 -1 1 0 18 5)'%3eMotorcycles%3c/text%3e%3c/svg%3e</v>
      </c>
      <c r="F1053" s="14" t="str">
        <f t="shared" si="3"/>
        <v>https://svgtext.heliohost.us/cgi-bin/gen.perl?text=Motorcycles</v>
      </c>
      <c r="G1053" s="11" t="str">
        <f t="shared" si="4"/>
        <v>data:image/svg+xml,%3csvg xmlns='http://www.w3.org/2000/svg' viewBox='0 0 24 216'%3e%3ctext fill='%23fff' style='font: 900 16px sans-serif' text-anchor='end' transform='matrix(0 -1 1 0 18 5)'%3eMotorcycles%3c/text%3e%3c/svg%3e</v>
      </c>
      <c r="H1053" s="8" t="s">
        <v>17</v>
      </c>
      <c r="I1053" s="8">
        <f t="shared" ref="I1053:J1053" si="1054">len(B1053)</f>
        <v>11</v>
      </c>
      <c r="J1053" s="8">
        <f t="shared" si="1054"/>
        <v>44</v>
      </c>
      <c r="K1053" s="8" t="s">
        <v>4843</v>
      </c>
    </row>
    <row r="1054">
      <c r="A1054" s="7" t="b">
        <v>0</v>
      </c>
      <c r="B1054" s="8" t="s">
        <v>4844</v>
      </c>
      <c r="C1054" s="8" t="s">
        <v>4845</v>
      </c>
      <c r="D1054" s="8" t="str">
        <f>Q&amp;$K1054&amp;Q&amp;":{"&amp;Q&amp;$B$2&amp;Q&amp;":"&amp;Q&amp;$B1054&amp;Q&amp;","&amp;Q&amp;$C$2&amp;Q&amp;":"&amp;Q&amp;$C1054&amp;Q&amp;","&amp;Q&amp;"sets"&amp;Q&amp;":"&amp;Q&amp;substitute(SUBSTITUTE($H1054,"[",""),"]","")&amp;Q&amp;"},"</f>
        <v>"imlv":{"label":"Mount Rushmore","extra":"Memorial carved into the side of the Black Hills in South Dakota. Heads above all other monuments.","sets":"Expansion Set 1, Party Set"},</v>
      </c>
      <c r="E1054" s="9" t="str">
        <f t="shared" si="2"/>
        <v>data:image/svg+xml,%3csvg xmlns='http://www.w3.org/2000/svg' viewBox='0 0 24 216'%3e%3ctext fill='%23fff' style='font: 900 16px sans-serif' text-anchor='end' transform='matrix(0 -1 1 0 18 5)'%3eMount Rushmore%3c/text%3e%3c/svg%3e</v>
      </c>
      <c r="F1054" s="14" t="str">
        <f t="shared" si="3"/>
        <v>https://svgtext.heliohost.us/cgi-bin/gen.perl?text=Mount%20Rushmore</v>
      </c>
      <c r="G1054" s="11" t="str">
        <f t="shared" si="4"/>
        <v>data:image/svg+xml,%3csvg xmlns='http://www.w3.org/2000/svg' viewBox='0 0 24 216'%3e%3ctext fill='%23fff' style='font: 900 16px sans-serif' text-anchor='end' transform='matrix(0 -1 1 0 18 5)'%3eMount Rushmore%3c/text%3e%3c/svg%3e</v>
      </c>
      <c r="H1054" s="8" t="s">
        <v>25</v>
      </c>
      <c r="I1054" s="8">
        <f t="shared" ref="I1054:J1054" si="1055">len(B1054)</f>
        <v>14</v>
      </c>
      <c r="J1054" s="8">
        <f t="shared" si="1055"/>
        <v>98</v>
      </c>
      <c r="K1054" s="8" t="s">
        <v>4846</v>
      </c>
    </row>
    <row r="1055">
      <c r="A1055" s="7" t="b">
        <v>1</v>
      </c>
      <c r="B1055" s="8" t="s">
        <v>4847</v>
      </c>
      <c r="C1055" s="7" t="s">
        <v>4848</v>
      </c>
      <c r="D1055" s="8" t="str">
        <f>Q&amp;$K1055&amp;Q&amp;":{"&amp;Q&amp;$B$2&amp;Q&amp;":"&amp;Q&amp;$B1055&amp;Q&amp;","&amp;Q&amp;$C$2&amp;Q&amp;":"&amp;Q&amp;$C1055&amp;Q&amp;","&amp;Q&amp;"sets"&amp;Q&amp;":"&amp;Q&amp;substitute(SUBSTITUTE($H1055,"[",""),"]","")&amp;Q&amp;"},"</f>
        <v>"prph":{"label":"Mount Vesuvius","extra":"Italian volcano that rises above the Bay of Naples and blew its top in 79 A.D., much to Pompeii’s regret.","sets":"Expansion Set 3, Party Expansion 1"},</v>
      </c>
      <c r="E1055" s="9" t="str">
        <f t="shared" si="2"/>
        <v>data:image/svg+xml,%3csvg xmlns='http://www.w3.org/2000/svg' viewBox='0 0 24 216'%3e%3ctext fill='%23fff' style='font: 900 16px sans-serif' text-anchor='end' transform='matrix(0 -1 1 0 18 5)'%3eMount Vesuvius%3c/text%3e%3c/svg%3e</v>
      </c>
      <c r="F1055" s="14" t="str">
        <f t="shared" si="3"/>
        <v>https://svgtext.heliohost.us/cgi-bin/gen.perl?text=Mount%20Vesuvius</v>
      </c>
      <c r="G1055" s="11" t="str">
        <f t="shared" si="4"/>
        <v>data:image/svg+xml,%3csvg xmlns='http://www.w3.org/2000/svg' viewBox='0 0 24 216'%3e%3ctext fill='%23fff' style='font: 900 16px sans-serif' text-anchor='end' transform='matrix(0 -1 1 0 18 5)'%3eMount Vesuvius%3c/text%3e%3c/svg%3e</v>
      </c>
      <c r="H1055" s="8" t="s">
        <v>39</v>
      </c>
      <c r="I1055" s="8">
        <f t="shared" ref="I1055:J1055" si="1056">len(B1055)</f>
        <v>14</v>
      </c>
      <c r="J1055" s="8">
        <f t="shared" si="1056"/>
        <v>105</v>
      </c>
      <c r="K1055" s="8" t="s">
        <v>4849</v>
      </c>
    </row>
    <row r="1056">
      <c r="A1056" s="7" t="b">
        <v>1</v>
      </c>
      <c r="B1056" s="8" t="s">
        <v>4850</v>
      </c>
      <c r="C1056" s="8" t="s">
        <v>4851</v>
      </c>
      <c r="D1056" s="8" t="str">
        <f>Q&amp;$K1056&amp;Q&amp;":{"&amp;Q&amp;$B$2&amp;Q&amp;":"&amp;Q&amp;$B1056&amp;Q&amp;","&amp;Q&amp;$C$2&amp;Q&amp;":"&amp;Q&amp;$C1056&amp;Q&amp;","&amp;Q&amp;"sets"&amp;Q&amp;":"&amp;Q&amp;substitute(SUBSTITUTE($H1056,"[",""),"]","")&amp;Q&amp;"},"</f>
        <v>"elyx":{"label":"Mountain Bikes","extra":"What goes up the mountain must come down.","sets":"Junior 9+ (2nd)"},</v>
      </c>
      <c r="E1056" s="9" t="str">
        <f t="shared" si="2"/>
        <v>data:image/svg+xml,%3csvg xmlns='http://www.w3.org/2000/svg' viewBox='0 0 24 216'%3e%3ctext fill='%23fff' style='font: 900 16px sans-serif' text-anchor='end' transform='matrix(0 -1 1 0 18 5)'%3eMountain Bikes%3c/text%3e%3c/svg%3e</v>
      </c>
      <c r="F1056" s="14" t="str">
        <f t="shared" si="3"/>
        <v>https://svgtext.heliohost.us/cgi-bin/gen.perl?text=Mountain%20Bikes</v>
      </c>
      <c r="G1056" s="11" t="str">
        <f t="shared" si="4"/>
        <v>data:image/svg+xml,%3csvg xmlns='http://www.w3.org/2000/svg' viewBox='0 0 24 216'%3e%3ctext fill='%23fff' style='font: 900 16px sans-serif' text-anchor='end' transform='matrix(0 -1 1 0 18 5)'%3eMountain Bikes%3c/text%3e%3c/svg%3e</v>
      </c>
      <c r="H1056" s="8" t="s">
        <v>32</v>
      </c>
      <c r="I1056" s="8">
        <f t="shared" ref="I1056:J1056" si="1057">len(B1056)</f>
        <v>14</v>
      </c>
      <c r="J1056" s="8">
        <f t="shared" si="1057"/>
        <v>41</v>
      </c>
      <c r="K1056" s="8" t="s">
        <v>4852</v>
      </c>
    </row>
    <row r="1057">
      <c r="A1057" s="7" t="b">
        <v>1</v>
      </c>
      <c r="B1057" s="8" t="s">
        <v>4853</v>
      </c>
      <c r="C1057" s="8" t="s">
        <v>4854</v>
      </c>
      <c r="D1057" s="8" t="str">
        <f>Q&amp;$K1057&amp;Q&amp;":{"&amp;Q&amp;$B$2&amp;Q&amp;":"&amp;Q&amp;$B1057&amp;Q&amp;","&amp;Q&amp;$C$2&amp;Q&amp;":"&amp;Q&amp;$C1057&amp;Q&amp;","&amp;Q&amp;"sets"&amp;Q&amp;":"&amp;Q&amp;substitute(SUBSTITUTE($H1057,"[",""),"]","")&amp;Q&amp;"},"</f>
        <v>"slbu":{"label":"Mountains","extra":"Very high hills. Some have snow at the top, even in the summer!","sets":"Junior"},</v>
      </c>
      <c r="E1057" s="9" t="str">
        <f t="shared" si="2"/>
        <v>data:image/svg+xml,%3csvg xmlns='http://www.w3.org/2000/svg' viewBox='0 0 24 216'%3e%3ctext fill='%23fff' style='font: 900 16px sans-serif' text-anchor='end' transform='matrix(0 -1 1 0 18 5)'%3eMountains%3c/text%3e%3c/svg%3e</v>
      </c>
      <c r="F1057" s="14" t="str">
        <f t="shared" si="3"/>
        <v>https://svgtext.heliohost.us/cgi-bin/gen.perl?text=Mountains</v>
      </c>
      <c r="G1057" s="11" t="str">
        <f t="shared" si="4"/>
        <v>data:image/svg+xml,%3csvg xmlns='http://www.w3.org/2000/svg' viewBox='0 0 24 216'%3e%3ctext fill='%23fff' style='font: 900 16px sans-serif' text-anchor='end' transform='matrix(0 -1 1 0 18 5)'%3eMountains%3c/text%3e%3c/svg%3e</v>
      </c>
      <c r="H1057" s="8" t="s">
        <v>84</v>
      </c>
      <c r="I1057" s="8">
        <f t="shared" ref="I1057:J1057" si="1058">len(B1057)</f>
        <v>9</v>
      </c>
      <c r="J1057" s="8">
        <f t="shared" si="1058"/>
        <v>63</v>
      </c>
      <c r="K1057" s="8" t="s">
        <v>4855</v>
      </c>
    </row>
    <row r="1058">
      <c r="A1058" s="7" t="b">
        <v>1</v>
      </c>
      <c r="B1058" s="8" t="s">
        <v>4856</v>
      </c>
      <c r="C1058" s="8" t="s">
        <v>4857</v>
      </c>
      <c r="D1058" s="8" t="str">
        <f>Q&amp;$K1058&amp;Q&amp;":{"&amp;Q&amp;$B$2&amp;Q&amp;":"&amp;Q&amp;$B1058&amp;Q&amp;","&amp;Q&amp;$C$2&amp;Q&amp;":"&amp;Q&amp;$C1058&amp;Q&amp;","&amp;Q&amp;"sets"&amp;Q&amp;":"&amp;Q&amp;substitute(SUBSTITUTE($H1058,"[",""),"]","")&amp;Q&amp;"},"</f>
        <v>"odpt":{"label":"Mr. Potato Head","extra":"Mr. Potato Head was introduced in 1952. By now, that would be Grandpa Potato Head.","sets":"Junior 9+ (2nd)"},</v>
      </c>
      <c r="E1058" s="9" t="str">
        <f t="shared" si="2"/>
        <v>data:image/svg+xml,%3csvg xmlns='http://www.w3.org/2000/svg' viewBox='0 0 24 216'%3e%3ctext fill='%23fff' style='font: 900 16px sans-serif' text-anchor='end' transform='matrix(0 -1 1 0 18 5)'%3eMr. Potato Head%3c/text%3e%3c/svg%3e</v>
      </c>
      <c r="F1058" s="14" t="str">
        <f t="shared" si="3"/>
        <v>https://svgtext.heliohost.us/cgi-bin/gen.perl?text=Mr.%20Potato%20Head</v>
      </c>
      <c r="G1058" s="11" t="str">
        <f t="shared" si="4"/>
        <v>data:image/svg+xml,%3csvg xmlns='http://www.w3.org/2000/svg' viewBox='0 0 24 216'%3e%3ctext fill='%23fff' style='font: 900 16px sans-serif' text-anchor='end' transform='matrix(0 -1 1 0 18 5)'%3eMr. Potato Head%3c/text%3e%3c/svg%3e</v>
      </c>
      <c r="H1058" s="8" t="s">
        <v>32</v>
      </c>
      <c r="I1058" s="8">
        <f t="shared" ref="I1058:J1058" si="1059">len(B1058)</f>
        <v>15</v>
      </c>
      <c r="J1058" s="8">
        <f t="shared" si="1059"/>
        <v>82</v>
      </c>
      <c r="K1058" s="8" t="s">
        <v>4858</v>
      </c>
    </row>
    <row r="1059">
      <c r="A1059" s="7" t="b">
        <v>0</v>
      </c>
      <c r="B1059" s="8" t="s">
        <v>4859</v>
      </c>
      <c r="C1059" s="7" t="s">
        <v>4860</v>
      </c>
      <c r="D1059" s="8" t="str">
        <f>Q&amp;$K1059&amp;Q&amp;":{"&amp;Q&amp;$B$2&amp;Q&amp;":"&amp;Q&amp;$B1059&amp;Q&amp;","&amp;Q&amp;$C$2&amp;Q&amp;":"&amp;Q&amp;$C1059&amp;Q&amp;","&amp;Q&amp;"sets"&amp;Q&amp;":"&amp;Q&amp;substitute(SUBSTITUTE($H1059,"[",""),"]","")&amp;Q&amp;"},"</f>
        <v>"zujw":{"label":"MTV","extra":"“Video killed the radio star.” —The Buggles","sets":"Expansion Set 1, Party Set"},</v>
      </c>
      <c r="E1059" s="9" t="str">
        <f t="shared" si="2"/>
        <v>data:image/svg+xml,%3csvg xmlns='http://www.w3.org/2000/svg' viewBox='0 0 24 216'%3e%3ctext fill='%23fff' style='font: 900 16px sans-serif' text-anchor='end' transform='matrix(0 -1 1 0 18 5)'%3eMTV%3c/text%3e%3c/svg%3e</v>
      </c>
      <c r="F1059" s="14" t="str">
        <f t="shared" si="3"/>
        <v>https://svgtext.heliohost.us/cgi-bin/gen.perl?text=MTV</v>
      </c>
      <c r="G1059" s="11" t="str">
        <f t="shared" si="4"/>
        <v>data:image/svg+xml,%3csvg xmlns='http://www.w3.org/2000/svg' viewBox='0 0 24 216'%3e%3ctext fill='%23fff' style='font: 900 16px sans-serif' text-anchor='end' transform='matrix(0 -1 1 0 18 5)'%3eMTV%3c/text%3e%3c/svg%3e</v>
      </c>
      <c r="H1059" s="8" t="s">
        <v>25</v>
      </c>
      <c r="I1059" s="8">
        <f t="shared" ref="I1059:J1059" si="1060">len(B1059)</f>
        <v>3</v>
      </c>
      <c r="J1059" s="8">
        <f t="shared" si="1060"/>
        <v>43</v>
      </c>
      <c r="K1059" s="8" t="s">
        <v>4861</v>
      </c>
    </row>
    <row r="1060">
      <c r="A1060" s="7" t="b">
        <v>1</v>
      </c>
      <c r="B1060" s="8" t="s">
        <v>4862</v>
      </c>
      <c r="C1060" s="8" t="s">
        <v>4863</v>
      </c>
      <c r="D1060" s="8" t="str">
        <f>Q&amp;$K1060&amp;Q&amp;":{"&amp;Q&amp;$B$2&amp;Q&amp;":"&amp;Q&amp;$B1060&amp;Q&amp;","&amp;Q&amp;$C$2&amp;Q&amp;":"&amp;Q&amp;$C1060&amp;Q&amp;","&amp;Q&amp;"sets"&amp;Q&amp;":"&amp;Q&amp;substitute(SUBSTITUTE($H1060,"[",""),"]","")&amp;Q&amp;"},"</f>
        <v>"soxx":{"label":"Mud","extra":"Soft, wet, sticky, gooey, gritty, grimy dirt.","sets":"Junior 9+ (1st) &amp; (2nd)"},</v>
      </c>
      <c r="E1060" s="9" t="str">
        <f t="shared" si="2"/>
        <v>data:image/svg+xml,%3csvg xmlns='http://www.w3.org/2000/svg' viewBox='0 0 24 216'%3e%3ctext fill='%23fff' style='font: 900 16px sans-serif' text-anchor='end' transform='matrix(0 -1 1 0 18 5)'%3eMud%3c/text%3e%3c/svg%3e</v>
      </c>
      <c r="F1060" s="14" t="str">
        <f t="shared" si="3"/>
        <v>https://svgtext.heliohost.us/cgi-bin/gen.perl?text=Mud</v>
      </c>
      <c r="G1060" s="11" t="str">
        <f t="shared" si="4"/>
        <v>data:image/svg+xml,%3csvg xmlns='http://www.w3.org/2000/svg' viewBox='0 0 24 216'%3e%3ctext fill='%23fff' style='font: 900 16px sans-serif' text-anchor='end' transform='matrix(0 -1 1 0 18 5)'%3eMud%3c/text%3e%3c/svg%3e</v>
      </c>
      <c r="H1060" s="8" t="s">
        <v>42</v>
      </c>
      <c r="I1060" s="8">
        <f t="shared" ref="I1060:J1060" si="1061">len(B1060)</f>
        <v>3</v>
      </c>
      <c r="J1060" s="8">
        <f t="shared" si="1061"/>
        <v>45</v>
      </c>
      <c r="K1060" s="8" t="s">
        <v>4864</v>
      </c>
    </row>
    <row r="1061">
      <c r="A1061" s="7" t="b">
        <v>0</v>
      </c>
      <c r="B1061" s="8" t="s">
        <v>4862</v>
      </c>
      <c r="C1061" s="8" t="s">
        <v>4865</v>
      </c>
      <c r="D1061" s="8" t="str">
        <f>Q&amp;$K1061&amp;Q&amp;":{"&amp;Q&amp;$B$2&amp;Q&amp;":"&amp;Q&amp;$B1061&amp;Q&amp;","&amp;Q&amp;$C$2&amp;Q&amp;":"&amp;Q&amp;$C1061&amp;Q&amp;","&amp;Q&amp;"sets"&amp;Q&amp;":"&amp;Q&amp;substitute(SUBSTITUTE($H1061,"[",""),"]","")&amp;Q&amp;"},"</f>
        <v>"rehz":{"label":"Mud","extra":"Water. Dirt. You do the math.","sets":"Basic Set, Party Set"},</v>
      </c>
      <c r="E1061" s="9" t="str">
        <f t="shared" si="2"/>
        <v>data:image/svg+xml,%3csvg xmlns='http://www.w3.org/2000/svg' viewBox='0 0 24 216'%3e%3ctext fill='%23fff' style='font: 900 16px sans-serif' text-anchor='end' transform='matrix(0 -1 1 0 18 5)'%3eMud%3c/text%3e%3c/svg%3e</v>
      </c>
      <c r="F1061" s="14" t="str">
        <f t="shared" si="3"/>
        <v>https://svgtext.heliohost.us/cgi-bin/gen.perl?text=Mud</v>
      </c>
      <c r="G1061" s="11" t="str">
        <f t="shared" si="4"/>
        <v>data:image/svg+xml,%3csvg xmlns='http://www.w3.org/2000/svg' viewBox='0 0 24 216'%3e%3ctext fill='%23fff' style='font: 900 16px sans-serif' text-anchor='end' transform='matrix(0 -1 1 0 18 5)'%3eMud%3c/text%3e%3c/svg%3e</v>
      </c>
      <c r="H1061" s="8" t="s">
        <v>29</v>
      </c>
      <c r="I1061" s="8">
        <f t="shared" ref="I1061:J1061" si="1062">len(B1061)</f>
        <v>3</v>
      </c>
      <c r="J1061" s="8">
        <f t="shared" si="1062"/>
        <v>29</v>
      </c>
      <c r="K1061" s="8" t="s">
        <v>4866</v>
      </c>
    </row>
    <row r="1062">
      <c r="A1062" s="7" t="b">
        <v>1</v>
      </c>
      <c r="B1062" s="8" t="s">
        <v>4867</v>
      </c>
      <c r="C1062" s="8" t="s">
        <v>4868</v>
      </c>
      <c r="D1062" s="8" t="str">
        <f>Q&amp;$K1062&amp;Q&amp;":{"&amp;Q&amp;$B$2&amp;Q&amp;":"&amp;Q&amp;$B1062&amp;Q&amp;","&amp;Q&amp;$C$2&amp;Q&amp;":"&amp;Q&amp;$C1062&amp;Q&amp;","&amp;Q&amp;"sets"&amp;Q&amp;":"&amp;Q&amp;substitute(SUBSTITUTE($H1062,"[",""),"]","")&amp;Q&amp;"},"</f>
        <v>"hzod":{"label":"Muddy Feet","extra":"Squish your toes!","sets":"Junior"},</v>
      </c>
      <c r="E1062" s="9" t="str">
        <f t="shared" si="2"/>
        <v>data:image/svg+xml,%3csvg xmlns='http://www.w3.org/2000/svg' viewBox='0 0 24 216'%3e%3ctext fill='%23fff' style='font: 900 16px sans-serif' text-anchor='end' transform='matrix(0 -1 1 0 18 5)'%3eMuddy Feet%3c/text%3e%3c/svg%3e</v>
      </c>
      <c r="F1062" s="14" t="str">
        <f t="shared" si="3"/>
        <v>https://svgtext.heliohost.us/cgi-bin/gen.perl?text=Muddy%20Feet</v>
      </c>
      <c r="G1062" s="11" t="str">
        <f t="shared" si="4"/>
        <v>data:image/svg+xml,%3csvg xmlns='http://www.w3.org/2000/svg' viewBox='0 0 24 216'%3e%3ctext fill='%23fff' style='font: 900 16px sans-serif' text-anchor='end' transform='matrix(0 -1 1 0 18 5)'%3eMuddy Feet%3c/text%3e%3c/svg%3e</v>
      </c>
      <c r="H1062" s="8" t="s">
        <v>84</v>
      </c>
      <c r="I1062" s="8">
        <f t="shared" ref="I1062:J1062" si="1063">len(B1062)</f>
        <v>10</v>
      </c>
      <c r="J1062" s="8">
        <f t="shared" si="1063"/>
        <v>17</v>
      </c>
      <c r="K1062" s="8" t="s">
        <v>4869</v>
      </c>
    </row>
    <row r="1063">
      <c r="A1063" s="7" t="b">
        <v>0</v>
      </c>
      <c r="B1063" s="8" t="s">
        <v>4870</v>
      </c>
      <c r="C1063" s="7" t="s">
        <v>4871</v>
      </c>
      <c r="D1063" s="8" t="str">
        <f>Q&amp;$K1063&amp;Q&amp;":{"&amp;Q&amp;$B$2&amp;Q&amp;":"&amp;Q&amp;$B1063&amp;Q&amp;","&amp;Q&amp;$C$2&amp;Q&amp;":"&amp;Q&amp;$C1063&amp;Q&amp;","&amp;Q&amp;"sets"&amp;Q&amp;":"&amp;Q&amp;substitute(SUBSTITUTE($H1063,"[",""),"]","")&amp;Q&amp;"},"</f>
        <v>"omog":{"label":"Mudslides","extra":"Chocolate drink or natural disaster… both occur frequently in California.","sets":"Expansion Set 2, Party Set"},</v>
      </c>
      <c r="E1063" s="9" t="str">
        <f t="shared" si="2"/>
        <v>data:image/svg+xml,%3csvg xmlns='http://www.w3.org/2000/svg' viewBox='0 0 24 216'%3e%3ctext fill='%23fff' style='font: 900 16px sans-serif' text-anchor='end' transform='matrix(0 -1 1 0 18 5)'%3eMudslides%3c/text%3e%3c/svg%3e</v>
      </c>
      <c r="F1063" s="14" t="str">
        <f t="shared" si="3"/>
        <v>https://svgtext.heliohost.us/cgi-bin/gen.perl?text=Mudslides</v>
      </c>
      <c r="G1063" s="11" t="str">
        <f t="shared" si="4"/>
        <v>data:image/svg+xml,%3csvg xmlns='http://www.w3.org/2000/svg' viewBox='0 0 24 216'%3e%3ctext fill='%23fff' style='font: 900 16px sans-serif' text-anchor='end' transform='matrix(0 -1 1 0 18 5)'%3eMudslides%3c/text%3e%3c/svg%3e</v>
      </c>
      <c r="H1063" s="8" t="s">
        <v>17</v>
      </c>
      <c r="I1063" s="8">
        <f t="shared" ref="I1063:J1063" si="1064">len(B1063)</f>
        <v>9</v>
      </c>
      <c r="J1063" s="8">
        <f t="shared" si="1064"/>
        <v>73</v>
      </c>
      <c r="K1063" s="8" t="s">
        <v>4872</v>
      </c>
    </row>
    <row r="1064">
      <c r="A1064" s="7" t="b">
        <v>1</v>
      </c>
      <c r="B1064" s="8" t="s">
        <v>4873</v>
      </c>
      <c r="C1064" s="7" t="s">
        <v>4874</v>
      </c>
      <c r="D1064" s="8" t="str">
        <f>Q&amp;$K1064&amp;Q&amp;":{"&amp;Q&amp;$B$2&amp;Q&amp;":"&amp;Q&amp;$B1064&amp;Q&amp;","&amp;Q&amp;$C$2&amp;Q&amp;":"&amp;Q&amp;$C1064&amp;Q&amp;","&amp;Q&amp;"sets"&amp;Q&amp;":"&amp;Q&amp;substitute(SUBSTITUTE($H1064,"[",""),"]","")&amp;Q&amp;"},"</f>
        <v>"gvlg":{"label":"Muffins","extra":"“Do you know the Muffin Man?”","sets":"Junior 9+ (2nd)"},</v>
      </c>
      <c r="E1064" s="9" t="str">
        <f t="shared" si="2"/>
        <v>data:image/svg+xml,%3csvg xmlns='http://www.w3.org/2000/svg' viewBox='0 0 24 216'%3e%3ctext fill='%23fff' style='font: 900 16px sans-serif' text-anchor='end' transform='matrix(0 -1 1 0 18 5)'%3eMuffins%3c/text%3e%3c/svg%3e</v>
      </c>
      <c r="F1064" s="14" t="str">
        <f t="shared" si="3"/>
        <v>https://svgtext.heliohost.us/cgi-bin/gen.perl?text=Muffins</v>
      </c>
      <c r="G1064" s="11" t="str">
        <f t="shared" si="4"/>
        <v>data:image/svg+xml,%3csvg xmlns='http://www.w3.org/2000/svg' viewBox='0 0 24 216'%3e%3ctext fill='%23fff' style='font: 900 16px sans-serif' text-anchor='end' transform='matrix(0 -1 1 0 18 5)'%3eMuffins%3c/text%3e%3c/svg%3e</v>
      </c>
      <c r="H1064" s="8" t="s">
        <v>32</v>
      </c>
      <c r="I1064" s="8">
        <f t="shared" ref="I1064:J1064" si="1065">len(B1064)</f>
        <v>7</v>
      </c>
      <c r="J1064" s="8">
        <f t="shared" si="1065"/>
        <v>29</v>
      </c>
      <c r="K1064" s="8" t="s">
        <v>4875</v>
      </c>
    </row>
    <row r="1065">
      <c r="A1065" s="7" t="b">
        <v>0</v>
      </c>
      <c r="B1065" s="8" t="s">
        <v>4876</v>
      </c>
      <c r="C1065" s="7" t="s">
        <v>4877</v>
      </c>
      <c r="D1065" s="8" t="str">
        <f>Q&amp;$K1065&amp;Q&amp;":{"&amp;Q&amp;$B$2&amp;Q&amp;":"&amp;Q&amp;$B1065&amp;Q&amp;","&amp;Q&amp;$C$2&amp;Q&amp;":"&amp;Q&amp;$C1065&amp;Q&amp;","&amp;Q&amp;"sets"&amp;Q&amp;":"&amp;Q&amp;substitute(SUBSTITUTE($H1065,"[",""),"]","")&amp;Q&amp;"},"</f>
        <v>"{ksy":{"label":"Muhammad Ali","extra":"1942-, American heavyweight boxing champion. “Floats like a butterfly, stings like a bee.”","sets":"Expansion Set 1, Party Set"},</v>
      </c>
      <c r="E1065" s="9" t="str">
        <f t="shared" si="2"/>
        <v>data:image/svg+xml,%3csvg xmlns='http://www.w3.org/2000/svg' viewBox='0 0 24 216'%3e%3ctext fill='%23fff' style='font: 900 16px sans-serif' text-anchor='end' transform='matrix(0 -1 1 0 18 5)'%3eMuhammad Ali%3c/text%3e%3c/svg%3e</v>
      </c>
      <c r="F1065" s="14" t="str">
        <f t="shared" si="3"/>
        <v>https://svgtext.heliohost.us/cgi-bin/gen.perl?text=Muhammad%20Ali</v>
      </c>
      <c r="G1065" s="11" t="str">
        <f t="shared" si="4"/>
        <v>data:image/svg+xml,%3csvg xmlns='http://www.w3.org/2000/svg' viewBox='0 0 24 216'%3e%3ctext fill='%23fff' style='font: 900 16px sans-serif' text-anchor='end' transform='matrix(0 -1 1 0 18 5)'%3eMuhammad Ali%3c/text%3e%3c/svg%3e</v>
      </c>
      <c r="H1065" s="8" t="s">
        <v>25</v>
      </c>
      <c r="I1065" s="8">
        <f t="shared" ref="I1065:J1065" si="1066">len(B1065)</f>
        <v>12</v>
      </c>
      <c r="J1065" s="8">
        <f t="shared" si="1066"/>
        <v>90</v>
      </c>
      <c r="K1065" s="8" t="s">
        <v>4878</v>
      </c>
    </row>
    <row r="1066">
      <c r="A1066" s="7" t="b">
        <v>1</v>
      </c>
      <c r="B1066" s="8" t="s">
        <v>4879</v>
      </c>
      <c r="C1066" s="8" t="s">
        <v>4880</v>
      </c>
      <c r="D1066" s="8" t="str">
        <f>Q&amp;$K1066&amp;Q&amp;":{"&amp;Q&amp;$B$2&amp;Q&amp;":"&amp;Q&amp;$B1066&amp;Q&amp;","&amp;Q&amp;$C$2&amp;Q&amp;":"&amp;Q&amp;$C1066&amp;Q&amp;","&amp;Q&amp;"sets"&amp;Q&amp;":"&amp;Q&amp;substitute(SUBSTITUTE($H1066,"[",""),"]","")&amp;Q&amp;"},"</f>
        <v>"uljg":{"label":"Mushrooms","extra":"It's a fungus.","sets":"Junior 9+ (2nd)"},</v>
      </c>
      <c r="E1066" s="9" t="str">
        <f t="shared" si="2"/>
        <v>data:image/svg+xml,%3csvg xmlns='http://www.w3.org/2000/svg' viewBox='0 0 24 216'%3e%3ctext fill='%23fff' style='font: 900 16px sans-serif' text-anchor='end' transform='matrix(0 -1 1 0 18 5)'%3eMushrooms%3c/text%3e%3c/svg%3e</v>
      </c>
      <c r="F1066" s="14" t="str">
        <f t="shared" si="3"/>
        <v>https://svgtext.heliohost.us/cgi-bin/gen.perl?text=Mushrooms</v>
      </c>
      <c r="G1066" s="11" t="str">
        <f t="shared" si="4"/>
        <v>data:image/svg+xml,%3csvg xmlns='http://www.w3.org/2000/svg' viewBox='0 0 24 216'%3e%3ctext fill='%23fff' style='font: 900 16px sans-serif' text-anchor='end' transform='matrix(0 -1 1 0 18 5)'%3eMushrooms%3c/text%3e%3c/svg%3e</v>
      </c>
      <c r="H1066" s="8" t="s">
        <v>32</v>
      </c>
      <c r="I1066" s="8">
        <f t="shared" ref="I1066:J1066" si="1067">len(B1066)</f>
        <v>9</v>
      </c>
      <c r="J1066" s="8">
        <f t="shared" si="1067"/>
        <v>14</v>
      </c>
      <c r="K1066" s="8" t="s">
        <v>4881</v>
      </c>
    </row>
    <row r="1067">
      <c r="A1067" s="7" t="b">
        <v>1</v>
      </c>
      <c r="B1067" s="8" t="s">
        <v>4882</v>
      </c>
      <c r="C1067" s="8" t="s">
        <v>4883</v>
      </c>
      <c r="D1067" s="8" t="str">
        <f>Q&amp;$K1067&amp;Q&amp;":{"&amp;Q&amp;$B$2&amp;Q&amp;":"&amp;Q&amp;$B1067&amp;Q&amp;","&amp;Q&amp;$C$2&amp;Q&amp;":"&amp;Q&amp;$C1067&amp;Q&amp;","&amp;Q&amp;"sets"&amp;Q&amp;":"&amp;Q&amp;substitute(SUBSTITUTE($H1067,"[",""),"]","")&amp;Q&amp;"},"</f>
        <v>"njjv":{"label":"Music","extra":"Pick your favorite: country, pop, rock, rap, hip hop, jazz, or classical.","sets":"Junior 9+ (1st) &amp; (2nd)"},</v>
      </c>
      <c r="E1067" s="9" t="str">
        <f t="shared" si="2"/>
        <v>data:image/svg+xml,%3csvg xmlns='http://www.w3.org/2000/svg' viewBox='0 0 24 216'%3e%3ctext fill='%23fff' style='font: 900 16px sans-serif' text-anchor='end' transform='matrix(0 -1 1 0 18 5)'%3eMusic%3c/text%3e%3c/svg%3e</v>
      </c>
      <c r="F1067" s="14" t="str">
        <f t="shared" si="3"/>
        <v>https://svgtext.heliohost.us/cgi-bin/gen.perl?text=Music</v>
      </c>
      <c r="G1067" s="11" t="str">
        <f t="shared" si="4"/>
        <v>data:image/svg+xml,%3csvg xmlns='http://www.w3.org/2000/svg' viewBox='0 0 24 216'%3e%3ctext fill='%23fff' style='font: 900 16px sans-serif' text-anchor='end' transform='matrix(0 -1 1 0 18 5)'%3eMusic%3c/text%3e%3c/svg%3e</v>
      </c>
      <c r="H1067" s="8" t="s">
        <v>42</v>
      </c>
      <c r="I1067" s="8">
        <f t="shared" ref="I1067:J1067" si="1068">len(B1067)</f>
        <v>5</v>
      </c>
      <c r="J1067" s="8">
        <f t="shared" si="1068"/>
        <v>73</v>
      </c>
      <c r="K1067" s="8" t="s">
        <v>4884</v>
      </c>
    </row>
    <row r="1068">
      <c r="A1068" s="7" t="b">
        <v>1</v>
      </c>
      <c r="B1068" s="8" t="s">
        <v>4885</v>
      </c>
      <c r="C1068" s="8" t="s">
        <v>4886</v>
      </c>
      <c r="D1068" s="8" t="str">
        <f>Q&amp;$K1068&amp;Q&amp;":{"&amp;Q&amp;$B$2&amp;Q&amp;":"&amp;Q&amp;$B1068&amp;Q&amp;","&amp;Q&amp;$C$2&amp;Q&amp;":"&amp;Q&amp;$C1068&amp;Q&amp;","&amp;Q&amp;"sets"&amp;Q&amp;":"&amp;Q&amp;substitute(SUBSTITUTE($H1068,"[",""),"]","")&amp;Q&amp;"},"</f>
        <v>"trzv":{"label":"Music Lessons","extra":"Practice, practice, practice.","sets":"Junior 9+ (1st) &amp; (2nd)"},</v>
      </c>
      <c r="E1068" s="9" t="str">
        <f t="shared" si="2"/>
        <v>data:image/svg+xml,%3csvg xmlns='http://www.w3.org/2000/svg' viewBox='0 0 24 216'%3e%3ctext fill='%23fff' style='font: 900 16px sans-serif' text-anchor='end' transform='matrix(0 -1 1 0 18 5)'%3eMusic Lessons%3c/text%3e%3c/svg%3e</v>
      </c>
      <c r="F1068" s="14" t="str">
        <f t="shared" si="3"/>
        <v>https://svgtext.heliohost.us/cgi-bin/gen.perl?text=Music%20Lessons</v>
      </c>
      <c r="G1068" s="11" t="str">
        <f t="shared" si="4"/>
        <v>data:image/svg+xml,%3csvg xmlns='http://www.w3.org/2000/svg' viewBox='0 0 24 216'%3e%3ctext fill='%23fff' style='font: 900 16px sans-serif' text-anchor='end' transform='matrix(0 -1 1 0 18 5)'%3eMusic Lessons%3c/text%3e%3c/svg%3e</v>
      </c>
      <c r="H1068" s="8" t="s">
        <v>42</v>
      </c>
      <c r="I1068" s="8">
        <f t="shared" ref="I1068:J1068" si="1069">len(B1068)</f>
        <v>13</v>
      </c>
      <c r="J1068" s="8">
        <f t="shared" si="1069"/>
        <v>29</v>
      </c>
      <c r="K1068" s="8" t="s">
        <v>4887</v>
      </c>
    </row>
    <row r="1069">
      <c r="A1069" s="7" t="b">
        <v>0</v>
      </c>
      <c r="B1069" s="8" t="s">
        <v>4888</v>
      </c>
      <c r="C1069" s="7" t="s">
        <v>4889</v>
      </c>
      <c r="D1069" s="8" t="str">
        <f>Q&amp;$K1069&amp;Q&amp;":{"&amp;Q&amp;$B$2&amp;Q&amp;":"&amp;Q&amp;$B1069&amp;Q&amp;","&amp;Q&amp;$C$2&amp;Q&amp;":"&amp;Q&amp;$C1069&amp;Q&amp;","&amp;Q&amp;"sets"&amp;Q&amp;":"&amp;Q&amp;substitute(SUBSTITUTE($H1069,"[",""),"]","")&amp;Q&amp;"},"</f>
        <v>"gcto":{"label":"Musicals","extra":"“South Pacific,” “The King and I,” “The Sound of Music,” “A Chorus Line,” “Cats,” “Rent…”","sets":"Expansion Set 2, Party Set"},</v>
      </c>
      <c r="E1069" s="9" t="str">
        <f t="shared" si="2"/>
        <v>data:image/svg+xml,%3csvg xmlns='http://www.w3.org/2000/svg' viewBox='0 0 24 216'%3e%3ctext fill='%23fff' style='font: 900 16px sans-serif' text-anchor='end' transform='matrix(0 -1 1 0 18 5)'%3eMusicals%3c/text%3e%3c/svg%3e</v>
      </c>
      <c r="F1069" s="14" t="str">
        <f t="shared" si="3"/>
        <v>https://svgtext.heliohost.us/cgi-bin/gen.perl?text=Musicals</v>
      </c>
      <c r="G1069" s="11" t="str">
        <f t="shared" si="4"/>
        <v>data:image/svg+xml,%3csvg xmlns='http://www.w3.org/2000/svg' viewBox='0 0 24 216'%3e%3ctext fill='%23fff' style='font: 900 16px sans-serif' text-anchor='end' transform='matrix(0 -1 1 0 18 5)'%3eMusicals%3c/text%3e%3c/svg%3e</v>
      </c>
      <c r="H1069" s="8" t="s">
        <v>17</v>
      </c>
      <c r="I1069" s="8">
        <f t="shared" ref="I1069:J1069" si="1070">len(B1069)</f>
        <v>8</v>
      </c>
      <c r="J1069" s="8">
        <f t="shared" si="1070"/>
        <v>89</v>
      </c>
      <c r="K1069" s="8" t="s">
        <v>4890</v>
      </c>
    </row>
    <row r="1070">
      <c r="A1070" s="7" t="b">
        <v>1</v>
      </c>
      <c r="B1070" s="8" t="s">
        <v>4891</v>
      </c>
      <c r="C1070" s="8" t="s">
        <v>4892</v>
      </c>
      <c r="D1070" s="8" t="str">
        <f>Q&amp;$K1070&amp;Q&amp;":{"&amp;Q&amp;$B$2&amp;Q&amp;":"&amp;Q&amp;$B1070&amp;Q&amp;","&amp;Q&amp;$C$2&amp;Q&amp;":"&amp;Q&amp;$C1070&amp;Q&amp;","&amp;Q&amp;"sets"&amp;Q&amp;":"&amp;Q&amp;substitute(SUBSTITUTE($H1070,"[",""),"]","")&amp;Q&amp;"},"</f>
        <v>"szzo":{"label":"Mustard","extra":"Made from seeds of the mustard plant. Spread on pretzels and hotdogs.","sets":"Junior 9+ (1st) &amp; (2nd)"},</v>
      </c>
      <c r="E1070" s="9" t="str">
        <f t="shared" si="2"/>
        <v>data:image/svg+xml,%3csvg xmlns='http://www.w3.org/2000/svg' viewBox='0 0 24 216'%3e%3ctext fill='%23fff' style='font: 900 16px sans-serif' text-anchor='end' transform='matrix(0 -1 1 0 18 5)'%3eMustard%3c/text%3e%3c/svg%3e</v>
      </c>
      <c r="F1070" s="14" t="str">
        <f t="shared" si="3"/>
        <v>https://svgtext.heliohost.us/cgi-bin/gen.perl?text=Mustard</v>
      </c>
      <c r="G1070" s="11" t="str">
        <f t="shared" si="4"/>
        <v>data:image/svg+xml,%3csvg xmlns='http://www.w3.org/2000/svg' viewBox='0 0 24 216'%3e%3ctext fill='%23fff' style='font: 900 16px sans-serif' text-anchor='end' transform='matrix(0 -1 1 0 18 5)'%3eMustard%3c/text%3e%3c/svg%3e</v>
      </c>
      <c r="H1070" s="8" t="s">
        <v>42</v>
      </c>
      <c r="I1070" s="8">
        <f t="shared" ref="I1070:J1070" si="1071">len(B1070)</f>
        <v>7</v>
      </c>
      <c r="J1070" s="8">
        <f t="shared" si="1071"/>
        <v>69</v>
      </c>
      <c r="K1070" s="8" t="s">
        <v>4893</v>
      </c>
    </row>
    <row r="1071">
      <c r="A1071" s="7" t="b">
        <v>1</v>
      </c>
      <c r="B1071" s="8" t="s">
        <v>4894</v>
      </c>
      <c r="C1071" s="7" t="s">
        <v>4895</v>
      </c>
      <c r="D1071" s="8" t="str">
        <f>Q&amp;$K1071&amp;Q&amp;":{"&amp;Q&amp;$B$2&amp;Q&amp;":"&amp;Q&amp;$B1071&amp;Q&amp;","&amp;Q&amp;$C$2&amp;Q&amp;":"&amp;Q&amp;$C1071&amp;Q&amp;","&amp;Q&amp;"sets"&amp;Q&amp;":"&amp;Q&amp;substitute(SUBSTITUTE($H1071,"[",""),"]","")&amp;Q&amp;"},"</f>
        <v>"agzp":{"label":"Mutual Funds","extra":"Mutually benefits you and your broker.","sets":"Expansion Set 3, Party Expansion 1"},</v>
      </c>
      <c r="E1071" s="9" t="str">
        <f t="shared" si="2"/>
        <v>data:image/svg+xml,%3csvg xmlns='http://www.w3.org/2000/svg' viewBox='0 0 24 216'%3e%3ctext fill='%23fff' style='font: 900 16px sans-serif' text-anchor='end' transform='matrix(0 -1 1 0 18 5)'%3eMutual Funds%3c/text%3e%3c/svg%3e</v>
      </c>
      <c r="F1071" s="14" t="str">
        <f t="shared" si="3"/>
        <v>https://svgtext.heliohost.us/cgi-bin/gen.perl?text=Mutual%20Funds</v>
      </c>
      <c r="G1071" s="11" t="str">
        <f t="shared" si="4"/>
        <v>data:image/svg+xml,%3csvg xmlns='http://www.w3.org/2000/svg' viewBox='0 0 24 216'%3e%3ctext fill='%23fff' style='font: 900 16px sans-serif' text-anchor='end' transform='matrix(0 -1 1 0 18 5)'%3eMutual Funds%3c/text%3e%3c/svg%3e</v>
      </c>
      <c r="H1071" s="8" t="s">
        <v>39</v>
      </c>
      <c r="I1071" s="8">
        <f t="shared" ref="I1071:J1071" si="1072">len(B1071)</f>
        <v>12</v>
      </c>
      <c r="J1071" s="8">
        <f t="shared" si="1072"/>
        <v>38</v>
      </c>
      <c r="K1071" s="8" t="s">
        <v>4896</v>
      </c>
    </row>
    <row r="1072">
      <c r="A1072" s="7" t="b">
        <v>0</v>
      </c>
      <c r="B1072" s="8" t="s">
        <v>4897</v>
      </c>
      <c r="C1072" s="8" t="s">
        <v>4898</v>
      </c>
      <c r="D1072" s="8" t="str">
        <f>Q&amp;$K1072&amp;Q&amp;":{"&amp;Q&amp;$B$2&amp;Q&amp;":"&amp;Q&amp;$B1072&amp;Q&amp;","&amp;Q&amp;$C$2&amp;Q&amp;":"&amp;Q&amp;$C1072&amp;Q&amp;","&amp;Q&amp;"sets"&amp;Q&amp;":"&amp;Q&amp;substitute(SUBSTITUTE($H1072,"[",""),"]","")&amp;Q&amp;"},"</f>
        <v>"zbfw":{"label":"My 16th Birthday","extra":"Dad, can I have the keys to the car, please?","sets":"Basic Set, Party Set"},</v>
      </c>
      <c r="E1072" s="9" t="str">
        <f t="shared" si="2"/>
        <v>data:image/svg+xml,%3csvg xmlns='http://www.w3.org/2000/svg' viewBox='0 0 24 216'%3e%3ctext fill='%23fff' style='font: 900 16px sans-serif' text-anchor='end' transform='matrix(0 -1 1 0 18 5)'%3eMy 16th Birthday%3c/text%3e%3c/svg%3e</v>
      </c>
      <c r="F1072" s="14" t="str">
        <f t="shared" si="3"/>
        <v>https://svgtext.heliohost.us/cgi-bin/gen.perl?text=My%2016th%20Birthday</v>
      </c>
      <c r="G1072" s="11" t="str">
        <f t="shared" si="4"/>
        <v>data:image/svg+xml,%3csvg xmlns='http://www.w3.org/2000/svg' viewBox='0 0 24 216'%3e%3ctext fill='%23fff' style='font: 900 16px sans-serif' text-anchor='end' transform='matrix(0 -1 1 0 18 5)'%3eMy 16th Birthday%3c/text%3e%3c/svg%3e</v>
      </c>
      <c r="H1072" s="8" t="s">
        <v>29</v>
      </c>
      <c r="I1072" s="8">
        <f t="shared" ref="I1072:J1072" si="1073">len(B1072)</f>
        <v>16</v>
      </c>
      <c r="J1072" s="8">
        <f t="shared" si="1073"/>
        <v>44</v>
      </c>
      <c r="K1072" s="8" t="s">
        <v>4899</v>
      </c>
    </row>
    <row r="1073">
      <c r="A1073" s="7" t="b">
        <v>1</v>
      </c>
      <c r="B1073" s="8" t="s">
        <v>4900</v>
      </c>
      <c r="C1073" s="7" t="s">
        <v>4901</v>
      </c>
      <c r="D1073" s="8" t="str">
        <f>Q&amp;$K1073&amp;Q&amp;":{"&amp;Q&amp;$B$2&amp;Q&amp;":"&amp;Q&amp;$B1073&amp;Q&amp;","&amp;Q&amp;$C$2&amp;Q&amp;":"&amp;Q&amp;$C1073&amp;Q&amp;","&amp;Q&amp;"sets"&amp;Q&amp;":"&amp;Q&amp;substitute(SUBSTITUTE($H1073,"[",""),"]","")&amp;Q&amp;"},"</f>
        <v>"yzoj":{"label":"My Baby Blanket","extra":"I don’t care if it does have holes!","sets":"Junior 9+ (2nd)"},</v>
      </c>
      <c r="E1073" s="9" t="str">
        <f t="shared" si="2"/>
        <v>data:image/svg+xml,%3csvg xmlns='http://www.w3.org/2000/svg' viewBox='0 0 24 216'%3e%3ctext fill='%23fff' style='font: 900 16px sans-serif' text-anchor='end' transform='matrix(0 -1 1 0 18 5)'%3eMy Baby Blanket%3c/text%3e%3c/svg%3e</v>
      </c>
      <c r="F1073" s="14" t="str">
        <f t="shared" si="3"/>
        <v>https://svgtext.heliohost.us/cgi-bin/gen.perl?text=My%20Baby%20Blanket</v>
      </c>
      <c r="G1073" s="11" t="str">
        <f t="shared" si="4"/>
        <v>data:image/svg+xml,%3csvg xmlns='http://www.w3.org/2000/svg' viewBox='0 0 24 216'%3e%3ctext fill='%23fff' style='font: 900 16px sans-serif' text-anchor='end' transform='matrix(0 -1 1 0 18 5)'%3eMy Baby Blanket%3c/text%3e%3c/svg%3e</v>
      </c>
      <c r="H1073" s="8" t="s">
        <v>32</v>
      </c>
      <c r="I1073" s="8">
        <f t="shared" ref="I1073:J1073" si="1074">len(B1073)</f>
        <v>15</v>
      </c>
      <c r="J1073" s="8">
        <f t="shared" si="1074"/>
        <v>35</v>
      </c>
      <c r="K1073" s="8" t="s">
        <v>4902</v>
      </c>
    </row>
    <row r="1074">
      <c r="A1074" s="7" t="b">
        <v>0</v>
      </c>
      <c r="B1074" s="8" t="s">
        <v>4903</v>
      </c>
      <c r="C1074" s="7" t="s">
        <v>4904</v>
      </c>
      <c r="D1074" s="8" t="str">
        <f>Q&amp;$K1074&amp;Q&amp;":{"&amp;Q&amp;$B$2&amp;Q&amp;":"&amp;Q&amp;$B1074&amp;Q&amp;","&amp;Q&amp;$C$2&amp;Q&amp;":"&amp;Q&amp;$C1074&amp;Q&amp;","&amp;Q&amp;"sets"&amp;Q&amp;":"&amp;Q&amp;substitute(SUBSTITUTE($H1074,"[",""),"]","")&amp;Q&amp;"},"</f>
        <v>"vtuw":{"label":"My Bank Account","extra":"Speaking of theoretical mathematics and unreal numbers…","sets":"Basic Set, Party Set"},</v>
      </c>
      <c r="E1074" s="9" t="str">
        <f t="shared" si="2"/>
        <v>data:image/svg+xml,%3csvg xmlns='http://www.w3.org/2000/svg' viewBox='0 0 24 216'%3e%3ctext fill='%23fff' style='font: 900 16px sans-serif' text-anchor='end' transform='matrix(0 -1 1 0 18 5)'%3eMy Bank Account%3c/text%3e%3c/svg%3e</v>
      </c>
      <c r="F1074" s="14" t="str">
        <f t="shared" si="3"/>
        <v>https://svgtext.heliohost.us/cgi-bin/gen.perl?text=My%20Bank%20Account</v>
      </c>
      <c r="G1074" s="11" t="str">
        <f t="shared" si="4"/>
        <v>data:image/svg+xml,%3csvg xmlns='http://www.w3.org/2000/svg' viewBox='0 0 24 216'%3e%3ctext fill='%23fff' style='font: 900 16px sans-serif' text-anchor='end' transform='matrix(0 -1 1 0 18 5)'%3eMy Bank Account%3c/text%3e%3c/svg%3e</v>
      </c>
      <c r="H1074" s="8" t="s">
        <v>29</v>
      </c>
      <c r="I1074" s="8">
        <f t="shared" ref="I1074:J1074" si="1075">len(B1074)</f>
        <v>15</v>
      </c>
      <c r="J1074" s="8">
        <f t="shared" si="1075"/>
        <v>55</v>
      </c>
      <c r="K1074" s="8" t="s">
        <v>4905</v>
      </c>
    </row>
    <row r="1075">
      <c r="A1075" s="7" t="b">
        <v>0</v>
      </c>
      <c r="B1075" s="8" t="s">
        <v>4906</v>
      </c>
      <c r="C1075" s="7" t="s">
        <v>4907</v>
      </c>
      <c r="D1075" s="8" t="str">
        <f>Q&amp;$K1075&amp;Q&amp;":{"&amp;Q&amp;$B$2&amp;Q&amp;":"&amp;Q&amp;$B1075&amp;Q&amp;","&amp;Q&amp;$C$2&amp;Q&amp;":"&amp;Q&amp;$C1075&amp;Q&amp;","&amp;Q&amp;"sets"&amp;Q&amp;":"&amp;Q&amp;substitute(SUBSTITUTE($H1075,"[",""),"]","")&amp;Q&amp;"},"</f>
        <v>"misr":{"label":"My Bathroom","extra":"“The bathroom was drenched with their splashings” —Aldous Huxley","sets":"Basic Set, Party Set"},</v>
      </c>
      <c r="E1075" s="9" t="str">
        <f t="shared" si="2"/>
        <v>data:image/svg+xml,%3csvg xmlns='http://www.w3.org/2000/svg' viewBox='0 0 24 216'%3e%3ctext fill='%23fff' style='font: 900 16px sans-serif' text-anchor='end' transform='matrix(0 -1 1 0 18 5)'%3eMy Bathroom%3c/text%3e%3c/svg%3e</v>
      </c>
      <c r="F1075" s="14" t="str">
        <f t="shared" si="3"/>
        <v>https://svgtext.heliohost.us/cgi-bin/gen.perl?text=My%20Bathroom</v>
      </c>
      <c r="G1075" s="11" t="str">
        <f t="shared" si="4"/>
        <v>data:image/svg+xml,%3csvg xmlns='http://www.w3.org/2000/svg' viewBox='0 0 24 216'%3e%3ctext fill='%23fff' style='font: 900 16px sans-serif' text-anchor='end' transform='matrix(0 -1 1 0 18 5)'%3eMy Bathroom%3c/text%3e%3c/svg%3e</v>
      </c>
      <c r="H1075" s="8" t="s">
        <v>29</v>
      </c>
      <c r="I1075" s="8">
        <f t="shared" ref="I1075:J1075" si="1076">len(B1075)</f>
        <v>11</v>
      </c>
      <c r="J1075" s="8">
        <f t="shared" si="1076"/>
        <v>64</v>
      </c>
      <c r="K1075" s="8" t="s">
        <v>4908</v>
      </c>
    </row>
    <row r="1076">
      <c r="A1076" s="7" t="b">
        <v>0</v>
      </c>
      <c r="B1076" s="8" t="s">
        <v>4909</v>
      </c>
      <c r="C1076" s="7" t="s">
        <v>4910</v>
      </c>
      <c r="D1076" s="8" t="str">
        <f>Q&amp;$K1076&amp;Q&amp;":{"&amp;Q&amp;$B$2&amp;Q&amp;":"&amp;Q&amp;$B1076&amp;Q&amp;","&amp;Q&amp;$C$2&amp;Q&amp;":"&amp;Q&amp;$C1076&amp;Q&amp;","&amp;Q&amp;"sets"&amp;Q&amp;":"&amp;Q&amp;substitute(SUBSTITUTE($H1076,"[",""),"]","")&amp;Q&amp;"},"</f>
        <v>"ymwp":{"label":"My Bedroom","extra":"“No one knows what goes on behind closed doors.” —Charlie Rich","sets":"Basic Set, Party Set"},</v>
      </c>
      <c r="E1076" s="9" t="str">
        <f t="shared" si="2"/>
        <v>data:image/svg+xml,%3csvg xmlns='http://www.w3.org/2000/svg' viewBox='0 0 24 216'%3e%3ctext fill='%23fff' style='font: 900 16px sans-serif' text-anchor='end' transform='matrix(0 -1 1 0 18 5)'%3eMy Bedroom%3c/text%3e%3c/svg%3e</v>
      </c>
      <c r="F1076" s="14" t="str">
        <f t="shared" si="3"/>
        <v>https://svgtext.heliohost.us/cgi-bin/gen.perl?text=My%20Bedroom</v>
      </c>
      <c r="G1076" s="11" t="str">
        <f t="shared" si="4"/>
        <v>data:image/svg+xml,%3csvg xmlns='http://www.w3.org/2000/svg' viewBox='0 0 24 216'%3e%3ctext fill='%23fff' style='font: 900 16px sans-serif' text-anchor='end' transform='matrix(0 -1 1 0 18 5)'%3eMy Bedroom%3c/text%3e%3c/svg%3e</v>
      </c>
      <c r="H1076" s="8" t="s">
        <v>29</v>
      </c>
      <c r="I1076" s="8">
        <f t="shared" ref="I1076:J1076" si="1077">len(B1076)</f>
        <v>10</v>
      </c>
      <c r="J1076" s="8">
        <f t="shared" si="1077"/>
        <v>62</v>
      </c>
      <c r="K1076" s="8" t="s">
        <v>4911</v>
      </c>
    </row>
    <row r="1077">
      <c r="A1077" s="7" t="b">
        <v>1</v>
      </c>
      <c r="B1077" s="8" t="s">
        <v>4912</v>
      </c>
      <c r="C1077" s="8" t="s">
        <v>4913</v>
      </c>
      <c r="D1077" s="8" t="str">
        <f>Q&amp;$K1077&amp;Q&amp;":{"&amp;Q&amp;$B$2&amp;Q&amp;":"&amp;Q&amp;$B1077&amp;Q&amp;","&amp;Q&amp;$C$2&amp;Q&amp;":"&amp;Q&amp;$C1077&amp;Q&amp;","&amp;Q&amp;"sets"&amp;Q&amp;":"&amp;Q&amp;substitute(SUBSTITUTE($H1077,"[",""),"]","")&amp;Q&amp;"},"</f>
        <v>"vqbq":{"label":"My Best Friend","extra":"A person you can trust, no matter what.","sets":"Junior 9+ (2nd)"},</v>
      </c>
      <c r="E1077" s="9" t="str">
        <f t="shared" si="2"/>
        <v>data:image/svg+xml,%3csvg xmlns='http://www.w3.org/2000/svg' viewBox='0 0 24 216'%3e%3ctext fill='%23fff' style='font: 900 16px sans-serif' text-anchor='end' transform='matrix(0 -1 1 0 18 5)'%3eMy Best Friend%3c/text%3e%3c/svg%3e</v>
      </c>
      <c r="F1077" s="14" t="str">
        <f t="shared" si="3"/>
        <v>https://svgtext.heliohost.us/cgi-bin/gen.perl?text=My%20Best%20Friend</v>
      </c>
      <c r="G1077" s="11" t="str">
        <f t="shared" si="4"/>
        <v>data:image/svg+xml,%3csvg xmlns='http://www.w3.org/2000/svg' viewBox='0 0 24 216'%3e%3ctext fill='%23fff' style='font: 900 16px sans-serif' text-anchor='end' transform='matrix(0 -1 1 0 18 5)'%3eMy Best Friend%3c/text%3e%3c/svg%3e</v>
      </c>
      <c r="H1077" s="8" t="s">
        <v>32</v>
      </c>
      <c r="I1077" s="8">
        <f t="shared" ref="I1077:J1077" si="1078">len(B1077)</f>
        <v>14</v>
      </c>
      <c r="J1077" s="8">
        <f t="shared" si="1078"/>
        <v>39</v>
      </c>
      <c r="K1077" s="8" t="s">
        <v>4914</v>
      </c>
    </row>
    <row r="1078">
      <c r="A1078" s="7" t="b">
        <v>0</v>
      </c>
      <c r="B1078" s="8" t="s">
        <v>4915</v>
      </c>
      <c r="C1078" s="7" t="s">
        <v>4916</v>
      </c>
      <c r="D1078" s="8" t="str">
        <f>Q&amp;$K1078&amp;Q&amp;":{"&amp;Q&amp;$B$2&amp;Q&amp;":"&amp;Q&amp;$B1078&amp;Q&amp;","&amp;Q&amp;$C$2&amp;Q&amp;":"&amp;Q&amp;$C1078&amp;Q&amp;","&amp;Q&amp;"sets"&amp;Q&amp;":"&amp;Q&amp;substitute(SUBSTITUTE($H1078,"[",""),"]","")&amp;Q&amp;"},"</f>
        <v>"ijoo":{"label":"My Body","extra":"Mine is a temple. Specifically, the Temple of Doom…","sets":"Basic Set, Party Set"},</v>
      </c>
      <c r="E1078" s="9" t="str">
        <f t="shared" si="2"/>
        <v>data:image/svg+xml,%3csvg xmlns='http://www.w3.org/2000/svg' viewBox='0 0 24 216'%3e%3ctext fill='%23fff' style='font: 900 16px sans-serif' text-anchor='end' transform='matrix(0 -1 1 0 18 5)'%3eMy Body%3c/text%3e%3c/svg%3e</v>
      </c>
      <c r="F1078" s="14" t="str">
        <f t="shared" si="3"/>
        <v>https://svgtext.heliohost.us/cgi-bin/gen.perl?text=My%20Body</v>
      </c>
      <c r="G1078" s="11" t="str">
        <f t="shared" si="4"/>
        <v>data:image/svg+xml,%3csvg xmlns='http://www.w3.org/2000/svg' viewBox='0 0 24 216'%3e%3ctext fill='%23fff' style='font: 900 16px sans-serif' text-anchor='end' transform='matrix(0 -1 1 0 18 5)'%3eMy Body%3c/text%3e%3c/svg%3e</v>
      </c>
      <c r="H1078" s="8" t="s">
        <v>29</v>
      </c>
      <c r="I1078" s="8">
        <f t="shared" ref="I1078:J1078" si="1079">len(B1078)</f>
        <v>7</v>
      </c>
      <c r="J1078" s="8">
        <f t="shared" si="1079"/>
        <v>51</v>
      </c>
      <c r="K1078" s="8" t="s">
        <v>4917</v>
      </c>
    </row>
    <row r="1079">
      <c r="A1079" s="7" t="b">
        <v>0</v>
      </c>
      <c r="B1079" s="8" t="s">
        <v>4918</v>
      </c>
      <c r="C1079" s="7" t="s">
        <v>4919</v>
      </c>
      <c r="D1079" s="8" t="str">
        <f>Q&amp;$K1079&amp;Q&amp;":{"&amp;Q&amp;$B$2&amp;Q&amp;":"&amp;Q&amp;$B1079&amp;Q&amp;","&amp;Q&amp;$C$2&amp;Q&amp;":"&amp;Q&amp;$C1079&amp;Q&amp;","&amp;Q&amp;"sets"&amp;Q&amp;":"&amp;Q&amp;substitute(SUBSTITUTE($H1079,"[",""),"]","")&amp;Q&amp;"},"</f>
        <v>"oxkp":{"label":"My Boss","extra":"…is an idiot. You know it; we know it.","sets":"Basic Set, Party Set"},</v>
      </c>
      <c r="E1079" s="9" t="str">
        <f t="shared" si="2"/>
        <v>data:image/svg+xml,%3csvg xmlns='http://www.w3.org/2000/svg' viewBox='0 0 24 216'%3e%3ctext fill='%23fff' style='font: 900 16px sans-serif' text-anchor='end' transform='matrix(0 -1 1 0 18 5)'%3eMy Boss%3c/text%3e%3c/svg%3e</v>
      </c>
      <c r="F1079" s="14" t="str">
        <f t="shared" si="3"/>
        <v>https://svgtext.heliohost.us/cgi-bin/gen.perl?text=My%20Boss</v>
      </c>
      <c r="G1079" s="11" t="str">
        <f t="shared" si="4"/>
        <v>data:image/svg+xml,%3csvg xmlns='http://www.w3.org/2000/svg' viewBox='0 0 24 216'%3e%3ctext fill='%23fff' style='font: 900 16px sans-serif' text-anchor='end' transform='matrix(0 -1 1 0 18 5)'%3eMy Boss%3c/text%3e%3c/svg%3e</v>
      </c>
      <c r="H1079" s="8" t="s">
        <v>29</v>
      </c>
      <c r="I1079" s="8">
        <f t="shared" ref="I1079:J1079" si="1080">len(B1079)</f>
        <v>7</v>
      </c>
      <c r="J1079" s="8">
        <f t="shared" si="1080"/>
        <v>38</v>
      </c>
      <c r="K1079" s="8" t="s">
        <v>4920</v>
      </c>
    </row>
    <row r="1080">
      <c r="A1080" s="7" t="b">
        <v>0</v>
      </c>
      <c r="B1080" s="8" t="s">
        <v>4921</v>
      </c>
      <c r="C1080" s="8" t="s">
        <v>4922</v>
      </c>
      <c r="D1080" s="8" t="str">
        <f>Q&amp;$K1080&amp;Q&amp;":{"&amp;Q&amp;$B$2&amp;Q&amp;":"&amp;Q&amp;$B1080&amp;Q&amp;","&amp;Q&amp;$C$2&amp;Q&amp;":"&amp;Q&amp;$C1080&amp;Q&amp;","&amp;Q&amp;"sets"&amp;Q&amp;":"&amp;Q&amp;substitute(SUBSTITUTE($H1080,"[",""),"]","")&amp;Q&amp;"},"</f>
        <v>"gywt":{"label":"My Dad","extra":"Father, Daddy, Papa.","sets":"Junior"},</v>
      </c>
      <c r="E1080" s="9" t="str">
        <f t="shared" si="2"/>
        <v>data:image/svg+xml,%3csvg xmlns='http://www.w3.org/2000/svg' viewBox='0 0 24 216'%3e%3ctext fill='%23fff' style='font: 900 16px sans-serif' text-anchor='end' transform='matrix(0 -1 1 0 18 5)'%3eMy Dad%3c/text%3e%3c/svg%3e</v>
      </c>
      <c r="F1080" s="14" t="str">
        <f t="shared" si="3"/>
        <v>https://svgtext.heliohost.us/cgi-bin/gen.perl?text=My%20Dad</v>
      </c>
      <c r="G1080" s="11" t="str">
        <f t="shared" si="4"/>
        <v>data:image/svg+xml,%3csvg xmlns='http://www.w3.org/2000/svg' viewBox='0 0 24 216'%3e%3ctext fill='%23fff' style='font: 900 16px sans-serif' text-anchor='end' transform='matrix(0 -1 1 0 18 5)'%3eMy Dad%3c/text%3e%3c/svg%3e</v>
      </c>
      <c r="H1080" s="8" t="s">
        <v>84</v>
      </c>
      <c r="I1080" s="8">
        <f t="shared" ref="I1080:J1080" si="1081">len(B1080)</f>
        <v>6</v>
      </c>
      <c r="J1080" s="8">
        <f t="shared" si="1081"/>
        <v>20</v>
      </c>
      <c r="K1080" s="8" t="s">
        <v>4923</v>
      </c>
    </row>
    <row r="1081">
      <c r="A1081" s="7" t="b">
        <v>0</v>
      </c>
      <c r="B1081" s="8" t="s">
        <v>4924</v>
      </c>
      <c r="C1081" s="7" t="s">
        <v>4925</v>
      </c>
      <c r="D1081" s="8" t="str">
        <f>Q&amp;$K1081&amp;Q&amp;":{"&amp;Q&amp;$B$2&amp;Q&amp;":"&amp;Q&amp;$B1081&amp;Q&amp;","&amp;Q&amp;$C$2&amp;Q&amp;":"&amp;Q&amp;$C1081&amp;Q&amp;","&amp;Q&amp;"sets"&amp;Q&amp;":"&amp;Q&amp;substitute(SUBSTITUTE($H1081,"[",""),"]","")&amp;Q&amp;"},"</f>
        <v>"hmkp":{"label":"My Dreams","extra":"“What dreams may come…” —Shakespeare's Hamlet","sets":"Expansion Set 1, Party Set"},</v>
      </c>
      <c r="E1081" s="9" t="str">
        <f t="shared" si="2"/>
        <v>data:image/svg+xml,%3csvg xmlns='http://www.w3.org/2000/svg' viewBox='0 0 24 216'%3e%3ctext fill='%23fff' style='font: 900 16px sans-serif' text-anchor='end' transform='matrix(0 -1 1 0 18 5)'%3eMy Dreams%3c/text%3e%3c/svg%3e</v>
      </c>
      <c r="F1081" s="14" t="str">
        <f t="shared" si="3"/>
        <v>https://svgtext.heliohost.us/cgi-bin/gen.perl?text=My%20Dreams</v>
      </c>
      <c r="G1081" s="11" t="str">
        <f t="shared" si="4"/>
        <v>data:image/svg+xml,%3csvg xmlns='http://www.w3.org/2000/svg' viewBox='0 0 24 216'%3e%3ctext fill='%23fff' style='font: 900 16px sans-serif' text-anchor='end' transform='matrix(0 -1 1 0 18 5)'%3eMy Dreams%3c/text%3e%3c/svg%3e</v>
      </c>
      <c r="H1081" s="8" t="s">
        <v>25</v>
      </c>
      <c r="I1081" s="8">
        <f t="shared" ref="I1081:J1081" si="1082">len(B1081)</f>
        <v>9</v>
      </c>
      <c r="J1081" s="8">
        <f t="shared" si="1082"/>
        <v>45</v>
      </c>
      <c r="K1081" s="8" t="s">
        <v>4926</v>
      </c>
    </row>
    <row r="1082">
      <c r="A1082" s="7" t="b">
        <v>0</v>
      </c>
      <c r="B1082" s="8" t="s">
        <v>4927</v>
      </c>
      <c r="C1082" s="7" t="s">
        <v>4928</v>
      </c>
      <c r="D1082" s="8" t="str">
        <f>Q&amp;$K1082&amp;Q&amp;":{"&amp;Q&amp;$B$2&amp;Q&amp;":"&amp;Q&amp;$B1082&amp;Q&amp;","&amp;Q&amp;$C$2&amp;Q&amp;":"&amp;Q&amp;$C1082&amp;Q&amp;","&amp;Q&amp;"sets"&amp;Q&amp;":"&amp;Q&amp;substitute(SUBSTITUTE($H1082,"[",""),"]","")&amp;Q&amp;"},"</f>
        <v>"ledm":{"label":"My Family","extra":"They’ll drive you nuts. As long as you do the same to them, it’s all even.","sets":"Basic Set, Party Set"},</v>
      </c>
      <c r="E1082" s="9" t="str">
        <f t="shared" si="2"/>
        <v>data:image/svg+xml,%3csvg xmlns='http://www.w3.org/2000/svg' viewBox='0 0 24 216'%3e%3ctext fill='%23fff' style='font: 900 16px sans-serif' text-anchor='end' transform='matrix(0 -1 1 0 18 5)'%3eMy Family%3c/text%3e%3c/svg%3e</v>
      </c>
      <c r="F1082" s="14" t="str">
        <f t="shared" si="3"/>
        <v>https://svgtext.heliohost.us/cgi-bin/gen.perl?text=My%20Family</v>
      </c>
      <c r="G1082" s="11" t="str">
        <f t="shared" si="4"/>
        <v>data:image/svg+xml,%3csvg xmlns='http://www.w3.org/2000/svg' viewBox='0 0 24 216'%3e%3ctext fill='%23fff' style='font: 900 16px sans-serif' text-anchor='end' transform='matrix(0 -1 1 0 18 5)'%3eMy Family%3c/text%3e%3c/svg%3e</v>
      </c>
      <c r="H1082" s="8" t="s">
        <v>29</v>
      </c>
      <c r="I1082" s="8">
        <f t="shared" ref="I1082:J1082" si="1083">len(B1082)</f>
        <v>9</v>
      </c>
      <c r="J1082" s="8">
        <f t="shared" si="1083"/>
        <v>74</v>
      </c>
      <c r="K1082" s="8" t="s">
        <v>4929</v>
      </c>
    </row>
    <row r="1083">
      <c r="A1083" s="7" t="b">
        <v>1</v>
      </c>
      <c r="B1083" s="8" t="s">
        <v>4927</v>
      </c>
      <c r="C1083" s="8" t="s">
        <v>4930</v>
      </c>
      <c r="D1083" s="8" t="str">
        <f>Q&amp;$K1083&amp;Q&amp;":{"&amp;Q&amp;$B$2&amp;Q&amp;":"&amp;Q&amp;$B1083&amp;Q&amp;","&amp;Q&amp;$C$2&amp;Q&amp;":"&amp;Q&amp;$C1083&amp;Q&amp;","&amp;Q&amp;"sets"&amp;Q&amp;":"&amp;Q&amp;substitute(SUBSTITUTE($H1083,"[",""),"]","")&amp;Q&amp;"},"</f>
        <v>"oyzw":{"label":"My Family","extra":"Everyone's family is different.","sets":"Junior 9+ (1st) &amp; (2nd)"},</v>
      </c>
      <c r="E1083" s="9" t="str">
        <f t="shared" si="2"/>
        <v>data:image/svg+xml,%3csvg xmlns='http://www.w3.org/2000/svg' viewBox='0 0 24 216'%3e%3ctext fill='%23fff' style='font: 900 16px sans-serif' text-anchor='end' transform='matrix(0 -1 1 0 18 5)'%3eMy Family%3c/text%3e%3c/svg%3e</v>
      </c>
      <c r="F1083" s="14" t="str">
        <f t="shared" si="3"/>
        <v>https://svgtext.heliohost.us/cgi-bin/gen.perl?text=My%20Family</v>
      </c>
      <c r="G1083" s="11" t="str">
        <f t="shared" si="4"/>
        <v>data:image/svg+xml,%3csvg xmlns='http://www.w3.org/2000/svg' viewBox='0 0 24 216'%3e%3ctext fill='%23fff' style='font: 900 16px sans-serif' text-anchor='end' transform='matrix(0 -1 1 0 18 5)'%3eMy Family%3c/text%3e%3c/svg%3e</v>
      </c>
      <c r="H1083" s="8" t="s">
        <v>42</v>
      </c>
      <c r="I1083" s="8">
        <f t="shared" ref="I1083:J1083" si="1084">len(B1083)</f>
        <v>9</v>
      </c>
      <c r="J1083" s="8">
        <f t="shared" si="1084"/>
        <v>31</v>
      </c>
      <c r="K1083" s="8" t="s">
        <v>4931</v>
      </c>
    </row>
    <row r="1084">
      <c r="A1084" s="7" t="b">
        <v>1</v>
      </c>
      <c r="B1084" s="8" t="s">
        <v>4932</v>
      </c>
      <c r="C1084" s="7" t="s">
        <v>4933</v>
      </c>
      <c r="D1084" s="8" t="str">
        <f>Q&amp;$K1084&amp;Q&amp;":{"&amp;Q&amp;$B$2&amp;Q&amp;":"&amp;Q&amp;$B1084&amp;Q&amp;","&amp;Q&amp;$C$2&amp;Q&amp;":"&amp;Q&amp;$C1084&amp;Q&amp;","&amp;Q&amp;"sets"&amp;Q&amp;":"&amp;Q&amp;substitute(SUBSTITUTE($H1084,"[",""),"]","")&amp;Q&amp;"},"</f>
        <v>"wxyq":{"label":"My Father","extra":"“Go ask your mother.”","sets":"Expansion Set 3, Party Expansion 1"},</v>
      </c>
      <c r="E1084" s="9" t="str">
        <f t="shared" si="2"/>
        <v>data:image/svg+xml,%3csvg xmlns='http://www.w3.org/2000/svg' viewBox='0 0 24 216'%3e%3ctext fill='%23fff' style='font: 900 16px sans-serif' text-anchor='end' transform='matrix(0 -1 1 0 18 5)'%3eMy Father%3c/text%3e%3c/svg%3e</v>
      </c>
      <c r="F1084" s="14" t="str">
        <f t="shared" si="3"/>
        <v>https://svgtext.heliohost.us/cgi-bin/gen.perl?text=My%20Father</v>
      </c>
      <c r="G1084" s="11" t="str">
        <f t="shared" si="4"/>
        <v>data:image/svg+xml,%3csvg xmlns='http://www.w3.org/2000/svg' viewBox='0 0 24 216'%3e%3ctext fill='%23fff' style='font: 900 16px sans-serif' text-anchor='end' transform='matrix(0 -1 1 0 18 5)'%3eMy Father%3c/text%3e%3c/svg%3e</v>
      </c>
      <c r="H1084" s="8" t="s">
        <v>39</v>
      </c>
      <c r="I1084" s="8">
        <f t="shared" ref="I1084:J1084" si="1085">len(B1084)</f>
        <v>9</v>
      </c>
      <c r="J1084" s="8">
        <f t="shared" si="1085"/>
        <v>21</v>
      </c>
      <c r="K1084" s="8" t="s">
        <v>4934</v>
      </c>
    </row>
    <row r="1085">
      <c r="A1085" s="7" t="b">
        <v>0</v>
      </c>
      <c r="B1085" s="8" t="s">
        <v>4935</v>
      </c>
      <c r="C1085" s="7" t="s">
        <v>4936</v>
      </c>
      <c r="D1085" s="8" t="str">
        <f>Q&amp;$K1085&amp;Q&amp;":{"&amp;Q&amp;$B$2&amp;Q&amp;":"&amp;Q&amp;$B1085&amp;Q&amp;","&amp;Q&amp;$C$2&amp;Q&amp;":"&amp;Q&amp;$C1085&amp;Q&amp;","&amp;Q&amp;"sets"&amp;Q&amp;":"&amp;Q&amp;substitute(SUBSTITUTE($H1085,"[",""),"]","")&amp;Q&amp;"},"</f>
        <v>"fvmy":{"label":"My First Kiss","extra":"Sparks were flying. Of course, that could have been the braces…","sets":"Basic Set, Party Set"},</v>
      </c>
      <c r="E1085" s="9" t="str">
        <f t="shared" si="2"/>
        <v>data:image/svg+xml,%3csvg xmlns='http://www.w3.org/2000/svg' viewBox='0 0 24 216'%3e%3ctext fill='%23fff' style='font: 900 16px sans-serif' text-anchor='end' transform='matrix(0 -1 1 0 18 5)'%3eMy First Kiss%3c/text%3e%3c/svg%3e</v>
      </c>
      <c r="F1085" s="14" t="str">
        <f t="shared" si="3"/>
        <v>https://svgtext.heliohost.us/cgi-bin/gen.perl?text=My%20First%20Kiss</v>
      </c>
      <c r="G1085" s="11" t="str">
        <f t="shared" si="4"/>
        <v>data:image/svg+xml,%3csvg xmlns='http://www.w3.org/2000/svg' viewBox='0 0 24 216'%3e%3ctext fill='%23fff' style='font: 900 16px sans-serif' text-anchor='end' transform='matrix(0 -1 1 0 18 5)'%3eMy First Kiss%3c/text%3e%3c/svg%3e</v>
      </c>
      <c r="H1085" s="8" t="s">
        <v>29</v>
      </c>
      <c r="I1085" s="8">
        <f t="shared" ref="I1085:J1085" si="1086">len(B1085)</f>
        <v>13</v>
      </c>
      <c r="J1085" s="8">
        <f t="shared" si="1086"/>
        <v>63</v>
      </c>
      <c r="K1085" s="8" t="s">
        <v>4937</v>
      </c>
    </row>
    <row r="1086">
      <c r="A1086" s="7" t="b">
        <v>0</v>
      </c>
      <c r="B1086" s="8" t="s">
        <v>4938</v>
      </c>
      <c r="C1086" s="7" t="s">
        <v>4939</v>
      </c>
      <c r="D1086" s="8" t="str">
        <f>Q&amp;$K1086&amp;Q&amp;":{"&amp;Q&amp;$B$2&amp;Q&amp;":"&amp;Q&amp;$B1086&amp;Q&amp;","&amp;Q&amp;$C$2&amp;Q&amp;":"&amp;Q&amp;$C1086&amp;Q&amp;","&amp;Q&amp;"sets"&amp;Q&amp;":"&amp;Q&amp;substitute(SUBSTITUTE($H1086,"[",""),"]","")&amp;Q&amp;"},"</f>
        <v>"lboc":{"label":"My Friends","extra":"With friends like these, who needs enemies?","sets":"Expansion Set 2, Party Set"},</v>
      </c>
      <c r="E1086" s="9" t="str">
        <f t="shared" si="2"/>
        <v>data:image/svg+xml,%3csvg xmlns='http://www.w3.org/2000/svg' viewBox='0 0 24 216'%3e%3ctext fill='%23fff' style='font: 900 16px sans-serif' text-anchor='end' transform='matrix(0 -1 1 0 18 5)'%3eMy Friends%3c/text%3e%3c/svg%3e</v>
      </c>
      <c r="F1086" s="14" t="str">
        <f t="shared" si="3"/>
        <v>https://svgtext.heliohost.us/cgi-bin/gen.perl?text=My%20Friends</v>
      </c>
      <c r="G1086" s="11" t="str">
        <f t="shared" si="4"/>
        <v>data:image/svg+xml,%3csvg xmlns='http://www.w3.org/2000/svg' viewBox='0 0 24 216'%3e%3ctext fill='%23fff' style='font: 900 16px sans-serif' text-anchor='end' transform='matrix(0 -1 1 0 18 5)'%3eMy Friends%3c/text%3e%3c/svg%3e</v>
      </c>
      <c r="H1086" s="8" t="s">
        <v>17</v>
      </c>
      <c r="I1086" s="8">
        <f t="shared" ref="I1086:J1086" si="1087">len(B1086)</f>
        <v>10</v>
      </c>
      <c r="J1086" s="8">
        <f t="shared" si="1087"/>
        <v>43</v>
      </c>
      <c r="K1086" s="8" t="s">
        <v>4940</v>
      </c>
    </row>
    <row r="1087">
      <c r="A1087" s="7" t="b">
        <v>0</v>
      </c>
      <c r="B1087" s="8" t="s">
        <v>4938</v>
      </c>
      <c r="C1087" s="8" t="s">
        <v>4941</v>
      </c>
      <c r="D1087" s="8" t="str">
        <f>Q&amp;$K1087&amp;Q&amp;":{"&amp;Q&amp;$B$2&amp;Q&amp;":"&amp;Q&amp;$B1087&amp;Q&amp;","&amp;Q&amp;$C$2&amp;Q&amp;":"&amp;Q&amp;$C1087&amp;Q&amp;","&amp;Q&amp;"sets"&amp;Q&amp;":"&amp;Q&amp;substitute(SUBSTITUTE($H1087,"[",""),"]","")&amp;Q&amp;"},"</f>
        <v>"hspm":{"label":"My Friends","extra":"To have good friends, you have to be one.","sets":"Junior 9+ (1st) &amp; (2nd)"},</v>
      </c>
      <c r="E1087" s="9" t="str">
        <f t="shared" si="2"/>
        <v>data:image/svg+xml,%3csvg xmlns='http://www.w3.org/2000/svg' viewBox='0 0 24 216'%3e%3ctext fill='%23fff' style='font: 900 16px sans-serif' text-anchor='end' transform='matrix(0 -1 1 0 18 5)'%3eMy Friends%3c/text%3e%3c/svg%3e</v>
      </c>
      <c r="F1087" s="14" t="str">
        <f t="shared" si="3"/>
        <v>https://svgtext.heliohost.us/cgi-bin/gen.perl?text=My%20Friends</v>
      </c>
      <c r="G1087" s="11" t="str">
        <f t="shared" si="4"/>
        <v>data:image/svg+xml,%3csvg xmlns='http://www.w3.org/2000/svg' viewBox='0 0 24 216'%3e%3ctext fill='%23fff' style='font: 900 16px sans-serif' text-anchor='end' transform='matrix(0 -1 1 0 18 5)'%3eMy Friends%3c/text%3e%3c/svg%3e</v>
      </c>
      <c r="H1087" s="8" t="s">
        <v>42</v>
      </c>
      <c r="I1087" s="8">
        <f t="shared" ref="I1087:J1087" si="1088">len(B1087)</f>
        <v>10</v>
      </c>
      <c r="J1087" s="8">
        <f t="shared" si="1088"/>
        <v>41</v>
      </c>
      <c r="K1087" s="8" t="s">
        <v>4942</v>
      </c>
    </row>
    <row r="1088">
      <c r="A1088" s="7" t="b">
        <v>0</v>
      </c>
      <c r="B1088" s="8" t="s">
        <v>4943</v>
      </c>
      <c r="C1088" s="7" t="s">
        <v>4944</v>
      </c>
      <c r="D1088" s="8" t="str">
        <f>Q&amp;$K1088&amp;Q&amp;":{"&amp;Q&amp;$B$2&amp;Q&amp;":"&amp;Q&amp;$B1088&amp;Q&amp;","&amp;Q&amp;$C$2&amp;Q&amp;":"&amp;Q&amp;$C1088&amp;Q&amp;","&amp;Q&amp;"sets"&amp;Q&amp;":"&amp;Q&amp;substitute(SUBSTITUTE($H1088,"[",""),"]","")&amp;Q&amp;"},"</f>
        <v>"szkv":{"label":"My Future","extra":"“The future's so bright, I gotta wear shades…” —Timbuk-3","sets":"Basic Set, Party Set"},</v>
      </c>
      <c r="E1088" s="9" t="str">
        <f t="shared" si="2"/>
        <v>data:image/svg+xml,%3csvg xmlns='http://www.w3.org/2000/svg' viewBox='0 0 24 216'%3e%3ctext fill='%23fff' style='font: 900 16px sans-serif' text-anchor='end' transform='matrix(0 -1 1 0 18 5)'%3eMy Future%3c/text%3e%3c/svg%3e</v>
      </c>
      <c r="F1088" s="14" t="str">
        <f t="shared" si="3"/>
        <v>https://svgtext.heliohost.us/cgi-bin/gen.perl?text=My%20Future</v>
      </c>
      <c r="G1088" s="11" t="str">
        <f t="shared" si="4"/>
        <v>data:image/svg+xml,%3csvg xmlns='http://www.w3.org/2000/svg' viewBox='0 0 24 216'%3e%3ctext fill='%23fff' style='font: 900 16px sans-serif' text-anchor='end' transform='matrix(0 -1 1 0 18 5)'%3eMy Future%3c/text%3e%3c/svg%3e</v>
      </c>
      <c r="H1088" s="8" t="s">
        <v>29</v>
      </c>
      <c r="I1088" s="8">
        <f t="shared" ref="I1088:J1088" si="1089">len(B1088)</f>
        <v>9</v>
      </c>
      <c r="J1088" s="8">
        <f t="shared" si="1089"/>
        <v>56</v>
      </c>
      <c r="K1088" s="8" t="s">
        <v>4945</v>
      </c>
    </row>
    <row r="1089">
      <c r="A1089" s="7" t="b">
        <v>1</v>
      </c>
      <c r="B1089" s="8" t="s">
        <v>4946</v>
      </c>
      <c r="C1089" s="7" t="s">
        <v>4947</v>
      </c>
      <c r="D1089" s="8" t="str">
        <f>Q&amp;$K1089&amp;Q&amp;":{"&amp;Q&amp;$B$2&amp;Q&amp;":"&amp;Q&amp;$B1089&amp;Q&amp;","&amp;Q&amp;$C$2&amp;Q&amp;":"&amp;Q&amp;$C1089&amp;Q&amp;","&amp;Q&amp;"sets"&amp;Q&amp;":"&amp;Q&amp;substitute(SUBSTITUTE($H1089,"[",""),"]","")&amp;Q&amp;"},"</f>
        <v>"rzby":{"label":"My Grandma","extra":"My mom or dad’s mother.","sets":"Junior"},</v>
      </c>
      <c r="E1089" s="9" t="str">
        <f t="shared" si="2"/>
        <v>data:image/svg+xml,%3csvg xmlns='http://www.w3.org/2000/svg' viewBox='0 0 24 216'%3e%3ctext fill='%23fff' style='font: 900 16px sans-serif' text-anchor='end' transform='matrix(0 -1 1 0 18 5)'%3eMy Grandma%3c/text%3e%3c/svg%3e</v>
      </c>
      <c r="F1089" s="14" t="str">
        <f t="shared" si="3"/>
        <v>https://svgtext.heliohost.us/cgi-bin/gen.perl?text=My%20Grandma</v>
      </c>
      <c r="G1089" s="11" t="str">
        <f t="shared" si="4"/>
        <v>data:image/svg+xml,%3csvg xmlns='http://www.w3.org/2000/svg' viewBox='0 0 24 216'%3e%3ctext fill='%23fff' style='font: 900 16px sans-serif' text-anchor='end' transform='matrix(0 -1 1 0 18 5)'%3eMy Grandma%3c/text%3e%3c/svg%3e</v>
      </c>
      <c r="H1089" s="8" t="s">
        <v>84</v>
      </c>
      <c r="I1089" s="8">
        <f t="shared" ref="I1089:J1089" si="1090">len(B1089)</f>
        <v>10</v>
      </c>
      <c r="J1089" s="8">
        <f t="shared" si="1090"/>
        <v>23</v>
      </c>
      <c r="K1089" s="8" t="s">
        <v>4948</v>
      </c>
    </row>
    <row r="1090">
      <c r="A1090" s="7" t="b">
        <v>1</v>
      </c>
      <c r="B1090" s="8" t="s">
        <v>4949</v>
      </c>
      <c r="C1090" s="7" t="s">
        <v>4950</v>
      </c>
      <c r="D1090" s="8" t="str">
        <f>Q&amp;$K1090&amp;Q&amp;":{"&amp;Q&amp;$B$2&amp;Q&amp;":"&amp;Q&amp;$B1090&amp;Q&amp;","&amp;Q&amp;$C$2&amp;Q&amp;":"&amp;Q&amp;$C1090&amp;Q&amp;","&amp;Q&amp;"sets"&amp;Q&amp;":"&amp;Q&amp;substitute(SUBSTITUTE($H1090,"[",""),"]","")&amp;Q&amp;"},"</f>
        <v>"wzni":{"label":"My Grandpa","extra":"My mom or dad’s father.","sets":"Junior"},</v>
      </c>
      <c r="E1090" s="9" t="str">
        <f t="shared" si="2"/>
        <v>data:image/svg+xml,%3csvg xmlns='http://www.w3.org/2000/svg' viewBox='0 0 24 216'%3e%3ctext fill='%23fff' style='font: 900 16px sans-serif' text-anchor='end' transform='matrix(0 -1 1 0 18 5)'%3eMy Grandpa%3c/text%3e%3c/svg%3e</v>
      </c>
      <c r="F1090" s="14" t="str">
        <f t="shared" si="3"/>
        <v>https://svgtext.heliohost.us/cgi-bin/gen.perl?text=My%20Grandpa</v>
      </c>
      <c r="G1090" s="11" t="str">
        <f t="shared" si="4"/>
        <v>data:image/svg+xml,%3csvg xmlns='http://www.w3.org/2000/svg' viewBox='0 0 24 216'%3e%3ctext fill='%23fff' style='font: 900 16px sans-serif' text-anchor='end' transform='matrix(0 -1 1 0 18 5)'%3eMy Grandpa%3c/text%3e%3c/svg%3e</v>
      </c>
      <c r="H1090" s="8" t="s">
        <v>84</v>
      </c>
      <c r="I1090" s="8">
        <f t="shared" ref="I1090:J1090" si="1091">len(B1090)</f>
        <v>10</v>
      </c>
      <c r="J1090" s="8">
        <f t="shared" si="1091"/>
        <v>23</v>
      </c>
      <c r="K1090" s="8" t="s">
        <v>4951</v>
      </c>
    </row>
    <row r="1091">
      <c r="A1091" s="7" t="b">
        <v>1</v>
      </c>
      <c r="B1091" s="8" t="s">
        <v>4952</v>
      </c>
      <c r="C1091" s="8" t="s">
        <v>4953</v>
      </c>
      <c r="D1091" s="8" t="str">
        <f>Q&amp;$K1091&amp;Q&amp;":{"&amp;Q&amp;$B$2&amp;Q&amp;":"&amp;Q&amp;$B1091&amp;Q&amp;","&amp;Q&amp;$C$2&amp;Q&amp;":"&amp;Q&amp;$C1091&amp;Q&amp;","&amp;Q&amp;"sets"&amp;Q&amp;":"&amp;Q&amp;substitute(SUBSTITUTE($H1091,"[",""),"]","")&amp;Q&amp;"},"</f>
        <v>"koru":{"label":"My Hair","extra":"You can curl it, cut it, and color it!","sets":"Junior"},</v>
      </c>
      <c r="E1091" s="9" t="str">
        <f t="shared" si="2"/>
        <v>data:image/svg+xml,%3csvg xmlns='http://www.w3.org/2000/svg' viewBox='0 0 24 216'%3e%3ctext fill='%23fff' style='font: 900 16px sans-serif' text-anchor='end' transform='matrix(0 -1 1 0 18 5)'%3eMy Hair%3c/text%3e%3c/svg%3e</v>
      </c>
      <c r="F1091" s="14" t="str">
        <f t="shared" si="3"/>
        <v>https://svgtext.heliohost.us/cgi-bin/gen.perl?text=My%20Hair</v>
      </c>
      <c r="G1091" s="11" t="str">
        <f t="shared" si="4"/>
        <v>data:image/svg+xml,%3csvg xmlns='http://www.w3.org/2000/svg' viewBox='0 0 24 216'%3e%3ctext fill='%23fff' style='font: 900 16px sans-serif' text-anchor='end' transform='matrix(0 -1 1 0 18 5)'%3eMy Hair%3c/text%3e%3c/svg%3e</v>
      </c>
      <c r="H1091" s="8" t="s">
        <v>84</v>
      </c>
      <c r="I1091" s="8">
        <f t="shared" ref="I1091:J1091" si="1092">len(B1091)</f>
        <v>7</v>
      </c>
      <c r="J1091" s="8">
        <f t="shared" si="1092"/>
        <v>38</v>
      </c>
      <c r="K1091" s="8" t="s">
        <v>4954</v>
      </c>
    </row>
    <row r="1092">
      <c r="A1092" s="7" t="b">
        <v>0</v>
      </c>
      <c r="B1092" s="8" t="s">
        <v>4952</v>
      </c>
      <c r="C1092" s="7" t="s">
        <v>4955</v>
      </c>
      <c r="D1092" s="8" t="str">
        <f>Q&amp;$K1092&amp;Q&amp;":{"&amp;Q&amp;$B$2&amp;Q&amp;":"&amp;Q&amp;$B1092&amp;Q&amp;","&amp;Q&amp;$C$2&amp;Q&amp;":"&amp;Q&amp;$C1092&amp;Q&amp;","&amp;Q&amp;"sets"&amp;Q&amp;":"&amp;Q&amp;substitute(SUBSTITUTE($H1092,"[",""),"]","")&amp;Q&amp;"},"</f>
        <v>"mqyw":{"label":"My Hair","extra":"Hair today, gone tomorrow…","sets":"Basic Set, Party Set"},</v>
      </c>
      <c r="E1092" s="9" t="str">
        <f t="shared" si="2"/>
        <v>data:image/svg+xml,%3csvg xmlns='http://www.w3.org/2000/svg' viewBox='0 0 24 216'%3e%3ctext fill='%23fff' style='font: 900 16px sans-serif' text-anchor='end' transform='matrix(0 -1 1 0 18 5)'%3eMy Hair%3c/text%3e%3c/svg%3e</v>
      </c>
      <c r="F1092" s="14" t="str">
        <f t="shared" si="3"/>
        <v>https://svgtext.heliohost.us/cgi-bin/gen.perl?text=My%20Hair</v>
      </c>
      <c r="G1092" s="11" t="str">
        <f t="shared" si="4"/>
        <v>data:image/svg+xml,%3csvg xmlns='http://www.w3.org/2000/svg' viewBox='0 0 24 216'%3e%3ctext fill='%23fff' style='font: 900 16px sans-serif' text-anchor='end' transform='matrix(0 -1 1 0 18 5)'%3eMy Hair%3c/text%3e%3c/svg%3e</v>
      </c>
      <c r="H1092" s="8" t="s">
        <v>29</v>
      </c>
      <c r="I1092" s="8">
        <f t="shared" ref="I1092:J1092" si="1093">len(B1092)</f>
        <v>7</v>
      </c>
      <c r="J1092" s="8">
        <f t="shared" si="1093"/>
        <v>26</v>
      </c>
      <c r="K1092" s="8" t="s">
        <v>4956</v>
      </c>
    </row>
    <row r="1093">
      <c r="A1093" s="7" t="b">
        <v>0</v>
      </c>
      <c r="B1093" s="8" t="s">
        <v>4957</v>
      </c>
      <c r="C1093" s="7" t="s">
        <v>4958</v>
      </c>
      <c r="D1093" s="8" t="str">
        <f>Q&amp;$K1093&amp;Q&amp;":{"&amp;Q&amp;$B$2&amp;Q&amp;":"&amp;Q&amp;$B1093&amp;Q&amp;","&amp;Q&amp;$C$2&amp;Q&amp;":"&amp;Q&amp;$C1093&amp;Q&amp;","&amp;Q&amp;"sets"&amp;Q&amp;":"&amp;Q&amp;substitute(SUBSTITUTE($H1093,"[",""),"]","")&amp;Q&amp;"},"</f>
        <v>"kfnq":{"label":"My High School Prom","extra":"As if adolescence isn't awkward and painful enough…","sets":"Basic Set, Party Set"},</v>
      </c>
      <c r="E1093" s="9" t="str">
        <f t="shared" si="2"/>
        <v>data:image/svg+xml,%3csvg xmlns='http://www.w3.org/2000/svg' viewBox='0 0 24 216'%3e%3ctext fill='%23fff' style='font: 900 16px sans-serif' text-anchor='end' transform='matrix(0 -1 1 0 18 5)'%3eMy High School Prom%3c/text%3e%3c/svg%3e</v>
      </c>
      <c r="F1093" s="14" t="str">
        <f t="shared" si="3"/>
        <v>https://svgtext.heliohost.us/cgi-bin/gen.perl?text=My%20High%20School%20Prom</v>
      </c>
      <c r="G1093" s="11" t="str">
        <f t="shared" si="4"/>
        <v>data:image/svg+xml,%3csvg xmlns='http://www.w3.org/2000/svg' viewBox='0 0 24 216'%3e%3ctext fill='%23fff' style='font: 900 16px sans-serif' text-anchor='end' transform='matrix(0 -1 1 0 18 5)'%3eMy High School Prom%3c/text%3e%3c/svg%3e</v>
      </c>
      <c r="H1093" s="8" t="s">
        <v>29</v>
      </c>
      <c r="I1093" s="8">
        <f t="shared" ref="I1093:J1093" si="1094">len(B1093)</f>
        <v>19</v>
      </c>
      <c r="J1093" s="8">
        <f t="shared" si="1094"/>
        <v>51</v>
      </c>
      <c r="K1093" s="8" t="s">
        <v>4959</v>
      </c>
    </row>
    <row r="1094">
      <c r="A1094" s="7" t="b">
        <v>1</v>
      </c>
      <c r="B1094" s="8" t="s">
        <v>4960</v>
      </c>
      <c r="C1094" s="7" t="s">
        <v>4961</v>
      </c>
      <c r="D1094" s="8" t="str">
        <f>Q&amp;$K1094&amp;Q&amp;":{"&amp;Q&amp;$B$2&amp;Q&amp;":"&amp;Q&amp;$B1094&amp;Q&amp;","&amp;Q&amp;$C$2&amp;Q&amp;":"&amp;Q&amp;$C1094&amp;Q&amp;","&amp;Q&amp;"sets"&amp;Q&amp;":"&amp;Q&amp;substitute(SUBSTITUTE($H1094,"[",""),"]","")&amp;Q&amp;"},"</f>
        <v>"jdqp":{"label":"My Home","extra":"There’s no place like home!","sets":"Junior"},</v>
      </c>
      <c r="E1094" s="9" t="str">
        <f t="shared" si="2"/>
        <v>data:image/svg+xml,%3csvg xmlns='http://www.w3.org/2000/svg' viewBox='0 0 24 216'%3e%3ctext fill='%23fff' style='font: 900 16px sans-serif' text-anchor='end' transform='matrix(0 -1 1 0 18 5)'%3eMy Home%3c/text%3e%3c/svg%3e</v>
      </c>
      <c r="F1094" s="14" t="str">
        <f t="shared" si="3"/>
        <v>https://svgtext.heliohost.us/cgi-bin/gen.perl?text=My%20Home</v>
      </c>
      <c r="G1094" s="11" t="str">
        <f t="shared" si="4"/>
        <v>data:image/svg+xml,%3csvg xmlns='http://www.w3.org/2000/svg' viewBox='0 0 24 216'%3e%3ctext fill='%23fff' style='font: 900 16px sans-serif' text-anchor='end' transform='matrix(0 -1 1 0 18 5)'%3eMy Home%3c/text%3e%3c/svg%3e</v>
      </c>
      <c r="H1094" s="8" t="s">
        <v>84</v>
      </c>
      <c r="I1094" s="8">
        <f t="shared" ref="I1094:J1094" si="1095">len(B1094)</f>
        <v>7</v>
      </c>
      <c r="J1094" s="8">
        <f t="shared" si="1095"/>
        <v>27</v>
      </c>
      <c r="K1094" s="8" t="s">
        <v>4962</v>
      </c>
    </row>
    <row r="1095">
      <c r="A1095" s="7" t="b">
        <v>0</v>
      </c>
      <c r="B1095" s="8" t="s">
        <v>4963</v>
      </c>
      <c r="C1095" s="8" t="s">
        <v>4964</v>
      </c>
      <c r="D1095" s="8" t="str">
        <f>Q&amp;$K1095&amp;Q&amp;":{"&amp;Q&amp;$B$2&amp;Q&amp;":"&amp;Q&amp;$B1095&amp;Q&amp;","&amp;Q&amp;$C$2&amp;Q&amp;":"&amp;Q&amp;$C1095&amp;Q&amp;","&amp;Q&amp;"sets"&amp;Q&amp;":"&amp;Q&amp;substitute(SUBSTITUTE($H1095,"[",""),"]","")&amp;Q&amp;"},"</f>
        <v>"nduv":{"label":"My Job","extra":"Love it or leave it.","sets":"Basic Set, Party Set"},</v>
      </c>
      <c r="E1095" s="9" t="str">
        <f t="shared" si="2"/>
        <v>data:image/svg+xml,%3csvg xmlns='http://www.w3.org/2000/svg' viewBox='0 0 24 216'%3e%3ctext fill='%23fff' style='font: 900 16px sans-serif' text-anchor='end' transform='matrix(0 -1 1 0 18 5)'%3eMy Job%3c/text%3e%3c/svg%3e</v>
      </c>
      <c r="F1095" s="14" t="str">
        <f t="shared" si="3"/>
        <v>https://svgtext.heliohost.us/cgi-bin/gen.perl?text=My%20Job</v>
      </c>
      <c r="G1095" s="11" t="str">
        <f t="shared" si="4"/>
        <v>data:image/svg+xml,%3csvg xmlns='http://www.w3.org/2000/svg' viewBox='0 0 24 216'%3e%3ctext fill='%23fff' style='font: 900 16px sans-serif' text-anchor='end' transform='matrix(0 -1 1 0 18 5)'%3eMy Job%3c/text%3e%3c/svg%3e</v>
      </c>
      <c r="H1095" s="8" t="s">
        <v>29</v>
      </c>
      <c r="I1095" s="8">
        <f t="shared" ref="I1095:J1095" si="1096">len(B1095)</f>
        <v>6</v>
      </c>
      <c r="J1095" s="8">
        <f t="shared" si="1096"/>
        <v>20</v>
      </c>
      <c r="K1095" s="8" t="s">
        <v>4965</v>
      </c>
    </row>
    <row r="1096">
      <c r="A1096" s="7" t="b">
        <v>1</v>
      </c>
      <c r="B1096" s="8" t="s">
        <v>4966</v>
      </c>
      <c r="C1096" s="7" t="s">
        <v>4967</v>
      </c>
      <c r="D1096" s="8" t="str">
        <f>Q&amp;$K1096&amp;Q&amp;":{"&amp;Q&amp;$B$2&amp;Q&amp;":"&amp;Q&amp;$B1096&amp;Q&amp;","&amp;Q&amp;$C$2&amp;Q&amp;":"&amp;Q&amp;$C1096&amp;Q&amp;","&amp;Q&amp;"sets"&amp;Q&amp;":"&amp;Q&amp;substitute(SUBSTITUTE($H1096,"[",""),"]","")&amp;Q&amp;"},"</f>
        <v>"vsdh":{"label":"My Life","extra":"“There are places I'll remember / All my life / though some have changed…” —The Beatles","sets":"Expansion Set 3, Party Expansion 1"},</v>
      </c>
      <c r="E1096" s="9" t="str">
        <f t="shared" si="2"/>
        <v>data:image/svg+xml,%3csvg xmlns='http://www.w3.org/2000/svg' viewBox='0 0 24 216'%3e%3ctext fill='%23fff' style='font: 900 16px sans-serif' text-anchor='end' transform='matrix(0 -1 1 0 18 5)'%3eMy Life%3c/text%3e%3c/svg%3e</v>
      </c>
      <c r="F1096" s="14" t="str">
        <f t="shared" si="3"/>
        <v>https://svgtext.heliohost.us/cgi-bin/gen.perl?text=My%20Life</v>
      </c>
      <c r="G1096" s="11" t="str">
        <f t="shared" si="4"/>
        <v>data:image/svg+xml,%3csvg xmlns='http://www.w3.org/2000/svg' viewBox='0 0 24 216'%3e%3ctext fill='%23fff' style='font: 900 16px sans-serif' text-anchor='end' transform='matrix(0 -1 1 0 18 5)'%3eMy Life%3c/text%3e%3c/svg%3e</v>
      </c>
      <c r="H1096" s="8" t="s">
        <v>39</v>
      </c>
      <c r="I1096" s="8">
        <f t="shared" ref="I1096:J1096" si="1097">len(B1096)</f>
        <v>7</v>
      </c>
      <c r="J1096" s="8">
        <f t="shared" si="1097"/>
        <v>87</v>
      </c>
      <c r="K1096" s="8" t="s">
        <v>4968</v>
      </c>
    </row>
    <row r="1097">
      <c r="A1097" s="7" t="b">
        <v>0</v>
      </c>
      <c r="B1097" s="8" t="s">
        <v>4969</v>
      </c>
      <c r="C1097" s="7" t="s">
        <v>4970</v>
      </c>
      <c r="D1097" s="8" t="str">
        <f>Q&amp;$K1097&amp;Q&amp;":{"&amp;Q&amp;$B$2&amp;Q&amp;":"&amp;Q&amp;$B1097&amp;Q&amp;","&amp;Q&amp;$C$2&amp;Q&amp;":"&amp;Q&amp;$C1097&amp;Q&amp;","&amp;Q&amp;"sets"&amp;Q&amp;":"&amp;Q&amp;substitute(SUBSTITUTE($H1097,"[",""),"]","")&amp;Q&amp;"},"</f>
        <v>"zdgf":{"label":"My Love Life","extra":"“All you need is love…” —The Beatles","sets":"Basic Set, Party Set"},</v>
      </c>
      <c r="E1097" s="9" t="str">
        <f t="shared" si="2"/>
        <v>data:image/svg+xml,%3csvg xmlns='http://www.w3.org/2000/svg' viewBox='0 0 24 216'%3e%3ctext fill='%23fff' style='font: 900 16px sans-serif' text-anchor='end' transform='matrix(0 -1 1 0 18 5)'%3eMy Love Life%3c/text%3e%3c/svg%3e</v>
      </c>
      <c r="F1097" s="14" t="str">
        <f t="shared" si="3"/>
        <v>https://svgtext.heliohost.us/cgi-bin/gen.perl?text=My%20Love%20Life</v>
      </c>
      <c r="G1097" s="11" t="str">
        <f t="shared" si="4"/>
        <v>data:image/svg+xml,%3csvg xmlns='http://www.w3.org/2000/svg' viewBox='0 0 24 216'%3e%3ctext fill='%23fff' style='font: 900 16px sans-serif' text-anchor='end' transform='matrix(0 -1 1 0 18 5)'%3eMy Love Life%3c/text%3e%3c/svg%3e</v>
      </c>
      <c r="H1097" s="8" t="s">
        <v>29</v>
      </c>
      <c r="I1097" s="8">
        <f t="shared" ref="I1097:J1097" si="1098">len(B1097)</f>
        <v>12</v>
      </c>
      <c r="J1097" s="8">
        <f t="shared" si="1098"/>
        <v>36</v>
      </c>
      <c r="K1097" s="8" t="s">
        <v>4971</v>
      </c>
    </row>
    <row r="1098">
      <c r="A1098" s="7" t="b">
        <v>1</v>
      </c>
      <c r="B1098" s="8" t="s">
        <v>4972</v>
      </c>
      <c r="C1098" s="7" t="s">
        <v>4973</v>
      </c>
      <c r="D1098" s="8" t="str">
        <f>Q&amp;$K1098&amp;Q&amp;":{"&amp;Q&amp;$B$2&amp;Q&amp;":"&amp;Q&amp;$B1098&amp;Q&amp;","&amp;Q&amp;$C$2&amp;Q&amp;":"&amp;Q&amp;$C1098&amp;Q&amp;","&amp;Q&amp;"sets"&amp;Q&amp;":"&amp;Q&amp;substitute(SUBSTITUTE($H1098,"[",""),"]","")&amp;Q&amp;"},"</f>
        <v>"ovep":{"label":"My Memories","extra":"Thanks for the memories…","sets":"Expansion Set 3, Party Expansion 1"},</v>
      </c>
      <c r="E1098" s="9" t="str">
        <f t="shared" si="2"/>
        <v>data:image/svg+xml,%3csvg xmlns='http://www.w3.org/2000/svg' viewBox='0 0 24 216'%3e%3ctext fill='%23fff' style='font: 900 16px sans-serif' text-anchor='end' transform='matrix(0 -1 1 0 18 5)'%3eMy Memories%3c/text%3e%3c/svg%3e</v>
      </c>
      <c r="F1098" s="14" t="str">
        <f t="shared" si="3"/>
        <v>https://svgtext.heliohost.us/cgi-bin/gen.perl?text=My%20Memories</v>
      </c>
      <c r="G1098" s="11" t="str">
        <f t="shared" si="4"/>
        <v>data:image/svg+xml,%3csvg xmlns='http://www.w3.org/2000/svg' viewBox='0 0 24 216'%3e%3ctext fill='%23fff' style='font: 900 16px sans-serif' text-anchor='end' transform='matrix(0 -1 1 0 18 5)'%3eMy Memories%3c/text%3e%3c/svg%3e</v>
      </c>
      <c r="H1098" s="8" t="s">
        <v>39</v>
      </c>
      <c r="I1098" s="8">
        <f t="shared" ref="I1098:J1098" si="1099">len(B1098)</f>
        <v>11</v>
      </c>
      <c r="J1098" s="8">
        <f t="shared" si="1099"/>
        <v>24</v>
      </c>
      <c r="K1098" s="8" t="s">
        <v>4974</v>
      </c>
    </row>
    <row r="1099">
      <c r="A1099" s="7" t="b">
        <v>0</v>
      </c>
      <c r="B1099" s="8" t="s">
        <v>4975</v>
      </c>
      <c r="C1099" s="7" t="s">
        <v>4976</v>
      </c>
      <c r="D1099" s="8" t="str">
        <f>Q&amp;$K1099&amp;Q&amp;":{"&amp;Q&amp;$B$2&amp;Q&amp;":"&amp;Q&amp;$B1099&amp;Q&amp;","&amp;Q&amp;$C$2&amp;Q&amp;":"&amp;Q&amp;$C1099&amp;Q&amp;","&amp;Q&amp;"sets"&amp;Q&amp;":"&amp;Q&amp;substitute(SUBSTITUTE($H1099,"[",""),"]","")&amp;Q&amp;"},"</f>
        <v>"cter":{"label":"My Mind","extra":"It’s a terrible thing to waste.","sets":"Basic Set, Party Set"},</v>
      </c>
      <c r="E1099" s="9" t="str">
        <f t="shared" si="2"/>
        <v>data:image/svg+xml,%3csvg xmlns='http://www.w3.org/2000/svg' viewBox='0 0 24 216'%3e%3ctext fill='%23fff' style='font: 900 16px sans-serif' text-anchor='end' transform='matrix(0 -1 1 0 18 5)'%3eMy Mind%3c/text%3e%3c/svg%3e</v>
      </c>
      <c r="F1099" s="14" t="str">
        <f t="shared" si="3"/>
        <v>https://svgtext.heliohost.us/cgi-bin/gen.perl?text=My%20Mind</v>
      </c>
      <c r="G1099" s="11" t="str">
        <f t="shared" si="4"/>
        <v>data:image/svg+xml,%3csvg xmlns='http://www.w3.org/2000/svg' viewBox='0 0 24 216'%3e%3ctext fill='%23fff' style='font: 900 16px sans-serif' text-anchor='end' transform='matrix(0 -1 1 0 18 5)'%3eMy Mind%3c/text%3e%3c/svg%3e</v>
      </c>
      <c r="H1099" s="8" t="s">
        <v>29</v>
      </c>
      <c r="I1099" s="8">
        <f t="shared" ref="I1099:J1099" si="1100">len(B1099)</f>
        <v>7</v>
      </c>
      <c r="J1099" s="8">
        <f t="shared" si="1100"/>
        <v>31</v>
      </c>
      <c r="K1099" s="8" t="s">
        <v>4977</v>
      </c>
    </row>
    <row r="1100">
      <c r="A1100" s="7" t="b">
        <v>0</v>
      </c>
      <c r="B1100" s="8" t="s">
        <v>4978</v>
      </c>
      <c r="C1100" s="8" t="s">
        <v>4979</v>
      </c>
      <c r="D1100" s="8" t="str">
        <f>Q&amp;$K1100&amp;Q&amp;":{"&amp;Q&amp;$B$2&amp;Q&amp;":"&amp;Q&amp;$B1100&amp;Q&amp;","&amp;Q&amp;$C$2&amp;Q&amp;":"&amp;Q&amp;$C1100&amp;Q&amp;","&amp;Q&amp;"sets"&amp;Q&amp;":"&amp;Q&amp;substitute(SUBSTITUTE($H1100,"[",""),"]","")&amp;Q&amp;"},"</f>
        <v>"zwys":{"label":"My Mom","extra":"Mother, Mommy, Mama.","sets":"Junior"},</v>
      </c>
      <c r="E1100" s="9" t="str">
        <f t="shared" si="2"/>
        <v>data:image/svg+xml,%3csvg xmlns='http://www.w3.org/2000/svg' viewBox='0 0 24 216'%3e%3ctext fill='%23fff' style='font: 900 16px sans-serif' text-anchor='end' transform='matrix(0 -1 1 0 18 5)'%3eMy Mom%3c/text%3e%3c/svg%3e</v>
      </c>
      <c r="F1100" s="14" t="str">
        <f t="shared" si="3"/>
        <v>https://svgtext.heliohost.us/cgi-bin/gen.perl?text=My%20Mom</v>
      </c>
      <c r="G1100" s="11" t="str">
        <f t="shared" si="4"/>
        <v>data:image/svg+xml,%3csvg xmlns='http://www.w3.org/2000/svg' viewBox='0 0 24 216'%3e%3ctext fill='%23fff' style='font: 900 16px sans-serif' text-anchor='end' transform='matrix(0 -1 1 0 18 5)'%3eMy Mom%3c/text%3e%3c/svg%3e</v>
      </c>
      <c r="H1100" s="8" t="s">
        <v>84</v>
      </c>
      <c r="I1100" s="8">
        <f t="shared" ref="I1100:J1100" si="1101">len(B1100)</f>
        <v>6</v>
      </c>
      <c r="J1100" s="8">
        <f t="shared" si="1101"/>
        <v>20</v>
      </c>
      <c r="K1100" s="8" t="s">
        <v>4980</v>
      </c>
    </row>
    <row r="1101">
      <c r="A1101" s="7" t="b">
        <v>1</v>
      </c>
      <c r="B1101" s="8" t="s">
        <v>4981</v>
      </c>
      <c r="C1101" s="7" t="s">
        <v>4982</v>
      </c>
      <c r="D1101" s="8" t="str">
        <f>Q&amp;$K1101&amp;Q&amp;":{"&amp;Q&amp;$B$2&amp;Q&amp;":"&amp;Q&amp;$B1101&amp;Q&amp;","&amp;Q&amp;$C$2&amp;Q&amp;":"&amp;Q&amp;$C1101&amp;Q&amp;","&amp;Q&amp;"sets"&amp;Q&amp;":"&amp;Q&amp;substitute(SUBSTITUTE($H1101,"[",""),"]","")&amp;Q&amp;"},"</f>
        <v>"rkjk":{"label":"My Mother","extra":"”Go ask your father.”","sets":"Expansion Set 3, Party Expansion 1"},</v>
      </c>
      <c r="E1101" s="9" t="str">
        <f t="shared" si="2"/>
        <v>data:image/svg+xml,%3csvg xmlns='http://www.w3.org/2000/svg' viewBox='0 0 24 216'%3e%3ctext fill='%23fff' style='font: 900 16px sans-serif' text-anchor='end' transform='matrix(0 -1 1 0 18 5)'%3eMy Mother%3c/text%3e%3c/svg%3e</v>
      </c>
      <c r="F1101" s="14" t="str">
        <f t="shared" si="3"/>
        <v>https://svgtext.heliohost.us/cgi-bin/gen.perl?text=My%20Mother</v>
      </c>
      <c r="G1101" s="11" t="str">
        <f t="shared" si="4"/>
        <v>data:image/svg+xml,%3csvg xmlns='http://www.w3.org/2000/svg' viewBox='0 0 24 216'%3e%3ctext fill='%23fff' style='font: 900 16px sans-serif' text-anchor='end' transform='matrix(0 -1 1 0 18 5)'%3eMy Mother%3c/text%3e%3c/svg%3e</v>
      </c>
      <c r="H1101" s="8" t="s">
        <v>39</v>
      </c>
      <c r="I1101" s="8">
        <f t="shared" ref="I1101:J1101" si="1102">len(B1101)</f>
        <v>9</v>
      </c>
      <c r="J1101" s="8">
        <f t="shared" si="1102"/>
        <v>21</v>
      </c>
      <c r="K1101" s="8" t="s">
        <v>4983</v>
      </c>
    </row>
    <row r="1102">
      <c r="A1102" s="7" t="b">
        <v>0</v>
      </c>
      <c r="B1102" s="8" t="s">
        <v>4984</v>
      </c>
      <c r="C1102" s="7" t="s">
        <v>4985</v>
      </c>
      <c r="D1102" s="8" t="str">
        <f>Q&amp;$K1102&amp;Q&amp;":{"&amp;Q&amp;$B$2&amp;Q&amp;":"&amp;Q&amp;$B1102&amp;Q&amp;","&amp;Q&amp;$C$2&amp;Q&amp;":"&amp;Q&amp;$C1102&amp;Q&amp;","&amp;Q&amp;"sets"&amp;Q&amp;":"&amp;Q&amp;substitute(SUBSTITUTE($H1102,"[",""),"]","")&amp;Q&amp;"},"</f>
        <v>"tvtg":{"label":"My Neighborhood","extra":"“Please, won't you be my neighbor?” —Fred Rogers","sets":"Expansion Set 1, Party Set"},</v>
      </c>
      <c r="E1102" s="9" t="str">
        <f t="shared" si="2"/>
        <v>data:image/svg+xml,%3csvg xmlns='http://www.w3.org/2000/svg' viewBox='0 0 24 216'%3e%3ctext fill='%23fff' style='font: 900 16px sans-serif' text-anchor='end' transform='matrix(0 -1 1 0 18 5)'%3eMy Neighborhood%3c/text%3e%3c/svg%3e</v>
      </c>
      <c r="F1102" s="14" t="str">
        <f t="shared" si="3"/>
        <v>https://svgtext.heliohost.us/cgi-bin/gen.perl?text=My%20Neighborhood</v>
      </c>
      <c r="G1102" s="11" t="str">
        <f t="shared" si="4"/>
        <v>data:image/svg+xml,%3csvg xmlns='http://www.w3.org/2000/svg' viewBox='0 0 24 216'%3e%3ctext fill='%23fff' style='font: 900 16px sans-serif' text-anchor='end' transform='matrix(0 -1 1 0 18 5)'%3eMy Neighborhood%3c/text%3e%3c/svg%3e</v>
      </c>
      <c r="H1102" s="8" t="s">
        <v>25</v>
      </c>
      <c r="I1102" s="8">
        <f t="shared" ref="I1102:J1102" si="1103">len(B1102)</f>
        <v>15</v>
      </c>
      <c r="J1102" s="8">
        <f t="shared" si="1103"/>
        <v>48</v>
      </c>
      <c r="K1102" s="8" t="s">
        <v>4986</v>
      </c>
    </row>
    <row r="1103">
      <c r="A1103" s="7" t="b">
        <v>0</v>
      </c>
      <c r="B1103" s="8" t="s">
        <v>4987</v>
      </c>
      <c r="C1103" s="7" t="s">
        <v>4988</v>
      </c>
      <c r="D1103" s="8" t="str">
        <f>Q&amp;$K1103&amp;Q&amp;":{"&amp;Q&amp;$B$2&amp;Q&amp;":"&amp;Q&amp;$B1103&amp;Q&amp;","&amp;Q&amp;$C$2&amp;Q&amp;":"&amp;Q&amp;$C1103&amp;Q&amp;","&amp;Q&amp;"sets"&amp;Q&amp;":"&amp;Q&amp;substitute(SUBSTITUTE($H1103,"[",""),"]","")&amp;Q&amp;"},"</f>
        <v>"whew":{"label":"My Past","extra":"What’s past is past… unless you’re a politician…","sets":"Basic Set, Party Set"},</v>
      </c>
      <c r="E1103" s="9" t="str">
        <f t="shared" si="2"/>
        <v>data:image/svg+xml,%3csvg xmlns='http://www.w3.org/2000/svg' viewBox='0 0 24 216'%3e%3ctext fill='%23fff' style='font: 900 16px sans-serif' text-anchor='end' transform='matrix(0 -1 1 0 18 5)'%3eMy Past%3c/text%3e%3c/svg%3e</v>
      </c>
      <c r="F1103" s="14" t="str">
        <f t="shared" si="3"/>
        <v>https://svgtext.heliohost.us/cgi-bin/gen.perl?text=My%20Past</v>
      </c>
      <c r="G1103" s="11" t="str">
        <f t="shared" si="4"/>
        <v>data:image/svg+xml,%3csvg xmlns='http://www.w3.org/2000/svg' viewBox='0 0 24 216'%3e%3ctext fill='%23fff' style='font: 900 16px sans-serif' text-anchor='end' transform='matrix(0 -1 1 0 18 5)'%3eMy Past%3c/text%3e%3c/svg%3e</v>
      </c>
      <c r="H1103" s="8" t="s">
        <v>29</v>
      </c>
      <c r="I1103" s="8">
        <f t="shared" ref="I1103:J1103" si="1104">len(B1103)</f>
        <v>7</v>
      </c>
      <c r="J1103" s="8">
        <f t="shared" si="1104"/>
        <v>48</v>
      </c>
      <c r="K1103" s="8" t="s">
        <v>4989</v>
      </c>
    </row>
    <row r="1104">
      <c r="A1104" s="7" t="b">
        <v>0</v>
      </c>
      <c r="B1104" s="8" t="s">
        <v>4990</v>
      </c>
      <c r="C1104" s="7" t="s">
        <v>4991</v>
      </c>
      <c r="D1104" s="8" t="str">
        <f>Q&amp;$K1104&amp;Q&amp;":{"&amp;Q&amp;$B$2&amp;Q&amp;":"&amp;Q&amp;$B1104&amp;Q&amp;","&amp;Q&amp;$C$2&amp;Q&amp;":"&amp;Q&amp;$C1104&amp;Q&amp;","&amp;Q&amp;"sets"&amp;Q&amp;":"&amp;Q&amp;substitute(SUBSTITUTE($H1104,"[",""),"]","")&amp;Q&amp;"},"</f>
        <v>"icgi":{"label":"My Personality","extra":"“I’m good enough, smart enough and, gosh darn it, people like me.” —Stewart Smalley played by Al Franken","sets":"Expansion Set 1, Party Set"},</v>
      </c>
      <c r="E1104" s="9" t="str">
        <f t="shared" si="2"/>
        <v>data:image/svg+xml,%3csvg xmlns='http://www.w3.org/2000/svg' viewBox='0 0 24 216'%3e%3ctext fill='%23fff' style='font: 900 16px sans-serif' text-anchor='end' transform='matrix(0 -1 1 0 18 5)'%3eMy Personality%3c/text%3e%3c/svg%3e</v>
      </c>
      <c r="F1104" s="14" t="str">
        <f t="shared" si="3"/>
        <v>https://svgtext.heliohost.us/cgi-bin/gen.perl?text=My%20Personality</v>
      </c>
      <c r="G1104" s="11" t="str">
        <f t="shared" si="4"/>
        <v>data:image/svg+xml,%3csvg xmlns='http://www.w3.org/2000/svg' viewBox='0 0 24 216'%3e%3ctext fill='%23fff' style='font: 900 16px sans-serif' text-anchor='end' transform='matrix(0 -1 1 0 18 5)'%3eMy Personality%3c/text%3e%3c/svg%3e</v>
      </c>
      <c r="H1104" s="8" t="s">
        <v>25</v>
      </c>
      <c r="I1104" s="8">
        <f t="shared" ref="I1104:J1104" si="1105">len(B1104)</f>
        <v>14</v>
      </c>
      <c r="J1104" s="8">
        <f t="shared" si="1105"/>
        <v>104</v>
      </c>
      <c r="K1104" s="8" t="s">
        <v>4992</v>
      </c>
    </row>
    <row r="1105">
      <c r="A1105" s="7" t="b">
        <v>0</v>
      </c>
      <c r="B1105" s="8" t="s">
        <v>4993</v>
      </c>
      <c r="C1105" s="7" t="s">
        <v>4994</v>
      </c>
      <c r="D1105" s="8" t="str">
        <f>Q&amp;$K1105&amp;Q&amp;":{"&amp;Q&amp;$B$2&amp;Q&amp;":"&amp;Q&amp;$B1105&amp;Q&amp;","&amp;Q&amp;$C$2&amp;Q&amp;":"&amp;Q&amp;$C1105&amp;Q&amp;","&amp;Q&amp;"sets"&amp;Q&amp;":"&amp;Q&amp;substitute(SUBSTITUTE($H1105,"[",""),"]","")&amp;Q&amp;"},"</f>
        <v>"fjfh":{"label":"My Refrigerator","extra":"It’s a science experiment!","sets":"Expansion Set 1, Party Set"},</v>
      </c>
      <c r="E1105" s="9" t="str">
        <f t="shared" si="2"/>
        <v>data:image/svg+xml,%3csvg xmlns='http://www.w3.org/2000/svg' viewBox='0 0 24 216'%3e%3ctext fill='%23fff' style='font: 900 16px sans-serif' text-anchor='end' transform='matrix(0 -1 1 0 18 5)'%3eMy Refrigerator%3c/text%3e%3c/svg%3e</v>
      </c>
      <c r="F1105" s="14" t="str">
        <f t="shared" si="3"/>
        <v>https://svgtext.heliohost.us/cgi-bin/gen.perl?text=My%20Refrigerator</v>
      </c>
      <c r="G1105" s="11" t="str">
        <f t="shared" si="4"/>
        <v>data:image/svg+xml,%3csvg xmlns='http://www.w3.org/2000/svg' viewBox='0 0 24 216'%3e%3ctext fill='%23fff' style='font: 900 16px sans-serif' text-anchor='end' transform='matrix(0 -1 1 0 18 5)'%3eMy Refrigerator%3c/text%3e%3c/svg%3e</v>
      </c>
      <c r="H1105" s="8" t="s">
        <v>25</v>
      </c>
      <c r="I1105" s="8">
        <f t="shared" ref="I1105:J1105" si="1106">len(B1105)</f>
        <v>15</v>
      </c>
      <c r="J1105" s="8">
        <f t="shared" si="1106"/>
        <v>26</v>
      </c>
      <c r="K1105" s="8" t="s">
        <v>4995</v>
      </c>
    </row>
    <row r="1106">
      <c r="A1106" s="7" t="b">
        <v>1</v>
      </c>
      <c r="B1106" s="8" t="s">
        <v>4996</v>
      </c>
      <c r="C1106" s="8" t="s">
        <v>4997</v>
      </c>
      <c r="D1106" s="8" t="str">
        <f>Q&amp;$K1106&amp;Q&amp;":{"&amp;Q&amp;$B$2&amp;Q&amp;":"&amp;Q&amp;$B1106&amp;Q&amp;","&amp;Q&amp;$C$2&amp;Q&amp;":"&amp;Q&amp;$C1106&amp;Q&amp;","&amp;Q&amp;"sets"&amp;Q&amp;":"&amp;Q&amp;substitute(SUBSTITUTE($H1106,"[",""),"]","")&amp;Q&amp;"},"</f>
        <v>"kplk":{"label":"My Room","extra":"Where I sleep and keep all my things. KEEP OUT!","sets":"Junior"},</v>
      </c>
      <c r="E1106" s="9" t="str">
        <f t="shared" si="2"/>
        <v>data:image/svg+xml,%3csvg xmlns='http://www.w3.org/2000/svg' viewBox='0 0 24 216'%3e%3ctext fill='%23fff' style='font: 900 16px sans-serif' text-anchor='end' transform='matrix(0 -1 1 0 18 5)'%3eMy Room%3c/text%3e%3c/svg%3e</v>
      </c>
      <c r="F1106" s="14" t="str">
        <f t="shared" si="3"/>
        <v>https://svgtext.heliohost.us/cgi-bin/gen.perl?text=My%20Room</v>
      </c>
      <c r="G1106" s="11" t="str">
        <f t="shared" si="4"/>
        <v>data:image/svg+xml,%3csvg xmlns='http://www.w3.org/2000/svg' viewBox='0 0 24 216'%3e%3ctext fill='%23fff' style='font: 900 16px sans-serif' text-anchor='end' transform='matrix(0 -1 1 0 18 5)'%3eMy Room%3c/text%3e%3c/svg%3e</v>
      </c>
      <c r="H1106" s="8" t="s">
        <v>84</v>
      </c>
      <c r="I1106" s="8">
        <f t="shared" ref="I1106:J1106" si="1107">len(B1106)</f>
        <v>7</v>
      </c>
      <c r="J1106" s="8">
        <f t="shared" si="1107"/>
        <v>47</v>
      </c>
      <c r="K1106" s="8" t="s">
        <v>4998</v>
      </c>
    </row>
    <row r="1107">
      <c r="A1107" s="7" t="b">
        <v>0</v>
      </c>
      <c r="B1107" s="8" t="s">
        <v>4999</v>
      </c>
      <c r="C1107" s="7" t="s">
        <v>5000</v>
      </c>
      <c r="D1107" s="8" t="str">
        <f>Q&amp;$K1107&amp;Q&amp;":{"&amp;Q&amp;$B$2&amp;Q&amp;":"&amp;Q&amp;$B1107&amp;Q&amp;","&amp;Q&amp;$C$2&amp;Q&amp;":"&amp;Q&amp;$C1107&amp;Q&amp;","&amp;Q&amp;"sets"&amp;Q&amp;":"&amp;Q&amp;substitute(SUBSTITUTE($H1107,"[",""),"]","")&amp;Q&amp;"},"</f>
        <v>"owrt":{"label":"My School","extra":"“Be true to your school.”","sets":"Junior 9+ (1st) &amp; (2nd)"},</v>
      </c>
      <c r="E1107" s="9" t="str">
        <f t="shared" si="2"/>
        <v>data:image/svg+xml,%3csvg xmlns='http://www.w3.org/2000/svg' viewBox='0 0 24 216'%3e%3ctext fill='%23fff' style='font: 900 16px sans-serif' text-anchor='end' transform='matrix(0 -1 1 0 18 5)'%3eMy School%3c/text%3e%3c/svg%3e</v>
      </c>
      <c r="F1107" s="14" t="str">
        <f t="shared" si="3"/>
        <v>https://svgtext.heliohost.us/cgi-bin/gen.perl?text=My%20School</v>
      </c>
      <c r="G1107" s="11" t="str">
        <f t="shared" si="4"/>
        <v>data:image/svg+xml,%3csvg xmlns='http://www.w3.org/2000/svg' viewBox='0 0 24 216'%3e%3ctext fill='%23fff' style='font: 900 16px sans-serif' text-anchor='end' transform='matrix(0 -1 1 0 18 5)'%3eMy School%3c/text%3e%3c/svg%3e</v>
      </c>
      <c r="H1107" s="8" t="s">
        <v>42</v>
      </c>
      <c r="I1107" s="8">
        <f t="shared" ref="I1107:J1107" si="1108">len(B1107)</f>
        <v>9</v>
      </c>
      <c r="J1107" s="8">
        <f t="shared" si="1108"/>
        <v>25</v>
      </c>
      <c r="K1107" s="8" t="s">
        <v>5001</v>
      </c>
    </row>
    <row r="1108">
      <c r="A1108" s="7" t="b">
        <v>1</v>
      </c>
      <c r="B1108" s="8" t="s">
        <v>5002</v>
      </c>
      <c r="C1108" s="8" t="s">
        <v>5003</v>
      </c>
      <c r="D1108" s="8" t="str">
        <f>Q&amp;$K1108&amp;Q&amp;":{"&amp;Q&amp;$B$2&amp;Q&amp;":"&amp;Q&amp;$B1108&amp;Q&amp;","&amp;Q&amp;$C$2&amp;Q&amp;":"&amp;Q&amp;$C1108&amp;Q&amp;","&amp;Q&amp;"sets"&amp;Q&amp;":"&amp;Q&amp;substitute(SUBSTITUTE($H1108,"[",""),"]","")&amp;Q&amp;"},"</f>
        <v>"moek":{"label":"My Shoes","extra":"Old shoes, new shoes, red shoes, blue shoes.","sets":"Junior"},</v>
      </c>
      <c r="E1108" s="9" t="str">
        <f t="shared" si="2"/>
        <v>data:image/svg+xml,%3csvg xmlns='http://www.w3.org/2000/svg' viewBox='0 0 24 216'%3e%3ctext fill='%23fff' style='font: 900 16px sans-serif' text-anchor='end' transform='matrix(0 -1 1 0 18 5)'%3eMy Shoes%3c/text%3e%3c/svg%3e</v>
      </c>
      <c r="F1108" s="14" t="str">
        <f t="shared" si="3"/>
        <v>https://svgtext.heliohost.us/cgi-bin/gen.perl?text=My%20Shoes</v>
      </c>
      <c r="G1108" s="11" t="str">
        <f t="shared" si="4"/>
        <v>data:image/svg+xml,%3csvg xmlns='http://www.w3.org/2000/svg' viewBox='0 0 24 216'%3e%3ctext fill='%23fff' style='font: 900 16px sans-serif' text-anchor='end' transform='matrix(0 -1 1 0 18 5)'%3eMy Shoes%3c/text%3e%3c/svg%3e</v>
      </c>
      <c r="H1108" s="8" t="s">
        <v>84</v>
      </c>
      <c r="I1108" s="8">
        <f t="shared" ref="I1108:J1108" si="1109">len(B1108)</f>
        <v>8</v>
      </c>
      <c r="J1108" s="8">
        <f t="shared" si="1109"/>
        <v>44</v>
      </c>
      <c r="K1108" s="8" t="s">
        <v>5004</v>
      </c>
    </row>
    <row r="1109">
      <c r="A1109" s="7" t="b">
        <v>1</v>
      </c>
      <c r="B1109" s="8" t="s">
        <v>5005</v>
      </c>
      <c r="C1109" s="7" t="s">
        <v>5006</v>
      </c>
      <c r="D1109" s="8" t="str">
        <f>Q&amp;$K1109&amp;Q&amp;":{"&amp;Q&amp;$B$2&amp;Q&amp;":"&amp;Q&amp;$B1109&amp;Q&amp;","&amp;Q&amp;$C$2&amp;Q&amp;":"&amp;Q&amp;$C1109&amp;Q&amp;","&amp;Q&amp;"sets"&amp;Q&amp;":"&amp;Q&amp;substitute(SUBSTITUTE($H1109,"[",""),"]","")&amp;Q&amp;"},"</f>
        <v>"{rbe":{"label":"My Stuffed Animals","extra":"The dog’s name is Lucky, the bear is Teddy, and the duck is Quacker.","sets":"Junior 9+ (2nd)"},</v>
      </c>
      <c r="E1109" s="9" t="str">
        <f t="shared" si="2"/>
        <v>data:image/svg+xml,%3csvg xmlns='http://www.w3.org/2000/svg' viewBox='0 0 24 216'%3e%3ctext fill='%23fff' style='font: 900 16px sans-serif' text-anchor='end' transform='matrix(0 -1 1 0 18 5)'%3eMy Stuffed Animals%3c/text%3e%3c/svg%3e</v>
      </c>
      <c r="F1109" s="14" t="str">
        <f t="shared" si="3"/>
        <v>https://svgtext.heliohost.us/cgi-bin/gen.perl?text=My%20Stuffed%20Animals</v>
      </c>
      <c r="G1109" s="11" t="str">
        <f t="shared" si="4"/>
        <v>data:image/svg+xml,%3csvg xmlns='http://www.w3.org/2000/svg' viewBox='0 0 24 216'%3e%3ctext fill='%23fff' style='font: 900 16px sans-serif' text-anchor='end' transform='matrix(0 -1 1 0 18 5)'%3eMy Stuffed Animals%3c/text%3e%3c/svg%3e</v>
      </c>
      <c r="H1109" s="8" t="s">
        <v>32</v>
      </c>
      <c r="I1109" s="8">
        <f t="shared" ref="I1109:J1109" si="1110">len(B1109)</f>
        <v>18</v>
      </c>
      <c r="J1109" s="8">
        <f t="shared" si="1110"/>
        <v>68</v>
      </c>
      <c r="K1109" s="8" t="s">
        <v>5007</v>
      </c>
    </row>
    <row r="1110">
      <c r="A1110" s="7" t="b">
        <v>0</v>
      </c>
      <c r="B1110" s="8" t="s">
        <v>5008</v>
      </c>
      <c r="C1110" s="8" t="s">
        <v>5009</v>
      </c>
      <c r="D1110" s="8" t="str">
        <f>Q&amp;$K1110&amp;Q&amp;":{"&amp;Q&amp;$B$2&amp;Q&amp;":"&amp;Q&amp;$B1110&amp;Q&amp;","&amp;Q&amp;$C$2&amp;Q&amp;":"&amp;Q&amp;$C1110&amp;Q&amp;","&amp;Q&amp;"sets"&amp;Q&amp;":"&amp;Q&amp;substitute(SUBSTITUTE($H1110,"[",""),"]","")&amp;Q&amp;"},"</f>
        <v>"ozvt":{"label":"My Teacher","extra":"If you can read this card, thank a teacher!","sets":"Junior"},</v>
      </c>
      <c r="E1110" s="9" t="str">
        <f t="shared" si="2"/>
        <v>data:image/svg+xml,%3csvg xmlns='http://www.w3.org/2000/svg' viewBox='0 0 24 216'%3e%3ctext fill='%23fff' style='font: 900 16px sans-serif' text-anchor='end' transform='matrix(0 -1 1 0 18 5)'%3eMy Teacher%3c/text%3e%3c/svg%3e</v>
      </c>
      <c r="F1110" s="14" t="str">
        <f t="shared" si="3"/>
        <v>https://svgtext.heliohost.us/cgi-bin/gen.perl?text=My%20Teacher</v>
      </c>
      <c r="G1110" s="11" t="str">
        <f t="shared" si="4"/>
        <v>data:image/svg+xml,%3csvg xmlns='http://www.w3.org/2000/svg' viewBox='0 0 24 216'%3e%3ctext fill='%23fff' style='font: 900 16px sans-serif' text-anchor='end' transform='matrix(0 -1 1 0 18 5)'%3eMy Teacher%3c/text%3e%3c/svg%3e</v>
      </c>
      <c r="H1110" s="8" t="s">
        <v>84</v>
      </c>
      <c r="I1110" s="8">
        <f t="shared" ref="I1110:J1110" si="1111">len(B1110)</f>
        <v>10</v>
      </c>
      <c r="J1110" s="8">
        <f t="shared" si="1111"/>
        <v>43</v>
      </c>
      <c r="K1110" s="8" t="s">
        <v>5010</v>
      </c>
    </row>
    <row r="1111">
      <c r="A1111" s="7" t="b">
        <v>1</v>
      </c>
      <c r="B1111" s="8" t="s">
        <v>5011</v>
      </c>
      <c r="C1111" s="7" t="s">
        <v>5012</v>
      </c>
      <c r="D1111" s="8" t="str">
        <f>Q&amp;$K1111&amp;Q&amp;":{"&amp;Q&amp;$B$2&amp;Q&amp;":"&amp;Q&amp;$B1111&amp;Q&amp;","&amp;Q&amp;$C$2&amp;Q&amp;":"&amp;Q&amp;$C1111&amp;Q&amp;","&amp;Q&amp;"sets"&amp;Q&amp;":"&amp;Q&amp;substitute(SUBSTITUTE($H1111,"[",""),"]","")&amp;Q&amp;"},"</f>
        <v>"ghti":{"label":"My Town","extra":"Large or small, it’s home.","sets":"Junior 9+ (2nd)"},</v>
      </c>
      <c r="E1111" s="9" t="str">
        <f t="shared" si="2"/>
        <v>data:image/svg+xml,%3csvg xmlns='http://www.w3.org/2000/svg' viewBox='0 0 24 216'%3e%3ctext fill='%23fff' style='font: 900 16px sans-serif' text-anchor='end' transform='matrix(0 -1 1 0 18 5)'%3eMy Town%3c/text%3e%3c/svg%3e</v>
      </c>
      <c r="F1111" s="14" t="str">
        <f t="shared" si="3"/>
        <v>https://svgtext.heliohost.us/cgi-bin/gen.perl?text=My%20Town</v>
      </c>
      <c r="G1111" s="11" t="str">
        <f t="shared" si="4"/>
        <v>data:image/svg+xml,%3csvg xmlns='http://www.w3.org/2000/svg' viewBox='0 0 24 216'%3e%3ctext fill='%23fff' style='font: 900 16px sans-serif' text-anchor='end' transform='matrix(0 -1 1 0 18 5)'%3eMy Town%3c/text%3e%3c/svg%3e</v>
      </c>
      <c r="H1111" s="8" t="s">
        <v>32</v>
      </c>
      <c r="I1111" s="8">
        <f t="shared" ref="I1111:J1111" si="1112">len(B1111)</f>
        <v>7</v>
      </c>
      <c r="J1111" s="8">
        <f t="shared" si="1112"/>
        <v>26</v>
      </c>
      <c r="K1111" s="8" t="s">
        <v>5013</v>
      </c>
    </row>
    <row r="1112">
      <c r="A1112" s="7" t="b">
        <v>1</v>
      </c>
      <c r="B1112" s="8" t="s">
        <v>5014</v>
      </c>
      <c r="C1112" s="8" t="s">
        <v>5015</v>
      </c>
      <c r="D1112" s="8" t="str">
        <f>Q&amp;$K1112&amp;Q&amp;":{"&amp;Q&amp;$B$2&amp;Q&amp;":"&amp;Q&amp;$B1112&amp;Q&amp;","&amp;Q&amp;$C$2&amp;Q&amp;":"&amp;Q&amp;$C1112&amp;Q&amp;","&amp;Q&amp;"sets"&amp;Q&amp;":"&amp;Q&amp;substitute(SUBSTITUTE($H1112,"[",""),"]","")&amp;Q&amp;"},"</f>
        <v>"tglc":{"label":"Nail Polish","extra":"Whatever color you want.","sets":"Junior 9+ (2nd)"},</v>
      </c>
      <c r="E1112" s="9" t="str">
        <f t="shared" si="2"/>
        <v>data:image/svg+xml,%3csvg xmlns='http://www.w3.org/2000/svg' viewBox='0 0 24 216'%3e%3ctext fill='%23fff' style='font: 900 16px sans-serif' text-anchor='end' transform='matrix(0 -1 1 0 18 5)'%3eNail Polish%3c/text%3e%3c/svg%3e</v>
      </c>
      <c r="F1112" s="14" t="str">
        <f t="shared" si="3"/>
        <v>https://svgtext.heliohost.us/cgi-bin/gen.perl?text=Nail%20Polish</v>
      </c>
      <c r="G1112" s="11" t="str">
        <f t="shared" si="4"/>
        <v>data:image/svg+xml,%3csvg xmlns='http://www.w3.org/2000/svg' viewBox='0 0 24 216'%3e%3ctext fill='%23fff' style='font: 900 16px sans-serif' text-anchor='end' transform='matrix(0 -1 1 0 18 5)'%3eNail Polish%3c/text%3e%3c/svg%3e</v>
      </c>
      <c r="H1112" s="8" t="s">
        <v>32</v>
      </c>
      <c r="I1112" s="8">
        <f t="shared" ref="I1112:J1112" si="1113">len(B1112)</f>
        <v>11</v>
      </c>
      <c r="J1112" s="8">
        <f t="shared" si="1113"/>
        <v>24</v>
      </c>
      <c r="K1112" s="8" t="s">
        <v>5016</v>
      </c>
    </row>
    <row r="1113">
      <c r="A1113" s="7" t="b">
        <v>0</v>
      </c>
      <c r="B1113" s="8" t="s">
        <v>5017</v>
      </c>
      <c r="C1113" s="7" t="s">
        <v>5018</v>
      </c>
      <c r="D1113" s="8" t="str">
        <f>Q&amp;$K1113&amp;Q&amp;":{"&amp;Q&amp;$B$2&amp;Q&amp;":"&amp;Q&amp;$B1113&amp;Q&amp;","&amp;Q&amp;$C$2&amp;Q&amp;":"&amp;Q&amp;$C1113&amp;Q&amp;","&amp;Q&amp;"sets"&amp;Q&amp;":"&amp;Q&amp;substitute(SUBSTITUTE($H1113,"[",""),"]","")&amp;Q&amp;"},"</f>
        <v>"lczi":{"label":"Napoleon Bonaparte","extra":"1769-1821, Emperor of France. Met his Waterloo at the Battle of Waterloo. The name should have tipped him off…","sets":"Basic Set, Party Set"},</v>
      </c>
      <c r="E1113" s="9" t="str">
        <f t="shared" si="2"/>
        <v>data:image/svg+xml,%3csvg xmlns='http://www.w3.org/2000/svg' viewBox='0 0 24 216'%3e%3ctext fill='%23fff' style='font: 900 16px sans-serif' text-anchor='end' transform='matrix(0 -1 1 0 18 5)'%3eNapoleon Bonaparte%3c/text%3e%3c/svg%3e</v>
      </c>
      <c r="F1113" s="14" t="str">
        <f t="shared" si="3"/>
        <v>https://svgtext.heliohost.us/cgi-bin/gen.perl?text=Napoleon%20Bonaparte</v>
      </c>
      <c r="G1113" s="11" t="str">
        <f t="shared" si="4"/>
        <v>data:image/svg+xml,%3csvg xmlns='http://www.w3.org/2000/svg' viewBox='0 0 24 216'%3e%3ctext fill='%23fff' style='font: 900 16px sans-serif' text-anchor='end' transform='matrix(0 -1 1 0 18 5)'%3eNapoleon Bonaparte%3c/text%3e%3c/svg%3e</v>
      </c>
      <c r="H1113" s="8" t="s">
        <v>29</v>
      </c>
      <c r="I1113" s="8">
        <f t="shared" ref="I1113:J1113" si="1114">len(B1113)</f>
        <v>18</v>
      </c>
      <c r="J1113" s="8">
        <f t="shared" si="1114"/>
        <v>110</v>
      </c>
      <c r="K1113" s="8" t="s">
        <v>5019</v>
      </c>
    </row>
    <row r="1114">
      <c r="A1114" s="7" t="b">
        <v>1</v>
      </c>
      <c r="B1114" s="8" t="s">
        <v>5020</v>
      </c>
      <c r="C1114" s="8" t="s">
        <v>5021</v>
      </c>
      <c r="D1114" s="8" t="str">
        <f>Q&amp;$K1114&amp;Q&amp;":{"&amp;Q&amp;$B$2&amp;Q&amp;":"&amp;Q&amp;$B1114&amp;Q&amp;","&amp;Q&amp;$C$2&amp;Q&amp;":"&amp;Q&amp;$C1114&amp;Q&amp;","&amp;Q&amp;"sets"&amp;Q&amp;":"&amp;Q&amp;substitute(SUBSTITUTE($H1114,"[",""),"]","")&amp;Q&amp;"},"</f>
        <v>"bojf":{"label":"NASA","extra":"National Aeronautics and Space Administration, established in 1958 in part in response to the U.S.S.R. launching Sputnik.","sets":"Expansion Set 3, Party Expansion 1"},</v>
      </c>
      <c r="E1114" s="9" t="str">
        <f t="shared" si="2"/>
        <v>data:image/svg+xml,%3csvg xmlns='http://www.w3.org/2000/svg' viewBox='0 0 24 216'%3e%3ctext fill='%23fff' style='font: 900 16px sans-serif' text-anchor='end' transform='matrix(0 -1 1 0 18 5)'%3eNASA%3c/text%3e%3c/svg%3e</v>
      </c>
      <c r="F1114" s="14" t="str">
        <f t="shared" si="3"/>
        <v>https://svgtext.heliohost.us/cgi-bin/gen.perl?text=NASA</v>
      </c>
      <c r="G1114" s="11" t="str">
        <f t="shared" si="4"/>
        <v>data:image/svg+xml,%3csvg xmlns='http://www.w3.org/2000/svg' viewBox='0 0 24 216'%3e%3ctext fill='%23fff' style='font: 900 16px sans-serif' text-anchor='end' transform='matrix(0 -1 1 0 18 5)'%3eNASA%3c/text%3e%3c/svg%3e</v>
      </c>
      <c r="H1114" s="8" t="s">
        <v>39</v>
      </c>
      <c r="I1114" s="8">
        <f t="shared" ref="I1114:J1114" si="1115">len(B1114)</f>
        <v>4</v>
      </c>
      <c r="J1114" s="8">
        <f t="shared" si="1115"/>
        <v>121</v>
      </c>
      <c r="K1114" s="8" t="s">
        <v>5022</v>
      </c>
    </row>
    <row r="1115">
      <c r="A1115" s="7" t="b">
        <v>0</v>
      </c>
      <c r="B1115" s="8" t="s">
        <v>5023</v>
      </c>
      <c r="C1115" s="8" t="s">
        <v>5024</v>
      </c>
      <c r="D1115" s="8" t="str">
        <f>Q&amp;$K1115&amp;Q&amp;":{"&amp;Q&amp;$B$2&amp;Q&amp;":"&amp;Q&amp;$B1115&amp;Q&amp;","&amp;Q&amp;$C$2&amp;Q&amp;":"&amp;Q&amp;$C1115&amp;Q&amp;","&amp;Q&amp;"sets"&amp;Q&amp;":"&amp;Q&amp;substitute(SUBSTITUTE($H1115,"[",""),"]","")&amp;Q&amp;"},"</f>
        <v>"invp":{"label":"NASCAR","extra":"Stock car racing began after World War II, breaking records for speed and for the number of advertisements on a single jacket.","sets":"Expansion Set 1, Party Set"},</v>
      </c>
      <c r="E1115" s="9" t="str">
        <f t="shared" si="2"/>
        <v>data:image/svg+xml,%3csvg xmlns='http://www.w3.org/2000/svg' viewBox='0 0 24 216'%3e%3ctext fill='%23fff' style='font: 900 16px sans-serif' text-anchor='end' transform='matrix(0 -1 1 0 18 5)'%3eNASCAR%3c/text%3e%3c/svg%3e</v>
      </c>
      <c r="F1115" s="14" t="str">
        <f t="shared" si="3"/>
        <v>https://svgtext.heliohost.us/cgi-bin/gen.perl?text=NASCAR</v>
      </c>
      <c r="G1115" s="11" t="str">
        <f t="shared" si="4"/>
        <v>data:image/svg+xml,%3csvg xmlns='http://www.w3.org/2000/svg' viewBox='0 0 24 216'%3e%3ctext fill='%23fff' style='font: 900 16px sans-serif' text-anchor='end' transform='matrix(0 -1 1 0 18 5)'%3eNASCAR%3c/text%3e%3c/svg%3e</v>
      </c>
      <c r="H1115" s="8" t="s">
        <v>25</v>
      </c>
      <c r="I1115" s="8">
        <f t="shared" ref="I1115:J1115" si="1116">len(B1115)</f>
        <v>6</v>
      </c>
      <c r="J1115" s="8">
        <f t="shared" si="1116"/>
        <v>126</v>
      </c>
      <c r="K1115" s="8" t="s">
        <v>5025</v>
      </c>
    </row>
    <row r="1116">
      <c r="A1116" s="7" t="b">
        <v>1</v>
      </c>
      <c r="B1116" s="8" t="s">
        <v>5026</v>
      </c>
      <c r="C1116" s="7" t="s">
        <v>5027</v>
      </c>
      <c r="D1116" s="8" t="str">
        <f>Q&amp;$K1116&amp;Q&amp;":{"&amp;Q&amp;$B$2&amp;Q&amp;":"&amp;Q&amp;$B1116&amp;Q&amp;","&amp;Q&amp;$C$2&amp;Q&amp;":"&amp;Q&amp;$C1116&amp;Q&amp;","&amp;Q&amp;"sets"&amp;Q&amp;":"&amp;Q&amp;substitute(SUBSTITUTE($H1116,"[",""),"]","")&amp;Q&amp;"},"</f>
        <v>"nolm":{"label":"Nashville","extra":"Capital of Tennessee and capital of country music also known as Nash Vegas.","sets":"Expansion Set 3, Party Expansion 1"},</v>
      </c>
      <c r="E1116" s="9" t="str">
        <f t="shared" si="2"/>
        <v>data:image/svg+xml,%3csvg xmlns='http://www.w3.org/2000/svg' viewBox='0 0 24 216'%3e%3ctext fill='%23fff' style='font: 900 16px sans-serif' text-anchor='end' transform='matrix(0 -1 1 0 18 5)'%3eNashville%3c/text%3e%3c/svg%3e</v>
      </c>
      <c r="F1116" s="14" t="str">
        <f t="shared" si="3"/>
        <v>https://svgtext.heliohost.us/cgi-bin/gen.perl?text=Nashville</v>
      </c>
      <c r="G1116" s="11" t="str">
        <f t="shared" si="4"/>
        <v>data:image/svg+xml,%3csvg xmlns='http://www.w3.org/2000/svg' viewBox='0 0 24 216'%3e%3ctext fill='%23fff' style='font: 900 16px sans-serif' text-anchor='end' transform='matrix(0 -1 1 0 18 5)'%3eNashville%3c/text%3e%3c/svg%3e</v>
      </c>
      <c r="H1116" s="8" t="s">
        <v>39</v>
      </c>
      <c r="I1116" s="8">
        <f t="shared" ref="I1116:J1116" si="1117">len(B1116)</f>
        <v>9</v>
      </c>
      <c r="J1116" s="8">
        <f t="shared" si="1117"/>
        <v>75</v>
      </c>
      <c r="K1116" s="8" t="s">
        <v>5028</v>
      </c>
    </row>
    <row r="1117">
      <c r="A1117" s="7" t="b">
        <v>1</v>
      </c>
      <c r="B1117" s="8" t="s">
        <v>5029</v>
      </c>
      <c r="C1117" s="8" t="s">
        <v>5030</v>
      </c>
      <c r="D1117" s="8" t="str">
        <f>Q&amp;$K1117&amp;Q&amp;":{"&amp;Q&amp;$B$2&amp;Q&amp;":"&amp;Q&amp;$B1117&amp;Q&amp;","&amp;Q&amp;$C$2&amp;Q&amp;":"&amp;Q&amp;$C1117&amp;Q&amp;","&amp;Q&amp;"sets"&amp;Q&amp;":"&amp;Q&amp;substitute(SUBSTITUTE($H1117,"[",""),"]","")&amp;Q&amp;"},"</f>
        <v>"pbmn":{"label":"Neighbors","extra":"Turn down that music!","sets":"Junior 9+ (2nd)"},</v>
      </c>
      <c r="E1117" s="9" t="str">
        <f t="shared" si="2"/>
        <v>data:image/svg+xml,%3csvg xmlns='http://www.w3.org/2000/svg' viewBox='0 0 24 216'%3e%3ctext fill='%23fff' style='font: 900 16px sans-serif' text-anchor='end' transform='matrix(0 -1 1 0 18 5)'%3eNeighbors%3c/text%3e%3c/svg%3e</v>
      </c>
      <c r="F1117" s="14" t="str">
        <f t="shared" si="3"/>
        <v>https://svgtext.heliohost.us/cgi-bin/gen.perl?text=Neighbors</v>
      </c>
      <c r="G1117" s="11" t="str">
        <f t="shared" si="4"/>
        <v>data:image/svg+xml,%3csvg xmlns='http://www.w3.org/2000/svg' viewBox='0 0 24 216'%3e%3ctext fill='%23fff' style='font: 900 16px sans-serif' text-anchor='end' transform='matrix(0 -1 1 0 18 5)'%3eNeighbors%3c/text%3e%3c/svg%3e</v>
      </c>
      <c r="H1117" s="8" t="s">
        <v>32</v>
      </c>
      <c r="I1117" s="8">
        <f t="shared" ref="I1117:J1117" si="1118">len(B1117)</f>
        <v>9</v>
      </c>
      <c r="J1117" s="8">
        <f t="shared" si="1118"/>
        <v>21</v>
      </c>
      <c r="K1117" s="8" t="s">
        <v>5031</v>
      </c>
    </row>
    <row r="1118">
      <c r="A1118" s="7" t="b">
        <v>0</v>
      </c>
      <c r="B1118" s="8" t="s">
        <v>5032</v>
      </c>
      <c r="C1118" s="8" t="s">
        <v>5033</v>
      </c>
      <c r="D1118" s="8" t="str">
        <f>Q&amp;$K1118&amp;Q&amp;":{"&amp;Q&amp;$B$2&amp;Q&amp;":"&amp;Q&amp;$B1118&amp;Q&amp;","&amp;Q&amp;$C$2&amp;Q&amp;":"&amp;Q&amp;$C1118&amp;Q&amp;","&amp;Q&amp;"sets"&amp;Q&amp;":"&amp;Q&amp;substitute(SUBSTITUTE($H1118,"[",""),"]","")&amp;Q&amp;"},"</f>
        <v>"wtwb":{"label":"Neil Simon","extra":"1927-, American producer, playwright, and screenwriter of The Odd Couple, Biloxi Blues, The Sunshine Boys, California Suite, and many more.","sets":"Expansion Set 2, Party Set"},</v>
      </c>
      <c r="E1118" s="9" t="str">
        <f t="shared" si="2"/>
        <v>data:image/svg+xml,%3csvg xmlns='http://www.w3.org/2000/svg' viewBox='0 0 24 216'%3e%3ctext fill='%23fff' style='font: 900 16px sans-serif' text-anchor='end' transform='matrix(0 -1 1 0 18 5)'%3eNeil Simon%3c/text%3e%3c/svg%3e</v>
      </c>
      <c r="F1118" s="14" t="str">
        <f t="shared" si="3"/>
        <v>https://svgtext.heliohost.us/cgi-bin/gen.perl?text=Neil%20Simon</v>
      </c>
      <c r="G1118" s="11" t="str">
        <f t="shared" si="4"/>
        <v>data:image/svg+xml,%3csvg xmlns='http://www.w3.org/2000/svg' viewBox='0 0 24 216'%3e%3ctext fill='%23fff' style='font: 900 16px sans-serif' text-anchor='end' transform='matrix(0 -1 1 0 18 5)'%3eNeil Simon%3c/text%3e%3c/svg%3e</v>
      </c>
      <c r="H1118" s="8" t="s">
        <v>17</v>
      </c>
      <c r="I1118" s="8">
        <f t="shared" ref="I1118:J1118" si="1119">len(B1118)</f>
        <v>10</v>
      </c>
      <c r="J1118" s="8">
        <f t="shared" si="1119"/>
        <v>139</v>
      </c>
      <c r="K1118" s="8" t="s">
        <v>5034</v>
      </c>
    </row>
    <row r="1119">
      <c r="A1119" s="7" t="b">
        <v>0</v>
      </c>
      <c r="B1119" s="8" t="s">
        <v>5035</v>
      </c>
      <c r="C1119" s="8" t="s">
        <v>5036</v>
      </c>
      <c r="D1119" s="8" t="str">
        <f>Q&amp;$K1119&amp;Q&amp;":{"&amp;Q&amp;$B$2&amp;Q&amp;":"&amp;Q&amp;$B1119&amp;Q&amp;","&amp;Q&amp;$C$2&amp;Q&amp;":"&amp;Q&amp;$C1119&amp;Q&amp;","&amp;Q&amp;"sets"&amp;Q&amp;":"&amp;Q&amp;substitute(SUBSTITUTE($H1119,"[",""),"]","")&amp;Q&amp;"},"</f>
        <v>"ljco":{"label":"New Orleans","extra":"The Big Easy.","sets":"Basic Set, Party Set"},</v>
      </c>
      <c r="E1119" s="9" t="str">
        <f t="shared" si="2"/>
        <v>data:image/svg+xml,%3csvg xmlns='http://www.w3.org/2000/svg' viewBox='0 0 24 216'%3e%3ctext fill='%23fff' style='font: 900 16px sans-serif' text-anchor='end' transform='matrix(0 -1 1 0 18 5)'%3eNew Orleans%3c/text%3e%3c/svg%3e</v>
      </c>
      <c r="F1119" s="14" t="str">
        <f t="shared" si="3"/>
        <v>https://svgtext.heliohost.us/cgi-bin/gen.perl?text=New%20Orleans</v>
      </c>
      <c r="G1119" s="11" t="str">
        <f t="shared" si="4"/>
        <v>data:image/svg+xml,%3csvg xmlns='http://www.w3.org/2000/svg' viewBox='0 0 24 216'%3e%3ctext fill='%23fff' style='font: 900 16px sans-serif' text-anchor='end' transform='matrix(0 -1 1 0 18 5)'%3eNew Orleans%3c/text%3e%3c/svg%3e</v>
      </c>
      <c r="H1119" s="8" t="s">
        <v>29</v>
      </c>
      <c r="I1119" s="8">
        <f t="shared" ref="I1119:J1119" si="1120">len(B1119)</f>
        <v>11</v>
      </c>
      <c r="J1119" s="8">
        <f t="shared" si="1120"/>
        <v>13</v>
      </c>
      <c r="K1119" s="8" t="s">
        <v>5037</v>
      </c>
    </row>
    <row r="1120">
      <c r="A1120" s="7" t="b">
        <v>0</v>
      </c>
      <c r="B1120" s="8" t="s">
        <v>5038</v>
      </c>
      <c r="C1120" s="7" t="s">
        <v>5039</v>
      </c>
      <c r="D1120" s="8" t="str">
        <f>Q&amp;$K1120&amp;Q&amp;":{"&amp;Q&amp;$B$2&amp;Q&amp;":"&amp;Q&amp;$B1120&amp;Q&amp;","&amp;Q&amp;$C$2&amp;Q&amp;":"&amp;Q&amp;$C1120&amp;Q&amp;","&amp;Q&amp;"sets"&amp;Q&amp;":"&amp;Q&amp;substitute(SUBSTITUTE($H1120,"[",""),"]","")&amp;Q&amp;"},"</f>
        <v>"dmrt":{"label":"New Shoes","extra":"Make you feel like dancing…","sets":"Expansion Set 1, Party Set"},</v>
      </c>
      <c r="E1120" s="9" t="str">
        <f t="shared" si="2"/>
        <v>data:image/svg+xml,%3csvg xmlns='http://www.w3.org/2000/svg' viewBox='0 0 24 216'%3e%3ctext fill='%23fff' style='font: 900 16px sans-serif' text-anchor='end' transform='matrix(0 -1 1 0 18 5)'%3eNew Shoes%3c/text%3e%3c/svg%3e</v>
      </c>
      <c r="F1120" s="14" t="str">
        <f t="shared" si="3"/>
        <v>https://svgtext.heliohost.us/cgi-bin/gen.perl?text=New%20Shoes</v>
      </c>
      <c r="G1120" s="11" t="str">
        <f t="shared" si="4"/>
        <v>data:image/svg+xml,%3csvg xmlns='http://www.w3.org/2000/svg' viewBox='0 0 24 216'%3e%3ctext fill='%23fff' style='font: 900 16px sans-serif' text-anchor='end' transform='matrix(0 -1 1 0 18 5)'%3eNew Shoes%3c/text%3e%3c/svg%3e</v>
      </c>
      <c r="H1120" s="8" t="s">
        <v>25</v>
      </c>
      <c r="I1120" s="8">
        <f t="shared" ref="I1120:J1120" si="1121">len(B1120)</f>
        <v>9</v>
      </c>
      <c r="J1120" s="8">
        <f t="shared" si="1121"/>
        <v>27</v>
      </c>
      <c r="K1120" s="8" t="s">
        <v>5040</v>
      </c>
    </row>
    <row r="1121">
      <c r="A1121" s="7" t="b">
        <v>0</v>
      </c>
      <c r="B1121" s="8" t="s">
        <v>5041</v>
      </c>
      <c r="C1121" s="7" t="s">
        <v>5042</v>
      </c>
      <c r="D1121" s="8" t="str">
        <f>Q&amp;$K1121&amp;Q&amp;":{"&amp;Q&amp;$B$2&amp;Q&amp;":"&amp;Q&amp;$B1121&amp;Q&amp;","&amp;Q&amp;$C$2&amp;Q&amp;":"&amp;Q&amp;$C1121&amp;Q&amp;","&amp;Q&amp;"sets"&amp;Q&amp;":"&amp;Q&amp;substitute(SUBSTITUTE($H1121,"[",""),"]","")&amp;Q&amp;"},"</f>
        <v>"znke":{"label":"New York City","extra":"America’s most populous city. So good, they named it twice.","sets":"Basic Set, Party Set"},</v>
      </c>
      <c r="E1121" s="9" t="str">
        <f t="shared" si="2"/>
        <v>data:image/svg+xml,%3csvg xmlns='http://www.w3.org/2000/svg' viewBox='0 0 24 216'%3e%3ctext fill='%23fff' style='font: 900 16px sans-serif' text-anchor='end' transform='matrix(0 -1 1 0 18 5)'%3eNew York City%3c/text%3e%3c/svg%3e</v>
      </c>
      <c r="F1121" s="14" t="str">
        <f t="shared" si="3"/>
        <v>https://svgtext.heliohost.us/cgi-bin/gen.perl?text=New%20York%20City</v>
      </c>
      <c r="G1121" s="11" t="str">
        <f t="shared" si="4"/>
        <v>data:image/svg+xml,%3csvg xmlns='http://www.w3.org/2000/svg' viewBox='0 0 24 216'%3e%3ctext fill='%23fff' style='font: 900 16px sans-serif' text-anchor='end' transform='matrix(0 -1 1 0 18 5)'%3eNew York City%3c/text%3e%3c/svg%3e</v>
      </c>
      <c r="H1121" s="8" t="s">
        <v>29</v>
      </c>
      <c r="I1121" s="8">
        <f t="shared" ref="I1121:J1121" si="1122">len(B1121)</f>
        <v>13</v>
      </c>
      <c r="J1121" s="8">
        <f t="shared" si="1122"/>
        <v>59</v>
      </c>
      <c r="K1121" s="8" t="s">
        <v>5043</v>
      </c>
    </row>
    <row r="1122">
      <c r="A1122" s="7" t="b">
        <v>1</v>
      </c>
      <c r="B1122" s="8" t="s">
        <v>5041</v>
      </c>
      <c r="C1122" s="7" t="s">
        <v>5044</v>
      </c>
      <c r="D1122" s="8" t="str">
        <f>Q&amp;$K1122&amp;Q&amp;":{"&amp;Q&amp;$B$2&amp;Q&amp;":"&amp;Q&amp;$B1122&amp;Q&amp;","&amp;Q&amp;$C$2&amp;Q&amp;":"&amp;Q&amp;$C1122&amp;Q&amp;","&amp;Q&amp;"sets"&amp;Q&amp;":"&amp;Q&amp;substitute(SUBSTITUTE($H1122,"[",""),"]","")&amp;Q&amp;"},"</f>
        <v>"slhc":{"label":"New York City","extra":"America’s largest city, known for the Statue of Liberty.","sets":"Junior 9+ (1st) &amp; (2nd)"},</v>
      </c>
      <c r="E1122" s="9" t="str">
        <f t="shared" si="2"/>
        <v>data:image/svg+xml,%3csvg xmlns='http://www.w3.org/2000/svg' viewBox='0 0 24 216'%3e%3ctext fill='%23fff' style='font: 900 16px sans-serif' text-anchor='end' transform='matrix(0 -1 1 0 18 5)'%3eNew York City%3c/text%3e%3c/svg%3e</v>
      </c>
      <c r="F1122" s="14" t="str">
        <f t="shared" si="3"/>
        <v>https://svgtext.heliohost.us/cgi-bin/gen.perl?text=New%20York%20City</v>
      </c>
      <c r="G1122" s="11" t="str">
        <f t="shared" si="4"/>
        <v>data:image/svg+xml,%3csvg xmlns='http://www.w3.org/2000/svg' viewBox='0 0 24 216'%3e%3ctext fill='%23fff' style='font: 900 16px sans-serif' text-anchor='end' transform='matrix(0 -1 1 0 18 5)'%3eNew York City%3c/text%3e%3c/svg%3e</v>
      </c>
      <c r="H1122" s="8" t="s">
        <v>42</v>
      </c>
      <c r="I1122" s="8">
        <f t="shared" ref="I1122:J1122" si="1123">len(B1122)</f>
        <v>13</v>
      </c>
      <c r="J1122" s="8">
        <f t="shared" si="1123"/>
        <v>56</v>
      </c>
      <c r="K1122" s="8" t="s">
        <v>5045</v>
      </c>
    </row>
    <row r="1123">
      <c r="A1123" s="7" t="b">
        <v>1</v>
      </c>
      <c r="B1123" s="8" t="s">
        <v>5046</v>
      </c>
      <c r="C1123" s="8" t="s">
        <v>5047</v>
      </c>
      <c r="D1123" s="8" t="str">
        <f>Q&amp;$K1123&amp;Q&amp;":{"&amp;Q&amp;$B$2&amp;Q&amp;":"&amp;Q&amp;$B1123&amp;Q&amp;","&amp;Q&amp;$C$2&amp;Q&amp;":"&amp;Q&amp;$C1123&amp;Q&amp;","&amp;Q&amp;"sets"&amp;Q&amp;":"&amp;Q&amp;substitute(SUBSTITUTE($H1123,"[",""),"]","")&amp;Q&amp;"},"</f>
        <v>"treu":{"label":"New Yorkers","extra":"Brash, brawny and full of bravado.","sets":"Expansion Set 3, Party Expansion 1"},</v>
      </c>
      <c r="E1123" s="9" t="str">
        <f t="shared" si="2"/>
        <v>data:image/svg+xml,%3csvg xmlns='http://www.w3.org/2000/svg' viewBox='0 0 24 216'%3e%3ctext fill='%23fff' style='font: 900 16px sans-serif' text-anchor='end' transform='matrix(0 -1 1 0 18 5)'%3eNew Yorkers%3c/text%3e%3c/svg%3e</v>
      </c>
      <c r="F1123" s="14" t="str">
        <f t="shared" si="3"/>
        <v>https://svgtext.heliohost.us/cgi-bin/gen.perl?text=New%20Yorkers</v>
      </c>
      <c r="G1123" s="11" t="str">
        <f t="shared" si="4"/>
        <v>data:image/svg+xml,%3csvg xmlns='http://www.w3.org/2000/svg' viewBox='0 0 24 216'%3e%3ctext fill='%23fff' style='font: 900 16px sans-serif' text-anchor='end' transform='matrix(0 -1 1 0 18 5)'%3eNew Yorkers%3c/text%3e%3c/svg%3e</v>
      </c>
      <c r="H1123" s="8" t="s">
        <v>39</v>
      </c>
      <c r="I1123" s="8">
        <f t="shared" ref="I1123:J1123" si="1124">len(B1123)</f>
        <v>11</v>
      </c>
      <c r="J1123" s="8">
        <f t="shared" si="1124"/>
        <v>34</v>
      </c>
      <c r="K1123" s="8" t="s">
        <v>5048</v>
      </c>
    </row>
    <row r="1124">
      <c r="A1124" s="7" t="b">
        <v>0</v>
      </c>
      <c r="B1124" s="8" t="s">
        <v>5049</v>
      </c>
      <c r="C1124" s="8" t="s">
        <v>5050</v>
      </c>
      <c r="D1124" s="8" t="str">
        <f>Q&amp;$K1124&amp;Q&amp;":{"&amp;Q&amp;$B$2&amp;Q&amp;":"&amp;Q&amp;$B1124&amp;Q&amp;","&amp;Q&amp;$C$2&amp;Q&amp;":"&amp;Q&amp;$C1124&amp;Q&amp;","&amp;Q&amp;"sets"&amp;Q&amp;":"&amp;Q&amp;substitute(SUBSTITUTE($H1124,"[",""),"]","")&amp;Q&amp;"},"</f>
        <v>"ihpq":{"label":"Niagara Falls","extra":"Niagara Falls was formed about 12,000 years ago, when glaciers retreated north, and honeymooners approached from the south.","sets":"Expansion Set 1, Party Set"},</v>
      </c>
      <c r="E1124" s="9" t="str">
        <f t="shared" si="2"/>
        <v>data:image/svg+xml,%3csvg xmlns='http://www.w3.org/2000/svg' viewBox='0 0 24 216'%3e%3ctext fill='%23fff' style='font: 900 16px sans-serif' text-anchor='end' transform='matrix(0 -1 1 0 18 5)'%3eNiagara Falls%3c/text%3e%3c/svg%3e</v>
      </c>
      <c r="F1124" s="14" t="str">
        <f t="shared" si="3"/>
        <v>https://svgtext.heliohost.us/cgi-bin/gen.perl?text=Niagara%20Falls</v>
      </c>
      <c r="G1124" s="11" t="str">
        <f t="shared" si="4"/>
        <v>data:image/svg+xml,%3csvg xmlns='http://www.w3.org/2000/svg' viewBox='0 0 24 216'%3e%3ctext fill='%23fff' style='font: 900 16px sans-serif' text-anchor='end' transform='matrix(0 -1 1 0 18 5)'%3eNiagara Falls%3c/text%3e%3c/svg%3e</v>
      </c>
      <c r="H1124" s="8" t="s">
        <v>25</v>
      </c>
      <c r="I1124" s="8">
        <f t="shared" ref="I1124:J1124" si="1125">len(B1124)</f>
        <v>13</v>
      </c>
      <c r="J1124" s="8">
        <f t="shared" si="1125"/>
        <v>123</v>
      </c>
      <c r="K1124" s="8" t="s">
        <v>5051</v>
      </c>
    </row>
    <row r="1125">
      <c r="A1125" s="7" t="b">
        <v>1</v>
      </c>
      <c r="B1125" s="8" t="s">
        <v>5049</v>
      </c>
      <c r="C1125" s="8" t="s">
        <v>5052</v>
      </c>
      <c r="D1125" s="8" t="str">
        <f>Q&amp;$K1125&amp;Q&amp;":{"&amp;Q&amp;$B$2&amp;Q&amp;":"&amp;Q&amp;$B1125&amp;Q&amp;","&amp;Q&amp;$C$2&amp;Q&amp;":"&amp;Q&amp;$C1125&amp;Q&amp;","&amp;Q&amp;"sets"&amp;Q&amp;":"&amp;Q&amp;substitute(SUBSTITUTE($H1125,"[",""),"]","")&amp;Q&amp;"},"</f>
        <v>"tqxu":{"label":"Niagara Falls","extra":"The 2nd largest waterfall in the world, located on the United States border with Canada.","sets":"Junior 9+ (1st) &amp; (2nd)"},</v>
      </c>
      <c r="E1125" s="9" t="str">
        <f t="shared" si="2"/>
        <v>data:image/svg+xml,%3csvg xmlns='http://www.w3.org/2000/svg' viewBox='0 0 24 216'%3e%3ctext fill='%23fff' style='font: 900 16px sans-serif' text-anchor='end' transform='matrix(0 -1 1 0 18 5)'%3eNiagara Falls%3c/text%3e%3c/svg%3e</v>
      </c>
      <c r="F1125" s="14" t="str">
        <f t="shared" si="3"/>
        <v>https://svgtext.heliohost.us/cgi-bin/gen.perl?text=Niagara%20Falls</v>
      </c>
      <c r="G1125" s="11" t="str">
        <f t="shared" si="4"/>
        <v>data:image/svg+xml,%3csvg xmlns='http://www.w3.org/2000/svg' viewBox='0 0 24 216'%3e%3ctext fill='%23fff' style='font: 900 16px sans-serif' text-anchor='end' transform='matrix(0 -1 1 0 18 5)'%3eNiagara Falls%3c/text%3e%3c/svg%3e</v>
      </c>
      <c r="H1125" s="8" t="s">
        <v>42</v>
      </c>
      <c r="I1125" s="8">
        <f t="shared" ref="I1125:J1125" si="1126">len(B1125)</f>
        <v>13</v>
      </c>
      <c r="J1125" s="8">
        <f t="shared" si="1126"/>
        <v>88</v>
      </c>
      <c r="K1125" s="8" t="s">
        <v>5053</v>
      </c>
    </row>
    <row r="1126">
      <c r="A1126" s="7" t="b">
        <v>0</v>
      </c>
      <c r="B1126" s="8" t="s">
        <v>5054</v>
      </c>
      <c r="C1126" s="7" t="s">
        <v>5055</v>
      </c>
      <c r="D1126" s="8" t="str">
        <f>Q&amp;$K1126&amp;Q&amp;":{"&amp;Q&amp;$B$2&amp;Q&amp;":"&amp;Q&amp;$B1126&amp;Q&amp;","&amp;Q&amp;$C$2&amp;Q&amp;":"&amp;Q&amp;$C1126&amp;Q&amp;","&amp;Q&amp;"sets"&amp;Q&amp;":"&amp;Q&amp;substitute(SUBSTITUTE($H1126,"[",""),"]","")&amp;Q&amp;"},"</f>
        <v>"ikko":{"label":"Nicholas Cage","extra":"1964-, American actor known for his edgy characters in Leaving Los Vegas, Raising Arizona, and Moonstruck.","sets":"Expansion Set 2, Party Set"},</v>
      </c>
      <c r="E1126" s="9" t="str">
        <f t="shared" si="2"/>
        <v>data:image/svg+xml,%3csvg xmlns='http://www.w3.org/2000/svg' viewBox='0 0 24 216'%3e%3ctext fill='%23fff' style='font: 900 16px sans-serif' text-anchor='end' transform='matrix(0 -1 1 0 18 5)'%3eNicholas Cage%3c/text%3e%3c/svg%3e</v>
      </c>
      <c r="F1126" s="14" t="str">
        <f t="shared" si="3"/>
        <v>https://svgtext.heliohost.us/cgi-bin/gen.perl?text=Nicholas%20Cage</v>
      </c>
      <c r="G1126" s="11" t="str">
        <f t="shared" si="4"/>
        <v>data:image/svg+xml,%3csvg xmlns='http://www.w3.org/2000/svg' viewBox='0 0 24 216'%3e%3ctext fill='%23fff' style='font: 900 16px sans-serif' text-anchor='end' transform='matrix(0 -1 1 0 18 5)'%3eNicholas Cage%3c/text%3e%3c/svg%3e</v>
      </c>
      <c r="H1126" s="8" t="s">
        <v>17</v>
      </c>
      <c r="I1126" s="8">
        <f t="shared" ref="I1126:J1126" si="1127">len(B1126)</f>
        <v>13</v>
      </c>
      <c r="J1126" s="8">
        <f t="shared" si="1127"/>
        <v>106</v>
      </c>
      <c r="K1126" s="8" t="s">
        <v>5056</v>
      </c>
    </row>
    <row r="1127">
      <c r="A1127" s="7" t="b">
        <v>1</v>
      </c>
      <c r="B1127" s="8" t="s">
        <v>5057</v>
      </c>
      <c r="C1127" s="8" t="s">
        <v>5058</v>
      </c>
      <c r="D1127" s="8" t="str">
        <f>Q&amp;$K1127&amp;Q&amp;":{"&amp;Q&amp;$B$2&amp;Q&amp;":"&amp;Q&amp;$B1127&amp;Q&amp;","&amp;Q&amp;$C$2&amp;Q&amp;":"&amp;Q&amp;$C1127&amp;Q&amp;","&amp;Q&amp;"sets"&amp;Q&amp;":"&amp;Q&amp;substitute(SUBSTITUTE($H1127,"[",""),"]","")&amp;Q&amp;"},"</f>
        <v>"rozp":{"label":"Night","extra":"You can see stars and the moon in the sky.","sets":"Junior"},</v>
      </c>
      <c r="E1127" s="9" t="str">
        <f t="shared" si="2"/>
        <v>data:image/svg+xml,%3csvg xmlns='http://www.w3.org/2000/svg' viewBox='0 0 24 216'%3e%3ctext fill='%23fff' style='font: 900 16px sans-serif' text-anchor='end' transform='matrix(0 -1 1 0 18 5)'%3eNight%3c/text%3e%3c/svg%3e</v>
      </c>
      <c r="F1127" s="14" t="str">
        <f t="shared" si="3"/>
        <v>https://svgtext.heliohost.us/cgi-bin/gen.perl?text=Night</v>
      </c>
      <c r="G1127" s="11" t="str">
        <f t="shared" si="4"/>
        <v>data:image/svg+xml,%3csvg xmlns='http://www.w3.org/2000/svg' viewBox='0 0 24 216'%3e%3ctext fill='%23fff' style='font: 900 16px sans-serif' text-anchor='end' transform='matrix(0 -1 1 0 18 5)'%3eNight%3c/text%3e%3c/svg%3e</v>
      </c>
      <c r="H1127" s="8" t="s">
        <v>84</v>
      </c>
      <c r="I1127" s="8">
        <f t="shared" ref="I1127:J1127" si="1128">len(B1127)</f>
        <v>5</v>
      </c>
      <c r="J1127" s="8">
        <f t="shared" si="1128"/>
        <v>42</v>
      </c>
      <c r="K1127" s="8" t="s">
        <v>5059</v>
      </c>
    </row>
    <row r="1128">
      <c r="A1128" s="7" t="b">
        <v>1</v>
      </c>
      <c r="B1128" s="8" t="s">
        <v>5060</v>
      </c>
      <c r="C1128" s="8" t="s">
        <v>5061</v>
      </c>
      <c r="D1128" s="8" t="str">
        <f>Q&amp;$K1128&amp;Q&amp;":{"&amp;Q&amp;$B$2&amp;Q&amp;":"&amp;Q&amp;$B1128&amp;Q&amp;","&amp;Q&amp;$C$2&amp;Q&amp;":"&amp;Q&amp;$C1128&amp;Q&amp;","&amp;Q&amp;"sets"&amp;Q&amp;":"&amp;Q&amp;substitute(SUBSTITUTE($H1128,"[",""),"]","")&amp;Q&amp;"},"</f>
        <v>"ijrb":{"label":"Ninjas","extra":"Teenage mutant turtles need not apply.","sets":"Expansion Set 1, Party Set"},</v>
      </c>
      <c r="E1128" s="9" t="str">
        <f t="shared" si="2"/>
        <v>data:image/svg+xml,%3csvg xmlns='http://www.w3.org/2000/svg' viewBox='0 0 24 216'%3e%3ctext fill='%23fff' style='font: 900 16px sans-serif' text-anchor='end' transform='matrix(0 -1 1 0 18 5)'%3eNinjas%3c/text%3e%3c/svg%3e</v>
      </c>
      <c r="F1128" s="14" t="str">
        <f t="shared" si="3"/>
        <v>https://svgtext.heliohost.us/cgi-bin/gen.perl?text=Ninjas</v>
      </c>
      <c r="G1128" s="11" t="str">
        <f t="shared" si="4"/>
        <v>data:image/svg+xml,%3csvg xmlns='http://www.w3.org/2000/svg' viewBox='0 0 24 216'%3e%3ctext fill='%23fff' style='font: 900 16px sans-serif' text-anchor='end' transform='matrix(0 -1 1 0 18 5)'%3eNinjas%3c/text%3e%3c/svg%3e</v>
      </c>
      <c r="H1128" s="8" t="s">
        <v>25</v>
      </c>
      <c r="I1128" s="8">
        <f t="shared" ref="I1128:J1128" si="1129">len(B1128)</f>
        <v>6</v>
      </c>
      <c r="J1128" s="8">
        <f t="shared" si="1129"/>
        <v>38</v>
      </c>
      <c r="K1128" s="8" t="s">
        <v>5062</v>
      </c>
    </row>
    <row r="1129">
      <c r="A1129" s="7" t="b">
        <v>1</v>
      </c>
      <c r="B1129" s="8" t="s">
        <v>5063</v>
      </c>
      <c r="C1129" s="7" t="s">
        <v>5064</v>
      </c>
      <c r="D1129" s="8" t="str">
        <f>Q&amp;$K1129&amp;Q&amp;":{"&amp;Q&amp;$B$2&amp;Q&amp;":"&amp;Q&amp;$B1129&amp;Q&amp;","&amp;Q&amp;$C$2&amp;Q&amp;":"&amp;Q&amp;$C1129&amp;Q&amp;","&amp;Q&amp;"sets"&amp;Q&amp;":"&amp;Q&amp;substitute(SUBSTITUTE($H1129,"[",""),"]","")&amp;Q&amp;"},"</f>
        <v>"ymdt":{"label":"Nirvana","extra":"A state of supreme spiritual bliss and liberation. And then there’s the band…","sets":"Expansion Set 3, Party Expansion 1"},</v>
      </c>
      <c r="E1129" s="9" t="str">
        <f t="shared" si="2"/>
        <v>data:image/svg+xml,%3csvg xmlns='http://www.w3.org/2000/svg' viewBox='0 0 24 216'%3e%3ctext fill='%23fff' style='font: 900 16px sans-serif' text-anchor='end' transform='matrix(0 -1 1 0 18 5)'%3eNirvana%3c/text%3e%3c/svg%3e</v>
      </c>
      <c r="F1129" s="14" t="str">
        <f t="shared" si="3"/>
        <v>https://svgtext.heliohost.us/cgi-bin/gen.perl?text=Nirvana</v>
      </c>
      <c r="G1129" s="11" t="str">
        <f t="shared" si="4"/>
        <v>data:image/svg+xml,%3csvg xmlns='http://www.w3.org/2000/svg' viewBox='0 0 24 216'%3e%3ctext fill='%23fff' style='font: 900 16px sans-serif' text-anchor='end' transform='matrix(0 -1 1 0 18 5)'%3eNirvana%3c/text%3e%3c/svg%3e</v>
      </c>
      <c r="H1129" s="8" t="s">
        <v>39</v>
      </c>
      <c r="I1129" s="8">
        <f t="shared" ref="I1129:J1129" si="1130">len(B1129)</f>
        <v>7</v>
      </c>
      <c r="J1129" s="8">
        <f t="shared" si="1130"/>
        <v>77</v>
      </c>
      <c r="K1129" s="8" t="s">
        <v>5065</v>
      </c>
    </row>
    <row r="1130">
      <c r="A1130" s="7" t="b">
        <v>0</v>
      </c>
      <c r="B1130" s="8" t="s">
        <v>5066</v>
      </c>
      <c r="C1130" s="8" t="s">
        <v>5067</v>
      </c>
      <c r="D1130" s="8" t="str">
        <f>Q&amp;$K1130&amp;Q&amp;":{"&amp;Q&amp;$B$2&amp;Q&amp;":"&amp;Q&amp;$B1130&amp;Q&amp;","&amp;Q&amp;$C$2&amp;Q&amp;":"&amp;Q&amp;$C1130&amp;Q&amp;","&amp;Q&amp;"sets"&amp;Q&amp;":"&amp;Q&amp;substitute(SUBSTITUTE($H1130,"[",""),"]","")&amp;Q&amp;"},"</f>
        <v>"vebn":{"label":"Nobel Peace Prize","extra":"Established by Alfred Nobel. Swedish industrialist and inventor of dynamite. Led to an explosion of peace efforts.","sets":"Expansion Set 1, Party Set"},</v>
      </c>
      <c r="E1130" s="9" t="str">
        <f t="shared" si="2"/>
        <v>data:image/svg+xml,%3csvg xmlns='http://www.w3.org/2000/svg' viewBox='0 0 24 216'%3e%3ctext fill='%23fff' style='font: 900 16px sans-serif' text-anchor='end' transform='matrix(0 -1 1 0 18 5)'%3eNobel Peace Prize%3c/text%3e%3c/svg%3e</v>
      </c>
      <c r="F1130" s="14" t="str">
        <f t="shared" si="3"/>
        <v>https://svgtext.heliohost.us/cgi-bin/gen.perl?text=Nobel%20Peace%20Prize</v>
      </c>
      <c r="G1130" s="11" t="str">
        <f t="shared" si="4"/>
        <v>data:image/svg+xml,%3csvg xmlns='http://www.w3.org/2000/svg' viewBox='0 0 24 216'%3e%3ctext fill='%23fff' style='font: 900 16px sans-serif' text-anchor='end' transform='matrix(0 -1 1 0 18 5)'%3eNobel Peace Prize%3c/text%3e%3c/svg%3e</v>
      </c>
      <c r="H1130" s="8" t="s">
        <v>25</v>
      </c>
      <c r="I1130" s="8">
        <f t="shared" ref="I1130:J1130" si="1131">len(B1130)</f>
        <v>17</v>
      </c>
      <c r="J1130" s="8">
        <f t="shared" si="1131"/>
        <v>114</v>
      </c>
      <c r="K1130" s="8" t="s">
        <v>5068</v>
      </c>
    </row>
    <row r="1131">
      <c r="A1131" s="7" t="b">
        <v>0</v>
      </c>
      <c r="B1131" s="8" t="s">
        <v>5069</v>
      </c>
      <c r="C1131" s="8" t="s">
        <v>5070</v>
      </c>
      <c r="D1131" s="8" t="str">
        <f>Q&amp;$K1131&amp;Q&amp;":{"&amp;Q&amp;$B$2&amp;Q&amp;":"&amp;Q&amp;$B1131&amp;Q&amp;","&amp;Q&amp;$C$2&amp;Q&amp;":"&amp;Q&amp;$C1131&amp;Q&amp;","&amp;Q&amp;"sets"&amp;Q&amp;":"&amp;Q&amp;substitute(SUBSTITUTE($H1131,"[",""),"]","")&amp;Q&amp;"},"</f>
        <v>"exct":{"label":"Noisy Neighbors","extra":"WHAT? I CAN'T HEAR YOU!","sets":"Expansion Set 2, Party Set"},</v>
      </c>
      <c r="E1131" s="9" t="str">
        <f t="shared" si="2"/>
        <v>data:image/svg+xml,%3csvg xmlns='http://www.w3.org/2000/svg' viewBox='0 0 24 216'%3e%3ctext fill='%23fff' style='font: 900 16px sans-serif' text-anchor='end' transform='matrix(0 -1 1 0 18 5)'%3eNoisy Neighbors%3c/text%3e%3c/svg%3e</v>
      </c>
      <c r="F1131" s="14" t="str">
        <f t="shared" si="3"/>
        <v>https://svgtext.heliohost.us/cgi-bin/gen.perl?text=Noisy%20Neighbors</v>
      </c>
      <c r="G1131" s="11" t="str">
        <f t="shared" si="4"/>
        <v>data:image/svg+xml,%3csvg xmlns='http://www.w3.org/2000/svg' viewBox='0 0 24 216'%3e%3ctext fill='%23fff' style='font: 900 16px sans-serif' text-anchor='end' transform='matrix(0 -1 1 0 18 5)'%3eNoisy Neighbors%3c/text%3e%3c/svg%3e</v>
      </c>
      <c r="H1131" s="8" t="s">
        <v>17</v>
      </c>
      <c r="I1131" s="8">
        <f t="shared" ref="I1131:J1131" si="1132">len(B1131)</f>
        <v>15</v>
      </c>
      <c r="J1131" s="8">
        <f t="shared" si="1132"/>
        <v>23</v>
      </c>
      <c r="K1131" s="8" t="s">
        <v>5071</v>
      </c>
    </row>
    <row r="1132">
      <c r="A1132" s="7" t="b">
        <v>1</v>
      </c>
      <c r="B1132" s="8" t="s">
        <v>5072</v>
      </c>
      <c r="C1132" s="8" t="s">
        <v>5073</v>
      </c>
      <c r="D1132" s="8" t="str">
        <f>Q&amp;$K1132&amp;Q&amp;":{"&amp;Q&amp;$B$2&amp;Q&amp;":"&amp;Q&amp;$B1132&amp;Q&amp;","&amp;Q&amp;$C$2&amp;Q&amp;":"&amp;Q&amp;$C1132&amp;Q&amp;","&amp;Q&amp;"sets"&amp;Q&amp;":"&amp;Q&amp;substitute(SUBSTITUTE($H1132,"[",""),"]","")&amp;Q&amp;"},"</f>
        <v>"pqju":{"label":"Noodles","extra":"Most noodles are made with flour, water and eggs, but some contain seaweed or spinach.","sets":"Junior 9+ (1st) &amp; (2nd)"},</v>
      </c>
      <c r="E1132" s="9" t="str">
        <f t="shared" si="2"/>
        <v>data:image/svg+xml,%3csvg xmlns='http://www.w3.org/2000/svg' viewBox='0 0 24 216'%3e%3ctext fill='%23fff' style='font: 900 16px sans-serif' text-anchor='end' transform='matrix(0 -1 1 0 18 5)'%3eNoodles%3c/text%3e%3c/svg%3e</v>
      </c>
      <c r="F1132" s="14" t="str">
        <f t="shared" si="3"/>
        <v>https://svgtext.heliohost.us/cgi-bin/gen.perl?text=Noodles</v>
      </c>
      <c r="G1132" s="11" t="str">
        <f t="shared" si="4"/>
        <v>data:image/svg+xml,%3csvg xmlns='http://www.w3.org/2000/svg' viewBox='0 0 24 216'%3e%3ctext fill='%23fff' style='font: 900 16px sans-serif' text-anchor='end' transform='matrix(0 -1 1 0 18 5)'%3eNoodles%3c/text%3e%3c/svg%3e</v>
      </c>
      <c r="H1132" s="8" t="s">
        <v>42</v>
      </c>
      <c r="I1132" s="8">
        <f t="shared" ref="I1132:J1132" si="1133">len(B1132)</f>
        <v>7</v>
      </c>
      <c r="J1132" s="8">
        <f t="shared" si="1133"/>
        <v>86</v>
      </c>
      <c r="K1132" s="8" t="s">
        <v>5074</v>
      </c>
    </row>
    <row r="1133">
      <c r="A1133" s="7" t="b">
        <v>0</v>
      </c>
      <c r="B1133" s="8" t="s">
        <v>5075</v>
      </c>
      <c r="C1133" s="8" t="s">
        <v>5076</v>
      </c>
      <c r="D1133" s="8" t="str">
        <f>Q&amp;$K1133&amp;Q&amp;":{"&amp;Q&amp;$B$2&amp;Q&amp;":"&amp;Q&amp;$B1133&amp;Q&amp;","&amp;Q&amp;$C$2&amp;Q&amp;":"&amp;Q&amp;$C1133&amp;Q&amp;","&amp;Q&amp;"sets"&amp;Q&amp;":"&amp;Q&amp;substitute(SUBSTITUTE($H1133,"[",""),"]","")&amp;Q&amp;"},"</f>
        <v>"cxph":{"label":"Normal Rockwell","extra":"1894-1978, American painter, illustrator and all-around interpreter of small town American life.","sets":"Basic Set, Party Set"},</v>
      </c>
      <c r="E1133" s="9" t="str">
        <f t="shared" si="2"/>
        <v>data:image/svg+xml,%3csvg xmlns='http://www.w3.org/2000/svg' viewBox='0 0 24 216'%3e%3ctext fill='%23fff' style='font: 900 16px sans-serif' text-anchor='end' transform='matrix(0 -1 1 0 18 5)'%3eNormal Rockwell%3c/text%3e%3c/svg%3e</v>
      </c>
      <c r="F1133" s="14" t="str">
        <f t="shared" si="3"/>
        <v>https://svgtext.heliohost.us/cgi-bin/gen.perl?text=Normal%20Rockwell</v>
      </c>
      <c r="G1133" s="11" t="str">
        <f t="shared" si="4"/>
        <v>data:image/svg+xml,%3csvg xmlns='http://www.w3.org/2000/svg' viewBox='0 0 24 216'%3e%3ctext fill='%23fff' style='font: 900 16px sans-serif' text-anchor='end' transform='matrix(0 -1 1 0 18 5)'%3eNormal Rockwell%3c/text%3e%3c/svg%3e</v>
      </c>
      <c r="H1133" s="8" t="s">
        <v>29</v>
      </c>
      <c r="I1133" s="8">
        <f t="shared" ref="I1133:J1133" si="1134">len(B1133)</f>
        <v>15</v>
      </c>
      <c r="J1133" s="8">
        <f t="shared" si="1134"/>
        <v>96</v>
      </c>
      <c r="K1133" s="8" t="s">
        <v>5077</v>
      </c>
    </row>
    <row r="1134">
      <c r="A1134" s="7" t="b">
        <v>0</v>
      </c>
      <c r="B1134" s="8" t="s">
        <v>5078</v>
      </c>
      <c r="C1134" s="7" t="s">
        <v>5079</v>
      </c>
      <c r="D1134" s="8" t="str">
        <f>Q&amp;$K1134&amp;Q&amp;":{"&amp;Q&amp;$B$2&amp;Q&amp;":"&amp;Q&amp;$B1134&amp;Q&amp;","&amp;Q&amp;$C$2&amp;Q&amp;":"&amp;Q&amp;$C1134&amp;Q&amp;","&amp;Q&amp;"sets"&amp;Q&amp;":"&amp;Q&amp;substitute(SUBSTITUTE($H1134,"[",""),"]","")&amp;Q&amp;"},"</f>
        <v>"pqbk":{"label":"North &amp; South Dakota","extra":"It’s all north.","sets":"Expansion Set 4, Party Expansion 1"},</v>
      </c>
      <c r="E1134" s="9" t="str">
        <f t="shared" si="2"/>
        <v>data:image/svg+xml,%3csvg xmlns='http://www.w3.org/2000/svg' viewBox='0 0 24 216'%3e%3ctext fill='%23fff' style='font: 900 16px sans-serif' text-anchor='end' transform='matrix(0 -1 1 0 18 5)'%3eNorth %26amp%3B South Dakota%3c/text%3e%3c/svg%3e</v>
      </c>
      <c r="F1134" s="14" t="str">
        <f t="shared" si="3"/>
        <v>https://svgtext.heliohost.us/cgi-bin/gen.perl?text=North%20%26%20South%20Dakota</v>
      </c>
      <c r="G1134" s="11" t="str">
        <f t="shared" si="4"/>
        <v>data:image/svg+xml,%3csvg xmlns='http://www.w3.org/2000/svg' viewBox='0 0 24 216'%3e%3ctext fill='%23fff' style='font: 900 16px sans-serif' text-anchor='end' transform='matrix(0 -1 1 0 18 5)'%3eNorth %26amp%3B South Dakota%3c/text%3e%3c/svg%3e</v>
      </c>
      <c r="H1134" s="8" t="s">
        <v>63</v>
      </c>
      <c r="I1134" s="8">
        <f t="shared" ref="I1134:J1134" si="1135">len(B1134)</f>
        <v>20</v>
      </c>
      <c r="J1134" s="8">
        <f t="shared" si="1135"/>
        <v>15</v>
      </c>
      <c r="K1134" s="8" t="s">
        <v>5080</v>
      </c>
    </row>
    <row r="1135">
      <c r="A1135" s="7" t="b">
        <v>1</v>
      </c>
      <c r="B1135" s="8" t="s">
        <v>5081</v>
      </c>
      <c r="C1135" s="8" t="s">
        <v>5082</v>
      </c>
      <c r="D1135" s="8" t="str">
        <f>Q&amp;$K1135&amp;Q&amp;":{"&amp;Q&amp;$B$2&amp;Q&amp;":"&amp;Q&amp;$B1135&amp;Q&amp;","&amp;Q&amp;$C$2&amp;Q&amp;":"&amp;Q&amp;$C1135&amp;Q&amp;","&amp;Q&amp;"sets"&amp;Q&amp;":"&amp;Q&amp;substitute(SUBSTITUTE($H1135,"[",""),"]","")&amp;Q&amp;"},"</f>
        <v>"oklv":{"label":"North Pole","extra":"The northern most point on the earth, but you're not going to find a pole there.","sets":"Junior 9+ (1st) &amp; (2nd)"},</v>
      </c>
      <c r="E1135" s="9" t="str">
        <f t="shared" si="2"/>
        <v>data:image/svg+xml,%3csvg xmlns='http://www.w3.org/2000/svg' viewBox='0 0 24 216'%3e%3ctext fill='%23fff' style='font: 900 16px sans-serif' text-anchor='end' transform='matrix(0 -1 1 0 18 5)'%3eNorth Pole%3c/text%3e%3c/svg%3e</v>
      </c>
      <c r="F1135" s="14" t="str">
        <f t="shared" si="3"/>
        <v>https://svgtext.heliohost.us/cgi-bin/gen.perl?text=North%20Pole</v>
      </c>
      <c r="G1135" s="11" t="str">
        <f t="shared" si="4"/>
        <v>data:image/svg+xml,%3csvg xmlns='http://www.w3.org/2000/svg' viewBox='0 0 24 216'%3e%3ctext fill='%23fff' style='font: 900 16px sans-serif' text-anchor='end' transform='matrix(0 -1 1 0 18 5)'%3eNorth Pole%3c/text%3e%3c/svg%3e</v>
      </c>
      <c r="H1135" s="8" t="s">
        <v>42</v>
      </c>
      <c r="I1135" s="8">
        <f t="shared" ref="I1135:J1135" si="1136">len(B1135)</f>
        <v>10</v>
      </c>
      <c r="J1135" s="8">
        <f t="shared" si="1136"/>
        <v>80</v>
      </c>
      <c r="K1135" s="8" t="s">
        <v>5083</v>
      </c>
    </row>
    <row r="1136">
      <c r="A1136" s="7" t="b">
        <v>1</v>
      </c>
      <c r="B1136" s="8" t="s">
        <v>5084</v>
      </c>
      <c r="C1136" s="7" t="s">
        <v>5085</v>
      </c>
      <c r="D1136" s="8" t="str">
        <f>Q&amp;$K1136&amp;Q&amp;":{"&amp;Q&amp;$B$2&amp;Q&amp;":"&amp;Q&amp;$B1136&amp;Q&amp;","&amp;Q&amp;$C$2&amp;Q&amp;":"&amp;Q&amp;$C1136&amp;Q&amp;","&amp;Q&amp;"sets"&amp;Q&amp;":"&amp;Q&amp;substitute(SUBSTITUTE($H1136,"[",""),"]","")&amp;Q&amp;"},"</f>
        <v>"dizv":{"label":"Nosebleeds","extra":"Keep your chin up.","sets":"Expansion Set 3, Party Expansion 1"},</v>
      </c>
      <c r="E1136" s="9" t="str">
        <f t="shared" si="2"/>
        <v>data:image/svg+xml,%3csvg xmlns='http://www.w3.org/2000/svg' viewBox='0 0 24 216'%3e%3ctext fill='%23fff' style='font: 900 16px sans-serif' text-anchor='end' transform='matrix(0 -1 1 0 18 5)'%3eNosebleeds%3c/text%3e%3c/svg%3e</v>
      </c>
      <c r="F1136" s="14" t="str">
        <f t="shared" si="3"/>
        <v>https://svgtext.heliohost.us/cgi-bin/gen.perl?text=Nosebleeds</v>
      </c>
      <c r="G1136" s="11" t="str">
        <f t="shared" si="4"/>
        <v>data:image/svg+xml,%3csvg xmlns='http://www.w3.org/2000/svg' viewBox='0 0 24 216'%3e%3ctext fill='%23fff' style='font: 900 16px sans-serif' text-anchor='end' transform='matrix(0 -1 1 0 18 5)'%3eNosebleeds%3c/text%3e%3c/svg%3e</v>
      </c>
      <c r="H1136" s="8" t="s">
        <v>39</v>
      </c>
      <c r="I1136" s="8">
        <f t="shared" ref="I1136:J1136" si="1137">len(B1136)</f>
        <v>10</v>
      </c>
      <c r="J1136" s="8">
        <f t="shared" si="1137"/>
        <v>18</v>
      </c>
      <c r="K1136" s="8" t="s">
        <v>5086</v>
      </c>
    </row>
    <row r="1137">
      <c r="A1137" s="7" t="b">
        <v>0</v>
      </c>
      <c r="B1137" s="8" t="s">
        <v>5087</v>
      </c>
      <c r="C1137" s="7" t="s">
        <v>5088</v>
      </c>
      <c r="D1137" s="8" t="str">
        <f>Q&amp;$K1137&amp;Q&amp;":{"&amp;Q&amp;$B$2&amp;Q&amp;":"&amp;Q&amp;$B1137&amp;Q&amp;","&amp;Q&amp;$C$2&amp;Q&amp;":"&amp;Q&amp;$C1137&amp;Q&amp;","&amp;Q&amp;"sets"&amp;Q&amp;":"&amp;Q&amp;substitute(SUBSTITUTE($H1137,"[",""),"]","")&amp;Q&amp;"},"</f>
        <v>"zjxb":{"label":"Nuclear Power Plants","extra":"“You’ve turned a potential Chernobyl into a mere Three Mile Island.” —Montgomery Burns, “The Simpsons”","sets":"Expansion Set 1, Party Set"},</v>
      </c>
      <c r="E1137" s="9" t="str">
        <f t="shared" si="2"/>
        <v>data:image/svg+xml,%3csvg xmlns='http://www.w3.org/2000/svg' viewBox='0 0 24 216'%3e%3ctext fill='%23fff' style='font: 900 16px sans-serif' text-anchor='end' transform='matrix(0 -1 1 0 18 5)'%3eNuclear Power Plants%3c/text%3e%3c/svg%3e</v>
      </c>
      <c r="F1137" s="14" t="str">
        <f t="shared" si="3"/>
        <v>https://svgtext.heliohost.us/cgi-bin/gen.perl?text=Nuclear%20Power%20Plants</v>
      </c>
      <c r="G1137" s="11" t="str">
        <f t="shared" si="4"/>
        <v>data:image/svg+xml,%3csvg xmlns='http://www.w3.org/2000/svg' viewBox='0 0 24 216'%3e%3ctext fill='%23fff' style='font: 900 16px sans-serif' text-anchor='end' transform='matrix(0 -1 1 0 18 5)'%3eNuclear Power Plants%3c/text%3e%3c/svg%3e</v>
      </c>
      <c r="H1137" s="8" t="s">
        <v>25</v>
      </c>
      <c r="I1137" s="8">
        <f t="shared" ref="I1137:J1137" si="1138">len(B1137)</f>
        <v>20</v>
      </c>
      <c r="J1137" s="8">
        <f t="shared" si="1138"/>
        <v>102</v>
      </c>
      <c r="K1137" s="8" t="s">
        <v>5089</v>
      </c>
    </row>
    <row r="1138">
      <c r="A1138" s="7" t="b">
        <v>1</v>
      </c>
      <c r="B1138" s="8" t="s">
        <v>5090</v>
      </c>
      <c r="C1138" s="8" t="s">
        <v>5091</v>
      </c>
      <c r="D1138" s="8" t="str">
        <f>Q&amp;$K1138&amp;Q&amp;":{"&amp;Q&amp;$B$2&amp;Q&amp;":"&amp;Q&amp;$B1138&amp;Q&amp;","&amp;Q&amp;$C$2&amp;Q&amp;":"&amp;Q&amp;$C1138&amp;Q&amp;","&amp;Q&amp;"sets"&amp;Q&amp;":"&amp;Q&amp;substitute(SUBSTITUTE($H1138,"[",""),"]","")&amp;Q&amp;"},"</f>
        <v>"llyk":{"label":"Nuts &amp; Bolts","extra":"A good way to stay connected.","sets":"Expansion Set 4, Party Expansion 1"},</v>
      </c>
      <c r="E1138" s="9" t="str">
        <f t="shared" si="2"/>
        <v>data:image/svg+xml,%3csvg xmlns='http://www.w3.org/2000/svg' viewBox='0 0 24 216'%3e%3ctext fill='%23fff' style='font: 900 16px sans-serif' text-anchor='end' transform='matrix(0 -1 1 0 18 5)'%3eNuts %26amp%3B Bolts%3c/text%3e%3c/svg%3e</v>
      </c>
      <c r="F1138" s="14" t="str">
        <f t="shared" si="3"/>
        <v>https://svgtext.heliohost.us/cgi-bin/gen.perl?text=Nuts%20%26%20Bolts</v>
      </c>
      <c r="G1138" s="11" t="str">
        <f t="shared" si="4"/>
        <v>data:image/svg+xml,%3csvg xmlns='http://www.w3.org/2000/svg' viewBox='0 0 24 216'%3e%3ctext fill='%23fff' style='font: 900 16px sans-serif' text-anchor='end' transform='matrix(0 -1 1 0 18 5)'%3eNuts %26amp%3B Bolts%3c/text%3e%3c/svg%3e</v>
      </c>
      <c r="H1138" s="8" t="s">
        <v>63</v>
      </c>
      <c r="I1138" s="8">
        <f t="shared" ref="I1138:J1138" si="1139">len(B1138)</f>
        <v>12</v>
      </c>
      <c r="J1138" s="8">
        <f t="shared" si="1139"/>
        <v>29</v>
      </c>
      <c r="K1138" s="8" t="s">
        <v>5092</v>
      </c>
    </row>
    <row r="1139">
      <c r="A1139" s="7" t="b">
        <v>0</v>
      </c>
      <c r="B1139" s="8" t="s">
        <v>5093</v>
      </c>
      <c r="C1139" s="7" t="s">
        <v>5094</v>
      </c>
      <c r="D1139" s="8" t="str">
        <f>Q&amp;$K1139&amp;Q&amp;":{"&amp;Q&amp;$B$2&amp;Q&amp;":"&amp;Q&amp;$B1139&amp;Q&amp;","&amp;Q&amp;$C$2&amp;Q&amp;":"&amp;Q&amp;$C1139&amp;Q&amp;","&amp;Q&amp;"sets"&amp;Q&amp;":"&amp;Q&amp;substitute(SUBSTITUTE($H1139,"[",""),"]","")&amp;Q&amp;"},"</f>
        <v>"poza":{"label":"NYPD","extra":"The New York Police Department. They’re so good, they have their own TV show.","sets":"Expansion Set 1, Party Set"},</v>
      </c>
      <c r="E1139" s="9" t="str">
        <f t="shared" si="2"/>
        <v>data:image/svg+xml,%3csvg xmlns='http://www.w3.org/2000/svg' viewBox='0 0 24 216'%3e%3ctext fill='%23fff' style='font: 900 16px sans-serif' text-anchor='end' transform='matrix(0 -1 1 0 18 5)'%3eNYPD%3c/text%3e%3c/svg%3e</v>
      </c>
      <c r="F1139" s="14" t="str">
        <f t="shared" si="3"/>
        <v>https://svgtext.heliohost.us/cgi-bin/gen.perl?text=NYPD</v>
      </c>
      <c r="G1139" s="11" t="str">
        <f t="shared" si="4"/>
        <v>data:image/svg+xml,%3csvg xmlns='http://www.w3.org/2000/svg' viewBox='0 0 24 216'%3e%3ctext fill='%23fff' style='font: 900 16px sans-serif' text-anchor='end' transform='matrix(0 -1 1 0 18 5)'%3eNYPD%3c/text%3e%3c/svg%3e</v>
      </c>
      <c r="H1139" s="8" t="s">
        <v>25</v>
      </c>
      <c r="I1139" s="8">
        <f t="shared" ref="I1139:J1139" si="1140">len(B1139)</f>
        <v>4</v>
      </c>
      <c r="J1139" s="8">
        <f t="shared" si="1140"/>
        <v>77</v>
      </c>
      <c r="K1139" s="8" t="s">
        <v>5095</v>
      </c>
    </row>
    <row r="1140">
      <c r="A1140" s="7" t="b">
        <v>1</v>
      </c>
      <c r="B1140" s="8" t="s">
        <v>5096</v>
      </c>
      <c r="C1140" s="8" t="s">
        <v>5097</v>
      </c>
      <c r="D1140" s="8" t="str">
        <f>Q&amp;$K1140&amp;Q&amp;":{"&amp;Q&amp;$B$2&amp;Q&amp;":"&amp;Q&amp;$B1140&amp;Q&amp;","&amp;Q&amp;$C$2&amp;Q&amp;":"&amp;Q&amp;$C1140&amp;Q&amp;","&amp;Q&amp;"sets"&amp;Q&amp;":"&amp;Q&amp;substitute(SUBSTITUTE($H1140,"[",""),"]","")&amp;Q&amp;"},"</f>
        <v>"majg":{"label":"Oatmeal","extra":"A hot cereal made from oats. It sticks to your ribs, and to the floor!","sets":"Junior"},</v>
      </c>
      <c r="E1140" s="9" t="str">
        <f t="shared" si="2"/>
        <v>data:image/svg+xml,%3csvg xmlns='http://www.w3.org/2000/svg' viewBox='0 0 24 216'%3e%3ctext fill='%23fff' style='font: 900 16px sans-serif' text-anchor='end' transform='matrix(0 -1 1 0 18 5)'%3eOatmeal%3c/text%3e%3c/svg%3e</v>
      </c>
      <c r="F1140" s="14" t="str">
        <f t="shared" si="3"/>
        <v>https://svgtext.heliohost.us/cgi-bin/gen.perl?text=Oatmeal</v>
      </c>
      <c r="G1140" s="11" t="str">
        <f t="shared" si="4"/>
        <v>data:image/svg+xml,%3csvg xmlns='http://www.w3.org/2000/svg' viewBox='0 0 24 216'%3e%3ctext fill='%23fff' style='font: 900 16px sans-serif' text-anchor='end' transform='matrix(0 -1 1 0 18 5)'%3eOatmeal%3c/text%3e%3c/svg%3e</v>
      </c>
      <c r="H1140" s="8" t="s">
        <v>84</v>
      </c>
      <c r="I1140" s="8">
        <f t="shared" ref="I1140:J1140" si="1141">len(B1140)</f>
        <v>7</v>
      </c>
      <c r="J1140" s="8">
        <f t="shared" si="1141"/>
        <v>70</v>
      </c>
      <c r="K1140" s="8" t="s">
        <v>5098</v>
      </c>
    </row>
    <row r="1141">
      <c r="A1141" s="7" t="b">
        <v>1</v>
      </c>
      <c r="B1141" s="8" t="s">
        <v>5099</v>
      </c>
      <c r="C1141" s="8" t="s">
        <v>5100</v>
      </c>
      <c r="D1141" s="8" t="str">
        <f>Q&amp;$K1141&amp;Q&amp;":{"&amp;Q&amp;$B$2&amp;Q&amp;":"&amp;Q&amp;$B1141&amp;Q&amp;","&amp;Q&amp;$C$2&amp;Q&amp;":"&amp;Q&amp;$C1141&amp;Q&amp;","&amp;Q&amp;"sets"&amp;Q&amp;":"&amp;Q&amp;substitute(SUBSTITUTE($H1141,"[",""),"]","")&amp;Q&amp;"},"</f>
        <v>"ur{r":{"label":"Octopus","extra":"A sea animal with a soft, round body and eight long arms, called tentacles.","sets":"Junior 9+ (1st) &amp; (2nd)"},</v>
      </c>
      <c r="E1141" s="9" t="str">
        <f t="shared" si="2"/>
        <v>data:image/svg+xml,%3csvg xmlns='http://www.w3.org/2000/svg' viewBox='0 0 24 216'%3e%3ctext fill='%23fff' style='font: 900 16px sans-serif' text-anchor='end' transform='matrix(0 -1 1 0 18 5)'%3eOctopus%3c/text%3e%3c/svg%3e</v>
      </c>
      <c r="F1141" s="14" t="str">
        <f t="shared" si="3"/>
        <v>https://svgtext.heliohost.us/cgi-bin/gen.perl?text=Octopus</v>
      </c>
      <c r="G1141" s="11" t="str">
        <f t="shared" si="4"/>
        <v>data:image/svg+xml,%3csvg xmlns='http://www.w3.org/2000/svg' viewBox='0 0 24 216'%3e%3ctext fill='%23fff' style='font: 900 16px sans-serif' text-anchor='end' transform='matrix(0 -1 1 0 18 5)'%3eOctopus%3c/text%3e%3c/svg%3e</v>
      </c>
      <c r="H1141" s="8" t="s">
        <v>42</v>
      </c>
      <c r="I1141" s="8">
        <f t="shared" ref="I1141:J1141" si="1142">len(B1141)</f>
        <v>7</v>
      </c>
      <c r="J1141" s="8">
        <f t="shared" si="1142"/>
        <v>75</v>
      </c>
      <c r="K1141" s="8" t="s">
        <v>5101</v>
      </c>
    </row>
    <row r="1142">
      <c r="A1142" s="7" t="b">
        <v>1</v>
      </c>
      <c r="B1142" s="8" t="s">
        <v>5102</v>
      </c>
      <c r="C1142" s="7" t="s">
        <v>5103</v>
      </c>
      <c r="D1142" s="8" t="str">
        <f>Q&amp;$K1142&amp;Q&amp;":{"&amp;Q&amp;$B$2&amp;Q&amp;":"&amp;Q&amp;$B1142&amp;Q&amp;","&amp;Q&amp;$C$2&amp;Q&amp;":"&amp;Q&amp;$C1142&amp;Q&amp;","&amp;Q&amp;"sets"&amp;Q&amp;":"&amp;Q&amp;substitute(SUBSTITUTE($H1142,"[",""),"]","")&amp;Q&amp;"},"</f>
        <v>"cufb":{"label":"Odds &amp; Ends","extra":"It’s in the junk drawer.","sets":"Expansion Set 4, Party Expansion 1"},</v>
      </c>
      <c r="E1142" s="9" t="str">
        <f t="shared" si="2"/>
        <v>data:image/svg+xml,%3csvg xmlns='http://www.w3.org/2000/svg' viewBox='0 0 24 216'%3e%3ctext fill='%23fff' style='font: 900 16px sans-serif' text-anchor='end' transform='matrix(0 -1 1 0 18 5)'%3eOdds %26amp%3B Ends%3c/text%3e%3c/svg%3e</v>
      </c>
      <c r="F1142" s="14" t="str">
        <f t="shared" si="3"/>
        <v>https://svgtext.heliohost.us/cgi-bin/gen.perl?text=Odds%20%26%20Ends</v>
      </c>
      <c r="G1142" s="11" t="str">
        <f t="shared" si="4"/>
        <v>data:image/svg+xml,%3csvg xmlns='http://www.w3.org/2000/svg' viewBox='0 0 24 216'%3e%3ctext fill='%23fff' style='font: 900 16px sans-serif' text-anchor='end' transform='matrix(0 -1 1 0 18 5)'%3eOdds %26amp%3B Ends%3c/text%3e%3c/svg%3e</v>
      </c>
      <c r="H1142" s="8" t="s">
        <v>63</v>
      </c>
      <c r="I1142" s="8">
        <f t="shared" ref="I1142:J1142" si="1143">len(B1142)</f>
        <v>11</v>
      </c>
      <c r="J1142" s="8">
        <f t="shared" si="1143"/>
        <v>24</v>
      </c>
      <c r="K1142" s="8" t="s">
        <v>5104</v>
      </c>
    </row>
    <row r="1143">
      <c r="A1143" s="7" t="b">
        <v>1</v>
      </c>
      <c r="B1143" s="8" t="s">
        <v>5105</v>
      </c>
      <c r="C1143" s="7" t="s">
        <v>5106</v>
      </c>
      <c r="D1143" s="8" t="str">
        <f>Q&amp;$K1143&amp;Q&amp;":{"&amp;Q&amp;$B$2&amp;Q&amp;":"&amp;Q&amp;$B1143&amp;Q&amp;","&amp;Q&amp;$C$2&amp;Q&amp;":"&amp;Q&amp;$C1143&amp;Q&amp;","&amp;Q&amp;"sets"&amp;Q&amp;":"&amp;Q&amp;substitute(SUBSTITUTE($H1143,"[",""),"]","")&amp;Q&amp;"},"</f>
        <v>"icys":{"label":"Oil &amp; Filter","extra":"Let me top that off for you.","sets":"Expansion Set 4, Party Expansion 1"},</v>
      </c>
      <c r="E1143" s="9" t="str">
        <f t="shared" si="2"/>
        <v>data:image/svg+xml,%3csvg xmlns='http://www.w3.org/2000/svg' viewBox='0 0 24 216'%3e%3ctext fill='%23fff' style='font: 900 16px sans-serif' text-anchor='end' transform='matrix(0 -1 1 0 18 5)'%3eOil %26amp%3B Filter%3c/text%3e%3c/svg%3e</v>
      </c>
      <c r="F1143" s="14" t="str">
        <f t="shared" si="3"/>
        <v>https://svgtext.heliohost.us/cgi-bin/gen.perl?text=Oil%20%26%20Filter</v>
      </c>
      <c r="G1143" s="11" t="str">
        <f t="shared" si="4"/>
        <v>data:image/svg+xml,%3csvg xmlns='http://www.w3.org/2000/svg' viewBox='0 0 24 216'%3e%3ctext fill='%23fff' style='font: 900 16px sans-serif' text-anchor='end' transform='matrix(0 -1 1 0 18 5)'%3eOil %26amp%3B Filter%3c/text%3e%3c/svg%3e</v>
      </c>
      <c r="H1143" s="8" t="s">
        <v>63</v>
      </c>
      <c r="I1143" s="8">
        <f t="shared" ref="I1143:J1143" si="1144">len(B1143)</f>
        <v>12</v>
      </c>
      <c r="J1143" s="8">
        <f t="shared" si="1144"/>
        <v>28</v>
      </c>
      <c r="K1143" s="8" t="s">
        <v>5107</v>
      </c>
    </row>
    <row r="1144">
      <c r="A1144" s="7" t="b">
        <v>1</v>
      </c>
      <c r="B1144" s="8" t="s">
        <v>5108</v>
      </c>
      <c r="C1144" s="7" t="s">
        <v>5109</v>
      </c>
      <c r="D1144" s="8" t="str">
        <f>Q&amp;$K1144&amp;Q&amp;":{"&amp;Q&amp;$B$2&amp;Q&amp;":"&amp;Q&amp;$B1144&amp;Q&amp;","&amp;Q&amp;$C$2&amp;Q&amp;":"&amp;Q&amp;$C1144&amp;Q&amp;","&amp;Q&amp;"sets"&amp;Q&amp;":"&amp;Q&amp;substitute(SUBSTITUTE($H1144,"[",""),"]","")&amp;Q&amp;"},"</f>
        <v>"ahvb":{"label":"Oil &amp; Vinegar","extra":"They don’t mix, but we keep trying.","sets":"Expansion Set 4, Party Expansion 1"},</v>
      </c>
      <c r="E1144" s="9" t="str">
        <f t="shared" si="2"/>
        <v>data:image/svg+xml,%3csvg xmlns='http://www.w3.org/2000/svg' viewBox='0 0 24 216'%3e%3ctext fill='%23fff' style='font: 900 16px sans-serif' text-anchor='end' transform='matrix(0 -1 1 0 18 5)'%3eOil %26amp%3B Vinegar%3c/text%3e%3c/svg%3e</v>
      </c>
      <c r="F1144" s="14" t="str">
        <f t="shared" si="3"/>
        <v>https://svgtext.heliohost.us/cgi-bin/gen.perl?text=Oil%20%26%20Vinegar</v>
      </c>
      <c r="G1144" s="11" t="str">
        <f t="shared" si="4"/>
        <v>data:image/svg+xml,%3csvg xmlns='http://www.w3.org/2000/svg' viewBox='0 0 24 216'%3e%3ctext fill='%23fff' style='font: 900 16px sans-serif' text-anchor='end' transform='matrix(0 -1 1 0 18 5)'%3eOil %26amp%3B Vinegar%3c/text%3e%3c/svg%3e</v>
      </c>
      <c r="H1144" s="8" t="s">
        <v>63</v>
      </c>
      <c r="I1144" s="8">
        <f t="shared" ref="I1144:J1144" si="1145">len(B1144)</f>
        <v>13</v>
      </c>
      <c r="J1144" s="8">
        <f t="shared" si="1145"/>
        <v>35</v>
      </c>
      <c r="K1144" s="8" t="s">
        <v>5110</v>
      </c>
    </row>
    <row r="1145">
      <c r="A1145" s="7" t="b">
        <v>0</v>
      </c>
      <c r="B1145" s="8" t="s">
        <v>5111</v>
      </c>
      <c r="C1145" s="8" t="s">
        <v>5112</v>
      </c>
      <c r="D1145" s="8" t="str">
        <f>Q&amp;$K1145&amp;Q&amp;":{"&amp;Q&amp;$B$2&amp;Q&amp;":"&amp;Q&amp;$B1145&amp;Q&amp;","&amp;Q&amp;$C$2&amp;Q&amp;":"&amp;Q&amp;$C1145&amp;Q&amp;","&amp;Q&amp;"sets"&amp;Q&amp;":"&amp;Q&amp;substitute(SUBSTITUTE($H1145,"[",""),"]","")&amp;Q&amp;"},"</f>
        <v>"fufb":{"label":"Oil Spills","extra":"The American oil tanker, Exxon Valdez, went aground in Prince William Sound, Alaska, Mar. 24, 1989. Slick Move.","sets":"Expansion Set 1, Party Set"},</v>
      </c>
      <c r="E1145" s="9" t="str">
        <f t="shared" si="2"/>
        <v>data:image/svg+xml,%3csvg xmlns='http://www.w3.org/2000/svg' viewBox='0 0 24 216'%3e%3ctext fill='%23fff' style='font: 900 16px sans-serif' text-anchor='end' transform='matrix(0 -1 1 0 18 5)'%3eOil Spills%3c/text%3e%3c/svg%3e</v>
      </c>
      <c r="F1145" s="14" t="str">
        <f t="shared" si="3"/>
        <v>https://svgtext.heliohost.us/cgi-bin/gen.perl?text=Oil%20Spills</v>
      </c>
      <c r="G1145" s="11" t="str">
        <f t="shared" si="4"/>
        <v>data:image/svg+xml,%3csvg xmlns='http://www.w3.org/2000/svg' viewBox='0 0 24 216'%3e%3ctext fill='%23fff' style='font: 900 16px sans-serif' text-anchor='end' transform='matrix(0 -1 1 0 18 5)'%3eOil Spills%3c/text%3e%3c/svg%3e</v>
      </c>
      <c r="H1145" s="8" t="s">
        <v>25</v>
      </c>
      <c r="I1145" s="8">
        <f t="shared" ref="I1145:J1145" si="1146">len(B1145)</f>
        <v>10</v>
      </c>
      <c r="J1145" s="8">
        <f t="shared" si="1146"/>
        <v>111</v>
      </c>
      <c r="K1145" s="8" t="s">
        <v>5113</v>
      </c>
    </row>
    <row r="1146">
      <c r="A1146" s="7" t="b">
        <v>1</v>
      </c>
      <c r="B1146" s="8" t="s">
        <v>5114</v>
      </c>
      <c r="C1146" s="7" t="s">
        <v>5115</v>
      </c>
      <c r="D1146" s="8" t="str">
        <f>Q&amp;$K1146&amp;Q&amp;":{"&amp;Q&amp;$B$2&amp;Q&amp;":"&amp;Q&amp;$B1146&amp;Q&amp;","&amp;Q&amp;$C$2&amp;Q&amp;":"&amp;Q&amp;$C1146&amp;Q&amp;","&amp;Q&amp;"sets"&amp;Q&amp;":"&amp;Q&amp;substitute(SUBSTITUTE($H1146,"[",""),"]","")&amp;Q&amp;"},"</f>
        <v>"jyjj":{"label":"Old Age","extra":"It looks good when you consider the alternative.","sets":"Expansion Set 3, Party Expansion 1"},</v>
      </c>
      <c r="E1146" s="9" t="str">
        <f t="shared" si="2"/>
        <v>data:image/svg+xml,%3csvg xmlns='http://www.w3.org/2000/svg' viewBox='0 0 24 216'%3e%3ctext fill='%23fff' style='font: 900 16px sans-serif' text-anchor='end' transform='matrix(0 -1 1 0 18 5)'%3eOld Age%3c/text%3e%3c/svg%3e</v>
      </c>
      <c r="F1146" s="14" t="str">
        <f t="shared" si="3"/>
        <v>https://svgtext.heliohost.us/cgi-bin/gen.perl?text=Old%20Age</v>
      </c>
      <c r="G1146" s="11" t="str">
        <f t="shared" si="4"/>
        <v>data:image/svg+xml,%3csvg xmlns='http://www.w3.org/2000/svg' viewBox='0 0 24 216'%3e%3ctext fill='%23fff' style='font: 900 16px sans-serif' text-anchor='end' transform='matrix(0 -1 1 0 18 5)'%3eOld Age%3c/text%3e%3c/svg%3e</v>
      </c>
      <c r="H1146" s="8" t="s">
        <v>39</v>
      </c>
      <c r="I1146" s="8">
        <f t="shared" ref="I1146:J1146" si="1147">len(B1146)</f>
        <v>7</v>
      </c>
      <c r="J1146" s="8">
        <f t="shared" si="1147"/>
        <v>48</v>
      </c>
      <c r="K1146" s="8" t="s">
        <v>5116</v>
      </c>
    </row>
    <row r="1147">
      <c r="A1147" s="7" t="b">
        <v>0</v>
      </c>
      <c r="B1147" s="8" t="s">
        <v>5117</v>
      </c>
      <c r="C1147" s="7" t="s">
        <v>5118</v>
      </c>
      <c r="D1147" s="8" t="str">
        <f>Q&amp;$K1147&amp;Q&amp;":{"&amp;Q&amp;$B$2&amp;Q&amp;":"&amp;Q&amp;$B1147&amp;Q&amp;","&amp;Q&amp;$C$2&amp;Q&amp;":"&amp;Q&amp;$C1147&amp;Q&amp;","&amp;Q&amp;"sets"&amp;Q&amp;":"&amp;Q&amp;substitute(SUBSTITUTE($H1147,"[",""),"]","")&amp;Q&amp;"},"</f>
        <v>"hrlm":{"label":"Olive Oil","extra":"Derived from fresh ripe fruit, which contain about 20% oil. Better than “olive” the other oils.","sets":"Basic Set, Party Set"},</v>
      </c>
      <c r="E1147" s="9" t="str">
        <f t="shared" si="2"/>
        <v>data:image/svg+xml,%3csvg xmlns='http://www.w3.org/2000/svg' viewBox='0 0 24 216'%3e%3ctext fill='%23fff' style='font: 900 16px sans-serif' text-anchor='end' transform='matrix(0 -1 1 0 18 5)'%3eOlive Oil%3c/text%3e%3c/svg%3e</v>
      </c>
      <c r="F1147" s="14" t="str">
        <f t="shared" si="3"/>
        <v>https://svgtext.heliohost.us/cgi-bin/gen.perl?text=Olive%20Oil</v>
      </c>
      <c r="G1147" s="11" t="str">
        <f t="shared" si="4"/>
        <v>data:image/svg+xml,%3csvg xmlns='http://www.w3.org/2000/svg' viewBox='0 0 24 216'%3e%3ctext fill='%23fff' style='font: 900 16px sans-serif' text-anchor='end' transform='matrix(0 -1 1 0 18 5)'%3eOlive Oil%3c/text%3e%3c/svg%3e</v>
      </c>
      <c r="H1147" s="8" t="s">
        <v>29</v>
      </c>
      <c r="I1147" s="8">
        <f t="shared" ref="I1147:J1147" si="1148">len(B1147)</f>
        <v>9</v>
      </c>
      <c r="J1147" s="8">
        <f t="shared" si="1148"/>
        <v>95</v>
      </c>
      <c r="K1147" s="8" t="s">
        <v>5119</v>
      </c>
    </row>
    <row r="1148">
      <c r="A1148" s="7" t="b">
        <v>1</v>
      </c>
      <c r="B1148" s="8" t="s">
        <v>5120</v>
      </c>
      <c r="C1148" s="8" t="s">
        <v>5121</v>
      </c>
      <c r="D1148" s="8" t="str">
        <f>Q&amp;$K1148&amp;Q&amp;":{"&amp;Q&amp;$B$2&amp;Q&amp;":"&amp;Q&amp;$B1148&amp;Q&amp;","&amp;Q&amp;$C$2&amp;Q&amp;":"&amp;Q&amp;$C1148&amp;Q&amp;","&amp;Q&amp;"sets"&amp;Q&amp;":"&amp;Q&amp;substitute(SUBSTITUTE($H1148,"[",""),"]","")&amp;Q&amp;"},"</f>
        <v>"qrll":{"label":"On The Roof","extra":"Come down this instant!","sets":"Junior 9+ (2nd)"},</v>
      </c>
      <c r="E1148" s="9" t="str">
        <f t="shared" si="2"/>
        <v>data:image/svg+xml,%3csvg xmlns='http://www.w3.org/2000/svg' viewBox='0 0 24 216'%3e%3ctext fill='%23fff' style='font: 900 16px sans-serif' text-anchor='end' transform='matrix(0 -1 1 0 18 5)'%3eOn The Roof%3c/text%3e%3c/svg%3e</v>
      </c>
      <c r="F1148" s="14" t="str">
        <f t="shared" si="3"/>
        <v>https://svgtext.heliohost.us/cgi-bin/gen.perl?text=On%20The%20Roof</v>
      </c>
      <c r="G1148" s="11" t="str">
        <f t="shared" si="4"/>
        <v>data:image/svg+xml,%3csvg xmlns='http://www.w3.org/2000/svg' viewBox='0 0 24 216'%3e%3ctext fill='%23fff' style='font: 900 16px sans-serif' text-anchor='end' transform='matrix(0 -1 1 0 18 5)'%3eOn The Roof%3c/text%3e%3c/svg%3e</v>
      </c>
      <c r="H1148" s="8" t="s">
        <v>32</v>
      </c>
      <c r="I1148" s="8">
        <f t="shared" ref="I1148:J1148" si="1149">len(B1148)</f>
        <v>11</v>
      </c>
      <c r="J1148" s="8">
        <f t="shared" si="1149"/>
        <v>23</v>
      </c>
      <c r="K1148" s="8" t="s">
        <v>5122</v>
      </c>
    </row>
    <row r="1149">
      <c r="A1149" s="7" t="b">
        <v>0</v>
      </c>
      <c r="B1149" s="8" t="s">
        <v>5123</v>
      </c>
      <c r="C1149" s="7" t="s">
        <v>5124</v>
      </c>
      <c r="D1149" s="8" t="str">
        <f>Q&amp;$K1149&amp;Q&amp;":{"&amp;Q&amp;$B$2&amp;Q&amp;":"&amp;Q&amp;$B1149&amp;Q&amp;","&amp;Q&amp;$C$2&amp;Q&amp;":"&amp;Q&amp;$C1149&amp;Q&amp;","&amp;Q&amp;"sets"&amp;Q&amp;":"&amp;Q&amp;substitute(SUBSTITUTE($H1149,"[",""),"]","")&amp;Q&amp;"},"</f>
        <v>"fwpq":{"label":"On-Line Shopping","extra":"Enter your credit card number now. This is a secure site… Sure it is…","sets":"Expansion Set 2, Party Set"},</v>
      </c>
      <c r="E1149" s="9" t="str">
        <f t="shared" si="2"/>
        <v>data:image/svg+xml,%3csvg xmlns='http://www.w3.org/2000/svg' viewBox='0 0 24 216'%3e%3ctext fill='%23fff' style='font: 900 16px sans-serif' text-anchor='end' transform='matrix(0 -1 1 0 18 5)'%3eOn-Line Shopping%3c/text%3e%3c/svg%3e</v>
      </c>
      <c r="F1149" s="14" t="str">
        <f t="shared" si="3"/>
        <v>https://svgtext.heliohost.us/cgi-bin/gen.perl?text=On-Line%20Shopping</v>
      </c>
      <c r="G1149" s="11" t="str">
        <f t="shared" si="4"/>
        <v>data:image/svg+xml,%3csvg xmlns='http://www.w3.org/2000/svg' viewBox='0 0 24 216'%3e%3ctext fill='%23fff' style='font: 900 16px sans-serif' text-anchor='end' transform='matrix(0 -1 1 0 18 5)'%3eOn-Line Shopping%3c/text%3e%3c/svg%3e</v>
      </c>
      <c r="H1149" s="8" t="s">
        <v>17</v>
      </c>
      <c r="I1149" s="8">
        <f t="shared" ref="I1149:J1149" si="1150">len(B1149)</f>
        <v>16</v>
      </c>
      <c r="J1149" s="8">
        <f t="shared" si="1150"/>
        <v>69</v>
      </c>
      <c r="K1149" s="8" t="s">
        <v>5125</v>
      </c>
    </row>
    <row r="1150">
      <c r="A1150" s="7" t="b">
        <v>1</v>
      </c>
      <c r="B1150" s="8" t="s">
        <v>5126</v>
      </c>
      <c r="C1150" s="8" t="s">
        <v>5127</v>
      </c>
      <c r="D1150" s="8" t="str">
        <f>Q&amp;$K1150&amp;Q&amp;":{"&amp;Q&amp;$B$2&amp;Q&amp;":"&amp;Q&amp;$B1150&amp;Q&amp;","&amp;Q&amp;$C$2&amp;Q&amp;":"&amp;Q&amp;$C1150&amp;Q&amp;","&amp;Q&amp;"sets"&amp;Q&amp;":"&amp;Q&amp;substitute(SUBSTITUTE($H1150,"[",""),"]","")&amp;Q&amp;"},"</f>
        <v>"comh":{"label":"Onions","extra":"Round root vegetables with a strong smell and taste. They might make you cry!","sets":"Junior"},</v>
      </c>
      <c r="E1150" s="9" t="str">
        <f t="shared" si="2"/>
        <v>data:image/svg+xml,%3csvg xmlns='http://www.w3.org/2000/svg' viewBox='0 0 24 216'%3e%3ctext fill='%23fff' style='font: 900 16px sans-serif' text-anchor='end' transform='matrix(0 -1 1 0 18 5)'%3eOnions%3c/text%3e%3c/svg%3e</v>
      </c>
      <c r="F1150" s="14" t="str">
        <f t="shared" si="3"/>
        <v>https://svgtext.heliohost.us/cgi-bin/gen.perl?text=Onions</v>
      </c>
      <c r="G1150" s="11" t="str">
        <f t="shared" si="4"/>
        <v>data:image/svg+xml,%3csvg xmlns='http://www.w3.org/2000/svg' viewBox='0 0 24 216'%3e%3ctext fill='%23fff' style='font: 900 16px sans-serif' text-anchor='end' transform='matrix(0 -1 1 0 18 5)'%3eOnions%3c/text%3e%3c/svg%3e</v>
      </c>
      <c r="H1150" s="8" t="s">
        <v>84</v>
      </c>
      <c r="I1150" s="8">
        <f t="shared" ref="I1150:J1150" si="1151">len(B1150)</f>
        <v>6</v>
      </c>
      <c r="J1150" s="8">
        <f t="shared" si="1151"/>
        <v>77</v>
      </c>
      <c r="K1150" s="8" t="s">
        <v>5128</v>
      </c>
    </row>
    <row r="1151">
      <c r="A1151" s="7" t="b">
        <v>0</v>
      </c>
      <c r="B1151" s="8" t="s">
        <v>5129</v>
      </c>
      <c r="C1151" s="8" t="s">
        <v>5130</v>
      </c>
      <c r="D1151" s="8" t="str">
        <f>Q&amp;$K1151&amp;Q&amp;":{"&amp;Q&amp;$B$2&amp;Q&amp;":"&amp;Q&amp;$B1151&amp;Q&amp;","&amp;Q&amp;$C$2&amp;Q&amp;":"&amp;Q&amp;$C1151&amp;Q&amp;","&amp;Q&amp;"sets"&amp;Q&amp;":"&amp;Q&amp;substitute(SUBSTITUTE($H1151,"[",""),"]","")&amp;Q&amp;"},"</f>
        <v>"etdt":{"label":"Oprah Winfrey","extra":"1954-, Television talk show host, actor and all-around American success story.","sets":"Basic Set, Party Set"},</v>
      </c>
      <c r="E1151" s="9" t="str">
        <f t="shared" si="2"/>
        <v>data:image/svg+xml,%3csvg xmlns='http://www.w3.org/2000/svg' viewBox='0 0 24 216'%3e%3ctext fill='%23fff' style='font: 900 16px sans-serif' text-anchor='end' transform='matrix(0 -1 1 0 18 5)'%3eOprah Winfrey%3c/text%3e%3c/svg%3e</v>
      </c>
      <c r="F1151" s="14" t="str">
        <f t="shared" si="3"/>
        <v>https://svgtext.heliohost.us/cgi-bin/gen.perl?text=Oprah%20Winfrey</v>
      </c>
      <c r="G1151" s="11" t="str">
        <f t="shared" si="4"/>
        <v>data:image/svg+xml,%3csvg xmlns='http://www.w3.org/2000/svg' viewBox='0 0 24 216'%3e%3ctext fill='%23fff' style='font: 900 16px sans-serif' text-anchor='end' transform='matrix(0 -1 1 0 18 5)'%3eOprah Winfrey%3c/text%3e%3c/svg%3e</v>
      </c>
      <c r="H1151" s="8" t="s">
        <v>29</v>
      </c>
      <c r="I1151" s="8">
        <f t="shared" ref="I1151:J1151" si="1152">len(B1151)</f>
        <v>13</v>
      </c>
      <c r="J1151" s="8">
        <f t="shared" si="1152"/>
        <v>78</v>
      </c>
      <c r="K1151" s="8" t="s">
        <v>5131</v>
      </c>
    </row>
    <row r="1152">
      <c r="A1152" s="7" t="b">
        <v>0</v>
      </c>
      <c r="B1152" s="8" t="s">
        <v>5132</v>
      </c>
      <c r="C1152" s="7" t="s">
        <v>5133</v>
      </c>
      <c r="D1152" s="8" t="str">
        <f>Q&amp;$K1152&amp;Q&amp;":{"&amp;Q&amp;$B$2&amp;Q&amp;":"&amp;Q&amp;$B1152&amp;Q&amp;","&amp;Q&amp;$C$2&amp;Q&amp;":"&amp;Q&amp;$C1152&amp;Q&amp;","&amp;Q&amp;"sets"&amp;Q&amp;":"&amp;Q&amp;substitute(SUBSTITUTE($H1152,"[",""),"]","")&amp;Q&amp;"},"</f>
        <v>"xtzy":{"label":"Oral Surgery","extra":"You said a mouthful.","sets":"Expansion Set 2, Party Set"},</v>
      </c>
      <c r="E1152" s="9" t="str">
        <f t="shared" si="2"/>
        <v>data:image/svg+xml,%3csvg xmlns='http://www.w3.org/2000/svg' viewBox='0 0 24 216'%3e%3ctext fill='%23fff' style='font: 900 16px sans-serif' text-anchor='end' transform='matrix(0 -1 1 0 18 5)'%3eOral Surgery%3c/text%3e%3c/svg%3e</v>
      </c>
      <c r="F1152" s="14" t="str">
        <f t="shared" si="3"/>
        <v>https://svgtext.heliohost.us/cgi-bin/gen.perl?text=Oral%20Surgery</v>
      </c>
      <c r="G1152" s="11" t="str">
        <f t="shared" si="4"/>
        <v>data:image/svg+xml,%3csvg xmlns='http://www.w3.org/2000/svg' viewBox='0 0 24 216'%3e%3ctext fill='%23fff' style='font: 900 16px sans-serif' text-anchor='end' transform='matrix(0 -1 1 0 18 5)'%3eOral Surgery%3c/text%3e%3c/svg%3e</v>
      </c>
      <c r="H1152" s="8" t="s">
        <v>17</v>
      </c>
      <c r="I1152" s="8">
        <f t="shared" ref="I1152:J1152" si="1153">len(B1152)</f>
        <v>12</v>
      </c>
      <c r="J1152" s="8">
        <f t="shared" si="1153"/>
        <v>20</v>
      </c>
      <c r="K1152" s="8" t="s">
        <v>5134</v>
      </c>
    </row>
    <row r="1153">
      <c r="A1153" s="7" t="b">
        <v>1</v>
      </c>
      <c r="B1153" s="8" t="s">
        <v>5135</v>
      </c>
      <c r="C1153" s="8" t="s">
        <v>5136</v>
      </c>
      <c r="D1153" s="8" t="str">
        <f>Q&amp;$K1153&amp;Q&amp;":{"&amp;Q&amp;$B$2&amp;Q&amp;":"&amp;Q&amp;$B1153&amp;Q&amp;","&amp;Q&amp;$C$2&amp;Q&amp;":"&amp;Q&amp;$C1153&amp;Q&amp;","&amp;Q&amp;"sets"&amp;Q&amp;":"&amp;Q&amp;substitute(SUBSTITUTE($H1153,"[",""),"]","")&amp;Q&amp;"},"</f>
        <v>"nzzg":{"label":"Orange Juice","extra":"Sunshine in a glass!","sets":"Junior 9+ (2nd)"},</v>
      </c>
      <c r="E1153" s="9" t="str">
        <f t="shared" si="2"/>
        <v>data:image/svg+xml,%3csvg xmlns='http://www.w3.org/2000/svg' viewBox='0 0 24 216'%3e%3ctext fill='%23fff' style='font: 900 16px sans-serif' text-anchor='end' transform='matrix(0 -1 1 0 18 5)'%3eOrange Juice%3c/text%3e%3c/svg%3e</v>
      </c>
      <c r="F1153" s="14" t="str">
        <f t="shared" si="3"/>
        <v>https://svgtext.heliohost.us/cgi-bin/gen.perl?text=Orange%20Juice</v>
      </c>
      <c r="G1153" s="11" t="str">
        <f t="shared" si="4"/>
        <v>data:image/svg+xml,%3csvg xmlns='http://www.w3.org/2000/svg' viewBox='0 0 24 216'%3e%3ctext fill='%23fff' style='font: 900 16px sans-serif' text-anchor='end' transform='matrix(0 -1 1 0 18 5)'%3eOrange Juice%3c/text%3e%3c/svg%3e</v>
      </c>
      <c r="H1153" s="8" t="s">
        <v>32</v>
      </c>
      <c r="I1153" s="8">
        <f t="shared" ref="I1153:J1153" si="1154">len(B1153)</f>
        <v>12</v>
      </c>
      <c r="J1153" s="8">
        <f t="shared" si="1154"/>
        <v>20</v>
      </c>
      <c r="K1153" s="8" t="s">
        <v>5137</v>
      </c>
    </row>
    <row r="1154">
      <c r="A1154" s="7" t="b">
        <v>0</v>
      </c>
      <c r="B1154" s="8" t="s">
        <v>5138</v>
      </c>
      <c r="C1154" s="8" t="s">
        <v>5139</v>
      </c>
      <c r="D1154" s="8" t="str">
        <f>Q&amp;$K1154&amp;Q&amp;":{"&amp;Q&amp;$B$2&amp;Q&amp;":"&amp;Q&amp;$B1154&amp;Q&amp;","&amp;Q&amp;$C$2&amp;Q&amp;":"&amp;Q&amp;$C1154&amp;Q&amp;","&amp;Q&amp;"sets"&amp;Q&amp;":"&amp;Q&amp;substitute(SUBSTITUTE($H1154,"[",""),"]","")&amp;Q&amp;"},"</f>
        <v>"cmn{":{"label":"Oranges","extra":"Round orange fruit, often made into juice. Some oranges have navels.","sets":"Junior"},</v>
      </c>
      <c r="E1154" s="9" t="str">
        <f t="shared" si="2"/>
        <v>data:image/svg+xml,%3csvg xmlns='http://www.w3.org/2000/svg' viewBox='0 0 24 216'%3e%3ctext fill='%23fff' style='font: 900 16px sans-serif' text-anchor='end' transform='matrix(0 -1 1 0 18 5)'%3eOranges%3c/text%3e%3c/svg%3e</v>
      </c>
      <c r="F1154" s="14" t="str">
        <f t="shared" si="3"/>
        <v>https://svgtext.heliohost.us/cgi-bin/gen.perl?text=Oranges</v>
      </c>
      <c r="G1154" s="11" t="str">
        <f t="shared" si="4"/>
        <v>data:image/svg+xml,%3csvg xmlns='http://www.w3.org/2000/svg' viewBox='0 0 24 216'%3e%3ctext fill='%23fff' style='font: 900 16px sans-serif' text-anchor='end' transform='matrix(0 -1 1 0 18 5)'%3eOranges%3c/text%3e%3c/svg%3e</v>
      </c>
      <c r="H1154" s="8" t="s">
        <v>84</v>
      </c>
      <c r="I1154" s="8">
        <f t="shared" ref="I1154:J1154" si="1155">len(B1154)</f>
        <v>7</v>
      </c>
      <c r="J1154" s="8">
        <f t="shared" si="1155"/>
        <v>68</v>
      </c>
      <c r="K1154" s="8" t="s">
        <v>5140</v>
      </c>
    </row>
    <row r="1155">
      <c r="A1155" s="7" t="b">
        <v>1</v>
      </c>
      <c r="B1155" s="8" t="s">
        <v>5138</v>
      </c>
      <c r="C1155" s="7" t="s">
        <v>5141</v>
      </c>
      <c r="D1155" s="8" t="str">
        <f>Q&amp;$K1155&amp;Q&amp;":{"&amp;Q&amp;$B$2&amp;Q&amp;":"&amp;Q&amp;$B1155&amp;Q&amp;","&amp;Q&amp;$C$2&amp;Q&amp;":"&amp;Q&amp;$C1155&amp;Q&amp;","&amp;Q&amp;"sets"&amp;Q&amp;":"&amp;Q&amp;substitute(SUBSTITUTE($H1155,"[",""),"]","")&amp;Q&amp;"},"</f>
        <v>"bvga":{"label":"Oranges","extra":"Face it… nothing rhymes with orange.","sets":"Basic Set, Party Set"},</v>
      </c>
      <c r="E1155" s="9" t="str">
        <f t="shared" si="2"/>
        <v>data:image/svg+xml,%3csvg xmlns='http://www.w3.org/2000/svg' viewBox='0 0 24 216'%3e%3ctext fill='%23fff' style='font: 900 16px sans-serif' text-anchor='end' transform='matrix(0 -1 1 0 18 5)'%3eOranges%3c/text%3e%3c/svg%3e</v>
      </c>
      <c r="F1155" s="14" t="str">
        <f t="shared" si="3"/>
        <v>https://svgtext.heliohost.us/cgi-bin/gen.perl?text=Oranges</v>
      </c>
      <c r="G1155" s="11" t="str">
        <f t="shared" si="4"/>
        <v>data:image/svg+xml,%3csvg xmlns='http://www.w3.org/2000/svg' viewBox='0 0 24 216'%3e%3ctext fill='%23fff' style='font: 900 16px sans-serif' text-anchor='end' transform='matrix(0 -1 1 0 18 5)'%3eOranges%3c/text%3e%3c/svg%3e</v>
      </c>
      <c r="H1155" s="8" t="s">
        <v>29</v>
      </c>
      <c r="I1155" s="8">
        <f t="shared" ref="I1155:J1155" si="1156">len(B1155)</f>
        <v>7</v>
      </c>
      <c r="J1155" s="8">
        <f t="shared" si="1156"/>
        <v>36</v>
      </c>
      <c r="K1155" s="8" t="s">
        <v>5142</v>
      </c>
    </row>
    <row r="1156">
      <c r="A1156" s="7" t="b">
        <v>1</v>
      </c>
      <c r="B1156" s="8" t="s">
        <v>5143</v>
      </c>
      <c r="C1156" s="7" t="s">
        <v>5144</v>
      </c>
      <c r="D1156" s="8" t="str">
        <f>Q&amp;$K1156&amp;Q&amp;":{"&amp;Q&amp;$B$2&amp;Q&amp;":"&amp;Q&amp;$B1156&amp;Q&amp;","&amp;Q&amp;$C$2&amp;Q&amp;":"&amp;Q&amp;$C1156&amp;Q&amp;","&amp;Q&amp;"sets"&amp;Q&amp;":"&amp;Q&amp;substitute(SUBSTITUTE($H1156,"[",""),"]","")&amp;Q&amp;"},"</f>
        <v>"xgcm":{"label":"Ordinary People","extra":"Nothing special.","sets":"Expansion Set 3, Party Expansion 1"},</v>
      </c>
      <c r="E1156" s="9" t="str">
        <f t="shared" si="2"/>
        <v>data:image/svg+xml,%3csvg xmlns='http://www.w3.org/2000/svg' viewBox='0 0 24 216'%3e%3ctext fill='%23fff' style='font: 900 16px sans-serif' text-anchor='end' transform='matrix(0 -1 1 0 18 5)'%3eOrdinary People%3c/text%3e%3c/svg%3e</v>
      </c>
      <c r="F1156" s="14" t="str">
        <f t="shared" si="3"/>
        <v>https://svgtext.heliohost.us/cgi-bin/gen.perl?text=Ordinary%20People</v>
      </c>
      <c r="G1156" s="11" t="str">
        <f t="shared" si="4"/>
        <v>data:image/svg+xml,%3csvg xmlns='http://www.w3.org/2000/svg' viewBox='0 0 24 216'%3e%3ctext fill='%23fff' style='font: 900 16px sans-serif' text-anchor='end' transform='matrix(0 -1 1 0 18 5)'%3eOrdinary People%3c/text%3e%3c/svg%3e</v>
      </c>
      <c r="H1156" s="8" t="s">
        <v>39</v>
      </c>
      <c r="I1156" s="8">
        <f t="shared" ref="I1156:J1156" si="1157">len(B1156)</f>
        <v>15</v>
      </c>
      <c r="J1156" s="8">
        <f t="shared" si="1157"/>
        <v>16</v>
      </c>
      <c r="K1156" s="8" t="s">
        <v>5145</v>
      </c>
    </row>
    <row r="1157">
      <c r="A1157" s="7" t="b">
        <v>1</v>
      </c>
      <c r="B1157" s="8" t="s">
        <v>5146</v>
      </c>
      <c r="C1157" s="7" t="s">
        <v>5147</v>
      </c>
      <c r="D1157" s="8" t="str">
        <f>Q&amp;$K1157&amp;Q&amp;":{"&amp;Q&amp;$B$2&amp;Q&amp;":"&amp;Q&amp;$B1157&amp;Q&amp;","&amp;Q&amp;$C$2&amp;Q&amp;":"&amp;Q&amp;$C1157&amp;Q&amp;","&amp;Q&amp;"sets"&amp;Q&amp;":"&amp;Q&amp;substitute(SUBSTITUTE($H1157,"[",""),"]","")&amp;Q&amp;"},"</f>
        <v>"wbna":{"label":"Outer Space","extra":"Where the sun, moon, and planets are located. Maybe you’ll visit there some day.","sets":"Junior"},</v>
      </c>
      <c r="E1157" s="9" t="str">
        <f t="shared" si="2"/>
        <v>data:image/svg+xml,%3csvg xmlns='http://www.w3.org/2000/svg' viewBox='0 0 24 216'%3e%3ctext fill='%23fff' style='font: 900 16px sans-serif' text-anchor='end' transform='matrix(0 -1 1 0 18 5)'%3eOuter Space%3c/text%3e%3c/svg%3e</v>
      </c>
      <c r="F1157" s="14" t="str">
        <f t="shared" si="3"/>
        <v>https://svgtext.heliohost.us/cgi-bin/gen.perl?text=Outer%20Space</v>
      </c>
      <c r="G1157" s="11" t="str">
        <f t="shared" si="4"/>
        <v>data:image/svg+xml,%3csvg xmlns='http://www.w3.org/2000/svg' viewBox='0 0 24 216'%3e%3ctext fill='%23fff' style='font: 900 16px sans-serif' text-anchor='end' transform='matrix(0 -1 1 0 18 5)'%3eOuter Space%3c/text%3e%3c/svg%3e</v>
      </c>
      <c r="H1157" s="8" t="s">
        <v>84</v>
      </c>
      <c r="I1157" s="8">
        <f t="shared" ref="I1157:J1157" si="1158">len(B1157)</f>
        <v>11</v>
      </c>
      <c r="J1157" s="8">
        <f t="shared" si="1158"/>
        <v>80</v>
      </c>
      <c r="K1157" s="8" t="s">
        <v>5148</v>
      </c>
    </row>
    <row r="1158">
      <c r="A1158" s="7" t="b">
        <v>1</v>
      </c>
      <c r="B1158" s="8" t="s">
        <v>5149</v>
      </c>
      <c r="C1158" s="8" t="s">
        <v>5150</v>
      </c>
      <c r="D1158" s="8" t="str">
        <f>Q&amp;$K1158&amp;Q&amp;":{"&amp;Q&amp;$B$2&amp;Q&amp;":"&amp;Q&amp;$B1158&amp;Q&amp;","&amp;Q&amp;$C$2&amp;Q&amp;":"&amp;Q&amp;$C1158&amp;Q&amp;","&amp;Q&amp;"sets"&amp;Q&amp;":"&amp;Q&amp;substitute(SUBSTITUTE($H1158,"[",""),"]","")&amp;Q&amp;"},"</f>
        <v>"xbpe":{"label":"Owls","extra":"Birds with large eyes and heads. They eat mice and snakes. Hoot-hoot.","sets":"Junior"},</v>
      </c>
      <c r="E1158" s="9" t="str">
        <f t="shared" si="2"/>
        <v>data:image/svg+xml,%3csvg xmlns='http://www.w3.org/2000/svg' viewBox='0 0 24 216'%3e%3ctext fill='%23fff' style='font: 900 16px sans-serif' text-anchor='end' transform='matrix(0 -1 1 0 18 5)'%3eOwls%3c/text%3e%3c/svg%3e</v>
      </c>
      <c r="F1158" s="14" t="str">
        <f t="shared" si="3"/>
        <v>https://svgtext.heliohost.us/cgi-bin/gen.perl?text=Owls</v>
      </c>
      <c r="G1158" s="11" t="str">
        <f t="shared" si="4"/>
        <v>data:image/svg+xml,%3csvg xmlns='http://www.w3.org/2000/svg' viewBox='0 0 24 216'%3e%3ctext fill='%23fff' style='font: 900 16px sans-serif' text-anchor='end' transform='matrix(0 -1 1 0 18 5)'%3eOwls%3c/text%3e%3c/svg%3e</v>
      </c>
      <c r="H1158" s="8" t="s">
        <v>84</v>
      </c>
      <c r="I1158" s="8">
        <f t="shared" ref="I1158:J1158" si="1159">len(B1158)</f>
        <v>4</v>
      </c>
      <c r="J1158" s="8">
        <f t="shared" si="1159"/>
        <v>69</v>
      </c>
      <c r="K1158" s="8" t="s">
        <v>5151</v>
      </c>
    </row>
    <row r="1159">
      <c r="A1159" s="7" t="b">
        <v>0</v>
      </c>
      <c r="B1159" s="8" t="s">
        <v>5152</v>
      </c>
      <c r="C1159" s="8" t="s">
        <v>5153</v>
      </c>
      <c r="D1159" s="8" t="str">
        <f>Q&amp;$K1159&amp;Q&amp;":{"&amp;Q&amp;$B$2&amp;Q&amp;":"&amp;Q&amp;$B1159&amp;Q&amp;","&amp;Q&amp;$C$2&amp;Q&amp;":"&amp;Q&amp;$C1159&amp;Q&amp;","&amp;Q&amp;"sets"&amp;Q&amp;":"&amp;Q&amp;substitute(SUBSTITUTE($H1159,"[",""),"]","")&amp;Q&amp;"},"</f>
        <v>"bzdu":{"label":"Oxygen","extra":"Oxygen was discovered in 1774. You'd think someone would have noticed it earlier.","sets":"Basic Set, Party Set"},</v>
      </c>
      <c r="E1159" s="9" t="str">
        <f t="shared" si="2"/>
        <v>data:image/svg+xml,%3csvg xmlns='http://www.w3.org/2000/svg' viewBox='0 0 24 216'%3e%3ctext fill='%23fff' style='font: 900 16px sans-serif' text-anchor='end' transform='matrix(0 -1 1 0 18 5)'%3eOxygen%3c/text%3e%3c/svg%3e</v>
      </c>
      <c r="F1159" s="14" t="str">
        <f t="shared" si="3"/>
        <v>https://svgtext.heliohost.us/cgi-bin/gen.perl?text=Oxygen</v>
      </c>
      <c r="G1159" s="11" t="str">
        <f t="shared" si="4"/>
        <v>data:image/svg+xml,%3csvg xmlns='http://www.w3.org/2000/svg' viewBox='0 0 24 216'%3e%3ctext fill='%23fff' style='font: 900 16px sans-serif' text-anchor='end' transform='matrix(0 -1 1 0 18 5)'%3eOxygen%3c/text%3e%3c/svg%3e</v>
      </c>
      <c r="H1159" s="8" t="s">
        <v>29</v>
      </c>
      <c r="I1159" s="8">
        <f t="shared" ref="I1159:J1159" si="1160">len(B1159)</f>
        <v>6</v>
      </c>
      <c r="J1159" s="8">
        <f t="shared" si="1160"/>
        <v>81</v>
      </c>
      <c r="K1159" s="8" t="s">
        <v>5154</v>
      </c>
    </row>
    <row r="1160">
      <c r="A1160" s="7" t="b">
        <v>0</v>
      </c>
      <c r="B1160" s="8" t="s">
        <v>5155</v>
      </c>
      <c r="C1160" s="7" t="s">
        <v>5156</v>
      </c>
      <c r="D1160" s="8" t="str">
        <f>Q&amp;$K1160&amp;Q&amp;":{"&amp;Q&amp;$B$2&amp;Q&amp;":"&amp;Q&amp;$B1160&amp;Q&amp;","&amp;Q&amp;$C$2&amp;Q&amp;":"&amp;Q&amp;$C1160&amp;Q&amp;","&amp;Q&amp;"sets"&amp;Q&amp;":"&amp;Q&amp;substitute(SUBSTITUTE($H1160,"[",""),"]","")&amp;Q&amp;"},"</f>
        <v>"duyl":{"label":"Pablo Picasso","extra":"1881-1973, Spanish painter and sculptor, one of the greatest artists of the 20th century. If only he could draw eyes…","sets":"Basic Set, Party Set"},</v>
      </c>
      <c r="E1160" s="9" t="str">
        <f t="shared" si="2"/>
        <v>data:image/svg+xml,%3csvg xmlns='http://www.w3.org/2000/svg' viewBox='0 0 24 216'%3e%3ctext fill='%23fff' style='font: 900 16px sans-serif' text-anchor='end' transform='matrix(0 -1 1 0 18 5)'%3ePablo Picasso%3c/text%3e%3c/svg%3e</v>
      </c>
      <c r="F1160" s="14" t="str">
        <f t="shared" si="3"/>
        <v>https://svgtext.heliohost.us/cgi-bin/gen.perl?text=Pablo%20Picasso</v>
      </c>
      <c r="G1160" s="11" t="str">
        <f t="shared" si="4"/>
        <v>data:image/svg+xml,%3csvg xmlns='http://www.w3.org/2000/svg' viewBox='0 0 24 216'%3e%3ctext fill='%23fff' style='font: 900 16px sans-serif' text-anchor='end' transform='matrix(0 -1 1 0 18 5)'%3ePablo Picasso%3c/text%3e%3c/svg%3e</v>
      </c>
      <c r="H1160" s="8" t="s">
        <v>29</v>
      </c>
      <c r="I1160" s="8">
        <f t="shared" ref="I1160:J1160" si="1161">len(B1160)</f>
        <v>13</v>
      </c>
      <c r="J1160" s="8">
        <f t="shared" si="1161"/>
        <v>117</v>
      </c>
      <c r="K1160" s="8" t="s">
        <v>5157</v>
      </c>
    </row>
    <row r="1161">
      <c r="A1161" s="7" t="b">
        <v>1</v>
      </c>
      <c r="B1161" s="8" t="s">
        <v>5158</v>
      </c>
      <c r="C1161" s="8" t="s">
        <v>5159</v>
      </c>
      <c r="D1161" s="8" t="str">
        <f>Q&amp;$K1161&amp;Q&amp;":{"&amp;Q&amp;$B$2&amp;Q&amp;":"&amp;Q&amp;$B1161&amp;Q&amp;","&amp;Q&amp;$C$2&amp;Q&amp;":"&amp;Q&amp;$C1161&amp;Q&amp;","&amp;Q&amp;"sets"&amp;Q&amp;":"&amp;Q&amp;substitute(SUBSTITUTE($H1161,"[",""),"]","")&amp;Q&amp;"},"</f>
        <v>"buua":{"label":"Pacific Ocean","extra":"The Pacific is the largest, and deepest, ocean on Earth.","sets":"Junior 9+ (2nd)"},</v>
      </c>
      <c r="E1161" s="9" t="str">
        <f t="shared" si="2"/>
        <v>data:image/svg+xml,%3csvg xmlns='http://www.w3.org/2000/svg' viewBox='0 0 24 216'%3e%3ctext fill='%23fff' style='font: 900 16px sans-serif' text-anchor='end' transform='matrix(0 -1 1 0 18 5)'%3ePacific Ocean%3c/text%3e%3c/svg%3e</v>
      </c>
      <c r="F1161" s="14" t="str">
        <f t="shared" si="3"/>
        <v>https://svgtext.heliohost.us/cgi-bin/gen.perl?text=Pacific%20Ocean</v>
      </c>
      <c r="G1161" s="11" t="str">
        <f t="shared" si="4"/>
        <v>data:image/svg+xml,%3csvg xmlns='http://www.w3.org/2000/svg' viewBox='0 0 24 216'%3e%3ctext fill='%23fff' style='font: 900 16px sans-serif' text-anchor='end' transform='matrix(0 -1 1 0 18 5)'%3ePacific Ocean%3c/text%3e%3c/svg%3e</v>
      </c>
      <c r="H1161" s="8" t="s">
        <v>32</v>
      </c>
      <c r="I1161" s="8">
        <f t="shared" ref="I1161:J1161" si="1162">len(B1161)</f>
        <v>13</v>
      </c>
      <c r="J1161" s="8">
        <f t="shared" si="1162"/>
        <v>56</v>
      </c>
      <c r="K1161" s="8" t="s">
        <v>5160</v>
      </c>
    </row>
    <row r="1162">
      <c r="A1162" s="7" t="b">
        <v>1</v>
      </c>
      <c r="B1162" s="8" t="s">
        <v>5161</v>
      </c>
      <c r="C1162" s="8" t="s">
        <v>5162</v>
      </c>
      <c r="D1162" s="8" t="str">
        <f>Q&amp;$K1162&amp;Q&amp;":{"&amp;Q&amp;$B$2&amp;Q&amp;":"&amp;Q&amp;$B1162&amp;Q&amp;","&amp;Q&amp;$C$2&amp;Q&amp;":"&amp;Q&amp;$C1162&amp;Q&amp;","&amp;Q&amp;"sets"&amp;Q&amp;":"&amp;Q&amp;substitute(SUBSTITUTE($H1162,"[",""),"]","")&amp;Q&amp;"},"</f>
        <v>"loiy":{"label":"Pail &amp; Shovel","extra":"I can dig it.","sets":"Expansion Set 4, Party Expansion 1"},</v>
      </c>
      <c r="E1162" s="9" t="str">
        <f t="shared" si="2"/>
        <v>data:image/svg+xml,%3csvg xmlns='http://www.w3.org/2000/svg' viewBox='0 0 24 216'%3e%3ctext fill='%23fff' style='font: 900 16px sans-serif' text-anchor='end' transform='matrix(0 -1 1 0 18 5)'%3ePail %26amp%3B Shovel%3c/text%3e%3c/svg%3e</v>
      </c>
      <c r="F1162" s="14" t="str">
        <f t="shared" si="3"/>
        <v>https://svgtext.heliohost.us/cgi-bin/gen.perl?text=Pail%20%26%20Shovel</v>
      </c>
      <c r="G1162" s="11" t="str">
        <f t="shared" si="4"/>
        <v>data:image/svg+xml,%3csvg xmlns='http://www.w3.org/2000/svg' viewBox='0 0 24 216'%3e%3ctext fill='%23fff' style='font: 900 16px sans-serif' text-anchor='end' transform='matrix(0 -1 1 0 18 5)'%3ePail %26amp%3B Shovel%3c/text%3e%3c/svg%3e</v>
      </c>
      <c r="H1162" s="8" t="s">
        <v>63</v>
      </c>
      <c r="I1162" s="8">
        <f t="shared" ref="I1162:J1162" si="1163">len(B1162)</f>
        <v>13</v>
      </c>
      <c r="J1162" s="8">
        <f t="shared" si="1163"/>
        <v>13</v>
      </c>
      <c r="K1162" s="8" t="s">
        <v>5163</v>
      </c>
    </row>
    <row r="1163">
      <c r="A1163" s="7" t="b">
        <v>1</v>
      </c>
      <c r="B1163" s="8" t="s">
        <v>5164</v>
      </c>
      <c r="C1163" s="8" t="s">
        <v>5165</v>
      </c>
      <c r="D1163" s="8" t="str">
        <f>Q&amp;$K1163&amp;Q&amp;":{"&amp;Q&amp;$B$2&amp;Q&amp;":"&amp;Q&amp;$B1163&amp;Q&amp;","&amp;Q&amp;$C$2&amp;Q&amp;":"&amp;Q&amp;$C1163&amp;Q&amp;","&amp;Q&amp;"sets"&amp;Q&amp;":"&amp;Q&amp;substitute(SUBSTITUTE($H1163,"[",""),"]","")&amp;Q&amp;"},"</f>
        <v>"ljvq":{"label":"Painting A Fence","extra":"A good way to earn some money.","sets":"Junior 9+ (1st) &amp; (2nd)"},</v>
      </c>
      <c r="E1163" s="9" t="str">
        <f t="shared" si="2"/>
        <v>data:image/svg+xml,%3csvg xmlns='http://www.w3.org/2000/svg' viewBox='0 0 24 216'%3e%3ctext fill='%23fff' style='font: 900 16px sans-serif' text-anchor='end' transform='matrix(0 -1 1 0 18 5)'%3ePainting A Fence%3c/text%3e%3c/svg%3e</v>
      </c>
      <c r="F1163" s="14" t="str">
        <f t="shared" si="3"/>
        <v>https://svgtext.heliohost.us/cgi-bin/gen.perl?text=Painting%20A%20Fence</v>
      </c>
      <c r="G1163" s="11" t="str">
        <f t="shared" si="4"/>
        <v>data:image/svg+xml,%3csvg xmlns='http://www.w3.org/2000/svg' viewBox='0 0 24 216'%3e%3ctext fill='%23fff' style='font: 900 16px sans-serif' text-anchor='end' transform='matrix(0 -1 1 0 18 5)'%3ePainting A Fence%3c/text%3e%3c/svg%3e</v>
      </c>
      <c r="H1163" s="8" t="s">
        <v>42</v>
      </c>
      <c r="I1163" s="8">
        <f t="shared" ref="I1163:J1163" si="1164">len(B1163)</f>
        <v>16</v>
      </c>
      <c r="J1163" s="8">
        <f t="shared" si="1164"/>
        <v>30</v>
      </c>
      <c r="K1163" s="8" t="s">
        <v>5166</v>
      </c>
    </row>
    <row r="1164">
      <c r="A1164" s="7" t="b">
        <v>1</v>
      </c>
      <c r="B1164" s="8" t="s">
        <v>5167</v>
      </c>
      <c r="C1164" s="8" t="s">
        <v>5168</v>
      </c>
      <c r="D1164" s="8" t="str">
        <f>Q&amp;$K1164&amp;Q&amp;":{"&amp;Q&amp;$B$2&amp;Q&amp;":"&amp;Q&amp;$B1164&amp;Q&amp;","&amp;Q&amp;$C$2&amp;Q&amp;":"&amp;Q&amp;$C1164&amp;Q&amp;","&amp;Q&amp;"sets"&amp;Q&amp;":"&amp;Q&amp;substitute(SUBSTITUTE($H1164,"[",""),"]","")&amp;Q&amp;"},"</f>
        <v>"ytjk":{"label":"Pajamas","extra":"Clothes you sleep in. Some have feet!","sets":"Junior"},</v>
      </c>
      <c r="E1164" s="9" t="str">
        <f t="shared" si="2"/>
        <v>data:image/svg+xml,%3csvg xmlns='http://www.w3.org/2000/svg' viewBox='0 0 24 216'%3e%3ctext fill='%23fff' style='font: 900 16px sans-serif' text-anchor='end' transform='matrix(0 -1 1 0 18 5)'%3ePajamas%3c/text%3e%3c/svg%3e</v>
      </c>
      <c r="F1164" s="14" t="str">
        <f t="shared" si="3"/>
        <v>https://svgtext.heliohost.us/cgi-bin/gen.perl?text=Pajamas</v>
      </c>
      <c r="G1164" s="11" t="str">
        <f t="shared" si="4"/>
        <v>data:image/svg+xml,%3csvg xmlns='http://www.w3.org/2000/svg' viewBox='0 0 24 216'%3e%3ctext fill='%23fff' style='font: 900 16px sans-serif' text-anchor='end' transform='matrix(0 -1 1 0 18 5)'%3ePajamas%3c/text%3e%3c/svg%3e</v>
      </c>
      <c r="H1164" s="8" t="s">
        <v>84</v>
      </c>
      <c r="I1164" s="8">
        <f t="shared" ref="I1164:J1164" si="1165">len(B1164)</f>
        <v>7</v>
      </c>
      <c r="J1164" s="8">
        <f t="shared" si="1165"/>
        <v>37</v>
      </c>
      <c r="K1164" s="8" t="s">
        <v>5169</v>
      </c>
    </row>
    <row r="1165">
      <c r="A1165" s="7" t="b">
        <v>1</v>
      </c>
      <c r="B1165" s="8" t="s">
        <v>5170</v>
      </c>
      <c r="C1165" s="8" t="s">
        <v>5171</v>
      </c>
      <c r="D1165" s="8" t="str">
        <f>Q&amp;$K1165&amp;Q&amp;":{"&amp;Q&amp;$B$2&amp;Q&amp;":"&amp;Q&amp;$B1165&amp;Q&amp;","&amp;Q&amp;$C$2&amp;Q&amp;":"&amp;Q&amp;$C1165&amp;Q&amp;","&amp;Q&amp;"sets"&amp;Q&amp;":"&amp;Q&amp;substitute(SUBSTITUTE($H1165,"[",""),"]","")&amp;Q&amp;"},"</f>
        <v>"nriu":{"label":"Pancakes","extra":"Some people call them flapjacks.","sets":"Junior 9+ (1st) &amp; (2nd)"},</v>
      </c>
      <c r="E1165" s="9" t="str">
        <f t="shared" si="2"/>
        <v>data:image/svg+xml,%3csvg xmlns='http://www.w3.org/2000/svg' viewBox='0 0 24 216'%3e%3ctext fill='%23fff' style='font: 900 16px sans-serif' text-anchor='end' transform='matrix(0 -1 1 0 18 5)'%3ePancakes%3c/text%3e%3c/svg%3e</v>
      </c>
      <c r="F1165" s="14" t="str">
        <f t="shared" si="3"/>
        <v>https://svgtext.heliohost.us/cgi-bin/gen.perl?text=Pancakes</v>
      </c>
      <c r="G1165" s="11" t="str">
        <f t="shared" si="4"/>
        <v>data:image/svg+xml,%3csvg xmlns='http://www.w3.org/2000/svg' viewBox='0 0 24 216'%3e%3ctext fill='%23fff' style='font: 900 16px sans-serif' text-anchor='end' transform='matrix(0 -1 1 0 18 5)'%3ePancakes%3c/text%3e%3c/svg%3e</v>
      </c>
      <c r="H1165" s="8" t="s">
        <v>42</v>
      </c>
      <c r="I1165" s="8">
        <f t="shared" ref="I1165:J1165" si="1166">len(B1165)</f>
        <v>8</v>
      </c>
      <c r="J1165" s="8">
        <f t="shared" si="1166"/>
        <v>32</v>
      </c>
      <c r="K1165" s="8" t="s">
        <v>5172</v>
      </c>
    </row>
    <row r="1166">
      <c r="A1166" s="7" t="b">
        <v>1</v>
      </c>
      <c r="B1166" s="8" t="s">
        <v>5173</v>
      </c>
      <c r="C1166" s="7" t="s">
        <v>5174</v>
      </c>
      <c r="D1166" s="8" t="str">
        <f>Q&amp;$K1166&amp;Q&amp;":{"&amp;Q&amp;$B$2&amp;Q&amp;":"&amp;Q&amp;$B1166&amp;Q&amp;","&amp;Q&amp;$C$2&amp;Q&amp;":"&amp;Q&amp;$C1166&amp;Q&amp;","&amp;Q&amp;"sets"&amp;Q&amp;":"&amp;Q&amp;substitute(SUBSTITUTE($H1166,"[",""),"]","")&amp;Q&amp;"},"</f>
        <v>"ltmk":{"label":"Panda Bears","extra":"In China they're called “Xiongmao” which means giant cat bear.","sets":"Junior 9+ (1st) &amp; (2nd)"},</v>
      </c>
      <c r="E1166" s="9" t="str">
        <f t="shared" si="2"/>
        <v>data:image/svg+xml,%3csvg xmlns='http://www.w3.org/2000/svg' viewBox='0 0 24 216'%3e%3ctext fill='%23fff' style='font: 900 16px sans-serif' text-anchor='end' transform='matrix(0 -1 1 0 18 5)'%3ePanda Bears%3c/text%3e%3c/svg%3e</v>
      </c>
      <c r="F1166" s="14" t="str">
        <f t="shared" si="3"/>
        <v>https://svgtext.heliohost.us/cgi-bin/gen.perl?text=Panda%20Bears</v>
      </c>
      <c r="G1166" s="11" t="str">
        <f t="shared" si="4"/>
        <v>data:image/svg+xml,%3csvg xmlns='http://www.w3.org/2000/svg' viewBox='0 0 24 216'%3e%3ctext fill='%23fff' style='font: 900 16px sans-serif' text-anchor='end' transform='matrix(0 -1 1 0 18 5)'%3ePanda Bears%3c/text%3e%3c/svg%3e</v>
      </c>
      <c r="H1166" s="8" t="s">
        <v>42</v>
      </c>
      <c r="I1166" s="8">
        <f t="shared" ref="I1166:J1166" si="1167">len(B1166)</f>
        <v>11</v>
      </c>
      <c r="J1166" s="8">
        <f t="shared" si="1167"/>
        <v>62</v>
      </c>
      <c r="K1166" s="8" t="s">
        <v>5175</v>
      </c>
    </row>
    <row r="1167">
      <c r="A1167" s="7" t="b">
        <v>1</v>
      </c>
      <c r="B1167" s="8" t="s">
        <v>5176</v>
      </c>
      <c r="C1167" s="7" t="s">
        <v>5177</v>
      </c>
      <c r="D1167" s="8" t="str">
        <f>Q&amp;$K1167&amp;Q&amp;":{"&amp;Q&amp;$B$2&amp;Q&amp;":"&amp;Q&amp;$B1167&amp;Q&amp;","&amp;Q&amp;$C$2&amp;Q&amp;":"&amp;Q&amp;$C1167&amp;Q&amp;","&amp;Q&amp;"sets"&amp;Q&amp;":"&amp;Q&amp;substitute(SUBSTITUTE($H1167,"[",""),"]","")&amp;Q&amp;"},"</f>
        <v>"lqdn":{"label":"Panning For Gold","extra":"The dot-coms of the 1840s…","sets":"Expansion Set 3, Party Expansion 1"},</v>
      </c>
      <c r="E1167" s="9" t="str">
        <f t="shared" si="2"/>
        <v>data:image/svg+xml,%3csvg xmlns='http://www.w3.org/2000/svg' viewBox='0 0 24 216'%3e%3ctext fill='%23fff' style='font: 900 16px sans-serif' text-anchor='end' transform='matrix(0 -1 1 0 18 5)'%3ePanning For Gold%3c/text%3e%3c/svg%3e</v>
      </c>
      <c r="F1167" s="14" t="str">
        <f t="shared" si="3"/>
        <v>https://svgtext.heliohost.us/cgi-bin/gen.perl?text=Panning%20For%20Gold</v>
      </c>
      <c r="G1167" s="11" t="str">
        <f t="shared" si="4"/>
        <v>data:image/svg+xml,%3csvg xmlns='http://www.w3.org/2000/svg' viewBox='0 0 24 216'%3e%3ctext fill='%23fff' style='font: 900 16px sans-serif' text-anchor='end' transform='matrix(0 -1 1 0 18 5)'%3ePanning For Gold%3c/text%3e%3c/svg%3e</v>
      </c>
      <c r="H1167" s="8" t="s">
        <v>39</v>
      </c>
      <c r="I1167" s="8">
        <f t="shared" ref="I1167:J1167" si="1168">len(B1167)</f>
        <v>16</v>
      </c>
      <c r="J1167" s="8">
        <f t="shared" si="1168"/>
        <v>26</v>
      </c>
      <c r="K1167" s="8" t="s">
        <v>5178</v>
      </c>
    </row>
    <row r="1168">
      <c r="A1168" s="7" t="b">
        <v>1</v>
      </c>
      <c r="B1168" s="8" t="s">
        <v>5179</v>
      </c>
      <c r="C1168" s="7" t="s">
        <v>5180</v>
      </c>
      <c r="D1168" s="8" t="str">
        <f>Q&amp;$K1168&amp;Q&amp;":{"&amp;Q&amp;$B$2&amp;Q&amp;":"&amp;Q&amp;$B1168&amp;Q&amp;","&amp;Q&amp;$C$2&amp;Q&amp;":"&amp;Q&amp;$C1168&amp;Q&amp;","&amp;Q&amp;"sets"&amp;Q&amp;":"&amp;Q&amp;substitute(SUBSTITUTE($H1168,"[",""),"]","")&amp;Q&amp;"},"</f>
        <v>"auht":{"label":"Paper Route","extra":"It’s a job.","sets":"Junior 9+ (2nd)"},</v>
      </c>
      <c r="E1168" s="9" t="str">
        <f t="shared" si="2"/>
        <v>data:image/svg+xml,%3csvg xmlns='http://www.w3.org/2000/svg' viewBox='0 0 24 216'%3e%3ctext fill='%23fff' style='font: 900 16px sans-serif' text-anchor='end' transform='matrix(0 -1 1 0 18 5)'%3ePaper Route%3c/text%3e%3c/svg%3e</v>
      </c>
      <c r="F1168" s="14" t="str">
        <f t="shared" si="3"/>
        <v>https://svgtext.heliohost.us/cgi-bin/gen.perl?text=Paper%20Route</v>
      </c>
      <c r="G1168" s="11" t="str">
        <f t="shared" si="4"/>
        <v>data:image/svg+xml,%3csvg xmlns='http://www.w3.org/2000/svg' viewBox='0 0 24 216'%3e%3ctext fill='%23fff' style='font: 900 16px sans-serif' text-anchor='end' transform='matrix(0 -1 1 0 18 5)'%3ePaper Route%3c/text%3e%3c/svg%3e</v>
      </c>
      <c r="H1168" s="8" t="s">
        <v>32</v>
      </c>
      <c r="I1168" s="8">
        <f t="shared" ref="I1168:J1168" si="1169">len(B1168)</f>
        <v>11</v>
      </c>
      <c r="J1168" s="8">
        <f t="shared" si="1169"/>
        <v>11</v>
      </c>
      <c r="K1168" s="8" t="s">
        <v>5181</v>
      </c>
    </row>
    <row r="1169">
      <c r="A1169" s="7" t="b">
        <v>1</v>
      </c>
      <c r="B1169" s="8" t="s">
        <v>5182</v>
      </c>
      <c r="C1169" s="8" t="s">
        <v>5183</v>
      </c>
      <c r="D1169" s="8" t="str">
        <f>Q&amp;$K1169&amp;Q&amp;":{"&amp;Q&amp;$B$2&amp;Q&amp;":"&amp;Q&amp;$B1169&amp;Q&amp;","&amp;Q&amp;$C$2&amp;Q&amp;":"&amp;Q&amp;$C1169&amp;Q&amp;","&amp;Q&amp;"sets"&amp;Q&amp;":"&amp;Q&amp;substitute(SUBSTITUTE($H1169,"[",""),"]","")&amp;Q&amp;"},"</f>
        <v>"xubp":{"label":"Parachutes","extra":"Put this on your back, jump out of the plane, and pull the cord. Ready?","sets":"Junior 9+ (2nd)"},</v>
      </c>
      <c r="E1169" s="9" t="str">
        <f t="shared" si="2"/>
        <v>data:image/svg+xml,%3csvg xmlns='http://www.w3.org/2000/svg' viewBox='0 0 24 216'%3e%3ctext fill='%23fff' style='font: 900 16px sans-serif' text-anchor='end' transform='matrix(0 -1 1 0 18 5)'%3eParachutes%3c/text%3e%3c/svg%3e</v>
      </c>
      <c r="F1169" s="14" t="str">
        <f t="shared" si="3"/>
        <v>https://svgtext.heliohost.us/cgi-bin/gen.perl?text=Parachutes</v>
      </c>
      <c r="G1169" s="11" t="str">
        <f t="shared" si="4"/>
        <v>data:image/svg+xml,%3csvg xmlns='http://www.w3.org/2000/svg' viewBox='0 0 24 216'%3e%3ctext fill='%23fff' style='font: 900 16px sans-serif' text-anchor='end' transform='matrix(0 -1 1 0 18 5)'%3eParachutes%3c/text%3e%3c/svg%3e</v>
      </c>
      <c r="H1169" s="8" t="s">
        <v>32</v>
      </c>
      <c r="I1169" s="8">
        <f t="shared" ref="I1169:J1169" si="1170">len(B1169)</f>
        <v>10</v>
      </c>
      <c r="J1169" s="8">
        <f t="shared" si="1170"/>
        <v>71</v>
      </c>
      <c r="K1169" s="8" t="s">
        <v>5184</v>
      </c>
    </row>
    <row r="1170">
      <c r="A1170" s="7" t="b">
        <v>0</v>
      </c>
      <c r="B1170" s="8" t="s">
        <v>5185</v>
      </c>
      <c r="C1170" s="8" t="s">
        <v>5186</v>
      </c>
      <c r="D1170" s="8" t="str">
        <f>Q&amp;$K1170&amp;Q&amp;":{"&amp;Q&amp;$B$2&amp;Q&amp;":"&amp;Q&amp;$B1170&amp;Q&amp;","&amp;Q&amp;$C$2&amp;Q&amp;":"&amp;Q&amp;$C1170&amp;Q&amp;","&amp;Q&amp;"sets"&amp;Q&amp;":"&amp;Q&amp;substitute(SUBSTITUTE($H1170,"[",""),"]","")&amp;Q&amp;"},"</f>
        <v>"vgsm":{"label":"Parenting","extra":"The process of discovering you are becoming just like YOUR parents.","sets":"Basic Set, Party Set"},</v>
      </c>
      <c r="E1170" s="9" t="str">
        <f t="shared" si="2"/>
        <v>data:image/svg+xml,%3csvg xmlns='http://www.w3.org/2000/svg' viewBox='0 0 24 216'%3e%3ctext fill='%23fff' style='font: 900 16px sans-serif' text-anchor='end' transform='matrix(0 -1 1 0 18 5)'%3eParenting%3c/text%3e%3c/svg%3e</v>
      </c>
      <c r="F1170" s="14" t="str">
        <f t="shared" si="3"/>
        <v>https://svgtext.heliohost.us/cgi-bin/gen.perl?text=Parenting</v>
      </c>
      <c r="G1170" s="11" t="str">
        <f t="shared" si="4"/>
        <v>data:image/svg+xml,%3csvg xmlns='http://www.w3.org/2000/svg' viewBox='0 0 24 216'%3e%3ctext fill='%23fff' style='font: 900 16px sans-serif' text-anchor='end' transform='matrix(0 -1 1 0 18 5)'%3eParenting%3c/text%3e%3c/svg%3e</v>
      </c>
      <c r="H1170" s="8" t="s">
        <v>29</v>
      </c>
      <c r="I1170" s="8">
        <f t="shared" ref="I1170:J1170" si="1171">len(B1170)</f>
        <v>9</v>
      </c>
      <c r="J1170" s="8">
        <f t="shared" si="1171"/>
        <v>67</v>
      </c>
      <c r="K1170" s="8" t="s">
        <v>5187</v>
      </c>
    </row>
    <row r="1171">
      <c r="A1171" s="7" t="b">
        <v>0</v>
      </c>
      <c r="B1171" s="8" t="s">
        <v>5188</v>
      </c>
      <c r="C1171" s="8" t="s">
        <v>5189</v>
      </c>
      <c r="D1171" s="8" t="str">
        <f>Q&amp;$K1171&amp;Q&amp;":{"&amp;Q&amp;$B$2&amp;Q&amp;":"&amp;Q&amp;$B1171&amp;Q&amp;","&amp;Q&amp;$C$2&amp;Q&amp;":"&amp;Q&amp;$C1171&amp;Q&amp;","&amp;Q&amp;"sets"&amp;Q&amp;":"&amp;Q&amp;substitute(SUBSTITUTE($H1171,"[",""),"]","")&amp;Q&amp;"},"</f>
        <v>"fute":{"label":"Paris, France","extra":"The governmental, cultural and gastronomic capital of France. Or the world. Just ask the French.","sets":"Basic Set, Party Set"},</v>
      </c>
      <c r="E1171" s="9" t="str">
        <f t="shared" si="2"/>
        <v>data:image/svg+xml,%3csvg xmlns='http://www.w3.org/2000/svg' viewBox='0 0 24 216'%3e%3ctext fill='%23fff' style='font: 900 16px sans-serif' text-anchor='end' transform='matrix(0 -1 1 0 18 5)'%3eParis%2C France%3c/text%3e%3c/svg%3e</v>
      </c>
      <c r="F1171" s="14" t="str">
        <f t="shared" si="3"/>
        <v>https://svgtext.heliohost.us/cgi-bin/gen.perl?text=Paris%2C%20France</v>
      </c>
      <c r="G1171" s="11" t="str">
        <f t="shared" si="4"/>
        <v>data:image/svg+xml,%3csvg xmlns='http://www.w3.org/2000/svg' viewBox='0 0 24 216'%3e%3ctext fill='%23fff' style='font: 900 16px sans-serif' text-anchor='end' transform='matrix(0 -1 1 0 18 5)'%3eParis%2C France%3c/text%3e%3c/svg%3e</v>
      </c>
      <c r="H1171" s="8" t="s">
        <v>29</v>
      </c>
      <c r="I1171" s="8">
        <f t="shared" ref="I1171:J1171" si="1172">len(B1171)</f>
        <v>13</v>
      </c>
      <c r="J1171" s="8">
        <f t="shared" si="1172"/>
        <v>96</v>
      </c>
      <c r="K1171" s="8" t="s">
        <v>5190</v>
      </c>
    </row>
    <row r="1172">
      <c r="A1172" s="7" t="b">
        <v>1</v>
      </c>
      <c r="B1172" s="8" t="s">
        <v>5191</v>
      </c>
      <c r="C1172" s="7" t="s">
        <v>5192</v>
      </c>
      <c r="D1172" s="8" t="str">
        <f>Q&amp;$K1172&amp;Q&amp;":{"&amp;Q&amp;$B$2&amp;Q&amp;":"&amp;Q&amp;$B1172&amp;Q&amp;","&amp;Q&amp;$C$2&amp;Q&amp;":"&amp;Q&amp;$C1172&amp;Q&amp;","&amp;Q&amp;"sets"&amp;Q&amp;":"&amp;Q&amp;substitute(SUBSTITUTE($H1172,"[",""),"]","")&amp;Q&amp;"},"</f>
        <v>"cmum":{"label":"Parties","extra":"Birthday parties, slumber parties, Halloween parties. They’re all fun!","sets":"Junior"},</v>
      </c>
      <c r="E1172" s="9" t="str">
        <f t="shared" si="2"/>
        <v>data:image/svg+xml,%3csvg xmlns='http://www.w3.org/2000/svg' viewBox='0 0 24 216'%3e%3ctext fill='%23fff' style='font: 900 16px sans-serif' text-anchor='end' transform='matrix(0 -1 1 0 18 5)'%3eParties%3c/text%3e%3c/svg%3e</v>
      </c>
      <c r="F1172" s="14" t="str">
        <f t="shared" si="3"/>
        <v>https://svgtext.heliohost.us/cgi-bin/gen.perl?text=Parties</v>
      </c>
      <c r="G1172" s="11" t="str">
        <f t="shared" si="4"/>
        <v>data:image/svg+xml,%3csvg xmlns='http://www.w3.org/2000/svg' viewBox='0 0 24 216'%3e%3ctext fill='%23fff' style='font: 900 16px sans-serif' text-anchor='end' transform='matrix(0 -1 1 0 18 5)'%3eParties%3c/text%3e%3c/svg%3e</v>
      </c>
      <c r="H1172" s="8" t="s">
        <v>84</v>
      </c>
      <c r="I1172" s="8">
        <f t="shared" ref="I1172:J1172" si="1173">len(B1172)</f>
        <v>7</v>
      </c>
      <c r="J1172" s="8">
        <f t="shared" si="1173"/>
        <v>70</v>
      </c>
      <c r="K1172" s="8" t="s">
        <v>5193</v>
      </c>
    </row>
    <row r="1173">
      <c r="A1173" s="7" t="b">
        <v>0</v>
      </c>
      <c r="B1173" s="8" t="s">
        <v>5194</v>
      </c>
      <c r="C1173" s="7" t="s">
        <v>5195</v>
      </c>
      <c r="D1173" s="8" t="str">
        <f>Q&amp;$K1173&amp;Q&amp;":{"&amp;Q&amp;$B$2&amp;Q&amp;":"&amp;Q&amp;$B1173&amp;Q&amp;","&amp;Q&amp;$C$2&amp;Q&amp;":"&amp;Q&amp;$C1173&amp;Q&amp;","&amp;Q&amp;"sets"&amp;Q&amp;":"&amp;Q&amp;substitute(SUBSTITUTE($H1173,"[",""),"]","")&amp;Q&amp;"},"</f>
        <v>"ixup":{"label":"Paul McCartney &amp; Wings","extra":"Life after The Beatles.","sets":"Expansion Set 4, Party Expansion 1"},</v>
      </c>
      <c r="E1173" s="9" t="str">
        <f t="shared" si="2"/>
        <v>data:image/svg+xml,%3csvg xmlns='http://www.w3.org/2000/svg' viewBox='0 0 24 216'%3e%3ctext fill='%23fff' style='font: 900 16px sans-serif' text-anchor='end' transform='matrix(0 -1 1 0 18 5)'%3ePaul McCartney %26amp%3B Wings%3c/text%3e%3c/svg%3e</v>
      </c>
      <c r="F1173" s="14" t="str">
        <f t="shared" si="3"/>
        <v>https://svgtext.heliohost.us/cgi-bin/gen.perl?text=Paul%20McCartney%20%26%20Wings</v>
      </c>
      <c r="G1173" s="11" t="str">
        <f t="shared" si="4"/>
        <v>data:image/svg+xml,%3csvg xmlns='http://www.w3.org/2000/svg' viewBox='0 0 24 216'%3e%3ctext fill='%23fff' style='font: 900 16px sans-serif' text-anchor='end' transform='matrix(0 -1 1 0 18 5)'%3ePaul McCartney %26amp%3B Wings%3c/text%3e%3c/svg%3e</v>
      </c>
      <c r="H1173" s="8" t="s">
        <v>63</v>
      </c>
      <c r="I1173" s="8">
        <f t="shared" ref="I1173:J1173" si="1174">len(B1173)</f>
        <v>22</v>
      </c>
      <c r="J1173" s="8">
        <f t="shared" si="1174"/>
        <v>23</v>
      </c>
      <c r="K1173" s="8" t="s">
        <v>5196</v>
      </c>
    </row>
    <row r="1174">
      <c r="A1174" s="7" t="b">
        <v>0</v>
      </c>
      <c r="B1174" s="8" t="s">
        <v>5197</v>
      </c>
      <c r="C1174" s="7" t="s">
        <v>5198</v>
      </c>
      <c r="D1174" s="8" t="str">
        <f>Q&amp;$K1174&amp;Q&amp;":{"&amp;Q&amp;$B$2&amp;Q&amp;":"&amp;Q&amp;$B1174&amp;Q&amp;","&amp;Q&amp;$C$2&amp;Q&amp;":"&amp;Q&amp;$C1174&amp;Q&amp;","&amp;Q&amp;"sets"&amp;Q&amp;":"&amp;Q&amp;substitute(SUBSTITUTE($H1174,"[",""),"]","")&amp;Q&amp;"},"</f>
        <v>"zxrb":{"label":"Paying Bills","extra":"Also known as “Debt Restructuring.”","sets":"Basic Set, Party Set"},</v>
      </c>
      <c r="E1174" s="9" t="str">
        <f t="shared" si="2"/>
        <v>data:image/svg+xml,%3csvg xmlns='http://www.w3.org/2000/svg' viewBox='0 0 24 216'%3e%3ctext fill='%23fff' style='font: 900 16px sans-serif' text-anchor='end' transform='matrix(0 -1 1 0 18 5)'%3ePaying Bills%3c/text%3e%3c/svg%3e</v>
      </c>
      <c r="F1174" s="14" t="str">
        <f t="shared" si="3"/>
        <v>https://svgtext.heliohost.us/cgi-bin/gen.perl?text=Paying%20Bills</v>
      </c>
      <c r="G1174" s="11" t="str">
        <f t="shared" si="4"/>
        <v>data:image/svg+xml,%3csvg xmlns='http://www.w3.org/2000/svg' viewBox='0 0 24 216'%3e%3ctext fill='%23fff' style='font: 900 16px sans-serif' text-anchor='end' transform='matrix(0 -1 1 0 18 5)'%3ePaying Bills%3c/text%3e%3c/svg%3e</v>
      </c>
      <c r="H1174" s="8" t="s">
        <v>29</v>
      </c>
      <c r="I1174" s="8">
        <f t="shared" ref="I1174:J1174" si="1175">len(B1174)</f>
        <v>12</v>
      </c>
      <c r="J1174" s="8">
        <f t="shared" si="1175"/>
        <v>35</v>
      </c>
      <c r="K1174" s="8" t="s">
        <v>5199</v>
      </c>
    </row>
    <row r="1175">
      <c r="A1175" s="7" t="b">
        <v>0</v>
      </c>
      <c r="B1175" s="8" t="s">
        <v>5200</v>
      </c>
      <c r="C1175" s="8" t="s">
        <v>5201</v>
      </c>
      <c r="D1175" s="8" t="str">
        <f>Q&amp;$K1175&amp;Q&amp;":{"&amp;Q&amp;$B$2&amp;Q&amp;":"&amp;Q&amp;$B1175&amp;Q&amp;","&amp;Q&amp;$C$2&amp;Q&amp;":"&amp;Q&amp;$C1175&amp;Q&amp;","&amp;Q&amp;"sets"&amp;Q&amp;":"&amp;Q&amp;substitute(SUBSTITUTE($H1175,"[",""),"]","")&amp;Q&amp;"},"</f>
        <v>"qbbi":{"label":"Paying Taxes","extra":"Death or Taxes? Do we have to choose right away?","sets":"Basic Set, Party Set"},</v>
      </c>
      <c r="E1175" s="9" t="str">
        <f t="shared" si="2"/>
        <v>data:image/svg+xml,%3csvg xmlns='http://www.w3.org/2000/svg' viewBox='0 0 24 216'%3e%3ctext fill='%23fff' style='font: 900 16px sans-serif' text-anchor='end' transform='matrix(0 -1 1 0 18 5)'%3ePaying Taxes%3c/text%3e%3c/svg%3e</v>
      </c>
      <c r="F1175" s="14" t="str">
        <f t="shared" si="3"/>
        <v>https://svgtext.heliohost.us/cgi-bin/gen.perl?text=Paying%20Taxes</v>
      </c>
      <c r="G1175" s="11" t="str">
        <f t="shared" si="4"/>
        <v>data:image/svg+xml,%3csvg xmlns='http://www.w3.org/2000/svg' viewBox='0 0 24 216'%3e%3ctext fill='%23fff' style='font: 900 16px sans-serif' text-anchor='end' transform='matrix(0 -1 1 0 18 5)'%3ePaying Taxes%3c/text%3e%3c/svg%3e</v>
      </c>
      <c r="H1175" s="8" t="s">
        <v>29</v>
      </c>
      <c r="I1175" s="8">
        <f t="shared" ref="I1175:J1175" si="1176">len(B1175)</f>
        <v>12</v>
      </c>
      <c r="J1175" s="8">
        <f t="shared" si="1176"/>
        <v>48</v>
      </c>
      <c r="K1175" s="8" t="s">
        <v>5202</v>
      </c>
    </row>
    <row r="1176">
      <c r="A1176" s="7" t="b">
        <v>0</v>
      </c>
      <c r="B1176" s="8" t="s">
        <v>5203</v>
      </c>
      <c r="C1176" s="8" t="s">
        <v>5204</v>
      </c>
      <c r="D1176" s="8" t="str">
        <f>Q&amp;$K1176&amp;Q&amp;":{"&amp;Q&amp;$B$2&amp;Q&amp;":"&amp;Q&amp;$B1176&amp;Q&amp;","&amp;Q&amp;$C$2&amp;Q&amp;":"&amp;Q&amp;$C1176&amp;Q&amp;","&amp;Q&amp;"sets"&amp;Q&amp;":"&amp;Q&amp;substitute(SUBSTITUTE($H1176,"[",""),"]","")&amp;Q&amp;"},"</f>
        <v>"iwjk":{"label":"Peace &amp; Love","extra":"Flower Power!","sets":"Expansion Set 4, Party Expansion 1"},</v>
      </c>
      <c r="E1176" s="9" t="str">
        <f t="shared" si="2"/>
        <v>data:image/svg+xml,%3csvg xmlns='http://www.w3.org/2000/svg' viewBox='0 0 24 216'%3e%3ctext fill='%23fff' style='font: 900 16px sans-serif' text-anchor='end' transform='matrix(0 -1 1 0 18 5)'%3ePeace %26amp%3B Love%3c/text%3e%3c/svg%3e</v>
      </c>
      <c r="F1176" s="14" t="str">
        <f t="shared" si="3"/>
        <v>https://svgtext.heliohost.us/cgi-bin/gen.perl?text=Peace%20%26%20Love</v>
      </c>
      <c r="G1176" s="11" t="str">
        <f t="shared" si="4"/>
        <v>data:image/svg+xml,%3csvg xmlns='http://www.w3.org/2000/svg' viewBox='0 0 24 216'%3e%3ctext fill='%23fff' style='font: 900 16px sans-serif' text-anchor='end' transform='matrix(0 -1 1 0 18 5)'%3ePeace %26amp%3B Love%3c/text%3e%3c/svg%3e</v>
      </c>
      <c r="H1176" s="8" t="s">
        <v>63</v>
      </c>
      <c r="I1176" s="8">
        <f t="shared" ref="I1176:J1176" si="1177">len(B1176)</f>
        <v>12</v>
      </c>
      <c r="J1176" s="8">
        <f t="shared" si="1177"/>
        <v>13</v>
      </c>
      <c r="K1176" s="8" t="s">
        <v>5205</v>
      </c>
    </row>
    <row r="1177">
      <c r="A1177" s="7" t="b">
        <v>1</v>
      </c>
      <c r="B1177" s="8" t="s">
        <v>5206</v>
      </c>
      <c r="C1177" s="8" t="s">
        <v>5207</v>
      </c>
      <c r="D1177" s="8" t="str">
        <f>Q&amp;$K1177&amp;Q&amp;":{"&amp;Q&amp;$B$2&amp;Q&amp;":"&amp;Q&amp;$B1177&amp;Q&amp;","&amp;Q&amp;$C$2&amp;Q&amp;":"&amp;Q&amp;$C1177&amp;Q&amp;","&amp;Q&amp;"sets"&amp;Q&amp;":"&amp;Q&amp;substitute(SUBSTITUTE($H1177,"[",""),"]","")&amp;Q&amp;"},"</f>
        <v>"dms{":{"label":"Peace &amp; Quiet","extra":"Truly appreciated during parenthood.","sets":"Expansion Set 4, Party Expansion 1"},</v>
      </c>
      <c r="E1177" s="9" t="str">
        <f t="shared" si="2"/>
        <v>data:image/svg+xml,%3csvg xmlns='http://www.w3.org/2000/svg' viewBox='0 0 24 216'%3e%3ctext fill='%23fff' style='font: 900 16px sans-serif' text-anchor='end' transform='matrix(0 -1 1 0 18 5)'%3ePeace %26amp%3B Quiet%3c/text%3e%3c/svg%3e</v>
      </c>
      <c r="F1177" s="14" t="str">
        <f t="shared" si="3"/>
        <v>https://svgtext.heliohost.us/cgi-bin/gen.perl?text=Peace%20%26%20Quiet</v>
      </c>
      <c r="G1177" s="11" t="str">
        <f t="shared" si="4"/>
        <v>data:image/svg+xml,%3csvg xmlns='http://www.w3.org/2000/svg' viewBox='0 0 24 216'%3e%3ctext fill='%23fff' style='font: 900 16px sans-serif' text-anchor='end' transform='matrix(0 -1 1 0 18 5)'%3ePeace %26amp%3B Quiet%3c/text%3e%3c/svg%3e</v>
      </c>
      <c r="H1177" s="8" t="s">
        <v>63</v>
      </c>
      <c r="I1177" s="8">
        <f t="shared" ref="I1177:J1177" si="1178">len(B1177)</f>
        <v>13</v>
      </c>
      <c r="J1177" s="8">
        <f t="shared" si="1178"/>
        <v>36</v>
      </c>
      <c r="K1177" s="8" t="s">
        <v>5208</v>
      </c>
    </row>
    <row r="1178">
      <c r="A1178" s="7" t="b">
        <v>1</v>
      </c>
      <c r="B1178" s="8" t="s">
        <v>5209</v>
      </c>
      <c r="C1178" s="8" t="s">
        <v>5210</v>
      </c>
      <c r="D1178" s="8" t="str">
        <f>Q&amp;$K1178&amp;Q&amp;":{"&amp;Q&amp;$B$2&amp;Q&amp;":"&amp;Q&amp;$B1178&amp;Q&amp;","&amp;Q&amp;$C$2&amp;Q&amp;":"&amp;Q&amp;$C1178&amp;Q&amp;","&amp;Q&amp;"sets"&amp;Q&amp;":"&amp;Q&amp;substitute(SUBSTITUTE($H1178,"[",""),"]","")&amp;Q&amp;"},"</f>
        <v>"rcbb":{"label":"Peaches","extra":"Fuzzy fruit.","sets":"Junior 9+ (1st) &amp; (2nd)"},</v>
      </c>
      <c r="E1178" s="9" t="str">
        <f t="shared" si="2"/>
        <v>data:image/svg+xml,%3csvg xmlns='http://www.w3.org/2000/svg' viewBox='0 0 24 216'%3e%3ctext fill='%23fff' style='font: 900 16px sans-serif' text-anchor='end' transform='matrix(0 -1 1 0 18 5)'%3ePeaches%3c/text%3e%3c/svg%3e</v>
      </c>
      <c r="F1178" s="14" t="str">
        <f t="shared" si="3"/>
        <v>https://svgtext.heliohost.us/cgi-bin/gen.perl?text=Peaches</v>
      </c>
      <c r="G1178" s="11" t="str">
        <f t="shared" si="4"/>
        <v>data:image/svg+xml,%3csvg xmlns='http://www.w3.org/2000/svg' viewBox='0 0 24 216'%3e%3ctext fill='%23fff' style='font: 900 16px sans-serif' text-anchor='end' transform='matrix(0 -1 1 0 18 5)'%3ePeaches%3c/text%3e%3c/svg%3e</v>
      </c>
      <c r="H1178" s="8" t="s">
        <v>42</v>
      </c>
      <c r="I1178" s="8">
        <f t="shared" ref="I1178:J1178" si="1179">len(B1178)</f>
        <v>7</v>
      </c>
      <c r="J1178" s="8">
        <f t="shared" si="1179"/>
        <v>12</v>
      </c>
      <c r="K1178" s="8" t="s">
        <v>5211</v>
      </c>
    </row>
    <row r="1179">
      <c r="A1179" s="7" t="b">
        <v>1</v>
      </c>
      <c r="B1179" s="8" t="s">
        <v>5212</v>
      </c>
      <c r="C1179" s="8" t="s">
        <v>5213</v>
      </c>
      <c r="D1179" s="8" t="str">
        <f>Q&amp;$K1179&amp;Q&amp;":{"&amp;Q&amp;$B$2&amp;Q&amp;":"&amp;Q&amp;$B1179&amp;Q&amp;","&amp;Q&amp;$C$2&amp;Q&amp;":"&amp;Q&amp;$C1179&amp;Q&amp;","&amp;Q&amp;"sets"&amp;Q&amp;":"&amp;Q&amp;substitute(SUBSTITUTE($H1179,"[",""),"]","")&amp;Q&amp;"},"</f>
        <v>"hlwe":{"label":"Peaches &amp; Cream","extra":"A great complexion and a great dessert.","sets":"Expansion Set 4, Party Expansion 1"},</v>
      </c>
      <c r="E1179" s="9" t="str">
        <f t="shared" si="2"/>
        <v>data:image/svg+xml,%3csvg xmlns='http://www.w3.org/2000/svg' viewBox='0 0 24 216'%3e%3ctext fill='%23fff' style='font: 900 16px sans-serif' text-anchor='end' transform='matrix(0 -1 1 0 18 5)'%3ePeaches %26amp%3B Cream%3c/text%3e%3c/svg%3e</v>
      </c>
      <c r="F1179" s="14" t="str">
        <f t="shared" si="3"/>
        <v>https://svgtext.heliohost.us/cgi-bin/gen.perl?text=Peaches%20%26%20Cream</v>
      </c>
      <c r="G1179" s="11" t="str">
        <f t="shared" si="4"/>
        <v>data:image/svg+xml,%3csvg xmlns='http://www.w3.org/2000/svg' viewBox='0 0 24 216'%3e%3ctext fill='%23fff' style='font: 900 16px sans-serif' text-anchor='end' transform='matrix(0 -1 1 0 18 5)'%3ePeaches %26amp%3B Cream%3c/text%3e%3c/svg%3e</v>
      </c>
      <c r="H1179" s="8" t="s">
        <v>63</v>
      </c>
      <c r="I1179" s="8">
        <f t="shared" ref="I1179:J1179" si="1180">len(B1179)</f>
        <v>15</v>
      </c>
      <c r="J1179" s="8">
        <f t="shared" si="1180"/>
        <v>39</v>
      </c>
      <c r="K1179" s="8" t="s">
        <v>5214</v>
      </c>
    </row>
    <row r="1180">
      <c r="A1180" s="7" t="b">
        <v>1</v>
      </c>
      <c r="B1180" s="8" t="s">
        <v>5215</v>
      </c>
      <c r="C1180" s="8" t="s">
        <v>5216</v>
      </c>
      <c r="D1180" s="8" t="str">
        <f>Q&amp;$K1180&amp;Q&amp;":{"&amp;Q&amp;$B$2&amp;Q&amp;":"&amp;Q&amp;$B1180&amp;Q&amp;","&amp;Q&amp;$C$2&amp;Q&amp;":"&amp;Q&amp;$C1180&amp;Q&amp;","&amp;Q&amp;"sets"&amp;Q&amp;":"&amp;Q&amp;substitute(SUBSTITUTE($H1180,"[",""),"]","")&amp;Q&amp;"},"</f>
        <v>"qpvn":{"label":"Peacocks","extra":"The show-offs of the bird world.","sets":"Junior 9+ (2nd)"},</v>
      </c>
      <c r="E1180" s="9" t="str">
        <f t="shared" si="2"/>
        <v>data:image/svg+xml,%3csvg xmlns='http://www.w3.org/2000/svg' viewBox='0 0 24 216'%3e%3ctext fill='%23fff' style='font: 900 16px sans-serif' text-anchor='end' transform='matrix(0 -1 1 0 18 5)'%3ePeacocks%3c/text%3e%3c/svg%3e</v>
      </c>
      <c r="F1180" s="14" t="str">
        <f t="shared" si="3"/>
        <v>https://svgtext.heliohost.us/cgi-bin/gen.perl?text=Peacocks</v>
      </c>
      <c r="G1180" s="11" t="str">
        <f t="shared" si="4"/>
        <v>data:image/svg+xml,%3csvg xmlns='http://www.w3.org/2000/svg' viewBox='0 0 24 216'%3e%3ctext fill='%23fff' style='font: 900 16px sans-serif' text-anchor='end' transform='matrix(0 -1 1 0 18 5)'%3ePeacocks%3c/text%3e%3c/svg%3e</v>
      </c>
      <c r="H1180" s="8" t="s">
        <v>32</v>
      </c>
      <c r="I1180" s="8">
        <f t="shared" ref="I1180:J1180" si="1181">len(B1180)</f>
        <v>8</v>
      </c>
      <c r="J1180" s="8">
        <f t="shared" si="1181"/>
        <v>32</v>
      </c>
      <c r="K1180" s="8" t="s">
        <v>5217</v>
      </c>
    </row>
    <row r="1181">
      <c r="A1181" s="7" t="b">
        <v>1</v>
      </c>
      <c r="B1181" s="8" t="s">
        <v>5218</v>
      </c>
      <c r="C1181" s="8" t="s">
        <v>5219</v>
      </c>
      <c r="D1181" s="8" t="str">
        <f>Q&amp;$K1181&amp;Q&amp;":{"&amp;Q&amp;$B$2&amp;Q&amp;":"&amp;Q&amp;$B1181&amp;Q&amp;","&amp;Q&amp;$C$2&amp;Q&amp;":"&amp;Q&amp;$C1181&amp;Q&amp;","&amp;Q&amp;"sets"&amp;Q&amp;":"&amp;Q&amp;substitute(SUBSTITUTE($H1181,"[",""),"]","")&amp;Q&amp;"},"</f>
        <v>"uqdo":{"label":"Peanut Butter","extra":"A soft, creamy spread made from peanuts. Sometimes it sticks to the roof of your mouth.","sets":"Junior"},</v>
      </c>
      <c r="E1181" s="9" t="str">
        <f t="shared" si="2"/>
        <v>data:image/svg+xml,%3csvg xmlns='http://www.w3.org/2000/svg' viewBox='0 0 24 216'%3e%3ctext fill='%23fff' style='font: 900 16px sans-serif' text-anchor='end' transform='matrix(0 -1 1 0 18 5)'%3ePeanut Butter%3c/text%3e%3c/svg%3e</v>
      </c>
      <c r="F1181" s="14" t="str">
        <f t="shared" si="3"/>
        <v>https://svgtext.heliohost.us/cgi-bin/gen.perl?text=Peanut%20Butter</v>
      </c>
      <c r="G1181" s="11" t="str">
        <f t="shared" si="4"/>
        <v>data:image/svg+xml,%3csvg xmlns='http://www.w3.org/2000/svg' viewBox='0 0 24 216'%3e%3ctext fill='%23fff' style='font: 900 16px sans-serif' text-anchor='end' transform='matrix(0 -1 1 0 18 5)'%3ePeanut Butter%3c/text%3e%3c/svg%3e</v>
      </c>
      <c r="H1181" s="8" t="s">
        <v>84</v>
      </c>
      <c r="I1181" s="8">
        <f t="shared" ref="I1181:J1181" si="1182">len(B1181)</f>
        <v>13</v>
      </c>
      <c r="J1181" s="8">
        <f t="shared" si="1182"/>
        <v>87</v>
      </c>
      <c r="K1181" s="8" t="s">
        <v>5220</v>
      </c>
    </row>
    <row r="1182">
      <c r="A1182" s="7" t="b">
        <v>1</v>
      </c>
      <c r="B1182" s="8" t="s">
        <v>5221</v>
      </c>
      <c r="C1182" s="7" t="s">
        <v>5222</v>
      </c>
      <c r="D1182" s="8" t="str">
        <f>Q&amp;$K1182&amp;Q&amp;":{"&amp;Q&amp;$B$2&amp;Q&amp;":"&amp;Q&amp;$B1182&amp;Q&amp;","&amp;Q&amp;$C$2&amp;Q&amp;":"&amp;Q&amp;$C1182&amp;Q&amp;","&amp;Q&amp;"sets"&amp;Q&amp;":"&amp;Q&amp;substitute(SUBSTITUTE($H1182,"[",""),"]","")&amp;Q&amp;"},"</f>
        <v>"fjui":{"label":"Peanut Butter &amp; Jelly","extra":"On white bread; cut off the crusts.","sets":"Expansion Set 4, Party Expansion 1"},</v>
      </c>
      <c r="E1182" s="9" t="str">
        <f t="shared" si="2"/>
        <v>data:image/svg+xml,%3csvg xmlns='http://www.w3.org/2000/svg' viewBox='0 0 24 216'%3e%3ctext fill='%23fff' style='font: 900 16px sans-serif' text-anchor='end' transform='matrix(0 -1 1 0 18 5)'%3ePeanut Butter %26amp%3B Jelly%3c/text%3e%3c/svg%3e</v>
      </c>
      <c r="F1182" s="14" t="str">
        <f t="shared" si="3"/>
        <v>https://svgtext.heliohost.us/cgi-bin/gen.perl?text=Peanut%20Butter%20%26%20Jelly</v>
      </c>
      <c r="G1182" s="11" t="str">
        <f t="shared" si="4"/>
        <v>data:image/svg+xml,%3csvg xmlns='http://www.w3.org/2000/svg' viewBox='0 0 24 216'%3e%3ctext fill='%23fff' style='font: 900 16px sans-serif' text-anchor='end' transform='matrix(0 -1 1 0 18 5)'%3ePeanut Butter %26amp%3B Jelly%3c/text%3e%3c/svg%3e</v>
      </c>
      <c r="H1182" s="8" t="s">
        <v>63</v>
      </c>
      <c r="I1182" s="8">
        <f t="shared" ref="I1182:J1182" si="1183">len(B1182)</f>
        <v>21</v>
      </c>
      <c r="J1182" s="8">
        <f t="shared" si="1183"/>
        <v>35</v>
      </c>
      <c r="K1182" s="8" t="s">
        <v>5223</v>
      </c>
    </row>
    <row r="1183">
      <c r="A1183" s="7" t="b">
        <v>1</v>
      </c>
      <c r="B1183" s="8" t="s">
        <v>5224</v>
      </c>
      <c r="C1183" s="8" t="s">
        <v>5225</v>
      </c>
      <c r="D1183" s="8" t="str">
        <f>Q&amp;$K1183&amp;Q&amp;":{"&amp;Q&amp;$B$2&amp;Q&amp;":"&amp;Q&amp;$B1183&amp;Q&amp;","&amp;Q&amp;$C$2&amp;Q&amp;":"&amp;Q&amp;$C1183&amp;Q&amp;","&amp;Q&amp;"sets"&amp;Q&amp;":"&amp;Q&amp;substitute(SUBSTITUTE($H1183,"[",""),"]","")&amp;Q&amp;"},"</f>
        <v>"ecqb":{"label":"Peanuts","extra":"Peanuts are really a seed, not a pea or a nut.","sets":"Junior 9+ (1st) &amp; (2nd)"},</v>
      </c>
      <c r="E1183" s="9" t="str">
        <f t="shared" si="2"/>
        <v>data:image/svg+xml,%3csvg xmlns='http://www.w3.org/2000/svg' viewBox='0 0 24 216'%3e%3ctext fill='%23fff' style='font: 900 16px sans-serif' text-anchor='end' transform='matrix(0 -1 1 0 18 5)'%3ePeanuts%3c/text%3e%3c/svg%3e</v>
      </c>
      <c r="F1183" s="14" t="str">
        <f t="shared" si="3"/>
        <v>https://svgtext.heliohost.us/cgi-bin/gen.perl?text=Peanuts</v>
      </c>
      <c r="G1183" s="11" t="str">
        <f t="shared" si="4"/>
        <v>data:image/svg+xml,%3csvg xmlns='http://www.w3.org/2000/svg' viewBox='0 0 24 216'%3e%3ctext fill='%23fff' style='font: 900 16px sans-serif' text-anchor='end' transform='matrix(0 -1 1 0 18 5)'%3ePeanuts%3c/text%3e%3c/svg%3e</v>
      </c>
      <c r="H1183" s="8" t="s">
        <v>42</v>
      </c>
      <c r="I1183" s="8">
        <f t="shared" ref="I1183:J1183" si="1184">len(B1183)</f>
        <v>7</v>
      </c>
      <c r="J1183" s="8">
        <f t="shared" si="1184"/>
        <v>46</v>
      </c>
      <c r="K1183" s="8" t="s">
        <v>5226</v>
      </c>
    </row>
    <row r="1184">
      <c r="A1184" s="7" t="b">
        <v>1</v>
      </c>
      <c r="B1184" s="8" t="s">
        <v>5227</v>
      </c>
      <c r="C1184" s="8" t="s">
        <v>5228</v>
      </c>
      <c r="D1184" s="8" t="str">
        <f>Q&amp;$K1184&amp;Q&amp;":{"&amp;Q&amp;$B$2&amp;Q&amp;":"&amp;Q&amp;$B1184&amp;Q&amp;","&amp;Q&amp;$C$2&amp;Q&amp;":"&amp;Q&amp;$C1184&amp;Q&amp;","&amp;Q&amp;"sets"&amp;Q&amp;":"&amp;Q&amp;substitute(SUBSTITUTE($H1184,"[",""),"]","")&amp;Q&amp;"},"</f>
        <v>"bfhj":{"label":"Peanuts &amp; Popcorn","extra":"It's a crackerjack combination!","sets":"Expansion Set 4, Party Expansion 1"},</v>
      </c>
      <c r="E1184" s="9" t="str">
        <f t="shared" si="2"/>
        <v>data:image/svg+xml,%3csvg xmlns='http://www.w3.org/2000/svg' viewBox='0 0 24 216'%3e%3ctext fill='%23fff' style='font: 900 16px sans-serif' text-anchor='end' transform='matrix(0 -1 1 0 18 5)'%3ePeanuts %26amp%3B Popcorn%3c/text%3e%3c/svg%3e</v>
      </c>
      <c r="F1184" s="14" t="str">
        <f t="shared" si="3"/>
        <v>https://svgtext.heliohost.us/cgi-bin/gen.perl?text=Peanuts%20%26%20Popcorn</v>
      </c>
      <c r="G1184" s="11" t="str">
        <f t="shared" si="4"/>
        <v>data:image/svg+xml,%3csvg xmlns='http://www.w3.org/2000/svg' viewBox='0 0 24 216'%3e%3ctext fill='%23fff' style='font: 900 16px sans-serif' text-anchor='end' transform='matrix(0 -1 1 0 18 5)'%3ePeanuts %26amp%3B Popcorn%3c/text%3e%3c/svg%3e</v>
      </c>
      <c r="H1184" s="8" t="s">
        <v>63</v>
      </c>
      <c r="I1184" s="8">
        <f t="shared" ref="I1184:J1184" si="1185">len(B1184)</f>
        <v>17</v>
      </c>
      <c r="J1184" s="8">
        <f t="shared" si="1185"/>
        <v>31</v>
      </c>
      <c r="K1184" s="8" t="s">
        <v>5229</v>
      </c>
    </row>
    <row r="1185">
      <c r="A1185" s="7" t="b">
        <v>1</v>
      </c>
      <c r="B1185" s="8" t="s">
        <v>5230</v>
      </c>
      <c r="C1185" s="7" t="s">
        <v>5231</v>
      </c>
      <c r="D1185" s="8" t="str">
        <f>Q&amp;$K1185&amp;Q&amp;":{"&amp;Q&amp;$B$2&amp;Q&amp;":"&amp;Q&amp;$B1185&amp;Q&amp;","&amp;Q&amp;$C$2&amp;Q&amp;":"&amp;Q&amp;$C1185&amp;Q&amp;","&amp;Q&amp;"sets"&amp;Q&amp;":"&amp;Q&amp;substitute(SUBSTITUTE($H1185,"[",""),"]","")&amp;Q&amp;"},"</f>
        <v>"bfyo":{"label":"Pearl Earrings","extra":"A good gift for Mother’s Day!","sets":"Junior 9+ (2nd)"},</v>
      </c>
      <c r="E1185" s="9" t="str">
        <f t="shared" si="2"/>
        <v>data:image/svg+xml,%3csvg xmlns='http://www.w3.org/2000/svg' viewBox='0 0 24 216'%3e%3ctext fill='%23fff' style='font: 900 16px sans-serif' text-anchor='end' transform='matrix(0 -1 1 0 18 5)'%3ePearl Earrings%3c/text%3e%3c/svg%3e</v>
      </c>
      <c r="F1185" s="14" t="str">
        <f t="shared" si="3"/>
        <v>https://svgtext.heliohost.us/cgi-bin/gen.perl?text=Pearl%20Earrings</v>
      </c>
      <c r="G1185" s="11" t="str">
        <f t="shared" si="4"/>
        <v>data:image/svg+xml,%3csvg xmlns='http://www.w3.org/2000/svg' viewBox='0 0 24 216'%3e%3ctext fill='%23fff' style='font: 900 16px sans-serif' text-anchor='end' transform='matrix(0 -1 1 0 18 5)'%3ePearl Earrings%3c/text%3e%3c/svg%3e</v>
      </c>
      <c r="H1185" s="8" t="s">
        <v>32</v>
      </c>
      <c r="I1185" s="8">
        <f t="shared" ref="I1185:J1185" si="1186">len(B1185)</f>
        <v>14</v>
      </c>
      <c r="J1185" s="8">
        <f t="shared" si="1186"/>
        <v>29</v>
      </c>
      <c r="K1185" s="8" t="s">
        <v>5232</v>
      </c>
    </row>
    <row r="1186">
      <c r="A1186" s="7" t="b">
        <v>1</v>
      </c>
      <c r="B1186" s="8" t="s">
        <v>5233</v>
      </c>
      <c r="C1186" s="7" t="s">
        <v>5234</v>
      </c>
      <c r="D1186" s="8" t="str">
        <f>Q&amp;$K1186&amp;Q&amp;":{"&amp;Q&amp;$B$2&amp;Q&amp;":"&amp;Q&amp;$B1186&amp;Q&amp;","&amp;Q&amp;$C$2&amp;Q&amp;":"&amp;Q&amp;$C1186&amp;Q&amp;","&amp;Q&amp;"sets"&amp;Q&amp;":"&amp;Q&amp;substitute(SUBSTITUTE($H1186,"[",""),"]","")&amp;Q&amp;"},"</f>
        <v>"ajvr":{"label":"Pebbles &amp; Bamm-Bamm","extra":"The cartoon kids from The Flintstones. BAM-BAM, BAM-BAM, BAM-BAM.","sets":"Expansion Set 4, Party Expansion 1"},</v>
      </c>
      <c r="E1186" s="9" t="str">
        <f t="shared" si="2"/>
        <v>data:image/svg+xml,%3csvg xmlns='http://www.w3.org/2000/svg' viewBox='0 0 24 216'%3e%3ctext fill='%23fff' style='font: 900 16px sans-serif' text-anchor='end' transform='matrix(0 -1 1 0 18 5)'%3ePebbles %26amp%3B Bamm-Bamm%3c/text%3e%3c/svg%3e</v>
      </c>
      <c r="F1186" s="14" t="str">
        <f t="shared" si="3"/>
        <v>https://svgtext.heliohost.us/cgi-bin/gen.perl?text=Pebbles%20%26%20Bamm-Bamm</v>
      </c>
      <c r="G1186" s="11" t="str">
        <f t="shared" si="4"/>
        <v>data:image/svg+xml,%3csvg xmlns='http://www.w3.org/2000/svg' viewBox='0 0 24 216'%3e%3ctext fill='%23fff' style='font: 900 16px sans-serif' text-anchor='end' transform='matrix(0 -1 1 0 18 5)'%3ePebbles %26amp%3B Bamm-Bamm%3c/text%3e%3c/svg%3e</v>
      </c>
      <c r="H1186" s="8" t="s">
        <v>63</v>
      </c>
      <c r="I1186" s="8">
        <f t="shared" ref="I1186:J1186" si="1187">len(B1186)</f>
        <v>19</v>
      </c>
      <c r="J1186" s="8">
        <f t="shared" si="1187"/>
        <v>65</v>
      </c>
      <c r="K1186" s="8" t="s">
        <v>5235</v>
      </c>
    </row>
    <row r="1187">
      <c r="A1187" s="7" t="b">
        <v>1</v>
      </c>
      <c r="B1187" s="8" t="s">
        <v>5236</v>
      </c>
      <c r="C1187" s="7" t="s">
        <v>5237</v>
      </c>
      <c r="D1187" s="8" t="str">
        <f>Q&amp;$K1187&amp;Q&amp;":{"&amp;Q&amp;$B$2&amp;Q&amp;":"&amp;Q&amp;$B1187&amp;Q&amp;","&amp;Q&amp;$C$2&amp;Q&amp;":"&amp;Q&amp;$C1187&amp;Q&amp;","&amp;Q&amp;"sets"&amp;Q&amp;":"&amp;Q&amp;substitute(SUBSTITUTE($H1187,"[",""),"]","")&amp;Q&amp;"},"</f>
        <v>"sl{b":{"label":"Pencil &amp; Paper","extra":"We’re drawn to them!","sets":"Expansion Set 4, Party Expansion 1"},</v>
      </c>
      <c r="E1187" s="9" t="str">
        <f t="shared" si="2"/>
        <v>data:image/svg+xml,%3csvg xmlns='http://www.w3.org/2000/svg' viewBox='0 0 24 216'%3e%3ctext fill='%23fff' style='font: 900 16px sans-serif' text-anchor='end' transform='matrix(0 -1 1 0 18 5)'%3ePencil %26amp%3B Paper%3c/text%3e%3c/svg%3e</v>
      </c>
      <c r="F1187" s="14" t="str">
        <f t="shared" si="3"/>
        <v>https://svgtext.heliohost.us/cgi-bin/gen.perl?text=Pencil%20%26%20Paper</v>
      </c>
      <c r="G1187" s="11" t="str">
        <f t="shared" si="4"/>
        <v>data:image/svg+xml,%3csvg xmlns='http://www.w3.org/2000/svg' viewBox='0 0 24 216'%3e%3ctext fill='%23fff' style='font: 900 16px sans-serif' text-anchor='end' transform='matrix(0 -1 1 0 18 5)'%3ePencil %26amp%3B Paper%3c/text%3e%3c/svg%3e</v>
      </c>
      <c r="H1187" s="8" t="s">
        <v>63</v>
      </c>
      <c r="I1187" s="8">
        <f t="shared" ref="I1187:J1187" si="1188">len(B1187)</f>
        <v>14</v>
      </c>
      <c r="J1187" s="8">
        <f t="shared" si="1188"/>
        <v>20</v>
      </c>
      <c r="K1187" s="8" t="s">
        <v>5238</v>
      </c>
    </row>
    <row r="1188">
      <c r="A1188" s="7" t="b">
        <v>1</v>
      </c>
      <c r="B1188" s="8" t="s">
        <v>5239</v>
      </c>
      <c r="C1188" s="8" t="s">
        <v>5240</v>
      </c>
      <c r="D1188" s="8" t="str">
        <f>Q&amp;$K1188&amp;Q&amp;":{"&amp;Q&amp;$B$2&amp;Q&amp;":"&amp;Q&amp;$B1188&amp;Q&amp;","&amp;Q&amp;$C$2&amp;Q&amp;":"&amp;Q&amp;$C1188&amp;Q&amp;","&amp;Q&amp;"sets"&amp;Q&amp;":"&amp;Q&amp;substitute(SUBSTITUTE($H1188,"[",""),"]","")&amp;Q&amp;"},"</f>
        <v>"hjdw":{"label":"Pencils","extra":"Three-fourths of all pencils made in the United States are yellow.","sets":"Junior 9+ (1st) &amp; (2nd)"},</v>
      </c>
      <c r="E1188" s="9" t="str">
        <f t="shared" si="2"/>
        <v>data:image/svg+xml,%3csvg xmlns='http://www.w3.org/2000/svg' viewBox='0 0 24 216'%3e%3ctext fill='%23fff' style='font: 900 16px sans-serif' text-anchor='end' transform='matrix(0 -1 1 0 18 5)'%3ePencils%3c/text%3e%3c/svg%3e</v>
      </c>
      <c r="F1188" s="14" t="str">
        <f t="shared" si="3"/>
        <v>https://svgtext.heliohost.us/cgi-bin/gen.perl?text=Pencils</v>
      </c>
      <c r="G1188" s="11" t="str">
        <f t="shared" si="4"/>
        <v>data:image/svg+xml,%3csvg xmlns='http://www.w3.org/2000/svg' viewBox='0 0 24 216'%3e%3ctext fill='%23fff' style='font: 900 16px sans-serif' text-anchor='end' transform='matrix(0 -1 1 0 18 5)'%3ePencils%3c/text%3e%3c/svg%3e</v>
      </c>
      <c r="H1188" s="8" t="s">
        <v>42</v>
      </c>
      <c r="I1188" s="8">
        <f t="shared" ref="I1188:J1188" si="1189">len(B1188)</f>
        <v>7</v>
      </c>
      <c r="J1188" s="8">
        <f t="shared" si="1189"/>
        <v>66</v>
      </c>
      <c r="K1188" s="8" t="s">
        <v>5241</v>
      </c>
    </row>
    <row r="1189">
      <c r="A1189" s="7" t="b">
        <v>0</v>
      </c>
      <c r="B1189" s="8" t="s">
        <v>5242</v>
      </c>
      <c r="C1189" s="8" t="s">
        <v>5243</v>
      </c>
      <c r="D1189" s="8" t="str">
        <f>Q&amp;$K1189&amp;Q&amp;":{"&amp;Q&amp;$B$2&amp;Q&amp;":"&amp;Q&amp;$B1189&amp;Q&amp;","&amp;Q&amp;$C$2&amp;Q&amp;":"&amp;Q&amp;$C1189&amp;Q&amp;","&amp;Q&amp;"sets"&amp;Q&amp;":"&amp;Q&amp;substitute(SUBSTITUTE($H1189,"[",""),"]","")&amp;Q&amp;"},"</f>
        <v>"jumb":{"label":"Penguins","extra":"Flightless, aquatic birds that reside in the Southern Hemisphere. All dressed up and no place to go.","sets":"Expansion Set 1, Party Set"},</v>
      </c>
      <c r="E1189" s="9" t="str">
        <f t="shared" si="2"/>
        <v>data:image/svg+xml,%3csvg xmlns='http://www.w3.org/2000/svg' viewBox='0 0 24 216'%3e%3ctext fill='%23fff' style='font: 900 16px sans-serif' text-anchor='end' transform='matrix(0 -1 1 0 18 5)'%3ePenguins%3c/text%3e%3c/svg%3e</v>
      </c>
      <c r="F1189" s="14" t="str">
        <f t="shared" si="3"/>
        <v>https://svgtext.heliohost.us/cgi-bin/gen.perl?text=Penguins</v>
      </c>
      <c r="G1189" s="11" t="str">
        <f t="shared" si="4"/>
        <v>data:image/svg+xml,%3csvg xmlns='http://www.w3.org/2000/svg' viewBox='0 0 24 216'%3e%3ctext fill='%23fff' style='font: 900 16px sans-serif' text-anchor='end' transform='matrix(0 -1 1 0 18 5)'%3ePenguins%3c/text%3e%3c/svg%3e</v>
      </c>
      <c r="H1189" s="8" t="s">
        <v>25</v>
      </c>
      <c r="I1189" s="8">
        <f t="shared" ref="I1189:J1189" si="1190">len(B1189)</f>
        <v>8</v>
      </c>
      <c r="J1189" s="8">
        <f t="shared" si="1190"/>
        <v>100</v>
      </c>
      <c r="K1189" s="8" t="s">
        <v>5244</v>
      </c>
    </row>
    <row r="1190">
      <c r="A1190" s="7" t="b">
        <v>1</v>
      </c>
      <c r="B1190" s="8" t="s">
        <v>5242</v>
      </c>
      <c r="C1190" s="7" t="s">
        <v>5245</v>
      </c>
      <c r="D1190" s="8" t="str">
        <f>Q&amp;$K1190&amp;Q&amp;":{"&amp;Q&amp;$B$2&amp;Q&amp;":"&amp;Q&amp;$B1190&amp;Q&amp;","&amp;Q&amp;$C$2&amp;Q&amp;":"&amp;Q&amp;$C1190&amp;Q&amp;","&amp;Q&amp;"sets"&amp;Q&amp;":"&amp;Q&amp;substitute(SUBSTITUTE($H1190,"[",""),"]","")&amp;Q&amp;"},"</f>
        <v>"nknr":{"label":"Penguins","extra":"Black and white sea birds found in Antarctica. They can’t fly, but they sure can waddle.","sets":"Junior"},</v>
      </c>
      <c r="E1190" s="9" t="str">
        <f t="shared" si="2"/>
        <v>data:image/svg+xml,%3csvg xmlns='http://www.w3.org/2000/svg' viewBox='0 0 24 216'%3e%3ctext fill='%23fff' style='font: 900 16px sans-serif' text-anchor='end' transform='matrix(0 -1 1 0 18 5)'%3ePenguins%3c/text%3e%3c/svg%3e</v>
      </c>
      <c r="F1190" s="14" t="str">
        <f t="shared" si="3"/>
        <v>https://svgtext.heliohost.us/cgi-bin/gen.perl?text=Penguins</v>
      </c>
      <c r="G1190" s="11" t="str">
        <f t="shared" si="4"/>
        <v>data:image/svg+xml,%3csvg xmlns='http://www.w3.org/2000/svg' viewBox='0 0 24 216'%3e%3ctext fill='%23fff' style='font: 900 16px sans-serif' text-anchor='end' transform='matrix(0 -1 1 0 18 5)'%3ePenguins%3c/text%3e%3c/svg%3e</v>
      </c>
      <c r="H1190" s="8" t="s">
        <v>84</v>
      </c>
      <c r="I1190" s="8">
        <f t="shared" ref="I1190:J1190" si="1191">len(B1190)</f>
        <v>8</v>
      </c>
      <c r="J1190" s="8">
        <f t="shared" si="1191"/>
        <v>88</v>
      </c>
      <c r="K1190" s="8" t="s">
        <v>5246</v>
      </c>
    </row>
    <row r="1191">
      <c r="A1191" s="7" t="b">
        <v>1</v>
      </c>
      <c r="B1191" s="8" t="s">
        <v>5247</v>
      </c>
      <c r="C1191" s="8" t="s">
        <v>5248</v>
      </c>
      <c r="D1191" s="8" t="str">
        <f>Q&amp;$K1191&amp;Q&amp;":{"&amp;Q&amp;$B$2&amp;Q&amp;":"&amp;Q&amp;$B1191&amp;Q&amp;","&amp;Q&amp;$C$2&amp;Q&amp;":"&amp;Q&amp;$C1191&amp;Q&amp;","&amp;Q&amp;"sets"&amp;Q&amp;":"&amp;Q&amp;substitute(SUBSTITUTE($H1191,"[",""),"]","")&amp;Q&amp;"},"</f>
        <v>"mypp":{"label":"Penn &amp; Teller","extra":"Magicians, illusionists, entertainers, and comedians.","sets":"Expansion Set 4, Party Expansion 1"},</v>
      </c>
      <c r="E1191" s="9" t="str">
        <f t="shared" si="2"/>
        <v>data:image/svg+xml,%3csvg xmlns='http://www.w3.org/2000/svg' viewBox='0 0 24 216'%3e%3ctext fill='%23fff' style='font: 900 16px sans-serif' text-anchor='end' transform='matrix(0 -1 1 0 18 5)'%3ePenn %26amp%3B Teller%3c/text%3e%3c/svg%3e</v>
      </c>
      <c r="F1191" s="14" t="str">
        <f t="shared" si="3"/>
        <v>https://svgtext.heliohost.us/cgi-bin/gen.perl?text=Penn%20%26%20Teller</v>
      </c>
      <c r="G1191" s="11" t="str">
        <f t="shared" si="4"/>
        <v>data:image/svg+xml,%3csvg xmlns='http://www.w3.org/2000/svg' viewBox='0 0 24 216'%3e%3ctext fill='%23fff' style='font: 900 16px sans-serif' text-anchor='end' transform='matrix(0 -1 1 0 18 5)'%3ePenn %26amp%3B Teller%3c/text%3e%3c/svg%3e</v>
      </c>
      <c r="H1191" s="8" t="s">
        <v>63</v>
      </c>
      <c r="I1191" s="8">
        <f t="shared" ref="I1191:J1191" si="1192">len(B1191)</f>
        <v>13</v>
      </c>
      <c r="J1191" s="8">
        <f t="shared" si="1192"/>
        <v>53</v>
      </c>
      <c r="K1191" s="8" t="s">
        <v>5249</v>
      </c>
    </row>
    <row r="1192">
      <c r="A1192" s="7" t="b">
        <v>1</v>
      </c>
      <c r="B1192" s="8" t="s">
        <v>5250</v>
      </c>
      <c r="C1192" s="8" t="s">
        <v>5251</v>
      </c>
      <c r="D1192" s="8" t="str">
        <f>Q&amp;$K1192&amp;Q&amp;":{"&amp;Q&amp;$B$2&amp;Q&amp;":"&amp;Q&amp;$B1192&amp;Q&amp;","&amp;Q&amp;$C$2&amp;Q&amp;":"&amp;Q&amp;$C1192&amp;Q&amp;","&amp;Q&amp;"sets"&amp;Q&amp;":"&amp;Q&amp;substitute(SUBSTITUTE($H1192,"[",""),"]","")&amp;Q&amp;"},"</f>
        <v>"nwxj":{"label":"Pennies","extra":"Heads or tails?","sets":"Junior 9+ (1st) &amp; (2nd)"},</v>
      </c>
      <c r="E1192" s="9" t="str">
        <f t="shared" si="2"/>
        <v>data:image/svg+xml,%3csvg xmlns='http://www.w3.org/2000/svg' viewBox='0 0 24 216'%3e%3ctext fill='%23fff' style='font: 900 16px sans-serif' text-anchor='end' transform='matrix(0 -1 1 0 18 5)'%3ePennies%3c/text%3e%3c/svg%3e</v>
      </c>
      <c r="F1192" s="14" t="str">
        <f t="shared" si="3"/>
        <v>https://svgtext.heliohost.us/cgi-bin/gen.perl?text=Pennies</v>
      </c>
      <c r="G1192" s="11" t="str">
        <f t="shared" si="4"/>
        <v>data:image/svg+xml,%3csvg xmlns='http://www.w3.org/2000/svg' viewBox='0 0 24 216'%3e%3ctext fill='%23fff' style='font: 900 16px sans-serif' text-anchor='end' transform='matrix(0 -1 1 0 18 5)'%3ePennies%3c/text%3e%3c/svg%3e</v>
      </c>
      <c r="H1192" s="8" t="s">
        <v>42</v>
      </c>
      <c r="I1192" s="8">
        <f t="shared" ref="I1192:J1192" si="1193">len(B1192)</f>
        <v>7</v>
      </c>
      <c r="J1192" s="8">
        <f t="shared" si="1193"/>
        <v>15</v>
      </c>
      <c r="K1192" s="8" t="s">
        <v>5252</v>
      </c>
    </row>
    <row r="1193">
      <c r="A1193" s="7" t="b">
        <v>1</v>
      </c>
      <c r="B1193" s="8" t="s">
        <v>5253</v>
      </c>
      <c r="C1193" s="8" t="s">
        <v>5254</v>
      </c>
      <c r="D1193" s="8" t="str">
        <f>Q&amp;$K1193&amp;Q&amp;":{"&amp;Q&amp;$B$2&amp;Q&amp;":"&amp;Q&amp;$B1193&amp;Q&amp;","&amp;Q&amp;$C$2&amp;Q&amp;":"&amp;Q&amp;$C1193&amp;Q&amp;","&amp;Q&amp;"sets"&amp;Q&amp;":"&amp;Q&amp;substitute(SUBSTITUTE($H1193,"[",""),"]","")&amp;Q&amp;"},"</f>
        <v>"pvgi":{"label":"Peppers","extra":"Sweet and crunchy, or hot and spicy!","sets":"Junior 9+ (1st) &amp; (2nd)"},</v>
      </c>
      <c r="E1193" s="9" t="str">
        <f t="shared" si="2"/>
        <v>data:image/svg+xml,%3csvg xmlns='http://www.w3.org/2000/svg' viewBox='0 0 24 216'%3e%3ctext fill='%23fff' style='font: 900 16px sans-serif' text-anchor='end' transform='matrix(0 -1 1 0 18 5)'%3ePeppers%3c/text%3e%3c/svg%3e</v>
      </c>
      <c r="F1193" s="14" t="str">
        <f t="shared" si="3"/>
        <v>https://svgtext.heliohost.us/cgi-bin/gen.perl?text=Peppers</v>
      </c>
      <c r="G1193" s="11" t="str">
        <f t="shared" si="4"/>
        <v>data:image/svg+xml,%3csvg xmlns='http://www.w3.org/2000/svg' viewBox='0 0 24 216'%3e%3ctext fill='%23fff' style='font: 900 16px sans-serif' text-anchor='end' transform='matrix(0 -1 1 0 18 5)'%3ePeppers%3c/text%3e%3c/svg%3e</v>
      </c>
      <c r="H1193" s="8" t="s">
        <v>42</v>
      </c>
      <c r="I1193" s="8">
        <f t="shared" ref="I1193:J1193" si="1194">len(B1193)</f>
        <v>7</v>
      </c>
      <c r="J1193" s="8">
        <f t="shared" si="1194"/>
        <v>36</v>
      </c>
      <c r="K1193" s="8" t="s">
        <v>5255</v>
      </c>
    </row>
    <row r="1194">
      <c r="A1194" s="7" t="b">
        <v>1</v>
      </c>
      <c r="B1194" s="8" t="s">
        <v>5256</v>
      </c>
      <c r="C1194" s="7" t="s">
        <v>5257</v>
      </c>
      <c r="D1194" s="8" t="str">
        <f>Q&amp;$K1194&amp;Q&amp;":{"&amp;Q&amp;$B$2&amp;Q&amp;":"&amp;Q&amp;$B1194&amp;Q&amp;","&amp;Q&amp;$C$2&amp;Q&amp;":"&amp;Q&amp;$C1194&amp;Q&amp;","&amp;Q&amp;"sets"&amp;Q&amp;":"&amp;Q&amp;substitute(SUBSTITUTE($H1194,"[",""),"]","")&amp;Q&amp;"},"</f>
        <v>"ktso":{"label":"Perfume","extra":"What’s that smell?","sets":"Junior 9+ (2nd)"},</v>
      </c>
      <c r="E1194" s="9" t="str">
        <f t="shared" si="2"/>
        <v>data:image/svg+xml,%3csvg xmlns='http://www.w3.org/2000/svg' viewBox='0 0 24 216'%3e%3ctext fill='%23fff' style='font: 900 16px sans-serif' text-anchor='end' transform='matrix(0 -1 1 0 18 5)'%3ePerfume%3c/text%3e%3c/svg%3e</v>
      </c>
      <c r="F1194" s="14" t="str">
        <f t="shared" si="3"/>
        <v>https://svgtext.heliohost.us/cgi-bin/gen.perl?text=Perfume</v>
      </c>
      <c r="G1194" s="11" t="str">
        <f t="shared" si="4"/>
        <v>data:image/svg+xml,%3csvg xmlns='http://www.w3.org/2000/svg' viewBox='0 0 24 216'%3e%3ctext fill='%23fff' style='font: 900 16px sans-serif' text-anchor='end' transform='matrix(0 -1 1 0 18 5)'%3ePerfume%3c/text%3e%3c/svg%3e</v>
      </c>
      <c r="H1194" s="8" t="s">
        <v>32</v>
      </c>
      <c r="I1194" s="8">
        <f t="shared" ref="I1194:J1194" si="1195">len(B1194)</f>
        <v>7</v>
      </c>
      <c r="J1194" s="8">
        <f t="shared" si="1195"/>
        <v>18</v>
      </c>
      <c r="K1194" s="8" t="s">
        <v>5258</v>
      </c>
    </row>
    <row r="1195">
      <c r="A1195" s="7" t="b">
        <v>1</v>
      </c>
      <c r="B1195" s="8" t="s">
        <v>5259</v>
      </c>
      <c r="C1195" s="8" t="s">
        <v>5260</v>
      </c>
      <c r="D1195" s="8" t="str">
        <f>Q&amp;$K1195&amp;Q&amp;":{"&amp;Q&amp;$B$2&amp;Q&amp;":"&amp;Q&amp;$B1195&amp;Q&amp;","&amp;Q&amp;$C$2&amp;Q&amp;":"&amp;Q&amp;$C1195&amp;Q&amp;","&amp;Q&amp;"sets"&amp;Q&amp;":"&amp;Q&amp;substitute(SUBSTITUTE($H1195,"[",""),"]","")&amp;Q&amp;"},"</f>
        <v>"bxyk":{"label":"Peter Pan","extra":"A book and movie character who could fly. He never wanted to grow up!","sets":"Junior"},</v>
      </c>
      <c r="E1195" s="9" t="str">
        <f t="shared" si="2"/>
        <v>data:image/svg+xml,%3csvg xmlns='http://www.w3.org/2000/svg' viewBox='0 0 24 216'%3e%3ctext fill='%23fff' style='font: 900 16px sans-serif' text-anchor='end' transform='matrix(0 -1 1 0 18 5)'%3ePeter Pan%3c/text%3e%3c/svg%3e</v>
      </c>
      <c r="F1195" s="14" t="str">
        <f t="shared" si="3"/>
        <v>https://svgtext.heliohost.us/cgi-bin/gen.perl?text=Peter%20Pan</v>
      </c>
      <c r="G1195" s="11" t="str">
        <f t="shared" si="4"/>
        <v>data:image/svg+xml,%3csvg xmlns='http://www.w3.org/2000/svg' viewBox='0 0 24 216'%3e%3ctext fill='%23fff' style='font: 900 16px sans-serif' text-anchor='end' transform='matrix(0 -1 1 0 18 5)'%3ePeter Pan%3c/text%3e%3c/svg%3e</v>
      </c>
      <c r="H1195" s="8" t="s">
        <v>84</v>
      </c>
      <c r="I1195" s="8">
        <f t="shared" ref="I1195:J1195" si="1196">len(B1195)</f>
        <v>9</v>
      </c>
      <c r="J1195" s="8">
        <f t="shared" si="1196"/>
        <v>69</v>
      </c>
      <c r="K1195" s="8" t="s">
        <v>5261</v>
      </c>
    </row>
    <row r="1196">
      <c r="A1196" s="7" t="b">
        <v>1</v>
      </c>
      <c r="B1196" s="8" t="s">
        <v>5262</v>
      </c>
      <c r="C1196" s="8" t="s">
        <v>5263</v>
      </c>
      <c r="D1196" s="8" t="str">
        <f>Q&amp;$K1196&amp;Q&amp;":{"&amp;Q&amp;$B$2&amp;Q&amp;":"&amp;Q&amp;$B1196&amp;Q&amp;","&amp;Q&amp;$C$2&amp;Q&amp;":"&amp;Q&amp;$C1196&amp;Q&amp;","&amp;Q&amp;"sets"&amp;Q&amp;":"&amp;Q&amp;substitute(SUBSTITUTE($H1196,"[",""),"]","")&amp;Q&amp;"},"</f>
        <v>"yjsn":{"label":"Pez Dispensers","extra":"Collectable candy dispensers first being sold in 1952. Believe it or not, there has never been an Elvis Pez dispenser.","sets":"Expansion Set 3, Party Expansion 1"},</v>
      </c>
      <c r="E1196" s="9" t="str">
        <f t="shared" si="2"/>
        <v>data:image/svg+xml,%3csvg xmlns='http://www.w3.org/2000/svg' viewBox='0 0 24 216'%3e%3ctext fill='%23fff' style='font: 900 16px sans-serif' text-anchor='end' transform='matrix(0 -1 1 0 18 5)'%3ePez Dispensers%3c/text%3e%3c/svg%3e</v>
      </c>
      <c r="F1196" s="14" t="str">
        <f t="shared" si="3"/>
        <v>https://svgtext.heliohost.us/cgi-bin/gen.perl?text=Pez%20Dispensers</v>
      </c>
      <c r="G1196" s="11" t="str">
        <f t="shared" si="4"/>
        <v>data:image/svg+xml,%3csvg xmlns='http://www.w3.org/2000/svg' viewBox='0 0 24 216'%3e%3ctext fill='%23fff' style='font: 900 16px sans-serif' text-anchor='end' transform='matrix(0 -1 1 0 18 5)'%3ePez Dispensers%3c/text%3e%3c/svg%3e</v>
      </c>
      <c r="H1196" s="8" t="s">
        <v>39</v>
      </c>
      <c r="I1196" s="8">
        <f t="shared" ref="I1196:J1196" si="1197">len(B1196)</f>
        <v>14</v>
      </c>
      <c r="J1196" s="8">
        <f t="shared" si="1197"/>
        <v>118</v>
      </c>
      <c r="K1196" s="8" t="s">
        <v>5264</v>
      </c>
    </row>
    <row r="1197">
      <c r="A1197" s="7" t="b">
        <v>1</v>
      </c>
      <c r="B1197" s="8" t="s">
        <v>5265</v>
      </c>
      <c r="C1197" s="7" t="s">
        <v>5266</v>
      </c>
      <c r="D1197" s="8" t="str">
        <f>Q&amp;$K1197&amp;Q&amp;":{"&amp;Q&amp;$B$2&amp;Q&amp;":"&amp;Q&amp;$B1197&amp;Q&amp;","&amp;Q&amp;$C$2&amp;Q&amp;":"&amp;Q&amp;$C1197&amp;Q&amp;","&amp;Q&amp;"sets"&amp;Q&amp;":"&amp;Q&amp;substitute(SUBSTITUTE($H1197,"[",""),"]","")&amp;Q&amp;"},"</f>
        <v>"rrqz":{"label":"Phone &amp; Fax","extra":"Soon you won’t need to leave the house at all!","sets":"Expansion Set 4, Party Expansion 1"},</v>
      </c>
      <c r="E1197" s="9" t="str">
        <f t="shared" si="2"/>
        <v>data:image/svg+xml,%3csvg xmlns='http://www.w3.org/2000/svg' viewBox='0 0 24 216'%3e%3ctext fill='%23fff' style='font: 900 16px sans-serif' text-anchor='end' transform='matrix(0 -1 1 0 18 5)'%3ePhone %26amp%3B Fax%3c/text%3e%3c/svg%3e</v>
      </c>
      <c r="F1197" s="14" t="str">
        <f t="shared" si="3"/>
        <v>https://svgtext.heliohost.us/cgi-bin/gen.perl?text=Phone%20%26%20Fax</v>
      </c>
      <c r="G1197" s="11" t="str">
        <f t="shared" si="4"/>
        <v>data:image/svg+xml,%3csvg xmlns='http://www.w3.org/2000/svg' viewBox='0 0 24 216'%3e%3ctext fill='%23fff' style='font: 900 16px sans-serif' text-anchor='end' transform='matrix(0 -1 1 0 18 5)'%3ePhone %26amp%3B Fax%3c/text%3e%3c/svg%3e</v>
      </c>
      <c r="H1197" s="8" t="s">
        <v>63</v>
      </c>
      <c r="I1197" s="8">
        <f t="shared" ref="I1197:J1197" si="1198">len(B1197)</f>
        <v>11</v>
      </c>
      <c r="J1197" s="8">
        <f t="shared" si="1198"/>
        <v>46</v>
      </c>
      <c r="K1197" s="8" t="s">
        <v>5267</v>
      </c>
    </row>
    <row r="1198">
      <c r="A1198" s="7" t="b">
        <v>1</v>
      </c>
      <c r="B1198" s="7" t="s">
        <v>5268</v>
      </c>
      <c r="C1198" s="7" t="s">
        <v>5269</v>
      </c>
      <c r="D1198" s="8" t="str">
        <f>Q&amp;$K1198&amp;Q&amp;":{"&amp;Q&amp;$B$2&amp;Q&amp;":"&amp;Q&amp;$B1198&amp;Q&amp;","&amp;Q&amp;$C$2&amp;Q&amp;":"&amp;Q&amp;$C1198&amp;Q&amp;","&amp;Q&amp;"sets"&amp;Q&amp;":"&amp;Q&amp;substitute(SUBSTITUTE($H1198,"[",""),"]","")&amp;Q&amp;"},"</f>
        <v>"jsoc":{"label":"Piñatas","extra":"Papier-mâché animals filled with candy and whacked with a stick.","sets":"Junior 9+ (2nd)"},</v>
      </c>
      <c r="E1198" s="9" t="str">
        <f t="shared" si="2"/>
        <v>data:image/svg+xml,%3csvg xmlns='http://www.w3.org/2000/svg' viewBox='0 0 24 216'%3e%3ctext fill='%23fff' style='font: 900 16px sans-serif' text-anchor='end' transform='matrix(0 -1 1 0 18 5)'%3ePi%C3%B1atas%3c/text%3e%3c/svg%3e</v>
      </c>
      <c r="F1198" s="14" t="str">
        <f t="shared" si="3"/>
        <v>https://svgtext.heliohost.us/cgi-bin/gen.perl?text=Pi%C3%B1atas</v>
      </c>
      <c r="G1198" s="11" t="str">
        <f t="shared" si="4"/>
        <v>data:image/svg+xml,%3csvg xmlns='http://www.w3.org/2000/svg' viewBox='0 0 24 216'%3e%3ctext fill='%23fff' style='font: 900 16px sans-serif' text-anchor='end' transform='matrix(0 -1 1 0 18 5)'%3ePi%C3%B1atas%3c/text%3e%3c/svg%3e</v>
      </c>
      <c r="H1198" s="8" t="s">
        <v>32</v>
      </c>
      <c r="I1198" s="8">
        <f t="shared" ref="I1198:J1198" si="1199">len(B1198)</f>
        <v>7</v>
      </c>
      <c r="J1198" s="8">
        <f t="shared" si="1199"/>
        <v>64</v>
      </c>
      <c r="K1198" s="8" t="s">
        <v>5270</v>
      </c>
    </row>
    <row r="1199">
      <c r="A1199" s="7" t="b">
        <v>0</v>
      </c>
      <c r="B1199" s="8" t="s">
        <v>5271</v>
      </c>
      <c r="C1199" s="8" t="s">
        <v>5272</v>
      </c>
      <c r="D1199" s="8" t="str">
        <f>Q&amp;$K1199&amp;Q&amp;":{"&amp;Q&amp;$B$2&amp;Q&amp;":"&amp;Q&amp;$B1199&amp;Q&amp;","&amp;Q&amp;$C$2&amp;Q&amp;":"&amp;Q&amp;$C1199&amp;Q&amp;","&amp;Q&amp;"sets"&amp;Q&amp;":"&amp;Q&amp;substitute(SUBSTITUTE($H1199,"[",""),"]","")&amp;Q&amp;"},"</f>
        <v>"uuef":{"label":"Picking Your Nose","extra":"Noses run in our family.","sets":"Basic Set, Party Set"},</v>
      </c>
      <c r="E1199" s="9" t="str">
        <f t="shared" si="2"/>
        <v>data:image/svg+xml,%3csvg xmlns='http://www.w3.org/2000/svg' viewBox='0 0 24 216'%3e%3ctext fill='%23fff' style='font: 900 16px sans-serif' text-anchor='end' transform='matrix(0 -1 1 0 18 5)'%3ePicking Your Nose%3c/text%3e%3c/svg%3e</v>
      </c>
      <c r="F1199" s="14" t="str">
        <f t="shared" si="3"/>
        <v>https://svgtext.heliohost.us/cgi-bin/gen.perl?text=Picking%20Your%20Nose</v>
      </c>
      <c r="G1199" s="11" t="str">
        <f t="shared" si="4"/>
        <v>data:image/svg+xml,%3csvg xmlns='http://www.w3.org/2000/svg' viewBox='0 0 24 216'%3e%3ctext fill='%23fff' style='font: 900 16px sans-serif' text-anchor='end' transform='matrix(0 -1 1 0 18 5)'%3ePicking Your Nose%3c/text%3e%3c/svg%3e</v>
      </c>
      <c r="H1199" s="8" t="s">
        <v>29</v>
      </c>
      <c r="I1199" s="8">
        <f t="shared" ref="I1199:J1199" si="1200">len(B1199)</f>
        <v>17</v>
      </c>
      <c r="J1199" s="8">
        <f t="shared" si="1200"/>
        <v>24</v>
      </c>
      <c r="K1199" s="8" t="s">
        <v>5273</v>
      </c>
    </row>
    <row r="1200">
      <c r="A1200" s="7" t="b">
        <v>1</v>
      </c>
      <c r="B1200" s="8" t="s">
        <v>5274</v>
      </c>
      <c r="C1200" s="8" t="s">
        <v>5275</v>
      </c>
      <c r="D1200" s="8" t="str">
        <f>Q&amp;$K1200&amp;Q&amp;":{"&amp;Q&amp;$B$2&amp;Q&amp;":"&amp;Q&amp;$B1200&amp;Q&amp;","&amp;Q&amp;$C$2&amp;Q&amp;":"&amp;Q&amp;$C1200&amp;Q&amp;","&amp;Q&amp;"sets"&amp;Q&amp;":"&amp;Q&amp;substitute(SUBSTITUTE($H1200,"[",""),"]","")&amp;Q&amp;"},"</f>
        <v>"wnku":{"label":"Pickles","extra":"Dill or sweet?","sets":"Junior 9+ (2nd)"},</v>
      </c>
      <c r="E1200" s="9" t="str">
        <f t="shared" si="2"/>
        <v>data:image/svg+xml,%3csvg xmlns='http://www.w3.org/2000/svg' viewBox='0 0 24 216'%3e%3ctext fill='%23fff' style='font: 900 16px sans-serif' text-anchor='end' transform='matrix(0 -1 1 0 18 5)'%3ePickles%3c/text%3e%3c/svg%3e</v>
      </c>
      <c r="F1200" s="14" t="str">
        <f t="shared" si="3"/>
        <v>https://svgtext.heliohost.us/cgi-bin/gen.perl?text=Pickles</v>
      </c>
      <c r="G1200" s="11" t="str">
        <f t="shared" si="4"/>
        <v>data:image/svg+xml,%3csvg xmlns='http://www.w3.org/2000/svg' viewBox='0 0 24 216'%3e%3ctext fill='%23fff' style='font: 900 16px sans-serif' text-anchor='end' transform='matrix(0 -1 1 0 18 5)'%3ePickles%3c/text%3e%3c/svg%3e</v>
      </c>
      <c r="H1200" s="8" t="s">
        <v>32</v>
      </c>
      <c r="I1200" s="8">
        <f t="shared" ref="I1200:J1200" si="1201">len(B1200)</f>
        <v>7</v>
      </c>
      <c r="J1200" s="8">
        <f t="shared" si="1201"/>
        <v>14</v>
      </c>
      <c r="K1200" s="8" t="s">
        <v>5276</v>
      </c>
    </row>
    <row r="1201">
      <c r="A1201" s="7" t="b">
        <v>1</v>
      </c>
      <c r="B1201" s="8" t="s">
        <v>5277</v>
      </c>
      <c r="C1201" s="8" t="s">
        <v>5278</v>
      </c>
      <c r="D1201" s="8" t="str">
        <f>Q&amp;$K1201&amp;Q&amp;":{"&amp;Q&amp;$B$2&amp;Q&amp;":"&amp;Q&amp;$B1201&amp;Q&amp;","&amp;Q&amp;$C$2&amp;Q&amp;":"&amp;Q&amp;$C1201&amp;Q&amp;","&amp;Q&amp;"sets"&amp;Q&amp;":"&amp;Q&amp;substitute(SUBSTITUTE($H1201,"[",""),"]","")&amp;Q&amp;"},"</f>
        <v>"dvwy":{"label":"Picnics","extra":"Pack up your food and a blanket, and go to your favorite park or beach.","sets":"Junior"},</v>
      </c>
      <c r="E1201" s="9" t="str">
        <f t="shared" si="2"/>
        <v>data:image/svg+xml,%3csvg xmlns='http://www.w3.org/2000/svg' viewBox='0 0 24 216'%3e%3ctext fill='%23fff' style='font: 900 16px sans-serif' text-anchor='end' transform='matrix(0 -1 1 0 18 5)'%3ePicnics%3c/text%3e%3c/svg%3e</v>
      </c>
      <c r="F1201" s="14" t="str">
        <f t="shared" si="3"/>
        <v>https://svgtext.heliohost.us/cgi-bin/gen.perl?text=Picnics</v>
      </c>
      <c r="G1201" s="11" t="str">
        <f t="shared" si="4"/>
        <v>data:image/svg+xml,%3csvg xmlns='http://www.w3.org/2000/svg' viewBox='0 0 24 216'%3e%3ctext fill='%23fff' style='font: 900 16px sans-serif' text-anchor='end' transform='matrix(0 -1 1 0 18 5)'%3ePicnics%3c/text%3e%3c/svg%3e</v>
      </c>
      <c r="H1201" s="8" t="s">
        <v>84</v>
      </c>
      <c r="I1201" s="8">
        <f t="shared" ref="I1201:J1201" si="1202">len(B1201)</f>
        <v>7</v>
      </c>
      <c r="J1201" s="8">
        <f t="shared" si="1202"/>
        <v>71</v>
      </c>
      <c r="K1201" s="8" t="s">
        <v>5279</v>
      </c>
    </row>
    <row r="1202">
      <c r="A1202" s="7" t="b">
        <v>1</v>
      </c>
      <c r="B1202" s="8" t="s">
        <v>5280</v>
      </c>
      <c r="C1202" s="8" t="s">
        <v>5281</v>
      </c>
      <c r="D1202" s="8" t="str">
        <f>Q&amp;$K1202&amp;Q&amp;":{"&amp;Q&amp;$B$2&amp;Q&amp;":"&amp;Q&amp;$B1202&amp;Q&amp;","&amp;Q&amp;$C$2&amp;Q&amp;":"&amp;Q&amp;$C1202&amp;Q&amp;","&amp;Q&amp;"sets"&amp;Q&amp;":"&amp;Q&amp;substitute(SUBSTITUTE($H1202,"[",""),"]","")&amp;Q&amp;"},"</f>
        <v>"azvg":{"label":"Pierced Ears","extra":"Mom, when can I get my ears pierced?","sets":"Junior 9+ (1st) &amp; (2nd)"},</v>
      </c>
      <c r="E1202" s="9" t="str">
        <f t="shared" si="2"/>
        <v>data:image/svg+xml,%3csvg xmlns='http://www.w3.org/2000/svg' viewBox='0 0 24 216'%3e%3ctext fill='%23fff' style='font: 900 16px sans-serif' text-anchor='end' transform='matrix(0 -1 1 0 18 5)'%3ePierced Ears%3c/text%3e%3c/svg%3e</v>
      </c>
      <c r="F1202" s="14" t="str">
        <f t="shared" si="3"/>
        <v>https://svgtext.heliohost.us/cgi-bin/gen.perl?text=Pierced%20Ears</v>
      </c>
      <c r="G1202" s="11" t="str">
        <f t="shared" si="4"/>
        <v>data:image/svg+xml,%3csvg xmlns='http://www.w3.org/2000/svg' viewBox='0 0 24 216'%3e%3ctext fill='%23fff' style='font: 900 16px sans-serif' text-anchor='end' transform='matrix(0 -1 1 0 18 5)'%3ePierced Ears%3c/text%3e%3c/svg%3e</v>
      </c>
      <c r="H1202" s="8" t="s">
        <v>42</v>
      </c>
      <c r="I1202" s="8">
        <f t="shared" ref="I1202:J1202" si="1203">len(B1202)</f>
        <v>12</v>
      </c>
      <c r="J1202" s="8">
        <f t="shared" si="1203"/>
        <v>36</v>
      </c>
      <c r="K1202" s="8" t="s">
        <v>5282</v>
      </c>
    </row>
    <row r="1203">
      <c r="A1203" s="7" t="b">
        <v>0</v>
      </c>
      <c r="B1203" s="8" t="s">
        <v>5283</v>
      </c>
      <c r="C1203" s="8" t="s">
        <v>5284</v>
      </c>
      <c r="D1203" s="8" t="str">
        <f>Q&amp;$K1203&amp;Q&amp;":{"&amp;Q&amp;$B$2&amp;Q&amp;":"&amp;Q&amp;$B1203&amp;Q&amp;","&amp;Q&amp;$C$2&amp;Q&amp;":"&amp;Q&amp;$C1203&amp;Q&amp;","&amp;Q&amp;"sets"&amp;Q&amp;":"&amp;Q&amp;substitute(SUBSTITUTE($H1203,"[",""),"]","")&amp;Q&amp;"},"</f>
        <v>"tjkw":{"label":"Pigeons","extra":"Birds with small heads, short necks, stout bodies, and an incredible attraction to statues.","sets":"Basic Set, Party Set"},</v>
      </c>
      <c r="E1203" s="9" t="str">
        <f t="shared" si="2"/>
        <v>data:image/svg+xml,%3csvg xmlns='http://www.w3.org/2000/svg' viewBox='0 0 24 216'%3e%3ctext fill='%23fff' style='font: 900 16px sans-serif' text-anchor='end' transform='matrix(0 -1 1 0 18 5)'%3ePigeons%3c/text%3e%3c/svg%3e</v>
      </c>
      <c r="F1203" s="14" t="str">
        <f t="shared" si="3"/>
        <v>https://svgtext.heliohost.us/cgi-bin/gen.perl?text=Pigeons</v>
      </c>
      <c r="G1203" s="11" t="str">
        <f t="shared" si="4"/>
        <v>data:image/svg+xml,%3csvg xmlns='http://www.w3.org/2000/svg' viewBox='0 0 24 216'%3e%3ctext fill='%23fff' style='font: 900 16px sans-serif' text-anchor='end' transform='matrix(0 -1 1 0 18 5)'%3ePigeons%3c/text%3e%3c/svg%3e</v>
      </c>
      <c r="H1203" s="8" t="s">
        <v>29</v>
      </c>
      <c r="I1203" s="8">
        <f t="shared" ref="I1203:J1203" si="1204">len(B1203)</f>
        <v>7</v>
      </c>
      <c r="J1203" s="8">
        <f t="shared" si="1204"/>
        <v>91</v>
      </c>
      <c r="K1203" s="8" t="s">
        <v>5285</v>
      </c>
    </row>
    <row r="1204">
      <c r="A1204" s="7" t="b">
        <v>1</v>
      </c>
      <c r="B1204" s="8" t="s">
        <v>5286</v>
      </c>
      <c r="C1204" s="7" t="s">
        <v>5287</v>
      </c>
      <c r="D1204" s="8" t="str">
        <f>Q&amp;$K1204&amp;Q&amp;":{"&amp;Q&amp;$B$2&amp;Q&amp;":"&amp;Q&amp;$B1204&amp;Q&amp;","&amp;Q&amp;$C$2&amp;Q&amp;":"&amp;Q&amp;$C1204&amp;Q&amp;","&amp;Q&amp;"sets"&amp;Q&amp;":"&amp;Q&amp;substitute(SUBSTITUTE($H1204,"[",""),"]","")&amp;Q&amp;"},"</f>
        <v>"niqc":{"label":"Pigs","extra":"Domesticated mammal of the swine family. Thaaa… thaaa… that's all, folks!","sets":"Basic Set, Party Set"},</v>
      </c>
      <c r="E1204" s="9" t="str">
        <f t="shared" si="2"/>
        <v>data:image/svg+xml,%3csvg xmlns='http://www.w3.org/2000/svg' viewBox='0 0 24 216'%3e%3ctext fill='%23fff' style='font: 900 16px sans-serif' text-anchor='end' transform='matrix(0 -1 1 0 18 5)'%3ePigs%3c/text%3e%3c/svg%3e</v>
      </c>
      <c r="F1204" s="14" t="str">
        <f t="shared" si="3"/>
        <v>https://svgtext.heliohost.us/cgi-bin/gen.perl?text=Pigs</v>
      </c>
      <c r="G1204" s="11" t="str">
        <f t="shared" si="4"/>
        <v>data:image/svg+xml,%3csvg xmlns='http://www.w3.org/2000/svg' viewBox='0 0 24 216'%3e%3ctext fill='%23fff' style='font: 900 16px sans-serif' text-anchor='end' transform='matrix(0 -1 1 0 18 5)'%3ePigs%3c/text%3e%3c/svg%3e</v>
      </c>
      <c r="H1204" s="8" t="s">
        <v>29</v>
      </c>
      <c r="I1204" s="8">
        <f t="shared" ref="I1204:J1204" si="1205">len(B1204)</f>
        <v>4</v>
      </c>
      <c r="J1204" s="8">
        <f t="shared" si="1205"/>
        <v>73</v>
      </c>
      <c r="K1204" s="8" t="s">
        <v>5288</v>
      </c>
    </row>
    <row r="1205">
      <c r="A1205" s="7" t="b">
        <v>0</v>
      </c>
      <c r="B1205" s="8" t="s">
        <v>5286</v>
      </c>
      <c r="C1205" s="8" t="s">
        <v>5289</v>
      </c>
      <c r="D1205" s="8" t="str">
        <f>Q&amp;$K1205&amp;Q&amp;":{"&amp;Q&amp;$B$2&amp;Q&amp;":"&amp;Q&amp;$B1205&amp;Q&amp;","&amp;Q&amp;$C$2&amp;Q&amp;":"&amp;Q&amp;$C1205&amp;Q&amp;","&amp;Q&amp;"sets"&amp;Q&amp;":"&amp;Q&amp;substitute(SUBSTITUTE($H1205,"[",""),"]","")&amp;Q&amp;"},"</f>
        <v>"ywwg":{"label":"Pigs","extra":"Raised for their meat, including ham and bacon.","sets":"Junior 9+ (1st) &amp; (2nd)"},</v>
      </c>
      <c r="E1205" s="9" t="str">
        <f t="shared" si="2"/>
        <v>data:image/svg+xml,%3csvg xmlns='http://www.w3.org/2000/svg' viewBox='0 0 24 216'%3e%3ctext fill='%23fff' style='font: 900 16px sans-serif' text-anchor='end' transform='matrix(0 -1 1 0 18 5)'%3ePigs%3c/text%3e%3c/svg%3e</v>
      </c>
      <c r="F1205" s="14" t="str">
        <f t="shared" si="3"/>
        <v>https://svgtext.heliohost.us/cgi-bin/gen.perl?text=Pigs</v>
      </c>
      <c r="G1205" s="11" t="str">
        <f t="shared" si="4"/>
        <v>data:image/svg+xml,%3csvg xmlns='http://www.w3.org/2000/svg' viewBox='0 0 24 216'%3e%3ctext fill='%23fff' style='font: 900 16px sans-serif' text-anchor='end' transform='matrix(0 -1 1 0 18 5)'%3ePigs%3c/text%3e%3c/svg%3e</v>
      </c>
      <c r="H1205" s="8" t="s">
        <v>42</v>
      </c>
      <c r="I1205" s="8">
        <f t="shared" ref="I1205:J1205" si="1206">len(B1205)</f>
        <v>4</v>
      </c>
      <c r="J1205" s="8">
        <f t="shared" si="1206"/>
        <v>47</v>
      </c>
      <c r="K1205" s="8" t="s">
        <v>5290</v>
      </c>
    </row>
    <row r="1206">
      <c r="A1206" s="7" t="b">
        <v>1</v>
      </c>
      <c r="B1206" s="8" t="s">
        <v>5291</v>
      </c>
      <c r="C1206" s="8" t="s">
        <v>5292</v>
      </c>
      <c r="D1206" s="8" t="str">
        <f>Q&amp;$K1206&amp;Q&amp;":{"&amp;Q&amp;$B$2&amp;Q&amp;":"&amp;Q&amp;$B1206&amp;Q&amp;","&amp;Q&amp;$C$2&amp;Q&amp;":"&amp;Q&amp;$C1206&amp;Q&amp;","&amp;Q&amp;"sets"&amp;Q&amp;":"&amp;Q&amp;substitute(SUBSTITUTE($H1206,"[",""),"]","")&amp;Q&amp;"},"</f>
        <v>"hbfy":{"label":"Pillow Fights","extra":"He started it!","sets":"Junior 9+ (2nd)"},</v>
      </c>
      <c r="E1206" s="9" t="str">
        <f t="shared" si="2"/>
        <v>data:image/svg+xml,%3csvg xmlns='http://www.w3.org/2000/svg' viewBox='0 0 24 216'%3e%3ctext fill='%23fff' style='font: 900 16px sans-serif' text-anchor='end' transform='matrix(0 -1 1 0 18 5)'%3ePillow Fights%3c/text%3e%3c/svg%3e</v>
      </c>
      <c r="F1206" s="14" t="str">
        <f t="shared" si="3"/>
        <v>https://svgtext.heliohost.us/cgi-bin/gen.perl?text=Pillow%20Fights</v>
      </c>
      <c r="G1206" s="11" t="str">
        <f t="shared" si="4"/>
        <v>data:image/svg+xml,%3csvg xmlns='http://www.w3.org/2000/svg' viewBox='0 0 24 216'%3e%3ctext fill='%23fff' style='font: 900 16px sans-serif' text-anchor='end' transform='matrix(0 -1 1 0 18 5)'%3ePillow Fights%3c/text%3e%3c/svg%3e</v>
      </c>
      <c r="H1206" s="8" t="s">
        <v>32</v>
      </c>
      <c r="I1206" s="8">
        <f t="shared" ref="I1206:J1206" si="1207">len(B1206)</f>
        <v>13</v>
      </c>
      <c r="J1206" s="8">
        <f t="shared" si="1207"/>
        <v>14</v>
      </c>
      <c r="K1206" s="8" t="s">
        <v>5293</v>
      </c>
    </row>
    <row r="1207">
      <c r="A1207" s="7" t="b">
        <v>1</v>
      </c>
      <c r="B1207" s="8" t="s">
        <v>5294</v>
      </c>
      <c r="C1207" s="8" t="s">
        <v>5295</v>
      </c>
      <c r="D1207" s="8" t="str">
        <f>Q&amp;$K1207&amp;Q&amp;":{"&amp;Q&amp;$B$2&amp;Q&amp;":"&amp;Q&amp;$B1207&amp;Q&amp;","&amp;Q&amp;$C$2&amp;Q&amp;":"&amp;Q&amp;$C1207&amp;Q&amp;","&amp;Q&amp;"sets"&amp;Q&amp;":"&amp;Q&amp;substitute(SUBSTITUTE($H1207,"[",""),"]","")&amp;Q&amp;"},"</f>
        <v>"hwyg":{"label":"Pillows","extra":"Pillow fight!","sets":"Junior 9+ (1st) &amp; (2nd)"},</v>
      </c>
      <c r="E1207" s="9" t="str">
        <f t="shared" si="2"/>
        <v>data:image/svg+xml,%3csvg xmlns='http://www.w3.org/2000/svg' viewBox='0 0 24 216'%3e%3ctext fill='%23fff' style='font: 900 16px sans-serif' text-anchor='end' transform='matrix(0 -1 1 0 18 5)'%3ePillows%3c/text%3e%3c/svg%3e</v>
      </c>
      <c r="F1207" s="14" t="str">
        <f t="shared" si="3"/>
        <v>https://svgtext.heliohost.us/cgi-bin/gen.perl?text=Pillows</v>
      </c>
      <c r="G1207" s="11" t="str">
        <f t="shared" si="4"/>
        <v>data:image/svg+xml,%3csvg xmlns='http://www.w3.org/2000/svg' viewBox='0 0 24 216'%3e%3ctext fill='%23fff' style='font: 900 16px sans-serif' text-anchor='end' transform='matrix(0 -1 1 0 18 5)'%3ePillows%3c/text%3e%3c/svg%3e</v>
      </c>
      <c r="H1207" s="8" t="s">
        <v>42</v>
      </c>
      <c r="I1207" s="8">
        <f t="shared" ref="I1207:J1207" si="1208">len(B1207)</f>
        <v>7</v>
      </c>
      <c r="J1207" s="8">
        <f t="shared" si="1208"/>
        <v>13</v>
      </c>
      <c r="K1207" s="8" t="s">
        <v>5296</v>
      </c>
    </row>
    <row r="1208">
      <c r="A1208" s="7" t="b">
        <v>1</v>
      </c>
      <c r="B1208" s="8" t="s">
        <v>5297</v>
      </c>
      <c r="C1208" s="7" t="s">
        <v>5298</v>
      </c>
      <c r="D1208" s="8" t="str">
        <f>Q&amp;$K1208&amp;Q&amp;":{"&amp;Q&amp;$B$2&amp;Q&amp;":"&amp;Q&amp;$B1208&amp;Q&amp;","&amp;Q&amp;$C$2&amp;Q&amp;":"&amp;Q&amp;$C1208&amp;Q&amp;","&amp;Q&amp;"sets"&amp;Q&amp;":"&amp;Q&amp;substitute(SUBSTITUTE($H1208,"[",""),"]","")&amp;Q&amp;"},"</f>
        <v>"jdwk":{"label":"Pilots","extra":"“Welcome aboard. Today we'll be flying at 30,000 feet.”","sets":"Junior 9+ (2nd)"},</v>
      </c>
      <c r="E1208" s="9" t="str">
        <f t="shared" si="2"/>
        <v>data:image/svg+xml,%3csvg xmlns='http://www.w3.org/2000/svg' viewBox='0 0 24 216'%3e%3ctext fill='%23fff' style='font: 900 16px sans-serif' text-anchor='end' transform='matrix(0 -1 1 0 18 5)'%3ePilots%3c/text%3e%3c/svg%3e</v>
      </c>
      <c r="F1208" s="14" t="str">
        <f t="shared" si="3"/>
        <v>https://svgtext.heliohost.us/cgi-bin/gen.perl?text=Pilots</v>
      </c>
      <c r="G1208" s="11" t="str">
        <f t="shared" si="4"/>
        <v>data:image/svg+xml,%3csvg xmlns='http://www.w3.org/2000/svg' viewBox='0 0 24 216'%3e%3ctext fill='%23fff' style='font: 900 16px sans-serif' text-anchor='end' transform='matrix(0 -1 1 0 18 5)'%3ePilots%3c/text%3e%3c/svg%3e</v>
      </c>
      <c r="H1208" s="8" t="s">
        <v>32</v>
      </c>
      <c r="I1208" s="8">
        <f t="shared" ref="I1208:J1208" si="1209">len(B1208)</f>
        <v>6</v>
      </c>
      <c r="J1208" s="8">
        <f t="shared" si="1209"/>
        <v>55</v>
      </c>
      <c r="K1208" s="8" t="s">
        <v>5299</v>
      </c>
    </row>
    <row r="1209">
      <c r="A1209" s="7" t="b">
        <v>1</v>
      </c>
      <c r="B1209" s="8" t="s">
        <v>5300</v>
      </c>
      <c r="C1209" s="8" t="s">
        <v>5301</v>
      </c>
      <c r="D1209" s="8" t="str">
        <f>Q&amp;$K1209&amp;Q&amp;":{"&amp;Q&amp;$B$2&amp;Q&amp;":"&amp;Q&amp;$B1209&amp;Q&amp;","&amp;Q&amp;$C$2&amp;Q&amp;":"&amp;Q&amp;$C1209&amp;Q&amp;","&amp;Q&amp;"sets"&amp;Q&amp;":"&amp;Q&amp;substitute(SUBSTITUTE($H1209,"[",""),"]","")&amp;Q&amp;"},"</f>
        <v>"ovft":{"label":"Pimples","extra":"Just in time for school pictures.","sets":"Junior 9+ (2nd)"},</v>
      </c>
      <c r="E1209" s="9" t="str">
        <f t="shared" si="2"/>
        <v>data:image/svg+xml,%3csvg xmlns='http://www.w3.org/2000/svg' viewBox='0 0 24 216'%3e%3ctext fill='%23fff' style='font: 900 16px sans-serif' text-anchor='end' transform='matrix(0 -1 1 0 18 5)'%3ePimples%3c/text%3e%3c/svg%3e</v>
      </c>
      <c r="F1209" s="14" t="str">
        <f t="shared" si="3"/>
        <v>https://svgtext.heliohost.us/cgi-bin/gen.perl?text=Pimples</v>
      </c>
      <c r="G1209" s="11" t="str">
        <f t="shared" si="4"/>
        <v>data:image/svg+xml,%3csvg xmlns='http://www.w3.org/2000/svg' viewBox='0 0 24 216'%3e%3ctext fill='%23fff' style='font: 900 16px sans-serif' text-anchor='end' transform='matrix(0 -1 1 0 18 5)'%3ePimples%3c/text%3e%3c/svg%3e</v>
      </c>
      <c r="H1209" s="8" t="s">
        <v>32</v>
      </c>
      <c r="I1209" s="8">
        <f t="shared" ref="I1209:J1209" si="1210">len(B1209)</f>
        <v>7</v>
      </c>
      <c r="J1209" s="8">
        <f t="shared" si="1210"/>
        <v>33</v>
      </c>
      <c r="K1209" s="8" t="s">
        <v>5302</v>
      </c>
    </row>
    <row r="1210">
      <c r="A1210" s="7" t="b">
        <v>1</v>
      </c>
      <c r="B1210" s="8" t="s">
        <v>5303</v>
      </c>
      <c r="C1210" s="8" t="s">
        <v>5304</v>
      </c>
      <c r="D1210" s="8" t="str">
        <f>Q&amp;$K1210&amp;Q&amp;":{"&amp;Q&amp;$B$2&amp;Q&amp;":"&amp;Q&amp;$B1210&amp;Q&amp;","&amp;Q&amp;$C$2&amp;Q&amp;":"&amp;Q&amp;$C1210&amp;Q&amp;","&amp;Q&amp;"sets"&amp;Q&amp;":"&amp;Q&amp;substitute(SUBSTITUTE($H1210,"[",""),"]","")&amp;Q&amp;"},"</f>
        <v>"dyat":{"label":"Pine Cones","extra":"Pine cones from Eastern White Pines can grow to eight inches in length.","sets":"Junior 9+ (1st) &amp; (2nd)"},</v>
      </c>
      <c r="E1210" s="9" t="str">
        <f t="shared" si="2"/>
        <v>data:image/svg+xml,%3csvg xmlns='http://www.w3.org/2000/svg' viewBox='0 0 24 216'%3e%3ctext fill='%23fff' style='font: 900 16px sans-serif' text-anchor='end' transform='matrix(0 -1 1 0 18 5)'%3ePine Cones%3c/text%3e%3c/svg%3e</v>
      </c>
      <c r="F1210" s="14" t="str">
        <f t="shared" si="3"/>
        <v>https://svgtext.heliohost.us/cgi-bin/gen.perl?text=Pine%20Cones</v>
      </c>
      <c r="G1210" s="11" t="str">
        <f t="shared" si="4"/>
        <v>data:image/svg+xml,%3csvg xmlns='http://www.w3.org/2000/svg' viewBox='0 0 24 216'%3e%3ctext fill='%23fff' style='font: 900 16px sans-serif' text-anchor='end' transform='matrix(0 -1 1 0 18 5)'%3ePine Cones%3c/text%3e%3c/svg%3e</v>
      </c>
      <c r="H1210" s="8" t="s">
        <v>42</v>
      </c>
      <c r="I1210" s="8">
        <f t="shared" ref="I1210:J1210" si="1211">len(B1210)</f>
        <v>10</v>
      </c>
      <c r="J1210" s="8">
        <f t="shared" si="1211"/>
        <v>71</v>
      </c>
      <c r="K1210" s="8" t="s">
        <v>5305</v>
      </c>
    </row>
    <row r="1211">
      <c r="A1211" s="7" t="b">
        <v>1</v>
      </c>
      <c r="B1211" s="8" t="s">
        <v>5306</v>
      </c>
      <c r="C1211" s="8" t="s">
        <v>5307</v>
      </c>
      <c r="D1211" s="8" t="str">
        <f>Q&amp;$K1211&amp;Q&amp;":{"&amp;Q&amp;$B$2&amp;Q&amp;":"&amp;Q&amp;$B1211&amp;Q&amp;","&amp;Q&amp;$C$2&amp;Q&amp;":"&amp;Q&amp;$C1211&amp;Q&amp;","&amp;Q&amp;"sets"&amp;Q&amp;":"&amp;Q&amp;substitute(SUBSTITUTE($H1211,"[",""),"]","")&amp;Q&amp;"},"</f>
        <v>"clmn":{"label":"Pine Trees","extra":"Trees that stay green all year and have pinecones and needles. They smell great!","sets":"Junior"},</v>
      </c>
      <c r="E1211" s="9" t="str">
        <f t="shared" si="2"/>
        <v>data:image/svg+xml,%3csvg xmlns='http://www.w3.org/2000/svg' viewBox='0 0 24 216'%3e%3ctext fill='%23fff' style='font: 900 16px sans-serif' text-anchor='end' transform='matrix(0 -1 1 0 18 5)'%3ePine Trees%3c/text%3e%3c/svg%3e</v>
      </c>
      <c r="F1211" s="14" t="str">
        <f t="shared" si="3"/>
        <v>https://svgtext.heliohost.us/cgi-bin/gen.perl?text=Pine%20Trees</v>
      </c>
      <c r="G1211" s="11" t="str">
        <f t="shared" si="4"/>
        <v>data:image/svg+xml,%3csvg xmlns='http://www.w3.org/2000/svg' viewBox='0 0 24 216'%3e%3ctext fill='%23fff' style='font: 900 16px sans-serif' text-anchor='end' transform='matrix(0 -1 1 0 18 5)'%3ePine Trees%3c/text%3e%3c/svg%3e</v>
      </c>
      <c r="H1211" s="8" t="s">
        <v>84</v>
      </c>
      <c r="I1211" s="8">
        <f t="shared" ref="I1211:J1211" si="1212">len(B1211)</f>
        <v>10</v>
      </c>
      <c r="J1211" s="8">
        <f t="shared" si="1212"/>
        <v>80</v>
      </c>
      <c r="K1211" s="8" t="s">
        <v>5308</v>
      </c>
    </row>
    <row r="1212">
      <c r="A1212" s="7" t="b">
        <v>1</v>
      </c>
      <c r="B1212" s="8" t="s">
        <v>5309</v>
      </c>
      <c r="C1212" s="7" t="s">
        <v>5310</v>
      </c>
      <c r="D1212" s="8" t="str">
        <f>Q&amp;$K1212&amp;Q&amp;":{"&amp;Q&amp;$B$2&amp;Q&amp;":"&amp;Q&amp;$B1212&amp;Q&amp;","&amp;Q&amp;$C$2&amp;Q&amp;":"&amp;Q&amp;$C1212&amp;Q&amp;","&amp;Q&amp;"sets"&amp;Q&amp;":"&amp;Q&amp;substitute(SUBSTITUTE($H1212,"[",""),"]","")&amp;Q&amp;"},"</f>
        <v>"eqlt":{"label":"Pineapple","extra":"Tropical fruit, or the less lush hand grenade.","sets":"Expansion Set 3, Party Expansion 1"},</v>
      </c>
      <c r="E1212" s="9" t="str">
        <f t="shared" si="2"/>
        <v>data:image/svg+xml,%3csvg xmlns='http://www.w3.org/2000/svg' viewBox='0 0 24 216'%3e%3ctext fill='%23fff' style='font: 900 16px sans-serif' text-anchor='end' transform='matrix(0 -1 1 0 18 5)'%3ePineapple%3c/text%3e%3c/svg%3e</v>
      </c>
      <c r="F1212" s="14" t="str">
        <f t="shared" si="3"/>
        <v>https://svgtext.heliohost.us/cgi-bin/gen.perl?text=Pineapple</v>
      </c>
      <c r="G1212" s="11" t="str">
        <f t="shared" si="4"/>
        <v>data:image/svg+xml,%3csvg xmlns='http://www.w3.org/2000/svg' viewBox='0 0 24 216'%3e%3ctext fill='%23fff' style='font: 900 16px sans-serif' text-anchor='end' transform='matrix(0 -1 1 0 18 5)'%3ePineapple%3c/text%3e%3c/svg%3e</v>
      </c>
      <c r="H1212" s="8" t="s">
        <v>39</v>
      </c>
      <c r="I1212" s="8">
        <f t="shared" ref="I1212:J1212" si="1213">len(B1212)</f>
        <v>9</v>
      </c>
      <c r="J1212" s="8">
        <f t="shared" si="1213"/>
        <v>46</v>
      </c>
      <c r="K1212" s="8" t="s">
        <v>5311</v>
      </c>
    </row>
    <row r="1213">
      <c r="A1213" s="7" t="b">
        <v>1</v>
      </c>
      <c r="B1213" s="8" t="s">
        <v>5312</v>
      </c>
      <c r="C1213" s="8" t="s">
        <v>5313</v>
      </c>
      <c r="D1213" s="8" t="str">
        <f>Q&amp;$K1213&amp;Q&amp;":{"&amp;Q&amp;$B$2&amp;Q&amp;":"&amp;Q&amp;$B1213&amp;Q&amp;","&amp;Q&amp;$C$2&amp;Q&amp;":"&amp;Q&amp;$C1213&amp;Q&amp;","&amp;Q&amp;"sets"&amp;Q&amp;":"&amp;Q&amp;substitute(SUBSTITUTE($H1213,"[",""),"]","")&amp;Q&amp;"},"</f>
        <v>"kdfl":{"label":"Pineapples","extra":"Shaped like a football, tastes like a fruit.","sets":"Junior 9+ (2nd)"},</v>
      </c>
      <c r="E1213" s="9" t="str">
        <f t="shared" si="2"/>
        <v>data:image/svg+xml,%3csvg xmlns='http://www.w3.org/2000/svg' viewBox='0 0 24 216'%3e%3ctext fill='%23fff' style='font: 900 16px sans-serif' text-anchor='end' transform='matrix(0 -1 1 0 18 5)'%3ePineapples%3c/text%3e%3c/svg%3e</v>
      </c>
      <c r="F1213" s="14" t="str">
        <f t="shared" si="3"/>
        <v>https://svgtext.heliohost.us/cgi-bin/gen.perl?text=Pineapples</v>
      </c>
      <c r="G1213" s="11" t="str">
        <f t="shared" si="4"/>
        <v>data:image/svg+xml,%3csvg xmlns='http://www.w3.org/2000/svg' viewBox='0 0 24 216'%3e%3ctext fill='%23fff' style='font: 900 16px sans-serif' text-anchor='end' transform='matrix(0 -1 1 0 18 5)'%3ePineapples%3c/text%3e%3c/svg%3e</v>
      </c>
      <c r="H1213" s="8" t="s">
        <v>32</v>
      </c>
      <c r="I1213" s="8">
        <f t="shared" ref="I1213:J1213" si="1214">len(B1213)</f>
        <v>10</v>
      </c>
      <c r="J1213" s="8">
        <f t="shared" si="1214"/>
        <v>44</v>
      </c>
      <c r="K1213" s="8" t="s">
        <v>5314</v>
      </c>
    </row>
    <row r="1214">
      <c r="A1214" s="7" t="b">
        <v>1</v>
      </c>
      <c r="B1214" s="8" t="s">
        <v>5315</v>
      </c>
      <c r="C1214" s="7" t="s">
        <v>5316</v>
      </c>
      <c r="D1214" s="8" t="str">
        <f>Q&amp;$K1214&amp;Q&amp;":{"&amp;Q&amp;$B$2&amp;Q&amp;":"&amp;Q&amp;$B1214&amp;Q&amp;","&amp;Q&amp;$C$2&amp;Q&amp;":"&amp;Q&amp;$C1214&amp;Q&amp;","&amp;Q&amp;"sets"&amp;Q&amp;":"&amp;Q&amp;substitute(SUBSTITUTE($H1214,"[",""),"]","")&amp;Q&amp;"},"</f>
        <v>"rtrn":{"label":"Pink Flamingos","extra":"Gracing America’s lawns for more than 40 years sold only in pairs.","sets":"Expansion Set 3, Party Expansion 1"},</v>
      </c>
      <c r="E1214" s="9" t="str">
        <f t="shared" si="2"/>
        <v>data:image/svg+xml,%3csvg xmlns='http://www.w3.org/2000/svg' viewBox='0 0 24 216'%3e%3ctext fill='%23fff' style='font: 900 16px sans-serif' text-anchor='end' transform='matrix(0 -1 1 0 18 5)'%3ePink Flamingos%3c/text%3e%3c/svg%3e</v>
      </c>
      <c r="F1214" s="14" t="str">
        <f t="shared" si="3"/>
        <v>https://svgtext.heliohost.us/cgi-bin/gen.perl?text=Pink%20Flamingos</v>
      </c>
      <c r="G1214" s="11" t="str">
        <f t="shared" si="4"/>
        <v>data:image/svg+xml,%3csvg xmlns='http://www.w3.org/2000/svg' viewBox='0 0 24 216'%3e%3ctext fill='%23fff' style='font: 900 16px sans-serif' text-anchor='end' transform='matrix(0 -1 1 0 18 5)'%3ePink Flamingos%3c/text%3e%3c/svg%3e</v>
      </c>
      <c r="H1214" s="8" t="s">
        <v>39</v>
      </c>
      <c r="I1214" s="8">
        <f t="shared" ref="I1214:J1214" si="1215">len(B1214)</f>
        <v>14</v>
      </c>
      <c r="J1214" s="8">
        <f t="shared" si="1215"/>
        <v>66</v>
      </c>
      <c r="K1214" s="8" t="s">
        <v>5317</v>
      </c>
    </row>
    <row r="1215">
      <c r="A1215" s="7" t="b">
        <v>1</v>
      </c>
      <c r="B1215" s="8" t="s">
        <v>5318</v>
      </c>
      <c r="C1215" s="8" t="s">
        <v>5319</v>
      </c>
      <c r="D1215" s="8" t="str">
        <f>Q&amp;$K1215&amp;Q&amp;":{"&amp;Q&amp;$B$2&amp;Q&amp;":"&amp;Q&amp;$B1215&amp;Q&amp;","&amp;Q&amp;$C$2&amp;Q&amp;":"&amp;Q&amp;$C1215&amp;Q&amp;","&amp;Q&amp;"sets"&amp;Q&amp;":"&amp;Q&amp;substitute(SUBSTITUTE($H1215,"[",""),"]","")&amp;Q&amp;"},"</f>
        <v>"rxth":{"label":"Pinocchio","extra":"Pinocchio was a wooden puppet who came to life. His nose grew each time he told a lie.","sets":"Junior 9+ (2nd)"},</v>
      </c>
      <c r="E1215" s="9" t="str">
        <f t="shared" si="2"/>
        <v>data:image/svg+xml,%3csvg xmlns='http://www.w3.org/2000/svg' viewBox='0 0 24 216'%3e%3ctext fill='%23fff' style='font: 900 16px sans-serif' text-anchor='end' transform='matrix(0 -1 1 0 18 5)'%3ePinocchio%3c/text%3e%3c/svg%3e</v>
      </c>
      <c r="F1215" s="14" t="str">
        <f t="shared" si="3"/>
        <v>https://svgtext.heliohost.us/cgi-bin/gen.perl?text=Pinocchio</v>
      </c>
      <c r="G1215" s="11" t="str">
        <f t="shared" si="4"/>
        <v>data:image/svg+xml,%3csvg xmlns='http://www.w3.org/2000/svg' viewBox='0 0 24 216'%3e%3ctext fill='%23fff' style='font: 900 16px sans-serif' text-anchor='end' transform='matrix(0 -1 1 0 18 5)'%3ePinocchio%3c/text%3e%3c/svg%3e</v>
      </c>
      <c r="H1215" s="8" t="s">
        <v>32</v>
      </c>
      <c r="I1215" s="8">
        <f t="shared" ref="I1215:J1215" si="1216">len(B1215)</f>
        <v>9</v>
      </c>
      <c r="J1215" s="8">
        <f t="shared" si="1216"/>
        <v>86</v>
      </c>
      <c r="K1215" s="8" t="s">
        <v>5320</v>
      </c>
    </row>
    <row r="1216">
      <c r="A1216" s="7" t="b">
        <v>1</v>
      </c>
      <c r="B1216" s="8" t="s">
        <v>5321</v>
      </c>
      <c r="C1216" s="7" t="s">
        <v>5322</v>
      </c>
      <c r="D1216" s="8" t="str">
        <f>Q&amp;$K1216&amp;Q&amp;":{"&amp;Q&amp;$B$2&amp;Q&amp;":"&amp;Q&amp;$B1216&amp;Q&amp;","&amp;Q&amp;$C$2&amp;Q&amp;":"&amp;Q&amp;$C1216&amp;Q&amp;","&amp;Q&amp;"sets"&amp;Q&amp;":"&amp;Q&amp;substitute(SUBSTITUTE($H1216,"[",""),"]","")&amp;Q&amp;"},"</f>
        <v>"nvfn":{"label":"Pins &amp; Needles","extra":"It’s all sewed up!","sets":"Expansion Set 4, Party Expansion 1"},</v>
      </c>
      <c r="E1216" s="9" t="str">
        <f t="shared" si="2"/>
        <v>data:image/svg+xml,%3csvg xmlns='http://www.w3.org/2000/svg' viewBox='0 0 24 216'%3e%3ctext fill='%23fff' style='font: 900 16px sans-serif' text-anchor='end' transform='matrix(0 -1 1 0 18 5)'%3ePins %26amp%3B Needles%3c/text%3e%3c/svg%3e</v>
      </c>
      <c r="F1216" s="14" t="str">
        <f t="shared" si="3"/>
        <v>https://svgtext.heliohost.us/cgi-bin/gen.perl?text=Pins%20%26%20Needles</v>
      </c>
      <c r="G1216" s="11" t="str">
        <f t="shared" si="4"/>
        <v>data:image/svg+xml,%3csvg xmlns='http://www.w3.org/2000/svg' viewBox='0 0 24 216'%3e%3ctext fill='%23fff' style='font: 900 16px sans-serif' text-anchor='end' transform='matrix(0 -1 1 0 18 5)'%3ePins %26amp%3B Needles%3c/text%3e%3c/svg%3e</v>
      </c>
      <c r="H1216" s="8" t="s">
        <v>63</v>
      </c>
      <c r="I1216" s="8">
        <f t="shared" ref="I1216:J1216" si="1217">len(B1216)</f>
        <v>14</v>
      </c>
      <c r="J1216" s="8">
        <f t="shared" si="1217"/>
        <v>18</v>
      </c>
      <c r="K1216" s="8" t="s">
        <v>5323</v>
      </c>
    </row>
    <row r="1217">
      <c r="A1217" s="7" t="b">
        <v>0</v>
      </c>
      <c r="B1217" s="8" t="s">
        <v>5324</v>
      </c>
      <c r="C1217" s="7" t="s">
        <v>5325</v>
      </c>
      <c r="D1217" s="8" t="str">
        <f>Q&amp;$K1217&amp;Q&amp;":{"&amp;Q&amp;$B$2&amp;Q&amp;":"&amp;Q&amp;$B1217&amp;Q&amp;","&amp;Q&amp;$C$2&amp;Q&amp;":"&amp;Q&amp;$C1217&amp;Q&amp;","&amp;Q&amp;"sets"&amp;Q&amp;":"&amp;Q&amp;substitute(SUBSTITUTE($H1217,"[",""),"]","")&amp;Q&amp;"},"</f>
        <v>"hbua":{"label":"Piranha","extra":"Carnivorous fish found in rivers of South America. When you feel like a bite…","sets":"Basic Set, Party Set"},</v>
      </c>
      <c r="E1217" s="9" t="str">
        <f t="shared" si="2"/>
        <v>data:image/svg+xml,%3csvg xmlns='http://www.w3.org/2000/svg' viewBox='0 0 24 216'%3e%3ctext fill='%23fff' style='font: 900 16px sans-serif' text-anchor='end' transform='matrix(0 -1 1 0 18 5)'%3ePiranha%3c/text%3e%3c/svg%3e</v>
      </c>
      <c r="F1217" s="14" t="str">
        <f t="shared" si="3"/>
        <v>https://svgtext.heliohost.us/cgi-bin/gen.perl?text=Piranha</v>
      </c>
      <c r="G1217" s="11" t="str">
        <f t="shared" si="4"/>
        <v>data:image/svg+xml,%3csvg xmlns='http://www.w3.org/2000/svg' viewBox='0 0 24 216'%3e%3ctext fill='%23fff' style='font: 900 16px sans-serif' text-anchor='end' transform='matrix(0 -1 1 0 18 5)'%3ePiranha%3c/text%3e%3c/svg%3e</v>
      </c>
      <c r="H1217" s="8" t="s">
        <v>29</v>
      </c>
      <c r="I1217" s="8">
        <f t="shared" ref="I1217:J1217" si="1218">len(B1217)</f>
        <v>7</v>
      </c>
      <c r="J1217" s="8">
        <f t="shared" si="1218"/>
        <v>77</v>
      </c>
      <c r="K1217" s="8" t="s">
        <v>5326</v>
      </c>
    </row>
    <row r="1218">
      <c r="A1218" s="7" t="b">
        <v>1</v>
      </c>
      <c r="B1218" s="8" t="s">
        <v>5327</v>
      </c>
      <c r="C1218" s="7" t="s">
        <v>5328</v>
      </c>
      <c r="D1218" s="8" t="str">
        <f>Q&amp;$K1218&amp;Q&amp;":{"&amp;Q&amp;$B$2&amp;Q&amp;":"&amp;Q&amp;$B1218&amp;Q&amp;","&amp;Q&amp;$C$2&amp;Q&amp;":"&amp;Q&amp;$C1218&amp;Q&amp;","&amp;Q&amp;"sets"&amp;Q&amp;":"&amp;Q&amp;substitute(SUBSTITUTE($H1218,"[",""),"]","")&amp;Q&amp;"},"</f>
        <v>"rxu{":{"label":"Pirates","extra":"“Yo, ho, yo, ho, a pirate's life for me…” —Pirates of the Caribbean","sets":"Expansion Set 2, Party Set"},</v>
      </c>
      <c r="E1218" s="9" t="str">
        <f t="shared" si="2"/>
        <v>data:image/svg+xml,%3csvg xmlns='http://www.w3.org/2000/svg' viewBox='0 0 24 216'%3e%3ctext fill='%23fff' style='font: 900 16px sans-serif' text-anchor='end' transform='matrix(0 -1 1 0 18 5)'%3ePirates%3c/text%3e%3c/svg%3e</v>
      </c>
      <c r="F1218" s="14" t="str">
        <f t="shared" si="3"/>
        <v>https://svgtext.heliohost.us/cgi-bin/gen.perl?text=Pirates</v>
      </c>
      <c r="G1218" s="11" t="str">
        <f t="shared" si="4"/>
        <v>data:image/svg+xml,%3csvg xmlns='http://www.w3.org/2000/svg' viewBox='0 0 24 216'%3e%3ctext fill='%23fff' style='font: 900 16px sans-serif' text-anchor='end' transform='matrix(0 -1 1 0 18 5)'%3ePirates%3c/text%3e%3c/svg%3e</v>
      </c>
      <c r="H1218" s="8" t="s">
        <v>17</v>
      </c>
      <c r="I1218" s="8">
        <f t="shared" ref="I1218:J1218" si="1219">len(B1218)</f>
        <v>7</v>
      </c>
      <c r="J1218" s="8">
        <f t="shared" si="1219"/>
        <v>67</v>
      </c>
      <c r="K1218" s="8" t="s">
        <v>5329</v>
      </c>
    </row>
    <row r="1219">
      <c r="A1219" s="7" t="b">
        <v>0</v>
      </c>
      <c r="B1219" s="8" t="s">
        <v>5327</v>
      </c>
      <c r="C1219" s="8" t="s">
        <v>5330</v>
      </c>
      <c r="D1219" s="8" t="str">
        <f>Q&amp;$K1219&amp;Q&amp;":{"&amp;Q&amp;$B$2&amp;Q&amp;":"&amp;Q&amp;$B1219&amp;Q&amp;","&amp;Q&amp;$C$2&amp;Q&amp;":"&amp;Q&amp;$C1219&amp;Q&amp;","&amp;Q&amp;"sets"&amp;Q&amp;":"&amp;Q&amp;substitute(SUBSTITUTE($H1219,"[",""),"]","")&amp;Q&amp;"},"</f>
        <v>"iuhu":{"label":"Pirates","extra":"People who rob ships at sea. Blackbeard was a famous pirate.","sets":"Junior"},</v>
      </c>
      <c r="E1219" s="9" t="str">
        <f t="shared" si="2"/>
        <v>data:image/svg+xml,%3csvg xmlns='http://www.w3.org/2000/svg' viewBox='0 0 24 216'%3e%3ctext fill='%23fff' style='font: 900 16px sans-serif' text-anchor='end' transform='matrix(0 -1 1 0 18 5)'%3ePirates%3c/text%3e%3c/svg%3e</v>
      </c>
      <c r="F1219" s="14" t="str">
        <f t="shared" si="3"/>
        <v>https://svgtext.heliohost.us/cgi-bin/gen.perl?text=Pirates</v>
      </c>
      <c r="G1219" s="11" t="str">
        <f t="shared" si="4"/>
        <v>data:image/svg+xml,%3csvg xmlns='http://www.w3.org/2000/svg' viewBox='0 0 24 216'%3e%3ctext fill='%23fff' style='font: 900 16px sans-serif' text-anchor='end' transform='matrix(0 -1 1 0 18 5)'%3ePirates%3c/text%3e%3c/svg%3e</v>
      </c>
      <c r="H1219" s="8" t="s">
        <v>84</v>
      </c>
      <c r="I1219" s="8">
        <f t="shared" ref="I1219:J1219" si="1220">len(B1219)</f>
        <v>7</v>
      </c>
      <c r="J1219" s="8">
        <f t="shared" si="1220"/>
        <v>60</v>
      </c>
      <c r="K1219" s="8" t="s">
        <v>5331</v>
      </c>
    </row>
    <row r="1220">
      <c r="A1220" s="7" t="b">
        <v>0</v>
      </c>
      <c r="B1220" s="8" t="s">
        <v>5332</v>
      </c>
      <c r="C1220" s="8" t="s">
        <v>5333</v>
      </c>
      <c r="D1220" s="8" t="str">
        <f>Q&amp;$K1220&amp;Q&amp;":{"&amp;Q&amp;$B$2&amp;Q&amp;":"&amp;Q&amp;$B1220&amp;Q&amp;","&amp;Q&amp;$C$2&amp;Q&amp;":"&amp;Q&amp;$C1220&amp;Q&amp;","&amp;Q&amp;"sets"&amp;Q&amp;":"&amp;Q&amp;substitute(SUBSTITUTE($H1220,"[",""),"]","")&amp;Q&amp;"},"</f>
        <v>"ytss":{"label":"Pit Bulls","extra":"Any of several crossbreeds of bulldogs with terriers. Or, several radio hosts we could mention.","sets":"Basic Set, Party Set"},</v>
      </c>
      <c r="E1220" s="9" t="str">
        <f t="shared" si="2"/>
        <v>data:image/svg+xml,%3csvg xmlns='http://www.w3.org/2000/svg' viewBox='0 0 24 216'%3e%3ctext fill='%23fff' style='font: 900 16px sans-serif' text-anchor='end' transform='matrix(0 -1 1 0 18 5)'%3ePit Bulls%3c/text%3e%3c/svg%3e</v>
      </c>
      <c r="F1220" s="14" t="str">
        <f t="shared" si="3"/>
        <v>https://svgtext.heliohost.us/cgi-bin/gen.perl?text=Pit%20Bulls</v>
      </c>
      <c r="G1220" s="11" t="str">
        <f t="shared" si="4"/>
        <v>data:image/svg+xml,%3csvg xmlns='http://www.w3.org/2000/svg' viewBox='0 0 24 216'%3e%3ctext fill='%23fff' style='font: 900 16px sans-serif' text-anchor='end' transform='matrix(0 -1 1 0 18 5)'%3ePit Bulls%3c/text%3e%3c/svg%3e</v>
      </c>
      <c r="H1220" s="8" t="s">
        <v>29</v>
      </c>
      <c r="I1220" s="8">
        <f t="shared" ref="I1220:J1220" si="1221">len(B1220)</f>
        <v>9</v>
      </c>
      <c r="J1220" s="8">
        <f t="shared" si="1221"/>
        <v>95</v>
      </c>
      <c r="K1220" s="8" t="s">
        <v>5334</v>
      </c>
    </row>
    <row r="1221">
      <c r="A1221" s="7" t="b">
        <v>1</v>
      </c>
      <c r="B1221" s="8" t="s">
        <v>5335</v>
      </c>
      <c r="C1221" s="8" t="s">
        <v>5336</v>
      </c>
      <c r="D1221" s="8" t="str">
        <f>Q&amp;$K1221&amp;Q&amp;":{"&amp;Q&amp;$B$2&amp;Q&amp;":"&amp;Q&amp;$B1221&amp;Q&amp;","&amp;Q&amp;$C$2&amp;Q&amp;":"&amp;Q&amp;$C1221&amp;Q&amp;","&amp;Q&amp;"sets"&amp;Q&amp;":"&amp;Q&amp;substitute(SUBSTITUTE($H1221,"[",""),"]","")&amp;Q&amp;"},"</f>
        <v>"jswu":{"label":"Pizza","extra":"Cheese, sausage, pepperoni, onions, and mushrooms. Pick your toppings!","sets":"Junior"},</v>
      </c>
      <c r="E1221" s="9" t="str">
        <f t="shared" si="2"/>
        <v>data:image/svg+xml,%3csvg xmlns='http://www.w3.org/2000/svg' viewBox='0 0 24 216'%3e%3ctext fill='%23fff' style='font: 900 16px sans-serif' text-anchor='end' transform='matrix(0 -1 1 0 18 5)'%3ePizza%3c/text%3e%3c/svg%3e</v>
      </c>
      <c r="F1221" s="14" t="str">
        <f t="shared" si="3"/>
        <v>https://svgtext.heliohost.us/cgi-bin/gen.perl?text=Pizza</v>
      </c>
      <c r="G1221" s="11" t="str">
        <f t="shared" si="4"/>
        <v>data:image/svg+xml,%3csvg xmlns='http://www.w3.org/2000/svg' viewBox='0 0 24 216'%3e%3ctext fill='%23fff' style='font: 900 16px sans-serif' text-anchor='end' transform='matrix(0 -1 1 0 18 5)'%3ePizza%3c/text%3e%3c/svg%3e</v>
      </c>
      <c r="H1221" s="8" t="s">
        <v>84</v>
      </c>
      <c r="I1221" s="8">
        <f t="shared" ref="I1221:J1221" si="1222">len(B1221)</f>
        <v>5</v>
      </c>
      <c r="J1221" s="8">
        <f t="shared" si="1222"/>
        <v>70</v>
      </c>
      <c r="K1221" s="8" t="s">
        <v>5337</v>
      </c>
    </row>
    <row r="1222">
      <c r="A1222" s="7" t="b">
        <v>0</v>
      </c>
      <c r="B1222" s="8" t="s">
        <v>5338</v>
      </c>
      <c r="C1222" s="7" t="s">
        <v>5339</v>
      </c>
      <c r="D1222" s="8" t="str">
        <f>Q&amp;$K1222&amp;Q&amp;":{"&amp;Q&amp;$B$2&amp;Q&amp;":"&amp;Q&amp;$B1222&amp;Q&amp;","&amp;Q&amp;$C$2&amp;Q&amp;":"&amp;Q&amp;$C1222&amp;Q&amp;","&amp;Q&amp;"sets"&amp;Q&amp;":"&amp;Q&amp;substitute(SUBSTITUTE($H1222,"[",""),"]","")&amp;Q&amp;"},"</f>
        <v>"gsdk":{"label":"Plane Crashes","extra":"Statistically safer than driving… unless you crash.","sets":"Expansion Set 2, Party Set"},</v>
      </c>
      <c r="E1222" s="9" t="str">
        <f t="shared" si="2"/>
        <v>data:image/svg+xml,%3csvg xmlns='http://www.w3.org/2000/svg' viewBox='0 0 24 216'%3e%3ctext fill='%23fff' style='font: 900 16px sans-serif' text-anchor='end' transform='matrix(0 -1 1 0 18 5)'%3ePlane Crashes%3c/text%3e%3c/svg%3e</v>
      </c>
      <c r="F1222" s="14" t="str">
        <f t="shared" si="3"/>
        <v>https://svgtext.heliohost.us/cgi-bin/gen.perl?text=Plane%20Crashes</v>
      </c>
      <c r="G1222" s="11" t="str">
        <f t="shared" si="4"/>
        <v>data:image/svg+xml,%3csvg xmlns='http://www.w3.org/2000/svg' viewBox='0 0 24 216'%3e%3ctext fill='%23fff' style='font: 900 16px sans-serif' text-anchor='end' transform='matrix(0 -1 1 0 18 5)'%3ePlane Crashes%3c/text%3e%3c/svg%3e</v>
      </c>
      <c r="H1222" s="8" t="s">
        <v>17</v>
      </c>
      <c r="I1222" s="8">
        <f t="shared" ref="I1222:J1222" si="1223">len(B1222)</f>
        <v>13</v>
      </c>
      <c r="J1222" s="8">
        <f t="shared" si="1223"/>
        <v>51</v>
      </c>
      <c r="K1222" s="8" t="s">
        <v>5340</v>
      </c>
    </row>
    <row r="1223">
      <c r="A1223" s="7" t="b">
        <v>1</v>
      </c>
      <c r="B1223" s="8" t="s">
        <v>5341</v>
      </c>
      <c r="C1223" s="7" t="s">
        <v>5342</v>
      </c>
      <c r="D1223" s="8" t="str">
        <f>Q&amp;$K1223&amp;Q&amp;":{"&amp;Q&amp;$B$2&amp;Q&amp;":"&amp;Q&amp;$B1223&amp;Q&amp;","&amp;Q&amp;$C$2&amp;Q&amp;":"&amp;Q&amp;$C1223&amp;Q&amp;","&amp;Q&amp;"sets"&amp;Q&amp;":"&amp;Q&amp;substitute(SUBSTITUTE($H1223,"[",""),"]","")&amp;Q&amp;"},"</f>
        <v>"rnyi":{"label":"Planting Flowers","extra":"“April showers bring May flowers.”","sets":"Junior 9+ (1st) &amp; (2nd)"},</v>
      </c>
      <c r="E1223" s="9" t="str">
        <f t="shared" si="2"/>
        <v>data:image/svg+xml,%3csvg xmlns='http://www.w3.org/2000/svg' viewBox='0 0 24 216'%3e%3ctext fill='%23fff' style='font: 900 16px sans-serif' text-anchor='end' transform='matrix(0 -1 1 0 18 5)'%3ePlanting Flowers%3c/text%3e%3c/svg%3e</v>
      </c>
      <c r="F1223" s="14" t="str">
        <f t="shared" si="3"/>
        <v>https://svgtext.heliohost.us/cgi-bin/gen.perl?text=Planting%20Flowers</v>
      </c>
      <c r="G1223" s="11" t="str">
        <f t="shared" si="4"/>
        <v>data:image/svg+xml,%3csvg xmlns='http://www.w3.org/2000/svg' viewBox='0 0 24 216'%3e%3ctext fill='%23fff' style='font: 900 16px sans-serif' text-anchor='end' transform='matrix(0 -1 1 0 18 5)'%3ePlanting Flowers%3c/text%3e%3c/svg%3e</v>
      </c>
      <c r="H1223" s="8" t="s">
        <v>42</v>
      </c>
      <c r="I1223" s="8">
        <f t="shared" ref="I1223:J1223" si="1224">len(B1223)</f>
        <v>16</v>
      </c>
      <c r="J1223" s="8">
        <f t="shared" si="1224"/>
        <v>34</v>
      </c>
      <c r="K1223" s="8" t="s">
        <v>5343</v>
      </c>
    </row>
    <row r="1224">
      <c r="A1224" s="7" t="b">
        <v>0</v>
      </c>
      <c r="B1224" s="8" t="s">
        <v>5344</v>
      </c>
      <c r="C1224" s="8" t="s">
        <v>5345</v>
      </c>
      <c r="D1224" s="8" t="str">
        <f>Q&amp;$K1224&amp;Q&amp;":{"&amp;Q&amp;$B$2&amp;Q&amp;":"&amp;Q&amp;$B1224&amp;Q&amp;","&amp;Q&amp;$C$2&amp;Q&amp;":"&amp;Q&amp;$C1224&amp;Q&amp;","&amp;Q&amp;"sets"&amp;Q&amp;":"&amp;Q&amp;substitute(SUBSTITUTE($H1224,"[",""),"]","")&amp;Q&amp;"},"</f>
        <v>"xekp":{"label":"Plastic","extra":"Giant molecules of organic polymeric materials. Bags and bags of the stuff.","sets":"Basic Set, Party Set"},</v>
      </c>
      <c r="E1224" s="9" t="str">
        <f t="shared" si="2"/>
        <v>data:image/svg+xml,%3csvg xmlns='http://www.w3.org/2000/svg' viewBox='0 0 24 216'%3e%3ctext fill='%23fff' style='font: 900 16px sans-serif' text-anchor='end' transform='matrix(0 -1 1 0 18 5)'%3ePlastic%3c/text%3e%3c/svg%3e</v>
      </c>
      <c r="F1224" s="14" t="str">
        <f t="shared" si="3"/>
        <v>https://svgtext.heliohost.us/cgi-bin/gen.perl?text=Plastic</v>
      </c>
      <c r="G1224" s="11" t="str">
        <f t="shared" si="4"/>
        <v>data:image/svg+xml,%3csvg xmlns='http://www.w3.org/2000/svg' viewBox='0 0 24 216'%3e%3ctext fill='%23fff' style='font: 900 16px sans-serif' text-anchor='end' transform='matrix(0 -1 1 0 18 5)'%3ePlastic%3c/text%3e%3c/svg%3e</v>
      </c>
      <c r="H1224" s="8" t="s">
        <v>29</v>
      </c>
      <c r="I1224" s="8">
        <f t="shared" ref="I1224:J1224" si="1225">len(B1224)</f>
        <v>7</v>
      </c>
      <c r="J1224" s="8">
        <f t="shared" si="1225"/>
        <v>75</v>
      </c>
      <c r="K1224" s="8" t="s">
        <v>5346</v>
      </c>
    </row>
    <row r="1225">
      <c r="A1225" s="7" t="b">
        <v>1</v>
      </c>
      <c r="B1225" s="8" t="s">
        <v>5347</v>
      </c>
      <c r="C1225" s="8" t="s">
        <v>5348</v>
      </c>
      <c r="D1225" s="8" t="str">
        <f>Q&amp;$K1225&amp;Q&amp;":{"&amp;Q&amp;$B$2&amp;Q&amp;":"&amp;Q&amp;$B1225&amp;Q&amp;","&amp;Q&amp;$C$2&amp;Q&amp;":"&amp;Q&amp;$C1225&amp;Q&amp;","&amp;Q&amp;"sets"&amp;Q&amp;":"&amp;Q&amp;substitute(SUBSTITUTE($H1225,"[",""),"]","")&amp;Q&amp;"},"</f>
        <v>"zjft":{"label":"Play-Doh","extra":"A colorful clay-like dough used for making shapes.","sets":"Junior"},</v>
      </c>
      <c r="E1225" s="9" t="str">
        <f t="shared" si="2"/>
        <v>data:image/svg+xml,%3csvg xmlns='http://www.w3.org/2000/svg' viewBox='0 0 24 216'%3e%3ctext fill='%23fff' style='font: 900 16px sans-serif' text-anchor='end' transform='matrix(0 -1 1 0 18 5)'%3ePlay-Doh%3c/text%3e%3c/svg%3e</v>
      </c>
      <c r="F1225" s="14" t="str">
        <f t="shared" si="3"/>
        <v>https://svgtext.heliohost.us/cgi-bin/gen.perl?text=Play-Doh</v>
      </c>
      <c r="G1225" s="11" t="str">
        <f t="shared" si="4"/>
        <v>data:image/svg+xml,%3csvg xmlns='http://www.w3.org/2000/svg' viewBox='0 0 24 216'%3e%3ctext fill='%23fff' style='font: 900 16px sans-serif' text-anchor='end' transform='matrix(0 -1 1 0 18 5)'%3ePlay-Doh%3c/text%3e%3c/svg%3e</v>
      </c>
      <c r="H1225" s="8" t="s">
        <v>84</v>
      </c>
      <c r="I1225" s="8">
        <f t="shared" ref="I1225:J1225" si="1226">len(B1225)</f>
        <v>8</v>
      </c>
      <c r="J1225" s="8">
        <f t="shared" si="1226"/>
        <v>50</v>
      </c>
      <c r="K1225" s="8" t="s">
        <v>5349</v>
      </c>
    </row>
    <row r="1226">
      <c r="A1226" s="7" t="b">
        <v>1</v>
      </c>
      <c r="B1226" s="8" t="s">
        <v>5350</v>
      </c>
      <c r="C1226" s="8" t="s">
        <v>5351</v>
      </c>
      <c r="D1226" s="8" t="str">
        <f>Q&amp;$K1226&amp;Q&amp;":{"&amp;Q&amp;$B$2&amp;Q&amp;":"&amp;Q&amp;$B1226&amp;Q&amp;","&amp;Q&amp;$C$2&amp;Q&amp;":"&amp;Q&amp;$C1226&amp;Q&amp;","&amp;Q&amp;"sets"&amp;Q&amp;":"&amp;Q&amp;substitute(SUBSTITUTE($H1226,"[",""),"]","")&amp;Q&amp;"},"</f>
        <v>"fbct":{"label":"Playgrounds","extra":"Some playgrounds have slides, swings, and sandboxes.","sets":"Junior"},</v>
      </c>
      <c r="E1226" s="9" t="str">
        <f t="shared" si="2"/>
        <v>data:image/svg+xml,%3csvg xmlns='http://www.w3.org/2000/svg' viewBox='0 0 24 216'%3e%3ctext fill='%23fff' style='font: 900 16px sans-serif' text-anchor='end' transform='matrix(0 -1 1 0 18 5)'%3ePlaygrounds%3c/text%3e%3c/svg%3e</v>
      </c>
      <c r="F1226" s="14" t="str">
        <f t="shared" si="3"/>
        <v>https://svgtext.heliohost.us/cgi-bin/gen.perl?text=Playgrounds</v>
      </c>
      <c r="G1226" s="11" t="str">
        <f t="shared" si="4"/>
        <v>data:image/svg+xml,%3csvg xmlns='http://www.w3.org/2000/svg' viewBox='0 0 24 216'%3e%3ctext fill='%23fff' style='font: 900 16px sans-serif' text-anchor='end' transform='matrix(0 -1 1 0 18 5)'%3ePlaygrounds%3c/text%3e%3c/svg%3e</v>
      </c>
      <c r="H1226" s="8" t="s">
        <v>84</v>
      </c>
      <c r="I1226" s="8">
        <f t="shared" ref="I1226:J1226" si="1227">len(B1226)</f>
        <v>11</v>
      </c>
      <c r="J1226" s="8">
        <f t="shared" si="1227"/>
        <v>52</v>
      </c>
      <c r="K1226" s="8" t="s">
        <v>5352</v>
      </c>
    </row>
    <row r="1227">
      <c r="A1227" s="7" t="b">
        <v>1</v>
      </c>
      <c r="B1227" s="8" t="s">
        <v>5353</v>
      </c>
      <c r="C1227" s="7" t="s">
        <v>5354</v>
      </c>
      <c r="D1227" s="8" t="str">
        <f>Q&amp;$K1227&amp;Q&amp;":{"&amp;Q&amp;$B$2&amp;Q&amp;":"&amp;Q&amp;$B1227&amp;Q&amp;","&amp;Q&amp;$C$2&amp;Q&amp;":"&amp;Q&amp;$C1227&amp;Q&amp;","&amp;Q&amp;"sets"&amp;Q&amp;":"&amp;Q&amp;substitute(SUBSTITUTE($H1227,"[",""),"]","")&amp;Q&amp;"},"</f>
        <v>"sgyx":{"label":"Playing Checkers","extra":"A game for two using a checkerboard and 24 round game pieces. Jump, jump, jump..KING ME!","sets":"Junior"},</v>
      </c>
      <c r="E1227" s="9" t="str">
        <f t="shared" si="2"/>
        <v>data:image/svg+xml,%3csvg xmlns='http://www.w3.org/2000/svg' viewBox='0 0 24 216'%3e%3ctext fill='%23fff' style='font: 900 16px sans-serif' text-anchor='end' transform='matrix(0 -1 1 0 18 5)'%3ePlaying Checkers%3c/text%3e%3c/svg%3e</v>
      </c>
      <c r="F1227" s="14" t="str">
        <f t="shared" si="3"/>
        <v>https://svgtext.heliohost.us/cgi-bin/gen.perl?text=Playing%20Checkers</v>
      </c>
      <c r="G1227" s="11" t="str">
        <f t="shared" si="4"/>
        <v>data:image/svg+xml,%3csvg xmlns='http://www.w3.org/2000/svg' viewBox='0 0 24 216'%3e%3ctext fill='%23fff' style='font: 900 16px sans-serif' text-anchor='end' transform='matrix(0 -1 1 0 18 5)'%3ePlaying Checkers%3c/text%3e%3c/svg%3e</v>
      </c>
      <c r="H1227" s="8" t="s">
        <v>84</v>
      </c>
      <c r="I1227" s="8">
        <f t="shared" ref="I1227:J1227" si="1228">len(B1227)</f>
        <v>16</v>
      </c>
      <c r="J1227" s="8">
        <f t="shared" si="1228"/>
        <v>88</v>
      </c>
      <c r="K1227" s="8" t="s">
        <v>5355</v>
      </c>
    </row>
    <row r="1228">
      <c r="A1228" s="7" t="b">
        <v>0</v>
      </c>
      <c r="B1228" s="8" t="s">
        <v>5356</v>
      </c>
      <c r="C1228" s="7" t="s">
        <v>5357</v>
      </c>
      <c r="D1228" s="8" t="str">
        <f>Q&amp;$K1228&amp;Q&amp;":{"&amp;Q&amp;$B$2&amp;Q&amp;":"&amp;Q&amp;$B1228&amp;Q&amp;","&amp;Q&amp;$C$2&amp;Q&amp;":"&amp;Q&amp;$C1228&amp;Q&amp;","&amp;Q&amp;"sets"&amp;Q&amp;":"&amp;Q&amp;substitute(SUBSTITUTE($H1228,"[",""),"]","")&amp;Q&amp;"},"</f>
        <v>"eful":{"label":"Playing Chess","extra":"Has tantalized many of the world’s greatest minds for almost 14 centuries. It just confuses the rest of us.","sets":"Basic Set, Party Set"},</v>
      </c>
      <c r="E1228" s="9" t="str">
        <f t="shared" si="2"/>
        <v>data:image/svg+xml,%3csvg xmlns='http://www.w3.org/2000/svg' viewBox='0 0 24 216'%3e%3ctext fill='%23fff' style='font: 900 16px sans-serif' text-anchor='end' transform='matrix(0 -1 1 0 18 5)'%3ePlaying Chess%3c/text%3e%3c/svg%3e</v>
      </c>
      <c r="F1228" s="14" t="str">
        <f t="shared" si="3"/>
        <v>https://svgtext.heliohost.us/cgi-bin/gen.perl?text=Playing%20Chess</v>
      </c>
      <c r="G1228" s="11" t="str">
        <f t="shared" si="4"/>
        <v>data:image/svg+xml,%3csvg xmlns='http://www.w3.org/2000/svg' viewBox='0 0 24 216'%3e%3ctext fill='%23fff' style='font: 900 16px sans-serif' text-anchor='end' transform='matrix(0 -1 1 0 18 5)'%3ePlaying Chess%3c/text%3e%3c/svg%3e</v>
      </c>
      <c r="H1228" s="8" t="s">
        <v>29</v>
      </c>
      <c r="I1228" s="8">
        <f t="shared" ref="I1228:J1228" si="1229">len(B1228)</f>
        <v>13</v>
      </c>
      <c r="J1228" s="8">
        <f t="shared" si="1229"/>
        <v>107</v>
      </c>
      <c r="K1228" s="8" t="s">
        <v>5358</v>
      </c>
    </row>
    <row r="1229">
      <c r="A1229" s="7" t="b">
        <v>1</v>
      </c>
      <c r="B1229" s="8" t="s">
        <v>5359</v>
      </c>
      <c r="C1229" s="8" t="s">
        <v>5360</v>
      </c>
      <c r="D1229" s="8" t="str">
        <f>Q&amp;$K1229&amp;Q&amp;":{"&amp;Q&amp;$B$2&amp;Q&amp;":"&amp;Q&amp;$B1229&amp;Q&amp;","&amp;Q&amp;$C$2&amp;Q&amp;":"&amp;Q&amp;$C1229&amp;Q&amp;","&amp;Q&amp;"sets"&amp;Q&amp;":"&amp;Q&amp;substitute(SUBSTITUTE($H1229,"[",""),"]","")&amp;Q&amp;"},"</f>
        <v>"ftxj":{"label":"Playing Golf","extra":"For stress reduction. Now, get that head down and straighten your arm!","sets":"Expansion Set 3, Party Expansion 1"},</v>
      </c>
      <c r="E1229" s="9" t="str">
        <f t="shared" si="2"/>
        <v>data:image/svg+xml,%3csvg xmlns='http://www.w3.org/2000/svg' viewBox='0 0 24 216'%3e%3ctext fill='%23fff' style='font: 900 16px sans-serif' text-anchor='end' transform='matrix(0 -1 1 0 18 5)'%3ePlaying Golf%3c/text%3e%3c/svg%3e</v>
      </c>
      <c r="F1229" s="14" t="str">
        <f t="shared" si="3"/>
        <v>https://svgtext.heliohost.us/cgi-bin/gen.perl?text=Playing%20Golf</v>
      </c>
      <c r="G1229" s="11" t="str">
        <f t="shared" si="4"/>
        <v>data:image/svg+xml,%3csvg xmlns='http://www.w3.org/2000/svg' viewBox='0 0 24 216'%3e%3ctext fill='%23fff' style='font: 900 16px sans-serif' text-anchor='end' transform='matrix(0 -1 1 0 18 5)'%3ePlaying Golf%3c/text%3e%3c/svg%3e</v>
      </c>
      <c r="H1229" s="8" t="s">
        <v>39</v>
      </c>
      <c r="I1229" s="8">
        <f t="shared" ref="I1229:J1229" si="1230">len(B1229)</f>
        <v>12</v>
      </c>
      <c r="J1229" s="8">
        <f t="shared" si="1230"/>
        <v>70</v>
      </c>
      <c r="K1229" s="8" t="s">
        <v>5361</v>
      </c>
    </row>
    <row r="1230">
      <c r="A1230" s="7" t="b">
        <v>1</v>
      </c>
      <c r="B1230" s="8" t="s">
        <v>5362</v>
      </c>
      <c r="C1230" s="7" t="s">
        <v>5363</v>
      </c>
      <c r="D1230" s="8" t="str">
        <f>Q&amp;$K1230&amp;Q&amp;":{"&amp;Q&amp;$B$2&amp;Q&amp;":"&amp;Q&amp;$B1230&amp;Q&amp;","&amp;Q&amp;$C$2&amp;Q&amp;":"&amp;Q&amp;$C1230&amp;Q&amp;","&amp;Q&amp;"sets"&amp;Q&amp;":"&amp;Q&amp;substitute(SUBSTITUTE($H1230,"[",""),"]","")&amp;Q&amp;"},"</f>
        <v>"mksq":{"label":"Pluto","extra":"The ninth planet in the Solar System, or Mickey Mouse’s dog.","sets":"Junior 9+ (2nd)"},</v>
      </c>
      <c r="E1230" s="9" t="str">
        <f t="shared" si="2"/>
        <v>data:image/svg+xml,%3csvg xmlns='http://www.w3.org/2000/svg' viewBox='0 0 24 216'%3e%3ctext fill='%23fff' style='font: 900 16px sans-serif' text-anchor='end' transform='matrix(0 -1 1 0 18 5)'%3ePluto%3c/text%3e%3c/svg%3e</v>
      </c>
      <c r="F1230" s="14" t="str">
        <f t="shared" si="3"/>
        <v>https://svgtext.heliohost.us/cgi-bin/gen.perl?text=Pluto</v>
      </c>
      <c r="G1230" s="11" t="str">
        <f t="shared" si="4"/>
        <v>data:image/svg+xml,%3csvg xmlns='http://www.w3.org/2000/svg' viewBox='0 0 24 216'%3e%3ctext fill='%23fff' style='font: 900 16px sans-serif' text-anchor='end' transform='matrix(0 -1 1 0 18 5)'%3ePluto%3c/text%3e%3c/svg%3e</v>
      </c>
      <c r="H1230" s="8" t="s">
        <v>32</v>
      </c>
      <c r="I1230" s="8">
        <f t="shared" ref="I1230:J1230" si="1231">len(B1230)</f>
        <v>5</v>
      </c>
      <c r="J1230" s="8">
        <f t="shared" si="1231"/>
        <v>60</v>
      </c>
      <c r="K1230" s="8" t="s">
        <v>5364</v>
      </c>
    </row>
    <row r="1231">
      <c r="A1231" s="7" t="b">
        <v>0</v>
      </c>
      <c r="B1231" s="8" t="s">
        <v>5365</v>
      </c>
      <c r="C1231" s="8" t="s">
        <v>5366</v>
      </c>
      <c r="D1231" s="8" t="str">
        <f>Q&amp;$K1231&amp;Q&amp;":{"&amp;Q&amp;$B$2&amp;Q&amp;":"&amp;Q&amp;$B1231&amp;Q&amp;","&amp;Q&amp;$C$2&amp;Q&amp;":"&amp;Q&amp;$C1231&amp;Q&amp;","&amp;Q&amp;"sets"&amp;Q&amp;":"&amp;Q&amp;substitute(SUBSTITUTE($H1231,"[",""),"]","")&amp;Q&amp;"},"</f>
        <v>"ce{k":{"label":"Poison Ivy","extra":"Contact with the leaves of this plant can cause a serious, itchy rash.","sets":"Junior 9+ (2nd)"},</v>
      </c>
      <c r="E1231" s="9" t="str">
        <f t="shared" si="2"/>
        <v>data:image/svg+xml,%3csvg xmlns='http://www.w3.org/2000/svg' viewBox='0 0 24 216'%3e%3ctext fill='%23fff' style='font: 900 16px sans-serif' text-anchor='end' transform='matrix(0 -1 1 0 18 5)'%3ePoison Ivy%3c/text%3e%3c/svg%3e</v>
      </c>
      <c r="F1231" s="14" t="str">
        <f t="shared" si="3"/>
        <v>https://svgtext.heliohost.us/cgi-bin/gen.perl?text=Poison%20Ivy</v>
      </c>
      <c r="G1231" s="11" t="str">
        <f t="shared" si="4"/>
        <v>data:image/svg+xml,%3csvg xmlns='http://www.w3.org/2000/svg' viewBox='0 0 24 216'%3e%3ctext fill='%23fff' style='font: 900 16px sans-serif' text-anchor='end' transform='matrix(0 -1 1 0 18 5)'%3ePoison Ivy%3c/text%3e%3c/svg%3e</v>
      </c>
      <c r="H1231" s="8" t="s">
        <v>32</v>
      </c>
      <c r="I1231" s="8">
        <f t="shared" ref="I1231:J1231" si="1232">len(B1231)</f>
        <v>10</v>
      </c>
      <c r="J1231" s="8">
        <f t="shared" si="1232"/>
        <v>70</v>
      </c>
      <c r="K1231" s="8" t="s">
        <v>5367</v>
      </c>
    </row>
    <row r="1232">
      <c r="A1232" s="7" t="b">
        <v>1</v>
      </c>
      <c r="B1232" s="8" t="s">
        <v>5365</v>
      </c>
      <c r="C1232" s="8" t="s">
        <v>5368</v>
      </c>
      <c r="D1232" s="8" t="str">
        <f>Q&amp;$K1232&amp;Q&amp;":{"&amp;Q&amp;$B$2&amp;Q&amp;":"&amp;Q&amp;$B1232&amp;Q&amp;","&amp;Q&amp;$C$2&amp;Q&amp;":"&amp;Q&amp;$C1232&amp;Q&amp;","&amp;Q&amp;"sets"&amp;Q&amp;":"&amp;Q&amp;substitute(SUBSTITUTE($H1232,"[",""),"]","")&amp;Q&amp;"},"</f>
        <v>"urss":{"label":"Poison Ivy","extra":"Itching for a walk in the woods?","sets":"Expansion Set 1, Party Set"},</v>
      </c>
      <c r="E1232" s="9" t="str">
        <f t="shared" si="2"/>
        <v>data:image/svg+xml,%3csvg xmlns='http://www.w3.org/2000/svg' viewBox='0 0 24 216'%3e%3ctext fill='%23fff' style='font: 900 16px sans-serif' text-anchor='end' transform='matrix(0 -1 1 0 18 5)'%3ePoison Ivy%3c/text%3e%3c/svg%3e</v>
      </c>
      <c r="F1232" s="14" t="str">
        <f t="shared" si="3"/>
        <v>https://svgtext.heliohost.us/cgi-bin/gen.perl?text=Poison%20Ivy</v>
      </c>
      <c r="G1232" s="11" t="str">
        <f t="shared" si="4"/>
        <v>data:image/svg+xml,%3csvg xmlns='http://www.w3.org/2000/svg' viewBox='0 0 24 216'%3e%3ctext fill='%23fff' style='font: 900 16px sans-serif' text-anchor='end' transform='matrix(0 -1 1 0 18 5)'%3ePoison Ivy%3c/text%3e%3c/svg%3e</v>
      </c>
      <c r="H1232" s="8" t="s">
        <v>25</v>
      </c>
      <c r="I1232" s="8">
        <f t="shared" ref="I1232:J1232" si="1233">len(B1232)</f>
        <v>10</v>
      </c>
      <c r="J1232" s="8">
        <f t="shared" si="1233"/>
        <v>32</v>
      </c>
      <c r="K1232" s="8" t="s">
        <v>5369</v>
      </c>
    </row>
    <row r="1233">
      <c r="A1233" s="7" t="b">
        <v>0</v>
      </c>
      <c r="B1233" s="8" t="s">
        <v>5370</v>
      </c>
      <c r="C1233" s="7" t="s">
        <v>5371</v>
      </c>
      <c r="D1233" s="8" t="str">
        <f>Q&amp;$K1233&amp;Q&amp;":{"&amp;Q&amp;$B$2&amp;Q&amp;":"&amp;Q&amp;$B1233&amp;Q&amp;","&amp;Q&amp;$C$2&amp;Q&amp;":"&amp;Q&amp;$C1233&amp;Q&amp;","&amp;Q&amp;"sets"&amp;Q&amp;":"&amp;Q&amp;substitute(SUBSTITUTE($H1233,"[",""),"]","")&amp;Q&amp;"},"</f>
        <v>"egmf":{"label":"Pokemon","extra":"Cute cartoon monsters you gotta catch. What you do with them is up to you…","sets":"Expansion Set 1, Party Set"},</v>
      </c>
      <c r="E1233" s="9" t="str">
        <f t="shared" si="2"/>
        <v>data:image/svg+xml,%3csvg xmlns='http://www.w3.org/2000/svg' viewBox='0 0 24 216'%3e%3ctext fill='%23fff' style='font: 900 16px sans-serif' text-anchor='end' transform='matrix(0 -1 1 0 18 5)'%3ePokemon%3c/text%3e%3c/svg%3e</v>
      </c>
      <c r="F1233" s="14" t="str">
        <f t="shared" si="3"/>
        <v>https://svgtext.heliohost.us/cgi-bin/gen.perl?text=Pokemon</v>
      </c>
      <c r="G1233" s="11" t="str">
        <f t="shared" si="4"/>
        <v>data:image/svg+xml,%3csvg xmlns='http://www.w3.org/2000/svg' viewBox='0 0 24 216'%3e%3ctext fill='%23fff' style='font: 900 16px sans-serif' text-anchor='end' transform='matrix(0 -1 1 0 18 5)'%3ePokemon%3c/text%3e%3c/svg%3e</v>
      </c>
      <c r="H1233" s="8" t="s">
        <v>25</v>
      </c>
      <c r="I1233" s="8">
        <f t="shared" ref="I1233:J1233" si="1234">len(B1233)</f>
        <v>7</v>
      </c>
      <c r="J1233" s="8">
        <f t="shared" si="1234"/>
        <v>74</v>
      </c>
      <c r="K1233" s="8" t="s">
        <v>5372</v>
      </c>
    </row>
    <row r="1234">
      <c r="A1234" s="7" t="b">
        <v>0</v>
      </c>
      <c r="B1234" s="8" t="s">
        <v>5370</v>
      </c>
      <c r="C1234" s="8" t="s">
        <v>5373</v>
      </c>
      <c r="D1234" s="8" t="str">
        <f>Q&amp;$K1234&amp;Q&amp;":{"&amp;Q&amp;$B$2&amp;Q&amp;":"&amp;Q&amp;$B1234&amp;Q&amp;","&amp;Q&amp;$C$2&amp;Q&amp;":"&amp;Q&amp;$C1234&amp;Q&amp;","&amp;Q&amp;"sets"&amp;Q&amp;":"&amp;Q&amp;substitute(SUBSTITUTE($H1234,"[",""),"]","")&amp;Q&amp;"},"</f>
        <v>"ckti":{"label":"Pokemon","extra":"A video game, card game and television show. I like Pikachu.","sets":"Junior 9+ (2nd)"},</v>
      </c>
      <c r="E1234" s="9" t="str">
        <f t="shared" si="2"/>
        <v>data:image/svg+xml,%3csvg xmlns='http://www.w3.org/2000/svg' viewBox='0 0 24 216'%3e%3ctext fill='%23fff' style='font: 900 16px sans-serif' text-anchor='end' transform='matrix(0 -1 1 0 18 5)'%3ePokemon%3c/text%3e%3c/svg%3e</v>
      </c>
      <c r="F1234" s="14" t="str">
        <f t="shared" si="3"/>
        <v>https://svgtext.heliohost.us/cgi-bin/gen.perl?text=Pokemon</v>
      </c>
      <c r="G1234" s="11" t="str">
        <f t="shared" si="4"/>
        <v>data:image/svg+xml,%3csvg xmlns='http://www.w3.org/2000/svg' viewBox='0 0 24 216'%3e%3ctext fill='%23fff' style='font: 900 16px sans-serif' text-anchor='end' transform='matrix(0 -1 1 0 18 5)'%3ePokemon%3c/text%3e%3c/svg%3e</v>
      </c>
      <c r="H1234" s="8" t="s">
        <v>32</v>
      </c>
      <c r="I1234" s="8">
        <f t="shared" ref="I1234:J1234" si="1235">len(B1234)</f>
        <v>7</v>
      </c>
      <c r="J1234" s="8">
        <f t="shared" si="1235"/>
        <v>60</v>
      </c>
      <c r="K1234" s="8" t="s">
        <v>5374</v>
      </c>
    </row>
    <row r="1235">
      <c r="A1235" s="7" t="b">
        <v>1</v>
      </c>
      <c r="B1235" s="8" t="s">
        <v>5375</v>
      </c>
      <c r="C1235" s="7" t="s">
        <v>5376</v>
      </c>
      <c r="D1235" s="8" t="str">
        <f>Q&amp;$K1235&amp;Q&amp;":{"&amp;Q&amp;$B$2&amp;Q&amp;":"&amp;Q&amp;$B1235&amp;Q&amp;","&amp;Q&amp;$C$2&amp;Q&amp;":"&amp;Q&amp;$C1235&amp;Q&amp;","&amp;Q&amp;"sets"&amp;Q&amp;":"&amp;Q&amp;substitute(SUBSTITUTE($H1235,"[",""),"]","")&amp;Q&amp;"},"</f>
        <v>"ghkm":{"label":"Pole Vaulting","extra":"The sport where you can reach new heights.","sets":"Expansion Set 3, Party Expansion 1"},</v>
      </c>
      <c r="E1235" s="9" t="str">
        <f t="shared" si="2"/>
        <v>data:image/svg+xml,%3csvg xmlns='http://www.w3.org/2000/svg' viewBox='0 0 24 216'%3e%3ctext fill='%23fff' style='font: 900 16px sans-serif' text-anchor='end' transform='matrix(0 -1 1 0 18 5)'%3ePole Vaulting%3c/text%3e%3c/svg%3e</v>
      </c>
      <c r="F1235" s="14" t="str">
        <f t="shared" si="3"/>
        <v>https://svgtext.heliohost.us/cgi-bin/gen.perl?text=Pole%20Vaulting</v>
      </c>
      <c r="G1235" s="11" t="str">
        <f t="shared" si="4"/>
        <v>data:image/svg+xml,%3csvg xmlns='http://www.w3.org/2000/svg' viewBox='0 0 24 216'%3e%3ctext fill='%23fff' style='font: 900 16px sans-serif' text-anchor='end' transform='matrix(0 -1 1 0 18 5)'%3ePole Vaulting%3c/text%3e%3c/svg%3e</v>
      </c>
      <c r="H1235" s="8" t="s">
        <v>39</v>
      </c>
      <c r="I1235" s="8">
        <f t="shared" ref="I1235:J1235" si="1236">len(B1235)</f>
        <v>13</v>
      </c>
      <c r="J1235" s="8">
        <f t="shared" si="1236"/>
        <v>42</v>
      </c>
      <c r="K1235" s="8" t="s">
        <v>5377</v>
      </c>
    </row>
    <row r="1236">
      <c r="A1236" s="7" t="b">
        <v>1</v>
      </c>
      <c r="B1236" s="8" t="s">
        <v>5378</v>
      </c>
      <c r="C1236" s="7" t="s">
        <v>5379</v>
      </c>
      <c r="D1236" s="8" t="str">
        <f>Q&amp;$K1236&amp;Q&amp;":{"&amp;Q&amp;$B$2&amp;Q&amp;":"&amp;Q&amp;$B1236&amp;Q&amp;","&amp;Q&amp;$C$2&amp;Q&amp;":"&amp;Q&amp;$C1236&amp;Q&amp;","&amp;Q&amp;"sets"&amp;Q&amp;":"&amp;Q&amp;substitute(SUBSTITUTE($H1236,"[",""),"]","")&amp;Q&amp;"},"</f>
        <v>"trxy":{"label":"Pomp &amp; Circumstance","extra":"La-de-da.","sets":"Expansion Set 4, Party Expansion 1"},</v>
      </c>
      <c r="E1236" s="9" t="str">
        <f t="shared" si="2"/>
        <v>data:image/svg+xml,%3csvg xmlns='http://www.w3.org/2000/svg' viewBox='0 0 24 216'%3e%3ctext fill='%23fff' style='font: 900 16px sans-serif' text-anchor='end' transform='matrix(0 -1 1 0 18 5)'%3ePomp %26amp%3B Circumstance%3c/text%3e%3c/svg%3e</v>
      </c>
      <c r="F1236" s="14" t="str">
        <f t="shared" si="3"/>
        <v>https://svgtext.heliohost.us/cgi-bin/gen.perl?text=Pomp%20%26%20Circumstance</v>
      </c>
      <c r="G1236" s="11" t="str">
        <f t="shared" si="4"/>
        <v>data:image/svg+xml,%3csvg xmlns='http://www.w3.org/2000/svg' viewBox='0 0 24 216'%3e%3ctext fill='%23fff' style='font: 900 16px sans-serif' text-anchor='end' transform='matrix(0 -1 1 0 18 5)'%3ePomp %26amp%3B Circumstance%3c/text%3e%3c/svg%3e</v>
      </c>
      <c r="H1236" s="8" t="s">
        <v>63</v>
      </c>
      <c r="I1236" s="8">
        <f t="shared" ref="I1236:J1236" si="1237">len(B1236)</f>
        <v>19</v>
      </c>
      <c r="J1236" s="8">
        <f t="shared" si="1237"/>
        <v>9</v>
      </c>
      <c r="K1236" s="8" t="s">
        <v>5380</v>
      </c>
    </row>
    <row r="1237">
      <c r="A1237" s="7" t="b">
        <v>0</v>
      </c>
      <c r="B1237" s="8" t="s">
        <v>5381</v>
      </c>
      <c r="C1237" s="7" t="s">
        <v>5382</v>
      </c>
      <c r="D1237" s="8" t="str">
        <f>Q&amp;$K1237&amp;Q&amp;":{"&amp;Q&amp;$B$2&amp;Q&amp;":"&amp;Q&amp;$B1237&amp;Q&amp;","&amp;Q&amp;$C$2&amp;Q&amp;":"&amp;Q&amp;$C1237&amp;Q&amp;","&amp;Q&amp;"sets"&amp;Q&amp;":"&amp;Q&amp;substitute(SUBSTITUTE($H1237,"[",""),"]","")&amp;Q&amp;"},"</f>
        <v>"xefl":{"label":"Pond Scum","extra":"Simple organisms that carry out photosynthesis… or spammers.","sets":"Basic Set, Party Set"},</v>
      </c>
      <c r="E1237" s="9" t="str">
        <f t="shared" si="2"/>
        <v>data:image/svg+xml,%3csvg xmlns='http://www.w3.org/2000/svg' viewBox='0 0 24 216'%3e%3ctext fill='%23fff' style='font: 900 16px sans-serif' text-anchor='end' transform='matrix(0 -1 1 0 18 5)'%3ePond Scum%3c/text%3e%3c/svg%3e</v>
      </c>
      <c r="F1237" s="14" t="str">
        <f t="shared" si="3"/>
        <v>https://svgtext.heliohost.us/cgi-bin/gen.perl?text=Pond%20Scum</v>
      </c>
      <c r="G1237" s="11" t="str">
        <f t="shared" si="4"/>
        <v>data:image/svg+xml,%3csvg xmlns='http://www.w3.org/2000/svg' viewBox='0 0 24 216'%3e%3ctext fill='%23fff' style='font: 900 16px sans-serif' text-anchor='end' transform='matrix(0 -1 1 0 18 5)'%3ePond Scum%3c/text%3e%3c/svg%3e</v>
      </c>
      <c r="H1237" s="8" t="s">
        <v>29</v>
      </c>
      <c r="I1237" s="8">
        <f t="shared" ref="I1237:J1237" si="1238">len(B1237)</f>
        <v>9</v>
      </c>
      <c r="J1237" s="8">
        <f t="shared" si="1238"/>
        <v>60</v>
      </c>
      <c r="K1237" s="8" t="s">
        <v>5383</v>
      </c>
    </row>
    <row r="1238">
      <c r="A1238" s="7" t="b">
        <v>0</v>
      </c>
      <c r="B1238" s="8" t="s">
        <v>5384</v>
      </c>
      <c r="C1238" s="7" t="s">
        <v>5385</v>
      </c>
      <c r="D1238" s="8" t="str">
        <f>Q&amp;$K1238&amp;Q&amp;":{"&amp;Q&amp;$B$2&amp;Q&amp;":"&amp;Q&amp;$B1238&amp;Q&amp;","&amp;Q&amp;$C$2&amp;Q&amp;":"&amp;Q&amp;$C1238&amp;Q&amp;","&amp;Q&amp;"sets"&amp;Q&amp;":"&amp;Q&amp;substitute(SUBSTITUTE($H1238,"[",""),"]","")&amp;Q&amp;"},"</f>
        <v>"ilal":{"label":"Poodles","extra":"The only breed that is better groomed than their owners.","sets":"Expansion Set 2, Party Set"},</v>
      </c>
      <c r="E1238" s="9" t="str">
        <f t="shared" si="2"/>
        <v>data:image/svg+xml,%3csvg xmlns='http://www.w3.org/2000/svg' viewBox='0 0 24 216'%3e%3ctext fill='%23fff' style='font: 900 16px sans-serif' text-anchor='end' transform='matrix(0 -1 1 0 18 5)'%3ePoodles%3c/text%3e%3c/svg%3e</v>
      </c>
      <c r="F1238" s="14" t="str">
        <f t="shared" si="3"/>
        <v>https://svgtext.heliohost.us/cgi-bin/gen.perl?text=Poodles</v>
      </c>
      <c r="G1238" s="11" t="str">
        <f t="shared" si="4"/>
        <v>data:image/svg+xml,%3csvg xmlns='http://www.w3.org/2000/svg' viewBox='0 0 24 216'%3e%3ctext fill='%23fff' style='font: 900 16px sans-serif' text-anchor='end' transform='matrix(0 -1 1 0 18 5)'%3ePoodles%3c/text%3e%3c/svg%3e</v>
      </c>
      <c r="H1238" s="8" t="s">
        <v>17</v>
      </c>
      <c r="I1238" s="8">
        <f t="shared" ref="I1238:J1238" si="1239">len(B1238)</f>
        <v>7</v>
      </c>
      <c r="J1238" s="8">
        <f t="shared" si="1239"/>
        <v>56</v>
      </c>
      <c r="K1238" s="8" t="s">
        <v>5386</v>
      </c>
    </row>
    <row r="1239">
      <c r="A1239" s="7" t="b">
        <v>1</v>
      </c>
      <c r="B1239" s="8" t="s">
        <v>5387</v>
      </c>
      <c r="C1239" s="7" t="s">
        <v>5388</v>
      </c>
      <c r="D1239" s="8" t="str">
        <f>Q&amp;$K1239&amp;Q&amp;":{"&amp;Q&amp;$B$2&amp;Q&amp;":"&amp;Q&amp;$B1239&amp;Q&amp;","&amp;Q&amp;$C$2&amp;Q&amp;":"&amp;Q&amp;$C1239&amp;Q&amp;","&amp;Q&amp;"sets"&amp;Q&amp;":"&amp;Q&amp;substitute(SUBSTITUTE($H1239,"[",""),"]","")&amp;Q&amp;"},"</f>
        <v>"wded":{"label":"Popcorn","extra":"Air poppers are for air heads… I say bring on the butter!","sets":"Expansion Set 2, Party Set"},</v>
      </c>
      <c r="E1239" s="9" t="str">
        <f t="shared" si="2"/>
        <v>data:image/svg+xml,%3csvg xmlns='http://www.w3.org/2000/svg' viewBox='0 0 24 216'%3e%3ctext fill='%23fff' style='font: 900 16px sans-serif' text-anchor='end' transform='matrix(0 -1 1 0 18 5)'%3ePopcorn%3c/text%3e%3c/svg%3e</v>
      </c>
      <c r="F1239" s="14" t="str">
        <f t="shared" si="3"/>
        <v>https://svgtext.heliohost.us/cgi-bin/gen.perl?text=Popcorn</v>
      </c>
      <c r="G1239" s="11" t="str">
        <f t="shared" si="4"/>
        <v>data:image/svg+xml,%3csvg xmlns='http://www.w3.org/2000/svg' viewBox='0 0 24 216'%3e%3ctext fill='%23fff' style='font: 900 16px sans-serif' text-anchor='end' transform='matrix(0 -1 1 0 18 5)'%3ePopcorn%3c/text%3e%3c/svg%3e</v>
      </c>
      <c r="H1239" s="8" t="s">
        <v>17</v>
      </c>
      <c r="I1239" s="8">
        <f t="shared" ref="I1239:J1239" si="1240">len(B1239)</f>
        <v>7</v>
      </c>
      <c r="J1239" s="8">
        <f t="shared" si="1240"/>
        <v>57</v>
      </c>
      <c r="K1239" s="8" t="s">
        <v>5389</v>
      </c>
    </row>
    <row r="1240">
      <c r="A1240" s="7" t="b">
        <v>0</v>
      </c>
      <c r="B1240" s="8" t="s">
        <v>5387</v>
      </c>
      <c r="C1240" s="8" t="s">
        <v>5390</v>
      </c>
      <c r="D1240" s="8" t="str">
        <f>Q&amp;$K1240&amp;Q&amp;":{"&amp;Q&amp;$B$2&amp;Q&amp;":"&amp;Q&amp;$B1240&amp;Q&amp;","&amp;Q&amp;$C$2&amp;Q&amp;":"&amp;Q&amp;$C1240&amp;Q&amp;","&amp;Q&amp;"sets"&amp;Q&amp;":"&amp;Q&amp;substitute(SUBSTITUTE($H1240,"[",""),"]","")&amp;Q&amp;"},"</f>
        <v>"jlnp":{"label":"Popcorn","extra":"A good movie-time snack.","sets":"Junior"},</v>
      </c>
      <c r="E1240" s="9" t="str">
        <f t="shared" si="2"/>
        <v>data:image/svg+xml,%3csvg xmlns='http://www.w3.org/2000/svg' viewBox='0 0 24 216'%3e%3ctext fill='%23fff' style='font: 900 16px sans-serif' text-anchor='end' transform='matrix(0 -1 1 0 18 5)'%3ePopcorn%3c/text%3e%3c/svg%3e</v>
      </c>
      <c r="F1240" s="14" t="str">
        <f t="shared" si="3"/>
        <v>https://svgtext.heliohost.us/cgi-bin/gen.perl?text=Popcorn</v>
      </c>
      <c r="G1240" s="11" t="str">
        <f t="shared" si="4"/>
        <v>data:image/svg+xml,%3csvg xmlns='http://www.w3.org/2000/svg' viewBox='0 0 24 216'%3e%3ctext fill='%23fff' style='font: 900 16px sans-serif' text-anchor='end' transform='matrix(0 -1 1 0 18 5)'%3ePopcorn%3c/text%3e%3c/svg%3e</v>
      </c>
      <c r="H1240" s="8" t="s">
        <v>84</v>
      </c>
      <c r="I1240" s="8">
        <f t="shared" ref="I1240:J1240" si="1241">len(B1240)</f>
        <v>7</v>
      </c>
      <c r="J1240" s="8">
        <f t="shared" si="1241"/>
        <v>24</v>
      </c>
      <c r="K1240" s="8" t="s">
        <v>5391</v>
      </c>
    </row>
    <row r="1241">
      <c r="A1241" s="7" t="b">
        <v>1</v>
      </c>
      <c r="B1241" s="8" t="s">
        <v>5392</v>
      </c>
      <c r="C1241" s="7" t="s">
        <v>5393</v>
      </c>
      <c r="D1241" s="8" t="str">
        <f>Q&amp;$K1241&amp;Q&amp;":{"&amp;Q&amp;$B$2&amp;Q&amp;":"&amp;Q&amp;$B1241&amp;Q&amp;","&amp;Q&amp;$C$2&amp;Q&amp;":"&amp;Q&amp;$C1241&amp;Q&amp;","&amp;Q&amp;"sets"&amp;Q&amp;":"&amp;Q&amp;substitute(SUBSTITUTE($H1241,"[",""),"]","")&amp;Q&amp;"},"</f>
        <v>"heqd":{"label":"Porcupines","extra":"Quill-bearing rodents that can leave you in a prickly situation.","sets":"Expansion Set 3, Party Expansion 1"},</v>
      </c>
      <c r="E1241" s="9" t="str">
        <f t="shared" si="2"/>
        <v>data:image/svg+xml,%3csvg xmlns='http://www.w3.org/2000/svg' viewBox='0 0 24 216'%3e%3ctext fill='%23fff' style='font: 900 16px sans-serif' text-anchor='end' transform='matrix(0 -1 1 0 18 5)'%3ePorcupines%3c/text%3e%3c/svg%3e</v>
      </c>
      <c r="F1241" s="14" t="str">
        <f t="shared" si="3"/>
        <v>https://svgtext.heliohost.us/cgi-bin/gen.perl?text=Porcupines</v>
      </c>
      <c r="G1241" s="11" t="str">
        <f t="shared" si="4"/>
        <v>data:image/svg+xml,%3csvg xmlns='http://www.w3.org/2000/svg' viewBox='0 0 24 216'%3e%3ctext fill='%23fff' style='font: 900 16px sans-serif' text-anchor='end' transform='matrix(0 -1 1 0 18 5)'%3ePorcupines%3c/text%3e%3c/svg%3e</v>
      </c>
      <c r="H1241" s="8" t="s">
        <v>39</v>
      </c>
      <c r="I1241" s="8">
        <f t="shared" ref="I1241:J1241" si="1242">len(B1241)</f>
        <v>10</v>
      </c>
      <c r="J1241" s="8">
        <f t="shared" si="1242"/>
        <v>64</v>
      </c>
      <c r="K1241" s="8" t="s">
        <v>5394</v>
      </c>
    </row>
    <row r="1242">
      <c r="A1242" s="7" t="b">
        <v>1</v>
      </c>
      <c r="B1242" s="8" t="s">
        <v>5395</v>
      </c>
      <c r="C1242" s="7" t="s">
        <v>5396</v>
      </c>
      <c r="D1242" s="8" t="str">
        <f>Q&amp;$K1242&amp;Q&amp;":{"&amp;Q&amp;$B$2&amp;Q&amp;":"&amp;Q&amp;$B1242&amp;Q&amp;","&amp;Q&amp;$C$2&amp;Q&amp;":"&amp;Q&amp;$C1242&amp;Q&amp;","&amp;Q&amp;"sets"&amp;Q&amp;":"&amp;Q&amp;substitute(SUBSTITUTE($H1242,"[",""),"]","")&amp;Q&amp;"},"</f>
        <v>"rnta":{"label":"Pork &amp; Beans","extra":"Rustle us up some grub, Cookie.","sets":"Expansion Set 4, Party Expansion 1"},</v>
      </c>
      <c r="E1242" s="9" t="str">
        <f t="shared" si="2"/>
        <v>data:image/svg+xml,%3csvg xmlns='http://www.w3.org/2000/svg' viewBox='0 0 24 216'%3e%3ctext fill='%23fff' style='font: 900 16px sans-serif' text-anchor='end' transform='matrix(0 -1 1 0 18 5)'%3ePork %26amp%3B Beans%3c/text%3e%3c/svg%3e</v>
      </c>
      <c r="F1242" s="14" t="str">
        <f t="shared" si="3"/>
        <v>https://svgtext.heliohost.us/cgi-bin/gen.perl?text=Pork%20%26%20Beans</v>
      </c>
      <c r="G1242" s="11" t="str">
        <f t="shared" si="4"/>
        <v>data:image/svg+xml,%3csvg xmlns='http://www.w3.org/2000/svg' viewBox='0 0 24 216'%3e%3ctext fill='%23fff' style='font: 900 16px sans-serif' text-anchor='end' transform='matrix(0 -1 1 0 18 5)'%3ePork %26amp%3B Beans%3c/text%3e%3c/svg%3e</v>
      </c>
      <c r="H1242" s="8" t="s">
        <v>63</v>
      </c>
      <c r="I1242" s="8">
        <f t="shared" ref="I1242:J1242" si="1243">len(B1242)</f>
        <v>12</v>
      </c>
      <c r="J1242" s="8">
        <f t="shared" si="1243"/>
        <v>31</v>
      </c>
      <c r="K1242" s="8" t="s">
        <v>5397</v>
      </c>
    </row>
    <row r="1243">
      <c r="A1243" s="7" t="b">
        <v>0</v>
      </c>
      <c r="B1243" s="8" t="s">
        <v>5398</v>
      </c>
      <c r="C1243" s="7" t="s">
        <v>5399</v>
      </c>
      <c r="D1243" s="8" t="str">
        <f>Q&amp;$K1243&amp;Q&amp;":{"&amp;Q&amp;$B$2&amp;Q&amp;":"&amp;Q&amp;$B1243&amp;Q&amp;","&amp;Q&amp;$C$2&amp;Q&amp;":"&amp;Q&amp;$C1243&amp;Q&amp;","&amp;Q&amp;"sets"&amp;Q&amp;":"&amp;Q&amp;substitute(SUBSTITUTE($H1243,"[",""),"]","")&amp;Q&amp;"},"</f>
        <v>"nvdo":{"label":"Porsche Boxster","extra":"A two-seat, six cylander roadster…elegant design and superior drivability.","sets":"Expansion Set 2, Party Set"},</v>
      </c>
      <c r="E1243" s="9" t="str">
        <f t="shared" si="2"/>
        <v>data:image/svg+xml,%3csvg xmlns='http://www.w3.org/2000/svg' viewBox='0 0 24 216'%3e%3ctext fill='%23fff' style='font: 900 16px sans-serif' text-anchor='end' transform='matrix(0 -1 1 0 18 5)'%3ePorsche Boxster%3c/text%3e%3c/svg%3e</v>
      </c>
      <c r="F1243" s="14" t="str">
        <f t="shared" si="3"/>
        <v>https://svgtext.heliohost.us/cgi-bin/gen.perl?text=Porsche%20Boxster</v>
      </c>
      <c r="G1243" s="11" t="str">
        <f t="shared" si="4"/>
        <v>data:image/svg+xml,%3csvg xmlns='http://www.w3.org/2000/svg' viewBox='0 0 24 216'%3e%3ctext fill='%23fff' style='font: 900 16px sans-serif' text-anchor='end' transform='matrix(0 -1 1 0 18 5)'%3ePorsche Boxster%3c/text%3e%3c/svg%3e</v>
      </c>
      <c r="H1243" s="8" t="s">
        <v>17</v>
      </c>
      <c r="I1243" s="8">
        <f t="shared" ref="I1243:J1243" si="1244">len(B1243)</f>
        <v>15</v>
      </c>
      <c r="J1243" s="8">
        <f t="shared" si="1244"/>
        <v>74</v>
      </c>
      <c r="K1243" s="8" t="s">
        <v>5400</v>
      </c>
    </row>
    <row r="1244">
      <c r="A1244" s="7" t="b">
        <v>0</v>
      </c>
      <c r="B1244" s="8" t="s">
        <v>5401</v>
      </c>
      <c r="C1244" s="7" t="s">
        <v>5402</v>
      </c>
      <c r="D1244" s="8" t="str">
        <f>Q&amp;$K1244&amp;Q&amp;":{"&amp;Q&amp;$B$2&amp;Q&amp;":"&amp;Q&amp;$B1244&amp;Q&amp;","&amp;Q&amp;$C$2&amp;Q&amp;":"&amp;Q&amp;$C1244&amp;Q&amp;","&amp;Q&amp;"sets"&amp;Q&amp;":"&amp;Q&amp;substitute(SUBSTITUTE($H1244,"[",""),"]","")&amp;Q&amp;"},"</f>
        <v>"bdjf":{"label":"Postal Workers","extra":"“Neither snow, nor rain, nor heat, nor gloom of night, stays these couriers from the swift completion of their appointed rounds.”","sets":"Expansion Set 1, Party Set"},</v>
      </c>
      <c r="E1244" s="9" t="str">
        <f t="shared" si="2"/>
        <v>data:image/svg+xml,%3csvg xmlns='http://www.w3.org/2000/svg' viewBox='0 0 24 216'%3e%3ctext fill='%23fff' style='font: 900 16px sans-serif' text-anchor='end' transform='matrix(0 -1 1 0 18 5)'%3ePostal Workers%3c/text%3e%3c/svg%3e</v>
      </c>
      <c r="F1244" s="14" t="str">
        <f t="shared" si="3"/>
        <v>https://svgtext.heliohost.us/cgi-bin/gen.perl?text=Postal%20Workers</v>
      </c>
      <c r="G1244" s="11" t="str">
        <f t="shared" si="4"/>
        <v>data:image/svg+xml,%3csvg xmlns='http://www.w3.org/2000/svg' viewBox='0 0 24 216'%3e%3ctext fill='%23fff' style='font: 900 16px sans-serif' text-anchor='end' transform='matrix(0 -1 1 0 18 5)'%3ePostal Workers%3c/text%3e%3c/svg%3e</v>
      </c>
      <c r="H1244" s="8" t="s">
        <v>25</v>
      </c>
      <c r="I1244" s="8">
        <f t="shared" ref="I1244:J1244" si="1245">len(B1244)</f>
        <v>14</v>
      </c>
      <c r="J1244" s="8">
        <f t="shared" si="1245"/>
        <v>129</v>
      </c>
      <c r="K1244" s="8" t="s">
        <v>5403</v>
      </c>
    </row>
    <row r="1245">
      <c r="A1245" s="7" t="b">
        <v>1</v>
      </c>
      <c r="B1245" s="8" t="s">
        <v>5404</v>
      </c>
      <c r="C1245" s="8" t="s">
        <v>5405</v>
      </c>
      <c r="D1245" s="8" t="str">
        <f>Q&amp;$K1245&amp;Q&amp;":{"&amp;Q&amp;$B$2&amp;Q&amp;":"&amp;Q&amp;$B1245&amp;Q&amp;","&amp;Q&amp;$C$2&amp;Q&amp;":"&amp;Q&amp;$C1245&amp;Q&amp;","&amp;Q&amp;"sets"&amp;Q&amp;":"&amp;Q&amp;substitute(SUBSTITUTE($H1245,"[",""),"]","")&amp;Q&amp;"},"</f>
        <v>"jnsj":{"label":"Potato Chips","extra":"Plain, sour cream and onion, ranch, or barbecue chips.","sets":"Junior 9+ (1st) &amp; (2nd)"},</v>
      </c>
      <c r="E1245" s="9" t="str">
        <f t="shared" si="2"/>
        <v>data:image/svg+xml,%3csvg xmlns='http://www.w3.org/2000/svg' viewBox='0 0 24 216'%3e%3ctext fill='%23fff' style='font: 900 16px sans-serif' text-anchor='end' transform='matrix(0 -1 1 0 18 5)'%3ePotato Chips%3c/text%3e%3c/svg%3e</v>
      </c>
      <c r="F1245" s="14" t="str">
        <f t="shared" si="3"/>
        <v>https://svgtext.heliohost.us/cgi-bin/gen.perl?text=Potato%20Chips</v>
      </c>
      <c r="G1245" s="11" t="str">
        <f t="shared" si="4"/>
        <v>data:image/svg+xml,%3csvg xmlns='http://www.w3.org/2000/svg' viewBox='0 0 24 216'%3e%3ctext fill='%23fff' style='font: 900 16px sans-serif' text-anchor='end' transform='matrix(0 -1 1 0 18 5)'%3ePotato Chips%3c/text%3e%3c/svg%3e</v>
      </c>
      <c r="H1245" s="8" t="s">
        <v>42</v>
      </c>
      <c r="I1245" s="8">
        <f t="shared" ref="I1245:J1245" si="1246">len(B1245)</f>
        <v>12</v>
      </c>
      <c r="J1245" s="8">
        <f t="shared" si="1246"/>
        <v>54</v>
      </c>
      <c r="K1245" s="8" t="s">
        <v>5406</v>
      </c>
    </row>
    <row r="1246">
      <c r="A1246" s="7" t="b">
        <v>1</v>
      </c>
      <c r="B1246" s="8" t="s">
        <v>5407</v>
      </c>
      <c r="C1246" s="8" t="s">
        <v>5408</v>
      </c>
      <c r="D1246" s="8" t="str">
        <f>Q&amp;$K1246&amp;Q&amp;":{"&amp;Q&amp;$B$2&amp;Q&amp;":"&amp;Q&amp;$B1246&amp;Q&amp;","&amp;Q&amp;$C$2&amp;Q&amp;":"&amp;Q&amp;$C1246&amp;Q&amp;","&amp;Q&amp;"sets"&amp;Q&amp;":"&amp;Q&amp;substitute(SUBSTITUTE($H1246,"[",""),"]","")&amp;Q&amp;"},"</f>
        <v>"jcjb":{"label":"Pounding Nails","extra":"Use a hammer and watch your fingers.","sets":"Junior"},</v>
      </c>
      <c r="E1246" s="9" t="str">
        <f t="shared" si="2"/>
        <v>data:image/svg+xml,%3csvg xmlns='http://www.w3.org/2000/svg' viewBox='0 0 24 216'%3e%3ctext fill='%23fff' style='font: 900 16px sans-serif' text-anchor='end' transform='matrix(0 -1 1 0 18 5)'%3ePounding Nails%3c/text%3e%3c/svg%3e</v>
      </c>
      <c r="F1246" s="14" t="str">
        <f t="shared" si="3"/>
        <v>https://svgtext.heliohost.us/cgi-bin/gen.perl?text=Pounding%20Nails</v>
      </c>
      <c r="G1246" s="11" t="str">
        <f t="shared" si="4"/>
        <v>data:image/svg+xml,%3csvg xmlns='http://www.w3.org/2000/svg' viewBox='0 0 24 216'%3e%3ctext fill='%23fff' style='font: 900 16px sans-serif' text-anchor='end' transform='matrix(0 -1 1 0 18 5)'%3ePounding Nails%3c/text%3e%3c/svg%3e</v>
      </c>
      <c r="H1246" s="8" t="s">
        <v>84</v>
      </c>
      <c r="I1246" s="8">
        <f t="shared" ref="I1246:J1246" si="1247">len(B1246)</f>
        <v>14</v>
      </c>
      <c r="J1246" s="8">
        <f t="shared" si="1247"/>
        <v>36</v>
      </c>
      <c r="K1246" s="8" t="s">
        <v>5409</v>
      </c>
    </row>
    <row r="1247">
      <c r="A1247" s="7" t="b">
        <v>0</v>
      </c>
      <c r="B1247" s="8" t="s">
        <v>5410</v>
      </c>
      <c r="C1247" s="8" t="s">
        <v>5411</v>
      </c>
      <c r="D1247" s="8" t="str">
        <f>Q&amp;$K1247&amp;Q&amp;":{"&amp;Q&amp;$B$2&amp;Q&amp;":"&amp;Q&amp;$B1247&amp;Q&amp;","&amp;Q&amp;$C$2&amp;Q&amp;":"&amp;Q&amp;$C1247&amp;Q&amp;","&amp;Q&amp;"sets"&amp;Q&amp;":"&amp;Q&amp;substitute(SUBSTITUTE($H1247,"[",""),"]","")&amp;Q&amp;"},"</f>
        <v>"ptnx":{"label":"Power &amp; Glory","extra":"The spoils of war.","sets":"Expansion Set 4, Party Expansion 1"},</v>
      </c>
      <c r="E1247" s="9" t="str">
        <f t="shared" si="2"/>
        <v>data:image/svg+xml,%3csvg xmlns='http://www.w3.org/2000/svg' viewBox='0 0 24 216'%3e%3ctext fill='%23fff' style='font: 900 16px sans-serif' text-anchor='end' transform='matrix(0 -1 1 0 18 5)'%3ePower %26amp%3B Glory%3c/text%3e%3c/svg%3e</v>
      </c>
      <c r="F1247" s="14" t="str">
        <f t="shared" si="3"/>
        <v>https://svgtext.heliohost.us/cgi-bin/gen.perl?text=Power%20%26%20Glory</v>
      </c>
      <c r="G1247" s="11" t="str">
        <f t="shared" si="4"/>
        <v>data:image/svg+xml,%3csvg xmlns='http://www.w3.org/2000/svg' viewBox='0 0 24 216'%3e%3ctext fill='%23fff' style='font: 900 16px sans-serif' text-anchor='end' transform='matrix(0 -1 1 0 18 5)'%3ePower %26amp%3B Glory%3c/text%3e%3c/svg%3e</v>
      </c>
      <c r="H1247" s="8" t="s">
        <v>63</v>
      </c>
      <c r="I1247" s="8">
        <f t="shared" ref="I1247:J1247" si="1248">len(B1247)</f>
        <v>13</v>
      </c>
      <c r="J1247" s="8">
        <f t="shared" si="1248"/>
        <v>18</v>
      </c>
      <c r="K1247" s="8" t="s">
        <v>5412</v>
      </c>
    </row>
    <row r="1248">
      <c r="A1248" s="7" t="b">
        <v>1</v>
      </c>
      <c r="B1248" s="8" t="s">
        <v>5413</v>
      </c>
      <c r="C1248" s="8" t="s">
        <v>5414</v>
      </c>
      <c r="D1248" s="8" t="str">
        <f>Q&amp;$K1248&amp;Q&amp;":{"&amp;Q&amp;$B$2&amp;Q&amp;":"&amp;Q&amp;$B1248&amp;Q&amp;","&amp;Q&amp;$C$2&amp;Q&amp;":"&amp;Q&amp;$C1248&amp;Q&amp;","&amp;Q&amp;"sets"&amp;Q&amp;":"&amp;Q&amp;substitute(SUBSTITUTE($H1248,"[",""),"]","")&amp;Q&amp;"},"</f>
        <v>"xefs":{"label":"Power Drills","extra":"Carpenters use them, and so do dentists.","sets":"Junior 9+ (2nd)"},</v>
      </c>
      <c r="E1248" s="9" t="str">
        <f t="shared" si="2"/>
        <v>data:image/svg+xml,%3csvg xmlns='http://www.w3.org/2000/svg' viewBox='0 0 24 216'%3e%3ctext fill='%23fff' style='font: 900 16px sans-serif' text-anchor='end' transform='matrix(0 -1 1 0 18 5)'%3ePower Drills%3c/text%3e%3c/svg%3e</v>
      </c>
      <c r="F1248" s="14" t="str">
        <f t="shared" si="3"/>
        <v>https://svgtext.heliohost.us/cgi-bin/gen.perl?text=Power%20Drills</v>
      </c>
      <c r="G1248" s="11" t="str">
        <f t="shared" si="4"/>
        <v>data:image/svg+xml,%3csvg xmlns='http://www.w3.org/2000/svg' viewBox='0 0 24 216'%3e%3ctext fill='%23fff' style='font: 900 16px sans-serif' text-anchor='end' transform='matrix(0 -1 1 0 18 5)'%3ePower Drills%3c/text%3e%3c/svg%3e</v>
      </c>
      <c r="H1248" s="8" t="s">
        <v>32</v>
      </c>
      <c r="I1248" s="8">
        <f t="shared" ref="I1248:J1248" si="1249">len(B1248)</f>
        <v>12</v>
      </c>
      <c r="J1248" s="8">
        <f t="shared" si="1249"/>
        <v>40</v>
      </c>
      <c r="K1248" s="8" t="s">
        <v>5415</v>
      </c>
    </row>
    <row r="1249">
      <c r="A1249" s="7" t="b">
        <v>1</v>
      </c>
      <c r="B1249" s="8" t="s">
        <v>5416</v>
      </c>
      <c r="C1249" s="8" t="s">
        <v>5417</v>
      </c>
      <c r="D1249" s="8" t="str">
        <f>Q&amp;$K1249&amp;Q&amp;":{"&amp;Q&amp;$B$2&amp;Q&amp;":"&amp;Q&amp;$B1249&amp;Q&amp;","&amp;Q&amp;$C$2&amp;Q&amp;":"&amp;Q&amp;$C1249&amp;Q&amp;","&amp;Q&amp;"sets"&amp;Q&amp;":"&amp;Q&amp;substitute(SUBSTITUTE($H1249,"[",""),"]","")&amp;Q&amp;"},"</f>
        <v>"vkne":{"label":"Power Rangers","extra":"A television series about a group of teens fighting evil space aliens.","sets":"Junior 9+ (2nd)"},</v>
      </c>
      <c r="E1249" s="9" t="str">
        <f t="shared" si="2"/>
        <v>data:image/svg+xml,%3csvg xmlns='http://www.w3.org/2000/svg' viewBox='0 0 24 216'%3e%3ctext fill='%23fff' style='font: 900 16px sans-serif' text-anchor='end' transform='matrix(0 -1 1 0 18 5)'%3ePower Rangers%3c/text%3e%3c/svg%3e</v>
      </c>
      <c r="F1249" s="14" t="str">
        <f t="shared" si="3"/>
        <v>https://svgtext.heliohost.us/cgi-bin/gen.perl?text=Power%20Rangers</v>
      </c>
      <c r="G1249" s="11" t="str">
        <f t="shared" si="4"/>
        <v>data:image/svg+xml,%3csvg xmlns='http://www.w3.org/2000/svg' viewBox='0 0 24 216'%3e%3ctext fill='%23fff' style='font: 900 16px sans-serif' text-anchor='end' transform='matrix(0 -1 1 0 18 5)'%3ePower Rangers%3c/text%3e%3c/svg%3e</v>
      </c>
      <c r="H1249" s="8" t="s">
        <v>32</v>
      </c>
      <c r="I1249" s="8">
        <f t="shared" ref="I1249:J1249" si="1250">len(B1249)</f>
        <v>13</v>
      </c>
      <c r="J1249" s="8">
        <f t="shared" si="1250"/>
        <v>70</v>
      </c>
      <c r="K1249" s="8" t="s">
        <v>5418</v>
      </c>
    </row>
    <row r="1250">
      <c r="A1250" s="7" t="b">
        <v>0</v>
      </c>
      <c r="B1250" s="8" t="s">
        <v>5419</v>
      </c>
      <c r="C1250" s="7" t="s">
        <v>5420</v>
      </c>
      <c r="D1250" s="8" t="str">
        <f>Q&amp;$K1250&amp;Q&amp;":{"&amp;Q&amp;$B$2&amp;Q&amp;":"&amp;Q&amp;$B1250&amp;Q&amp;","&amp;Q&amp;$C$2&amp;Q&amp;":"&amp;Q&amp;$C1250&amp;Q&amp;","&amp;Q&amp;"sets"&amp;Q&amp;":"&amp;Q&amp;substitute(SUBSTITUTE($H1250,"[",""),"]","")&amp;Q&amp;"},"</f>
        <v>"fecn":{"label":"Power Tools","extra":"“More power! More power! Argh! Argh! ” —Tim ‘the Tool Man’ Taylor, “Home Improvement”","sets":"Expansion Set 1, Party Set"},</v>
      </c>
      <c r="E1250" s="9" t="str">
        <f t="shared" si="2"/>
        <v>data:image/svg+xml,%3csvg xmlns='http://www.w3.org/2000/svg' viewBox='0 0 24 216'%3e%3ctext fill='%23fff' style='font: 900 16px sans-serif' text-anchor='end' transform='matrix(0 -1 1 0 18 5)'%3ePower Tools%3c/text%3e%3c/svg%3e</v>
      </c>
      <c r="F1250" s="14" t="str">
        <f t="shared" si="3"/>
        <v>https://svgtext.heliohost.us/cgi-bin/gen.perl?text=Power%20Tools</v>
      </c>
      <c r="G1250" s="11" t="str">
        <f t="shared" si="4"/>
        <v>data:image/svg+xml,%3csvg xmlns='http://www.w3.org/2000/svg' viewBox='0 0 24 216'%3e%3ctext fill='%23fff' style='font: 900 16px sans-serif' text-anchor='end' transform='matrix(0 -1 1 0 18 5)'%3ePower Tools%3c/text%3e%3c/svg%3e</v>
      </c>
      <c r="H1250" s="8" t="s">
        <v>25</v>
      </c>
      <c r="I1250" s="8">
        <f t="shared" ref="I1250:J1250" si="1251">len(B1250)</f>
        <v>11</v>
      </c>
      <c r="J1250" s="8">
        <f t="shared" si="1251"/>
        <v>85</v>
      </c>
      <c r="K1250" s="8" t="s">
        <v>5421</v>
      </c>
    </row>
    <row r="1251">
      <c r="A1251" s="7" t="b">
        <v>1</v>
      </c>
      <c r="B1251" s="8" t="s">
        <v>5422</v>
      </c>
      <c r="C1251" s="8" t="s">
        <v>5423</v>
      </c>
      <c r="D1251" s="8" t="str">
        <f>Q&amp;$K1251&amp;Q&amp;":{"&amp;Q&amp;$B$2&amp;Q&amp;":"&amp;Q&amp;$B1251&amp;Q&amp;","&amp;Q&amp;$C$2&amp;Q&amp;":"&amp;Q&amp;$C1251&amp;Q&amp;","&amp;Q&amp;"sets"&amp;Q&amp;":"&amp;Q&amp;substitute(SUBSTITUTE($H1251,"[",""),"]","")&amp;Q&amp;"},"</f>
        <v>"qxpl":{"label":"President Bush","extra":"1946-, 43rd president of the United States.","sets":"Expansion Set 3, Party Expansion 1"},</v>
      </c>
      <c r="E1251" s="9" t="str">
        <f t="shared" si="2"/>
        <v>data:image/svg+xml,%3csvg xmlns='http://www.w3.org/2000/svg' viewBox='0 0 24 216'%3e%3ctext fill='%23fff' style='font: 900 16px sans-serif' text-anchor='end' transform='matrix(0 -1 1 0 18 5)'%3ePresident Bush%3c/text%3e%3c/svg%3e</v>
      </c>
      <c r="F1251" s="14" t="str">
        <f t="shared" si="3"/>
        <v>https://svgtext.heliohost.us/cgi-bin/gen.perl?text=President%20Bush</v>
      </c>
      <c r="G1251" s="11" t="str">
        <f t="shared" si="4"/>
        <v>data:image/svg+xml,%3csvg xmlns='http://www.w3.org/2000/svg' viewBox='0 0 24 216'%3e%3ctext fill='%23fff' style='font: 900 16px sans-serif' text-anchor='end' transform='matrix(0 -1 1 0 18 5)'%3ePresident Bush%3c/text%3e%3c/svg%3e</v>
      </c>
      <c r="H1251" s="8" t="s">
        <v>39</v>
      </c>
      <c r="I1251" s="8">
        <f t="shared" ref="I1251:J1251" si="1252">len(B1251)</f>
        <v>14</v>
      </c>
      <c r="J1251" s="8">
        <f t="shared" si="1252"/>
        <v>43</v>
      </c>
      <c r="K1251" s="8" t="s">
        <v>5424</v>
      </c>
    </row>
    <row r="1252">
      <c r="A1252" s="7" t="b">
        <v>1</v>
      </c>
      <c r="B1252" s="8" t="s">
        <v>5425</v>
      </c>
      <c r="C1252" s="8" t="s">
        <v>5426</v>
      </c>
      <c r="D1252" s="8" t="str">
        <f>Q&amp;$K1252&amp;Q&amp;":{"&amp;Q&amp;$B$2&amp;Q&amp;":"&amp;Q&amp;$B1252&amp;Q&amp;","&amp;Q&amp;$C$2&amp;Q&amp;":"&amp;Q&amp;$C1252&amp;Q&amp;","&amp;Q&amp;"sets"&amp;Q&amp;":"&amp;Q&amp;substitute(SUBSTITUTE($H1252,"[",""),"]","")&amp;Q&amp;"},"</f>
        <v>"rtcb":{"label":"Pretzels","extra":"Pretzels were first made in Germany. Available straight, twisted, or knotted.","sets":"Junior 9+ (2nd)"},</v>
      </c>
      <c r="E1252" s="9" t="str">
        <f t="shared" si="2"/>
        <v>data:image/svg+xml,%3csvg xmlns='http://www.w3.org/2000/svg' viewBox='0 0 24 216'%3e%3ctext fill='%23fff' style='font: 900 16px sans-serif' text-anchor='end' transform='matrix(0 -1 1 0 18 5)'%3ePretzels%3c/text%3e%3c/svg%3e</v>
      </c>
      <c r="F1252" s="14" t="str">
        <f t="shared" si="3"/>
        <v>https://svgtext.heliohost.us/cgi-bin/gen.perl?text=Pretzels</v>
      </c>
      <c r="G1252" s="11" t="str">
        <f t="shared" si="4"/>
        <v>data:image/svg+xml,%3csvg xmlns='http://www.w3.org/2000/svg' viewBox='0 0 24 216'%3e%3ctext fill='%23fff' style='font: 900 16px sans-serif' text-anchor='end' transform='matrix(0 -1 1 0 18 5)'%3ePretzels%3c/text%3e%3c/svg%3e</v>
      </c>
      <c r="H1252" s="8" t="s">
        <v>32</v>
      </c>
      <c r="I1252" s="8">
        <f t="shared" ref="I1252:J1252" si="1253">len(B1252)</f>
        <v>8</v>
      </c>
      <c r="J1252" s="8">
        <f t="shared" si="1253"/>
        <v>77</v>
      </c>
      <c r="K1252" s="8" t="s">
        <v>5427</v>
      </c>
    </row>
    <row r="1253">
      <c r="A1253" s="7" t="b">
        <v>1</v>
      </c>
      <c r="B1253" s="8" t="s">
        <v>5428</v>
      </c>
      <c r="C1253" s="8" t="s">
        <v>5429</v>
      </c>
      <c r="D1253" s="8" t="str">
        <f>Q&amp;$K1253&amp;Q&amp;":{"&amp;Q&amp;$B$2&amp;Q&amp;":"&amp;Q&amp;$B1253&amp;Q&amp;","&amp;Q&amp;$C$2&amp;Q&amp;":"&amp;Q&amp;$C1253&amp;Q&amp;","&amp;Q&amp;"sets"&amp;Q&amp;":"&amp;Q&amp;substitute(SUBSTITUTE($H1253,"[",""),"]","")&amp;Q&amp;"},"</f>
        <v>"pjsj":{"label":"Pride &amp; Prejudice","extra":"Jane Austin's 1813 classic novel expounding on the consequences of pride.","sets":"Expansion Set 4, Party Expansion 1"},</v>
      </c>
      <c r="E1253" s="9" t="str">
        <f t="shared" si="2"/>
        <v>data:image/svg+xml,%3csvg xmlns='http://www.w3.org/2000/svg' viewBox='0 0 24 216'%3e%3ctext fill='%23fff' style='font: 900 16px sans-serif' text-anchor='end' transform='matrix(0 -1 1 0 18 5)'%3ePride %26amp%3B Prejudice%3c/text%3e%3c/svg%3e</v>
      </c>
      <c r="F1253" s="14" t="str">
        <f t="shared" si="3"/>
        <v>https://svgtext.heliohost.us/cgi-bin/gen.perl?text=Pride%20%26%20Prejudice</v>
      </c>
      <c r="G1253" s="11" t="str">
        <f t="shared" si="4"/>
        <v>data:image/svg+xml,%3csvg xmlns='http://www.w3.org/2000/svg' viewBox='0 0 24 216'%3e%3ctext fill='%23fff' style='font: 900 16px sans-serif' text-anchor='end' transform='matrix(0 -1 1 0 18 5)'%3ePride %26amp%3B Prejudice%3c/text%3e%3c/svg%3e</v>
      </c>
      <c r="H1253" s="8" t="s">
        <v>63</v>
      </c>
      <c r="I1253" s="8">
        <f t="shared" ref="I1253:J1253" si="1254">len(B1253)</f>
        <v>17</v>
      </c>
      <c r="J1253" s="8">
        <f t="shared" si="1254"/>
        <v>73</v>
      </c>
      <c r="K1253" s="8" t="s">
        <v>5430</v>
      </c>
    </row>
    <row r="1254">
      <c r="A1254" s="7" t="b">
        <v>0</v>
      </c>
      <c r="B1254" s="8" t="s">
        <v>5431</v>
      </c>
      <c r="C1254" s="8" t="s">
        <v>5432</v>
      </c>
      <c r="D1254" s="8" t="str">
        <f>Q&amp;$K1254&amp;Q&amp;":{"&amp;Q&amp;$B$2&amp;Q&amp;":"&amp;Q&amp;$B1254&amp;Q&amp;","&amp;Q&amp;$C$2&amp;Q&amp;":"&amp;Q&amp;$C1254&amp;Q&amp;","&amp;Q&amp;"sets"&amp;Q&amp;":"&amp;Q&amp;substitute(SUBSTITUTE($H1254,"[",""),"]","")&amp;Q&amp;"},"</f>
        <v>"yjdv":{"label":"Prince Charming","extra":"The handsome prince who rescued Cinderella from her hard life. They lived happily ever after.","sets":"Junior"},</v>
      </c>
      <c r="E1254" s="9" t="str">
        <f t="shared" si="2"/>
        <v>data:image/svg+xml,%3csvg xmlns='http://www.w3.org/2000/svg' viewBox='0 0 24 216'%3e%3ctext fill='%23fff' style='font: 900 16px sans-serif' text-anchor='end' transform='matrix(0 -1 1 0 18 5)'%3ePrince Charming%3c/text%3e%3c/svg%3e</v>
      </c>
      <c r="F1254" s="14" t="str">
        <f t="shared" si="3"/>
        <v>https://svgtext.heliohost.us/cgi-bin/gen.perl?text=Prince%20Charming</v>
      </c>
      <c r="G1254" s="11" t="str">
        <f t="shared" si="4"/>
        <v>data:image/svg+xml,%3csvg xmlns='http://www.w3.org/2000/svg' viewBox='0 0 24 216'%3e%3ctext fill='%23fff' style='font: 900 16px sans-serif' text-anchor='end' transform='matrix(0 -1 1 0 18 5)'%3ePrince Charming%3c/text%3e%3c/svg%3e</v>
      </c>
      <c r="H1254" s="8" t="s">
        <v>84</v>
      </c>
      <c r="I1254" s="8">
        <f t="shared" ref="I1254:J1254" si="1255">len(B1254)</f>
        <v>15</v>
      </c>
      <c r="J1254" s="8">
        <f t="shared" si="1255"/>
        <v>93</v>
      </c>
      <c r="K1254" s="8" t="s">
        <v>5433</v>
      </c>
    </row>
    <row r="1255">
      <c r="A1255" s="7" t="b">
        <v>1</v>
      </c>
      <c r="B1255" s="8" t="s">
        <v>5431</v>
      </c>
      <c r="C1255" s="7" t="s">
        <v>5434</v>
      </c>
      <c r="D1255" s="8" t="str">
        <f>Q&amp;$K1255&amp;Q&amp;":{"&amp;Q&amp;$B$2&amp;Q&amp;":"&amp;Q&amp;$B1255&amp;Q&amp;","&amp;Q&amp;$C$2&amp;Q&amp;":"&amp;Q&amp;$C1255&amp;Q&amp;","&amp;Q&amp;"sets"&amp;Q&amp;":"&amp;Q&amp;substitute(SUBSTITUTE($H1255,"[",""),"]","")&amp;Q&amp;"},"</f>
        <v>"fedf":{"label":"Prince Charming","extra":"The perfect man… mythical, of course.","sets":"Expansion Set 2, Party Set"},</v>
      </c>
      <c r="E1255" s="9" t="str">
        <f t="shared" si="2"/>
        <v>data:image/svg+xml,%3csvg xmlns='http://www.w3.org/2000/svg' viewBox='0 0 24 216'%3e%3ctext fill='%23fff' style='font: 900 16px sans-serif' text-anchor='end' transform='matrix(0 -1 1 0 18 5)'%3ePrince Charming%3c/text%3e%3c/svg%3e</v>
      </c>
      <c r="F1255" s="14" t="str">
        <f t="shared" si="3"/>
        <v>https://svgtext.heliohost.us/cgi-bin/gen.perl?text=Prince%20Charming</v>
      </c>
      <c r="G1255" s="11" t="str">
        <f t="shared" si="4"/>
        <v>data:image/svg+xml,%3csvg xmlns='http://www.w3.org/2000/svg' viewBox='0 0 24 216'%3e%3ctext fill='%23fff' style='font: 900 16px sans-serif' text-anchor='end' transform='matrix(0 -1 1 0 18 5)'%3ePrince Charming%3c/text%3e%3c/svg%3e</v>
      </c>
      <c r="H1255" s="8" t="s">
        <v>17</v>
      </c>
      <c r="I1255" s="8">
        <f t="shared" ref="I1255:J1255" si="1256">len(B1255)</f>
        <v>15</v>
      </c>
      <c r="J1255" s="8">
        <f t="shared" si="1256"/>
        <v>37</v>
      </c>
      <c r="K1255" s="8" t="s">
        <v>5435</v>
      </c>
    </row>
    <row r="1256">
      <c r="A1256" s="7" t="b">
        <v>0</v>
      </c>
      <c r="B1256" s="8" t="s">
        <v>5436</v>
      </c>
      <c r="C1256" s="7" t="s">
        <v>5437</v>
      </c>
      <c r="D1256" s="8" t="str">
        <f>Q&amp;$K1256&amp;Q&amp;":{"&amp;Q&amp;$B$2&amp;Q&amp;":"&amp;Q&amp;$B1256&amp;Q&amp;","&amp;Q&amp;$C$2&amp;Q&amp;":"&amp;Q&amp;$C1256&amp;Q&amp;","&amp;Q&amp;"sets"&amp;Q&amp;":"&amp;Q&amp;substitute(SUBSTITUTE($H1256,"[",""),"]","")&amp;Q&amp;"},"</f>
        <v>"qghu":{"label":"Princess Di","extra":"1962-97, beloved English Princess who died in an auto crash. “Good-bye England’s Rose…” —Elton John","sets":"Basic Set, Party Set"},</v>
      </c>
      <c r="E1256" s="9" t="str">
        <f t="shared" si="2"/>
        <v>data:image/svg+xml,%3csvg xmlns='http://www.w3.org/2000/svg' viewBox='0 0 24 216'%3e%3ctext fill='%23fff' style='font: 900 16px sans-serif' text-anchor='end' transform='matrix(0 -1 1 0 18 5)'%3ePrincess Di%3c/text%3e%3c/svg%3e</v>
      </c>
      <c r="F1256" s="14" t="str">
        <f t="shared" si="3"/>
        <v>https://svgtext.heliohost.us/cgi-bin/gen.perl?text=Princess%20Di</v>
      </c>
      <c r="G1256" s="11" t="str">
        <f t="shared" si="4"/>
        <v>data:image/svg+xml,%3csvg xmlns='http://www.w3.org/2000/svg' viewBox='0 0 24 216'%3e%3ctext fill='%23fff' style='font: 900 16px sans-serif' text-anchor='end' transform='matrix(0 -1 1 0 18 5)'%3ePrincess Di%3c/text%3e%3c/svg%3e</v>
      </c>
      <c r="H1256" s="8" t="s">
        <v>29</v>
      </c>
      <c r="I1256" s="8">
        <f t="shared" ref="I1256:J1256" si="1257">len(B1256)</f>
        <v>11</v>
      </c>
      <c r="J1256" s="8">
        <f t="shared" si="1257"/>
        <v>99</v>
      </c>
      <c r="K1256" s="8" t="s">
        <v>5438</v>
      </c>
    </row>
    <row r="1257">
      <c r="A1257" s="7" t="b">
        <v>0</v>
      </c>
      <c r="B1257" s="8" t="s">
        <v>5439</v>
      </c>
      <c r="C1257" s="7" t="s">
        <v>5440</v>
      </c>
      <c r="D1257" s="8" t="str">
        <f>Q&amp;$K1257&amp;Q&amp;":{"&amp;Q&amp;$B$2&amp;Q&amp;":"&amp;Q&amp;$B1257&amp;Q&amp;","&amp;Q&amp;$C$2&amp;Q&amp;":"&amp;Q&amp;$C1257&amp;Q&amp;","&amp;Q&amp;"sets"&amp;Q&amp;":"&amp;Q&amp;substitute(SUBSTITUTE($H1257,"[",""),"]","")&amp;Q&amp;"},"</f>
        <v>"xqyg":{"label":"Pro Wrestling","extra":"They’re just faking it. But then, so are we.","sets":"Basic Set, Party Set"},</v>
      </c>
      <c r="E1257" s="9" t="str">
        <f t="shared" si="2"/>
        <v>data:image/svg+xml,%3csvg xmlns='http://www.w3.org/2000/svg' viewBox='0 0 24 216'%3e%3ctext fill='%23fff' style='font: 900 16px sans-serif' text-anchor='end' transform='matrix(0 -1 1 0 18 5)'%3ePro Wrestling%3c/text%3e%3c/svg%3e</v>
      </c>
      <c r="F1257" s="14" t="str">
        <f t="shared" si="3"/>
        <v>https://svgtext.heliohost.us/cgi-bin/gen.perl?text=Pro%20Wrestling</v>
      </c>
      <c r="G1257" s="11" t="str">
        <f t="shared" si="4"/>
        <v>data:image/svg+xml,%3csvg xmlns='http://www.w3.org/2000/svg' viewBox='0 0 24 216'%3e%3ctext fill='%23fff' style='font: 900 16px sans-serif' text-anchor='end' transform='matrix(0 -1 1 0 18 5)'%3ePro Wrestling%3c/text%3e%3c/svg%3e</v>
      </c>
      <c r="H1257" s="8" t="s">
        <v>29</v>
      </c>
      <c r="I1257" s="8">
        <f t="shared" ref="I1257:J1257" si="1258">len(B1257)</f>
        <v>13</v>
      </c>
      <c r="J1257" s="8">
        <f t="shared" si="1258"/>
        <v>44</v>
      </c>
      <c r="K1257" s="8" t="s">
        <v>5441</v>
      </c>
    </row>
    <row r="1258">
      <c r="A1258" s="7" t="b">
        <v>0</v>
      </c>
      <c r="B1258" s="8" t="s">
        <v>5442</v>
      </c>
      <c r="C1258" s="7" t="s">
        <v>5443</v>
      </c>
      <c r="D1258" s="8" t="str">
        <f>Q&amp;$K1258&amp;Q&amp;":{"&amp;Q&amp;$B$2&amp;Q&amp;":"&amp;Q&amp;$B1258&amp;Q&amp;","&amp;Q&amp;$C$2&amp;Q&amp;":"&amp;Q&amp;$C1258&amp;Q&amp;","&amp;Q&amp;"sets"&amp;Q&amp;":"&amp;Q&amp;substitute(SUBSTITUTE($H1258,"[",""),"]","")&amp;Q&amp;"},"</f>
        <v>"qoqr":{"label":"Psychiatrists","extra":"“And how do you feel about that?”","sets":"Expansion Set 2, Party Set"},</v>
      </c>
      <c r="E1258" s="9" t="str">
        <f t="shared" si="2"/>
        <v>data:image/svg+xml,%3csvg xmlns='http://www.w3.org/2000/svg' viewBox='0 0 24 216'%3e%3ctext fill='%23fff' style='font: 900 16px sans-serif' text-anchor='end' transform='matrix(0 -1 1 0 18 5)'%3ePsychiatrists%3c/text%3e%3c/svg%3e</v>
      </c>
      <c r="F1258" s="14" t="str">
        <f t="shared" si="3"/>
        <v>https://svgtext.heliohost.us/cgi-bin/gen.perl?text=Psychiatrists</v>
      </c>
      <c r="G1258" s="11" t="str">
        <f t="shared" si="4"/>
        <v>data:image/svg+xml,%3csvg xmlns='http://www.w3.org/2000/svg' viewBox='0 0 24 216'%3e%3ctext fill='%23fff' style='font: 900 16px sans-serif' text-anchor='end' transform='matrix(0 -1 1 0 18 5)'%3ePsychiatrists%3c/text%3e%3c/svg%3e</v>
      </c>
      <c r="H1258" s="8" t="s">
        <v>17</v>
      </c>
      <c r="I1258" s="8">
        <f t="shared" ref="I1258:J1258" si="1259">len(B1258)</f>
        <v>13</v>
      </c>
      <c r="J1258" s="8">
        <f t="shared" si="1259"/>
        <v>33</v>
      </c>
      <c r="K1258" s="8" t="s">
        <v>5444</v>
      </c>
    </row>
    <row r="1259">
      <c r="A1259" s="7" t="b">
        <v>0</v>
      </c>
      <c r="B1259" s="8" t="s">
        <v>5445</v>
      </c>
      <c r="C1259" s="7" t="s">
        <v>5446</v>
      </c>
      <c r="D1259" s="8" t="str">
        <f>Q&amp;$K1259&amp;Q&amp;":{"&amp;Q&amp;$B$2&amp;Q&amp;":"&amp;Q&amp;$B1259&amp;Q&amp;","&amp;Q&amp;$C$2&amp;Q&amp;":"&amp;Q&amp;$C1259&amp;Q&amp;","&amp;Q&amp;"sets"&amp;Q&amp;":"&amp;Q&amp;substitute(SUBSTITUTE($H1259,"[",""),"]","")&amp;Q&amp;"},"</f>
        <v>"ndgn":{"label":"Psychics","extra":"The Psychic Friends Network went bankrupt in 1997. Perhaps they should have seen it coming…","sets":"Expansion Set 1, Party Set"},</v>
      </c>
      <c r="E1259" s="9" t="str">
        <f t="shared" si="2"/>
        <v>data:image/svg+xml,%3csvg xmlns='http://www.w3.org/2000/svg' viewBox='0 0 24 216'%3e%3ctext fill='%23fff' style='font: 900 16px sans-serif' text-anchor='end' transform='matrix(0 -1 1 0 18 5)'%3ePsychics%3c/text%3e%3c/svg%3e</v>
      </c>
      <c r="F1259" s="14" t="str">
        <f t="shared" si="3"/>
        <v>https://svgtext.heliohost.us/cgi-bin/gen.perl?text=Psychics</v>
      </c>
      <c r="G1259" s="11" t="str">
        <f t="shared" si="4"/>
        <v>data:image/svg+xml,%3csvg xmlns='http://www.w3.org/2000/svg' viewBox='0 0 24 216'%3e%3ctext fill='%23fff' style='font: 900 16px sans-serif' text-anchor='end' transform='matrix(0 -1 1 0 18 5)'%3ePsychics%3c/text%3e%3c/svg%3e</v>
      </c>
      <c r="H1259" s="8" t="s">
        <v>25</v>
      </c>
      <c r="I1259" s="8">
        <f t="shared" ref="I1259:J1259" si="1260">len(B1259)</f>
        <v>8</v>
      </c>
      <c r="J1259" s="8">
        <f t="shared" si="1260"/>
        <v>91</v>
      </c>
      <c r="K1259" s="8" t="s">
        <v>5447</v>
      </c>
    </row>
    <row r="1260">
      <c r="A1260" s="7" t="b">
        <v>0</v>
      </c>
      <c r="B1260" s="8" t="s">
        <v>5448</v>
      </c>
      <c r="C1260" s="7" t="s">
        <v>5449</v>
      </c>
      <c r="D1260" s="8" t="str">
        <f>Q&amp;$K1260&amp;Q&amp;":{"&amp;Q&amp;$B$2&amp;Q&amp;":"&amp;Q&amp;$B1260&amp;Q&amp;","&amp;Q&amp;$C$2&amp;Q&amp;":"&amp;Q&amp;$C1260&amp;Q&amp;","&amp;Q&amp;"sets"&amp;Q&amp;":"&amp;Q&amp;substitute(SUBSTITUTE($H1260,"[",""),"]","")&amp;Q&amp;"},"</f>
        <v>"wlng":{"label":"Public Radio","extra":"“Good morning….. This morning…………we have Wolfgang… Amadeus Mozart… for your listening pleasure…”","sets":"Basic Set, Party Set"},</v>
      </c>
      <c r="E1260" s="9" t="str">
        <f t="shared" si="2"/>
        <v>data:image/svg+xml,%3csvg xmlns='http://www.w3.org/2000/svg' viewBox='0 0 24 216'%3e%3ctext fill='%23fff' style='font: 900 16px sans-serif' text-anchor='end' transform='matrix(0 -1 1 0 18 5)'%3ePublic Radio%3c/text%3e%3c/svg%3e</v>
      </c>
      <c r="F1260" s="14" t="str">
        <f t="shared" si="3"/>
        <v>https://svgtext.heliohost.us/cgi-bin/gen.perl?text=Public%20Radio</v>
      </c>
      <c r="G1260" s="11" t="str">
        <f t="shared" si="4"/>
        <v>data:image/svg+xml,%3csvg xmlns='http://www.w3.org/2000/svg' viewBox='0 0 24 216'%3e%3ctext fill='%23fff' style='font: 900 16px sans-serif' text-anchor='end' transform='matrix(0 -1 1 0 18 5)'%3ePublic Radio%3c/text%3e%3c/svg%3e</v>
      </c>
      <c r="H1260" s="8" t="s">
        <v>29</v>
      </c>
      <c r="I1260" s="8">
        <f t="shared" ref="I1260:J1260" si="1261">len(B1260)</f>
        <v>12</v>
      </c>
      <c r="J1260" s="8">
        <f t="shared" si="1261"/>
        <v>96</v>
      </c>
      <c r="K1260" s="8" t="s">
        <v>5450</v>
      </c>
    </row>
    <row r="1261">
      <c r="A1261" s="7" t="b">
        <v>0</v>
      </c>
      <c r="B1261" s="8" t="s">
        <v>5451</v>
      </c>
      <c r="C1261" s="7" t="s">
        <v>5452</v>
      </c>
      <c r="D1261" s="8" t="str">
        <f>Q&amp;$K1261&amp;Q&amp;":{"&amp;Q&amp;$B$2&amp;Q&amp;":"&amp;Q&amp;$B1261&amp;Q&amp;","&amp;Q&amp;$C$2&amp;Q&amp;":"&amp;Q&amp;$C1261&amp;Q&amp;","&amp;Q&amp;"sets"&amp;Q&amp;":"&amp;Q&amp;substitute(SUBSTITUTE($H1261,"[",""),"]","")&amp;Q&amp;"},"</f>
        <v>"nqsw":{"label":"Puff Daddy","extra":"1971-, American rap artist. “I'll be Missing You” shot him to stardom; no pun intended.","sets":"Basic Set, Party Set"},</v>
      </c>
      <c r="E1261" s="9" t="str">
        <f t="shared" si="2"/>
        <v>data:image/svg+xml,%3csvg xmlns='http://www.w3.org/2000/svg' viewBox='0 0 24 216'%3e%3ctext fill='%23fff' style='font: 900 16px sans-serif' text-anchor='end' transform='matrix(0 -1 1 0 18 5)'%3ePuff Daddy%3c/text%3e%3c/svg%3e</v>
      </c>
      <c r="F1261" s="14" t="str">
        <f t="shared" si="3"/>
        <v>https://svgtext.heliohost.us/cgi-bin/gen.perl?text=Puff%20Daddy</v>
      </c>
      <c r="G1261" s="11" t="str">
        <f t="shared" si="4"/>
        <v>data:image/svg+xml,%3csvg xmlns='http://www.w3.org/2000/svg' viewBox='0 0 24 216'%3e%3ctext fill='%23fff' style='font: 900 16px sans-serif' text-anchor='end' transform='matrix(0 -1 1 0 18 5)'%3ePuff Daddy%3c/text%3e%3c/svg%3e</v>
      </c>
      <c r="H1261" s="8" t="s">
        <v>29</v>
      </c>
      <c r="I1261" s="8">
        <f t="shared" ref="I1261:J1261" si="1262">len(B1261)</f>
        <v>10</v>
      </c>
      <c r="J1261" s="8">
        <f t="shared" si="1262"/>
        <v>87</v>
      </c>
      <c r="K1261" s="8" t="s">
        <v>5453</v>
      </c>
    </row>
    <row r="1262">
      <c r="A1262" s="7" t="b">
        <v>1</v>
      </c>
      <c r="B1262" s="8" t="s">
        <v>5454</v>
      </c>
      <c r="C1262" s="7" t="s">
        <v>5455</v>
      </c>
      <c r="D1262" s="8" t="str">
        <f>Q&amp;$K1262&amp;Q&amp;":{"&amp;Q&amp;$B$2&amp;Q&amp;":"&amp;Q&amp;$B1262&amp;Q&amp;","&amp;Q&amp;$C$2&amp;Q&amp;":"&amp;Q&amp;$C1262&amp;Q&amp;","&amp;Q&amp;"sets"&amp;Q&amp;":"&amp;Q&amp;substitute(SUBSTITUTE($H1262,"[",""),"]","")&amp;Q&amp;"},"</f>
        <v>"uyim":{"label":"Pulling Weeds","extra":"It’s either this or chemical warfare.","sets":"Expansion Set 1, Party Set"},</v>
      </c>
      <c r="E1262" s="9" t="str">
        <f t="shared" si="2"/>
        <v>data:image/svg+xml,%3csvg xmlns='http://www.w3.org/2000/svg' viewBox='0 0 24 216'%3e%3ctext fill='%23fff' style='font: 900 16px sans-serif' text-anchor='end' transform='matrix(0 -1 1 0 18 5)'%3ePulling Weeds%3c/text%3e%3c/svg%3e</v>
      </c>
      <c r="F1262" s="14" t="str">
        <f t="shared" si="3"/>
        <v>https://svgtext.heliohost.us/cgi-bin/gen.perl?text=Pulling%20Weeds</v>
      </c>
      <c r="G1262" s="11" t="str">
        <f t="shared" si="4"/>
        <v>data:image/svg+xml,%3csvg xmlns='http://www.w3.org/2000/svg' viewBox='0 0 24 216'%3e%3ctext fill='%23fff' style='font: 900 16px sans-serif' text-anchor='end' transform='matrix(0 -1 1 0 18 5)'%3ePulling Weeds%3c/text%3e%3c/svg%3e</v>
      </c>
      <c r="H1262" s="8" t="s">
        <v>25</v>
      </c>
      <c r="I1262" s="8">
        <f t="shared" ref="I1262:J1262" si="1263">len(B1262)</f>
        <v>13</v>
      </c>
      <c r="J1262" s="8">
        <f t="shared" si="1263"/>
        <v>37</v>
      </c>
      <c r="K1262" s="8" t="s">
        <v>5456</v>
      </c>
    </row>
    <row r="1263">
      <c r="A1263" s="7" t="b">
        <v>0</v>
      </c>
      <c r="B1263" s="8" t="s">
        <v>5454</v>
      </c>
      <c r="C1263" s="8" t="s">
        <v>5457</v>
      </c>
      <c r="D1263" s="8" t="str">
        <f>Q&amp;$K1263&amp;Q&amp;":{"&amp;Q&amp;$B$2&amp;Q&amp;":"&amp;Q&amp;$B1263&amp;Q&amp;","&amp;Q&amp;$C$2&amp;Q&amp;":"&amp;Q&amp;$C1263&amp;Q&amp;","&amp;Q&amp;"sets"&amp;Q&amp;":"&amp;Q&amp;substitute(SUBSTITUTE($H1263,"[",""),"]","")&amp;Q&amp;"},"</f>
        <v>"xzsw":{"label":"Pulling Weeds","extra":"The job nobody likes to do.","sets":"Junior"},</v>
      </c>
      <c r="E1263" s="9" t="str">
        <f t="shared" si="2"/>
        <v>data:image/svg+xml,%3csvg xmlns='http://www.w3.org/2000/svg' viewBox='0 0 24 216'%3e%3ctext fill='%23fff' style='font: 900 16px sans-serif' text-anchor='end' transform='matrix(0 -1 1 0 18 5)'%3ePulling Weeds%3c/text%3e%3c/svg%3e</v>
      </c>
      <c r="F1263" s="14" t="str">
        <f t="shared" si="3"/>
        <v>https://svgtext.heliohost.us/cgi-bin/gen.perl?text=Pulling%20Weeds</v>
      </c>
      <c r="G1263" s="11" t="str">
        <f t="shared" si="4"/>
        <v>data:image/svg+xml,%3csvg xmlns='http://www.w3.org/2000/svg' viewBox='0 0 24 216'%3e%3ctext fill='%23fff' style='font: 900 16px sans-serif' text-anchor='end' transform='matrix(0 -1 1 0 18 5)'%3ePulling Weeds%3c/text%3e%3c/svg%3e</v>
      </c>
      <c r="H1263" s="8" t="s">
        <v>84</v>
      </c>
      <c r="I1263" s="8">
        <f t="shared" ref="I1263:J1263" si="1264">len(B1263)</f>
        <v>13</v>
      </c>
      <c r="J1263" s="8">
        <f t="shared" si="1264"/>
        <v>27</v>
      </c>
      <c r="K1263" s="8" t="s">
        <v>5458</v>
      </c>
    </row>
    <row r="1264">
      <c r="A1264" s="7" t="b">
        <v>0</v>
      </c>
      <c r="B1264" s="8" t="s">
        <v>5459</v>
      </c>
      <c r="C1264" s="8" t="s">
        <v>5460</v>
      </c>
      <c r="D1264" s="8" t="str">
        <f>Q&amp;$K1264&amp;Q&amp;":{"&amp;Q&amp;$B$2&amp;Q&amp;":"&amp;Q&amp;$B1264&amp;Q&amp;","&amp;Q&amp;$C$2&amp;Q&amp;":"&amp;Q&amp;$C1264&amp;Q&amp;","&amp;Q&amp;"sets"&amp;Q&amp;":"&amp;Q&amp;substitute(SUBSTITUTE($H1264,"[",""),"]","")&amp;Q&amp;"},"</f>
        <v>"envl":{"label":"Pumping Iron","extra":"When a great weight needs to be lifted.","sets":"Basic Set, Party Set"},</v>
      </c>
      <c r="E1264" s="9" t="str">
        <f t="shared" si="2"/>
        <v>data:image/svg+xml,%3csvg xmlns='http://www.w3.org/2000/svg' viewBox='0 0 24 216'%3e%3ctext fill='%23fff' style='font: 900 16px sans-serif' text-anchor='end' transform='matrix(0 -1 1 0 18 5)'%3ePumping Iron%3c/text%3e%3c/svg%3e</v>
      </c>
      <c r="F1264" s="14" t="str">
        <f t="shared" si="3"/>
        <v>https://svgtext.heliohost.us/cgi-bin/gen.perl?text=Pumping%20Iron</v>
      </c>
      <c r="G1264" s="11" t="str">
        <f t="shared" si="4"/>
        <v>data:image/svg+xml,%3csvg xmlns='http://www.w3.org/2000/svg' viewBox='0 0 24 216'%3e%3ctext fill='%23fff' style='font: 900 16px sans-serif' text-anchor='end' transform='matrix(0 -1 1 0 18 5)'%3ePumping Iron%3c/text%3e%3c/svg%3e</v>
      </c>
      <c r="H1264" s="8" t="s">
        <v>29</v>
      </c>
      <c r="I1264" s="8">
        <f t="shared" ref="I1264:J1264" si="1265">len(B1264)</f>
        <v>12</v>
      </c>
      <c r="J1264" s="8">
        <f t="shared" si="1265"/>
        <v>39</v>
      </c>
      <c r="K1264" s="8" t="s">
        <v>5461</v>
      </c>
    </row>
    <row r="1265">
      <c r="A1265" s="7" t="b">
        <v>1</v>
      </c>
      <c r="B1265" s="8" t="s">
        <v>5462</v>
      </c>
      <c r="C1265" s="8" t="s">
        <v>5463</v>
      </c>
      <c r="D1265" s="8" t="str">
        <f>Q&amp;$K1265&amp;Q&amp;":{"&amp;Q&amp;$B$2&amp;Q&amp;":"&amp;Q&amp;$B1265&amp;Q&amp;","&amp;Q&amp;$C$2&amp;Q&amp;":"&amp;Q&amp;$C1265&amp;Q&amp;","&amp;Q&amp;"sets"&amp;Q&amp;":"&amp;Q&amp;substitute(SUBSTITUTE($H1265,"[",""),"]","")&amp;Q&amp;"},"</f>
        <v>"{gvn":{"label":"Pumpkins","extra":"Bake it or carve it. Pumpkins are actually a fruit!","sets":"Junior 9+ (1st) &amp; (2nd)"},</v>
      </c>
      <c r="E1265" s="9" t="str">
        <f t="shared" si="2"/>
        <v>data:image/svg+xml,%3csvg xmlns='http://www.w3.org/2000/svg' viewBox='0 0 24 216'%3e%3ctext fill='%23fff' style='font: 900 16px sans-serif' text-anchor='end' transform='matrix(0 -1 1 0 18 5)'%3ePumpkins%3c/text%3e%3c/svg%3e</v>
      </c>
      <c r="F1265" s="14" t="str">
        <f t="shared" si="3"/>
        <v>https://svgtext.heliohost.us/cgi-bin/gen.perl?text=Pumpkins</v>
      </c>
      <c r="G1265" s="11" t="str">
        <f t="shared" si="4"/>
        <v>data:image/svg+xml,%3csvg xmlns='http://www.w3.org/2000/svg' viewBox='0 0 24 216'%3e%3ctext fill='%23fff' style='font: 900 16px sans-serif' text-anchor='end' transform='matrix(0 -1 1 0 18 5)'%3ePumpkins%3c/text%3e%3c/svg%3e</v>
      </c>
      <c r="H1265" s="8" t="s">
        <v>42</v>
      </c>
      <c r="I1265" s="8">
        <f t="shared" ref="I1265:J1265" si="1266">len(B1265)</f>
        <v>8</v>
      </c>
      <c r="J1265" s="8">
        <f t="shared" si="1266"/>
        <v>51</v>
      </c>
      <c r="K1265" s="8" t="s">
        <v>5464</v>
      </c>
    </row>
    <row r="1266">
      <c r="A1266" s="7" t="b">
        <v>1</v>
      </c>
      <c r="B1266" s="8" t="s">
        <v>5465</v>
      </c>
      <c r="C1266" s="8" t="s">
        <v>5466</v>
      </c>
      <c r="D1266" s="8" t="str">
        <f>Q&amp;$K1266&amp;Q&amp;":{"&amp;Q&amp;$B$2&amp;Q&amp;":"&amp;Q&amp;$B1266&amp;Q&amp;","&amp;Q&amp;$C$2&amp;Q&amp;":"&amp;Q&amp;$C1266&amp;Q&amp;","&amp;Q&amp;"sets"&amp;Q&amp;":"&amp;Q&amp;substitute(SUBSTITUTE($H1266,"[",""),"]","")&amp;Q&amp;"},"</f>
        <v>"pfni":{"label":"Puppets","extra":"Finger puppets, hand puppets and string puppets. Kermit the Frog is a rod puppet.","sets":"Junior 9+ (1st) &amp; (2nd)"},</v>
      </c>
      <c r="E1266" s="9" t="str">
        <f t="shared" si="2"/>
        <v>data:image/svg+xml,%3csvg xmlns='http://www.w3.org/2000/svg' viewBox='0 0 24 216'%3e%3ctext fill='%23fff' style='font: 900 16px sans-serif' text-anchor='end' transform='matrix(0 -1 1 0 18 5)'%3ePuppets%3c/text%3e%3c/svg%3e</v>
      </c>
      <c r="F1266" s="14" t="str">
        <f t="shared" si="3"/>
        <v>https://svgtext.heliohost.us/cgi-bin/gen.perl?text=Puppets</v>
      </c>
      <c r="G1266" s="11" t="str">
        <f t="shared" si="4"/>
        <v>data:image/svg+xml,%3csvg xmlns='http://www.w3.org/2000/svg' viewBox='0 0 24 216'%3e%3ctext fill='%23fff' style='font: 900 16px sans-serif' text-anchor='end' transform='matrix(0 -1 1 0 18 5)'%3ePuppets%3c/text%3e%3c/svg%3e</v>
      </c>
      <c r="H1266" s="8" t="s">
        <v>42</v>
      </c>
      <c r="I1266" s="8">
        <f t="shared" ref="I1266:J1266" si="1267">len(B1266)</f>
        <v>7</v>
      </c>
      <c r="J1266" s="8">
        <f t="shared" si="1267"/>
        <v>81</v>
      </c>
      <c r="K1266" s="8" t="s">
        <v>5467</v>
      </c>
    </row>
    <row r="1267">
      <c r="A1267" s="7" t="b">
        <v>1</v>
      </c>
      <c r="B1267" s="8" t="s">
        <v>5468</v>
      </c>
      <c r="C1267" s="7" t="s">
        <v>5469</v>
      </c>
      <c r="D1267" s="8" t="str">
        <f>Q&amp;$K1267&amp;Q&amp;":{"&amp;Q&amp;$B$2&amp;Q&amp;":"&amp;Q&amp;$B1267&amp;Q&amp;","&amp;Q&amp;$C$2&amp;Q&amp;":"&amp;Q&amp;$C1267&amp;Q&amp;","&amp;Q&amp;"sets"&amp;Q&amp;":"&amp;Q&amp;substitute(SUBSTITUTE($H1267,"[",""),"]","")&amp;Q&amp;"},"</f>
        <v>"oxlk":{"label":"Puppies","extra":"Young dogs. They’ll chew on your shoes and bark all night.","sets":"Junior"},</v>
      </c>
      <c r="E1267" s="9" t="str">
        <f t="shared" si="2"/>
        <v>data:image/svg+xml,%3csvg xmlns='http://www.w3.org/2000/svg' viewBox='0 0 24 216'%3e%3ctext fill='%23fff' style='font: 900 16px sans-serif' text-anchor='end' transform='matrix(0 -1 1 0 18 5)'%3ePuppies%3c/text%3e%3c/svg%3e</v>
      </c>
      <c r="F1267" s="14" t="str">
        <f t="shared" si="3"/>
        <v>https://svgtext.heliohost.us/cgi-bin/gen.perl?text=Puppies</v>
      </c>
      <c r="G1267" s="11" t="str">
        <f t="shared" si="4"/>
        <v>data:image/svg+xml,%3csvg xmlns='http://www.w3.org/2000/svg' viewBox='0 0 24 216'%3e%3ctext fill='%23fff' style='font: 900 16px sans-serif' text-anchor='end' transform='matrix(0 -1 1 0 18 5)'%3ePuppies%3c/text%3e%3c/svg%3e</v>
      </c>
      <c r="H1267" s="8" t="s">
        <v>84</v>
      </c>
      <c r="I1267" s="8">
        <f t="shared" ref="I1267:J1267" si="1268">len(B1267)</f>
        <v>7</v>
      </c>
      <c r="J1267" s="8">
        <f t="shared" si="1268"/>
        <v>58</v>
      </c>
      <c r="K1267" s="8" t="s">
        <v>5470</v>
      </c>
    </row>
    <row r="1268">
      <c r="A1268" s="7" t="b">
        <v>0</v>
      </c>
      <c r="B1268" s="8" t="s">
        <v>5471</v>
      </c>
      <c r="C1268" s="7" t="s">
        <v>5472</v>
      </c>
      <c r="D1268" s="8" t="str">
        <f>Q&amp;$K1268&amp;Q&amp;":{"&amp;Q&amp;$B$2&amp;Q&amp;":"&amp;Q&amp;$B1268&amp;Q&amp;","&amp;Q&amp;$C$2&amp;Q&amp;":"&amp;Q&amp;$C1268&amp;Q&amp;","&amp;Q&amp;"sets"&amp;Q&amp;":"&amp;Q&amp;substitute(SUBSTITUTE($H1268,"[",""),"]","")&amp;Q&amp;"},"</f>
        <v>"sfns":{"label":"Pushups","extra":"Exercises, a type of bra, or the ice cream treat.","sets":"Expansion Set 2, Party Set"},</v>
      </c>
      <c r="E1268" s="9" t="str">
        <f t="shared" si="2"/>
        <v>data:image/svg+xml,%3csvg xmlns='http://www.w3.org/2000/svg' viewBox='0 0 24 216'%3e%3ctext fill='%23fff' style='font: 900 16px sans-serif' text-anchor='end' transform='matrix(0 -1 1 0 18 5)'%3ePushups%3c/text%3e%3c/svg%3e</v>
      </c>
      <c r="F1268" s="14" t="str">
        <f t="shared" si="3"/>
        <v>https://svgtext.heliohost.us/cgi-bin/gen.perl?text=Pushups</v>
      </c>
      <c r="G1268" s="11" t="str">
        <f t="shared" si="4"/>
        <v>data:image/svg+xml,%3csvg xmlns='http://www.w3.org/2000/svg' viewBox='0 0 24 216'%3e%3ctext fill='%23fff' style='font: 900 16px sans-serif' text-anchor='end' transform='matrix(0 -1 1 0 18 5)'%3ePushups%3c/text%3e%3c/svg%3e</v>
      </c>
      <c r="H1268" s="8" t="s">
        <v>17</v>
      </c>
      <c r="I1268" s="8">
        <f t="shared" ref="I1268:J1268" si="1269">len(B1268)</f>
        <v>7</v>
      </c>
      <c r="J1268" s="8">
        <f t="shared" si="1269"/>
        <v>49</v>
      </c>
      <c r="K1268" s="8" t="s">
        <v>5473</v>
      </c>
    </row>
    <row r="1269">
      <c r="A1269" s="7" t="b">
        <v>0</v>
      </c>
      <c r="B1269" s="8" t="s">
        <v>5474</v>
      </c>
      <c r="C1269" s="7" t="s">
        <v>5475</v>
      </c>
      <c r="D1269" s="8" t="str">
        <f>Q&amp;$K1269&amp;Q&amp;":{"&amp;Q&amp;$B$2&amp;Q&amp;":"&amp;Q&amp;$B1269&amp;Q&amp;","&amp;Q&amp;$C$2&amp;Q&amp;":"&amp;Q&amp;$C1269&amp;Q&amp;","&amp;Q&amp;"sets"&amp;Q&amp;":"&amp;Q&amp;substitute(SUBSTITUTE($H1269,"[",""),"]","")&amp;Q&amp;"},"</f>
        <v>"qmhu":{"label":"Pyramids","extra":"Built by ancient civilizations, found mainly in Egypt, Guatemala, Honduras, Mexico and Peru. Probably the result of some pyramid scheme.","sets":"Expansion Set 2, Party Set"},</v>
      </c>
      <c r="E1269" s="9" t="str">
        <f t="shared" si="2"/>
        <v>data:image/svg+xml,%3csvg xmlns='http://www.w3.org/2000/svg' viewBox='0 0 24 216'%3e%3ctext fill='%23fff' style='font: 900 16px sans-serif' text-anchor='end' transform='matrix(0 -1 1 0 18 5)'%3ePyramids%3c/text%3e%3c/svg%3e</v>
      </c>
      <c r="F1269" s="14" t="str">
        <f t="shared" si="3"/>
        <v>https://svgtext.heliohost.us/cgi-bin/gen.perl?text=Pyramids</v>
      </c>
      <c r="G1269" s="11" t="str">
        <f t="shared" si="4"/>
        <v>data:image/svg+xml,%3csvg xmlns='http://www.w3.org/2000/svg' viewBox='0 0 24 216'%3e%3ctext fill='%23fff' style='font: 900 16px sans-serif' text-anchor='end' transform='matrix(0 -1 1 0 18 5)'%3ePyramids%3c/text%3e%3c/svg%3e</v>
      </c>
      <c r="H1269" s="8" t="s">
        <v>17</v>
      </c>
      <c r="I1269" s="8">
        <f t="shared" ref="I1269:J1269" si="1270">len(B1269)</f>
        <v>8</v>
      </c>
      <c r="J1269" s="8">
        <f t="shared" si="1270"/>
        <v>136</v>
      </c>
      <c r="K1269" s="8" t="s">
        <v>5476</v>
      </c>
    </row>
    <row r="1270">
      <c r="A1270" s="7" t="b">
        <v>1</v>
      </c>
      <c r="B1270" s="8" t="s">
        <v>5477</v>
      </c>
      <c r="C1270" s="7" t="s">
        <v>5478</v>
      </c>
      <c r="D1270" s="8" t="str">
        <f>Q&amp;$K1270&amp;Q&amp;":{"&amp;Q&amp;$B$2&amp;Q&amp;":"&amp;Q&amp;$B1270&amp;Q&amp;","&amp;Q&amp;$C$2&amp;Q&amp;":"&amp;Q&amp;$C1270&amp;Q&amp;","&amp;Q&amp;"sets"&amp;Q&amp;":"&amp;Q&amp;substitute(SUBSTITUTE($H1270,"[",""),"]","")&amp;Q&amp;"},"</f>
        <v>"stly":{"label":"Queen Elizabeth II","extra":"1926-, Queen of the United Kingdom and Northern Ireland since 1952. Shame about the kids, though…","sets":"Expansion Set 3, Party Expansion 1"},</v>
      </c>
      <c r="E1270" s="9" t="str">
        <f t="shared" si="2"/>
        <v>data:image/svg+xml,%3csvg xmlns='http://www.w3.org/2000/svg' viewBox='0 0 24 216'%3e%3ctext fill='%23fff' style='font: 900 16px sans-serif' text-anchor='end' transform='matrix(0 -1 1 0 18 5)'%3eQueen Elizabeth II%3c/text%3e%3c/svg%3e</v>
      </c>
      <c r="F1270" s="14" t="str">
        <f t="shared" si="3"/>
        <v>https://svgtext.heliohost.us/cgi-bin/gen.perl?text=Queen%20Elizabeth%20II</v>
      </c>
      <c r="G1270" s="11" t="str">
        <f t="shared" si="4"/>
        <v>data:image/svg+xml,%3csvg xmlns='http://www.w3.org/2000/svg' viewBox='0 0 24 216'%3e%3ctext fill='%23fff' style='font: 900 16px sans-serif' text-anchor='end' transform='matrix(0 -1 1 0 18 5)'%3eQueen Elizabeth II%3c/text%3e%3c/svg%3e</v>
      </c>
      <c r="H1270" s="8" t="s">
        <v>39</v>
      </c>
      <c r="I1270" s="8">
        <f t="shared" ref="I1270:J1270" si="1271">len(B1270)</f>
        <v>18</v>
      </c>
      <c r="J1270" s="8">
        <f t="shared" si="1271"/>
        <v>97</v>
      </c>
      <c r="K1270" s="8" t="s">
        <v>5479</v>
      </c>
    </row>
    <row r="1271">
      <c r="A1271" s="7" t="b">
        <v>0</v>
      </c>
      <c r="B1271" s="8" t="s">
        <v>5480</v>
      </c>
      <c r="C1271" s="8" t="s">
        <v>5481</v>
      </c>
      <c r="D1271" s="8" t="str">
        <f>Q&amp;$K1271&amp;Q&amp;":{"&amp;Q&amp;$B$2&amp;Q&amp;":"&amp;Q&amp;$B1271&amp;Q&amp;","&amp;Q&amp;$C$2&amp;Q&amp;":"&amp;Q&amp;$C1271&amp;Q&amp;","&amp;Q&amp;"sets"&amp;Q&amp;":"&amp;Q&amp;substitute(SUBSTITUTE($H1271,"[",""),"]","")&amp;Q&amp;"},"</f>
        <v>"djhb":{"label":"Quentin Terantino","extra":"1963-, Groundbreaking American director and actor. Nice movies, but not nearly enough blood.","sets":"Basic Set, Party Set"},</v>
      </c>
      <c r="E1271" s="9" t="str">
        <f t="shared" si="2"/>
        <v>data:image/svg+xml,%3csvg xmlns='http://www.w3.org/2000/svg' viewBox='0 0 24 216'%3e%3ctext fill='%23fff' style='font: 900 16px sans-serif' text-anchor='end' transform='matrix(0 -1 1 0 18 5)'%3eQuentin Terantino%3c/text%3e%3c/svg%3e</v>
      </c>
      <c r="F1271" s="14" t="str">
        <f t="shared" si="3"/>
        <v>https://svgtext.heliohost.us/cgi-bin/gen.perl?text=Quentin%20Terantino</v>
      </c>
      <c r="G1271" s="11" t="str">
        <f t="shared" si="4"/>
        <v>data:image/svg+xml,%3csvg xmlns='http://www.w3.org/2000/svg' viewBox='0 0 24 216'%3e%3ctext fill='%23fff' style='font: 900 16px sans-serif' text-anchor='end' transform='matrix(0 -1 1 0 18 5)'%3eQuentin Terantino%3c/text%3e%3c/svg%3e</v>
      </c>
      <c r="H1271" s="8" t="s">
        <v>29</v>
      </c>
      <c r="I1271" s="8">
        <f t="shared" ref="I1271:J1271" si="1272">len(B1271)</f>
        <v>17</v>
      </c>
      <c r="J1271" s="8">
        <f t="shared" si="1272"/>
        <v>92</v>
      </c>
      <c r="K1271" s="8" t="s">
        <v>5482</v>
      </c>
    </row>
    <row r="1272">
      <c r="A1272" s="7" t="b">
        <v>0</v>
      </c>
      <c r="B1272" s="8" t="s">
        <v>5483</v>
      </c>
      <c r="C1272" s="7" t="s">
        <v>5484</v>
      </c>
      <c r="D1272" s="8" t="str">
        <f>Q&amp;$K1272&amp;Q&amp;":{"&amp;Q&amp;$B$2&amp;Q&amp;":"&amp;Q&amp;$B1272&amp;Q&amp;","&amp;Q&amp;$C$2&amp;Q&amp;":"&amp;Q&amp;$C1272&amp;Q&amp;","&amp;Q&amp;"sets"&amp;Q&amp;":"&amp;Q&amp;substitute(SUBSTITUTE($H1272,"[",""),"]","")&amp;Q&amp;"},"</f>
        <v>"bra{":{"label":"Quicksand","extra":"Just don’t let it get you down.","sets":"Basic Set, Party Set"},</v>
      </c>
      <c r="E1272" s="9" t="str">
        <f t="shared" si="2"/>
        <v>data:image/svg+xml,%3csvg xmlns='http://www.w3.org/2000/svg' viewBox='0 0 24 216'%3e%3ctext fill='%23fff' style='font: 900 16px sans-serif' text-anchor='end' transform='matrix(0 -1 1 0 18 5)'%3eQuicksand%3c/text%3e%3c/svg%3e</v>
      </c>
      <c r="F1272" s="14" t="str">
        <f t="shared" si="3"/>
        <v>https://svgtext.heliohost.us/cgi-bin/gen.perl?text=Quicksand</v>
      </c>
      <c r="G1272" s="11" t="str">
        <f t="shared" si="4"/>
        <v>data:image/svg+xml,%3csvg xmlns='http://www.w3.org/2000/svg' viewBox='0 0 24 216'%3e%3ctext fill='%23fff' style='font: 900 16px sans-serif' text-anchor='end' transform='matrix(0 -1 1 0 18 5)'%3eQuicksand%3c/text%3e%3c/svg%3e</v>
      </c>
      <c r="H1272" s="8" t="s">
        <v>29</v>
      </c>
      <c r="I1272" s="8">
        <f t="shared" ref="I1272:J1272" si="1273">len(B1272)</f>
        <v>9</v>
      </c>
      <c r="J1272" s="8">
        <f t="shared" si="1273"/>
        <v>31</v>
      </c>
      <c r="K1272" s="8" t="s">
        <v>5485</v>
      </c>
    </row>
    <row r="1273">
      <c r="A1273" s="7" t="b">
        <v>1</v>
      </c>
      <c r="B1273" s="8" t="s">
        <v>5486</v>
      </c>
      <c r="C1273" s="8" t="s">
        <v>5487</v>
      </c>
      <c r="D1273" s="8" t="str">
        <f>Q&amp;$K1273&amp;Q&amp;":{"&amp;Q&amp;$B$2&amp;Q&amp;":"&amp;Q&amp;$B1273&amp;Q&amp;","&amp;Q&amp;$C$2&amp;Q&amp;":"&amp;Q&amp;$C1273&amp;Q&amp;","&amp;Q&amp;"sets"&amp;Q&amp;":"&amp;Q&amp;substitute(SUBSTITUTE($H1273,"[",""),"]","")&amp;Q&amp;"},"</f>
        <v>"zswl":{"label":"R &amp; B","extra":"Rhythm and Blues.","sets":"Expansion Set 4, Party Expansion 1"},</v>
      </c>
      <c r="E1273" s="9" t="str">
        <f t="shared" si="2"/>
        <v>data:image/svg+xml,%3csvg xmlns='http://www.w3.org/2000/svg' viewBox='0 0 24 216'%3e%3ctext fill='%23fff' style='font: 900 16px sans-serif' text-anchor='end' transform='matrix(0 -1 1 0 18 5)'%3eR %26amp%3B B%3c/text%3e%3c/svg%3e</v>
      </c>
      <c r="F1273" s="14" t="str">
        <f t="shared" si="3"/>
        <v>https://svgtext.heliohost.us/cgi-bin/gen.perl?text=R%20%26%20B</v>
      </c>
      <c r="G1273" s="11" t="str">
        <f t="shared" si="4"/>
        <v>data:image/svg+xml,%3csvg xmlns='http://www.w3.org/2000/svg' viewBox='0 0 24 216'%3e%3ctext fill='%23fff' style='font: 900 16px sans-serif' text-anchor='end' transform='matrix(0 -1 1 0 18 5)'%3eR %26amp%3B B%3c/text%3e%3c/svg%3e</v>
      </c>
      <c r="H1273" s="8" t="s">
        <v>63</v>
      </c>
      <c r="I1273" s="8">
        <f t="shared" ref="I1273:J1273" si="1274">len(B1273)</f>
        <v>5</v>
      </c>
      <c r="J1273" s="8">
        <f t="shared" si="1274"/>
        <v>17</v>
      </c>
      <c r="K1273" s="8" t="s">
        <v>5488</v>
      </c>
    </row>
    <row r="1274">
      <c r="A1274" s="7" t="b">
        <v>1</v>
      </c>
      <c r="B1274" s="8" t="s">
        <v>5489</v>
      </c>
      <c r="C1274" s="8" t="s">
        <v>5490</v>
      </c>
      <c r="D1274" s="8" t="str">
        <f>Q&amp;$K1274&amp;Q&amp;":{"&amp;Q&amp;$B$2&amp;Q&amp;":"&amp;Q&amp;$B1274&amp;Q&amp;","&amp;Q&amp;$C$2&amp;Q&amp;":"&amp;Q&amp;$C1274&amp;Q&amp;","&amp;Q&amp;"sets"&amp;Q&amp;":"&amp;Q&amp;substitute(SUBSTITUTE($H1274,"[",""),"]","")&amp;Q&amp;"},"</f>
        <v>"cclu":{"label":"R &amp; D","extra":"Research and Development.","sets":"Expansion Set 4, Party Expansion 1"},</v>
      </c>
      <c r="E1274" s="9" t="str">
        <f t="shared" si="2"/>
        <v>data:image/svg+xml,%3csvg xmlns='http://www.w3.org/2000/svg' viewBox='0 0 24 216'%3e%3ctext fill='%23fff' style='font: 900 16px sans-serif' text-anchor='end' transform='matrix(0 -1 1 0 18 5)'%3eR %26amp%3B D%3c/text%3e%3c/svg%3e</v>
      </c>
      <c r="F1274" s="14" t="str">
        <f t="shared" si="3"/>
        <v>https://svgtext.heliohost.us/cgi-bin/gen.perl?text=R%20%26%20D</v>
      </c>
      <c r="G1274" s="11" t="str">
        <f t="shared" si="4"/>
        <v>data:image/svg+xml,%3csvg xmlns='http://www.w3.org/2000/svg' viewBox='0 0 24 216'%3e%3ctext fill='%23fff' style='font: 900 16px sans-serif' text-anchor='end' transform='matrix(0 -1 1 0 18 5)'%3eR %26amp%3B D%3c/text%3e%3c/svg%3e</v>
      </c>
      <c r="H1274" s="8" t="s">
        <v>63</v>
      </c>
      <c r="I1274" s="8">
        <f t="shared" ref="I1274:J1274" si="1275">len(B1274)</f>
        <v>5</v>
      </c>
      <c r="J1274" s="8">
        <f t="shared" si="1275"/>
        <v>25</v>
      </c>
      <c r="K1274" s="8" t="s">
        <v>5491</v>
      </c>
    </row>
    <row r="1275">
      <c r="A1275" s="7" t="b">
        <v>1</v>
      </c>
      <c r="B1275" s="8" t="s">
        <v>5492</v>
      </c>
      <c r="C1275" s="8" t="s">
        <v>5493</v>
      </c>
      <c r="D1275" s="8" t="str">
        <f>Q&amp;$K1275&amp;Q&amp;":{"&amp;Q&amp;$B$2&amp;Q&amp;":"&amp;Q&amp;$B1275&amp;Q&amp;","&amp;Q&amp;$C$2&amp;Q&amp;":"&amp;Q&amp;$C1275&amp;Q&amp;","&amp;Q&amp;"sets"&amp;Q&amp;":"&amp;Q&amp;substitute(SUBSTITUTE($H1275,"[",""),"]","")&amp;Q&amp;"},"</f>
        <v>"igch":{"label":"R &amp; R","extra":"Rest and relaxation, recreation, or could be recuperation.","sets":"Expansion Set 4, Party Expansion 1"},</v>
      </c>
      <c r="E1275" s="9" t="str">
        <f t="shared" si="2"/>
        <v>data:image/svg+xml,%3csvg xmlns='http://www.w3.org/2000/svg' viewBox='0 0 24 216'%3e%3ctext fill='%23fff' style='font: 900 16px sans-serif' text-anchor='end' transform='matrix(0 -1 1 0 18 5)'%3eR %26amp%3B R%3c/text%3e%3c/svg%3e</v>
      </c>
      <c r="F1275" s="14" t="str">
        <f t="shared" si="3"/>
        <v>https://svgtext.heliohost.us/cgi-bin/gen.perl?text=R%20%26%20R</v>
      </c>
      <c r="G1275" s="11" t="str">
        <f t="shared" si="4"/>
        <v>data:image/svg+xml,%3csvg xmlns='http://www.w3.org/2000/svg' viewBox='0 0 24 216'%3e%3ctext fill='%23fff' style='font: 900 16px sans-serif' text-anchor='end' transform='matrix(0 -1 1 0 18 5)'%3eR %26amp%3B R%3c/text%3e%3c/svg%3e</v>
      </c>
      <c r="H1275" s="8" t="s">
        <v>63</v>
      </c>
      <c r="I1275" s="8">
        <f t="shared" ref="I1275:J1275" si="1276">len(B1275)</f>
        <v>5</v>
      </c>
      <c r="J1275" s="8">
        <f t="shared" si="1276"/>
        <v>58</v>
      </c>
      <c r="K1275" s="8" t="s">
        <v>5494</v>
      </c>
    </row>
    <row r="1276">
      <c r="A1276" s="7" t="b">
        <v>1</v>
      </c>
      <c r="B1276" s="8" t="s">
        <v>5495</v>
      </c>
      <c r="C1276" s="8" t="s">
        <v>5496</v>
      </c>
      <c r="D1276" s="8" t="str">
        <f>Q&amp;$K1276&amp;Q&amp;":{"&amp;Q&amp;$B$2&amp;Q&amp;":"&amp;Q&amp;$B1276&amp;Q&amp;","&amp;Q&amp;$C$2&amp;Q&amp;":"&amp;Q&amp;$C1276&amp;Q&amp;","&amp;Q&amp;"sets"&amp;Q&amp;":"&amp;Q&amp;substitute(SUBSTITUTE($H1276,"[",""),"]","")&amp;Q&amp;"},"</f>
        <v>"fhsa":{"label":"Rabbits","extra":"Small, furry animals with long ears and short, fluffy tails. They like carrots and other vegetables.","sets":"Junior"},</v>
      </c>
      <c r="E1276" s="9" t="str">
        <f t="shared" si="2"/>
        <v>data:image/svg+xml,%3csvg xmlns='http://www.w3.org/2000/svg' viewBox='0 0 24 216'%3e%3ctext fill='%23fff' style='font: 900 16px sans-serif' text-anchor='end' transform='matrix(0 -1 1 0 18 5)'%3eRabbits%3c/text%3e%3c/svg%3e</v>
      </c>
      <c r="F1276" s="14" t="str">
        <f t="shared" si="3"/>
        <v>https://svgtext.heliohost.us/cgi-bin/gen.perl?text=Rabbits</v>
      </c>
      <c r="G1276" s="11" t="str">
        <f t="shared" si="4"/>
        <v>data:image/svg+xml,%3csvg xmlns='http://www.w3.org/2000/svg' viewBox='0 0 24 216'%3e%3ctext fill='%23fff' style='font: 900 16px sans-serif' text-anchor='end' transform='matrix(0 -1 1 0 18 5)'%3eRabbits%3c/text%3e%3c/svg%3e</v>
      </c>
      <c r="H1276" s="8" t="s">
        <v>84</v>
      </c>
      <c r="I1276" s="8">
        <f t="shared" ref="I1276:J1276" si="1277">len(B1276)</f>
        <v>7</v>
      </c>
      <c r="J1276" s="8">
        <f t="shared" si="1277"/>
        <v>100</v>
      </c>
      <c r="K1276" s="8" t="s">
        <v>5497</v>
      </c>
    </row>
    <row r="1277">
      <c r="A1277" s="7" t="b">
        <v>1</v>
      </c>
      <c r="B1277" s="8" t="s">
        <v>5498</v>
      </c>
      <c r="C1277" s="8" t="s">
        <v>5499</v>
      </c>
      <c r="D1277" s="8" t="str">
        <f>Q&amp;$K1277&amp;Q&amp;":{"&amp;Q&amp;$B$2&amp;Q&amp;":"&amp;Q&amp;$B1277&amp;Q&amp;","&amp;Q&amp;$C$2&amp;Q&amp;":"&amp;Q&amp;$C1277&amp;Q&amp;","&amp;Q&amp;"sets"&amp;Q&amp;":"&amp;Q&amp;substitute(SUBSTITUTE($H1277,"[",""),"]","")&amp;Q&amp;"},"</f>
        <v>"khfj":{"label":"Raccoons","extra":"They come out at night. The dark fur around their eyes looks like a mask.","sets":"Junior"},</v>
      </c>
      <c r="E1277" s="9" t="str">
        <f t="shared" si="2"/>
        <v>data:image/svg+xml,%3csvg xmlns='http://www.w3.org/2000/svg' viewBox='0 0 24 216'%3e%3ctext fill='%23fff' style='font: 900 16px sans-serif' text-anchor='end' transform='matrix(0 -1 1 0 18 5)'%3eRaccoons%3c/text%3e%3c/svg%3e</v>
      </c>
      <c r="F1277" s="14" t="str">
        <f t="shared" si="3"/>
        <v>https://svgtext.heliohost.us/cgi-bin/gen.perl?text=Raccoons</v>
      </c>
      <c r="G1277" s="11" t="str">
        <f t="shared" si="4"/>
        <v>data:image/svg+xml,%3csvg xmlns='http://www.w3.org/2000/svg' viewBox='0 0 24 216'%3e%3ctext fill='%23fff' style='font: 900 16px sans-serif' text-anchor='end' transform='matrix(0 -1 1 0 18 5)'%3eRaccoons%3c/text%3e%3c/svg%3e</v>
      </c>
      <c r="H1277" s="8" t="s">
        <v>84</v>
      </c>
      <c r="I1277" s="8">
        <f t="shared" ref="I1277:J1277" si="1278">len(B1277)</f>
        <v>8</v>
      </c>
      <c r="J1277" s="8">
        <f t="shared" si="1278"/>
        <v>73</v>
      </c>
      <c r="K1277" s="8" t="s">
        <v>5500</v>
      </c>
    </row>
    <row r="1278">
      <c r="A1278" s="7" t="b">
        <v>1</v>
      </c>
      <c r="B1278" s="8" t="s">
        <v>5501</v>
      </c>
      <c r="C1278" s="8" t="s">
        <v>5502</v>
      </c>
      <c r="D1278" s="8" t="str">
        <f>Q&amp;$K1278&amp;Q&amp;":{"&amp;Q&amp;$B$2&amp;Q&amp;":"&amp;Q&amp;$B1278&amp;Q&amp;","&amp;Q&amp;$C$2&amp;Q&amp;":"&amp;Q&amp;$C1278&amp;Q&amp;","&amp;Q&amp;"sets"&amp;Q&amp;":"&amp;Q&amp;substitute(SUBSTITUTE($H1278,"[",""),"]","")&amp;Q&amp;"},"</f>
        <v>"snoz":{"label":"Race Car Drivers","extra":"Start your engines!","sets":"Junior 9+ (2nd)"},</v>
      </c>
      <c r="E1278" s="9" t="str">
        <f t="shared" si="2"/>
        <v>data:image/svg+xml,%3csvg xmlns='http://www.w3.org/2000/svg' viewBox='0 0 24 216'%3e%3ctext fill='%23fff' style='font: 900 16px sans-serif' text-anchor='end' transform='matrix(0 -1 1 0 18 5)'%3eRace Car Drivers%3c/text%3e%3c/svg%3e</v>
      </c>
      <c r="F1278" s="14" t="str">
        <f t="shared" si="3"/>
        <v>https://svgtext.heliohost.us/cgi-bin/gen.perl?text=Race%20Car%20Drivers</v>
      </c>
      <c r="G1278" s="11" t="str">
        <f t="shared" si="4"/>
        <v>data:image/svg+xml,%3csvg xmlns='http://www.w3.org/2000/svg' viewBox='0 0 24 216'%3e%3ctext fill='%23fff' style='font: 900 16px sans-serif' text-anchor='end' transform='matrix(0 -1 1 0 18 5)'%3eRace Car Drivers%3c/text%3e%3c/svg%3e</v>
      </c>
      <c r="H1278" s="8" t="s">
        <v>32</v>
      </c>
      <c r="I1278" s="8">
        <f t="shared" ref="I1278:J1278" si="1279">len(B1278)</f>
        <v>16</v>
      </c>
      <c r="J1278" s="8">
        <f t="shared" si="1279"/>
        <v>19</v>
      </c>
      <c r="K1278" s="8" t="s">
        <v>5503</v>
      </c>
    </row>
    <row r="1279">
      <c r="A1279" s="7" t="b">
        <v>1</v>
      </c>
      <c r="B1279" s="8" t="s">
        <v>5504</v>
      </c>
      <c r="C1279" s="8" t="s">
        <v>5505</v>
      </c>
      <c r="D1279" s="8" t="str">
        <f>Q&amp;$K1279&amp;Q&amp;":{"&amp;Q&amp;$B$2&amp;Q&amp;":"&amp;Q&amp;$B1279&amp;Q&amp;","&amp;Q&amp;$C$2&amp;Q&amp;":"&amp;Q&amp;$C1279&amp;Q&amp;","&amp;Q&amp;"sets"&amp;Q&amp;":"&amp;Q&amp;substitute(SUBSTITUTE($H1279,"[",""),"]","")&amp;Q&amp;"},"</f>
        <v>"klfh":{"label":"Radios","extra":"In the 1940s, before television, families gathered together to listen to the radio.","sets":"Junior 9+ (1st) &amp; (2nd)"},</v>
      </c>
      <c r="E1279" s="9" t="str">
        <f t="shared" si="2"/>
        <v>data:image/svg+xml,%3csvg xmlns='http://www.w3.org/2000/svg' viewBox='0 0 24 216'%3e%3ctext fill='%23fff' style='font: 900 16px sans-serif' text-anchor='end' transform='matrix(0 -1 1 0 18 5)'%3eRadios%3c/text%3e%3c/svg%3e</v>
      </c>
      <c r="F1279" s="14" t="str">
        <f t="shared" si="3"/>
        <v>https://svgtext.heliohost.us/cgi-bin/gen.perl?text=Radios</v>
      </c>
      <c r="G1279" s="11" t="str">
        <f t="shared" si="4"/>
        <v>data:image/svg+xml,%3csvg xmlns='http://www.w3.org/2000/svg' viewBox='0 0 24 216'%3e%3ctext fill='%23fff' style='font: 900 16px sans-serif' text-anchor='end' transform='matrix(0 -1 1 0 18 5)'%3eRadios%3c/text%3e%3c/svg%3e</v>
      </c>
      <c r="H1279" s="8" t="s">
        <v>42</v>
      </c>
      <c r="I1279" s="8">
        <f t="shared" ref="I1279:J1279" si="1280">len(B1279)</f>
        <v>6</v>
      </c>
      <c r="J1279" s="8">
        <f t="shared" si="1280"/>
        <v>83</v>
      </c>
      <c r="K1279" s="8" t="s">
        <v>5506</v>
      </c>
    </row>
    <row r="1280">
      <c r="A1280" s="7" t="b">
        <v>1</v>
      </c>
      <c r="B1280" s="8" t="s">
        <v>5507</v>
      </c>
      <c r="C1280" s="7" t="s">
        <v>5508</v>
      </c>
      <c r="D1280" s="8" t="str">
        <f>Q&amp;$K1280&amp;Q&amp;":{"&amp;Q&amp;$B$2&amp;Q&amp;":"&amp;Q&amp;$B1280&amp;Q&amp;","&amp;Q&amp;$C$2&amp;Q&amp;":"&amp;Q&amp;$C1280&amp;Q&amp;","&amp;Q&amp;"sets"&amp;Q&amp;":"&amp;Q&amp;substitute(SUBSTITUTE($H1280,"[",""),"]","")&amp;Q&amp;"},"</f>
        <v>"qjiv":{"label":"Raggedy Ann","extra":"A little red-headed rag doll with a triangle shaped nose.","sets":"Junior"},</v>
      </c>
      <c r="E1280" s="9" t="str">
        <f t="shared" si="2"/>
        <v>data:image/svg+xml,%3csvg xmlns='http://www.w3.org/2000/svg' viewBox='0 0 24 216'%3e%3ctext fill='%23fff' style='font: 900 16px sans-serif' text-anchor='end' transform='matrix(0 -1 1 0 18 5)'%3eRaggedy Ann%3c/text%3e%3c/svg%3e</v>
      </c>
      <c r="F1280" s="14" t="str">
        <f t="shared" si="3"/>
        <v>https://svgtext.heliohost.us/cgi-bin/gen.perl?text=Raggedy%20Ann</v>
      </c>
      <c r="G1280" s="11" t="str">
        <f t="shared" si="4"/>
        <v>data:image/svg+xml,%3csvg xmlns='http://www.w3.org/2000/svg' viewBox='0 0 24 216'%3e%3ctext fill='%23fff' style='font: 900 16px sans-serif' text-anchor='end' transform='matrix(0 -1 1 0 18 5)'%3eRaggedy Ann%3c/text%3e%3c/svg%3e</v>
      </c>
      <c r="H1280" s="8" t="s">
        <v>84</v>
      </c>
      <c r="I1280" s="8">
        <f t="shared" ref="I1280:J1280" si="1281">len(B1280)</f>
        <v>11</v>
      </c>
      <c r="J1280" s="8">
        <f t="shared" si="1281"/>
        <v>57</v>
      </c>
      <c r="K1280" s="8" t="s">
        <v>5509</v>
      </c>
    </row>
    <row r="1281">
      <c r="A1281" s="7" t="b">
        <v>0</v>
      </c>
      <c r="B1281" s="8" t="s">
        <v>5510</v>
      </c>
      <c r="C1281" s="7" t="s">
        <v>5511</v>
      </c>
      <c r="D1281" s="8" t="str">
        <f>Q&amp;$K1281&amp;Q&amp;":{"&amp;Q&amp;$B$2&amp;Q&amp;":"&amp;Q&amp;$B1281&amp;Q&amp;","&amp;Q&amp;$C$2&amp;Q&amp;":"&amp;Q&amp;$C1281&amp;Q&amp;","&amp;Q&amp;"sets"&amp;Q&amp;":"&amp;Q&amp;substitute(SUBSTITUTE($H1281,"[",""),"]","")&amp;Q&amp;"},"</f>
        <v>"fblb":{"label":"Ragweed","extra":"A weed of the genus Ambrosia. Nothing to sneeze at.","sets":"Expansion Set 2, Party Set"},</v>
      </c>
      <c r="E1281" s="9" t="str">
        <f t="shared" si="2"/>
        <v>data:image/svg+xml,%3csvg xmlns='http://www.w3.org/2000/svg' viewBox='0 0 24 216'%3e%3ctext fill='%23fff' style='font: 900 16px sans-serif' text-anchor='end' transform='matrix(0 -1 1 0 18 5)'%3eRagweed%3c/text%3e%3c/svg%3e</v>
      </c>
      <c r="F1281" s="14" t="str">
        <f t="shared" si="3"/>
        <v>https://svgtext.heliohost.us/cgi-bin/gen.perl?text=Ragweed</v>
      </c>
      <c r="G1281" s="11" t="str">
        <f t="shared" si="4"/>
        <v>data:image/svg+xml,%3csvg xmlns='http://www.w3.org/2000/svg' viewBox='0 0 24 216'%3e%3ctext fill='%23fff' style='font: 900 16px sans-serif' text-anchor='end' transform='matrix(0 -1 1 0 18 5)'%3eRagweed%3c/text%3e%3c/svg%3e</v>
      </c>
      <c r="H1281" s="8" t="s">
        <v>17</v>
      </c>
      <c r="I1281" s="8">
        <f t="shared" ref="I1281:J1281" si="1282">len(B1281)</f>
        <v>7</v>
      </c>
      <c r="J1281" s="8">
        <f t="shared" si="1282"/>
        <v>51</v>
      </c>
      <c r="K1281" s="8" t="s">
        <v>5512</v>
      </c>
    </row>
    <row r="1282">
      <c r="A1282" s="7" t="b">
        <v>1</v>
      </c>
      <c r="B1282" s="8" t="s">
        <v>5513</v>
      </c>
      <c r="C1282" s="7" t="s">
        <v>5514</v>
      </c>
      <c r="D1282" s="8" t="str">
        <f>Q&amp;$K1282&amp;Q&amp;":{"&amp;Q&amp;$B$2&amp;Q&amp;":"&amp;Q&amp;$B1282&amp;Q&amp;","&amp;Q&amp;$C$2&amp;Q&amp;":"&amp;Q&amp;$C1282&amp;Q&amp;","&amp;Q&amp;"sets"&amp;Q&amp;":"&amp;Q&amp;substitute(SUBSTITUTE($H1282,"[",""),"]","")&amp;Q&amp;"},"</f>
        <v>"yske":{"label":"Rain","extra":"“When the rain comes, they run and hide their heads; they might as well be dead.” —The Beatles","sets":"Basic Set, Party Set"},</v>
      </c>
      <c r="E1282" s="9" t="str">
        <f t="shared" si="2"/>
        <v>data:image/svg+xml,%3csvg xmlns='http://www.w3.org/2000/svg' viewBox='0 0 24 216'%3e%3ctext fill='%23fff' style='font: 900 16px sans-serif' text-anchor='end' transform='matrix(0 -1 1 0 18 5)'%3eRain%3c/text%3e%3c/svg%3e</v>
      </c>
      <c r="F1282" s="14" t="str">
        <f t="shared" si="3"/>
        <v>https://svgtext.heliohost.us/cgi-bin/gen.perl?text=Rain</v>
      </c>
      <c r="G1282" s="11" t="str">
        <f t="shared" si="4"/>
        <v>data:image/svg+xml,%3csvg xmlns='http://www.w3.org/2000/svg' viewBox='0 0 24 216'%3e%3ctext fill='%23fff' style='font: 900 16px sans-serif' text-anchor='end' transform='matrix(0 -1 1 0 18 5)'%3eRain%3c/text%3e%3c/svg%3e</v>
      </c>
      <c r="H1282" s="8" t="s">
        <v>29</v>
      </c>
      <c r="I1282" s="8">
        <f t="shared" ref="I1282:J1282" si="1283">len(B1282)</f>
        <v>4</v>
      </c>
      <c r="J1282" s="8">
        <f t="shared" si="1283"/>
        <v>94</v>
      </c>
      <c r="K1282" s="8" t="s">
        <v>5515</v>
      </c>
    </row>
    <row r="1283">
      <c r="A1283" s="7" t="b">
        <v>0</v>
      </c>
      <c r="B1283" s="8" t="s">
        <v>5513</v>
      </c>
      <c r="C1283" s="7" t="s">
        <v>5516</v>
      </c>
      <c r="D1283" s="8" t="str">
        <f>Q&amp;$K1283&amp;Q&amp;":{"&amp;Q&amp;$B$2&amp;Q&amp;":"&amp;Q&amp;$B1283&amp;Q&amp;","&amp;Q&amp;$C$2&amp;Q&amp;":"&amp;Q&amp;$C1283&amp;Q&amp;","&amp;Q&amp;"sets"&amp;Q&amp;":"&amp;Q&amp;substitute(SUBSTITUTE($H1283,"[",""),"]","")&amp;Q&amp;"},"</f>
        <v>"tscs":{"label":"Rain","extra":"“Rain, rain, go away, come again another day.”","sets":"Junior 9+ (1st) &amp; (2nd)"},</v>
      </c>
      <c r="E1283" s="9" t="str">
        <f t="shared" si="2"/>
        <v>data:image/svg+xml,%3csvg xmlns='http://www.w3.org/2000/svg' viewBox='0 0 24 216'%3e%3ctext fill='%23fff' style='font: 900 16px sans-serif' text-anchor='end' transform='matrix(0 -1 1 0 18 5)'%3eRain%3c/text%3e%3c/svg%3e</v>
      </c>
      <c r="F1283" s="14" t="str">
        <f t="shared" si="3"/>
        <v>https://svgtext.heliohost.us/cgi-bin/gen.perl?text=Rain</v>
      </c>
      <c r="G1283" s="11" t="str">
        <f t="shared" si="4"/>
        <v>data:image/svg+xml,%3csvg xmlns='http://www.w3.org/2000/svg' viewBox='0 0 24 216'%3e%3ctext fill='%23fff' style='font: 900 16px sans-serif' text-anchor='end' transform='matrix(0 -1 1 0 18 5)'%3eRain%3c/text%3e%3c/svg%3e</v>
      </c>
      <c r="H1283" s="8" t="s">
        <v>42</v>
      </c>
      <c r="I1283" s="8">
        <f t="shared" ref="I1283:J1283" si="1284">len(B1283)</f>
        <v>4</v>
      </c>
      <c r="J1283" s="8">
        <f t="shared" si="1284"/>
        <v>46</v>
      </c>
      <c r="K1283" s="8" t="s">
        <v>5517</v>
      </c>
    </row>
    <row r="1284">
      <c r="A1284" s="7" t="b">
        <v>1</v>
      </c>
      <c r="B1284" s="8" t="s">
        <v>5518</v>
      </c>
      <c r="C1284" s="8" t="s">
        <v>5519</v>
      </c>
      <c r="D1284" s="8" t="str">
        <f>Q&amp;$K1284&amp;Q&amp;":{"&amp;Q&amp;$B$2&amp;Q&amp;":"&amp;Q&amp;$B1284&amp;Q&amp;","&amp;Q&amp;$C$2&amp;Q&amp;":"&amp;Q&amp;$C1284&amp;Q&amp;","&amp;Q&amp;"sets"&amp;Q&amp;":"&amp;Q&amp;substitute(SUBSTITUTE($H1284,"[",""),"]","")&amp;Q&amp;"},"</f>
        <v>"tu{j":{"label":"Rain Forests","extra":"There is heavy rainfall throughout the year and lots of bugs.","sets":"Junior 9+ (2nd)"},</v>
      </c>
      <c r="E1284" s="9" t="str">
        <f t="shared" si="2"/>
        <v>data:image/svg+xml,%3csvg xmlns='http://www.w3.org/2000/svg' viewBox='0 0 24 216'%3e%3ctext fill='%23fff' style='font: 900 16px sans-serif' text-anchor='end' transform='matrix(0 -1 1 0 18 5)'%3eRain Forests%3c/text%3e%3c/svg%3e</v>
      </c>
      <c r="F1284" s="14" t="str">
        <f t="shared" si="3"/>
        <v>https://svgtext.heliohost.us/cgi-bin/gen.perl?text=Rain%20Forests</v>
      </c>
      <c r="G1284" s="11" t="str">
        <f t="shared" si="4"/>
        <v>data:image/svg+xml,%3csvg xmlns='http://www.w3.org/2000/svg' viewBox='0 0 24 216'%3e%3ctext fill='%23fff' style='font: 900 16px sans-serif' text-anchor='end' transform='matrix(0 -1 1 0 18 5)'%3eRain Forests%3c/text%3e%3c/svg%3e</v>
      </c>
      <c r="H1284" s="8" t="s">
        <v>32</v>
      </c>
      <c r="I1284" s="8">
        <f t="shared" ref="I1284:J1284" si="1285">len(B1284)</f>
        <v>12</v>
      </c>
      <c r="J1284" s="8">
        <f t="shared" si="1285"/>
        <v>61</v>
      </c>
      <c r="K1284" s="8" t="s">
        <v>5520</v>
      </c>
    </row>
    <row r="1285">
      <c r="A1285" s="7" t="b">
        <v>1</v>
      </c>
      <c r="B1285" s="8" t="s">
        <v>5521</v>
      </c>
      <c r="C1285" s="7" t="s">
        <v>5522</v>
      </c>
      <c r="D1285" s="8" t="str">
        <f>Q&amp;$K1285&amp;Q&amp;":{"&amp;Q&amp;$B$2&amp;Q&amp;":"&amp;Q&amp;$B1285&amp;Q&amp;","&amp;Q&amp;$C$2&amp;Q&amp;":"&amp;Q&amp;$C1285&amp;Q&amp;","&amp;Q&amp;"sets"&amp;Q&amp;":"&amp;Q&amp;substitute(SUBSTITUTE($H1285,"[",""),"]","")&amp;Q&amp;"},"</f>
        <v>"hvdc":{"label":"Rainbows","extra":"“Someday we’ll find it / The Rainbow Connection / The lovers, the dreamers and me…” —Kermit the Frog","sets":"Expansion Set 1, Party Set"},</v>
      </c>
      <c r="E1285" s="9" t="str">
        <f t="shared" si="2"/>
        <v>data:image/svg+xml,%3csvg xmlns='http://www.w3.org/2000/svg' viewBox='0 0 24 216'%3e%3ctext fill='%23fff' style='font: 900 16px sans-serif' text-anchor='end' transform='matrix(0 -1 1 0 18 5)'%3eRainbows%3c/text%3e%3c/svg%3e</v>
      </c>
      <c r="F1285" s="14" t="str">
        <f t="shared" si="3"/>
        <v>https://svgtext.heliohost.us/cgi-bin/gen.perl?text=Rainbows</v>
      </c>
      <c r="G1285" s="11" t="str">
        <f t="shared" si="4"/>
        <v>data:image/svg+xml,%3csvg xmlns='http://www.w3.org/2000/svg' viewBox='0 0 24 216'%3e%3ctext fill='%23fff' style='font: 900 16px sans-serif' text-anchor='end' transform='matrix(0 -1 1 0 18 5)'%3eRainbows%3c/text%3e%3c/svg%3e</v>
      </c>
      <c r="H1285" s="8" t="s">
        <v>25</v>
      </c>
      <c r="I1285" s="8">
        <f t="shared" ref="I1285:J1285" si="1286">len(B1285)</f>
        <v>8</v>
      </c>
      <c r="J1285" s="8">
        <f t="shared" si="1286"/>
        <v>100</v>
      </c>
      <c r="K1285" s="8" t="s">
        <v>5523</v>
      </c>
    </row>
    <row r="1286">
      <c r="A1286" s="7" t="b">
        <v>0</v>
      </c>
      <c r="B1286" s="8" t="s">
        <v>5521</v>
      </c>
      <c r="C1286" s="8" t="s">
        <v>5524</v>
      </c>
      <c r="D1286" s="8" t="str">
        <f>Q&amp;$K1286&amp;Q&amp;":{"&amp;Q&amp;$B$2&amp;Q&amp;":"&amp;Q&amp;$B1286&amp;Q&amp;","&amp;Q&amp;$C$2&amp;Q&amp;":"&amp;Q&amp;$C1286&amp;Q&amp;","&amp;Q&amp;"sets"&amp;Q&amp;":"&amp;Q&amp;substitute(SUBSTITUTE($H1286,"[",""),"]","")&amp;Q&amp;"},"</f>
        <v>"dttl":{"label":"Rainbows","extra":"There are seven colors in a rainbow: red, orange, yellow, green, blue, indigo, and violet.","sets":"Junior 9+ (1st) &amp; (2nd)"},</v>
      </c>
      <c r="E1286" s="9" t="str">
        <f t="shared" si="2"/>
        <v>data:image/svg+xml,%3csvg xmlns='http://www.w3.org/2000/svg' viewBox='0 0 24 216'%3e%3ctext fill='%23fff' style='font: 900 16px sans-serif' text-anchor='end' transform='matrix(0 -1 1 0 18 5)'%3eRainbows%3c/text%3e%3c/svg%3e</v>
      </c>
      <c r="F1286" s="14" t="str">
        <f t="shared" si="3"/>
        <v>https://svgtext.heliohost.us/cgi-bin/gen.perl?text=Rainbows</v>
      </c>
      <c r="G1286" s="11" t="str">
        <f t="shared" si="4"/>
        <v>data:image/svg+xml,%3csvg xmlns='http://www.w3.org/2000/svg' viewBox='0 0 24 216'%3e%3ctext fill='%23fff' style='font: 900 16px sans-serif' text-anchor='end' transform='matrix(0 -1 1 0 18 5)'%3eRainbows%3c/text%3e%3c/svg%3e</v>
      </c>
      <c r="H1286" s="8" t="s">
        <v>42</v>
      </c>
      <c r="I1286" s="8">
        <f t="shared" ref="I1286:J1286" si="1287">len(B1286)</f>
        <v>8</v>
      </c>
      <c r="J1286" s="8">
        <f t="shared" si="1287"/>
        <v>90</v>
      </c>
      <c r="K1286" s="8" t="s">
        <v>5525</v>
      </c>
    </row>
    <row r="1287">
      <c r="A1287" s="7" t="b">
        <v>1</v>
      </c>
      <c r="B1287" s="8" t="s">
        <v>5526</v>
      </c>
      <c r="C1287" s="7" t="s">
        <v>5527</v>
      </c>
      <c r="D1287" s="8" t="str">
        <f>Q&amp;$K1287&amp;Q&amp;":{"&amp;Q&amp;$B$2&amp;Q&amp;":"&amp;Q&amp;$B1287&amp;Q&amp;","&amp;Q&amp;$C$2&amp;Q&amp;":"&amp;Q&amp;$C1287&amp;Q&amp;","&amp;Q&amp;"sets"&amp;Q&amp;":"&amp;Q&amp;substitute(SUBSTITUTE($H1287,"[",""),"]","")&amp;Q&amp;"},"</f>
        <v>"nskl":{"label":"Raisins","extra":"They’re just dried grapes.","sets":"Junior 9+ (2nd)"},</v>
      </c>
      <c r="E1287" s="9" t="str">
        <f t="shared" si="2"/>
        <v>data:image/svg+xml,%3csvg xmlns='http://www.w3.org/2000/svg' viewBox='0 0 24 216'%3e%3ctext fill='%23fff' style='font: 900 16px sans-serif' text-anchor='end' transform='matrix(0 -1 1 0 18 5)'%3eRaisins%3c/text%3e%3c/svg%3e</v>
      </c>
      <c r="F1287" s="14" t="str">
        <f t="shared" si="3"/>
        <v>https://svgtext.heliohost.us/cgi-bin/gen.perl?text=Raisins</v>
      </c>
      <c r="G1287" s="11" t="str">
        <f t="shared" si="4"/>
        <v>data:image/svg+xml,%3csvg xmlns='http://www.w3.org/2000/svg' viewBox='0 0 24 216'%3e%3ctext fill='%23fff' style='font: 900 16px sans-serif' text-anchor='end' transform='matrix(0 -1 1 0 18 5)'%3eRaisins%3c/text%3e%3c/svg%3e</v>
      </c>
      <c r="H1287" s="8" t="s">
        <v>32</v>
      </c>
      <c r="I1287" s="8">
        <f t="shared" ref="I1287:J1287" si="1288">len(B1287)</f>
        <v>7</v>
      </c>
      <c r="J1287" s="8">
        <f t="shared" si="1288"/>
        <v>26</v>
      </c>
      <c r="K1287" s="8" t="s">
        <v>5528</v>
      </c>
    </row>
    <row r="1288">
      <c r="A1288" s="7" t="b">
        <v>1</v>
      </c>
      <c r="B1288" s="8" t="s">
        <v>5529</v>
      </c>
      <c r="C1288" s="7" t="s">
        <v>5530</v>
      </c>
      <c r="D1288" s="8" t="str">
        <f>Q&amp;$K1288&amp;Q&amp;":{"&amp;Q&amp;$B$2&amp;Q&amp;":"&amp;Q&amp;$B1288&amp;Q&amp;","&amp;Q&amp;$C$2&amp;Q&amp;":"&amp;Q&amp;$C1288&amp;Q&amp;","&amp;Q&amp;"sets"&amp;Q&amp;":"&amp;Q&amp;substitute(SUBSTITUTE($H1288,"[",""),"]","")&amp;Q&amp;"},"</f>
        <v>"blkp":{"label":"Raking Leaves","extra":"Maybe they’ll all just blow away!","sets":"Junior 9+ (2nd)"},</v>
      </c>
      <c r="E1288" s="9" t="str">
        <f t="shared" si="2"/>
        <v>data:image/svg+xml,%3csvg xmlns='http://www.w3.org/2000/svg' viewBox='0 0 24 216'%3e%3ctext fill='%23fff' style='font: 900 16px sans-serif' text-anchor='end' transform='matrix(0 -1 1 0 18 5)'%3eRaking Leaves%3c/text%3e%3c/svg%3e</v>
      </c>
      <c r="F1288" s="14" t="str">
        <f t="shared" si="3"/>
        <v>https://svgtext.heliohost.us/cgi-bin/gen.perl?text=Raking%20Leaves</v>
      </c>
      <c r="G1288" s="11" t="str">
        <f t="shared" si="4"/>
        <v>data:image/svg+xml,%3csvg xmlns='http://www.w3.org/2000/svg' viewBox='0 0 24 216'%3e%3ctext fill='%23fff' style='font: 900 16px sans-serif' text-anchor='end' transform='matrix(0 -1 1 0 18 5)'%3eRaking Leaves%3c/text%3e%3c/svg%3e</v>
      </c>
      <c r="H1288" s="8" t="s">
        <v>32</v>
      </c>
      <c r="I1288" s="8">
        <f t="shared" ref="I1288:J1288" si="1289">len(B1288)</f>
        <v>13</v>
      </c>
      <c r="J1288" s="8">
        <f t="shared" si="1289"/>
        <v>33</v>
      </c>
      <c r="K1288" s="8" t="s">
        <v>5531</v>
      </c>
    </row>
    <row r="1289">
      <c r="A1289" s="7" t="b">
        <v>1</v>
      </c>
      <c r="B1289" s="8" t="s">
        <v>5532</v>
      </c>
      <c r="C1289" s="7" t="s">
        <v>5533</v>
      </c>
      <c r="D1289" s="8" t="str">
        <f>Q&amp;$K1289&amp;Q&amp;":{"&amp;Q&amp;$B$2&amp;Q&amp;":"&amp;Q&amp;$B1289&amp;Q&amp;","&amp;Q&amp;$C$2&amp;Q&amp;":"&amp;Q&amp;$C1289&amp;Q&amp;","&amp;Q&amp;"sets"&amp;Q&amp;":"&amp;Q&amp;substitute(SUBSTITUTE($H1289,"[",""),"]","")&amp;Q&amp;"},"</f>
        <v>"cylo":{"label":"Ramona","extra":"Main character in Beverly Cleary’s “Ramona the Pest” and other books in the series.","sets":"Junior 9+ (1st) &amp; (2nd)"},</v>
      </c>
      <c r="E1289" s="9" t="str">
        <f t="shared" si="2"/>
        <v>data:image/svg+xml,%3csvg xmlns='http://www.w3.org/2000/svg' viewBox='0 0 24 216'%3e%3ctext fill='%23fff' style='font: 900 16px sans-serif' text-anchor='end' transform='matrix(0 -1 1 0 18 5)'%3eRamona%3c/text%3e%3c/svg%3e</v>
      </c>
      <c r="F1289" s="14" t="str">
        <f t="shared" si="3"/>
        <v>https://svgtext.heliohost.us/cgi-bin/gen.perl?text=Ramona</v>
      </c>
      <c r="G1289" s="11" t="str">
        <f t="shared" si="4"/>
        <v>data:image/svg+xml,%3csvg xmlns='http://www.w3.org/2000/svg' viewBox='0 0 24 216'%3e%3ctext fill='%23fff' style='font: 900 16px sans-serif' text-anchor='end' transform='matrix(0 -1 1 0 18 5)'%3eRamona%3c/text%3e%3c/svg%3e</v>
      </c>
      <c r="H1289" s="8" t="s">
        <v>42</v>
      </c>
      <c r="I1289" s="8">
        <f t="shared" ref="I1289:J1289" si="1290">len(B1289)</f>
        <v>6</v>
      </c>
      <c r="J1289" s="8">
        <f t="shared" si="1290"/>
        <v>83</v>
      </c>
      <c r="K1289" s="8" t="s">
        <v>5534</v>
      </c>
    </row>
    <row r="1290">
      <c r="A1290" s="7" t="b">
        <v>0</v>
      </c>
      <c r="B1290" s="8" t="s">
        <v>5535</v>
      </c>
      <c r="C1290" s="8" t="s">
        <v>5536</v>
      </c>
      <c r="D1290" s="8" t="str">
        <f>Q&amp;$K1290&amp;Q&amp;":{"&amp;Q&amp;$B$2&amp;Q&amp;":"&amp;Q&amp;$B1290&amp;Q&amp;","&amp;Q&amp;$C$2&amp;Q&amp;":"&amp;Q&amp;$C1290&amp;Q&amp;","&amp;Q&amp;"sets"&amp;Q&amp;":"&amp;Q&amp;substitute(SUBSTITUTE($H1290,"[",""),"]","")&amp;Q&amp;"},"</f>
        <v>"rvwc":{"label":"Rap Music","extra":"Rap is a popular form of music with a strong beat and rhyming lyrics.","sets":"Junior 9+ (2nd)"},</v>
      </c>
      <c r="E1290" s="9" t="str">
        <f t="shared" si="2"/>
        <v>data:image/svg+xml,%3csvg xmlns='http://www.w3.org/2000/svg' viewBox='0 0 24 216'%3e%3ctext fill='%23fff' style='font: 900 16px sans-serif' text-anchor='end' transform='matrix(0 -1 1 0 18 5)'%3eRap Music%3c/text%3e%3c/svg%3e</v>
      </c>
      <c r="F1290" s="14" t="str">
        <f t="shared" si="3"/>
        <v>https://svgtext.heliohost.us/cgi-bin/gen.perl?text=Rap%20Music</v>
      </c>
      <c r="G1290" s="11" t="str">
        <f t="shared" si="4"/>
        <v>data:image/svg+xml,%3csvg xmlns='http://www.w3.org/2000/svg' viewBox='0 0 24 216'%3e%3ctext fill='%23fff' style='font: 900 16px sans-serif' text-anchor='end' transform='matrix(0 -1 1 0 18 5)'%3eRap Music%3c/text%3e%3c/svg%3e</v>
      </c>
      <c r="H1290" s="8" t="s">
        <v>32</v>
      </c>
      <c r="I1290" s="8">
        <f t="shared" ref="I1290:J1290" si="1291">len(B1290)</f>
        <v>9</v>
      </c>
      <c r="J1290" s="8">
        <f t="shared" si="1291"/>
        <v>69</v>
      </c>
      <c r="K1290" s="8" t="s">
        <v>5537</v>
      </c>
    </row>
    <row r="1291">
      <c r="A1291" s="7" t="b">
        <v>0</v>
      </c>
      <c r="B1291" s="8" t="s">
        <v>5538</v>
      </c>
      <c r="C1291" s="7" t="s">
        <v>5539</v>
      </c>
      <c r="D1291" s="8" t="str">
        <f>Q&amp;$K1291&amp;Q&amp;":{"&amp;Q&amp;$B$2&amp;Q&amp;":"&amp;Q&amp;$B1291&amp;Q&amp;","&amp;Q&amp;$C$2&amp;Q&amp;":"&amp;Q&amp;$C1291&amp;Q&amp;","&amp;Q&amp;"sets"&amp;Q&amp;":"&amp;Q&amp;substitute(SUBSTITUTE($H1291,"[",""),"]","")&amp;Q&amp;"},"</f>
        <v>"elgh":{"label":"Rappers","extra":"PAENTAL ADVISORY EXPLICIT CONTENT Hasn't seemed to hurt sales…","sets":"Basic Set, Party Set"},</v>
      </c>
      <c r="E1291" s="9" t="str">
        <f t="shared" si="2"/>
        <v>data:image/svg+xml,%3csvg xmlns='http://www.w3.org/2000/svg' viewBox='0 0 24 216'%3e%3ctext fill='%23fff' style='font: 900 16px sans-serif' text-anchor='end' transform='matrix(0 -1 1 0 18 5)'%3eRappers%3c/text%3e%3c/svg%3e</v>
      </c>
      <c r="F1291" s="14" t="str">
        <f t="shared" si="3"/>
        <v>https://svgtext.heliohost.us/cgi-bin/gen.perl?text=Rappers</v>
      </c>
      <c r="G1291" s="11" t="str">
        <f t="shared" si="4"/>
        <v>data:image/svg+xml,%3csvg xmlns='http://www.w3.org/2000/svg' viewBox='0 0 24 216'%3e%3ctext fill='%23fff' style='font: 900 16px sans-serif' text-anchor='end' transform='matrix(0 -1 1 0 18 5)'%3eRappers%3c/text%3e%3c/svg%3e</v>
      </c>
      <c r="H1291" s="8" t="s">
        <v>29</v>
      </c>
      <c r="I1291" s="8">
        <f t="shared" ref="I1291:J1291" si="1292">len(B1291)</f>
        <v>7</v>
      </c>
      <c r="J1291" s="8">
        <f t="shared" si="1292"/>
        <v>62</v>
      </c>
      <c r="K1291" s="8" t="s">
        <v>5540</v>
      </c>
    </row>
    <row r="1292">
      <c r="A1292" s="7" t="b">
        <v>1</v>
      </c>
      <c r="B1292" s="8" t="s">
        <v>5541</v>
      </c>
      <c r="C1292" s="8" t="s">
        <v>5542</v>
      </c>
      <c r="D1292" s="8" t="str">
        <f>Q&amp;$K1292&amp;Q&amp;":{"&amp;Q&amp;$B$2&amp;Q&amp;":"&amp;Q&amp;$B1292&amp;Q&amp;","&amp;Q&amp;$C$2&amp;Q&amp;":"&amp;Q&amp;$C1292&amp;Q&amp;","&amp;Q&amp;"sets"&amp;Q&amp;":"&amp;Q&amp;substitute(SUBSTITUTE($H1292,"[",""),"]","")&amp;Q&amp;"},"</f>
        <v>"wqll":{"label":"Rats","extra":"Gray or brown animals that look like very large mice. Usually pet rats are white.","sets":"Junior"},</v>
      </c>
      <c r="E1292" s="9" t="str">
        <f t="shared" si="2"/>
        <v>data:image/svg+xml,%3csvg xmlns='http://www.w3.org/2000/svg' viewBox='0 0 24 216'%3e%3ctext fill='%23fff' style='font: 900 16px sans-serif' text-anchor='end' transform='matrix(0 -1 1 0 18 5)'%3eRats%3c/text%3e%3c/svg%3e</v>
      </c>
      <c r="F1292" s="14" t="str">
        <f t="shared" si="3"/>
        <v>https://svgtext.heliohost.us/cgi-bin/gen.perl?text=Rats</v>
      </c>
      <c r="G1292" s="11" t="str">
        <f t="shared" si="4"/>
        <v>data:image/svg+xml,%3csvg xmlns='http://www.w3.org/2000/svg' viewBox='0 0 24 216'%3e%3ctext fill='%23fff' style='font: 900 16px sans-serif' text-anchor='end' transform='matrix(0 -1 1 0 18 5)'%3eRats%3c/text%3e%3c/svg%3e</v>
      </c>
      <c r="H1292" s="8" t="s">
        <v>84</v>
      </c>
      <c r="I1292" s="8">
        <f t="shared" ref="I1292:J1292" si="1293">len(B1292)</f>
        <v>4</v>
      </c>
      <c r="J1292" s="8">
        <f t="shared" si="1293"/>
        <v>81</v>
      </c>
      <c r="K1292" s="8" t="s">
        <v>5543</v>
      </c>
    </row>
    <row r="1293">
      <c r="A1293" s="7" t="b">
        <v>0</v>
      </c>
      <c r="B1293" s="8" t="s">
        <v>5544</v>
      </c>
      <c r="C1293" s="7" t="s">
        <v>5545</v>
      </c>
      <c r="D1293" s="8" t="str">
        <f>Q&amp;$K1293&amp;Q&amp;":{"&amp;Q&amp;$B$2&amp;Q&amp;":"&amp;Q&amp;$B1293&amp;Q&amp;","&amp;Q&amp;$C$2&amp;Q&amp;":"&amp;Q&amp;$C1293&amp;Q&amp;","&amp;Q&amp;"sets"&amp;Q&amp;":"&amp;Q&amp;substitute(SUBSTITUTE($H1293,"[",""),"]","")&amp;Q&amp;"},"</f>
        <v>"svyx":{"label":"Raves","extra":"Neo-psychadelic all-night dance parties centered around acid house and techno music. All the rave.","sets":"Expansion Set 3, Party Expansion 1"},</v>
      </c>
      <c r="E1293" s="9" t="str">
        <f t="shared" si="2"/>
        <v>data:image/svg+xml,%3csvg xmlns='http://www.w3.org/2000/svg' viewBox='0 0 24 216'%3e%3ctext fill='%23fff' style='font: 900 16px sans-serif' text-anchor='end' transform='matrix(0 -1 1 0 18 5)'%3eRaves%3c/text%3e%3c/svg%3e</v>
      </c>
      <c r="F1293" s="14" t="str">
        <f t="shared" si="3"/>
        <v>https://svgtext.heliohost.us/cgi-bin/gen.perl?text=Raves</v>
      </c>
      <c r="G1293" s="11" t="str">
        <f t="shared" si="4"/>
        <v>data:image/svg+xml,%3csvg xmlns='http://www.w3.org/2000/svg' viewBox='0 0 24 216'%3e%3ctext fill='%23fff' style='font: 900 16px sans-serif' text-anchor='end' transform='matrix(0 -1 1 0 18 5)'%3eRaves%3c/text%3e%3c/svg%3e</v>
      </c>
      <c r="H1293" s="8" t="s">
        <v>39</v>
      </c>
      <c r="I1293" s="8">
        <f t="shared" ref="I1293:J1293" si="1294">len(B1293)</f>
        <v>5</v>
      </c>
      <c r="J1293" s="8">
        <f t="shared" si="1294"/>
        <v>98</v>
      </c>
      <c r="K1293" s="8" t="s">
        <v>5546</v>
      </c>
    </row>
    <row r="1294">
      <c r="A1294" s="7" t="b">
        <v>1</v>
      </c>
      <c r="B1294" s="8" t="s">
        <v>5547</v>
      </c>
      <c r="C1294" s="8" t="s">
        <v>5548</v>
      </c>
      <c r="D1294" s="8" t="str">
        <f>Q&amp;$K1294&amp;Q&amp;":{"&amp;Q&amp;$B$2&amp;Q&amp;":"&amp;Q&amp;$B1294&amp;Q&amp;","&amp;Q&amp;$C$2&amp;Q&amp;":"&amp;Q&amp;$C1294&amp;Q&amp;","&amp;Q&amp;"sets"&amp;Q&amp;":"&amp;Q&amp;substitute(SUBSTITUTE($H1294,"[",""),"]","")&amp;Q&amp;"},"</f>
        <v>"huon":{"label":"Reading &amp; Writing","extra":"Old-fashioned skill, amazingly still useful today.","sets":"Expansion Set 4, Party Expansion 1"},</v>
      </c>
      <c r="E1294" s="9" t="str">
        <f t="shared" si="2"/>
        <v>data:image/svg+xml,%3csvg xmlns='http://www.w3.org/2000/svg' viewBox='0 0 24 216'%3e%3ctext fill='%23fff' style='font: 900 16px sans-serif' text-anchor='end' transform='matrix(0 -1 1 0 18 5)'%3eReading %26amp%3B Writing%3c/text%3e%3c/svg%3e</v>
      </c>
      <c r="F1294" s="14" t="str">
        <f t="shared" si="3"/>
        <v>https://svgtext.heliohost.us/cgi-bin/gen.perl?text=Reading%20%26%20Writing</v>
      </c>
      <c r="G1294" s="11" t="str">
        <f t="shared" si="4"/>
        <v>data:image/svg+xml,%3csvg xmlns='http://www.w3.org/2000/svg' viewBox='0 0 24 216'%3e%3ctext fill='%23fff' style='font: 900 16px sans-serif' text-anchor='end' transform='matrix(0 -1 1 0 18 5)'%3eReading %26amp%3B Writing%3c/text%3e%3c/svg%3e</v>
      </c>
      <c r="H1294" s="8" t="s">
        <v>63</v>
      </c>
      <c r="I1294" s="8">
        <f t="shared" ref="I1294:J1294" si="1295">len(B1294)</f>
        <v>17</v>
      </c>
      <c r="J1294" s="8">
        <f t="shared" si="1295"/>
        <v>50</v>
      </c>
      <c r="K1294" s="8" t="s">
        <v>5549</v>
      </c>
    </row>
    <row r="1295">
      <c r="A1295" s="7" t="b">
        <v>1</v>
      </c>
      <c r="B1295" s="8" t="s">
        <v>5550</v>
      </c>
      <c r="C1295" s="8" t="s">
        <v>5551</v>
      </c>
      <c r="D1295" s="8" t="str">
        <f>Q&amp;$K1295&amp;Q&amp;":{"&amp;Q&amp;$B$2&amp;Q&amp;":"&amp;Q&amp;$B1295&amp;Q&amp;","&amp;Q&amp;$C$2&amp;Q&amp;":"&amp;Q&amp;$C1295&amp;Q&amp;","&amp;Q&amp;"sets"&amp;Q&amp;":"&amp;Q&amp;substitute(SUBSTITUTE($H1295,"[",""),"]","")&amp;Q&amp;"},"</f>
        <v>"wxwr":{"label":"Reading A Book","extra":"A good book is like traveling to a new world.","sets":"Junior"},</v>
      </c>
      <c r="E1295" s="9" t="str">
        <f t="shared" si="2"/>
        <v>data:image/svg+xml,%3csvg xmlns='http://www.w3.org/2000/svg' viewBox='0 0 24 216'%3e%3ctext fill='%23fff' style='font: 900 16px sans-serif' text-anchor='end' transform='matrix(0 -1 1 0 18 5)'%3eReading A Book%3c/text%3e%3c/svg%3e</v>
      </c>
      <c r="F1295" s="14" t="str">
        <f t="shared" si="3"/>
        <v>https://svgtext.heliohost.us/cgi-bin/gen.perl?text=Reading%20A%20Book</v>
      </c>
      <c r="G1295" s="11" t="str">
        <f t="shared" si="4"/>
        <v>data:image/svg+xml,%3csvg xmlns='http://www.w3.org/2000/svg' viewBox='0 0 24 216'%3e%3ctext fill='%23fff' style='font: 900 16px sans-serif' text-anchor='end' transform='matrix(0 -1 1 0 18 5)'%3eReading A Book%3c/text%3e%3c/svg%3e</v>
      </c>
      <c r="H1295" s="8" t="s">
        <v>84</v>
      </c>
      <c r="I1295" s="8">
        <f t="shared" ref="I1295:J1295" si="1296">len(B1295)</f>
        <v>14</v>
      </c>
      <c r="J1295" s="8">
        <f t="shared" si="1296"/>
        <v>45</v>
      </c>
      <c r="K1295" s="8" t="s">
        <v>5552</v>
      </c>
    </row>
    <row r="1296">
      <c r="A1296" s="7" t="b">
        <v>0</v>
      </c>
      <c r="B1296" s="8" t="s">
        <v>5553</v>
      </c>
      <c r="C1296" s="8" t="s">
        <v>5554</v>
      </c>
      <c r="D1296" s="8" t="str">
        <f>Q&amp;$K1296&amp;Q&amp;":{"&amp;Q&amp;$B$2&amp;Q&amp;":"&amp;Q&amp;$B1296&amp;Q&amp;","&amp;Q&amp;$C$2&amp;Q&amp;":"&amp;Q&amp;$C1296&amp;Q&amp;","&amp;Q&amp;"sets"&amp;Q&amp;":"&amp;Q&amp;substitute(SUBSTITUTE($H1296,"[",""),"]","")&amp;Q&amp;"},"</f>
        <v>"tjod":{"label":"Reading A Good Book","extra":"So many books, so little time.","sets":"Expansion Set 1, Party Set"},</v>
      </c>
      <c r="E1296" s="9" t="str">
        <f t="shared" si="2"/>
        <v>data:image/svg+xml,%3csvg xmlns='http://www.w3.org/2000/svg' viewBox='0 0 24 216'%3e%3ctext fill='%23fff' style='font: 900 16px sans-serif' text-anchor='end' transform='matrix(0 -1 1 0 18 5)'%3eReading A Good Book%3c/text%3e%3c/svg%3e</v>
      </c>
      <c r="F1296" s="14" t="str">
        <f t="shared" si="3"/>
        <v>https://svgtext.heliohost.us/cgi-bin/gen.perl?text=Reading%20A%20Good%20Book</v>
      </c>
      <c r="G1296" s="11" t="str">
        <f t="shared" si="4"/>
        <v>data:image/svg+xml,%3csvg xmlns='http://www.w3.org/2000/svg' viewBox='0 0 24 216'%3e%3ctext fill='%23fff' style='font: 900 16px sans-serif' text-anchor='end' transform='matrix(0 -1 1 0 18 5)'%3eReading A Good Book%3c/text%3e%3c/svg%3e</v>
      </c>
      <c r="H1296" s="8" t="s">
        <v>25</v>
      </c>
      <c r="I1296" s="8">
        <f t="shared" ref="I1296:J1296" si="1297">len(B1296)</f>
        <v>19</v>
      </c>
      <c r="J1296" s="8">
        <f t="shared" si="1297"/>
        <v>30</v>
      </c>
      <c r="K1296" s="8" t="s">
        <v>5555</v>
      </c>
    </row>
    <row r="1297">
      <c r="A1297" s="7" t="b">
        <v>1</v>
      </c>
      <c r="B1297" s="8" t="s">
        <v>5556</v>
      </c>
      <c r="C1297" s="8" t="s">
        <v>5557</v>
      </c>
      <c r="D1297" s="8" t="str">
        <f>Q&amp;$K1297&amp;Q&amp;":{"&amp;Q&amp;$B$2&amp;Q&amp;":"&amp;Q&amp;$B1297&amp;Q&amp;","&amp;Q&amp;$C$2&amp;Q&amp;":"&amp;Q&amp;$C1297&amp;Q&amp;","&amp;Q&amp;"sets"&amp;Q&amp;":"&amp;Q&amp;substitute(SUBSTITUTE($H1297,"[",""),"]","")&amp;Q&amp;"},"</f>
        <v>"zove":{"label":"Recess","extra":"My favorite subject in school!","sets":"Junior"},</v>
      </c>
      <c r="E1297" s="9" t="str">
        <f t="shared" si="2"/>
        <v>data:image/svg+xml,%3csvg xmlns='http://www.w3.org/2000/svg' viewBox='0 0 24 216'%3e%3ctext fill='%23fff' style='font: 900 16px sans-serif' text-anchor='end' transform='matrix(0 -1 1 0 18 5)'%3eRecess%3c/text%3e%3c/svg%3e</v>
      </c>
      <c r="F1297" s="14" t="str">
        <f t="shared" si="3"/>
        <v>https://svgtext.heliohost.us/cgi-bin/gen.perl?text=Recess</v>
      </c>
      <c r="G1297" s="11" t="str">
        <f t="shared" si="4"/>
        <v>data:image/svg+xml,%3csvg xmlns='http://www.w3.org/2000/svg' viewBox='0 0 24 216'%3e%3ctext fill='%23fff' style='font: 900 16px sans-serif' text-anchor='end' transform='matrix(0 -1 1 0 18 5)'%3eRecess%3c/text%3e%3c/svg%3e</v>
      </c>
      <c r="H1297" s="8" t="s">
        <v>84</v>
      </c>
      <c r="I1297" s="8">
        <f t="shared" ref="I1297:J1297" si="1298">len(B1297)</f>
        <v>6</v>
      </c>
      <c r="J1297" s="8">
        <f t="shared" si="1298"/>
        <v>30</v>
      </c>
      <c r="K1297" s="8" t="s">
        <v>5558</v>
      </c>
    </row>
    <row r="1298">
      <c r="A1298" s="7" t="b">
        <v>0</v>
      </c>
      <c r="B1298" s="8" t="s">
        <v>5559</v>
      </c>
      <c r="C1298" s="7" t="s">
        <v>5560</v>
      </c>
      <c r="D1298" s="8" t="str">
        <f>Q&amp;$K1298&amp;Q&amp;":{"&amp;Q&amp;$B$2&amp;Q&amp;":"&amp;Q&amp;$B1298&amp;Q&amp;","&amp;Q&amp;$C$2&amp;Q&amp;":"&amp;Q&amp;$C1298&amp;Q&amp;","&amp;Q&amp;"sets"&amp;Q&amp;":"&amp;Q&amp;substitute(SUBSTITUTE($H1298,"[",""),"]","")&amp;Q&amp;"},"</f>
        <v>"uatt":{"label":"Recreational Vehicles","extra":"If they’re trying to get away from it all, why are they taking it all with them?","sets":"Expansion Set 1, Party Set"},</v>
      </c>
      <c r="E1298" s="9" t="str">
        <f t="shared" si="2"/>
        <v>data:image/svg+xml,%3csvg xmlns='http://www.w3.org/2000/svg' viewBox='0 0 24 216'%3e%3ctext fill='%23fff' style='font: 900 16px sans-serif' text-anchor='end' transform='matrix(0 -1 1 0 18 5)'%3eRecreational Vehicles%3c/text%3e%3c/svg%3e</v>
      </c>
      <c r="F1298" s="14" t="str">
        <f t="shared" si="3"/>
        <v>https://svgtext.heliohost.us/cgi-bin/gen.perl?text=Recreational%20Vehicles</v>
      </c>
      <c r="G1298" s="11" t="str">
        <f t="shared" si="4"/>
        <v>data:image/svg+xml,%3csvg xmlns='http://www.w3.org/2000/svg' viewBox='0 0 24 216'%3e%3ctext fill='%23fff' style='font: 900 16px sans-serif' text-anchor='end' transform='matrix(0 -1 1 0 18 5)'%3eRecreational Vehicles%3c/text%3e%3c/svg%3e</v>
      </c>
      <c r="H1298" s="8" t="s">
        <v>25</v>
      </c>
      <c r="I1298" s="8">
        <f t="shared" ref="I1298:J1298" si="1299">len(B1298)</f>
        <v>21</v>
      </c>
      <c r="J1298" s="8">
        <f t="shared" si="1299"/>
        <v>80</v>
      </c>
      <c r="K1298" s="8" t="s">
        <v>5561</v>
      </c>
    </row>
    <row r="1299">
      <c r="A1299" s="7" t="b">
        <v>0</v>
      </c>
      <c r="B1299" s="8" t="s">
        <v>5562</v>
      </c>
      <c r="C1299" s="8" t="s">
        <v>5563</v>
      </c>
      <c r="D1299" s="8" t="str">
        <f>Q&amp;$K1299&amp;Q&amp;":{"&amp;Q&amp;$B$2&amp;Q&amp;":"&amp;Q&amp;$B1299&amp;Q&amp;","&amp;Q&amp;$C$2&amp;Q&amp;":"&amp;Q&amp;$C1299&amp;Q&amp;","&amp;Q&amp;"sets"&amp;Q&amp;":"&amp;Q&amp;substitute(SUBSTITUTE($H1299,"[",""),"]","")&amp;Q&amp;"},"</f>
        <v>"evmw":{"label":"Recycling","extra":"More than one million tons of aluminum are NOT recycled each year. Where do you throw your cans?","sets":"Expansion Set 1, Party Set"},</v>
      </c>
      <c r="E1299" s="9" t="str">
        <f t="shared" si="2"/>
        <v>data:image/svg+xml,%3csvg xmlns='http://www.w3.org/2000/svg' viewBox='0 0 24 216'%3e%3ctext fill='%23fff' style='font: 900 16px sans-serif' text-anchor='end' transform='matrix(0 -1 1 0 18 5)'%3eRecycling%3c/text%3e%3c/svg%3e</v>
      </c>
      <c r="F1299" s="14" t="str">
        <f t="shared" si="3"/>
        <v>https://svgtext.heliohost.us/cgi-bin/gen.perl?text=Recycling</v>
      </c>
      <c r="G1299" s="11" t="str">
        <f t="shared" si="4"/>
        <v>data:image/svg+xml,%3csvg xmlns='http://www.w3.org/2000/svg' viewBox='0 0 24 216'%3e%3ctext fill='%23fff' style='font: 900 16px sans-serif' text-anchor='end' transform='matrix(0 -1 1 0 18 5)'%3eRecycling%3c/text%3e%3c/svg%3e</v>
      </c>
      <c r="H1299" s="8" t="s">
        <v>25</v>
      </c>
      <c r="I1299" s="8">
        <f t="shared" ref="I1299:J1299" si="1300">len(B1299)</f>
        <v>9</v>
      </c>
      <c r="J1299" s="8">
        <f t="shared" si="1300"/>
        <v>96</v>
      </c>
      <c r="K1299" s="8" t="s">
        <v>5564</v>
      </c>
    </row>
    <row r="1300">
      <c r="A1300" s="7" t="b">
        <v>0</v>
      </c>
      <c r="B1300" s="8" t="s">
        <v>5565</v>
      </c>
      <c r="C1300" s="7" t="s">
        <v>5566</v>
      </c>
      <c r="D1300" s="8" t="str">
        <f>Q&amp;$K1300&amp;Q&amp;":{"&amp;Q&amp;$B$2&amp;Q&amp;":"&amp;Q&amp;$B1300&amp;Q&amp;","&amp;Q&amp;$C$2&amp;Q&amp;":"&amp;Q&amp;$C1300&amp;Q&amp;","&amp;Q&amp;"sets"&amp;Q&amp;":"&amp;Q&amp;substitute(SUBSTITUTE($H1300,"[",""),"]","")&amp;Q&amp;"},"</f>
        <v>"fnet":{"label":"Red Raspberries","extra":"Worth a few scratches.","sets":"Expansion Set 2, Party Set"},</v>
      </c>
      <c r="E1300" s="9" t="str">
        <f t="shared" si="2"/>
        <v>data:image/svg+xml,%3csvg xmlns='http://www.w3.org/2000/svg' viewBox='0 0 24 216'%3e%3ctext fill='%23fff' style='font: 900 16px sans-serif' text-anchor='end' transform='matrix(0 -1 1 0 18 5)'%3eRed Raspberries%3c/text%3e%3c/svg%3e</v>
      </c>
      <c r="F1300" s="14" t="str">
        <f t="shared" si="3"/>
        <v>https://svgtext.heliohost.us/cgi-bin/gen.perl?text=Red%20Raspberries</v>
      </c>
      <c r="G1300" s="11" t="str">
        <f t="shared" si="4"/>
        <v>data:image/svg+xml,%3csvg xmlns='http://www.w3.org/2000/svg' viewBox='0 0 24 216'%3e%3ctext fill='%23fff' style='font: 900 16px sans-serif' text-anchor='end' transform='matrix(0 -1 1 0 18 5)'%3eRed Raspberries%3c/text%3e%3c/svg%3e</v>
      </c>
      <c r="H1300" s="8" t="s">
        <v>17</v>
      </c>
      <c r="I1300" s="8">
        <f t="shared" ref="I1300:J1300" si="1301">len(B1300)</f>
        <v>15</v>
      </c>
      <c r="J1300" s="8">
        <f t="shared" si="1301"/>
        <v>22</v>
      </c>
      <c r="K1300" s="8" t="s">
        <v>5567</v>
      </c>
    </row>
    <row r="1301">
      <c r="A1301" s="7" t="b">
        <v>1</v>
      </c>
      <c r="B1301" s="8" t="s">
        <v>5568</v>
      </c>
      <c r="C1301" s="8" t="s">
        <v>5569</v>
      </c>
      <c r="D1301" s="8" t="str">
        <f>Q&amp;$K1301&amp;Q&amp;":{"&amp;Q&amp;$B$2&amp;Q&amp;":"&amp;Q&amp;$B1301&amp;Q&amp;","&amp;Q&amp;$C$2&amp;Q&amp;":"&amp;Q&amp;$C1301&amp;Q&amp;","&amp;Q&amp;"sets"&amp;Q&amp;":"&amp;Q&amp;substitute(SUBSTITUTE($H1301,"[",""),"]","")&amp;Q&amp;"},"</f>
        <v>"mqzo":{"label":"Red Roses","extra":"Red roses are a symbol of love.","sets":"Junior 9+ (1st) &amp; (2nd)"},</v>
      </c>
      <c r="E1301" s="9" t="str">
        <f t="shared" si="2"/>
        <v>data:image/svg+xml,%3csvg xmlns='http://www.w3.org/2000/svg' viewBox='0 0 24 216'%3e%3ctext fill='%23fff' style='font: 900 16px sans-serif' text-anchor='end' transform='matrix(0 -1 1 0 18 5)'%3eRed Roses%3c/text%3e%3c/svg%3e</v>
      </c>
      <c r="F1301" s="14" t="str">
        <f t="shared" si="3"/>
        <v>https://svgtext.heliohost.us/cgi-bin/gen.perl?text=Red%20Roses</v>
      </c>
      <c r="G1301" s="11" t="str">
        <f t="shared" si="4"/>
        <v>data:image/svg+xml,%3csvg xmlns='http://www.w3.org/2000/svg' viewBox='0 0 24 216'%3e%3ctext fill='%23fff' style='font: 900 16px sans-serif' text-anchor='end' transform='matrix(0 -1 1 0 18 5)'%3eRed Roses%3c/text%3e%3c/svg%3e</v>
      </c>
      <c r="H1301" s="8" t="s">
        <v>42</v>
      </c>
      <c r="I1301" s="8">
        <f t="shared" ref="I1301:J1301" si="1302">len(B1301)</f>
        <v>9</v>
      </c>
      <c r="J1301" s="8">
        <f t="shared" si="1302"/>
        <v>31</v>
      </c>
      <c r="K1301" s="8" t="s">
        <v>5570</v>
      </c>
    </row>
    <row r="1302">
      <c r="A1302" s="7" t="b">
        <v>0</v>
      </c>
      <c r="B1302" s="8" t="s">
        <v>5571</v>
      </c>
      <c r="C1302" s="7" t="s">
        <v>5572</v>
      </c>
      <c r="D1302" s="8" t="str">
        <f>Q&amp;$K1302&amp;Q&amp;":{"&amp;Q&amp;$B$2&amp;Q&amp;":"&amp;Q&amp;$B1302&amp;Q&amp;","&amp;Q&amp;$C$2&amp;Q&amp;":"&amp;Q&amp;$C1302&amp;Q&amp;","&amp;Q&amp;"sets"&amp;Q&amp;":"&amp;Q&amp;substitute(SUBSTITUTE($H1302,"[",""),"]","")&amp;Q&amp;"},"</f>
        <v>"eiyk":{"label":"Rednecks","extra":"“You might be a redneck if…” —Jeff Foxworthy","sets":"Expansion Set 1, Party Set"},</v>
      </c>
      <c r="E1302" s="9" t="str">
        <f t="shared" si="2"/>
        <v>data:image/svg+xml,%3csvg xmlns='http://www.w3.org/2000/svg' viewBox='0 0 24 216'%3e%3ctext fill='%23fff' style='font: 900 16px sans-serif' text-anchor='end' transform='matrix(0 -1 1 0 18 5)'%3eRednecks%3c/text%3e%3c/svg%3e</v>
      </c>
      <c r="F1302" s="14" t="str">
        <f t="shared" si="3"/>
        <v>https://svgtext.heliohost.us/cgi-bin/gen.perl?text=Rednecks</v>
      </c>
      <c r="G1302" s="11" t="str">
        <f t="shared" si="4"/>
        <v>data:image/svg+xml,%3csvg xmlns='http://www.w3.org/2000/svg' viewBox='0 0 24 216'%3e%3ctext fill='%23fff' style='font: 900 16px sans-serif' text-anchor='end' transform='matrix(0 -1 1 0 18 5)'%3eRednecks%3c/text%3e%3c/svg%3e</v>
      </c>
      <c r="H1302" s="8" t="s">
        <v>25</v>
      </c>
      <c r="I1302" s="8">
        <f t="shared" ref="I1302:J1302" si="1303">len(B1302)</f>
        <v>8</v>
      </c>
      <c r="J1302" s="8">
        <f t="shared" si="1303"/>
        <v>44</v>
      </c>
      <c r="K1302" s="8" t="s">
        <v>5573</v>
      </c>
    </row>
    <row r="1303">
      <c r="A1303" s="7" t="b">
        <v>0</v>
      </c>
      <c r="B1303" s="8" t="s">
        <v>5574</v>
      </c>
      <c r="C1303" s="7" t="s">
        <v>5575</v>
      </c>
      <c r="D1303" s="8" t="str">
        <f>Q&amp;$K1303&amp;Q&amp;":{"&amp;Q&amp;$B$2&amp;Q&amp;":"&amp;Q&amp;$B1303&amp;Q&amp;","&amp;Q&amp;$C$2&amp;Q&amp;":"&amp;Q&amp;$C1303&amp;Q&amp;","&amp;Q&amp;"sets"&amp;Q&amp;":"&amp;Q&amp;substitute(SUBSTITUTE($H1303,"[",""),"]","")&amp;Q&amp;"},"</f>
        <v>"kcnt":{"label":"Redwood Forests","extra":"“From the Redwood Forests to the Gulf Stream Waters /  This land was made for you and me.” —Woody Guthrie","sets":"Basic Set, Party Set"},</v>
      </c>
      <c r="E1303" s="9" t="str">
        <f t="shared" si="2"/>
        <v>data:image/svg+xml,%3csvg xmlns='http://www.w3.org/2000/svg' viewBox='0 0 24 216'%3e%3ctext fill='%23fff' style='font: 900 16px sans-serif' text-anchor='end' transform='matrix(0 -1 1 0 18 5)'%3eRedwood Forests%3c/text%3e%3c/svg%3e</v>
      </c>
      <c r="F1303" s="14" t="str">
        <f t="shared" si="3"/>
        <v>https://svgtext.heliohost.us/cgi-bin/gen.perl?text=Redwood%20Forests</v>
      </c>
      <c r="G1303" s="11" t="str">
        <f t="shared" si="4"/>
        <v>data:image/svg+xml,%3csvg xmlns='http://www.w3.org/2000/svg' viewBox='0 0 24 216'%3e%3ctext fill='%23fff' style='font: 900 16px sans-serif' text-anchor='end' transform='matrix(0 -1 1 0 18 5)'%3eRedwood Forests%3c/text%3e%3c/svg%3e</v>
      </c>
      <c r="H1303" s="8" t="s">
        <v>29</v>
      </c>
      <c r="I1303" s="8">
        <f t="shared" ref="I1303:J1303" si="1304">len(B1303)</f>
        <v>15</v>
      </c>
      <c r="J1303" s="8">
        <f t="shared" si="1304"/>
        <v>105</v>
      </c>
      <c r="K1303" s="8" t="s">
        <v>5576</v>
      </c>
    </row>
    <row r="1304">
      <c r="A1304" s="7" t="b">
        <v>0</v>
      </c>
      <c r="B1304" s="8" t="s">
        <v>5577</v>
      </c>
      <c r="C1304" s="8" t="s">
        <v>5578</v>
      </c>
      <c r="D1304" s="8" t="str">
        <f>Q&amp;$K1304&amp;Q&amp;":{"&amp;Q&amp;$B$2&amp;Q&amp;":"&amp;Q&amp;$B1304&amp;Q&amp;","&amp;Q&amp;$C$2&amp;Q&amp;":"&amp;Q&amp;$C1304&amp;Q&amp;","&amp;Q&amp;"sets"&amp;Q&amp;":"&amp;Q&amp;substitute(SUBSTITUTE($H1304,"[",""),"]","")&amp;Q&amp;"},"</f>
        <v>"typc":{"label":"Reggae Music","extra":"This contemporary Caribbean music, originating in Jamaica, remains an influential style of popular music. Ya mon!","sets":"Expansion Set 1, Party Set"},</v>
      </c>
      <c r="E1304" s="9" t="str">
        <f t="shared" si="2"/>
        <v>data:image/svg+xml,%3csvg xmlns='http://www.w3.org/2000/svg' viewBox='0 0 24 216'%3e%3ctext fill='%23fff' style='font: 900 16px sans-serif' text-anchor='end' transform='matrix(0 -1 1 0 18 5)'%3eReggae Music%3c/text%3e%3c/svg%3e</v>
      </c>
      <c r="F1304" s="14" t="str">
        <f t="shared" si="3"/>
        <v>https://svgtext.heliohost.us/cgi-bin/gen.perl?text=Reggae%20Music</v>
      </c>
      <c r="G1304" s="11" t="str">
        <f t="shared" si="4"/>
        <v>data:image/svg+xml,%3csvg xmlns='http://www.w3.org/2000/svg' viewBox='0 0 24 216'%3e%3ctext fill='%23fff' style='font: 900 16px sans-serif' text-anchor='end' transform='matrix(0 -1 1 0 18 5)'%3eReggae Music%3c/text%3e%3c/svg%3e</v>
      </c>
      <c r="H1304" s="8" t="s">
        <v>25</v>
      </c>
      <c r="I1304" s="8">
        <f t="shared" ref="I1304:J1304" si="1305">len(B1304)</f>
        <v>12</v>
      </c>
      <c r="J1304" s="8">
        <f t="shared" si="1305"/>
        <v>113</v>
      </c>
      <c r="K1304" s="8" t="s">
        <v>5579</v>
      </c>
    </row>
    <row r="1305">
      <c r="A1305" s="7" t="b">
        <v>1</v>
      </c>
      <c r="B1305" s="7" t="s">
        <v>5580</v>
      </c>
      <c r="C1305" s="7" t="s">
        <v>5581</v>
      </c>
      <c r="D1305" s="8" t="str">
        <f>Q&amp;$K1305&amp;Q&amp;":{"&amp;Q&amp;$B$2&amp;Q&amp;":"&amp;Q&amp;$B1305&amp;Q&amp;","&amp;Q&amp;$C$2&amp;Q&amp;":"&amp;Q&amp;$C1305&amp;Q&amp;","&amp;Q&amp;"sets"&amp;Q&amp;":"&amp;Q&amp;substitute(SUBSTITUTE($H1305,"[",""),"]","")&amp;Q&amp;"},"</f>
        <v>"xgde":{"label":"Regis &amp;…","extra":"Kathy Lee or Kelly your choice.","sets":"Expansion Set 4, Party Expansion 1"},</v>
      </c>
      <c r="E1305" s="9" t="str">
        <f t="shared" si="2"/>
        <v>data:image/svg+xml,%3csvg xmlns='http://www.w3.org/2000/svg' viewBox='0 0 24 216'%3e%3ctext fill='%23fff' style='font: 900 16px sans-serif' text-anchor='end' transform='matrix(0 -1 1 0 18 5)'%3eRegis %26amp%3B%E2%80%A6%3c/text%3e%3c/svg%3e</v>
      </c>
      <c r="F1305" s="14" t="str">
        <f t="shared" si="3"/>
        <v>https://svgtext.heliohost.us/cgi-bin/gen.perl?text=Regis%20%26%E2%80%A6</v>
      </c>
      <c r="G1305" s="11" t="str">
        <f t="shared" si="4"/>
        <v>data:image/svg+xml,%3csvg xmlns='http://www.w3.org/2000/svg' viewBox='0 0 24 216'%3e%3ctext fill='%23fff' style='font: 900 16px sans-serif' text-anchor='end' transform='matrix(0 -1 1 0 18 5)'%3eRegis %26amp%3B%E2%80%A6%3c/text%3e%3c/svg%3e</v>
      </c>
      <c r="H1305" s="8" t="s">
        <v>63</v>
      </c>
      <c r="I1305" s="8">
        <f t="shared" ref="I1305:J1305" si="1306">len(B1305)</f>
        <v>8</v>
      </c>
      <c r="J1305" s="8">
        <f t="shared" si="1306"/>
        <v>31</v>
      </c>
      <c r="K1305" s="8" t="s">
        <v>5582</v>
      </c>
    </row>
    <row r="1306">
      <c r="A1306" s="7" t="b">
        <v>0</v>
      </c>
      <c r="B1306" s="8" t="s">
        <v>5583</v>
      </c>
      <c r="C1306" s="8" t="s">
        <v>5584</v>
      </c>
      <c r="D1306" s="8" t="str">
        <f>Q&amp;$K1306&amp;Q&amp;":{"&amp;Q&amp;$B$2&amp;Q&amp;":"&amp;Q&amp;$B1306&amp;Q&amp;","&amp;Q&amp;$C$2&amp;Q&amp;":"&amp;Q&amp;$C1306&amp;Q&amp;","&amp;Q&amp;"sets"&amp;Q&amp;":"&amp;Q&amp;substitute(SUBSTITUTE($H1306,"[",""),"]","")&amp;Q&amp;"},"</f>
        <v>"bybc":{"label":"Regis Philbin","extra":"1934-, American talk and game show host. Who wants to be a millionaire? Regis, apparently.","sets":"Expansion Set 1, Party Set"},</v>
      </c>
      <c r="E1306" s="9" t="str">
        <f t="shared" si="2"/>
        <v>data:image/svg+xml,%3csvg xmlns='http://www.w3.org/2000/svg' viewBox='0 0 24 216'%3e%3ctext fill='%23fff' style='font: 900 16px sans-serif' text-anchor='end' transform='matrix(0 -1 1 0 18 5)'%3eRegis Philbin%3c/text%3e%3c/svg%3e</v>
      </c>
      <c r="F1306" s="14" t="str">
        <f t="shared" si="3"/>
        <v>https://svgtext.heliohost.us/cgi-bin/gen.perl?text=Regis%20Philbin</v>
      </c>
      <c r="G1306" s="11" t="str">
        <f t="shared" si="4"/>
        <v>data:image/svg+xml,%3csvg xmlns='http://www.w3.org/2000/svg' viewBox='0 0 24 216'%3e%3ctext fill='%23fff' style='font: 900 16px sans-serif' text-anchor='end' transform='matrix(0 -1 1 0 18 5)'%3eRegis Philbin%3c/text%3e%3c/svg%3e</v>
      </c>
      <c r="H1306" s="8" t="s">
        <v>25</v>
      </c>
      <c r="I1306" s="8">
        <f t="shared" ref="I1306:J1306" si="1307">len(B1306)</f>
        <v>13</v>
      </c>
      <c r="J1306" s="8">
        <f t="shared" si="1307"/>
        <v>90</v>
      </c>
      <c r="K1306" s="8" t="s">
        <v>5585</v>
      </c>
    </row>
    <row r="1307">
      <c r="A1307" s="7" t="b">
        <v>0</v>
      </c>
      <c r="B1307" s="8" t="s">
        <v>5586</v>
      </c>
      <c r="C1307" s="8" t="s">
        <v>5587</v>
      </c>
      <c r="D1307" s="8" t="str">
        <f>Q&amp;$K1307&amp;Q&amp;":{"&amp;Q&amp;$B$2&amp;Q&amp;":"&amp;Q&amp;$B1307&amp;Q&amp;","&amp;Q&amp;$C$2&amp;Q&amp;":"&amp;Q&amp;$C1307&amp;Q&amp;","&amp;Q&amp;"sets"&amp;Q&amp;":"&amp;Q&amp;substitute(SUBSTITUTE($H1307,"[",""),"]","")&amp;Q&amp;"},"</f>
        <v>"hzda":{"label":"Remote Controls","extra":"The world's handiest invention. That is, if you can find it.","sets":"Basic Set, Party Set"},</v>
      </c>
      <c r="E1307" s="9" t="str">
        <f t="shared" si="2"/>
        <v>data:image/svg+xml,%3csvg xmlns='http://www.w3.org/2000/svg' viewBox='0 0 24 216'%3e%3ctext fill='%23fff' style='font: 900 16px sans-serif' text-anchor='end' transform='matrix(0 -1 1 0 18 5)'%3eRemote Controls%3c/text%3e%3c/svg%3e</v>
      </c>
      <c r="F1307" s="14" t="str">
        <f t="shared" si="3"/>
        <v>https://svgtext.heliohost.us/cgi-bin/gen.perl?text=Remote%20Controls</v>
      </c>
      <c r="G1307" s="11" t="str">
        <f t="shared" si="4"/>
        <v>data:image/svg+xml,%3csvg xmlns='http://www.w3.org/2000/svg' viewBox='0 0 24 216'%3e%3ctext fill='%23fff' style='font: 900 16px sans-serif' text-anchor='end' transform='matrix(0 -1 1 0 18 5)'%3eRemote Controls%3c/text%3e%3c/svg%3e</v>
      </c>
      <c r="H1307" s="8" t="s">
        <v>29</v>
      </c>
      <c r="I1307" s="8">
        <f t="shared" ref="I1307:J1307" si="1308">len(B1307)</f>
        <v>15</v>
      </c>
      <c r="J1307" s="8">
        <f t="shared" si="1308"/>
        <v>60</v>
      </c>
      <c r="K1307" s="8" t="s">
        <v>5588</v>
      </c>
    </row>
    <row r="1308">
      <c r="A1308" s="7" t="b">
        <v>0</v>
      </c>
      <c r="B1308" s="8" t="s">
        <v>5589</v>
      </c>
      <c r="C1308" s="7" t="s">
        <v>5590</v>
      </c>
      <c r="D1308" s="8" t="str">
        <f>Q&amp;$K1308&amp;Q&amp;":{"&amp;Q&amp;$B$2&amp;Q&amp;":"&amp;Q&amp;$B1308&amp;Q&amp;","&amp;Q&amp;$C$2&amp;Q&amp;":"&amp;Q&amp;$C1308&amp;Q&amp;","&amp;Q&amp;"sets"&amp;Q&amp;":"&amp;Q&amp;substitute(SUBSTITUTE($H1308,"[",""),"]","")&amp;Q&amp;"},"</f>
        <v>"qiri":{"label":"Republicans","extra":"A U.S. political party symbolized by an elephant… and don't forget it!","sets":"Basic Set, Party Set"},</v>
      </c>
      <c r="E1308" s="9" t="str">
        <f t="shared" si="2"/>
        <v>data:image/svg+xml,%3csvg xmlns='http://www.w3.org/2000/svg' viewBox='0 0 24 216'%3e%3ctext fill='%23fff' style='font: 900 16px sans-serif' text-anchor='end' transform='matrix(0 -1 1 0 18 5)'%3eRepublicans%3c/text%3e%3c/svg%3e</v>
      </c>
      <c r="F1308" s="14" t="str">
        <f t="shared" si="3"/>
        <v>https://svgtext.heliohost.us/cgi-bin/gen.perl?text=Republicans</v>
      </c>
      <c r="G1308" s="11" t="str">
        <f t="shared" si="4"/>
        <v>data:image/svg+xml,%3csvg xmlns='http://www.w3.org/2000/svg' viewBox='0 0 24 216'%3e%3ctext fill='%23fff' style='font: 900 16px sans-serif' text-anchor='end' transform='matrix(0 -1 1 0 18 5)'%3eRepublicans%3c/text%3e%3c/svg%3e</v>
      </c>
      <c r="H1308" s="8" t="s">
        <v>29</v>
      </c>
      <c r="I1308" s="8">
        <f t="shared" ref="I1308:J1308" si="1309">len(B1308)</f>
        <v>11</v>
      </c>
      <c r="J1308" s="8">
        <f t="shared" si="1309"/>
        <v>70</v>
      </c>
      <c r="K1308" s="8" t="s">
        <v>5591</v>
      </c>
    </row>
    <row r="1309">
      <c r="A1309" s="7" t="b">
        <v>1</v>
      </c>
      <c r="B1309" s="8" t="s">
        <v>5592</v>
      </c>
      <c r="C1309" s="7" t="s">
        <v>5593</v>
      </c>
      <c r="D1309" s="8" t="str">
        <f>Q&amp;$K1309&amp;Q&amp;":{"&amp;Q&amp;$B$2&amp;Q&amp;":"&amp;Q&amp;$B1309&amp;Q&amp;","&amp;Q&amp;$C$2&amp;Q&amp;":"&amp;Q&amp;$C1309&amp;Q&amp;","&amp;Q&amp;"sets"&amp;Q&amp;":"&amp;Q&amp;substitute(SUBSTITUTE($H1309,"[",""),"]","")&amp;Q&amp;"},"</f>
        <v>"licl":{"label":"Restaurants","extra":"It’s good to try new things!","sets":"Junior 9+ (2nd)"},</v>
      </c>
      <c r="E1309" s="9" t="str">
        <f t="shared" si="2"/>
        <v>data:image/svg+xml,%3csvg xmlns='http://www.w3.org/2000/svg' viewBox='0 0 24 216'%3e%3ctext fill='%23fff' style='font: 900 16px sans-serif' text-anchor='end' transform='matrix(0 -1 1 0 18 5)'%3eRestaurants%3c/text%3e%3c/svg%3e</v>
      </c>
      <c r="F1309" s="14" t="str">
        <f t="shared" si="3"/>
        <v>https://svgtext.heliohost.us/cgi-bin/gen.perl?text=Restaurants</v>
      </c>
      <c r="G1309" s="11" t="str">
        <f t="shared" si="4"/>
        <v>data:image/svg+xml,%3csvg xmlns='http://www.w3.org/2000/svg' viewBox='0 0 24 216'%3e%3ctext fill='%23fff' style='font: 900 16px sans-serif' text-anchor='end' transform='matrix(0 -1 1 0 18 5)'%3eRestaurants%3c/text%3e%3c/svg%3e</v>
      </c>
      <c r="H1309" s="8" t="s">
        <v>32</v>
      </c>
      <c r="I1309" s="8">
        <f t="shared" ref="I1309:J1309" si="1310">len(B1309)</f>
        <v>11</v>
      </c>
      <c r="J1309" s="8">
        <f t="shared" si="1310"/>
        <v>28</v>
      </c>
      <c r="K1309" s="8" t="s">
        <v>5594</v>
      </c>
    </row>
    <row r="1310">
      <c r="A1310" s="7" t="b">
        <v>1</v>
      </c>
      <c r="B1310" s="8" t="s">
        <v>5595</v>
      </c>
      <c r="C1310" s="8" t="s">
        <v>5596</v>
      </c>
      <c r="D1310" s="8" t="str">
        <f>Q&amp;$K1310&amp;Q&amp;":{"&amp;Q&amp;$B$2&amp;Q&amp;":"&amp;Q&amp;$B1310&amp;Q&amp;","&amp;Q&amp;$C$2&amp;Q&amp;":"&amp;Q&amp;$C1310&amp;Q&amp;","&amp;Q&amp;"sets"&amp;Q&amp;":"&amp;Q&amp;substitute(SUBSTITUTE($H1310,"[",""),"]","")&amp;Q&amp;"},"</f>
        <v>"mzif":{"label":"Rice","extra":"A grain grown for food. Rice can be white, brown or black.","sets":"Junior 9+ (1st) &amp; (2nd)"},</v>
      </c>
      <c r="E1310" s="9" t="str">
        <f t="shared" si="2"/>
        <v>data:image/svg+xml,%3csvg xmlns='http://www.w3.org/2000/svg' viewBox='0 0 24 216'%3e%3ctext fill='%23fff' style='font: 900 16px sans-serif' text-anchor='end' transform='matrix(0 -1 1 0 18 5)'%3eRice%3c/text%3e%3c/svg%3e</v>
      </c>
      <c r="F1310" s="14" t="str">
        <f t="shared" si="3"/>
        <v>https://svgtext.heliohost.us/cgi-bin/gen.perl?text=Rice</v>
      </c>
      <c r="G1310" s="11" t="str">
        <f t="shared" si="4"/>
        <v>data:image/svg+xml,%3csvg xmlns='http://www.w3.org/2000/svg' viewBox='0 0 24 216'%3e%3ctext fill='%23fff' style='font: 900 16px sans-serif' text-anchor='end' transform='matrix(0 -1 1 0 18 5)'%3eRice%3c/text%3e%3c/svg%3e</v>
      </c>
      <c r="H1310" s="8" t="s">
        <v>42</v>
      </c>
      <c r="I1310" s="8">
        <f t="shared" ref="I1310:J1310" si="1311">len(B1310)</f>
        <v>4</v>
      </c>
      <c r="J1310" s="8">
        <f t="shared" si="1311"/>
        <v>58</v>
      </c>
      <c r="K1310" s="8" t="s">
        <v>5597</v>
      </c>
    </row>
    <row r="1311">
      <c r="A1311" s="7" t="b">
        <v>1</v>
      </c>
      <c r="B1311" s="8" t="s">
        <v>5598</v>
      </c>
      <c r="C1311" s="8" t="s">
        <v>5599</v>
      </c>
      <c r="D1311" s="8" t="str">
        <f>Q&amp;$K1311&amp;Q&amp;":{"&amp;Q&amp;$B$2&amp;Q&amp;":"&amp;Q&amp;$B1311&amp;Q&amp;","&amp;Q&amp;$C$2&amp;Q&amp;":"&amp;Q&amp;$C1311&amp;Q&amp;","&amp;Q&amp;"sets"&amp;Q&amp;":"&amp;Q&amp;substitute(SUBSTITUTE($H1311,"[",""),"]","")&amp;Q&amp;"},"</f>
        <v>"eaaj":{"label":"Rice &amp; Beans","extra":"South-of-the-border meat &amp; potatoes.","sets":"Expansion Set 4, Party Expansion 1"},</v>
      </c>
      <c r="E1311" s="9" t="str">
        <f t="shared" si="2"/>
        <v>data:image/svg+xml,%3csvg xmlns='http://www.w3.org/2000/svg' viewBox='0 0 24 216'%3e%3ctext fill='%23fff' style='font: 900 16px sans-serif' text-anchor='end' transform='matrix(0 -1 1 0 18 5)'%3eRice %26amp%3B Beans%3c/text%3e%3c/svg%3e</v>
      </c>
      <c r="F1311" s="14" t="str">
        <f t="shared" si="3"/>
        <v>https://svgtext.heliohost.us/cgi-bin/gen.perl?text=Rice%20%26%20Beans</v>
      </c>
      <c r="G1311" s="11" t="str">
        <f t="shared" si="4"/>
        <v>data:image/svg+xml,%3csvg xmlns='http://www.w3.org/2000/svg' viewBox='0 0 24 216'%3e%3ctext fill='%23fff' style='font: 900 16px sans-serif' text-anchor='end' transform='matrix(0 -1 1 0 18 5)'%3eRice %26amp%3B Beans%3c/text%3e%3c/svg%3e</v>
      </c>
      <c r="H1311" s="8" t="s">
        <v>63</v>
      </c>
      <c r="I1311" s="8">
        <f t="shared" ref="I1311:J1311" si="1312">len(B1311)</f>
        <v>12</v>
      </c>
      <c r="J1311" s="8">
        <f t="shared" si="1312"/>
        <v>36</v>
      </c>
      <c r="K1311" s="8" t="s">
        <v>5600</v>
      </c>
    </row>
    <row r="1312">
      <c r="A1312" s="7" t="b">
        <v>1</v>
      </c>
      <c r="B1312" s="8" t="s">
        <v>5601</v>
      </c>
      <c r="C1312" s="8" t="s">
        <v>5602</v>
      </c>
      <c r="D1312" s="8" t="str">
        <f>Q&amp;$K1312&amp;Q&amp;":{"&amp;Q&amp;$B$2&amp;Q&amp;":"&amp;Q&amp;$B1312&amp;Q&amp;","&amp;Q&amp;$C$2&amp;Q&amp;":"&amp;Q&amp;$C1312&amp;Q&amp;","&amp;Q&amp;"sets"&amp;Q&amp;":"&amp;Q&amp;substitute(SUBSTITUTE($H1312,"[",""),"]","")&amp;Q&amp;"},"</f>
        <v>"xfkk":{"label":"Rice Krispies Treats","extra":"How could you go wrong with Rice Krispies, marshmallows, and butter.","sets":"Expansion Set 3, Party Expansion 1"},</v>
      </c>
      <c r="E1312" s="9" t="str">
        <f t="shared" si="2"/>
        <v>data:image/svg+xml,%3csvg xmlns='http://www.w3.org/2000/svg' viewBox='0 0 24 216'%3e%3ctext fill='%23fff' style='font: 900 16px sans-serif' text-anchor='end' transform='matrix(0 -1 1 0 18 5)'%3eRice Krispies Treats%3c/text%3e%3c/svg%3e</v>
      </c>
      <c r="F1312" s="14" t="str">
        <f t="shared" si="3"/>
        <v>https://svgtext.heliohost.us/cgi-bin/gen.perl?text=Rice%20Krispies%20Treats</v>
      </c>
      <c r="G1312" s="11" t="str">
        <f t="shared" si="4"/>
        <v>data:image/svg+xml,%3csvg xmlns='http://www.w3.org/2000/svg' viewBox='0 0 24 216'%3e%3ctext fill='%23fff' style='font: 900 16px sans-serif' text-anchor='end' transform='matrix(0 -1 1 0 18 5)'%3eRice Krispies Treats%3c/text%3e%3c/svg%3e</v>
      </c>
      <c r="H1312" s="8" t="s">
        <v>39</v>
      </c>
      <c r="I1312" s="8">
        <f t="shared" ref="I1312:J1312" si="1313">len(B1312)</f>
        <v>20</v>
      </c>
      <c r="J1312" s="8">
        <f t="shared" si="1313"/>
        <v>68</v>
      </c>
      <c r="K1312" s="8" t="s">
        <v>5603</v>
      </c>
    </row>
    <row r="1313">
      <c r="A1313" s="7" t="b">
        <v>0</v>
      </c>
      <c r="B1313" s="8" t="s">
        <v>5604</v>
      </c>
      <c r="C1313" s="7" t="s">
        <v>5605</v>
      </c>
      <c r="D1313" s="8" t="str">
        <f>Q&amp;$K1313&amp;Q&amp;":{"&amp;Q&amp;$B$2&amp;Q&amp;":"&amp;Q&amp;$B1313&amp;Q&amp;","&amp;Q&amp;$C$2&amp;Q&amp;":"&amp;Q&amp;$C1313&amp;Q&amp;","&amp;Q&amp;"sets"&amp;Q&amp;":"&amp;Q&amp;substitute(SUBSTITUTE($H1313,"[",""),"]","")&amp;Q&amp;"},"</f>
        <v>"xwdh":{"label":"Richard Nixon","extra":"1913-94, 37th President of the United States and the only president to have resigned from office. At least that's what the tapes say…","sets":"Expansion Set 2, Party Set"},</v>
      </c>
      <c r="E1313" s="9" t="str">
        <f t="shared" si="2"/>
        <v>data:image/svg+xml,%3csvg xmlns='http://www.w3.org/2000/svg' viewBox='0 0 24 216'%3e%3ctext fill='%23fff' style='font: 900 16px sans-serif' text-anchor='end' transform='matrix(0 -1 1 0 18 5)'%3eRichard Nixon%3c/text%3e%3c/svg%3e</v>
      </c>
      <c r="F1313" s="14" t="str">
        <f t="shared" si="3"/>
        <v>https://svgtext.heliohost.us/cgi-bin/gen.perl?text=Richard%20Nixon</v>
      </c>
      <c r="G1313" s="11" t="str">
        <f t="shared" si="4"/>
        <v>data:image/svg+xml,%3csvg xmlns='http://www.w3.org/2000/svg' viewBox='0 0 24 216'%3e%3ctext fill='%23fff' style='font: 900 16px sans-serif' text-anchor='end' transform='matrix(0 -1 1 0 18 5)'%3eRichard Nixon%3c/text%3e%3c/svg%3e</v>
      </c>
      <c r="H1313" s="8" t="s">
        <v>17</v>
      </c>
      <c r="I1313" s="8">
        <f t="shared" ref="I1313:J1313" si="1314">len(B1313)</f>
        <v>13</v>
      </c>
      <c r="J1313" s="8">
        <f t="shared" si="1314"/>
        <v>133</v>
      </c>
      <c r="K1313" s="8" t="s">
        <v>5606</v>
      </c>
    </row>
    <row r="1314">
      <c r="A1314" s="7" t="b">
        <v>1</v>
      </c>
      <c r="B1314" s="8" t="s">
        <v>5607</v>
      </c>
      <c r="C1314" s="7" t="s">
        <v>5608</v>
      </c>
      <c r="D1314" s="8" t="str">
        <f>Q&amp;$K1314&amp;Q&amp;":{"&amp;Q&amp;$B$2&amp;Q&amp;":"&amp;Q&amp;$B1314&amp;Q&amp;","&amp;Q&amp;$C$2&amp;Q&amp;":"&amp;Q&amp;$C1314&amp;Q&amp;","&amp;Q&amp;"sets"&amp;Q&amp;":"&amp;Q&amp;substitute(SUBSTITUTE($H1314,"[",""),"]","")&amp;Q&amp;"},"</f>
        <v>"fmmi":{"label":"Richard Simmons","extra":"1948-, American fitness guru famous for his extroverted style, short shorts and Sweatin'’ to the Oldies.","sets":"Expansion Set 3, Party Expansion 1"},</v>
      </c>
      <c r="E1314" s="9" t="str">
        <f t="shared" si="2"/>
        <v>data:image/svg+xml,%3csvg xmlns='http://www.w3.org/2000/svg' viewBox='0 0 24 216'%3e%3ctext fill='%23fff' style='font: 900 16px sans-serif' text-anchor='end' transform='matrix(0 -1 1 0 18 5)'%3eRichard Simmons%3c/text%3e%3c/svg%3e</v>
      </c>
      <c r="F1314" s="14" t="str">
        <f t="shared" si="3"/>
        <v>https://svgtext.heliohost.us/cgi-bin/gen.perl?text=Richard%20Simmons</v>
      </c>
      <c r="G1314" s="11" t="str">
        <f t="shared" si="4"/>
        <v>data:image/svg+xml,%3csvg xmlns='http://www.w3.org/2000/svg' viewBox='0 0 24 216'%3e%3ctext fill='%23fff' style='font: 900 16px sans-serif' text-anchor='end' transform='matrix(0 -1 1 0 18 5)'%3eRichard Simmons%3c/text%3e%3c/svg%3e</v>
      </c>
      <c r="H1314" s="8" t="s">
        <v>39</v>
      </c>
      <c r="I1314" s="8">
        <f t="shared" ref="I1314:J1314" si="1315">len(B1314)</f>
        <v>15</v>
      </c>
      <c r="J1314" s="8">
        <f t="shared" si="1315"/>
        <v>104</v>
      </c>
      <c r="K1314" s="8" t="s">
        <v>5609</v>
      </c>
    </row>
    <row r="1315">
      <c r="A1315" s="7" t="b">
        <v>1</v>
      </c>
      <c r="B1315" s="8" t="s">
        <v>5610</v>
      </c>
      <c r="C1315" s="8" t="s">
        <v>5611</v>
      </c>
      <c r="D1315" s="8" t="str">
        <f>Q&amp;$K1315&amp;Q&amp;":{"&amp;Q&amp;$B$2&amp;Q&amp;":"&amp;Q&amp;$B1315&amp;Q&amp;","&amp;Q&amp;$C$2&amp;Q&amp;":"&amp;Q&amp;$C1315&amp;Q&amp;","&amp;Q&amp;"sets"&amp;Q&amp;":"&amp;Q&amp;substitute(SUBSTITUTE($H1315,"[",""),"]","")&amp;Q&amp;"},"</f>
        <v>"wvpr":{"label":"Riding A Bike","extra":"Remember to wear your helmet.","sets":"Junior"},</v>
      </c>
      <c r="E1315" s="9" t="str">
        <f t="shared" si="2"/>
        <v>data:image/svg+xml,%3csvg xmlns='http://www.w3.org/2000/svg' viewBox='0 0 24 216'%3e%3ctext fill='%23fff' style='font: 900 16px sans-serif' text-anchor='end' transform='matrix(0 -1 1 0 18 5)'%3eRiding A Bike%3c/text%3e%3c/svg%3e</v>
      </c>
      <c r="F1315" s="14" t="str">
        <f t="shared" si="3"/>
        <v>https://svgtext.heliohost.us/cgi-bin/gen.perl?text=Riding%20A%20Bike</v>
      </c>
      <c r="G1315" s="11" t="str">
        <f t="shared" si="4"/>
        <v>data:image/svg+xml,%3csvg xmlns='http://www.w3.org/2000/svg' viewBox='0 0 24 216'%3e%3ctext fill='%23fff' style='font: 900 16px sans-serif' text-anchor='end' transform='matrix(0 -1 1 0 18 5)'%3eRiding A Bike%3c/text%3e%3c/svg%3e</v>
      </c>
      <c r="H1315" s="8" t="s">
        <v>84</v>
      </c>
      <c r="I1315" s="8">
        <f t="shared" ref="I1315:J1315" si="1316">len(B1315)</f>
        <v>13</v>
      </c>
      <c r="J1315" s="8">
        <f t="shared" si="1316"/>
        <v>29</v>
      </c>
      <c r="K1315" s="8" t="s">
        <v>5612</v>
      </c>
    </row>
    <row r="1316">
      <c r="A1316" s="7" t="b">
        <v>1</v>
      </c>
      <c r="B1316" s="8" t="s">
        <v>5613</v>
      </c>
      <c r="C1316" s="8" t="s">
        <v>5614</v>
      </c>
      <c r="D1316" s="8" t="str">
        <f>Q&amp;$K1316&amp;Q&amp;":{"&amp;Q&amp;$B$2&amp;Q&amp;":"&amp;Q&amp;$B1316&amp;Q&amp;","&amp;Q&amp;$C$2&amp;Q&amp;":"&amp;Q&amp;$C1316&amp;Q&amp;","&amp;Q&amp;"sets"&amp;Q&amp;":"&amp;Q&amp;substitute(SUBSTITUTE($H1316,"[",""),"]","")&amp;Q&amp;"},"</f>
        <v>"trlh":{"label":"Riding A Horse","extra":"Grab the reins and hang on!","sets":"Junior"},</v>
      </c>
      <c r="E1316" s="9" t="str">
        <f t="shared" si="2"/>
        <v>data:image/svg+xml,%3csvg xmlns='http://www.w3.org/2000/svg' viewBox='0 0 24 216'%3e%3ctext fill='%23fff' style='font: 900 16px sans-serif' text-anchor='end' transform='matrix(0 -1 1 0 18 5)'%3eRiding A Horse%3c/text%3e%3c/svg%3e</v>
      </c>
      <c r="F1316" s="14" t="str">
        <f t="shared" si="3"/>
        <v>https://svgtext.heliohost.us/cgi-bin/gen.perl?text=Riding%20A%20Horse</v>
      </c>
      <c r="G1316" s="11" t="str">
        <f t="shared" si="4"/>
        <v>data:image/svg+xml,%3csvg xmlns='http://www.w3.org/2000/svg' viewBox='0 0 24 216'%3e%3ctext fill='%23fff' style='font: 900 16px sans-serif' text-anchor='end' transform='matrix(0 -1 1 0 18 5)'%3eRiding A Horse%3c/text%3e%3c/svg%3e</v>
      </c>
      <c r="H1316" s="8" t="s">
        <v>84</v>
      </c>
      <c r="I1316" s="8">
        <f t="shared" ref="I1316:J1316" si="1317">len(B1316)</f>
        <v>14</v>
      </c>
      <c r="J1316" s="8">
        <f t="shared" si="1317"/>
        <v>27</v>
      </c>
      <c r="K1316" s="8" t="s">
        <v>5615</v>
      </c>
    </row>
    <row r="1317">
      <c r="A1317" s="7" t="b">
        <v>1</v>
      </c>
      <c r="B1317" s="8" t="s">
        <v>5616</v>
      </c>
      <c r="C1317" s="8" t="s">
        <v>5617</v>
      </c>
      <c r="D1317" s="8" t="str">
        <f>Q&amp;$K1317&amp;Q&amp;":{"&amp;Q&amp;$B$2&amp;Q&amp;":"&amp;Q&amp;$B1317&amp;Q&amp;","&amp;Q&amp;$C$2&amp;Q&amp;":"&amp;Q&amp;$C1317&amp;Q&amp;","&amp;Q&amp;"sets"&amp;Q&amp;":"&amp;Q&amp;substitute(SUBSTITUTE($H1317,"[",""),"]","")&amp;Q&amp;"},"</f>
        <v>"hxel":{"label":"Riding A Scooter","extra":"Where are the brakes?","sets":"Junior 9+ (2nd)"},</v>
      </c>
      <c r="E1317" s="9" t="str">
        <f t="shared" si="2"/>
        <v>data:image/svg+xml,%3csvg xmlns='http://www.w3.org/2000/svg' viewBox='0 0 24 216'%3e%3ctext fill='%23fff' style='font: 900 16px sans-serif' text-anchor='end' transform='matrix(0 -1 1 0 18 5)'%3eRiding A Scooter%3c/text%3e%3c/svg%3e</v>
      </c>
      <c r="F1317" s="14" t="str">
        <f t="shared" si="3"/>
        <v>https://svgtext.heliohost.us/cgi-bin/gen.perl?text=Riding%20A%20Scooter</v>
      </c>
      <c r="G1317" s="11" t="str">
        <f t="shared" si="4"/>
        <v>data:image/svg+xml,%3csvg xmlns='http://www.w3.org/2000/svg' viewBox='0 0 24 216'%3e%3ctext fill='%23fff' style='font: 900 16px sans-serif' text-anchor='end' transform='matrix(0 -1 1 0 18 5)'%3eRiding A Scooter%3c/text%3e%3c/svg%3e</v>
      </c>
      <c r="H1317" s="8" t="s">
        <v>32</v>
      </c>
      <c r="I1317" s="8">
        <f t="shared" ref="I1317:J1317" si="1318">len(B1317)</f>
        <v>16</v>
      </c>
      <c r="J1317" s="8">
        <f t="shared" si="1318"/>
        <v>21</v>
      </c>
      <c r="K1317" s="8" t="s">
        <v>5618</v>
      </c>
    </row>
    <row r="1318">
      <c r="A1318" s="7" t="b">
        <v>1</v>
      </c>
      <c r="B1318" s="8" t="s">
        <v>5619</v>
      </c>
      <c r="C1318" s="8" t="s">
        <v>5620</v>
      </c>
      <c r="D1318" s="8" t="str">
        <f>Q&amp;$K1318&amp;Q&amp;":{"&amp;Q&amp;$B$2&amp;Q&amp;":"&amp;Q&amp;$B1318&amp;Q&amp;","&amp;Q&amp;$C$2&amp;Q&amp;":"&amp;Q&amp;$C1318&amp;Q&amp;","&amp;Q&amp;"sets"&amp;Q&amp;":"&amp;Q&amp;substitute(SUBSTITUTE($H1318,"[",""),"]","")&amp;Q&amp;"},"</f>
        <v>"zfzx":{"label":"Rio De Janeiro","extra":"Vibrant Brazilian city and home to Carnival. Blame it on Rio!","sets":"Expansion Set 3, Party Expansion 1"},</v>
      </c>
      <c r="E1318" s="9" t="str">
        <f t="shared" si="2"/>
        <v>data:image/svg+xml,%3csvg xmlns='http://www.w3.org/2000/svg' viewBox='0 0 24 216'%3e%3ctext fill='%23fff' style='font: 900 16px sans-serif' text-anchor='end' transform='matrix(0 -1 1 0 18 5)'%3eRio De Janeiro%3c/text%3e%3c/svg%3e</v>
      </c>
      <c r="F1318" s="14" t="str">
        <f t="shared" si="3"/>
        <v>https://svgtext.heliohost.us/cgi-bin/gen.perl?text=Rio%20De%20Janeiro</v>
      </c>
      <c r="G1318" s="11" t="str">
        <f t="shared" si="4"/>
        <v>data:image/svg+xml,%3csvg xmlns='http://www.w3.org/2000/svg' viewBox='0 0 24 216'%3e%3ctext fill='%23fff' style='font: 900 16px sans-serif' text-anchor='end' transform='matrix(0 -1 1 0 18 5)'%3eRio De Janeiro%3c/text%3e%3c/svg%3e</v>
      </c>
      <c r="H1318" s="8" t="s">
        <v>39</v>
      </c>
      <c r="I1318" s="8">
        <f t="shared" ref="I1318:J1318" si="1319">len(B1318)</f>
        <v>14</v>
      </c>
      <c r="J1318" s="8">
        <f t="shared" si="1319"/>
        <v>61</v>
      </c>
      <c r="K1318" s="8" t="s">
        <v>5621</v>
      </c>
    </row>
    <row r="1319">
      <c r="A1319" s="7" t="b">
        <v>1</v>
      </c>
      <c r="B1319" s="8" t="s">
        <v>5622</v>
      </c>
      <c r="C1319" s="8" t="s">
        <v>5623</v>
      </c>
      <c r="D1319" s="8" t="str">
        <f>Q&amp;$K1319&amp;Q&amp;":{"&amp;Q&amp;$B$2&amp;Q&amp;":"&amp;Q&amp;$B1319&amp;Q&amp;","&amp;Q&amp;$C$2&amp;Q&amp;":"&amp;Q&amp;$C1319&amp;Q&amp;","&amp;Q&amp;"sets"&amp;Q&amp;":"&amp;Q&amp;substitute(SUBSTITUTE($H1319,"[",""),"]","")&amp;Q&amp;"},"</f>
        <v>"vngj":{"label":"Rivers","extra":"Can you spell Mississippi?","sets":"Junior"},</v>
      </c>
      <c r="E1319" s="9" t="str">
        <f t="shared" si="2"/>
        <v>data:image/svg+xml,%3csvg xmlns='http://www.w3.org/2000/svg' viewBox='0 0 24 216'%3e%3ctext fill='%23fff' style='font: 900 16px sans-serif' text-anchor='end' transform='matrix(0 -1 1 0 18 5)'%3eRivers%3c/text%3e%3c/svg%3e</v>
      </c>
      <c r="F1319" s="14" t="str">
        <f t="shared" si="3"/>
        <v>https://svgtext.heliohost.us/cgi-bin/gen.perl?text=Rivers</v>
      </c>
      <c r="G1319" s="11" t="str">
        <f t="shared" si="4"/>
        <v>data:image/svg+xml,%3csvg xmlns='http://www.w3.org/2000/svg' viewBox='0 0 24 216'%3e%3ctext fill='%23fff' style='font: 900 16px sans-serif' text-anchor='end' transform='matrix(0 -1 1 0 18 5)'%3eRivers%3c/text%3e%3c/svg%3e</v>
      </c>
      <c r="H1319" s="8" t="s">
        <v>84</v>
      </c>
      <c r="I1319" s="8">
        <f t="shared" ref="I1319:J1319" si="1320">len(B1319)</f>
        <v>6</v>
      </c>
      <c r="J1319" s="8">
        <f t="shared" si="1320"/>
        <v>26</v>
      </c>
      <c r="K1319" s="8" t="s">
        <v>5624</v>
      </c>
    </row>
    <row r="1320">
      <c r="A1320" s="7" t="b">
        <v>0</v>
      </c>
      <c r="B1320" s="8" t="s">
        <v>5625</v>
      </c>
      <c r="C1320" s="7" t="s">
        <v>5626</v>
      </c>
      <c r="D1320" s="8" t="str">
        <f>Q&amp;$K1320&amp;Q&amp;":{"&amp;Q&amp;$B$2&amp;Q&amp;":"&amp;Q&amp;$B1320&amp;Q&amp;","&amp;Q&amp;$C$2&amp;Q&amp;":"&amp;Q&amp;$C1320&amp;Q&amp;","&amp;Q&amp;"sets"&amp;Q&amp;":"&amp;Q&amp;substitute(SUBSTITUTE($H1320,"[",""),"]","")&amp;Q&amp;"},"</f>
        <v>"qxmn":{"label":"Road Kill","extra":"Mmmmmm. Them's good eatin’.","sets":"Expansion Set 1, Party Set"},</v>
      </c>
      <c r="E1320" s="9" t="str">
        <f t="shared" si="2"/>
        <v>data:image/svg+xml,%3csvg xmlns='http://www.w3.org/2000/svg' viewBox='0 0 24 216'%3e%3ctext fill='%23fff' style='font: 900 16px sans-serif' text-anchor='end' transform='matrix(0 -1 1 0 18 5)'%3eRoad Kill%3c/text%3e%3c/svg%3e</v>
      </c>
      <c r="F1320" s="14" t="str">
        <f t="shared" si="3"/>
        <v>https://svgtext.heliohost.us/cgi-bin/gen.perl?text=Road%20Kill</v>
      </c>
      <c r="G1320" s="11" t="str">
        <f t="shared" si="4"/>
        <v>data:image/svg+xml,%3csvg xmlns='http://www.w3.org/2000/svg' viewBox='0 0 24 216'%3e%3ctext fill='%23fff' style='font: 900 16px sans-serif' text-anchor='end' transform='matrix(0 -1 1 0 18 5)'%3eRoad Kill%3c/text%3e%3c/svg%3e</v>
      </c>
      <c r="H1320" s="8" t="s">
        <v>25</v>
      </c>
      <c r="I1320" s="8">
        <f t="shared" ref="I1320:J1320" si="1321">len(B1320)</f>
        <v>9</v>
      </c>
      <c r="J1320" s="8">
        <f t="shared" si="1321"/>
        <v>27</v>
      </c>
      <c r="K1320" s="8" t="s">
        <v>5627</v>
      </c>
    </row>
    <row r="1321">
      <c r="A1321" s="7" t="b">
        <v>1</v>
      </c>
      <c r="B1321" s="8" t="s">
        <v>5628</v>
      </c>
      <c r="C1321" s="7" t="s">
        <v>5629</v>
      </c>
      <c r="D1321" s="8" t="str">
        <f>Q&amp;$K1321&amp;Q&amp;":{"&amp;Q&amp;$B$2&amp;Q&amp;":"&amp;Q&amp;$B1321&amp;Q&amp;","&amp;Q&amp;$C$2&amp;Q&amp;":"&amp;Q&amp;$C1321&amp;Q&amp;","&amp;Q&amp;"sets"&amp;Q&amp;":"&amp;Q&amp;substitute(SUBSTITUTE($H1321,"[",""),"]","")&amp;Q&amp;"},"</f>
        <v>"pxef":{"label":"Road Rage","extra":"Ten years ago we complained about potholes. NOW we’re dodging pot-shots.","sets":"Expansion Set 3, Party Expansion 1"},</v>
      </c>
      <c r="E1321" s="9" t="str">
        <f t="shared" si="2"/>
        <v>data:image/svg+xml,%3csvg xmlns='http://www.w3.org/2000/svg' viewBox='0 0 24 216'%3e%3ctext fill='%23fff' style='font: 900 16px sans-serif' text-anchor='end' transform='matrix(0 -1 1 0 18 5)'%3eRoad Rage%3c/text%3e%3c/svg%3e</v>
      </c>
      <c r="F1321" s="14" t="str">
        <f t="shared" si="3"/>
        <v>https://svgtext.heliohost.us/cgi-bin/gen.perl?text=Road%20Rage</v>
      </c>
      <c r="G1321" s="11" t="str">
        <f t="shared" si="4"/>
        <v>data:image/svg+xml,%3csvg xmlns='http://www.w3.org/2000/svg' viewBox='0 0 24 216'%3e%3ctext fill='%23fff' style='font: 900 16px sans-serif' text-anchor='end' transform='matrix(0 -1 1 0 18 5)'%3eRoad Rage%3c/text%3e%3c/svg%3e</v>
      </c>
      <c r="H1321" s="8" t="s">
        <v>39</v>
      </c>
      <c r="I1321" s="8">
        <f t="shared" ref="I1321:J1321" si="1322">len(B1321)</f>
        <v>9</v>
      </c>
      <c r="J1321" s="8">
        <f t="shared" si="1322"/>
        <v>72</v>
      </c>
      <c r="K1321" s="8" t="s">
        <v>5630</v>
      </c>
    </row>
    <row r="1322">
      <c r="A1322" s="7" t="b">
        <v>0</v>
      </c>
      <c r="B1322" s="8" t="s">
        <v>5631</v>
      </c>
      <c r="C1322" s="7" t="s">
        <v>5632</v>
      </c>
      <c r="D1322" s="8" t="str">
        <f>Q&amp;$K1322&amp;Q&amp;":{"&amp;Q&amp;$B$2&amp;Q&amp;":"&amp;Q&amp;$B1322&amp;Q&amp;","&amp;Q&amp;$C$2&amp;Q&amp;":"&amp;Q&amp;$C1322&amp;Q&amp;","&amp;Q&amp;"sets"&amp;Q&amp;":"&amp;Q&amp;substitute(SUBSTITUTE($H1322,"[",""),"]","")&amp;Q&amp;"},"</f>
        <v>"ufnq":{"label":"Road Trips","extra":"“Get Your Kicks on Route 66.” —Nelson Riddle","sets":"Expansion Set 1, Party Set"},</v>
      </c>
      <c r="E1322" s="9" t="str">
        <f t="shared" si="2"/>
        <v>data:image/svg+xml,%3csvg xmlns='http://www.w3.org/2000/svg' viewBox='0 0 24 216'%3e%3ctext fill='%23fff' style='font: 900 16px sans-serif' text-anchor='end' transform='matrix(0 -1 1 0 18 5)'%3eRoad Trips%3c/text%3e%3c/svg%3e</v>
      </c>
      <c r="F1322" s="14" t="str">
        <f t="shared" si="3"/>
        <v>https://svgtext.heliohost.us/cgi-bin/gen.perl?text=Road%20Trips</v>
      </c>
      <c r="G1322" s="11" t="str">
        <f t="shared" si="4"/>
        <v>data:image/svg+xml,%3csvg xmlns='http://www.w3.org/2000/svg' viewBox='0 0 24 216'%3e%3ctext fill='%23fff' style='font: 900 16px sans-serif' text-anchor='end' transform='matrix(0 -1 1 0 18 5)'%3eRoad Trips%3c/text%3e%3c/svg%3e</v>
      </c>
      <c r="H1322" s="8" t="s">
        <v>25</v>
      </c>
      <c r="I1322" s="8">
        <f t="shared" ref="I1322:J1322" si="1323">len(B1322)</f>
        <v>10</v>
      </c>
      <c r="J1322" s="8">
        <f t="shared" si="1323"/>
        <v>44</v>
      </c>
      <c r="K1322" s="8" t="s">
        <v>5633</v>
      </c>
    </row>
    <row r="1323">
      <c r="A1323" s="7" t="b">
        <v>0</v>
      </c>
      <c r="B1323" s="8" t="s">
        <v>5634</v>
      </c>
      <c r="C1323" s="7" t="s">
        <v>5635</v>
      </c>
      <c r="D1323" s="8" t="str">
        <f>Q&amp;$K1323&amp;Q&amp;":{"&amp;Q&amp;$B$2&amp;Q&amp;":"&amp;Q&amp;$B1323&amp;Q&amp;","&amp;Q&amp;$C$2&amp;Q&amp;":"&amp;Q&amp;$C1323&amp;Q&amp;","&amp;Q&amp;"sets"&amp;Q&amp;":"&amp;Q&amp;substitute(SUBSTITUTE($H1323,"[",""),"]","")&amp;Q&amp;"},"</f>
        <v>"tcgw":{"label":"Robert DeNiro","extra":"1943-, Pre-eminent American actor who earned Academy Awards for “The Godfather II” and “Raging Bull.” “Are you looking at me?”","sets":"Expansion Set 2, Party Set"},</v>
      </c>
      <c r="E1323" s="9" t="str">
        <f t="shared" si="2"/>
        <v>data:image/svg+xml,%3csvg xmlns='http://www.w3.org/2000/svg' viewBox='0 0 24 216'%3e%3ctext fill='%23fff' style='font: 900 16px sans-serif' text-anchor='end' transform='matrix(0 -1 1 0 18 5)'%3eRobert DeNiro%3c/text%3e%3c/svg%3e</v>
      </c>
      <c r="F1323" s="14" t="str">
        <f t="shared" si="3"/>
        <v>https://svgtext.heliohost.us/cgi-bin/gen.perl?text=Robert%20DeNiro</v>
      </c>
      <c r="G1323" s="11" t="str">
        <f t="shared" si="4"/>
        <v>data:image/svg+xml,%3csvg xmlns='http://www.w3.org/2000/svg' viewBox='0 0 24 216'%3e%3ctext fill='%23fff' style='font: 900 16px sans-serif' text-anchor='end' transform='matrix(0 -1 1 0 18 5)'%3eRobert DeNiro%3c/text%3e%3c/svg%3e</v>
      </c>
      <c r="H1323" s="8" t="s">
        <v>17</v>
      </c>
      <c r="I1323" s="8">
        <f t="shared" ref="I1323:J1323" si="1324">len(B1323)</f>
        <v>13</v>
      </c>
      <c r="J1323" s="8">
        <f t="shared" si="1324"/>
        <v>126</v>
      </c>
      <c r="K1323" s="8" t="s">
        <v>5636</v>
      </c>
    </row>
    <row r="1324">
      <c r="A1324" s="7" t="b">
        <v>1</v>
      </c>
      <c r="B1324" s="8" t="s">
        <v>5637</v>
      </c>
      <c r="C1324" s="8" t="s">
        <v>5638</v>
      </c>
      <c r="D1324" s="8" t="str">
        <f>Q&amp;$K1324&amp;Q&amp;":{"&amp;Q&amp;$B$2&amp;Q&amp;":"&amp;Q&amp;$B1324&amp;Q&amp;","&amp;Q&amp;$C$2&amp;Q&amp;":"&amp;Q&amp;$C1324&amp;Q&amp;","&amp;Q&amp;"sets"&amp;Q&amp;":"&amp;Q&amp;substitute(SUBSTITUTE($H1324,"[",""),"]","")&amp;Q&amp;"},"</f>
        <v>"svsz":{"label":"Robin Hood","extra":"Legendary British outlaw who stole from the rich and gave to the poor, known for his courage, skill, and Merry Men.","sets":"Expansion Set 3, Party Expansion 1"},</v>
      </c>
      <c r="E1324" s="9" t="str">
        <f t="shared" si="2"/>
        <v>data:image/svg+xml,%3csvg xmlns='http://www.w3.org/2000/svg' viewBox='0 0 24 216'%3e%3ctext fill='%23fff' style='font: 900 16px sans-serif' text-anchor='end' transform='matrix(0 -1 1 0 18 5)'%3eRobin Hood%3c/text%3e%3c/svg%3e</v>
      </c>
      <c r="F1324" s="14" t="str">
        <f t="shared" si="3"/>
        <v>https://svgtext.heliohost.us/cgi-bin/gen.perl?text=Robin%20Hood</v>
      </c>
      <c r="G1324" s="11" t="str">
        <f t="shared" si="4"/>
        <v>data:image/svg+xml,%3csvg xmlns='http://www.w3.org/2000/svg' viewBox='0 0 24 216'%3e%3ctext fill='%23fff' style='font: 900 16px sans-serif' text-anchor='end' transform='matrix(0 -1 1 0 18 5)'%3eRobin Hood%3c/text%3e%3c/svg%3e</v>
      </c>
      <c r="H1324" s="8" t="s">
        <v>39</v>
      </c>
      <c r="I1324" s="8">
        <f t="shared" ref="I1324:J1324" si="1325">len(B1324)</f>
        <v>10</v>
      </c>
      <c r="J1324" s="8">
        <f t="shared" si="1325"/>
        <v>115</v>
      </c>
      <c r="K1324" s="8" t="s">
        <v>5639</v>
      </c>
    </row>
    <row r="1325">
      <c r="A1325" s="7" t="b">
        <v>0</v>
      </c>
      <c r="B1325" s="8" t="s">
        <v>5640</v>
      </c>
      <c r="C1325" s="8" t="s">
        <v>5641</v>
      </c>
      <c r="D1325" s="8" t="str">
        <f>Q&amp;$K1325&amp;Q&amp;":{"&amp;Q&amp;$B$2&amp;Q&amp;":"&amp;Q&amp;$B1325&amp;Q&amp;","&amp;Q&amp;$C$2&amp;Q&amp;":"&amp;Q&amp;$C1325&amp;Q&amp;","&amp;Q&amp;"sets"&amp;Q&amp;":"&amp;Q&amp;substitute(SUBSTITUTE($H1325,"[",""),"]","")&amp;Q&amp;"},"</f>
        <v>"turh":{"label":"Robin Williams","extra":"1952-, versatile American comedian and actor. The furriest man in show business.","sets":"Basic Set, Party Set"},</v>
      </c>
      <c r="E1325" s="9" t="str">
        <f t="shared" si="2"/>
        <v>data:image/svg+xml,%3csvg xmlns='http://www.w3.org/2000/svg' viewBox='0 0 24 216'%3e%3ctext fill='%23fff' style='font: 900 16px sans-serif' text-anchor='end' transform='matrix(0 -1 1 0 18 5)'%3eRobin Williams%3c/text%3e%3c/svg%3e</v>
      </c>
      <c r="F1325" s="14" t="str">
        <f t="shared" si="3"/>
        <v>https://svgtext.heliohost.us/cgi-bin/gen.perl?text=Robin%20Williams</v>
      </c>
      <c r="G1325" s="11" t="str">
        <f t="shared" si="4"/>
        <v>data:image/svg+xml,%3csvg xmlns='http://www.w3.org/2000/svg' viewBox='0 0 24 216'%3e%3ctext fill='%23fff' style='font: 900 16px sans-serif' text-anchor='end' transform='matrix(0 -1 1 0 18 5)'%3eRobin Williams%3c/text%3e%3c/svg%3e</v>
      </c>
      <c r="H1325" s="8" t="s">
        <v>29</v>
      </c>
      <c r="I1325" s="8">
        <f t="shared" ref="I1325:J1325" si="1326">len(B1325)</f>
        <v>14</v>
      </c>
      <c r="J1325" s="8">
        <f t="shared" si="1326"/>
        <v>80</v>
      </c>
      <c r="K1325" s="8" t="s">
        <v>5642</v>
      </c>
    </row>
    <row r="1326">
      <c r="A1326" s="7" t="b">
        <v>1</v>
      </c>
      <c r="B1326" s="8" t="s">
        <v>5643</v>
      </c>
      <c r="C1326" s="8" t="s">
        <v>5644</v>
      </c>
      <c r="D1326" s="8" t="str">
        <f>Q&amp;$K1326&amp;Q&amp;":{"&amp;Q&amp;$B$2&amp;Q&amp;":"&amp;Q&amp;$B1326&amp;Q&amp;","&amp;Q&amp;$C$2&amp;Q&amp;":"&amp;Q&amp;$C1326&amp;Q&amp;","&amp;Q&amp;"sets"&amp;Q&amp;":"&amp;Q&amp;substitute(SUBSTITUTE($H1326,"[",""),"]","")&amp;Q&amp;"},"</f>
        <v>"wnpw":{"label":"Robots","extra":"They should make a robot that does homework.","sets":"Junior 9+ (1st) &amp; (2nd)"},</v>
      </c>
      <c r="E1326" s="9" t="str">
        <f t="shared" si="2"/>
        <v>data:image/svg+xml,%3csvg xmlns='http://www.w3.org/2000/svg' viewBox='0 0 24 216'%3e%3ctext fill='%23fff' style='font: 900 16px sans-serif' text-anchor='end' transform='matrix(0 -1 1 0 18 5)'%3eRobots%3c/text%3e%3c/svg%3e</v>
      </c>
      <c r="F1326" s="14" t="str">
        <f t="shared" si="3"/>
        <v>https://svgtext.heliohost.us/cgi-bin/gen.perl?text=Robots</v>
      </c>
      <c r="G1326" s="11" t="str">
        <f t="shared" si="4"/>
        <v>data:image/svg+xml,%3csvg xmlns='http://www.w3.org/2000/svg' viewBox='0 0 24 216'%3e%3ctext fill='%23fff' style='font: 900 16px sans-serif' text-anchor='end' transform='matrix(0 -1 1 0 18 5)'%3eRobots%3c/text%3e%3c/svg%3e</v>
      </c>
      <c r="H1326" s="8" t="s">
        <v>42</v>
      </c>
      <c r="I1326" s="8">
        <f t="shared" ref="I1326:J1326" si="1327">len(B1326)</f>
        <v>6</v>
      </c>
      <c r="J1326" s="8">
        <f t="shared" si="1327"/>
        <v>44</v>
      </c>
      <c r="K1326" s="8" t="s">
        <v>5645</v>
      </c>
    </row>
    <row r="1327">
      <c r="A1327" s="7" t="b">
        <v>1</v>
      </c>
      <c r="B1327" s="8" t="s">
        <v>5646</v>
      </c>
      <c r="C1327" s="7" t="s">
        <v>5647</v>
      </c>
      <c r="D1327" s="8" t="str">
        <f>Q&amp;$K1327&amp;Q&amp;":{"&amp;Q&amp;$B$2&amp;Q&amp;":"&amp;Q&amp;$B1327&amp;Q&amp;","&amp;Q&amp;$C$2&amp;Q&amp;":"&amp;Q&amp;$C1327&amp;Q&amp;","&amp;Q&amp;"sets"&amp;Q&amp;":"&amp;Q&amp;substitute(SUBSTITUTE($H1327,"[",""),"]","")&amp;Q&amp;"},"</f>
        <v>"ulqb":{"label":"Rock &amp; Roll","extra":"It’ll never die. Unlike Rock and Roll musicians.","sets":"Expansion Set 4, Party Expansion 1"},</v>
      </c>
      <c r="E1327" s="9" t="str">
        <f t="shared" si="2"/>
        <v>data:image/svg+xml,%3csvg xmlns='http://www.w3.org/2000/svg' viewBox='0 0 24 216'%3e%3ctext fill='%23fff' style='font: 900 16px sans-serif' text-anchor='end' transform='matrix(0 -1 1 0 18 5)'%3eRock %26amp%3B Roll%3c/text%3e%3c/svg%3e</v>
      </c>
      <c r="F1327" s="14" t="str">
        <f t="shared" si="3"/>
        <v>https://svgtext.heliohost.us/cgi-bin/gen.perl?text=Rock%20%26%20Roll</v>
      </c>
      <c r="G1327" s="11" t="str">
        <f t="shared" si="4"/>
        <v>data:image/svg+xml,%3csvg xmlns='http://www.w3.org/2000/svg' viewBox='0 0 24 216'%3e%3ctext fill='%23fff' style='font: 900 16px sans-serif' text-anchor='end' transform='matrix(0 -1 1 0 18 5)'%3eRock %26amp%3B Roll%3c/text%3e%3c/svg%3e</v>
      </c>
      <c r="H1327" s="8" t="s">
        <v>63</v>
      </c>
      <c r="I1327" s="8">
        <f t="shared" ref="I1327:J1327" si="1328">len(B1327)</f>
        <v>11</v>
      </c>
      <c r="J1327" s="8">
        <f t="shared" si="1328"/>
        <v>48</v>
      </c>
      <c r="K1327" s="8" t="s">
        <v>5648</v>
      </c>
    </row>
    <row r="1328">
      <c r="A1328" s="7" t="b">
        <v>0</v>
      </c>
      <c r="B1328" s="8" t="s">
        <v>5649</v>
      </c>
      <c r="C1328" s="7" t="s">
        <v>5650</v>
      </c>
      <c r="D1328" s="8" t="str">
        <f>Q&amp;$K1328&amp;Q&amp;":{"&amp;Q&amp;$B$2&amp;Q&amp;":"&amp;Q&amp;$B1328&amp;Q&amp;","&amp;Q&amp;$C$2&amp;Q&amp;":"&amp;Q&amp;$C1328&amp;Q&amp;","&amp;Q&amp;"sets"&amp;Q&amp;":"&amp;Q&amp;substitute(SUBSTITUTE($H1328,"[",""),"]","")&amp;Q&amp;"},"</f>
        <v>"jpaz":{"label":"Rock And Roll","extra":"It’s here to stay!","sets":"Expansion Set 2, Party Set"},</v>
      </c>
      <c r="E1328" s="9" t="str">
        <f t="shared" si="2"/>
        <v>data:image/svg+xml,%3csvg xmlns='http://www.w3.org/2000/svg' viewBox='0 0 24 216'%3e%3ctext fill='%23fff' style='font: 900 16px sans-serif' text-anchor='end' transform='matrix(0 -1 1 0 18 5)'%3eRock And Roll%3c/text%3e%3c/svg%3e</v>
      </c>
      <c r="F1328" s="14" t="str">
        <f t="shared" si="3"/>
        <v>https://svgtext.heliohost.us/cgi-bin/gen.perl?text=Rock%20And%20Roll</v>
      </c>
      <c r="G1328" s="11" t="str">
        <f t="shared" si="4"/>
        <v>data:image/svg+xml,%3csvg xmlns='http://www.w3.org/2000/svg' viewBox='0 0 24 216'%3e%3ctext fill='%23fff' style='font: 900 16px sans-serif' text-anchor='end' transform='matrix(0 -1 1 0 18 5)'%3eRock And Roll%3c/text%3e%3c/svg%3e</v>
      </c>
      <c r="H1328" s="8" t="s">
        <v>17</v>
      </c>
      <c r="I1328" s="8">
        <f t="shared" ref="I1328:J1328" si="1329">len(B1328)</f>
        <v>13</v>
      </c>
      <c r="J1328" s="8">
        <f t="shared" si="1329"/>
        <v>18</v>
      </c>
      <c r="K1328" s="8" t="s">
        <v>5651</v>
      </c>
    </row>
    <row r="1329">
      <c r="A1329" s="7" t="b">
        <v>1</v>
      </c>
      <c r="B1329" s="8" t="s">
        <v>5652</v>
      </c>
      <c r="C1329" s="8" t="s">
        <v>5653</v>
      </c>
      <c r="D1329" s="8" t="str">
        <f>Q&amp;$K1329&amp;Q&amp;":{"&amp;Q&amp;$B$2&amp;Q&amp;":"&amp;Q&amp;$B1329&amp;Q&amp;","&amp;Q&amp;$C$2&amp;Q&amp;":"&amp;Q&amp;$C1329&amp;Q&amp;","&amp;Q&amp;"sets"&amp;Q&amp;":"&amp;Q&amp;substitute(SUBSTITUTE($H1329,"[",""),"]","")&amp;Q&amp;"},"</f>
        <v>"xkek":{"label":"Rock Candy","extra":"Large, clear sugar crystals- rock hard!","sets":"Junior 9+ (2nd)"},</v>
      </c>
      <c r="E1329" s="9" t="str">
        <f t="shared" si="2"/>
        <v>data:image/svg+xml,%3csvg xmlns='http://www.w3.org/2000/svg' viewBox='0 0 24 216'%3e%3ctext fill='%23fff' style='font: 900 16px sans-serif' text-anchor='end' transform='matrix(0 -1 1 0 18 5)'%3eRock Candy%3c/text%3e%3c/svg%3e</v>
      </c>
      <c r="F1329" s="14" t="str">
        <f t="shared" si="3"/>
        <v>https://svgtext.heliohost.us/cgi-bin/gen.perl?text=Rock%20Candy</v>
      </c>
      <c r="G1329" s="11" t="str">
        <f t="shared" si="4"/>
        <v>data:image/svg+xml,%3csvg xmlns='http://www.w3.org/2000/svg' viewBox='0 0 24 216'%3e%3ctext fill='%23fff' style='font: 900 16px sans-serif' text-anchor='end' transform='matrix(0 -1 1 0 18 5)'%3eRock Candy%3c/text%3e%3c/svg%3e</v>
      </c>
      <c r="H1329" s="8" t="s">
        <v>32</v>
      </c>
      <c r="I1329" s="8">
        <f t="shared" ref="I1329:J1329" si="1330">len(B1329)</f>
        <v>10</v>
      </c>
      <c r="J1329" s="8">
        <f t="shared" si="1330"/>
        <v>39</v>
      </c>
      <c r="K1329" s="8" t="s">
        <v>5654</v>
      </c>
    </row>
    <row r="1330">
      <c r="A1330" s="7" t="b">
        <v>0</v>
      </c>
      <c r="B1330" s="8" t="s">
        <v>5655</v>
      </c>
      <c r="C1330" s="7" t="s">
        <v>5656</v>
      </c>
      <c r="D1330" s="8" t="str">
        <f>Q&amp;$K1330&amp;Q&amp;":{"&amp;Q&amp;$B$2&amp;Q&amp;":"&amp;Q&amp;$B1330&amp;Q&amp;","&amp;Q&amp;$C$2&amp;Q&amp;":"&amp;Q&amp;$C1330&amp;Q&amp;","&amp;Q&amp;"sets"&amp;Q&amp;":"&amp;Q&amp;substitute(SUBSTITUTE($H1330,"[",""),"]","")&amp;Q&amp;"},"</f>
        <v>"kiod":{"label":"Rock Concert","extra":"If it's too loud, you’re too old.","sets":"Basic Set, Party Set"},</v>
      </c>
      <c r="E1330" s="9" t="str">
        <f t="shared" si="2"/>
        <v>data:image/svg+xml,%3csvg xmlns='http://www.w3.org/2000/svg' viewBox='0 0 24 216'%3e%3ctext fill='%23fff' style='font: 900 16px sans-serif' text-anchor='end' transform='matrix(0 -1 1 0 18 5)'%3eRock Concert%3c/text%3e%3c/svg%3e</v>
      </c>
      <c r="F1330" s="14" t="str">
        <f t="shared" si="3"/>
        <v>https://svgtext.heliohost.us/cgi-bin/gen.perl?text=Rock%20Concert</v>
      </c>
      <c r="G1330" s="11" t="str">
        <f t="shared" si="4"/>
        <v>data:image/svg+xml,%3csvg xmlns='http://www.w3.org/2000/svg' viewBox='0 0 24 216'%3e%3ctext fill='%23fff' style='font: 900 16px sans-serif' text-anchor='end' transform='matrix(0 -1 1 0 18 5)'%3eRock Concert%3c/text%3e%3c/svg%3e</v>
      </c>
      <c r="H1330" s="8" t="s">
        <v>29</v>
      </c>
      <c r="I1330" s="8">
        <f t="shared" ref="I1330:J1330" si="1331">len(B1330)</f>
        <v>12</v>
      </c>
      <c r="J1330" s="8">
        <f t="shared" si="1331"/>
        <v>33</v>
      </c>
      <c r="K1330" s="8" t="s">
        <v>5657</v>
      </c>
    </row>
    <row r="1331">
      <c r="A1331" s="7" t="b">
        <v>1</v>
      </c>
      <c r="B1331" s="8" t="s">
        <v>5658</v>
      </c>
      <c r="C1331" s="8" t="s">
        <v>5659</v>
      </c>
      <c r="D1331" s="8" t="str">
        <f>Q&amp;$K1331&amp;Q&amp;":{"&amp;Q&amp;$B$2&amp;Q&amp;":"&amp;Q&amp;$B1331&amp;Q&amp;","&amp;Q&amp;$C$2&amp;Q&amp;":"&amp;Q&amp;$C1331&amp;Q&amp;","&amp;Q&amp;"sets"&amp;Q&amp;":"&amp;Q&amp;substitute(SUBSTITUTE($H1331,"[",""),"]","")&amp;Q&amp;"},"</f>
        <v>"kbnz":{"label":"Rock Concerts","extra":"Not on a school night!","sets":"Junior 9+ (2nd)"},</v>
      </c>
      <c r="E1331" s="9" t="str">
        <f t="shared" si="2"/>
        <v>data:image/svg+xml,%3csvg xmlns='http://www.w3.org/2000/svg' viewBox='0 0 24 216'%3e%3ctext fill='%23fff' style='font: 900 16px sans-serif' text-anchor='end' transform='matrix(0 -1 1 0 18 5)'%3eRock Concerts%3c/text%3e%3c/svg%3e</v>
      </c>
      <c r="F1331" s="14" t="str">
        <f t="shared" si="3"/>
        <v>https://svgtext.heliohost.us/cgi-bin/gen.perl?text=Rock%20Concerts</v>
      </c>
      <c r="G1331" s="11" t="str">
        <f t="shared" si="4"/>
        <v>data:image/svg+xml,%3csvg xmlns='http://www.w3.org/2000/svg' viewBox='0 0 24 216'%3e%3ctext fill='%23fff' style='font: 900 16px sans-serif' text-anchor='end' transform='matrix(0 -1 1 0 18 5)'%3eRock Concerts%3c/text%3e%3c/svg%3e</v>
      </c>
      <c r="H1331" s="8" t="s">
        <v>32</v>
      </c>
      <c r="I1331" s="8">
        <f t="shared" ref="I1331:J1331" si="1332">len(B1331)</f>
        <v>13</v>
      </c>
      <c r="J1331" s="8">
        <f t="shared" si="1332"/>
        <v>22</v>
      </c>
      <c r="K1331" s="8" t="s">
        <v>5660</v>
      </c>
    </row>
    <row r="1332">
      <c r="A1332" s="7" t="b">
        <v>1</v>
      </c>
      <c r="B1332" s="8" t="s">
        <v>5661</v>
      </c>
      <c r="C1332" s="8" t="s">
        <v>5662</v>
      </c>
      <c r="D1332" s="8" t="str">
        <f>Q&amp;$K1332&amp;Q&amp;":{"&amp;Q&amp;$B$2&amp;Q&amp;":"&amp;Q&amp;$B1332&amp;Q&amp;","&amp;Q&amp;$C$2&amp;Q&amp;":"&amp;Q&amp;$C1332&amp;Q&amp;","&amp;Q&amp;"sets"&amp;Q&amp;":"&amp;Q&amp;substitute(SUBSTITUTE($H1332,"[",""),"]","")&amp;Q&amp;"},"</f>
        <v>"xtji":{"label":"Rock Stars","extra":"Even the guys wear make-up!","sets":"Junior 9+ (2nd)"},</v>
      </c>
      <c r="E1332" s="9" t="str">
        <f t="shared" si="2"/>
        <v>data:image/svg+xml,%3csvg xmlns='http://www.w3.org/2000/svg' viewBox='0 0 24 216'%3e%3ctext fill='%23fff' style='font: 900 16px sans-serif' text-anchor='end' transform='matrix(0 -1 1 0 18 5)'%3eRock Stars%3c/text%3e%3c/svg%3e</v>
      </c>
      <c r="F1332" s="14" t="str">
        <f t="shared" si="3"/>
        <v>https://svgtext.heliohost.us/cgi-bin/gen.perl?text=Rock%20Stars</v>
      </c>
      <c r="G1332" s="11" t="str">
        <f t="shared" si="4"/>
        <v>data:image/svg+xml,%3csvg xmlns='http://www.w3.org/2000/svg' viewBox='0 0 24 216'%3e%3ctext fill='%23fff' style='font: 900 16px sans-serif' text-anchor='end' transform='matrix(0 -1 1 0 18 5)'%3eRock Stars%3c/text%3e%3c/svg%3e</v>
      </c>
      <c r="H1332" s="8" t="s">
        <v>32</v>
      </c>
      <c r="I1332" s="8">
        <f t="shared" ref="I1332:J1332" si="1333">len(B1332)</f>
        <v>10</v>
      </c>
      <c r="J1332" s="8">
        <f t="shared" si="1333"/>
        <v>27</v>
      </c>
      <c r="K1332" s="8" t="s">
        <v>5663</v>
      </c>
    </row>
    <row r="1333">
      <c r="A1333" s="7" t="b">
        <v>0</v>
      </c>
      <c r="B1333" s="8" t="s">
        <v>5664</v>
      </c>
      <c r="C1333" s="7" t="s">
        <v>5665</v>
      </c>
      <c r="D1333" s="8" t="str">
        <f>Q&amp;$K1333&amp;Q&amp;":{"&amp;Q&amp;$B$2&amp;Q&amp;":"&amp;Q&amp;$B1333&amp;Q&amp;","&amp;Q&amp;$C$2&amp;Q&amp;":"&amp;Q&amp;$C1333&amp;Q&amp;","&amp;Q&amp;"sets"&amp;Q&amp;":"&amp;Q&amp;substitute(SUBSTITUTE($H1333,"[",""),"]","")&amp;Q&amp;"},"</f>
        <v>"xnus":{"label":"Rocket Scientists","extra":"Hey! They’re not rocket scie… oh… never mind.","sets":"Expansion Set 1, Party Set"},</v>
      </c>
      <c r="E1333" s="9" t="str">
        <f t="shared" si="2"/>
        <v>data:image/svg+xml,%3csvg xmlns='http://www.w3.org/2000/svg' viewBox='0 0 24 216'%3e%3ctext fill='%23fff' style='font: 900 16px sans-serif' text-anchor='end' transform='matrix(0 -1 1 0 18 5)'%3eRocket Scientists%3c/text%3e%3c/svg%3e</v>
      </c>
      <c r="F1333" s="14" t="str">
        <f t="shared" si="3"/>
        <v>https://svgtext.heliohost.us/cgi-bin/gen.perl?text=Rocket%20Scientists</v>
      </c>
      <c r="G1333" s="11" t="str">
        <f t="shared" si="4"/>
        <v>data:image/svg+xml,%3csvg xmlns='http://www.w3.org/2000/svg' viewBox='0 0 24 216'%3e%3ctext fill='%23fff' style='font: 900 16px sans-serif' text-anchor='end' transform='matrix(0 -1 1 0 18 5)'%3eRocket Scientists%3c/text%3e%3c/svg%3e</v>
      </c>
      <c r="H1333" s="8" t="s">
        <v>25</v>
      </c>
      <c r="I1333" s="8">
        <f t="shared" ref="I1333:J1333" si="1334">len(B1333)</f>
        <v>17</v>
      </c>
      <c r="J1333" s="8">
        <f t="shared" si="1334"/>
        <v>45</v>
      </c>
      <c r="K1333" s="8" t="s">
        <v>5666</v>
      </c>
    </row>
    <row r="1334">
      <c r="A1334" s="7" t="b">
        <v>1</v>
      </c>
      <c r="B1334" s="8" t="s">
        <v>5667</v>
      </c>
      <c r="C1334" s="8" t="s">
        <v>5668</v>
      </c>
      <c r="D1334" s="8" t="str">
        <f>Q&amp;$K1334&amp;Q&amp;":{"&amp;Q&amp;$B$2&amp;Q&amp;":"&amp;Q&amp;$B1334&amp;Q&amp;","&amp;Q&amp;$C$2&amp;Q&amp;":"&amp;Q&amp;$C1334&amp;Q&amp;","&amp;Q&amp;"sets"&amp;Q&amp;":"&amp;Q&amp;substitute(SUBSTITUTE($H1334,"[",""),"]","")&amp;Q&amp;"},"</f>
        <v>"pvfj":{"label":"Rocking Chairs","extra":"Rock-a-bye baby.","sets":"Junior 9+ (1st) &amp; (2nd)"},</v>
      </c>
      <c r="E1334" s="9" t="str">
        <f t="shared" si="2"/>
        <v>data:image/svg+xml,%3csvg xmlns='http://www.w3.org/2000/svg' viewBox='0 0 24 216'%3e%3ctext fill='%23fff' style='font: 900 16px sans-serif' text-anchor='end' transform='matrix(0 -1 1 0 18 5)'%3eRocking Chairs%3c/text%3e%3c/svg%3e</v>
      </c>
      <c r="F1334" s="14" t="str">
        <f t="shared" si="3"/>
        <v>https://svgtext.heliohost.us/cgi-bin/gen.perl?text=Rocking%20Chairs</v>
      </c>
      <c r="G1334" s="11" t="str">
        <f t="shared" si="4"/>
        <v>data:image/svg+xml,%3csvg xmlns='http://www.w3.org/2000/svg' viewBox='0 0 24 216'%3e%3ctext fill='%23fff' style='font: 900 16px sans-serif' text-anchor='end' transform='matrix(0 -1 1 0 18 5)'%3eRocking Chairs%3c/text%3e%3c/svg%3e</v>
      </c>
      <c r="H1334" s="8" t="s">
        <v>42</v>
      </c>
      <c r="I1334" s="8">
        <f t="shared" ref="I1334:J1334" si="1335">len(B1334)</f>
        <v>14</v>
      </c>
      <c r="J1334" s="8">
        <f t="shared" si="1335"/>
        <v>16</v>
      </c>
      <c r="K1334" s="8" t="s">
        <v>5669</v>
      </c>
    </row>
    <row r="1335">
      <c r="A1335" s="7" t="b">
        <v>1</v>
      </c>
      <c r="B1335" s="8" t="s">
        <v>5670</v>
      </c>
      <c r="C1335" s="8" t="s">
        <v>5671</v>
      </c>
      <c r="D1335" s="8" t="str">
        <f>Q&amp;$K1335&amp;Q&amp;":{"&amp;Q&amp;$B$2&amp;Q&amp;":"&amp;Q&amp;$B1335&amp;Q&amp;","&amp;Q&amp;$C$2&amp;Q&amp;":"&amp;Q&amp;$C1335&amp;Q&amp;","&amp;Q&amp;"sets"&amp;Q&amp;":"&amp;Q&amp;substitute(SUBSTITUTE($H1335,"[",""),"]","")&amp;Q&amp;"},"</f>
        <v>"gsyg":{"label":"Rocks","extra":"Rock collectors are sometimes called rockhounds.","sets":"Junior 9+ (1st) &amp; (2nd)"},</v>
      </c>
      <c r="E1335" s="9" t="str">
        <f t="shared" si="2"/>
        <v>data:image/svg+xml,%3csvg xmlns='http://www.w3.org/2000/svg' viewBox='0 0 24 216'%3e%3ctext fill='%23fff' style='font: 900 16px sans-serif' text-anchor='end' transform='matrix(0 -1 1 0 18 5)'%3eRocks%3c/text%3e%3c/svg%3e</v>
      </c>
      <c r="F1335" s="14" t="str">
        <f t="shared" si="3"/>
        <v>https://svgtext.heliohost.us/cgi-bin/gen.perl?text=Rocks</v>
      </c>
      <c r="G1335" s="11" t="str">
        <f t="shared" si="4"/>
        <v>data:image/svg+xml,%3csvg xmlns='http://www.w3.org/2000/svg' viewBox='0 0 24 216'%3e%3ctext fill='%23fff' style='font: 900 16px sans-serif' text-anchor='end' transform='matrix(0 -1 1 0 18 5)'%3eRocks%3c/text%3e%3c/svg%3e</v>
      </c>
      <c r="H1335" s="8" t="s">
        <v>42</v>
      </c>
      <c r="I1335" s="8">
        <f t="shared" ref="I1335:J1335" si="1336">len(B1335)</f>
        <v>5</v>
      </c>
      <c r="J1335" s="8">
        <f t="shared" si="1336"/>
        <v>48</v>
      </c>
      <c r="K1335" s="8" t="s">
        <v>5672</v>
      </c>
    </row>
    <row r="1336">
      <c r="A1336" s="7" t="b">
        <v>0</v>
      </c>
      <c r="B1336" s="8" t="s">
        <v>5673</v>
      </c>
      <c r="C1336" s="7" t="s">
        <v>5674</v>
      </c>
      <c r="D1336" s="8" t="str">
        <f>Q&amp;$K1336&amp;Q&amp;":{"&amp;Q&amp;$B$2&amp;Q&amp;":"&amp;Q&amp;$B1336&amp;Q&amp;","&amp;Q&amp;$C$2&amp;Q&amp;":"&amp;Q&amp;$C1336&amp;Q&amp;","&amp;Q&amp;"sets"&amp;Q&amp;":"&amp;Q&amp;substitute(SUBSTITUTE($H1336,"[",""),"]","")&amp;Q&amp;"},"</f>
        <v>"fqvs":{"label":"Rocky Mountains","extra":"These extend 2,000 miles from northeastern British Columbia to central New Mexico, and keep the Californians away from everyone else…","sets":"Expansion Set 1, Party Set"},</v>
      </c>
      <c r="E1336" s="9" t="str">
        <f t="shared" si="2"/>
        <v>data:image/svg+xml,%3csvg xmlns='http://www.w3.org/2000/svg' viewBox='0 0 24 216'%3e%3ctext fill='%23fff' style='font: 900 16px sans-serif' text-anchor='end' transform='matrix(0 -1 1 0 18 5)'%3eRocky Mountains%3c/text%3e%3c/svg%3e</v>
      </c>
      <c r="F1336" s="14" t="str">
        <f t="shared" si="3"/>
        <v>https://svgtext.heliohost.us/cgi-bin/gen.perl?text=Rocky%20Mountains</v>
      </c>
      <c r="G1336" s="11" t="str">
        <f t="shared" si="4"/>
        <v>data:image/svg+xml,%3csvg xmlns='http://www.w3.org/2000/svg' viewBox='0 0 24 216'%3e%3ctext fill='%23fff' style='font: 900 16px sans-serif' text-anchor='end' transform='matrix(0 -1 1 0 18 5)'%3eRocky Mountains%3c/text%3e%3c/svg%3e</v>
      </c>
      <c r="H1336" s="8" t="s">
        <v>25</v>
      </c>
      <c r="I1336" s="8">
        <f t="shared" ref="I1336:J1336" si="1337">len(B1336)</f>
        <v>15</v>
      </c>
      <c r="J1336" s="8">
        <f t="shared" si="1337"/>
        <v>133</v>
      </c>
      <c r="K1336" s="8" t="s">
        <v>5675</v>
      </c>
    </row>
    <row r="1337">
      <c r="A1337" s="7" t="b">
        <v>0</v>
      </c>
      <c r="B1337" s="8" t="s">
        <v>5676</v>
      </c>
      <c r="C1337" s="7" t="s">
        <v>5677</v>
      </c>
      <c r="D1337" s="8" t="str">
        <f>Q&amp;$K1337&amp;Q&amp;":{"&amp;Q&amp;$B$2&amp;Q&amp;":"&amp;Q&amp;$B1337&amp;Q&amp;","&amp;Q&amp;$C$2&amp;Q&amp;":"&amp;Q&amp;$C1337&amp;Q&amp;","&amp;Q&amp;"sets"&amp;Q&amp;":"&amp;Q&amp;substitute(SUBSTITUTE($H1337,"[",""),"]","")&amp;Q&amp;"},"</f>
        <v>"xkoe":{"label":"Rod &amp; Reel","extra":"He took it hook, line, and sinker.","sets":"Expansion Set 4, Party Expansion 1"},</v>
      </c>
      <c r="E1337" s="9" t="str">
        <f t="shared" si="2"/>
        <v>data:image/svg+xml,%3csvg xmlns='http://www.w3.org/2000/svg' viewBox='0 0 24 216'%3e%3ctext fill='%23fff' style='font: 900 16px sans-serif' text-anchor='end' transform='matrix(0 -1 1 0 18 5)'%3eRod %26amp%3B Reel%3c/text%3e%3c/svg%3e</v>
      </c>
      <c r="F1337" s="14" t="str">
        <f t="shared" si="3"/>
        <v>https://svgtext.heliohost.us/cgi-bin/gen.perl?text=Rod%20%26%20Reel</v>
      </c>
      <c r="G1337" s="11" t="str">
        <f t="shared" si="4"/>
        <v>data:image/svg+xml,%3csvg xmlns='http://www.w3.org/2000/svg' viewBox='0 0 24 216'%3e%3ctext fill='%23fff' style='font: 900 16px sans-serif' text-anchor='end' transform='matrix(0 -1 1 0 18 5)'%3eRod %26amp%3B Reel%3c/text%3e%3c/svg%3e</v>
      </c>
      <c r="H1337" s="8" t="s">
        <v>63</v>
      </c>
      <c r="I1337" s="8">
        <f t="shared" ref="I1337:J1337" si="1338">len(B1337)</f>
        <v>10</v>
      </c>
      <c r="J1337" s="8">
        <f t="shared" si="1338"/>
        <v>34</v>
      </c>
      <c r="K1337" s="8" t="s">
        <v>5678</v>
      </c>
    </row>
    <row r="1338">
      <c r="A1338" s="7" t="b">
        <v>1</v>
      </c>
      <c r="B1338" s="8" t="s">
        <v>5679</v>
      </c>
      <c r="C1338" s="7" t="s">
        <v>5680</v>
      </c>
      <c r="D1338" s="8" t="str">
        <f>Q&amp;$K1338&amp;Q&amp;":{"&amp;Q&amp;$B$2&amp;Q&amp;":"&amp;Q&amp;$B1338&amp;Q&amp;","&amp;Q&amp;$C$2&amp;Q&amp;":"&amp;Q&amp;$C1338&amp;Q&amp;","&amp;Q&amp;"sets"&amp;Q&amp;":"&amp;Q&amp;substitute(SUBSTITUTE($H1338,"[",""),"]","")&amp;Q&amp;"},"</f>
        <v>"yqkf":{"label":"Rogers &amp; Hammerstein","extra":"Kings of the Broadway Musical: “The Sound of Music,” “The King and I,” “South Pacific,” and many, many more.","sets":"Expansion Set 4, Party Expansion 1"},</v>
      </c>
      <c r="E1338" s="9" t="str">
        <f t="shared" si="2"/>
        <v>data:image/svg+xml,%3csvg xmlns='http://www.w3.org/2000/svg' viewBox='0 0 24 216'%3e%3ctext fill='%23fff' style='font: 900 16px sans-serif' text-anchor='end' transform='matrix(0 -1 1 0 18 5)'%3eRogers %26amp%3B Hammerstein%3c/text%3e%3c/svg%3e</v>
      </c>
      <c r="F1338" s="14" t="str">
        <f t="shared" si="3"/>
        <v>https://svgtext.heliohost.us/cgi-bin/gen.perl?text=Rogers%20%26%20Hammerstein</v>
      </c>
      <c r="G1338" s="11" t="str">
        <f t="shared" si="4"/>
        <v>data:image/svg+xml,%3csvg xmlns='http://www.w3.org/2000/svg' viewBox='0 0 24 216'%3e%3ctext fill='%23fff' style='font: 900 16px sans-serif' text-anchor='end' transform='matrix(0 -1 1 0 18 5)'%3eRogers %26amp%3B Hammerstein%3c/text%3e%3c/svg%3e</v>
      </c>
      <c r="H1338" s="8" t="s">
        <v>63</v>
      </c>
      <c r="I1338" s="8">
        <f t="shared" ref="I1338:J1338" si="1339">len(B1338)</f>
        <v>20</v>
      </c>
      <c r="J1338" s="8">
        <f t="shared" si="1339"/>
        <v>108</v>
      </c>
      <c r="K1338" s="8" t="s">
        <v>5681</v>
      </c>
    </row>
    <row r="1339">
      <c r="A1339" s="7" t="b">
        <v>1</v>
      </c>
      <c r="B1339" s="8" t="s">
        <v>5682</v>
      </c>
      <c r="C1339" s="8" t="s">
        <v>5683</v>
      </c>
      <c r="D1339" s="8" t="str">
        <f>Q&amp;$K1339&amp;Q&amp;":{"&amp;Q&amp;$B$2&amp;Q&amp;":"&amp;Q&amp;$B1339&amp;Q&amp;","&amp;Q&amp;$C$2&amp;Q&amp;":"&amp;Q&amp;$C1339&amp;Q&amp;","&amp;Q&amp;"sets"&amp;Q&amp;":"&amp;Q&amp;substitute(SUBSTITUTE($H1339,"[",""),"]","")&amp;Q&amp;"},"</f>
        <v>"bvjc":{"label":"Roller Coaster","extra":"Roller coaster cars can go more than 70 miles per hour.","sets":"Junior 9+ (1st) &amp; (2nd)"},</v>
      </c>
      <c r="E1339" s="9" t="str">
        <f t="shared" si="2"/>
        <v>data:image/svg+xml,%3csvg xmlns='http://www.w3.org/2000/svg' viewBox='0 0 24 216'%3e%3ctext fill='%23fff' style='font: 900 16px sans-serif' text-anchor='end' transform='matrix(0 -1 1 0 18 5)'%3eRoller Coaster%3c/text%3e%3c/svg%3e</v>
      </c>
      <c r="F1339" s="14" t="str">
        <f t="shared" si="3"/>
        <v>https://svgtext.heliohost.us/cgi-bin/gen.perl?text=Roller%20Coaster</v>
      </c>
      <c r="G1339" s="11" t="str">
        <f t="shared" si="4"/>
        <v>data:image/svg+xml,%3csvg xmlns='http://www.w3.org/2000/svg' viewBox='0 0 24 216'%3e%3ctext fill='%23fff' style='font: 900 16px sans-serif' text-anchor='end' transform='matrix(0 -1 1 0 18 5)'%3eRoller Coaster%3c/text%3e%3c/svg%3e</v>
      </c>
      <c r="H1339" s="8" t="s">
        <v>42</v>
      </c>
      <c r="I1339" s="8">
        <f t="shared" ref="I1339:J1339" si="1340">len(B1339)</f>
        <v>14</v>
      </c>
      <c r="J1339" s="8">
        <f t="shared" si="1340"/>
        <v>55</v>
      </c>
      <c r="K1339" s="8" t="s">
        <v>5684</v>
      </c>
    </row>
    <row r="1340">
      <c r="A1340" s="7" t="b">
        <v>1</v>
      </c>
      <c r="B1340" s="8" t="s">
        <v>5685</v>
      </c>
      <c r="C1340" s="8" t="s">
        <v>5686</v>
      </c>
      <c r="D1340" s="8" t="str">
        <f>Q&amp;$K1340&amp;Q&amp;":{"&amp;Q&amp;$B$2&amp;Q&amp;":"&amp;Q&amp;$B1340&amp;Q&amp;","&amp;Q&amp;$C$2&amp;Q&amp;":"&amp;Q&amp;$C1340&amp;Q&amp;","&amp;Q&amp;"sets"&amp;Q&amp;":"&amp;Q&amp;substitute(SUBSTITUTE($H1340,"[",""),"]","")&amp;Q&amp;"},"</f>
        <v>"ojni":{"label":"Rollerblading","extra":"Faster than walking.","sets":"Junior 9+ (1st) &amp; (2nd)"},</v>
      </c>
      <c r="E1340" s="9" t="str">
        <f t="shared" si="2"/>
        <v>data:image/svg+xml,%3csvg xmlns='http://www.w3.org/2000/svg' viewBox='0 0 24 216'%3e%3ctext fill='%23fff' style='font: 900 16px sans-serif' text-anchor='end' transform='matrix(0 -1 1 0 18 5)'%3eRollerblading%3c/text%3e%3c/svg%3e</v>
      </c>
      <c r="F1340" s="14" t="str">
        <f t="shared" si="3"/>
        <v>https://svgtext.heliohost.us/cgi-bin/gen.perl?text=Rollerblading</v>
      </c>
      <c r="G1340" s="11" t="str">
        <f t="shared" si="4"/>
        <v>data:image/svg+xml,%3csvg xmlns='http://www.w3.org/2000/svg' viewBox='0 0 24 216'%3e%3ctext fill='%23fff' style='font: 900 16px sans-serif' text-anchor='end' transform='matrix(0 -1 1 0 18 5)'%3eRollerblading%3c/text%3e%3c/svg%3e</v>
      </c>
      <c r="H1340" s="8" t="s">
        <v>42</v>
      </c>
      <c r="I1340" s="8">
        <f t="shared" ref="I1340:J1340" si="1341">len(B1340)</f>
        <v>13</v>
      </c>
      <c r="J1340" s="8">
        <f t="shared" si="1341"/>
        <v>20</v>
      </c>
      <c r="K1340" s="8" t="s">
        <v>5687</v>
      </c>
    </row>
    <row r="1341">
      <c r="A1341" s="7" t="b">
        <v>0</v>
      </c>
      <c r="B1341" s="8" t="s">
        <v>5688</v>
      </c>
      <c r="C1341" s="7" t="s">
        <v>5689</v>
      </c>
      <c r="D1341" s="8" t="str">
        <f>Q&amp;$K1341&amp;Q&amp;":{"&amp;Q&amp;$B$2&amp;Q&amp;":"&amp;Q&amp;$B1341&amp;Q&amp;","&amp;Q&amp;$C$2&amp;Q&amp;":"&amp;Q&amp;$C1341&amp;Q&amp;","&amp;Q&amp;"sets"&amp;Q&amp;":"&amp;Q&amp;substitute(SUBSTITUTE($H1341,"[",""),"]","")&amp;Q&amp;"},"</f>
        <v>"rvlm":{"label":"Rolling The Car","extra":"You’ll flip for this one…","sets":"Expansion Set 2, Party Set"},</v>
      </c>
      <c r="E1341" s="9" t="str">
        <f t="shared" si="2"/>
        <v>data:image/svg+xml,%3csvg xmlns='http://www.w3.org/2000/svg' viewBox='0 0 24 216'%3e%3ctext fill='%23fff' style='font: 900 16px sans-serif' text-anchor='end' transform='matrix(0 -1 1 0 18 5)'%3eRolling The Car%3c/text%3e%3c/svg%3e</v>
      </c>
      <c r="F1341" s="14" t="str">
        <f t="shared" si="3"/>
        <v>https://svgtext.heliohost.us/cgi-bin/gen.perl?text=Rolling%20The%20Car</v>
      </c>
      <c r="G1341" s="11" t="str">
        <f t="shared" si="4"/>
        <v>data:image/svg+xml,%3csvg xmlns='http://www.w3.org/2000/svg' viewBox='0 0 24 216'%3e%3ctext fill='%23fff' style='font: 900 16px sans-serif' text-anchor='end' transform='matrix(0 -1 1 0 18 5)'%3eRolling The Car%3c/text%3e%3c/svg%3e</v>
      </c>
      <c r="H1341" s="8" t="s">
        <v>17</v>
      </c>
      <c r="I1341" s="8">
        <f t="shared" ref="I1341:J1341" si="1342">len(B1341)</f>
        <v>15</v>
      </c>
      <c r="J1341" s="8">
        <f t="shared" si="1342"/>
        <v>25</v>
      </c>
      <c r="K1341" s="8" t="s">
        <v>5690</v>
      </c>
    </row>
    <row r="1342">
      <c r="A1342" s="7" t="b">
        <v>0</v>
      </c>
      <c r="B1342" s="8" t="s">
        <v>5691</v>
      </c>
      <c r="C1342" s="7" t="s">
        <v>5692</v>
      </c>
      <c r="D1342" s="8" t="str">
        <f>Q&amp;$K1342&amp;Q&amp;":{"&amp;Q&amp;$B$2&amp;Q&amp;":"&amp;Q&amp;$B1342&amp;Q&amp;","&amp;Q&amp;$C$2&amp;Q&amp;":"&amp;Q&amp;$C1342&amp;Q&amp;","&amp;Q&amp;"sets"&amp;Q&amp;":"&amp;Q&amp;substitute(SUBSTITUTE($H1342,"[",""),"]","")&amp;Q&amp;"},"</f>
        <v>"zbcl":{"label":"Roman Numerals","extra":"There’s a I in VII chance you'll know them.","sets":"Expansion Set 2, Party Set"},</v>
      </c>
      <c r="E1342" s="9" t="str">
        <f t="shared" si="2"/>
        <v>data:image/svg+xml,%3csvg xmlns='http://www.w3.org/2000/svg' viewBox='0 0 24 216'%3e%3ctext fill='%23fff' style='font: 900 16px sans-serif' text-anchor='end' transform='matrix(0 -1 1 0 18 5)'%3eRoman Numerals%3c/text%3e%3c/svg%3e</v>
      </c>
      <c r="F1342" s="14" t="str">
        <f t="shared" si="3"/>
        <v>https://svgtext.heliohost.us/cgi-bin/gen.perl?text=Roman%20Numerals</v>
      </c>
      <c r="G1342" s="11" t="str">
        <f t="shared" si="4"/>
        <v>data:image/svg+xml,%3csvg xmlns='http://www.w3.org/2000/svg' viewBox='0 0 24 216'%3e%3ctext fill='%23fff' style='font: 900 16px sans-serif' text-anchor='end' transform='matrix(0 -1 1 0 18 5)'%3eRoman Numerals%3c/text%3e%3c/svg%3e</v>
      </c>
      <c r="H1342" s="8" t="s">
        <v>17</v>
      </c>
      <c r="I1342" s="8">
        <f t="shared" ref="I1342:J1342" si="1343">len(B1342)</f>
        <v>14</v>
      </c>
      <c r="J1342" s="8">
        <f t="shared" si="1343"/>
        <v>43</v>
      </c>
      <c r="K1342" s="8" t="s">
        <v>5693</v>
      </c>
    </row>
    <row r="1343">
      <c r="A1343" s="7" t="b">
        <v>0</v>
      </c>
      <c r="B1343" s="8" t="s">
        <v>5694</v>
      </c>
      <c r="C1343" s="7" t="s">
        <v>5695</v>
      </c>
      <c r="D1343" s="8" t="str">
        <f>Q&amp;$K1343&amp;Q&amp;":{"&amp;Q&amp;$B$2&amp;Q&amp;":"&amp;Q&amp;$B1343&amp;Q&amp;","&amp;Q&amp;$C$2&amp;Q&amp;":"&amp;Q&amp;$C1343&amp;Q&amp;","&amp;Q&amp;"sets"&amp;Q&amp;":"&amp;Q&amp;substitute(SUBSTITUTE($H1343,"[",""),"]","")&amp;Q&amp;"},"</f>
        <v>"qpi{":{"label":"Romeo And Juliet","extra":"William Shakespeare’s best known play, written in 1595. Youthful love and hasty temperaments.","sets":"Expansion Set 2, Party Set"},</v>
      </c>
      <c r="E1343" s="9" t="str">
        <f t="shared" si="2"/>
        <v>data:image/svg+xml,%3csvg xmlns='http://www.w3.org/2000/svg' viewBox='0 0 24 216'%3e%3ctext fill='%23fff' style='font: 900 16px sans-serif' text-anchor='end' transform='matrix(0 -1 1 0 18 5)'%3eRomeo And Juliet%3c/text%3e%3c/svg%3e</v>
      </c>
      <c r="F1343" s="14" t="str">
        <f t="shared" si="3"/>
        <v>https://svgtext.heliohost.us/cgi-bin/gen.perl?text=Romeo%20And%20Juliet</v>
      </c>
      <c r="G1343" s="11" t="str">
        <f t="shared" si="4"/>
        <v>data:image/svg+xml,%3csvg xmlns='http://www.w3.org/2000/svg' viewBox='0 0 24 216'%3e%3ctext fill='%23fff' style='font: 900 16px sans-serif' text-anchor='end' transform='matrix(0 -1 1 0 18 5)'%3eRomeo And Juliet%3c/text%3e%3c/svg%3e</v>
      </c>
      <c r="H1343" s="8" t="s">
        <v>17</v>
      </c>
      <c r="I1343" s="8">
        <f t="shared" ref="I1343:J1343" si="1344">len(B1343)</f>
        <v>16</v>
      </c>
      <c r="J1343" s="8">
        <f t="shared" si="1344"/>
        <v>93</v>
      </c>
      <c r="K1343" s="8" t="s">
        <v>5696</v>
      </c>
    </row>
    <row r="1344">
      <c r="A1344" s="7" t="b">
        <v>1</v>
      </c>
      <c r="B1344" s="8" t="s">
        <v>5697</v>
      </c>
      <c r="C1344" s="7" t="s">
        <v>5698</v>
      </c>
      <c r="D1344" s="8" t="str">
        <f>Q&amp;$K1344&amp;Q&amp;":{"&amp;Q&amp;$B$2&amp;Q&amp;":"&amp;Q&amp;$B1344&amp;Q&amp;","&amp;Q&amp;$C$2&amp;Q&amp;":"&amp;Q&amp;$C1344&amp;Q&amp;","&amp;Q&amp;"sets"&amp;Q&amp;":"&amp;Q&amp;substitute(SUBSTITUTE($H1344,"[",""),"]","")&amp;Q&amp;"},"</f>
        <v>"q{zt":{"label":"Ronald McDonald","extra":"The clown from McDonald’s restaurants.","sets":"Junior"},</v>
      </c>
      <c r="E1344" s="9" t="str">
        <f t="shared" si="2"/>
        <v>data:image/svg+xml,%3csvg xmlns='http://www.w3.org/2000/svg' viewBox='0 0 24 216'%3e%3ctext fill='%23fff' style='font: 900 16px sans-serif' text-anchor='end' transform='matrix(0 -1 1 0 18 5)'%3eRonald McDonald%3c/text%3e%3c/svg%3e</v>
      </c>
      <c r="F1344" s="14" t="str">
        <f t="shared" si="3"/>
        <v>https://svgtext.heliohost.us/cgi-bin/gen.perl?text=Ronald%20McDonald</v>
      </c>
      <c r="G1344" s="11" t="str">
        <f t="shared" si="4"/>
        <v>data:image/svg+xml,%3csvg xmlns='http://www.w3.org/2000/svg' viewBox='0 0 24 216'%3e%3ctext fill='%23fff' style='font: 900 16px sans-serif' text-anchor='end' transform='matrix(0 -1 1 0 18 5)'%3eRonald McDonald%3c/text%3e%3c/svg%3e</v>
      </c>
      <c r="H1344" s="8" t="s">
        <v>84</v>
      </c>
      <c r="I1344" s="8">
        <f t="shared" ref="I1344:J1344" si="1345">len(B1344)</f>
        <v>15</v>
      </c>
      <c r="J1344" s="8">
        <f t="shared" si="1345"/>
        <v>38</v>
      </c>
      <c r="K1344" s="8" t="s">
        <v>5699</v>
      </c>
    </row>
    <row r="1345">
      <c r="A1345" s="7" t="b">
        <v>1</v>
      </c>
      <c r="B1345" s="8" t="s">
        <v>5700</v>
      </c>
      <c r="C1345" s="8" t="s">
        <v>5701</v>
      </c>
      <c r="D1345" s="8" t="str">
        <f>Q&amp;$K1345&amp;Q&amp;":{"&amp;Q&amp;$B$2&amp;Q&amp;":"&amp;Q&amp;$B1345&amp;Q&amp;","&amp;Q&amp;$C$2&amp;Q&amp;":"&amp;Q&amp;$C1345&amp;Q&amp;","&amp;Q&amp;"sets"&amp;Q&amp;":"&amp;Q&amp;substitute(SUBSTITUTE($H1345,"[",""),"]","")&amp;Q&amp;"},"</f>
        <v>"grsd":{"label":"Roosters","extra":"The barnyard alarm clock.","sets":"Junior 9+ (2nd)"},</v>
      </c>
      <c r="E1345" s="9" t="str">
        <f t="shared" si="2"/>
        <v>data:image/svg+xml,%3csvg xmlns='http://www.w3.org/2000/svg' viewBox='0 0 24 216'%3e%3ctext fill='%23fff' style='font: 900 16px sans-serif' text-anchor='end' transform='matrix(0 -1 1 0 18 5)'%3eRoosters%3c/text%3e%3c/svg%3e</v>
      </c>
      <c r="F1345" s="14" t="str">
        <f t="shared" si="3"/>
        <v>https://svgtext.heliohost.us/cgi-bin/gen.perl?text=Roosters</v>
      </c>
      <c r="G1345" s="11" t="str">
        <f t="shared" si="4"/>
        <v>data:image/svg+xml,%3csvg xmlns='http://www.w3.org/2000/svg' viewBox='0 0 24 216'%3e%3ctext fill='%23fff' style='font: 900 16px sans-serif' text-anchor='end' transform='matrix(0 -1 1 0 18 5)'%3eRoosters%3c/text%3e%3c/svg%3e</v>
      </c>
      <c r="H1345" s="8" t="s">
        <v>32</v>
      </c>
      <c r="I1345" s="8">
        <f t="shared" ref="I1345:J1345" si="1346">len(B1345)</f>
        <v>8</v>
      </c>
      <c r="J1345" s="8">
        <f t="shared" si="1346"/>
        <v>25</v>
      </c>
      <c r="K1345" s="8" t="s">
        <v>5702</v>
      </c>
    </row>
    <row r="1346">
      <c r="A1346" s="7" t="b">
        <v>1</v>
      </c>
      <c r="B1346" s="8" t="s">
        <v>5703</v>
      </c>
      <c r="C1346" s="8" t="s">
        <v>5704</v>
      </c>
      <c r="D1346" s="8" t="str">
        <f>Q&amp;$K1346&amp;Q&amp;":{"&amp;Q&amp;$B$2&amp;Q&amp;":"&amp;Q&amp;$B1346&amp;Q&amp;","&amp;Q&amp;$C$2&amp;Q&amp;":"&amp;Q&amp;$C1346&amp;Q&amp;","&amp;Q&amp;"sets"&amp;Q&amp;":"&amp;Q&amp;substitute(SUBSTITUTE($H1346,"[",""),"]","")&amp;Q&amp;"},"</f>
        <v>"ltbw":{"label":"Root Beer","extra":"A sweet, brown drink that is fizzy and foamy. Add ice cream to make a root beer float!","sets":"Junior"},</v>
      </c>
      <c r="E1346" s="9" t="str">
        <f t="shared" si="2"/>
        <v>data:image/svg+xml,%3csvg xmlns='http://www.w3.org/2000/svg' viewBox='0 0 24 216'%3e%3ctext fill='%23fff' style='font: 900 16px sans-serif' text-anchor='end' transform='matrix(0 -1 1 0 18 5)'%3eRoot Beer%3c/text%3e%3c/svg%3e</v>
      </c>
      <c r="F1346" s="14" t="str">
        <f t="shared" si="3"/>
        <v>https://svgtext.heliohost.us/cgi-bin/gen.perl?text=Root%20Beer</v>
      </c>
      <c r="G1346" s="11" t="str">
        <f t="shared" si="4"/>
        <v>data:image/svg+xml,%3csvg xmlns='http://www.w3.org/2000/svg' viewBox='0 0 24 216'%3e%3ctext fill='%23fff' style='font: 900 16px sans-serif' text-anchor='end' transform='matrix(0 -1 1 0 18 5)'%3eRoot Beer%3c/text%3e%3c/svg%3e</v>
      </c>
      <c r="H1346" s="8" t="s">
        <v>84</v>
      </c>
      <c r="I1346" s="8">
        <f t="shared" ref="I1346:J1346" si="1347">len(B1346)</f>
        <v>9</v>
      </c>
      <c r="J1346" s="8">
        <f t="shared" si="1347"/>
        <v>86</v>
      </c>
      <c r="K1346" s="8" t="s">
        <v>5705</v>
      </c>
    </row>
    <row r="1347">
      <c r="A1347" s="7" t="b">
        <v>0</v>
      </c>
      <c r="B1347" s="8" t="s">
        <v>5706</v>
      </c>
      <c r="C1347" s="7" t="s">
        <v>5707</v>
      </c>
      <c r="D1347" s="8" t="str">
        <f>Q&amp;$K1347&amp;Q&amp;":{"&amp;Q&amp;$B$2&amp;Q&amp;":"&amp;Q&amp;$B1347&amp;Q&amp;","&amp;Q&amp;$C$2&amp;Q&amp;":"&amp;Q&amp;$C1347&amp;Q&amp;","&amp;Q&amp;"sets"&amp;Q&amp;":"&amp;Q&amp;substitute(SUBSTITUTE($H1347,"[",""),"]","")&amp;Q&amp;"},"</f>
        <v>"osrt":{"label":"Root Beer Floats","extra":"Actually, it’s the ice cream that floats!","sets":"Expansion Set 1, Party Set"},</v>
      </c>
      <c r="E1347" s="9" t="str">
        <f t="shared" si="2"/>
        <v>data:image/svg+xml,%3csvg xmlns='http://www.w3.org/2000/svg' viewBox='0 0 24 216'%3e%3ctext fill='%23fff' style='font: 900 16px sans-serif' text-anchor='end' transform='matrix(0 -1 1 0 18 5)'%3eRoot Beer Floats%3c/text%3e%3c/svg%3e</v>
      </c>
      <c r="F1347" s="14" t="str">
        <f t="shared" si="3"/>
        <v>https://svgtext.heliohost.us/cgi-bin/gen.perl?text=Root%20Beer%20Floats</v>
      </c>
      <c r="G1347" s="11" t="str">
        <f t="shared" si="4"/>
        <v>data:image/svg+xml,%3csvg xmlns='http://www.w3.org/2000/svg' viewBox='0 0 24 216'%3e%3ctext fill='%23fff' style='font: 900 16px sans-serif' text-anchor='end' transform='matrix(0 -1 1 0 18 5)'%3eRoot Beer Floats%3c/text%3e%3c/svg%3e</v>
      </c>
      <c r="H1347" s="8" t="s">
        <v>25</v>
      </c>
      <c r="I1347" s="8">
        <f t="shared" ref="I1347:J1347" si="1348">len(B1347)</f>
        <v>16</v>
      </c>
      <c r="J1347" s="8">
        <f t="shared" si="1348"/>
        <v>41</v>
      </c>
      <c r="K1347" s="8" t="s">
        <v>5708</v>
      </c>
    </row>
    <row r="1348">
      <c r="A1348" s="7" t="b">
        <v>1</v>
      </c>
      <c r="B1348" s="8" t="s">
        <v>5709</v>
      </c>
      <c r="C1348" s="8" t="s">
        <v>5710</v>
      </c>
      <c r="D1348" s="8" t="str">
        <f>Q&amp;$K1348&amp;Q&amp;":{"&amp;Q&amp;$B$2&amp;Q&amp;":"&amp;Q&amp;$B1348&amp;Q&amp;","&amp;Q&amp;$C$2&amp;Q&amp;":"&amp;Q&amp;$C1348&amp;Q&amp;","&amp;Q&amp;"sets"&amp;Q&amp;":"&amp;Q&amp;substitute(SUBSTITUTE($H1348,"[",""),"]","")&amp;Q&amp;"},"</f>
        <v>"thtu":{"label":"Rope Burns","extra":"You were playing WHAT?","sets":"Expansion Set 3, Party Expansion 1"},</v>
      </c>
      <c r="E1348" s="9" t="str">
        <f t="shared" si="2"/>
        <v>data:image/svg+xml,%3csvg xmlns='http://www.w3.org/2000/svg' viewBox='0 0 24 216'%3e%3ctext fill='%23fff' style='font: 900 16px sans-serif' text-anchor='end' transform='matrix(0 -1 1 0 18 5)'%3eRope Burns%3c/text%3e%3c/svg%3e</v>
      </c>
      <c r="F1348" s="14" t="str">
        <f t="shared" si="3"/>
        <v>https://svgtext.heliohost.us/cgi-bin/gen.perl?text=Rope%20Burns</v>
      </c>
      <c r="G1348" s="11" t="str">
        <f t="shared" si="4"/>
        <v>data:image/svg+xml,%3csvg xmlns='http://www.w3.org/2000/svg' viewBox='0 0 24 216'%3e%3ctext fill='%23fff' style='font: 900 16px sans-serif' text-anchor='end' transform='matrix(0 -1 1 0 18 5)'%3eRope Burns%3c/text%3e%3c/svg%3e</v>
      </c>
      <c r="H1348" s="8" t="s">
        <v>39</v>
      </c>
      <c r="I1348" s="8">
        <f t="shared" ref="I1348:J1348" si="1349">len(B1348)</f>
        <v>10</v>
      </c>
      <c r="J1348" s="8">
        <f t="shared" si="1349"/>
        <v>22</v>
      </c>
      <c r="K1348" s="8" t="s">
        <v>5711</v>
      </c>
    </row>
    <row r="1349">
      <c r="A1349" s="7" t="b">
        <v>0</v>
      </c>
      <c r="B1349" s="8" t="s">
        <v>5712</v>
      </c>
      <c r="C1349" s="8" t="s">
        <v>5713</v>
      </c>
      <c r="D1349" s="8" t="str">
        <f>Q&amp;$K1349&amp;Q&amp;":{"&amp;Q&amp;$B$2&amp;Q&amp;":"&amp;Q&amp;$B1349&amp;Q&amp;","&amp;Q&amp;$C$2&amp;Q&amp;":"&amp;Q&amp;$C1349&amp;Q&amp;","&amp;Q&amp;"sets"&amp;Q&amp;":"&amp;Q&amp;substitute(SUBSTITUTE($H1349,"[",""),"]","")&amp;Q&amp;"},"</f>
        <v>"yxwd":{"label":"Rosa Parks","extra":"1913-, civil rights icon arrested in 1956 for violating U.S. segregation laws by refusing to give up her bus seat to a white passenger.","sets":"Expansion Set 1, Party Set"},</v>
      </c>
      <c r="E1349" s="9" t="str">
        <f t="shared" si="2"/>
        <v>data:image/svg+xml,%3csvg xmlns='http://www.w3.org/2000/svg' viewBox='0 0 24 216'%3e%3ctext fill='%23fff' style='font: 900 16px sans-serif' text-anchor='end' transform='matrix(0 -1 1 0 18 5)'%3eRosa Parks%3c/text%3e%3c/svg%3e</v>
      </c>
      <c r="F1349" s="14" t="str">
        <f t="shared" si="3"/>
        <v>https://svgtext.heliohost.us/cgi-bin/gen.perl?text=Rosa%20Parks</v>
      </c>
      <c r="G1349" s="11" t="str">
        <f t="shared" si="4"/>
        <v>data:image/svg+xml,%3csvg xmlns='http://www.w3.org/2000/svg' viewBox='0 0 24 216'%3e%3ctext fill='%23fff' style='font: 900 16px sans-serif' text-anchor='end' transform='matrix(0 -1 1 0 18 5)'%3eRosa Parks%3c/text%3e%3c/svg%3e</v>
      </c>
      <c r="H1349" s="8" t="s">
        <v>25</v>
      </c>
      <c r="I1349" s="8">
        <f t="shared" ref="I1349:J1349" si="1350">len(B1349)</f>
        <v>10</v>
      </c>
      <c r="J1349" s="8">
        <f t="shared" si="1350"/>
        <v>135</v>
      </c>
      <c r="K1349" s="8" t="s">
        <v>5714</v>
      </c>
    </row>
    <row r="1350">
      <c r="A1350" s="7" t="b">
        <v>0</v>
      </c>
      <c r="B1350" s="8" t="s">
        <v>5715</v>
      </c>
      <c r="C1350" s="7" t="s">
        <v>5716</v>
      </c>
      <c r="D1350" s="8" t="str">
        <f>Q&amp;$K1350&amp;Q&amp;":{"&amp;Q&amp;$B$2&amp;Q&amp;":"&amp;Q&amp;$B1350&amp;Q&amp;","&amp;Q&amp;$C$2&amp;Q&amp;":"&amp;Q&amp;$C1350&amp;Q&amp;","&amp;Q&amp;"sets"&amp;Q&amp;":"&amp;Q&amp;substitute(SUBSTITUTE($H1350,"[",""),"]","")&amp;Q&amp;"},"</f>
        <v>"lekz":{"label":"Rosie O'Donnell","extra":"1962-, American actor and comedian. She’s in a league of her own!","sets":"Expansion Set 1, Party Set"},</v>
      </c>
      <c r="E1350" s="9" t="str">
        <f t="shared" si="2"/>
        <v>data:image/svg+xml,%3csvg xmlns='http://www.w3.org/2000/svg' viewBox='0 0 24 216'%3e%3ctext fill='%23fff' style='font: 900 16px sans-serif' text-anchor='end' transform='matrix(0 -1 1 0 18 5)'%3eRosie O%27Donnell%3c/text%3e%3c/svg%3e</v>
      </c>
      <c r="F1350" s="14" t="str">
        <f t="shared" si="3"/>
        <v>https://svgtext.heliohost.us/cgi-bin/gen.perl?text=Rosie%20O%27Donnell</v>
      </c>
      <c r="G1350" s="11" t="str">
        <f t="shared" si="4"/>
        <v>data:image/svg+xml,%3csvg xmlns='http://www.w3.org/2000/svg' viewBox='0 0 24 216'%3e%3ctext fill='%23fff' style='font: 900 16px sans-serif' text-anchor='end' transform='matrix(0 -1 1 0 18 5)'%3eRosie O%27Donnell%3c/text%3e%3c/svg%3e</v>
      </c>
      <c r="H1350" s="8" t="s">
        <v>25</v>
      </c>
      <c r="I1350" s="8">
        <f t="shared" ref="I1350:J1350" si="1351">len(B1350)</f>
        <v>15</v>
      </c>
      <c r="J1350" s="8">
        <f t="shared" si="1351"/>
        <v>65</v>
      </c>
      <c r="K1350" s="8" t="s">
        <v>5717</v>
      </c>
    </row>
    <row r="1351">
      <c r="A1351" s="7" t="b">
        <v>0</v>
      </c>
      <c r="B1351" s="8" t="s">
        <v>5718</v>
      </c>
      <c r="C1351" s="7" t="s">
        <v>5719</v>
      </c>
      <c r="D1351" s="8" t="str">
        <f>Q&amp;$K1351&amp;Q&amp;":{"&amp;Q&amp;$B$2&amp;Q&amp;":"&amp;Q&amp;$B1351&amp;Q&amp;","&amp;Q&amp;$C$2&amp;Q&amp;":"&amp;Q&amp;$C1351&amp;Q&amp;","&amp;Q&amp;"sets"&amp;Q&amp;":"&amp;Q&amp;substitute(SUBSTITUTE($H1351,"[",""),"]","")&amp;Q&amp;"},"</f>
        <v>"igpe":{"label":"Rubber Gloves","extra":"Just in case…","sets":"Expansion Set 2, Party Set"},</v>
      </c>
      <c r="E1351" s="9" t="str">
        <f t="shared" si="2"/>
        <v>data:image/svg+xml,%3csvg xmlns='http://www.w3.org/2000/svg' viewBox='0 0 24 216'%3e%3ctext fill='%23fff' style='font: 900 16px sans-serif' text-anchor='end' transform='matrix(0 -1 1 0 18 5)'%3eRubber Gloves%3c/text%3e%3c/svg%3e</v>
      </c>
      <c r="F1351" s="14" t="str">
        <f t="shared" si="3"/>
        <v>https://svgtext.heliohost.us/cgi-bin/gen.perl?text=Rubber%20Gloves</v>
      </c>
      <c r="G1351" s="11" t="str">
        <f t="shared" si="4"/>
        <v>data:image/svg+xml,%3csvg xmlns='http://www.w3.org/2000/svg' viewBox='0 0 24 216'%3e%3ctext fill='%23fff' style='font: 900 16px sans-serif' text-anchor='end' transform='matrix(0 -1 1 0 18 5)'%3eRubber Gloves%3c/text%3e%3c/svg%3e</v>
      </c>
      <c r="H1351" s="8" t="s">
        <v>17</v>
      </c>
      <c r="I1351" s="8">
        <f t="shared" ref="I1351:J1351" si="1352">len(B1351)</f>
        <v>13</v>
      </c>
      <c r="J1351" s="8">
        <f t="shared" si="1352"/>
        <v>13</v>
      </c>
      <c r="K1351" s="8" t="s">
        <v>5720</v>
      </c>
    </row>
    <row r="1352">
      <c r="A1352" s="7" t="b">
        <v>0</v>
      </c>
      <c r="B1352" s="8" t="s">
        <v>5721</v>
      </c>
      <c r="C1352" s="8" t="s">
        <v>5722</v>
      </c>
      <c r="D1352" s="8" t="str">
        <f>Q&amp;$K1352&amp;Q&amp;":{"&amp;Q&amp;$B$2&amp;Q&amp;":"&amp;Q&amp;$B1352&amp;Q&amp;","&amp;Q&amp;$C$2&amp;Q&amp;":"&amp;Q&amp;$C1352&amp;Q&amp;","&amp;Q&amp;"sets"&amp;Q&amp;":"&amp;Q&amp;substitute(SUBSTITUTE($H1352,"[",""),"]","")&amp;Q&amp;"},"</f>
        <v>"sphx":{"label":"Rugrats","extra":"A cartoon about the adventures of Tommy, Chucky, Angelica, and Phil and Lil.","sets":"Junior"},</v>
      </c>
      <c r="E1352" s="9" t="str">
        <f t="shared" si="2"/>
        <v>data:image/svg+xml,%3csvg xmlns='http://www.w3.org/2000/svg' viewBox='0 0 24 216'%3e%3ctext fill='%23fff' style='font: 900 16px sans-serif' text-anchor='end' transform='matrix(0 -1 1 0 18 5)'%3eRugrats%3c/text%3e%3c/svg%3e</v>
      </c>
      <c r="F1352" s="14" t="str">
        <f t="shared" si="3"/>
        <v>https://svgtext.heliohost.us/cgi-bin/gen.perl?text=Rugrats</v>
      </c>
      <c r="G1352" s="11" t="str">
        <f t="shared" si="4"/>
        <v>data:image/svg+xml,%3csvg xmlns='http://www.w3.org/2000/svg' viewBox='0 0 24 216'%3e%3ctext fill='%23fff' style='font: 900 16px sans-serif' text-anchor='end' transform='matrix(0 -1 1 0 18 5)'%3eRugrats%3c/text%3e%3c/svg%3e</v>
      </c>
      <c r="H1352" s="8" t="s">
        <v>84</v>
      </c>
      <c r="I1352" s="8">
        <f t="shared" ref="I1352:J1352" si="1353">len(B1352)</f>
        <v>7</v>
      </c>
      <c r="J1352" s="8">
        <f t="shared" si="1353"/>
        <v>76</v>
      </c>
      <c r="K1352" s="8" t="s">
        <v>5723</v>
      </c>
    </row>
    <row r="1353">
      <c r="A1353" s="7" t="b">
        <v>1</v>
      </c>
      <c r="B1353" s="8" t="s">
        <v>5724</v>
      </c>
      <c r="C1353" s="8" t="s">
        <v>5725</v>
      </c>
      <c r="D1353" s="8" t="str">
        <f>Q&amp;$K1353&amp;Q&amp;":{"&amp;Q&amp;$B$2&amp;Q&amp;":"&amp;Q&amp;$B1353&amp;Q&amp;","&amp;Q&amp;$C$2&amp;Q&amp;":"&amp;Q&amp;$C1353&amp;Q&amp;","&amp;Q&amp;"sets"&amp;Q&amp;":"&amp;Q&amp;substitute(SUBSTITUTE($H1353,"[",""),"]","")&amp;Q&amp;"},"</f>
        <v>"njiq":{"label":"Running A Marathon","extra":"26 miles, 385 yards: the distance run by a Greek soldier from the town of Marathon to Athens in 490 BC.","sets":"Basic Set, Party Set"},</v>
      </c>
      <c r="E1353" s="9" t="str">
        <f t="shared" si="2"/>
        <v>data:image/svg+xml,%3csvg xmlns='http://www.w3.org/2000/svg' viewBox='0 0 24 216'%3e%3ctext fill='%23fff' style='font: 900 16px sans-serif' text-anchor='end' transform='matrix(0 -1 1 0 18 5)'%3eRunning A Marathon%3c/text%3e%3c/svg%3e</v>
      </c>
      <c r="F1353" s="14" t="str">
        <f t="shared" si="3"/>
        <v>https://svgtext.heliohost.us/cgi-bin/gen.perl?text=Running%20A%20Marathon</v>
      </c>
      <c r="G1353" s="11" t="str">
        <f t="shared" si="4"/>
        <v>data:image/svg+xml,%3csvg xmlns='http://www.w3.org/2000/svg' viewBox='0 0 24 216'%3e%3ctext fill='%23fff' style='font: 900 16px sans-serif' text-anchor='end' transform='matrix(0 -1 1 0 18 5)'%3eRunning A Marathon%3c/text%3e%3c/svg%3e</v>
      </c>
      <c r="H1353" s="8" t="s">
        <v>29</v>
      </c>
      <c r="I1353" s="8">
        <f t="shared" ref="I1353:J1353" si="1354">len(B1353)</f>
        <v>18</v>
      </c>
      <c r="J1353" s="8">
        <f t="shared" si="1354"/>
        <v>103</v>
      </c>
      <c r="K1353" s="8" t="s">
        <v>5726</v>
      </c>
    </row>
    <row r="1354">
      <c r="A1354" s="7" t="b">
        <v>0</v>
      </c>
      <c r="B1354" s="8" t="s">
        <v>5727</v>
      </c>
      <c r="C1354" s="8" t="s">
        <v>5728</v>
      </c>
      <c r="D1354" s="8" t="str">
        <f>Q&amp;$K1354&amp;Q&amp;":{"&amp;Q&amp;$B$2&amp;Q&amp;":"&amp;Q&amp;$B1354&amp;Q&amp;","&amp;Q&amp;$C$2&amp;Q&amp;":"&amp;Q&amp;$C1354&amp;Q&amp;","&amp;Q&amp;"sets"&amp;Q&amp;":"&amp;Q&amp;substitute(SUBSTITUTE($H1354,"[",""),"]","")&amp;Q&amp;"},"</f>
        <v>"srpn":{"label":"Running In A Race","extra":"A marathon is a 26 mile race.","sets":"Junior 9+ (1st) &amp; (2nd)"},</v>
      </c>
      <c r="E1354" s="9" t="str">
        <f t="shared" si="2"/>
        <v>data:image/svg+xml,%3csvg xmlns='http://www.w3.org/2000/svg' viewBox='0 0 24 216'%3e%3ctext fill='%23fff' style='font: 900 16px sans-serif' text-anchor='end' transform='matrix(0 -1 1 0 18 5)'%3eRunning In A Race%3c/text%3e%3c/svg%3e</v>
      </c>
      <c r="F1354" s="14" t="str">
        <f t="shared" si="3"/>
        <v>https://svgtext.heliohost.us/cgi-bin/gen.perl?text=Running%20In%20A%20Race</v>
      </c>
      <c r="G1354" s="11" t="str">
        <f t="shared" si="4"/>
        <v>data:image/svg+xml,%3csvg xmlns='http://www.w3.org/2000/svg' viewBox='0 0 24 216'%3e%3ctext fill='%23fff' style='font: 900 16px sans-serif' text-anchor='end' transform='matrix(0 -1 1 0 18 5)'%3eRunning In A Race%3c/text%3e%3c/svg%3e</v>
      </c>
      <c r="H1354" s="8" t="s">
        <v>42</v>
      </c>
      <c r="I1354" s="8">
        <f t="shared" ref="I1354:J1354" si="1355">len(B1354)</f>
        <v>17</v>
      </c>
      <c r="J1354" s="8">
        <f t="shared" si="1355"/>
        <v>29</v>
      </c>
      <c r="K1354" s="8" t="s">
        <v>5729</v>
      </c>
    </row>
    <row r="1355">
      <c r="A1355" s="7" t="b">
        <v>0</v>
      </c>
      <c r="B1355" s="8" t="s">
        <v>5730</v>
      </c>
      <c r="C1355" s="8" t="s">
        <v>5731</v>
      </c>
      <c r="D1355" s="8" t="str">
        <f>Q&amp;$K1355&amp;Q&amp;":{"&amp;Q&amp;$B$2&amp;Q&amp;":"&amp;Q&amp;$B1355&amp;Q&amp;","&amp;Q&amp;$C$2&amp;Q&amp;":"&amp;Q&amp;$C1355&amp;Q&amp;","&amp;Q&amp;"sets"&amp;Q&amp;":"&amp;Q&amp;substitute(SUBSTITUTE($H1355,"[",""),"]","")&amp;Q&amp;"},"</f>
        <v>"vano":{"label":"Rush Limbaugh","extra":"1951-, conservative talk-radio personality. Claims to host his radio show with half his brain tied behind his back, just to make it fair.","sets":"Expansion Set 1, Party Set"},</v>
      </c>
      <c r="E1355" s="9" t="str">
        <f t="shared" si="2"/>
        <v>data:image/svg+xml,%3csvg xmlns='http://www.w3.org/2000/svg' viewBox='0 0 24 216'%3e%3ctext fill='%23fff' style='font: 900 16px sans-serif' text-anchor='end' transform='matrix(0 -1 1 0 18 5)'%3eRush Limbaugh%3c/text%3e%3c/svg%3e</v>
      </c>
      <c r="F1355" s="14" t="str">
        <f t="shared" si="3"/>
        <v>https://svgtext.heliohost.us/cgi-bin/gen.perl?text=Rush%20Limbaugh</v>
      </c>
      <c r="G1355" s="11" t="str">
        <f t="shared" si="4"/>
        <v>data:image/svg+xml,%3csvg xmlns='http://www.w3.org/2000/svg' viewBox='0 0 24 216'%3e%3ctext fill='%23fff' style='font: 900 16px sans-serif' text-anchor='end' transform='matrix(0 -1 1 0 18 5)'%3eRush Limbaugh%3c/text%3e%3c/svg%3e</v>
      </c>
      <c r="H1355" s="8" t="s">
        <v>25</v>
      </c>
      <c r="I1355" s="8">
        <f t="shared" ref="I1355:J1355" si="1356">len(B1355)</f>
        <v>13</v>
      </c>
      <c r="J1355" s="8">
        <f t="shared" si="1356"/>
        <v>137</v>
      </c>
      <c r="K1355" s="8" t="s">
        <v>5732</v>
      </c>
    </row>
    <row r="1356">
      <c r="A1356" s="7" t="b">
        <v>0</v>
      </c>
      <c r="B1356" s="8" t="s">
        <v>5733</v>
      </c>
      <c r="C1356" s="7" t="s">
        <v>5734</v>
      </c>
      <c r="D1356" s="8" t="str">
        <f>Q&amp;$K1356&amp;Q&amp;":{"&amp;Q&amp;$B$2&amp;Q&amp;":"&amp;Q&amp;$B1356&amp;Q&amp;","&amp;Q&amp;$C$2&amp;Q&amp;":"&amp;Q&amp;$C1356&amp;Q&amp;","&amp;Q&amp;"sets"&amp;Q&amp;":"&amp;Q&amp;substitute(SUBSTITUTE($H1356,"[",""),"]","")&amp;Q&amp;"},"</f>
        <v>"loym":{"label":"Russia","extra":"The world’s largest country, spanning 11 time zones. Famous for borscht, ballet, chess and vodka…just don’t mix them.","sets":"Expansion Set 1, Party Set"},</v>
      </c>
      <c r="E1356" s="9" t="str">
        <f t="shared" si="2"/>
        <v>data:image/svg+xml,%3csvg xmlns='http://www.w3.org/2000/svg' viewBox='0 0 24 216'%3e%3ctext fill='%23fff' style='font: 900 16px sans-serif' text-anchor='end' transform='matrix(0 -1 1 0 18 5)'%3eRussia%3c/text%3e%3c/svg%3e</v>
      </c>
      <c r="F1356" s="14" t="str">
        <f t="shared" si="3"/>
        <v>https://svgtext.heliohost.us/cgi-bin/gen.perl?text=Russia</v>
      </c>
      <c r="G1356" s="11" t="str">
        <f t="shared" si="4"/>
        <v>data:image/svg+xml,%3csvg xmlns='http://www.w3.org/2000/svg' viewBox='0 0 24 216'%3e%3ctext fill='%23fff' style='font: 900 16px sans-serif' text-anchor='end' transform='matrix(0 -1 1 0 18 5)'%3eRussia%3c/text%3e%3c/svg%3e</v>
      </c>
      <c r="H1356" s="8" t="s">
        <v>25</v>
      </c>
      <c r="I1356" s="8">
        <f t="shared" ref="I1356:J1356" si="1357">len(B1356)</f>
        <v>6</v>
      </c>
      <c r="J1356" s="8">
        <f t="shared" si="1357"/>
        <v>117</v>
      </c>
      <c r="K1356" s="8" t="s">
        <v>5735</v>
      </c>
    </row>
    <row r="1357">
      <c r="A1357" s="7" t="b">
        <v>0</v>
      </c>
      <c r="B1357" s="8" t="s">
        <v>5736</v>
      </c>
      <c r="C1357" s="7" t="s">
        <v>5737</v>
      </c>
      <c r="D1357" s="8" t="str">
        <f>Q&amp;$K1357&amp;Q&amp;":{"&amp;Q&amp;$B$2&amp;Q&amp;":"&amp;Q&amp;$B1357&amp;Q&amp;","&amp;Q&amp;$C$2&amp;Q&amp;":"&amp;Q&amp;$C1357&amp;Q&amp;","&amp;Q&amp;"sets"&amp;Q&amp;":"&amp;Q&amp;substitute(SUBSTITUTE($H1357,"[",""),"]","")&amp;Q&amp;"},"</f>
        <v>"mugh":{"label":"Rust","extra":"“Rust never sleeps.” —Neil Young","sets":"Basic Set, Party Set"},</v>
      </c>
      <c r="E1357" s="9" t="str">
        <f t="shared" si="2"/>
        <v>data:image/svg+xml,%3csvg xmlns='http://www.w3.org/2000/svg' viewBox='0 0 24 216'%3e%3ctext fill='%23fff' style='font: 900 16px sans-serif' text-anchor='end' transform='matrix(0 -1 1 0 18 5)'%3eRust%3c/text%3e%3c/svg%3e</v>
      </c>
      <c r="F1357" s="14" t="str">
        <f t="shared" si="3"/>
        <v>https://svgtext.heliohost.us/cgi-bin/gen.perl?text=Rust</v>
      </c>
      <c r="G1357" s="11" t="str">
        <f t="shared" si="4"/>
        <v>data:image/svg+xml,%3csvg xmlns='http://www.w3.org/2000/svg' viewBox='0 0 24 216'%3e%3ctext fill='%23fff' style='font: 900 16px sans-serif' text-anchor='end' transform='matrix(0 -1 1 0 18 5)'%3eRust%3c/text%3e%3c/svg%3e</v>
      </c>
      <c r="H1357" s="8" t="s">
        <v>29</v>
      </c>
      <c r="I1357" s="8">
        <f t="shared" ref="I1357:J1357" si="1358">len(B1357)</f>
        <v>4</v>
      </c>
      <c r="J1357" s="8">
        <f t="shared" si="1358"/>
        <v>32</v>
      </c>
      <c r="K1357" s="8" t="s">
        <v>5738</v>
      </c>
    </row>
    <row r="1358">
      <c r="A1358" s="7" t="b">
        <v>1</v>
      </c>
      <c r="B1358" s="8" t="s">
        <v>5739</v>
      </c>
      <c r="C1358" s="7" t="s">
        <v>5740</v>
      </c>
      <c r="D1358" s="8" t="str">
        <f>Q&amp;$K1358&amp;Q&amp;":{"&amp;Q&amp;$B$2&amp;Q&amp;":"&amp;Q&amp;$B1358&amp;Q&amp;","&amp;Q&amp;$C$2&amp;Q&amp;":"&amp;Q&amp;$C1358&amp;Q&amp;","&amp;Q&amp;"sets"&amp;Q&amp;":"&amp;Q&amp;substitute(SUBSTITUTE($H1358,"[",""),"]","")&amp;Q&amp;"},"</f>
        <v>"keme":{"label":"Rusty Nails","extra":"Good name for a country western singer.","sets":"Expansion Set 3, Party Expansion 1"},</v>
      </c>
      <c r="E1358" s="9" t="str">
        <f t="shared" si="2"/>
        <v>data:image/svg+xml,%3csvg xmlns='http://www.w3.org/2000/svg' viewBox='0 0 24 216'%3e%3ctext fill='%23fff' style='font: 900 16px sans-serif' text-anchor='end' transform='matrix(0 -1 1 0 18 5)'%3eRusty Nails%3c/text%3e%3c/svg%3e</v>
      </c>
      <c r="F1358" s="14" t="str">
        <f t="shared" si="3"/>
        <v>https://svgtext.heliohost.us/cgi-bin/gen.perl?text=Rusty%20Nails</v>
      </c>
      <c r="G1358" s="11" t="str">
        <f t="shared" si="4"/>
        <v>data:image/svg+xml,%3csvg xmlns='http://www.w3.org/2000/svg' viewBox='0 0 24 216'%3e%3ctext fill='%23fff' style='font: 900 16px sans-serif' text-anchor='end' transform='matrix(0 -1 1 0 18 5)'%3eRusty Nails%3c/text%3e%3c/svg%3e</v>
      </c>
      <c r="H1358" s="8" t="s">
        <v>39</v>
      </c>
      <c r="I1358" s="8">
        <f t="shared" ref="I1358:J1358" si="1359">len(B1358)</f>
        <v>11</v>
      </c>
      <c r="J1358" s="8">
        <f t="shared" si="1359"/>
        <v>39</v>
      </c>
      <c r="K1358" s="8" t="s">
        <v>5741</v>
      </c>
    </row>
    <row r="1359">
      <c r="A1359" s="7" t="b">
        <v>0</v>
      </c>
      <c r="B1359" s="8" t="s">
        <v>5742</v>
      </c>
      <c r="C1359" s="8" t="s">
        <v>5743</v>
      </c>
      <c r="D1359" s="8" t="str">
        <f>Q&amp;$K1359&amp;Q&amp;":{"&amp;Q&amp;$B$2&amp;Q&amp;":"&amp;Q&amp;$B1359&amp;Q&amp;","&amp;Q&amp;$C$2&amp;Q&amp;":"&amp;Q&amp;$C1359&amp;Q&amp;","&amp;Q&amp;"sets"&amp;Q&amp;":"&amp;Q&amp;substitute(SUBSTITUTE($H1359,"[",""),"]","")&amp;Q&amp;"},"</f>
        <v>"orsp":{"label":"Saddam Hussein","extra":"1937-, dictator of Iraq 1979-2003.","sets":"Basic Set, Party Set"},</v>
      </c>
      <c r="E1359" s="9" t="str">
        <f t="shared" si="2"/>
        <v>data:image/svg+xml,%3csvg xmlns='http://www.w3.org/2000/svg' viewBox='0 0 24 216'%3e%3ctext fill='%23fff' style='font: 900 16px sans-serif' text-anchor='end' transform='matrix(0 -1 1 0 18 5)'%3eSaddam Hussein%3c/text%3e%3c/svg%3e</v>
      </c>
      <c r="F1359" s="14" t="str">
        <f t="shared" si="3"/>
        <v>https://svgtext.heliohost.us/cgi-bin/gen.perl?text=Saddam%20Hussein</v>
      </c>
      <c r="G1359" s="11" t="str">
        <f t="shared" si="4"/>
        <v>data:image/svg+xml,%3csvg xmlns='http://www.w3.org/2000/svg' viewBox='0 0 24 216'%3e%3ctext fill='%23fff' style='font: 900 16px sans-serif' text-anchor='end' transform='matrix(0 -1 1 0 18 5)'%3eSaddam Hussein%3c/text%3e%3c/svg%3e</v>
      </c>
      <c r="H1359" s="8" t="s">
        <v>29</v>
      </c>
      <c r="I1359" s="8">
        <f t="shared" ref="I1359:J1359" si="1360">len(B1359)</f>
        <v>14</v>
      </c>
      <c r="J1359" s="8">
        <f t="shared" si="1360"/>
        <v>34</v>
      </c>
      <c r="K1359" s="8" t="s">
        <v>5744</v>
      </c>
    </row>
    <row r="1360">
      <c r="A1360" s="7" t="b">
        <v>0</v>
      </c>
      <c r="B1360" s="8" t="s">
        <v>5745</v>
      </c>
      <c r="C1360" s="7" t="s">
        <v>5746</v>
      </c>
      <c r="D1360" s="8" t="str">
        <f>Q&amp;$K1360&amp;Q&amp;":{"&amp;Q&amp;$B$2&amp;Q&amp;":"&amp;Q&amp;$B1360&amp;Q&amp;","&amp;Q&amp;$C$2&amp;Q&amp;":"&amp;Q&amp;$C1360&amp;Q&amp;","&amp;Q&amp;"sets"&amp;Q&amp;":"&amp;Q&amp;substitute(SUBSTITUTE($H1360,"[",""),"]","")&amp;Q&amp;"},"</f>
        <v>"hsln":{"label":"Sailors","extra":"“In the Navy, you can sail the seven seas…” —The Village People","sets":"Expansion Set 1, Party Set"},</v>
      </c>
      <c r="E1360" s="9" t="str">
        <f t="shared" si="2"/>
        <v>data:image/svg+xml,%3csvg xmlns='http://www.w3.org/2000/svg' viewBox='0 0 24 216'%3e%3ctext fill='%23fff' style='font: 900 16px sans-serif' text-anchor='end' transform='matrix(0 -1 1 0 18 5)'%3eSailors%3c/text%3e%3c/svg%3e</v>
      </c>
      <c r="F1360" s="14" t="str">
        <f t="shared" si="3"/>
        <v>https://svgtext.heliohost.us/cgi-bin/gen.perl?text=Sailors</v>
      </c>
      <c r="G1360" s="11" t="str">
        <f t="shared" si="4"/>
        <v>data:image/svg+xml,%3csvg xmlns='http://www.w3.org/2000/svg' viewBox='0 0 24 216'%3e%3ctext fill='%23fff' style='font: 900 16px sans-serif' text-anchor='end' transform='matrix(0 -1 1 0 18 5)'%3eSailors%3c/text%3e%3c/svg%3e</v>
      </c>
      <c r="H1360" s="8" t="s">
        <v>25</v>
      </c>
      <c r="I1360" s="8">
        <f t="shared" ref="I1360:J1360" si="1361">len(B1360)</f>
        <v>7</v>
      </c>
      <c r="J1360" s="8">
        <f t="shared" si="1361"/>
        <v>63</v>
      </c>
      <c r="K1360" s="8" t="s">
        <v>5747</v>
      </c>
    </row>
    <row r="1361">
      <c r="A1361" s="7" t="b">
        <v>1</v>
      </c>
      <c r="B1361" s="8" t="s">
        <v>5745</v>
      </c>
      <c r="C1361" s="8" t="s">
        <v>5748</v>
      </c>
      <c r="D1361" s="8" t="str">
        <f>Q&amp;$K1361&amp;Q&amp;":{"&amp;Q&amp;$B$2&amp;Q&amp;":"&amp;Q&amp;$B1361&amp;Q&amp;","&amp;Q&amp;$C$2&amp;Q&amp;":"&amp;Q&amp;$C1361&amp;Q&amp;","&amp;Q&amp;"sets"&amp;Q&amp;":"&amp;Q&amp;substitute(SUBSTITUTE($H1361,"[",""),"]","")&amp;Q&amp;"},"</f>
        <v>"zknp":{"label":"Sailors","extra":"Get seasick? Don't become a sailor.","sets":"Junior 9+ (2nd)"},</v>
      </c>
      <c r="E1361" s="9" t="str">
        <f t="shared" si="2"/>
        <v>data:image/svg+xml,%3csvg xmlns='http://www.w3.org/2000/svg' viewBox='0 0 24 216'%3e%3ctext fill='%23fff' style='font: 900 16px sans-serif' text-anchor='end' transform='matrix(0 -1 1 0 18 5)'%3eSailors%3c/text%3e%3c/svg%3e</v>
      </c>
      <c r="F1361" s="14" t="str">
        <f t="shared" si="3"/>
        <v>https://svgtext.heliohost.us/cgi-bin/gen.perl?text=Sailors</v>
      </c>
      <c r="G1361" s="11" t="str">
        <f t="shared" si="4"/>
        <v>data:image/svg+xml,%3csvg xmlns='http://www.w3.org/2000/svg' viewBox='0 0 24 216'%3e%3ctext fill='%23fff' style='font: 900 16px sans-serif' text-anchor='end' transform='matrix(0 -1 1 0 18 5)'%3eSailors%3c/text%3e%3c/svg%3e</v>
      </c>
      <c r="H1361" s="8" t="s">
        <v>32</v>
      </c>
      <c r="I1361" s="8">
        <f t="shared" ref="I1361:J1361" si="1362">len(B1361)</f>
        <v>7</v>
      </c>
      <c r="J1361" s="8">
        <f t="shared" si="1362"/>
        <v>35</v>
      </c>
      <c r="K1361" s="8" t="s">
        <v>5749</v>
      </c>
    </row>
    <row r="1362">
      <c r="A1362" s="7" t="b">
        <v>1</v>
      </c>
      <c r="B1362" s="8" t="s">
        <v>5750</v>
      </c>
      <c r="C1362" s="8" t="s">
        <v>5751</v>
      </c>
      <c r="D1362" s="8" t="str">
        <f>Q&amp;$K1362&amp;Q&amp;":{"&amp;Q&amp;$B$2&amp;Q&amp;":"&amp;Q&amp;$B1362&amp;Q&amp;","&amp;Q&amp;$C$2&amp;Q&amp;":"&amp;Q&amp;$C1362&amp;Q&amp;","&amp;Q&amp;"sets"&amp;Q&amp;":"&amp;Q&amp;substitute(SUBSTITUTE($H1362,"[",""),"]","")&amp;Q&amp;"},"</f>
        <v>"uon{":{"label":"Salads","extra":"Fruit salads, pasta salads, potato salads, and lettuce salads.","sets":"Junior 9+ (1st) &amp; (2nd)"},</v>
      </c>
      <c r="E1362" s="9" t="str">
        <f t="shared" si="2"/>
        <v>data:image/svg+xml,%3csvg xmlns='http://www.w3.org/2000/svg' viewBox='0 0 24 216'%3e%3ctext fill='%23fff' style='font: 900 16px sans-serif' text-anchor='end' transform='matrix(0 -1 1 0 18 5)'%3eSalads%3c/text%3e%3c/svg%3e</v>
      </c>
      <c r="F1362" s="14" t="str">
        <f t="shared" si="3"/>
        <v>https://svgtext.heliohost.us/cgi-bin/gen.perl?text=Salads</v>
      </c>
      <c r="G1362" s="11" t="str">
        <f t="shared" si="4"/>
        <v>data:image/svg+xml,%3csvg xmlns='http://www.w3.org/2000/svg' viewBox='0 0 24 216'%3e%3ctext fill='%23fff' style='font: 900 16px sans-serif' text-anchor='end' transform='matrix(0 -1 1 0 18 5)'%3eSalads%3c/text%3e%3c/svg%3e</v>
      </c>
      <c r="H1362" s="8" t="s">
        <v>42</v>
      </c>
      <c r="I1362" s="8">
        <f t="shared" ref="I1362:J1362" si="1363">len(B1362)</f>
        <v>6</v>
      </c>
      <c r="J1362" s="8">
        <f t="shared" si="1363"/>
        <v>62</v>
      </c>
      <c r="K1362" s="8" t="s">
        <v>5752</v>
      </c>
    </row>
    <row r="1363">
      <c r="A1363" s="7" t="b">
        <v>0</v>
      </c>
      <c r="B1363" s="8" t="s">
        <v>5750</v>
      </c>
      <c r="C1363" s="7" t="s">
        <v>5753</v>
      </c>
      <c r="D1363" s="8" t="str">
        <f>Q&amp;$K1363&amp;Q&amp;":{"&amp;Q&amp;$B$2&amp;Q&amp;":"&amp;Q&amp;$B1363&amp;Q&amp;","&amp;Q&amp;$C$2&amp;Q&amp;":"&amp;Q&amp;$C1363&amp;Q&amp;","&amp;Q&amp;"sets"&amp;Q&amp;":"&amp;Q&amp;substitute(SUBSTITUTE($H1363,"[",""),"]","")&amp;Q&amp;"},"</f>
        <v>"etxs":{"label":"Salads","extra":"Lettuce not knock the vegetarians.","sets":"Expansion Set 2, Party Set"},</v>
      </c>
      <c r="E1363" s="9" t="str">
        <f t="shared" si="2"/>
        <v>data:image/svg+xml,%3csvg xmlns='http://www.w3.org/2000/svg' viewBox='0 0 24 216'%3e%3ctext fill='%23fff' style='font: 900 16px sans-serif' text-anchor='end' transform='matrix(0 -1 1 0 18 5)'%3eSalads%3c/text%3e%3c/svg%3e</v>
      </c>
      <c r="F1363" s="14" t="str">
        <f t="shared" si="3"/>
        <v>https://svgtext.heliohost.us/cgi-bin/gen.perl?text=Salads</v>
      </c>
      <c r="G1363" s="11" t="str">
        <f t="shared" si="4"/>
        <v>data:image/svg+xml,%3csvg xmlns='http://www.w3.org/2000/svg' viewBox='0 0 24 216'%3e%3ctext fill='%23fff' style='font: 900 16px sans-serif' text-anchor='end' transform='matrix(0 -1 1 0 18 5)'%3eSalads%3c/text%3e%3c/svg%3e</v>
      </c>
      <c r="H1363" s="8" t="s">
        <v>17</v>
      </c>
      <c r="I1363" s="8">
        <f t="shared" ref="I1363:J1363" si="1364">len(B1363)</f>
        <v>6</v>
      </c>
      <c r="J1363" s="8">
        <f t="shared" si="1364"/>
        <v>34</v>
      </c>
      <c r="K1363" s="8" t="s">
        <v>5754</v>
      </c>
    </row>
    <row r="1364">
      <c r="A1364" s="7" t="b">
        <v>0</v>
      </c>
      <c r="B1364" s="8" t="s">
        <v>5755</v>
      </c>
      <c r="C1364" s="7" t="s">
        <v>5756</v>
      </c>
      <c r="D1364" s="8" t="str">
        <f>Q&amp;$K1364&amp;Q&amp;":{"&amp;Q&amp;$B$2&amp;Q&amp;":"&amp;Q&amp;$B1364&amp;Q&amp;","&amp;Q&amp;$C$2&amp;Q&amp;":"&amp;Q&amp;$C1364&amp;Q&amp;","&amp;Q&amp;"sets"&amp;Q&amp;":"&amp;Q&amp;substitute(SUBSTITUTE($H1364,"[",""),"]","")&amp;Q&amp;"},"</f>
        <v>"lvpk":{"label":"Salsa Dancing","extra":"Popular form of Latin American dance. A little jazz, a little blues, a touch of rock and lots of heat.","sets":"Expansion Set 2, Party Set"},</v>
      </c>
      <c r="E1364" s="9" t="str">
        <f t="shared" si="2"/>
        <v>data:image/svg+xml,%3csvg xmlns='http://www.w3.org/2000/svg' viewBox='0 0 24 216'%3e%3ctext fill='%23fff' style='font: 900 16px sans-serif' text-anchor='end' transform='matrix(0 -1 1 0 18 5)'%3eSalsa Dancing%3c/text%3e%3c/svg%3e</v>
      </c>
      <c r="F1364" s="14" t="str">
        <f t="shared" si="3"/>
        <v>https://svgtext.heliohost.us/cgi-bin/gen.perl?text=Salsa%20Dancing</v>
      </c>
      <c r="G1364" s="11" t="str">
        <f t="shared" si="4"/>
        <v>data:image/svg+xml,%3csvg xmlns='http://www.w3.org/2000/svg' viewBox='0 0 24 216'%3e%3ctext fill='%23fff' style='font: 900 16px sans-serif' text-anchor='end' transform='matrix(0 -1 1 0 18 5)'%3eSalsa Dancing%3c/text%3e%3c/svg%3e</v>
      </c>
      <c r="H1364" s="8" t="s">
        <v>17</v>
      </c>
      <c r="I1364" s="8">
        <f t="shared" ref="I1364:J1364" si="1365">len(B1364)</f>
        <v>13</v>
      </c>
      <c r="J1364" s="8">
        <f t="shared" si="1365"/>
        <v>102</v>
      </c>
      <c r="K1364" s="8" t="s">
        <v>5757</v>
      </c>
    </row>
    <row r="1365">
      <c r="A1365" s="7" t="b">
        <v>1</v>
      </c>
      <c r="B1365" s="8" t="s">
        <v>5758</v>
      </c>
      <c r="C1365" s="8" t="s">
        <v>5759</v>
      </c>
      <c r="D1365" s="8" t="str">
        <f>Q&amp;$K1365&amp;Q&amp;":{"&amp;Q&amp;$B$2&amp;Q&amp;":"&amp;Q&amp;$B1365&amp;Q&amp;","&amp;Q&amp;$C$2&amp;Q&amp;":"&amp;Q&amp;$C1365&amp;Q&amp;","&amp;Q&amp;"sets"&amp;Q&amp;":"&amp;Q&amp;substitute(SUBSTITUTE($H1365,"[",""),"]","")&amp;Q&amp;"},"</f>
        <v>"jepy":{"label":"Salt","extra":"In ancient times salt was valuable. In fact, it was used as money.","sets":"Junior 9+ (1st) &amp; (2nd)"},</v>
      </c>
      <c r="E1365" s="9" t="str">
        <f t="shared" si="2"/>
        <v>data:image/svg+xml,%3csvg xmlns='http://www.w3.org/2000/svg' viewBox='0 0 24 216'%3e%3ctext fill='%23fff' style='font: 900 16px sans-serif' text-anchor='end' transform='matrix(0 -1 1 0 18 5)'%3eSalt%3c/text%3e%3c/svg%3e</v>
      </c>
      <c r="F1365" s="14" t="str">
        <f t="shared" si="3"/>
        <v>https://svgtext.heliohost.us/cgi-bin/gen.perl?text=Salt</v>
      </c>
      <c r="G1365" s="11" t="str">
        <f t="shared" si="4"/>
        <v>data:image/svg+xml,%3csvg xmlns='http://www.w3.org/2000/svg' viewBox='0 0 24 216'%3e%3ctext fill='%23fff' style='font: 900 16px sans-serif' text-anchor='end' transform='matrix(0 -1 1 0 18 5)'%3eSalt%3c/text%3e%3c/svg%3e</v>
      </c>
      <c r="H1365" s="8" t="s">
        <v>42</v>
      </c>
      <c r="I1365" s="8">
        <f t="shared" ref="I1365:J1365" si="1366">len(B1365)</f>
        <v>4</v>
      </c>
      <c r="J1365" s="8">
        <f t="shared" si="1366"/>
        <v>66</v>
      </c>
      <c r="K1365" s="8" t="s">
        <v>5760</v>
      </c>
    </row>
    <row r="1366">
      <c r="A1366" s="7" t="b">
        <v>0</v>
      </c>
      <c r="B1366" s="8" t="s">
        <v>5761</v>
      </c>
      <c r="C1366" s="8" t="s">
        <v>5762</v>
      </c>
      <c r="D1366" s="8" t="str">
        <f>Q&amp;$K1366&amp;Q&amp;":{"&amp;Q&amp;$B$2&amp;Q&amp;":"&amp;Q&amp;$B1366&amp;Q&amp;","&amp;Q&amp;$C$2&amp;Q&amp;":"&amp;Q&amp;$C1366&amp;Q&amp;","&amp;Q&amp;"sets"&amp;Q&amp;":"&amp;Q&amp;substitute(SUBSTITUTE($H1366,"[",""),"]","")&amp;Q&amp;"},"</f>
        <v>"dq{{":{"label":"Salt 'N Pepa","extra":"Extremely successful rap group formed in the 1980s, known for their portrayals of the woman's perspective on relationships.","sets":"Expansion Set 4, Party Expansion 1"},</v>
      </c>
      <c r="E1366" s="9" t="str">
        <f t="shared" si="2"/>
        <v>data:image/svg+xml,%3csvg xmlns='http://www.w3.org/2000/svg' viewBox='0 0 24 216'%3e%3ctext fill='%23fff' style='font: 900 16px sans-serif' text-anchor='end' transform='matrix(0 -1 1 0 18 5)'%3eSalt %27N Pepa%3c/text%3e%3c/svg%3e</v>
      </c>
      <c r="F1366" s="14" t="str">
        <f t="shared" si="3"/>
        <v>https://svgtext.heliohost.us/cgi-bin/gen.perl?text=Salt%20%27N%20Pepa</v>
      </c>
      <c r="G1366" s="11" t="str">
        <f t="shared" si="4"/>
        <v>data:image/svg+xml,%3csvg xmlns='http://www.w3.org/2000/svg' viewBox='0 0 24 216'%3e%3ctext fill='%23fff' style='font: 900 16px sans-serif' text-anchor='end' transform='matrix(0 -1 1 0 18 5)'%3eSalt %27N Pepa%3c/text%3e%3c/svg%3e</v>
      </c>
      <c r="H1366" s="8" t="s">
        <v>63</v>
      </c>
      <c r="I1366" s="8">
        <f t="shared" ref="I1366:J1366" si="1367">len(B1366)</f>
        <v>12</v>
      </c>
      <c r="J1366" s="8">
        <f t="shared" si="1367"/>
        <v>123</v>
      </c>
      <c r="K1366" s="8" t="s">
        <v>5763</v>
      </c>
    </row>
    <row r="1367">
      <c r="A1367" s="7" t="b">
        <v>1</v>
      </c>
      <c r="B1367" s="8" t="s">
        <v>5764</v>
      </c>
      <c r="C1367" s="7" t="s">
        <v>5765</v>
      </c>
      <c r="D1367" s="8" t="str">
        <f>Q&amp;$K1367&amp;Q&amp;":{"&amp;Q&amp;$B$2&amp;Q&amp;":"&amp;Q&amp;$B1367&amp;Q&amp;","&amp;Q&amp;$C$2&amp;Q&amp;":"&amp;Q&amp;$C1367&amp;Q&amp;","&amp;Q&amp;"sets"&amp;Q&amp;":"&amp;Q&amp;substitute(SUBSTITUTE($H1367,"[",""),"]","")&amp;Q&amp;"},"</f>
        <v>"pmkf":{"label":"Salt &amp; Pepper","extra":"“Pump it up a notch! BAM! ” —Emeril Lagasse.","sets":"Expansion Set 4, Party Expansion 1"},</v>
      </c>
      <c r="E1367" s="9" t="str">
        <f t="shared" si="2"/>
        <v>data:image/svg+xml,%3csvg xmlns='http://www.w3.org/2000/svg' viewBox='0 0 24 216'%3e%3ctext fill='%23fff' style='font: 900 16px sans-serif' text-anchor='end' transform='matrix(0 -1 1 0 18 5)'%3eSalt %26amp%3B Pepper%3c/text%3e%3c/svg%3e</v>
      </c>
      <c r="F1367" s="14" t="str">
        <f t="shared" si="3"/>
        <v>https://svgtext.heliohost.us/cgi-bin/gen.perl?text=Salt%20%26%20Pepper</v>
      </c>
      <c r="G1367" s="11" t="str">
        <f t="shared" si="4"/>
        <v>data:image/svg+xml,%3csvg xmlns='http://www.w3.org/2000/svg' viewBox='0 0 24 216'%3e%3ctext fill='%23fff' style='font: 900 16px sans-serif' text-anchor='end' transform='matrix(0 -1 1 0 18 5)'%3eSalt %26amp%3B Pepper%3c/text%3e%3c/svg%3e</v>
      </c>
      <c r="H1367" s="8" t="s">
        <v>63</v>
      </c>
      <c r="I1367" s="8">
        <f t="shared" ref="I1367:J1367" si="1368">len(B1367)</f>
        <v>13</v>
      </c>
      <c r="J1367" s="8">
        <f t="shared" si="1368"/>
        <v>44</v>
      </c>
      <c r="K1367" s="8" t="s">
        <v>5766</v>
      </c>
    </row>
    <row r="1368">
      <c r="A1368" s="7" t="b">
        <v>0</v>
      </c>
      <c r="B1368" s="8" t="s">
        <v>5767</v>
      </c>
      <c r="C1368" s="7" t="s">
        <v>5768</v>
      </c>
      <c r="D1368" s="8" t="str">
        <f>Q&amp;$K1368&amp;Q&amp;":{"&amp;Q&amp;$B$2&amp;Q&amp;":"&amp;Q&amp;$B1368&amp;Q&amp;","&amp;Q&amp;$C$2&amp;Q&amp;":"&amp;Q&amp;$C1368&amp;Q&amp;","&amp;Q&amp;"sets"&amp;Q&amp;":"&amp;Q&amp;substitute(SUBSTITUTE($H1368,"[",""),"]","")&amp;Q&amp;"},"</f>
        <v>"spvb":{"label":"Salvador Dali","extra":"1904-89, Spansih artist best known for his dream imagery and surrealism, including the limp watches in “The Persistence Of Memory.”","sets":"Expansion Set 2, Party Set"},</v>
      </c>
      <c r="E1368" s="9" t="str">
        <f t="shared" si="2"/>
        <v>data:image/svg+xml,%3csvg xmlns='http://www.w3.org/2000/svg' viewBox='0 0 24 216'%3e%3ctext fill='%23fff' style='font: 900 16px sans-serif' text-anchor='end' transform='matrix(0 -1 1 0 18 5)'%3eSalvador Dali%3c/text%3e%3c/svg%3e</v>
      </c>
      <c r="F1368" s="14" t="str">
        <f t="shared" si="3"/>
        <v>https://svgtext.heliohost.us/cgi-bin/gen.perl?text=Salvador%20Dali</v>
      </c>
      <c r="G1368" s="11" t="str">
        <f t="shared" si="4"/>
        <v>data:image/svg+xml,%3csvg xmlns='http://www.w3.org/2000/svg' viewBox='0 0 24 216'%3e%3ctext fill='%23fff' style='font: 900 16px sans-serif' text-anchor='end' transform='matrix(0 -1 1 0 18 5)'%3eSalvador Dali%3c/text%3e%3c/svg%3e</v>
      </c>
      <c r="H1368" s="8" t="s">
        <v>17</v>
      </c>
      <c r="I1368" s="8">
        <f t="shared" ref="I1368:J1368" si="1369">len(B1368)</f>
        <v>13</v>
      </c>
      <c r="J1368" s="8">
        <f t="shared" si="1369"/>
        <v>131</v>
      </c>
      <c r="K1368" s="8" t="s">
        <v>5769</v>
      </c>
    </row>
    <row r="1369">
      <c r="A1369" s="7" t="b">
        <v>0</v>
      </c>
      <c r="B1369" s="8" t="s">
        <v>5770</v>
      </c>
      <c r="C1369" s="7" t="s">
        <v>5771</v>
      </c>
      <c r="D1369" s="8" t="str">
        <f>Q&amp;$K1369&amp;Q&amp;":{"&amp;Q&amp;$B$2&amp;Q&amp;":"&amp;Q&amp;$B1369&amp;Q&amp;","&amp;Q&amp;$C$2&amp;Q&amp;":"&amp;Q&amp;$C1369&amp;Q&amp;","&amp;Q&amp;"sets"&amp;Q&amp;":"&amp;Q&amp;substitute(SUBSTITUTE($H1369,"[",""),"]","")&amp;Q&amp;"},"</f>
        <v>"rnop":{"label":"Samuel L. Jackson","extra":"1948-, powerful American actor of “Pulp Fiction,” “Jackie Brown,” and “The Negotiator.”","sets":"Expansion Set 2, Party Set"},</v>
      </c>
      <c r="E1369" s="9" t="str">
        <f t="shared" si="2"/>
        <v>data:image/svg+xml,%3csvg xmlns='http://www.w3.org/2000/svg' viewBox='0 0 24 216'%3e%3ctext fill='%23fff' style='font: 900 16px sans-serif' text-anchor='end' transform='matrix(0 -1 1 0 18 5)'%3eSamuel L. Jackson%3c/text%3e%3c/svg%3e</v>
      </c>
      <c r="F1369" s="14" t="str">
        <f t="shared" si="3"/>
        <v>https://svgtext.heliohost.us/cgi-bin/gen.perl?text=Samuel%20L.%20Jackson</v>
      </c>
      <c r="G1369" s="11" t="str">
        <f t="shared" si="4"/>
        <v>data:image/svg+xml,%3csvg xmlns='http://www.w3.org/2000/svg' viewBox='0 0 24 216'%3e%3ctext fill='%23fff' style='font: 900 16px sans-serif' text-anchor='end' transform='matrix(0 -1 1 0 18 5)'%3eSamuel L. Jackson%3c/text%3e%3c/svg%3e</v>
      </c>
      <c r="H1369" s="8" t="s">
        <v>17</v>
      </c>
      <c r="I1369" s="8">
        <f t="shared" ref="I1369:J1369" si="1370">len(B1369)</f>
        <v>17</v>
      </c>
      <c r="J1369" s="8">
        <f t="shared" si="1370"/>
        <v>87</v>
      </c>
      <c r="K1369" s="8" t="s">
        <v>5772</v>
      </c>
    </row>
    <row r="1370">
      <c r="A1370" s="7" t="b">
        <v>0</v>
      </c>
      <c r="B1370" s="8" t="s">
        <v>5773</v>
      </c>
      <c r="C1370" s="8" t="s">
        <v>5774</v>
      </c>
      <c r="D1370" s="8" t="str">
        <f>Q&amp;$K1370&amp;Q&amp;":{"&amp;Q&amp;$B$2&amp;Q&amp;":"&amp;Q&amp;$B1370&amp;Q&amp;","&amp;Q&amp;$C$2&amp;Q&amp;":"&amp;Q&amp;$C1370&amp;Q&amp;","&amp;Q&amp;"sets"&amp;Q&amp;":"&amp;Q&amp;substitute(SUBSTITUTE($H1370,"[",""),"]","")&amp;Q&amp;"},"</f>
        <v>"buzs":{"label":"San Francisco","extra":"California's City by the Bay. Where many hearts are left.","sets":"Basic Set, Party Set"},</v>
      </c>
      <c r="E1370" s="9" t="str">
        <f t="shared" si="2"/>
        <v>data:image/svg+xml,%3csvg xmlns='http://www.w3.org/2000/svg' viewBox='0 0 24 216'%3e%3ctext fill='%23fff' style='font: 900 16px sans-serif' text-anchor='end' transform='matrix(0 -1 1 0 18 5)'%3eSan Francisco%3c/text%3e%3c/svg%3e</v>
      </c>
      <c r="F1370" s="14" t="str">
        <f t="shared" si="3"/>
        <v>https://svgtext.heliohost.us/cgi-bin/gen.perl?text=San%20Francisco</v>
      </c>
      <c r="G1370" s="11" t="str">
        <f t="shared" si="4"/>
        <v>data:image/svg+xml,%3csvg xmlns='http://www.w3.org/2000/svg' viewBox='0 0 24 216'%3e%3ctext fill='%23fff' style='font: 900 16px sans-serif' text-anchor='end' transform='matrix(0 -1 1 0 18 5)'%3eSan Francisco%3c/text%3e%3c/svg%3e</v>
      </c>
      <c r="H1370" s="8" t="s">
        <v>29</v>
      </c>
      <c r="I1370" s="8">
        <f t="shared" ref="I1370:J1370" si="1371">len(B1370)</f>
        <v>13</v>
      </c>
      <c r="J1370" s="8">
        <f t="shared" si="1371"/>
        <v>57</v>
      </c>
      <c r="K1370" s="8" t="s">
        <v>5775</v>
      </c>
    </row>
    <row r="1371">
      <c r="A1371" s="7" t="b">
        <v>1</v>
      </c>
      <c r="B1371" s="8" t="s">
        <v>5776</v>
      </c>
      <c r="C1371" s="8" t="s">
        <v>5777</v>
      </c>
      <c r="D1371" s="8" t="str">
        <f>Q&amp;$K1371&amp;Q&amp;":{"&amp;Q&amp;$B$2&amp;Q&amp;":"&amp;Q&amp;$B1371&amp;Q&amp;","&amp;Q&amp;$C$2&amp;Q&amp;":"&amp;Q&amp;$C1371&amp;Q&amp;","&amp;Q&amp;"sets"&amp;Q&amp;":"&amp;Q&amp;substitute(SUBSTITUTE($H1371,"[",""),"]","")&amp;Q&amp;"},"</f>
        <v>"kdjz":{"label":"Sand","extra":"The desert, the dunes, the beach, and in your shoes.","sets":"Junior 9+ (1st) &amp; (2nd)"},</v>
      </c>
      <c r="E1371" s="9" t="str">
        <f t="shared" si="2"/>
        <v>data:image/svg+xml,%3csvg xmlns='http://www.w3.org/2000/svg' viewBox='0 0 24 216'%3e%3ctext fill='%23fff' style='font: 900 16px sans-serif' text-anchor='end' transform='matrix(0 -1 1 0 18 5)'%3eSand%3c/text%3e%3c/svg%3e</v>
      </c>
      <c r="F1371" s="14" t="str">
        <f t="shared" si="3"/>
        <v>https://svgtext.heliohost.us/cgi-bin/gen.perl?text=Sand</v>
      </c>
      <c r="G1371" s="11" t="str">
        <f t="shared" si="4"/>
        <v>data:image/svg+xml,%3csvg xmlns='http://www.w3.org/2000/svg' viewBox='0 0 24 216'%3e%3ctext fill='%23fff' style='font: 900 16px sans-serif' text-anchor='end' transform='matrix(0 -1 1 0 18 5)'%3eSand%3c/text%3e%3c/svg%3e</v>
      </c>
      <c r="H1371" s="8" t="s">
        <v>42</v>
      </c>
      <c r="I1371" s="8">
        <f t="shared" ref="I1371:J1371" si="1372">len(B1371)</f>
        <v>4</v>
      </c>
      <c r="J1371" s="8">
        <f t="shared" si="1372"/>
        <v>52</v>
      </c>
      <c r="K1371" s="8" t="s">
        <v>5778</v>
      </c>
    </row>
    <row r="1372">
      <c r="A1372" s="7" t="b">
        <v>1</v>
      </c>
      <c r="B1372" s="8" t="s">
        <v>5779</v>
      </c>
      <c r="C1372" s="7" t="s">
        <v>5780</v>
      </c>
      <c r="D1372" s="8" t="str">
        <f>Q&amp;$K1372&amp;Q&amp;":{"&amp;Q&amp;$B$2&amp;Q&amp;":"&amp;Q&amp;$B1372&amp;Q&amp;","&amp;Q&amp;$C$2&amp;Q&amp;":"&amp;Q&amp;$C1372&amp;Q&amp;","&amp;Q&amp;"sets"&amp;Q&amp;":"&amp;Q&amp;substitute(SUBSTITUTE($H1372,"[",""),"]","")&amp;Q&amp;"},"</f>
        <v>"hose":{"label":"Sand &amp; Surf","extra":"Life’s a beach!","sets":"Expansion Set 4, Party Expansion 1"},</v>
      </c>
      <c r="E1372" s="9" t="str">
        <f t="shared" si="2"/>
        <v>data:image/svg+xml,%3csvg xmlns='http://www.w3.org/2000/svg' viewBox='0 0 24 216'%3e%3ctext fill='%23fff' style='font: 900 16px sans-serif' text-anchor='end' transform='matrix(0 -1 1 0 18 5)'%3eSand %26amp%3B Surf%3c/text%3e%3c/svg%3e</v>
      </c>
      <c r="F1372" s="14" t="str">
        <f t="shared" si="3"/>
        <v>https://svgtext.heliohost.us/cgi-bin/gen.perl?text=Sand%20%26%20Surf</v>
      </c>
      <c r="G1372" s="11" t="str">
        <f t="shared" si="4"/>
        <v>data:image/svg+xml,%3csvg xmlns='http://www.w3.org/2000/svg' viewBox='0 0 24 216'%3e%3ctext fill='%23fff' style='font: 900 16px sans-serif' text-anchor='end' transform='matrix(0 -1 1 0 18 5)'%3eSand %26amp%3B Surf%3c/text%3e%3c/svg%3e</v>
      </c>
      <c r="H1372" s="8" t="s">
        <v>63</v>
      </c>
      <c r="I1372" s="8">
        <f t="shared" ref="I1372:J1372" si="1373">len(B1372)</f>
        <v>11</v>
      </c>
      <c r="J1372" s="8">
        <f t="shared" si="1373"/>
        <v>15</v>
      </c>
      <c r="K1372" s="8" t="s">
        <v>5781</v>
      </c>
    </row>
    <row r="1373">
      <c r="A1373" s="7" t="b">
        <v>1</v>
      </c>
      <c r="B1373" s="8" t="s">
        <v>5782</v>
      </c>
      <c r="C1373" s="8" t="s">
        <v>5783</v>
      </c>
      <c r="D1373" s="8" t="str">
        <f>Q&amp;$K1373&amp;Q&amp;":{"&amp;Q&amp;$B$2&amp;Q&amp;":"&amp;Q&amp;$B1373&amp;Q&amp;","&amp;Q&amp;$C$2&amp;Q&amp;":"&amp;Q&amp;$C1373&amp;Q&amp;","&amp;Q&amp;"sets"&amp;Q&amp;":"&amp;Q&amp;substitute(SUBSTITUTE($H1373,"[",""),"]","")&amp;Q&amp;"},"</f>
        <v>"qlck":{"label":"Sand Castles","extra":"No dogs allowed.","sets":"Junior 9+ (2nd)"},</v>
      </c>
      <c r="E1373" s="9" t="str">
        <f t="shared" si="2"/>
        <v>data:image/svg+xml,%3csvg xmlns='http://www.w3.org/2000/svg' viewBox='0 0 24 216'%3e%3ctext fill='%23fff' style='font: 900 16px sans-serif' text-anchor='end' transform='matrix(0 -1 1 0 18 5)'%3eSand Castles%3c/text%3e%3c/svg%3e</v>
      </c>
      <c r="F1373" s="14" t="str">
        <f t="shared" si="3"/>
        <v>https://svgtext.heliohost.us/cgi-bin/gen.perl?text=Sand%20Castles</v>
      </c>
      <c r="G1373" s="11" t="str">
        <f t="shared" si="4"/>
        <v>data:image/svg+xml,%3csvg xmlns='http://www.w3.org/2000/svg' viewBox='0 0 24 216'%3e%3ctext fill='%23fff' style='font: 900 16px sans-serif' text-anchor='end' transform='matrix(0 -1 1 0 18 5)'%3eSand Castles%3c/text%3e%3c/svg%3e</v>
      </c>
      <c r="H1373" s="8" t="s">
        <v>32</v>
      </c>
      <c r="I1373" s="8">
        <f t="shared" ref="I1373:J1373" si="1374">len(B1373)</f>
        <v>12</v>
      </c>
      <c r="J1373" s="8">
        <f t="shared" si="1374"/>
        <v>16</v>
      </c>
      <c r="K1373" s="8" t="s">
        <v>5784</v>
      </c>
    </row>
    <row r="1374">
      <c r="A1374" s="7" t="b">
        <v>1</v>
      </c>
      <c r="B1374" s="8" t="s">
        <v>5785</v>
      </c>
      <c r="C1374" s="7" t="s">
        <v>5786</v>
      </c>
      <c r="D1374" s="8" t="str">
        <f>Q&amp;$K1374&amp;Q&amp;":{"&amp;Q&amp;$B$2&amp;Q&amp;":"&amp;Q&amp;$B1374&amp;Q&amp;","&amp;Q&amp;$C$2&amp;Q&amp;":"&amp;Q&amp;$C1374&amp;Q&amp;","&amp;Q&amp;"sets"&amp;Q&amp;":"&amp;Q&amp;substitute(SUBSTITUTE($H1374,"[",""),"]","")&amp;Q&amp;"},"</f>
        <v>"yitg":{"label":"Sandra Bullock","extra":"1964-, American actor who starred in “Speed,” “Miss Congeniality,” and “While You Were Sleeping.” The classic girl-next-door.","sets":"Expansion Set 3, Party Expansion 1"},</v>
      </c>
      <c r="E1374" s="9" t="str">
        <f t="shared" si="2"/>
        <v>data:image/svg+xml,%3csvg xmlns='http://www.w3.org/2000/svg' viewBox='0 0 24 216'%3e%3ctext fill='%23fff' style='font: 900 16px sans-serif' text-anchor='end' transform='matrix(0 -1 1 0 18 5)'%3eSandra Bullock%3c/text%3e%3c/svg%3e</v>
      </c>
      <c r="F1374" s="14" t="str">
        <f t="shared" si="3"/>
        <v>https://svgtext.heliohost.us/cgi-bin/gen.perl?text=Sandra%20Bullock</v>
      </c>
      <c r="G1374" s="11" t="str">
        <f t="shared" si="4"/>
        <v>data:image/svg+xml,%3csvg xmlns='http://www.w3.org/2000/svg' viewBox='0 0 24 216'%3e%3ctext fill='%23fff' style='font: 900 16px sans-serif' text-anchor='end' transform='matrix(0 -1 1 0 18 5)'%3eSandra Bullock%3c/text%3e%3c/svg%3e</v>
      </c>
      <c r="H1374" s="8" t="s">
        <v>39</v>
      </c>
      <c r="I1374" s="8">
        <f t="shared" ref="I1374:J1374" si="1375">len(B1374)</f>
        <v>14</v>
      </c>
      <c r="J1374" s="8">
        <f t="shared" si="1375"/>
        <v>125</v>
      </c>
      <c r="K1374" s="8" t="s">
        <v>5787</v>
      </c>
    </row>
    <row r="1375">
      <c r="A1375" s="7" t="b">
        <v>0</v>
      </c>
      <c r="B1375" s="8" t="s">
        <v>5788</v>
      </c>
      <c r="C1375" s="8" t="s">
        <v>5789</v>
      </c>
      <c r="D1375" s="8" t="str">
        <f>Q&amp;$K1375&amp;Q&amp;":{"&amp;Q&amp;$B$2&amp;Q&amp;":"&amp;Q&amp;$B1375&amp;Q&amp;","&amp;Q&amp;$C$2&amp;Q&amp;":"&amp;Q&amp;$C1375&amp;Q&amp;","&amp;Q&amp;"sets"&amp;Q&amp;":"&amp;Q&amp;substitute(SUBSTITUTE($H1375,"[",""),"]","")&amp;Q&amp;"},"</f>
        <v>"cmls":{"label":"Saturday Cartoons","extra":"Get your blanket, a bowl of cereal and snuggle in for three hours of commercials.","sets":"Expansion Set 1, Party Set"},</v>
      </c>
      <c r="E1375" s="9" t="str">
        <f t="shared" si="2"/>
        <v>data:image/svg+xml,%3csvg xmlns='http://www.w3.org/2000/svg' viewBox='0 0 24 216'%3e%3ctext fill='%23fff' style='font: 900 16px sans-serif' text-anchor='end' transform='matrix(0 -1 1 0 18 5)'%3eSaturday Cartoons%3c/text%3e%3c/svg%3e</v>
      </c>
      <c r="F1375" s="14" t="str">
        <f t="shared" si="3"/>
        <v>https://svgtext.heliohost.us/cgi-bin/gen.perl?text=Saturday%20Cartoons</v>
      </c>
      <c r="G1375" s="11" t="str">
        <f t="shared" si="4"/>
        <v>data:image/svg+xml,%3csvg xmlns='http://www.w3.org/2000/svg' viewBox='0 0 24 216'%3e%3ctext fill='%23fff' style='font: 900 16px sans-serif' text-anchor='end' transform='matrix(0 -1 1 0 18 5)'%3eSaturday Cartoons%3c/text%3e%3c/svg%3e</v>
      </c>
      <c r="H1375" s="8" t="s">
        <v>25</v>
      </c>
      <c r="I1375" s="8">
        <f t="shared" ref="I1375:J1375" si="1376">len(B1375)</f>
        <v>17</v>
      </c>
      <c r="J1375" s="8">
        <f t="shared" si="1376"/>
        <v>81</v>
      </c>
      <c r="K1375" s="8" t="s">
        <v>5790</v>
      </c>
    </row>
    <row r="1376">
      <c r="A1376" s="7" t="b">
        <v>0</v>
      </c>
      <c r="B1376" s="8" t="s">
        <v>5791</v>
      </c>
      <c r="C1376" s="8" t="s">
        <v>5792</v>
      </c>
      <c r="D1376" s="8" t="str">
        <f>Q&amp;$K1376&amp;Q&amp;":{"&amp;Q&amp;$B$2&amp;Q&amp;":"&amp;Q&amp;$B1376&amp;Q&amp;","&amp;Q&amp;$C$2&amp;Q&amp;":"&amp;Q&amp;$C1376&amp;Q&amp;","&amp;Q&amp;"sets"&amp;Q&amp;":"&amp;Q&amp;substitute(SUBSTITUTE($H1376,"[",""),"]","")&amp;Q&amp;"},"</f>
        <v>"nqiq":{"label":"Saturn","extra":"Sixth planet from the sun, and the second largest in the solar system. Has a nice ring to it, don't you think?","sets":"Basic Set, Party Set"},</v>
      </c>
      <c r="E1376" s="9" t="str">
        <f t="shared" si="2"/>
        <v>data:image/svg+xml,%3csvg xmlns='http://www.w3.org/2000/svg' viewBox='0 0 24 216'%3e%3ctext fill='%23fff' style='font: 900 16px sans-serif' text-anchor='end' transform='matrix(0 -1 1 0 18 5)'%3eSaturn%3c/text%3e%3c/svg%3e</v>
      </c>
      <c r="F1376" s="14" t="str">
        <f t="shared" si="3"/>
        <v>https://svgtext.heliohost.us/cgi-bin/gen.perl?text=Saturn</v>
      </c>
      <c r="G1376" s="11" t="str">
        <f t="shared" si="4"/>
        <v>data:image/svg+xml,%3csvg xmlns='http://www.w3.org/2000/svg' viewBox='0 0 24 216'%3e%3ctext fill='%23fff' style='font: 900 16px sans-serif' text-anchor='end' transform='matrix(0 -1 1 0 18 5)'%3eSaturn%3c/text%3e%3c/svg%3e</v>
      </c>
      <c r="H1376" s="8" t="s">
        <v>29</v>
      </c>
      <c r="I1376" s="8">
        <f t="shared" ref="I1376:J1376" si="1377">len(B1376)</f>
        <v>6</v>
      </c>
      <c r="J1376" s="8">
        <f t="shared" si="1377"/>
        <v>110</v>
      </c>
      <c r="K1376" s="8" t="s">
        <v>5793</v>
      </c>
    </row>
    <row r="1377">
      <c r="A1377" s="7" t="b">
        <v>0</v>
      </c>
      <c r="B1377" s="8" t="s">
        <v>5794</v>
      </c>
      <c r="C1377" s="7" t="s">
        <v>5795</v>
      </c>
      <c r="D1377" s="8" t="str">
        <f>Q&amp;$K1377&amp;Q&amp;":{"&amp;Q&amp;$B$2&amp;Q&amp;":"&amp;Q&amp;$B1377&amp;Q&amp;","&amp;Q&amp;$C$2&amp;Q&amp;":"&amp;Q&amp;$C1377&amp;Q&amp;","&amp;Q&amp;"sets"&amp;Q&amp;":"&amp;Q&amp;substitute(SUBSTITUTE($H1377,"[",""),"]","")&amp;Q&amp;"},"</f>
        <v>"pgpj":{"label":"Scavenger Hunt","extra":"OK kids, here’s your list: a marshmallow, a safety pin, a red rubber band, and a moon rock. Go find ’em!","sets":"Expansion Set 1, Party Set"},</v>
      </c>
      <c r="E1377" s="9" t="str">
        <f t="shared" si="2"/>
        <v>data:image/svg+xml,%3csvg xmlns='http://www.w3.org/2000/svg' viewBox='0 0 24 216'%3e%3ctext fill='%23fff' style='font: 900 16px sans-serif' text-anchor='end' transform='matrix(0 -1 1 0 18 5)'%3eScavenger Hunt%3c/text%3e%3c/svg%3e</v>
      </c>
      <c r="F1377" s="14" t="str">
        <f t="shared" si="3"/>
        <v>https://svgtext.heliohost.us/cgi-bin/gen.perl?text=Scavenger%20Hunt</v>
      </c>
      <c r="G1377" s="11" t="str">
        <f t="shared" si="4"/>
        <v>data:image/svg+xml,%3csvg xmlns='http://www.w3.org/2000/svg' viewBox='0 0 24 216'%3e%3ctext fill='%23fff' style='font: 900 16px sans-serif' text-anchor='end' transform='matrix(0 -1 1 0 18 5)'%3eScavenger Hunt%3c/text%3e%3c/svg%3e</v>
      </c>
      <c r="H1377" s="8" t="s">
        <v>25</v>
      </c>
      <c r="I1377" s="8">
        <f t="shared" ref="I1377:J1377" si="1378">len(B1377)</f>
        <v>14</v>
      </c>
      <c r="J1377" s="8">
        <f t="shared" si="1378"/>
        <v>104</v>
      </c>
      <c r="K1377" s="8" t="s">
        <v>5796</v>
      </c>
    </row>
    <row r="1378">
      <c r="A1378" s="7" t="b">
        <v>0</v>
      </c>
      <c r="B1378" s="8" t="s">
        <v>5797</v>
      </c>
      <c r="C1378" s="8" t="s">
        <v>5798</v>
      </c>
      <c r="D1378" s="8" t="str">
        <f>Q&amp;$K1378&amp;Q&amp;":{"&amp;Q&amp;$B$2&amp;Q&amp;":"&amp;Q&amp;$B1378&amp;Q&amp;","&amp;Q&amp;$C$2&amp;Q&amp;":"&amp;Q&amp;$C1378&amp;Q&amp;","&amp;Q&amp;"sets"&amp;Q&amp;":"&amp;Q&amp;substitute(SUBSTITUTE($H1378,"[",""),"]","")&amp;Q&amp;"},"</f>
        <v>"dgwf":{"label":"Scene Of The Crime","extra":"It was Colonel Mustard, in the library, with the candlestick.","sets":"Basic Set, Party Set"},</v>
      </c>
      <c r="E1378" s="9" t="str">
        <f t="shared" si="2"/>
        <v>data:image/svg+xml,%3csvg xmlns='http://www.w3.org/2000/svg' viewBox='0 0 24 216'%3e%3ctext fill='%23fff' style='font: 900 16px sans-serif' text-anchor='end' transform='matrix(0 -1 1 0 18 5)'%3eScene Of The Crime%3c/text%3e%3c/svg%3e</v>
      </c>
      <c r="F1378" s="14" t="str">
        <f t="shared" si="3"/>
        <v>https://svgtext.heliohost.us/cgi-bin/gen.perl?text=Scene%20Of%20The%20Crime</v>
      </c>
      <c r="G1378" s="11" t="str">
        <f t="shared" si="4"/>
        <v>data:image/svg+xml,%3csvg xmlns='http://www.w3.org/2000/svg' viewBox='0 0 24 216'%3e%3ctext fill='%23fff' style='font: 900 16px sans-serif' text-anchor='end' transform='matrix(0 -1 1 0 18 5)'%3eScene Of The Crime%3c/text%3e%3c/svg%3e</v>
      </c>
      <c r="H1378" s="8" t="s">
        <v>29</v>
      </c>
      <c r="I1378" s="8">
        <f t="shared" ref="I1378:J1378" si="1379">len(B1378)</f>
        <v>18</v>
      </c>
      <c r="J1378" s="8">
        <f t="shared" si="1379"/>
        <v>61</v>
      </c>
      <c r="K1378" s="8" t="s">
        <v>5799</v>
      </c>
    </row>
    <row r="1379">
      <c r="A1379" s="7" t="b">
        <v>1</v>
      </c>
      <c r="B1379" s="8" t="s">
        <v>5800</v>
      </c>
      <c r="C1379" s="7" t="s">
        <v>5801</v>
      </c>
      <c r="D1379" s="8" t="str">
        <f>Q&amp;$K1379&amp;Q&amp;":{"&amp;Q&amp;$B$2&amp;Q&amp;":"&amp;Q&amp;$B1379&amp;Q&amp;","&amp;Q&amp;$C$2&amp;Q&amp;":"&amp;Q&amp;$C1379&amp;Q&amp;","&amp;Q&amp;"sets"&amp;Q&amp;":"&amp;Q&amp;substitute(SUBSTITUTE($H1379,"[",""),"]","")&amp;Q&amp;"},"</f>
        <v>"orpr":{"label":"Scented Candles","extra":"You didn’t have to BAKE an apple pie just light a candle.","sets":"Expansion Set 3, Party Expansion 1"},</v>
      </c>
      <c r="E1379" s="9" t="str">
        <f t="shared" si="2"/>
        <v>data:image/svg+xml,%3csvg xmlns='http://www.w3.org/2000/svg' viewBox='0 0 24 216'%3e%3ctext fill='%23fff' style='font: 900 16px sans-serif' text-anchor='end' transform='matrix(0 -1 1 0 18 5)'%3eScented Candles%3c/text%3e%3c/svg%3e</v>
      </c>
      <c r="F1379" s="14" t="str">
        <f t="shared" si="3"/>
        <v>https://svgtext.heliohost.us/cgi-bin/gen.perl?text=Scented%20Candles</v>
      </c>
      <c r="G1379" s="11" t="str">
        <f t="shared" si="4"/>
        <v>data:image/svg+xml,%3csvg xmlns='http://www.w3.org/2000/svg' viewBox='0 0 24 216'%3e%3ctext fill='%23fff' style='font: 900 16px sans-serif' text-anchor='end' transform='matrix(0 -1 1 0 18 5)'%3eScented Candles%3c/text%3e%3c/svg%3e</v>
      </c>
      <c r="H1379" s="8" t="s">
        <v>39</v>
      </c>
      <c r="I1379" s="8">
        <f t="shared" ref="I1379:J1379" si="1380">len(B1379)</f>
        <v>15</v>
      </c>
      <c r="J1379" s="8">
        <f t="shared" si="1380"/>
        <v>57</v>
      </c>
      <c r="K1379" s="8" t="s">
        <v>5802</v>
      </c>
    </row>
    <row r="1380">
      <c r="A1380" s="7" t="b">
        <v>0</v>
      </c>
      <c r="B1380" s="7" t="s">
        <v>5803</v>
      </c>
      <c r="C1380" s="8" t="s">
        <v>5804</v>
      </c>
      <c r="D1380" s="8" t="str">
        <f>Q&amp;$K1380&amp;Q&amp;":{"&amp;Q&amp;$B$2&amp;Q&amp;":"&amp;Q&amp;$B1380&amp;Q&amp;","&amp;Q&amp;$C$2&amp;Q&amp;":"&amp;Q&amp;$C1380&amp;Q&amp;","&amp;Q&amp;"sets"&amp;Q&amp;":"&amp;Q&amp;substitute(SUBSTITUTE($H1380,"[",""),"]","")&amp;Q&amp;"},"</f>
        <v>"buod":{"label":"Schindler’s List","extra":"1993 Steven Spielberg film. Powerful real-life story of a Catholic businessman who eventually saved over 1000 Jews in Nazi Poland.","sets":"Expansion Set 2, Party Set"},</v>
      </c>
      <c r="E1380" s="9" t="str">
        <f t="shared" si="2"/>
        <v>data:image/svg+xml,%3csvg xmlns='http://www.w3.org/2000/svg' viewBox='0 0 24 216'%3e%3ctext fill='%23fff' style='font: 900 16px sans-serif' text-anchor='end' transform='matrix(0 -1 1 0 18 5)'%3eSchindler%E2%80%99s List%3c/text%3e%3c/svg%3e</v>
      </c>
      <c r="F1380" s="14" t="str">
        <f t="shared" si="3"/>
        <v>https://svgtext.heliohost.us/cgi-bin/gen.perl?text=Schindler%E2%80%99s%20List</v>
      </c>
      <c r="G1380" s="11" t="str">
        <f t="shared" si="4"/>
        <v>data:image/svg+xml,%3csvg xmlns='http://www.w3.org/2000/svg' viewBox='0 0 24 216'%3e%3ctext fill='%23fff' style='font: 900 16px sans-serif' text-anchor='end' transform='matrix(0 -1 1 0 18 5)'%3eSchindler%E2%80%99s List%3c/text%3e%3c/svg%3e</v>
      </c>
      <c r="H1380" s="8" t="s">
        <v>17</v>
      </c>
      <c r="I1380" s="8">
        <f t="shared" ref="I1380:J1380" si="1381">len(B1380)</f>
        <v>16</v>
      </c>
      <c r="J1380" s="8">
        <f t="shared" si="1381"/>
        <v>130</v>
      </c>
      <c r="K1380" s="8" t="s">
        <v>5805</v>
      </c>
    </row>
    <row r="1381">
      <c r="A1381" s="7" t="b">
        <v>1</v>
      </c>
      <c r="B1381" s="8" t="s">
        <v>5806</v>
      </c>
      <c r="C1381" s="8" t="s">
        <v>5807</v>
      </c>
      <c r="D1381" s="8" t="str">
        <f>Q&amp;$K1381&amp;Q&amp;":{"&amp;Q&amp;$B$2&amp;Q&amp;":"&amp;Q&amp;$B1381&amp;Q&amp;","&amp;Q&amp;$C$2&amp;Q&amp;":"&amp;Q&amp;$C1381&amp;Q&amp;","&amp;Q&amp;"sets"&amp;Q&amp;":"&amp;Q&amp;substitute(SUBSTITUTE($H1381,"[",""),"]","")&amp;Q&amp;"},"</f>
        <v>"bvjb":{"label":"School Buses","extra":"Large, yellow buses used to take children to school.","sets":"Junior"},</v>
      </c>
      <c r="E1381" s="9" t="str">
        <f t="shared" si="2"/>
        <v>data:image/svg+xml,%3csvg xmlns='http://www.w3.org/2000/svg' viewBox='0 0 24 216'%3e%3ctext fill='%23fff' style='font: 900 16px sans-serif' text-anchor='end' transform='matrix(0 -1 1 0 18 5)'%3eSchool Buses%3c/text%3e%3c/svg%3e</v>
      </c>
      <c r="F1381" s="14" t="str">
        <f t="shared" si="3"/>
        <v>https://svgtext.heliohost.us/cgi-bin/gen.perl?text=School%20Buses</v>
      </c>
      <c r="G1381" s="11" t="str">
        <f t="shared" si="4"/>
        <v>data:image/svg+xml,%3csvg xmlns='http://www.w3.org/2000/svg' viewBox='0 0 24 216'%3e%3ctext fill='%23fff' style='font: 900 16px sans-serif' text-anchor='end' transform='matrix(0 -1 1 0 18 5)'%3eSchool Buses%3c/text%3e%3c/svg%3e</v>
      </c>
      <c r="H1381" s="8" t="s">
        <v>84</v>
      </c>
      <c r="I1381" s="8">
        <f t="shared" ref="I1381:J1381" si="1382">len(B1381)</f>
        <v>12</v>
      </c>
      <c r="J1381" s="8">
        <f t="shared" si="1382"/>
        <v>52</v>
      </c>
      <c r="K1381" s="8" t="s">
        <v>5808</v>
      </c>
    </row>
    <row r="1382">
      <c r="A1382" s="7" t="b">
        <v>1</v>
      </c>
      <c r="B1382" s="8" t="s">
        <v>5809</v>
      </c>
      <c r="C1382" s="8" t="s">
        <v>5810</v>
      </c>
      <c r="D1382" s="8" t="str">
        <f>Q&amp;$K1382&amp;Q&amp;":{"&amp;Q&amp;$B$2&amp;Q&amp;":"&amp;Q&amp;$B1382&amp;Q&amp;","&amp;Q&amp;$C$2&amp;Q&amp;":"&amp;Q&amp;$C1382&amp;Q&amp;","&amp;Q&amp;"sets"&amp;Q&amp;":"&amp;Q&amp;substitute(SUBSTITUTE($H1382,"[",""),"]","")&amp;Q&amp;"},"</f>
        <v>"dbgl":{"label":"School Lunch","extra":"Hot lunch, cold lunch, or bring your own lunch.","sets":"Junior 9+ (1st) &amp; (2nd)"},</v>
      </c>
      <c r="E1382" s="9" t="str">
        <f t="shared" si="2"/>
        <v>data:image/svg+xml,%3csvg xmlns='http://www.w3.org/2000/svg' viewBox='0 0 24 216'%3e%3ctext fill='%23fff' style='font: 900 16px sans-serif' text-anchor='end' transform='matrix(0 -1 1 0 18 5)'%3eSchool Lunch%3c/text%3e%3c/svg%3e</v>
      </c>
      <c r="F1382" s="14" t="str">
        <f t="shared" si="3"/>
        <v>https://svgtext.heliohost.us/cgi-bin/gen.perl?text=School%20Lunch</v>
      </c>
      <c r="G1382" s="11" t="str">
        <f t="shared" si="4"/>
        <v>data:image/svg+xml,%3csvg xmlns='http://www.w3.org/2000/svg' viewBox='0 0 24 216'%3e%3ctext fill='%23fff' style='font: 900 16px sans-serif' text-anchor='end' transform='matrix(0 -1 1 0 18 5)'%3eSchool Lunch%3c/text%3e%3c/svg%3e</v>
      </c>
      <c r="H1382" s="8" t="s">
        <v>42</v>
      </c>
      <c r="I1382" s="8">
        <f t="shared" ref="I1382:J1382" si="1383">len(B1382)</f>
        <v>12</v>
      </c>
      <c r="J1382" s="8">
        <f t="shared" si="1383"/>
        <v>47</v>
      </c>
      <c r="K1382" s="8" t="s">
        <v>5811</v>
      </c>
    </row>
    <row r="1383">
      <c r="A1383" s="7" t="b">
        <v>1</v>
      </c>
      <c r="B1383" s="8" t="s">
        <v>5812</v>
      </c>
      <c r="C1383" s="8" t="s">
        <v>5813</v>
      </c>
      <c r="D1383" s="8" t="str">
        <f>Q&amp;$K1383&amp;Q&amp;":{"&amp;Q&amp;$B$2&amp;Q&amp;":"&amp;Q&amp;$B1383&amp;Q&amp;","&amp;Q&amp;$C$2&amp;Q&amp;":"&amp;Q&amp;$C1383&amp;Q&amp;","&amp;Q&amp;"sets"&amp;Q&amp;":"&amp;Q&amp;substitute(SUBSTITUTE($H1383,"[",""),"]","")&amp;Q&amp;"},"</f>
        <v>"zepd":{"label":"School Pictures","extra":"How do I look?","sets":"Junior 9+ (2nd)"},</v>
      </c>
      <c r="E1383" s="9" t="str">
        <f t="shared" si="2"/>
        <v>data:image/svg+xml,%3csvg xmlns='http://www.w3.org/2000/svg' viewBox='0 0 24 216'%3e%3ctext fill='%23fff' style='font: 900 16px sans-serif' text-anchor='end' transform='matrix(0 -1 1 0 18 5)'%3eSchool Pictures%3c/text%3e%3c/svg%3e</v>
      </c>
      <c r="F1383" s="14" t="str">
        <f t="shared" si="3"/>
        <v>https://svgtext.heliohost.us/cgi-bin/gen.perl?text=School%20Pictures</v>
      </c>
      <c r="G1383" s="11" t="str">
        <f t="shared" si="4"/>
        <v>data:image/svg+xml,%3csvg xmlns='http://www.w3.org/2000/svg' viewBox='0 0 24 216'%3e%3ctext fill='%23fff' style='font: 900 16px sans-serif' text-anchor='end' transform='matrix(0 -1 1 0 18 5)'%3eSchool Pictures%3c/text%3e%3c/svg%3e</v>
      </c>
      <c r="H1383" s="8" t="s">
        <v>32</v>
      </c>
      <c r="I1383" s="8">
        <f t="shared" ref="I1383:J1383" si="1384">len(B1383)</f>
        <v>15</v>
      </c>
      <c r="J1383" s="8">
        <f t="shared" si="1384"/>
        <v>14</v>
      </c>
      <c r="K1383" s="8" t="s">
        <v>5814</v>
      </c>
    </row>
    <row r="1384">
      <c r="A1384" s="7" t="b">
        <v>1</v>
      </c>
      <c r="B1384" s="8" t="s">
        <v>5815</v>
      </c>
      <c r="C1384" s="8" t="s">
        <v>5816</v>
      </c>
      <c r="D1384" s="8" t="str">
        <f>Q&amp;$K1384&amp;Q&amp;":{"&amp;Q&amp;$B$2&amp;Q&amp;":"&amp;Q&amp;$B1384&amp;Q&amp;","&amp;Q&amp;$C$2&amp;Q&amp;":"&amp;Q&amp;$C1384&amp;Q&amp;","&amp;Q&amp;"sets"&amp;Q&amp;":"&amp;Q&amp;substitute(SUBSTITUTE($H1384,"[",""),"]","")&amp;Q&amp;"},"</f>
        <v>"tkof":{"label":"Science Experiments","extra":"Your science experiment? I thought it was dinner!","sets":"Junior 9+ (2nd)"},</v>
      </c>
      <c r="E1384" s="9" t="str">
        <f t="shared" si="2"/>
        <v>data:image/svg+xml,%3csvg xmlns='http://www.w3.org/2000/svg' viewBox='0 0 24 216'%3e%3ctext fill='%23fff' style='font: 900 16px sans-serif' text-anchor='end' transform='matrix(0 -1 1 0 18 5)'%3eScience Experiments%3c/text%3e%3c/svg%3e</v>
      </c>
      <c r="F1384" s="14" t="str">
        <f t="shared" si="3"/>
        <v>https://svgtext.heliohost.us/cgi-bin/gen.perl?text=Science%20Experiments</v>
      </c>
      <c r="G1384" s="11" t="str">
        <f t="shared" si="4"/>
        <v>data:image/svg+xml,%3csvg xmlns='http://www.w3.org/2000/svg' viewBox='0 0 24 216'%3e%3ctext fill='%23fff' style='font: 900 16px sans-serif' text-anchor='end' transform='matrix(0 -1 1 0 18 5)'%3eScience Experiments%3c/text%3e%3c/svg%3e</v>
      </c>
      <c r="H1384" s="8" t="s">
        <v>32</v>
      </c>
      <c r="I1384" s="8">
        <f t="shared" ref="I1384:J1384" si="1385">len(B1384)</f>
        <v>19</v>
      </c>
      <c r="J1384" s="8">
        <f t="shared" si="1385"/>
        <v>49</v>
      </c>
      <c r="K1384" s="8" t="s">
        <v>5817</v>
      </c>
    </row>
    <row r="1385">
      <c r="A1385" s="7" t="b">
        <v>0</v>
      </c>
      <c r="B1385" s="8" t="s">
        <v>5818</v>
      </c>
      <c r="C1385" s="8" t="s">
        <v>5819</v>
      </c>
      <c r="D1385" s="8" t="str">
        <f>Q&amp;$K1385&amp;Q&amp;":{"&amp;Q&amp;$B$2&amp;Q&amp;":"&amp;Q&amp;$B1385&amp;Q&amp;","&amp;Q&amp;$C$2&amp;Q&amp;":"&amp;Q&amp;$C1385&amp;Q&amp;","&amp;Q&amp;"sets"&amp;Q&amp;":"&amp;Q&amp;substitute(SUBSTITUTE($H1385,"[",""),"]","")&amp;Q&amp;"},"</f>
        <v>"cls{":{"label":"Science Fair Projects","extra":"No human subjects, please!","sets":"Expansion Set 1, Party Set"},</v>
      </c>
      <c r="E1385" s="9" t="str">
        <f t="shared" si="2"/>
        <v>data:image/svg+xml,%3csvg xmlns='http://www.w3.org/2000/svg' viewBox='0 0 24 216'%3e%3ctext fill='%23fff' style='font: 900 16px sans-serif' text-anchor='end' transform='matrix(0 -1 1 0 18 5)'%3eScience Fair Projects%3c/text%3e%3c/svg%3e</v>
      </c>
      <c r="F1385" s="14" t="str">
        <f t="shared" si="3"/>
        <v>https://svgtext.heliohost.us/cgi-bin/gen.perl?text=Science%20Fair%20Projects</v>
      </c>
      <c r="G1385" s="11" t="str">
        <f t="shared" si="4"/>
        <v>data:image/svg+xml,%3csvg xmlns='http://www.w3.org/2000/svg' viewBox='0 0 24 216'%3e%3ctext fill='%23fff' style='font: 900 16px sans-serif' text-anchor='end' transform='matrix(0 -1 1 0 18 5)'%3eScience Fair Projects%3c/text%3e%3c/svg%3e</v>
      </c>
      <c r="H1385" s="8" t="s">
        <v>25</v>
      </c>
      <c r="I1385" s="8">
        <f t="shared" ref="I1385:J1385" si="1386">len(B1385)</f>
        <v>21</v>
      </c>
      <c r="J1385" s="8">
        <f t="shared" si="1386"/>
        <v>26</v>
      </c>
      <c r="K1385" s="8" t="s">
        <v>5820</v>
      </c>
    </row>
    <row r="1386">
      <c r="A1386" s="7" t="b">
        <v>0</v>
      </c>
      <c r="B1386" s="8" t="s">
        <v>5821</v>
      </c>
      <c r="C1386" s="7" t="s">
        <v>5822</v>
      </c>
      <c r="D1386" s="8" t="str">
        <f>Q&amp;$K1386&amp;Q&amp;":{"&amp;Q&amp;$B$2&amp;Q&amp;":"&amp;Q&amp;$B1386&amp;Q&amp;","&amp;Q&amp;$C$2&amp;Q&amp;":"&amp;Q&amp;$C1386&amp;Q&amp;","&amp;Q&amp;"sets"&amp;Q&amp;":"&amp;Q&amp;substitute(SUBSTITUTE($H1386,"[",""),"]","")&amp;Q&amp;"},"</f>
        <v>"mtmv":{"label":"Science Fiction","extra":"In a galaxy far, far away…","sets":"Expansion Set 1, Party Set"},</v>
      </c>
      <c r="E1386" s="9" t="str">
        <f t="shared" si="2"/>
        <v>data:image/svg+xml,%3csvg xmlns='http://www.w3.org/2000/svg' viewBox='0 0 24 216'%3e%3ctext fill='%23fff' style='font: 900 16px sans-serif' text-anchor='end' transform='matrix(0 -1 1 0 18 5)'%3eScience Fiction%3c/text%3e%3c/svg%3e</v>
      </c>
      <c r="F1386" s="14" t="str">
        <f t="shared" si="3"/>
        <v>https://svgtext.heliohost.us/cgi-bin/gen.perl?text=Science%20Fiction</v>
      </c>
      <c r="G1386" s="11" t="str">
        <f t="shared" si="4"/>
        <v>data:image/svg+xml,%3csvg xmlns='http://www.w3.org/2000/svg' viewBox='0 0 24 216'%3e%3ctext fill='%23fff' style='font: 900 16px sans-serif' text-anchor='end' transform='matrix(0 -1 1 0 18 5)'%3eScience Fiction%3c/text%3e%3c/svg%3e</v>
      </c>
      <c r="H1386" s="8" t="s">
        <v>25</v>
      </c>
      <c r="I1386" s="8">
        <f t="shared" ref="I1386:J1386" si="1387">len(B1386)</f>
        <v>15</v>
      </c>
      <c r="J1386" s="8">
        <f t="shared" si="1387"/>
        <v>26</v>
      </c>
      <c r="K1386" s="8" t="s">
        <v>5823</v>
      </c>
    </row>
    <row r="1387">
      <c r="A1387" s="7" t="b">
        <v>1</v>
      </c>
      <c r="B1387" s="8" t="s">
        <v>5824</v>
      </c>
      <c r="C1387" s="8" t="s">
        <v>5825</v>
      </c>
      <c r="D1387" s="8" t="str">
        <f>Q&amp;$K1387&amp;Q&amp;":{"&amp;Q&amp;$B$2&amp;Q&amp;":"&amp;Q&amp;$B1387&amp;Q&amp;","&amp;Q&amp;$C$2&amp;Q&amp;":"&amp;Q&amp;$C1387&amp;Q&amp;","&amp;Q&amp;"sets"&amp;Q&amp;":"&amp;Q&amp;substitute(SUBSTITUTE($H1387,"[",""),"]","")&amp;Q&amp;"},"</f>
        <v>"ngfi":{"label":"Science Tests","extra":"Multiple choice or essay.","sets":"Junior 9+ (2nd)"},</v>
      </c>
      <c r="E1387" s="9" t="str">
        <f t="shared" si="2"/>
        <v>data:image/svg+xml,%3csvg xmlns='http://www.w3.org/2000/svg' viewBox='0 0 24 216'%3e%3ctext fill='%23fff' style='font: 900 16px sans-serif' text-anchor='end' transform='matrix(0 -1 1 0 18 5)'%3eScience Tests%3c/text%3e%3c/svg%3e</v>
      </c>
      <c r="F1387" s="14" t="str">
        <f t="shared" si="3"/>
        <v>https://svgtext.heliohost.us/cgi-bin/gen.perl?text=Science%20Tests</v>
      </c>
      <c r="G1387" s="11" t="str">
        <f t="shared" si="4"/>
        <v>data:image/svg+xml,%3csvg xmlns='http://www.w3.org/2000/svg' viewBox='0 0 24 216'%3e%3ctext fill='%23fff' style='font: 900 16px sans-serif' text-anchor='end' transform='matrix(0 -1 1 0 18 5)'%3eScience Tests%3c/text%3e%3c/svg%3e</v>
      </c>
      <c r="H1387" s="8" t="s">
        <v>32</v>
      </c>
      <c r="I1387" s="8">
        <f t="shared" ref="I1387:J1387" si="1388">len(B1387)</f>
        <v>13</v>
      </c>
      <c r="J1387" s="8">
        <f t="shared" si="1388"/>
        <v>25</v>
      </c>
      <c r="K1387" s="8" t="s">
        <v>5826</v>
      </c>
    </row>
    <row r="1388">
      <c r="A1388" s="7" t="b">
        <v>1</v>
      </c>
      <c r="B1388" s="8" t="s">
        <v>5827</v>
      </c>
      <c r="C1388" s="8" t="s">
        <v>5828</v>
      </c>
      <c r="D1388" s="8" t="str">
        <f>Q&amp;$K1388&amp;Q&amp;":{"&amp;Q&amp;$B$2&amp;Q&amp;":"&amp;Q&amp;$B1388&amp;Q&amp;","&amp;Q&amp;$C$2&amp;Q&amp;":"&amp;Q&amp;$C1388&amp;Q&amp;","&amp;Q&amp;"sets"&amp;Q&amp;":"&amp;Q&amp;substitute(SUBSTITUTE($H1388,"[",""),"]","")&amp;Q&amp;"},"</f>
        <v>"yuoc":{"label":"Scientists","extra":"Scientists study astronomy, biology, chemistry, geology, and other stuff.","sets":"Junior 9+ (1st) &amp; (2nd)"},</v>
      </c>
      <c r="E1388" s="9" t="str">
        <f t="shared" si="2"/>
        <v>data:image/svg+xml,%3csvg xmlns='http://www.w3.org/2000/svg' viewBox='0 0 24 216'%3e%3ctext fill='%23fff' style='font: 900 16px sans-serif' text-anchor='end' transform='matrix(0 -1 1 0 18 5)'%3eScientists%3c/text%3e%3c/svg%3e</v>
      </c>
      <c r="F1388" s="14" t="str">
        <f t="shared" si="3"/>
        <v>https://svgtext.heliohost.us/cgi-bin/gen.perl?text=Scientists</v>
      </c>
      <c r="G1388" s="11" t="str">
        <f t="shared" si="4"/>
        <v>data:image/svg+xml,%3csvg xmlns='http://www.w3.org/2000/svg' viewBox='0 0 24 216'%3e%3ctext fill='%23fff' style='font: 900 16px sans-serif' text-anchor='end' transform='matrix(0 -1 1 0 18 5)'%3eScientists%3c/text%3e%3c/svg%3e</v>
      </c>
      <c r="H1388" s="8" t="s">
        <v>42</v>
      </c>
      <c r="I1388" s="8">
        <f t="shared" ref="I1388:J1388" si="1389">len(B1388)</f>
        <v>10</v>
      </c>
      <c r="J1388" s="8">
        <f t="shared" si="1389"/>
        <v>73</v>
      </c>
      <c r="K1388" s="8" t="s">
        <v>5829</v>
      </c>
    </row>
    <row r="1389">
      <c r="A1389" s="7" t="b">
        <v>1</v>
      </c>
      <c r="B1389" s="8" t="s">
        <v>5830</v>
      </c>
      <c r="C1389" s="7" t="s">
        <v>5831</v>
      </c>
      <c r="D1389" s="8" t="str">
        <f>Q&amp;$K1389&amp;Q&amp;":{"&amp;Q&amp;$B$2&amp;Q&amp;":"&amp;Q&amp;$B1389&amp;Q&amp;","&amp;Q&amp;$C$2&amp;Q&amp;":"&amp;Q&amp;$C1389&amp;Q&amp;","&amp;Q&amp;"sets"&amp;Q&amp;":"&amp;Q&amp;substitute(SUBSTITUTE($H1389,"[",""),"]","")&amp;Q&amp;"},"</f>
        <v>"jzhp":{"label":"Scooby-Doo","extra":"TV cartoon dog who helps solve crimes. “Scooby-Doo, where are you?”","sets":"Junior 9+ (1st) &amp; (2nd)"},</v>
      </c>
      <c r="E1389" s="9" t="str">
        <f t="shared" si="2"/>
        <v>data:image/svg+xml,%3csvg xmlns='http://www.w3.org/2000/svg' viewBox='0 0 24 216'%3e%3ctext fill='%23fff' style='font: 900 16px sans-serif' text-anchor='end' transform='matrix(0 -1 1 0 18 5)'%3eScooby-Doo%3c/text%3e%3c/svg%3e</v>
      </c>
      <c r="F1389" s="14" t="str">
        <f t="shared" si="3"/>
        <v>https://svgtext.heliohost.us/cgi-bin/gen.perl?text=Scooby-Doo</v>
      </c>
      <c r="G1389" s="11" t="str">
        <f t="shared" si="4"/>
        <v>data:image/svg+xml,%3csvg xmlns='http://www.w3.org/2000/svg' viewBox='0 0 24 216'%3e%3ctext fill='%23fff' style='font: 900 16px sans-serif' text-anchor='end' transform='matrix(0 -1 1 0 18 5)'%3eScooby-Doo%3c/text%3e%3c/svg%3e</v>
      </c>
      <c r="H1389" s="8" t="s">
        <v>42</v>
      </c>
      <c r="I1389" s="8">
        <f t="shared" ref="I1389:J1389" si="1390">len(B1389)</f>
        <v>10</v>
      </c>
      <c r="J1389" s="8">
        <f t="shared" si="1390"/>
        <v>67</v>
      </c>
      <c r="K1389" s="8" t="s">
        <v>5832</v>
      </c>
    </row>
    <row r="1390">
      <c r="A1390" s="7" t="b">
        <v>1</v>
      </c>
      <c r="B1390" s="8" t="s">
        <v>5833</v>
      </c>
      <c r="C1390" s="8" t="s">
        <v>5834</v>
      </c>
      <c r="D1390" s="8" t="str">
        <f>Q&amp;$K1390&amp;Q&amp;":{"&amp;Q&amp;$B$2&amp;Q&amp;":"&amp;Q&amp;$B1390&amp;Q&amp;","&amp;Q&amp;$C$2&amp;Q&amp;":"&amp;Q&amp;$C1390&amp;Q&amp;","&amp;Q&amp;"sets"&amp;Q&amp;":"&amp;Q&amp;substitute(SUBSTITUTE($H1390,"[",""),"]","")&amp;Q&amp;"},"</f>
        <v>"swef":{"label":"Screaming","extra":"NOT SO LOUD!","sets":"Junior"},</v>
      </c>
      <c r="E1390" s="9" t="str">
        <f t="shared" si="2"/>
        <v>data:image/svg+xml,%3csvg xmlns='http://www.w3.org/2000/svg' viewBox='0 0 24 216'%3e%3ctext fill='%23fff' style='font: 900 16px sans-serif' text-anchor='end' transform='matrix(0 -1 1 0 18 5)'%3eScreaming%3c/text%3e%3c/svg%3e</v>
      </c>
      <c r="F1390" s="14" t="str">
        <f t="shared" si="3"/>
        <v>https://svgtext.heliohost.us/cgi-bin/gen.perl?text=Screaming</v>
      </c>
      <c r="G1390" s="11" t="str">
        <f t="shared" si="4"/>
        <v>data:image/svg+xml,%3csvg xmlns='http://www.w3.org/2000/svg' viewBox='0 0 24 216'%3e%3ctext fill='%23fff' style='font: 900 16px sans-serif' text-anchor='end' transform='matrix(0 -1 1 0 18 5)'%3eScreaming%3c/text%3e%3c/svg%3e</v>
      </c>
      <c r="H1390" s="8" t="s">
        <v>84</v>
      </c>
      <c r="I1390" s="8">
        <f t="shared" ref="I1390:J1390" si="1391">len(B1390)</f>
        <v>9</v>
      </c>
      <c r="J1390" s="8">
        <f t="shared" si="1391"/>
        <v>12</v>
      </c>
      <c r="K1390" s="8" t="s">
        <v>5835</v>
      </c>
    </row>
    <row r="1391">
      <c r="A1391" s="7" t="b">
        <v>0</v>
      </c>
      <c r="B1391" s="8" t="s">
        <v>5836</v>
      </c>
      <c r="C1391" s="8" t="s">
        <v>5837</v>
      </c>
      <c r="D1391" s="8" t="str">
        <f>Q&amp;$K1391&amp;Q&amp;":{"&amp;Q&amp;$B$2&amp;Q&amp;":"&amp;Q&amp;$B1391&amp;Q&amp;","&amp;Q&amp;$C$2&amp;Q&amp;":"&amp;Q&amp;$C1391&amp;Q&amp;","&amp;Q&amp;"sets"&amp;Q&amp;":"&amp;Q&amp;substitute(SUBSTITUTE($H1391,"[",""),"]","")&amp;Q&amp;"},"</f>
        <v>"dkjc":{"label":"Screeching","extra":"Please stop.","sets":"Expansion Set 1, Party Set"},</v>
      </c>
      <c r="E1391" s="9" t="str">
        <f t="shared" si="2"/>
        <v>data:image/svg+xml,%3csvg xmlns='http://www.w3.org/2000/svg' viewBox='0 0 24 216'%3e%3ctext fill='%23fff' style='font: 900 16px sans-serif' text-anchor='end' transform='matrix(0 -1 1 0 18 5)'%3eScreeching%3c/text%3e%3c/svg%3e</v>
      </c>
      <c r="F1391" s="14" t="str">
        <f t="shared" si="3"/>
        <v>https://svgtext.heliohost.us/cgi-bin/gen.perl?text=Screeching</v>
      </c>
      <c r="G1391" s="11" t="str">
        <f t="shared" si="4"/>
        <v>data:image/svg+xml,%3csvg xmlns='http://www.w3.org/2000/svg' viewBox='0 0 24 216'%3e%3ctext fill='%23fff' style='font: 900 16px sans-serif' text-anchor='end' transform='matrix(0 -1 1 0 18 5)'%3eScreeching%3c/text%3e%3c/svg%3e</v>
      </c>
      <c r="H1391" s="8" t="s">
        <v>25</v>
      </c>
      <c r="I1391" s="8">
        <f t="shared" ref="I1391:J1391" si="1392">len(B1391)</f>
        <v>10</v>
      </c>
      <c r="J1391" s="8">
        <f t="shared" si="1392"/>
        <v>12</v>
      </c>
      <c r="K1391" s="8" t="s">
        <v>5838</v>
      </c>
    </row>
    <row r="1392">
      <c r="A1392" s="7" t="b">
        <v>0</v>
      </c>
      <c r="B1392" s="8" t="s">
        <v>5839</v>
      </c>
      <c r="C1392" s="7" t="s">
        <v>5840</v>
      </c>
      <c r="D1392" s="8" t="str">
        <f>Q&amp;$K1392&amp;Q&amp;":{"&amp;Q&amp;$B$2&amp;Q&amp;":"&amp;Q&amp;$B1392&amp;Q&amp;","&amp;Q&amp;$C$2&amp;Q&amp;":"&amp;Q&amp;$C1392&amp;Q&amp;","&amp;Q&amp;"sets"&amp;Q&amp;":"&amp;Q&amp;substitute(SUBSTITUTE($H1392,"[",""),"]","")&amp;Q&amp;"},"</f>
        <v>"ygig":{"label":"Sean Connery","extra":"1930-, Accomplished Scottish actor, although best known as the REAL Bond, JAMES Bond…","sets":"Basic Set, Party Set"},</v>
      </c>
      <c r="E1392" s="9" t="str">
        <f t="shared" si="2"/>
        <v>data:image/svg+xml,%3csvg xmlns='http://www.w3.org/2000/svg' viewBox='0 0 24 216'%3e%3ctext fill='%23fff' style='font: 900 16px sans-serif' text-anchor='end' transform='matrix(0 -1 1 0 18 5)'%3eSean Connery%3c/text%3e%3c/svg%3e</v>
      </c>
      <c r="F1392" s="14" t="str">
        <f t="shared" si="3"/>
        <v>https://svgtext.heliohost.us/cgi-bin/gen.perl?text=Sean%20Connery</v>
      </c>
      <c r="G1392" s="11" t="str">
        <f t="shared" si="4"/>
        <v>data:image/svg+xml,%3csvg xmlns='http://www.w3.org/2000/svg' viewBox='0 0 24 216'%3e%3ctext fill='%23fff' style='font: 900 16px sans-serif' text-anchor='end' transform='matrix(0 -1 1 0 18 5)'%3eSean Connery%3c/text%3e%3c/svg%3e</v>
      </c>
      <c r="H1392" s="8" t="s">
        <v>29</v>
      </c>
      <c r="I1392" s="8">
        <f t="shared" ref="I1392:J1392" si="1393">len(B1392)</f>
        <v>12</v>
      </c>
      <c r="J1392" s="8">
        <f t="shared" si="1393"/>
        <v>85</v>
      </c>
      <c r="K1392" s="8" t="s">
        <v>5841</v>
      </c>
    </row>
    <row r="1393">
      <c r="A1393" s="7" t="b">
        <v>1</v>
      </c>
      <c r="B1393" s="8" t="s">
        <v>5842</v>
      </c>
      <c r="C1393" s="8" t="s">
        <v>5843</v>
      </c>
      <c r="D1393" s="8" t="str">
        <f>Q&amp;$K1393&amp;Q&amp;":{"&amp;Q&amp;$B$2&amp;Q&amp;":"&amp;Q&amp;$B1393&amp;Q&amp;","&amp;Q&amp;$C$2&amp;Q&amp;":"&amp;Q&amp;$C1393&amp;Q&amp;","&amp;Q&amp;"sets"&amp;Q&amp;":"&amp;Q&amp;substitute(SUBSTITUTE($H1393,"[",""),"]","")&amp;Q&amp;"},"</f>
        <v>"vthe":{"label":"Seashells","extra":"The outer shells of sea animals. You can find them on the beach.","sets":"Junior"},</v>
      </c>
      <c r="E1393" s="9" t="str">
        <f t="shared" si="2"/>
        <v>data:image/svg+xml,%3csvg xmlns='http://www.w3.org/2000/svg' viewBox='0 0 24 216'%3e%3ctext fill='%23fff' style='font: 900 16px sans-serif' text-anchor='end' transform='matrix(0 -1 1 0 18 5)'%3eSeashells%3c/text%3e%3c/svg%3e</v>
      </c>
      <c r="F1393" s="14" t="str">
        <f t="shared" si="3"/>
        <v>https://svgtext.heliohost.us/cgi-bin/gen.perl?text=Seashells</v>
      </c>
      <c r="G1393" s="11" t="str">
        <f t="shared" si="4"/>
        <v>data:image/svg+xml,%3csvg xmlns='http://www.w3.org/2000/svg' viewBox='0 0 24 216'%3e%3ctext fill='%23fff' style='font: 900 16px sans-serif' text-anchor='end' transform='matrix(0 -1 1 0 18 5)'%3eSeashells%3c/text%3e%3c/svg%3e</v>
      </c>
      <c r="H1393" s="8" t="s">
        <v>84</v>
      </c>
      <c r="I1393" s="8">
        <f t="shared" ref="I1393:J1393" si="1394">len(B1393)</f>
        <v>9</v>
      </c>
      <c r="J1393" s="8">
        <f t="shared" si="1394"/>
        <v>64</v>
      </c>
      <c r="K1393" s="8" t="s">
        <v>5844</v>
      </c>
    </row>
    <row r="1394">
      <c r="A1394" s="7" t="b">
        <v>1</v>
      </c>
      <c r="B1394" s="8" t="s">
        <v>5845</v>
      </c>
      <c r="C1394" s="7" t="s">
        <v>5846</v>
      </c>
      <c r="D1394" s="8" t="str">
        <f>Q&amp;$K1394&amp;Q&amp;":{"&amp;Q&amp;$B$2&amp;Q&amp;":"&amp;Q&amp;$B1394&amp;Q&amp;","&amp;Q&amp;$C$2&amp;Q&amp;":"&amp;Q&amp;$C1394&amp;Q&amp;","&amp;Q&amp;"sets"&amp;Q&amp;":"&amp;Q&amp;substitute(SUBSTITUTE($H1394,"[",""),"]","")&amp;Q&amp;"},"</f>
        <v>"wxvu":{"label":"Sesame Street","extra":"Children’s television show featuring Big Bird. “Can you tell me how to get to Sesame Street?”","sets":"Junior"},</v>
      </c>
      <c r="E1394" s="9" t="str">
        <f t="shared" si="2"/>
        <v>data:image/svg+xml,%3csvg xmlns='http://www.w3.org/2000/svg' viewBox='0 0 24 216'%3e%3ctext fill='%23fff' style='font: 900 16px sans-serif' text-anchor='end' transform='matrix(0 -1 1 0 18 5)'%3eSesame Street%3c/text%3e%3c/svg%3e</v>
      </c>
      <c r="F1394" s="14" t="str">
        <f t="shared" si="3"/>
        <v>https://svgtext.heliohost.us/cgi-bin/gen.perl?text=Sesame%20Street</v>
      </c>
      <c r="G1394" s="11" t="str">
        <f t="shared" si="4"/>
        <v>data:image/svg+xml,%3csvg xmlns='http://www.w3.org/2000/svg' viewBox='0 0 24 216'%3e%3ctext fill='%23fff' style='font: 900 16px sans-serif' text-anchor='end' transform='matrix(0 -1 1 0 18 5)'%3eSesame Street%3c/text%3e%3c/svg%3e</v>
      </c>
      <c r="H1394" s="8" t="s">
        <v>84</v>
      </c>
      <c r="I1394" s="8">
        <f t="shared" ref="I1394:J1394" si="1395">len(B1394)</f>
        <v>13</v>
      </c>
      <c r="J1394" s="8">
        <f t="shared" si="1395"/>
        <v>93</v>
      </c>
      <c r="K1394" s="8" t="s">
        <v>5847</v>
      </c>
    </row>
    <row r="1395">
      <c r="A1395" s="7" t="b">
        <v>1</v>
      </c>
      <c r="B1395" s="8" t="s">
        <v>5848</v>
      </c>
      <c r="C1395" s="7" t="s">
        <v>5849</v>
      </c>
      <c r="D1395" s="8" t="str">
        <f>Q&amp;$K1395&amp;Q&amp;":{"&amp;Q&amp;$B$2&amp;Q&amp;":"&amp;Q&amp;$B1395&amp;Q&amp;","&amp;Q&amp;$C$2&amp;Q&amp;":"&amp;Q&amp;$C1395&amp;Q&amp;","&amp;Q&amp;"sets"&amp;Q&amp;":"&amp;Q&amp;substitute(SUBSTITUTE($H1395,"[",""),"]","")&amp;Q&amp;"},"</f>
        <v>"hnzy":{"label":"Shake &amp; Bake","extra":"…and eat.","sets":"Expansion Set 4, Party Expansion 1"},</v>
      </c>
      <c r="E1395" s="9" t="str">
        <f t="shared" si="2"/>
        <v>data:image/svg+xml,%3csvg xmlns='http://www.w3.org/2000/svg' viewBox='0 0 24 216'%3e%3ctext fill='%23fff' style='font: 900 16px sans-serif' text-anchor='end' transform='matrix(0 -1 1 0 18 5)'%3eShake %26amp%3B Bake%3c/text%3e%3c/svg%3e</v>
      </c>
      <c r="F1395" s="14" t="str">
        <f t="shared" si="3"/>
        <v>https://svgtext.heliohost.us/cgi-bin/gen.perl?text=Shake%20%26%20Bake</v>
      </c>
      <c r="G1395" s="11" t="str">
        <f t="shared" si="4"/>
        <v>data:image/svg+xml,%3csvg xmlns='http://www.w3.org/2000/svg' viewBox='0 0 24 216'%3e%3ctext fill='%23fff' style='font: 900 16px sans-serif' text-anchor='end' transform='matrix(0 -1 1 0 18 5)'%3eShake %26amp%3B Bake%3c/text%3e%3c/svg%3e</v>
      </c>
      <c r="H1395" s="8" t="s">
        <v>63</v>
      </c>
      <c r="I1395" s="8">
        <f t="shared" ref="I1395:J1395" si="1396">len(B1395)</f>
        <v>12</v>
      </c>
      <c r="J1395" s="8">
        <f t="shared" si="1396"/>
        <v>9</v>
      </c>
      <c r="K1395" s="8" t="s">
        <v>5850</v>
      </c>
    </row>
    <row r="1396">
      <c r="A1396" s="7" t="b">
        <v>0</v>
      </c>
      <c r="B1396" s="8" t="s">
        <v>5851</v>
      </c>
      <c r="C1396" s="7" t="s">
        <v>5852</v>
      </c>
      <c r="D1396" s="8" t="str">
        <f>Q&amp;$K1396&amp;Q&amp;":{"&amp;Q&amp;$B$2&amp;Q&amp;":"&amp;Q&amp;$B1396&amp;Q&amp;","&amp;Q&amp;$C$2&amp;Q&amp;":"&amp;Q&amp;$C1396&amp;Q&amp;","&amp;Q&amp;"sets"&amp;Q&amp;":"&amp;Q&amp;substitute(SUBSTITUTE($H1396,"[",""),"]","")&amp;Q&amp;"},"</f>
        <v>"ej{s":{"label":"Shania Twain","extra":"1965-, Canadian country singer and songwriter. “Shania” means “I'm on my way” in Ojibwa.","sets":"Expansion Set 1, Party Set"},</v>
      </c>
      <c r="E1396" s="9" t="str">
        <f t="shared" si="2"/>
        <v>data:image/svg+xml,%3csvg xmlns='http://www.w3.org/2000/svg' viewBox='0 0 24 216'%3e%3ctext fill='%23fff' style='font: 900 16px sans-serif' text-anchor='end' transform='matrix(0 -1 1 0 18 5)'%3eShania Twain%3c/text%3e%3c/svg%3e</v>
      </c>
      <c r="F1396" s="14" t="str">
        <f t="shared" si="3"/>
        <v>https://svgtext.heliohost.us/cgi-bin/gen.perl?text=Shania%20Twain</v>
      </c>
      <c r="G1396" s="11" t="str">
        <f t="shared" si="4"/>
        <v>data:image/svg+xml,%3csvg xmlns='http://www.w3.org/2000/svg' viewBox='0 0 24 216'%3e%3ctext fill='%23fff' style='font: 900 16px sans-serif' text-anchor='end' transform='matrix(0 -1 1 0 18 5)'%3eShania Twain%3c/text%3e%3c/svg%3e</v>
      </c>
      <c r="H1396" s="8" t="s">
        <v>25</v>
      </c>
      <c r="I1396" s="8">
        <f t="shared" ref="I1396:J1396" si="1397">len(B1396)</f>
        <v>12</v>
      </c>
      <c r="J1396" s="8">
        <f t="shared" si="1397"/>
        <v>88</v>
      </c>
      <c r="K1396" s="8" t="s">
        <v>5853</v>
      </c>
    </row>
    <row r="1397">
      <c r="A1397" s="7" t="b">
        <v>0</v>
      </c>
      <c r="B1397" s="8" t="s">
        <v>5854</v>
      </c>
      <c r="C1397" s="8" t="s">
        <v>5855</v>
      </c>
      <c r="D1397" s="8" t="str">
        <f>Q&amp;$K1397&amp;Q&amp;":{"&amp;Q&amp;$B$2&amp;Q&amp;":"&amp;Q&amp;$B1397&amp;Q&amp;","&amp;Q&amp;$C$2&amp;Q&amp;":"&amp;Q&amp;$C1397&amp;Q&amp;","&amp;Q&amp;"sets"&amp;Q&amp;":"&amp;Q&amp;substitute(SUBSTITUTE($H1397,"[",""),"]","")&amp;Q&amp;"},"</f>
        <v>"ltxp":{"label":"Sharks","extra":"Many species living today are similar to those from 100 million years ago. Because change is scary.","sets":"Basic Set, Party Set"},</v>
      </c>
      <c r="E1397" s="9" t="str">
        <f t="shared" si="2"/>
        <v>data:image/svg+xml,%3csvg xmlns='http://www.w3.org/2000/svg' viewBox='0 0 24 216'%3e%3ctext fill='%23fff' style='font: 900 16px sans-serif' text-anchor='end' transform='matrix(0 -1 1 0 18 5)'%3eSharks%3c/text%3e%3c/svg%3e</v>
      </c>
      <c r="F1397" s="14" t="str">
        <f t="shared" si="3"/>
        <v>https://svgtext.heliohost.us/cgi-bin/gen.perl?text=Sharks</v>
      </c>
      <c r="G1397" s="11" t="str">
        <f t="shared" si="4"/>
        <v>data:image/svg+xml,%3csvg xmlns='http://www.w3.org/2000/svg' viewBox='0 0 24 216'%3e%3ctext fill='%23fff' style='font: 900 16px sans-serif' text-anchor='end' transform='matrix(0 -1 1 0 18 5)'%3eSharks%3c/text%3e%3c/svg%3e</v>
      </c>
      <c r="H1397" s="8" t="s">
        <v>29</v>
      </c>
      <c r="I1397" s="8">
        <f t="shared" ref="I1397:J1397" si="1398">len(B1397)</f>
        <v>6</v>
      </c>
      <c r="J1397" s="8">
        <f t="shared" si="1398"/>
        <v>99</v>
      </c>
      <c r="K1397" s="8" t="s">
        <v>5856</v>
      </c>
    </row>
    <row r="1398">
      <c r="A1398" s="7" t="b">
        <v>1</v>
      </c>
      <c r="B1398" s="8" t="s">
        <v>5854</v>
      </c>
      <c r="C1398" s="8" t="s">
        <v>5857</v>
      </c>
      <c r="D1398" s="8" t="str">
        <f>Q&amp;$K1398&amp;Q&amp;":{"&amp;Q&amp;$B$2&amp;Q&amp;":"&amp;Q&amp;$B1398&amp;Q&amp;","&amp;Q&amp;$C$2&amp;Q&amp;":"&amp;Q&amp;$C1398&amp;Q&amp;","&amp;Q&amp;"sets"&amp;Q&amp;":"&amp;Q&amp;substitute(SUBSTITUTE($H1398,"[",""),"]","")&amp;Q&amp;"},"</f>
        <v>"enhc":{"label":"Sharks","extra":"Meat-eating fish known for their speed, sharp teeth, and the large fins on their backs.","sets":"Junior"},</v>
      </c>
      <c r="E1398" s="9" t="str">
        <f t="shared" si="2"/>
        <v>data:image/svg+xml,%3csvg xmlns='http://www.w3.org/2000/svg' viewBox='0 0 24 216'%3e%3ctext fill='%23fff' style='font: 900 16px sans-serif' text-anchor='end' transform='matrix(0 -1 1 0 18 5)'%3eSharks%3c/text%3e%3c/svg%3e</v>
      </c>
      <c r="F1398" s="14" t="str">
        <f t="shared" si="3"/>
        <v>https://svgtext.heliohost.us/cgi-bin/gen.perl?text=Sharks</v>
      </c>
      <c r="G1398" s="11" t="str">
        <f t="shared" si="4"/>
        <v>data:image/svg+xml,%3csvg xmlns='http://www.w3.org/2000/svg' viewBox='0 0 24 216'%3e%3ctext fill='%23fff' style='font: 900 16px sans-serif' text-anchor='end' transform='matrix(0 -1 1 0 18 5)'%3eSharks%3c/text%3e%3c/svg%3e</v>
      </c>
      <c r="H1398" s="8" t="s">
        <v>84</v>
      </c>
      <c r="I1398" s="8">
        <f t="shared" ref="I1398:J1398" si="1399">len(B1398)</f>
        <v>6</v>
      </c>
      <c r="J1398" s="8">
        <f t="shared" si="1399"/>
        <v>87</v>
      </c>
      <c r="K1398" s="8" t="s">
        <v>5858</v>
      </c>
    </row>
    <row r="1399">
      <c r="A1399" s="7" t="b">
        <v>1</v>
      </c>
      <c r="B1399" s="8" t="s">
        <v>5859</v>
      </c>
      <c r="C1399" s="8" t="s">
        <v>5860</v>
      </c>
      <c r="D1399" s="8" t="str">
        <f>Q&amp;$K1399&amp;Q&amp;":{"&amp;Q&amp;$B$2&amp;Q&amp;":"&amp;Q&amp;$B1399&amp;Q&amp;","&amp;Q&amp;$C$2&amp;Q&amp;":"&amp;Q&amp;$C1399&amp;Q&amp;","&amp;Q&amp;"sets"&amp;Q&amp;":"&amp;Q&amp;substitute(SUBSTITUTE($H1399,"[",""),"]","")&amp;Q&amp;"},"</f>
        <v>"srru":{"label":"Sharp Knives","extra":"Found in kitchen drawers, tackle boxes and butcher shops.","sets":"Junior 9+ (2nd)"},</v>
      </c>
      <c r="E1399" s="9" t="str">
        <f t="shared" si="2"/>
        <v>data:image/svg+xml,%3csvg xmlns='http://www.w3.org/2000/svg' viewBox='0 0 24 216'%3e%3ctext fill='%23fff' style='font: 900 16px sans-serif' text-anchor='end' transform='matrix(0 -1 1 0 18 5)'%3eSharp Knives%3c/text%3e%3c/svg%3e</v>
      </c>
      <c r="F1399" s="14" t="str">
        <f t="shared" si="3"/>
        <v>https://svgtext.heliohost.us/cgi-bin/gen.perl?text=Sharp%20Knives</v>
      </c>
      <c r="G1399" s="11" t="str">
        <f t="shared" si="4"/>
        <v>data:image/svg+xml,%3csvg xmlns='http://www.w3.org/2000/svg' viewBox='0 0 24 216'%3e%3ctext fill='%23fff' style='font: 900 16px sans-serif' text-anchor='end' transform='matrix(0 -1 1 0 18 5)'%3eSharp Knives%3c/text%3e%3c/svg%3e</v>
      </c>
      <c r="H1399" s="8" t="s">
        <v>32</v>
      </c>
      <c r="I1399" s="8">
        <f t="shared" ref="I1399:J1399" si="1400">len(B1399)</f>
        <v>12</v>
      </c>
      <c r="J1399" s="8">
        <f t="shared" si="1400"/>
        <v>57</v>
      </c>
      <c r="K1399" s="8" t="s">
        <v>5861</v>
      </c>
    </row>
    <row r="1400">
      <c r="A1400" s="7" t="b">
        <v>1</v>
      </c>
      <c r="B1400" s="8" t="s">
        <v>5862</v>
      </c>
      <c r="C1400" s="7" t="s">
        <v>5863</v>
      </c>
      <c r="D1400" s="8" t="str">
        <f>Q&amp;$K1400&amp;Q&amp;":{"&amp;Q&amp;$B$2&amp;Q&amp;":"&amp;Q&amp;$B1400&amp;Q&amp;","&amp;Q&amp;$C$2&amp;Q&amp;":"&amp;Q&amp;$C1400&amp;Q&amp;","&amp;Q&amp;"sets"&amp;Q&amp;":"&amp;Q&amp;substitute(SUBSTITUTE($H1400,"[",""),"]","")&amp;Q&amp;"},"</f>
        <v>"axew":{"label":"Shave &amp; A Haircut","extra":"Two bits.","sets":"Expansion Set 4, Party Expansion 1"},</v>
      </c>
      <c r="E1400" s="9" t="str">
        <f t="shared" si="2"/>
        <v>data:image/svg+xml,%3csvg xmlns='http://www.w3.org/2000/svg' viewBox='0 0 24 216'%3e%3ctext fill='%23fff' style='font: 900 16px sans-serif' text-anchor='end' transform='matrix(0 -1 1 0 18 5)'%3eShave %26amp%3B A Haircut%3c/text%3e%3c/svg%3e</v>
      </c>
      <c r="F1400" s="14" t="str">
        <f t="shared" si="3"/>
        <v>https://svgtext.heliohost.us/cgi-bin/gen.perl?text=Shave%20%26%20A%20Haircut</v>
      </c>
      <c r="G1400" s="11" t="str">
        <f t="shared" si="4"/>
        <v>data:image/svg+xml,%3csvg xmlns='http://www.w3.org/2000/svg' viewBox='0 0 24 216'%3e%3ctext fill='%23fff' style='font: 900 16px sans-serif' text-anchor='end' transform='matrix(0 -1 1 0 18 5)'%3eShave %26amp%3B A Haircut%3c/text%3e%3c/svg%3e</v>
      </c>
      <c r="H1400" s="8" t="s">
        <v>63</v>
      </c>
      <c r="I1400" s="8">
        <f t="shared" ref="I1400:J1400" si="1401">len(B1400)</f>
        <v>17</v>
      </c>
      <c r="J1400" s="8">
        <f t="shared" si="1401"/>
        <v>9</v>
      </c>
      <c r="K1400" s="8" t="s">
        <v>5864</v>
      </c>
    </row>
    <row r="1401">
      <c r="A1401" s="7" t="b">
        <v>1</v>
      </c>
      <c r="B1401" s="8" t="s">
        <v>5865</v>
      </c>
      <c r="C1401" s="8" t="s">
        <v>5866</v>
      </c>
      <c r="D1401" s="8" t="str">
        <f>Q&amp;$K1401&amp;Q&amp;":{"&amp;Q&amp;$B$2&amp;Q&amp;":"&amp;Q&amp;$B1401&amp;Q&amp;","&amp;Q&amp;$C$2&amp;Q&amp;":"&amp;Q&amp;$C1401&amp;Q&amp;","&amp;Q&amp;"sets"&amp;Q&amp;":"&amp;Q&amp;substitute(SUBSTITUTE($H1401,"[",""),"]","")&amp;Q&amp;"},"</f>
        <v>"lrpy":{"label":"Ships","extra":"Battleships, cruise ships, freighters, and oil tankers.","sets":"Junior 9+ (1st) &amp; (2nd)"},</v>
      </c>
      <c r="E1401" s="9" t="str">
        <f t="shared" si="2"/>
        <v>data:image/svg+xml,%3csvg xmlns='http://www.w3.org/2000/svg' viewBox='0 0 24 216'%3e%3ctext fill='%23fff' style='font: 900 16px sans-serif' text-anchor='end' transform='matrix(0 -1 1 0 18 5)'%3eShips%3c/text%3e%3c/svg%3e</v>
      </c>
      <c r="F1401" s="14" t="str">
        <f t="shared" si="3"/>
        <v>https://svgtext.heliohost.us/cgi-bin/gen.perl?text=Ships</v>
      </c>
      <c r="G1401" s="11" t="str">
        <f t="shared" si="4"/>
        <v>data:image/svg+xml,%3csvg xmlns='http://www.w3.org/2000/svg' viewBox='0 0 24 216'%3e%3ctext fill='%23fff' style='font: 900 16px sans-serif' text-anchor='end' transform='matrix(0 -1 1 0 18 5)'%3eShips%3c/text%3e%3c/svg%3e</v>
      </c>
      <c r="H1401" s="8" t="s">
        <v>42</v>
      </c>
      <c r="I1401" s="8">
        <f t="shared" ref="I1401:J1401" si="1402">len(B1401)</f>
        <v>5</v>
      </c>
      <c r="J1401" s="8">
        <f t="shared" si="1402"/>
        <v>55</v>
      </c>
      <c r="K1401" s="8" t="s">
        <v>5867</v>
      </c>
    </row>
    <row r="1402">
      <c r="A1402" s="7" t="b">
        <v>1</v>
      </c>
      <c r="B1402" s="8" t="s">
        <v>5868</v>
      </c>
      <c r="C1402" s="7" t="s">
        <v>5869</v>
      </c>
      <c r="D1402" s="8" t="str">
        <f>Q&amp;$K1402&amp;Q&amp;":{"&amp;Q&amp;$B$2&amp;Q&amp;":"&amp;Q&amp;$B1402&amp;Q&amp;","&amp;Q&amp;$C$2&amp;Q&amp;":"&amp;Q&amp;$C1402&amp;Q&amp;","&amp;Q&amp;"sets"&amp;Q&amp;":"&amp;Q&amp;substitute(SUBSTITUTE($H1402,"[",""),"]","")&amp;Q&amp;"},"</f>
        <v>"meei":{"label":"Shipwrecks","extra":"“The lake it is said never gives up her dead…” —The Wreck of the Edmund Fitzgerald","sets":"Expansion Set 3, Party Expansion 1"},</v>
      </c>
      <c r="E1402" s="9" t="str">
        <f t="shared" si="2"/>
        <v>data:image/svg+xml,%3csvg xmlns='http://www.w3.org/2000/svg' viewBox='0 0 24 216'%3e%3ctext fill='%23fff' style='font: 900 16px sans-serif' text-anchor='end' transform='matrix(0 -1 1 0 18 5)'%3eShipwrecks%3c/text%3e%3c/svg%3e</v>
      </c>
      <c r="F1402" s="14" t="str">
        <f t="shared" si="3"/>
        <v>https://svgtext.heliohost.us/cgi-bin/gen.perl?text=Shipwrecks</v>
      </c>
      <c r="G1402" s="11" t="str">
        <f t="shared" si="4"/>
        <v>data:image/svg+xml,%3csvg xmlns='http://www.w3.org/2000/svg' viewBox='0 0 24 216'%3e%3ctext fill='%23fff' style='font: 900 16px sans-serif' text-anchor='end' transform='matrix(0 -1 1 0 18 5)'%3eShipwrecks%3c/text%3e%3c/svg%3e</v>
      </c>
      <c r="H1402" s="8" t="s">
        <v>39</v>
      </c>
      <c r="I1402" s="8">
        <f t="shared" ref="I1402:J1402" si="1403">len(B1402)</f>
        <v>10</v>
      </c>
      <c r="J1402" s="8">
        <f t="shared" si="1403"/>
        <v>82</v>
      </c>
      <c r="K1402" s="8" t="s">
        <v>5870</v>
      </c>
    </row>
    <row r="1403">
      <c r="A1403" s="7" t="b">
        <v>1</v>
      </c>
      <c r="B1403" s="8" t="s">
        <v>5871</v>
      </c>
      <c r="C1403" s="8" t="s">
        <v>5872</v>
      </c>
      <c r="D1403" s="8" t="str">
        <f>Q&amp;$K1403&amp;Q&amp;":{"&amp;Q&amp;$B$2&amp;Q&amp;":"&amp;Q&amp;$B1403&amp;Q&amp;","&amp;Q&amp;$C$2&amp;Q&amp;":"&amp;Q&amp;$C1403&amp;Q&amp;","&amp;Q&amp;"sets"&amp;Q&amp;":"&amp;Q&amp;substitute(SUBSTITUTE($H1403,"[",""),"]","")&amp;Q&amp;"},"</f>
        <v>"zvfi":{"label":"Shoplifting","extra":"It's stealing and it's against the law.","sets":"Junior 9+ (2nd)"},</v>
      </c>
      <c r="E1403" s="9" t="str">
        <f t="shared" si="2"/>
        <v>data:image/svg+xml,%3csvg xmlns='http://www.w3.org/2000/svg' viewBox='0 0 24 216'%3e%3ctext fill='%23fff' style='font: 900 16px sans-serif' text-anchor='end' transform='matrix(0 -1 1 0 18 5)'%3eShoplifting%3c/text%3e%3c/svg%3e</v>
      </c>
      <c r="F1403" s="14" t="str">
        <f t="shared" si="3"/>
        <v>https://svgtext.heliohost.us/cgi-bin/gen.perl?text=Shoplifting</v>
      </c>
      <c r="G1403" s="11" t="str">
        <f t="shared" si="4"/>
        <v>data:image/svg+xml,%3csvg xmlns='http://www.w3.org/2000/svg' viewBox='0 0 24 216'%3e%3ctext fill='%23fff' style='font: 900 16px sans-serif' text-anchor='end' transform='matrix(0 -1 1 0 18 5)'%3eShoplifting%3c/text%3e%3c/svg%3e</v>
      </c>
      <c r="H1403" s="8" t="s">
        <v>32</v>
      </c>
      <c r="I1403" s="8">
        <f t="shared" ref="I1403:J1403" si="1404">len(B1403)</f>
        <v>11</v>
      </c>
      <c r="J1403" s="8">
        <f t="shared" si="1404"/>
        <v>39</v>
      </c>
      <c r="K1403" s="8" t="s">
        <v>5873</v>
      </c>
    </row>
    <row r="1404">
      <c r="A1404" s="7" t="b">
        <v>1</v>
      </c>
      <c r="B1404" s="8" t="s">
        <v>5874</v>
      </c>
      <c r="C1404" s="7" t="s">
        <v>5875</v>
      </c>
      <c r="D1404" s="8" t="str">
        <f>Q&amp;$K1404&amp;Q&amp;":{"&amp;Q&amp;$B$2&amp;Q&amp;":"&amp;Q&amp;$B1404&amp;Q&amp;","&amp;Q&amp;$C$2&amp;Q&amp;":"&amp;Q&amp;$C1404&amp;Q&amp;","&amp;Q&amp;"sets"&amp;Q&amp;":"&amp;Q&amp;substitute(SUBSTITUTE($H1404,"[",""),"]","")&amp;Q&amp;"},"</f>
        <v>"hzqf":{"label":"Shopping","extra":"It’s shopping-whether you buy something or not.","sets":"Junior 9+ (2nd)"},</v>
      </c>
      <c r="E1404" s="9" t="str">
        <f t="shared" si="2"/>
        <v>data:image/svg+xml,%3csvg xmlns='http://www.w3.org/2000/svg' viewBox='0 0 24 216'%3e%3ctext fill='%23fff' style='font: 900 16px sans-serif' text-anchor='end' transform='matrix(0 -1 1 0 18 5)'%3eShopping%3c/text%3e%3c/svg%3e</v>
      </c>
      <c r="F1404" s="14" t="str">
        <f t="shared" si="3"/>
        <v>https://svgtext.heliohost.us/cgi-bin/gen.perl?text=Shopping</v>
      </c>
      <c r="G1404" s="11" t="str">
        <f t="shared" si="4"/>
        <v>data:image/svg+xml,%3csvg xmlns='http://www.w3.org/2000/svg' viewBox='0 0 24 216'%3e%3ctext fill='%23fff' style='font: 900 16px sans-serif' text-anchor='end' transform='matrix(0 -1 1 0 18 5)'%3eShopping%3c/text%3e%3c/svg%3e</v>
      </c>
      <c r="H1404" s="8" t="s">
        <v>32</v>
      </c>
      <c r="I1404" s="8">
        <f t="shared" ref="I1404:J1404" si="1405">len(B1404)</f>
        <v>8</v>
      </c>
      <c r="J1404" s="8">
        <f t="shared" si="1405"/>
        <v>47</v>
      </c>
      <c r="K1404" s="8" t="s">
        <v>5876</v>
      </c>
    </row>
    <row r="1405">
      <c r="A1405" s="7" t="b">
        <v>0</v>
      </c>
      <c r="B1405" s="8" t="s">
        <v>5877</v>
      </c>
      <c r="C1405" s="8" t="s">
        <v>5878</v>
      </c>
      <c r="D1405" s="8" t="str">
        <f>Q&amp;$K1405&amp;Q&amp;":{"&amp;Q&amp;$B$2&amp;Q&amp;":"&amp;Q&amp;$B1405&amp;Q&amp;","&amp;Q&amp;$C$2&amp;Q&amp;":"&amp;Q&amp;$C1405&amp;Q&amp;","&amp;Q&amp;"sets"&amp;Q&amp;":"&amp;Q&amp;substitute(SUBSTITUTE($H1405,"[",""),"]","")&amp;Q&amp;"},"</f>
        <v>"ebqz":{"label":"Shopping Mall","extra":"Three-quarters of the North American population visit a shopping mall at least once a month.","sets":"Expansion Set 1, Party Set"},</v>
      </c>
      <c r="E1405" s="9" t="str">
        <f t="shared" si="2"/>
        <v>data:image/svg+xml,%3csvg xmlns='http://www.w3.org/2000/svg' viewBox='0 0 24 216'%3e%3ctext fill='%23fff' style='font: 900 16px sans-serif' text-anchor='end' transform='matrix(0 -1 1 0 18 5)'%3eShopping Mall%3c/text%3e%3c/svg%3e</v>
      </c>
      <c r="F1405" s="14" t="str">
        <f t="shared" si="3"/>
        <v>https://svgtext.heliohost.us/cgi-bin/gen.perl?text=Shopping%20Mall</v>
      </c>
      <c r="G1405" s="11" t="str">
        <f t="shared" si="4"/>
        <v>data:image/svg+xml,%3csvg xmlns='http://www.w3.org/2000/svg' viewBox='0 0 24 216'%3e%3ctext fill='%23fff' style='font: 900 16px sans-serif' text-anchor='end' transform='matrix(0 -1 1 0 18 5)'%3eShopping Mall%3c/text%3e%3c/svg%3e</v>
      </c>
      <c r="H1405" s="8" t="s">
        <v>25</v>
      </c>
      <c r="I1405" s="8">
        <f t="shared" ref="I1405:J1405" si="1406">len(B1405)</f>
        <v>13</v>
      </c>
      <c r="J1405" s="8">
        <f t="shared" si="1406"/>
        <v>92</v>
      </c>
      <c r="K1405" s="8" t="s">
        <v>5879</v>
      </c>
    </row>
    <row r="1406">
      <c r="A1406" s="7" t="b">
        <v>1</v>
      </c>
      <c r="B1406" s="8" t="s">
        <v>5880</v>
      </c>
      <c r="C1406" s="8" t="s">
        <v>5881</v>
      </c>
      <c r="D1406" s="8" t="str">
        <f>Q&amp;$K1406&amp;Q&amp;":{"&amp;Q&amp;$B$2&amp;Q&amp;":"&amp;Q&amp;$B1406&amp;Q&amp;","&amp;Q&amp;$C$2&amp;Q&amp;":"&amp;Q&amp;$C1406&amp;Q&amp;","&amp;Q&amp;"sets"&amp;Q&amp;":"&amp;Q&amp;substitute(SUBSTITUTE($H1406,"[",""),"]","")&amp;Q&amp;"},"</f>
        <v>"nype":{"label":"Shrimp","extra":"Tiny to jumbo- they come in all sizes.","sets":"Junior 9+ (2nd)"},</v>
      </c>
      <c r="E1406" s="9" t="str">
        <f t="shared" si="2"/>
        <v>data:image/svg+xml,%3csvg xmlns='http://www.w3.org/2000/svg' viewBox='0 0 24 216'%3e%3ctext fill='%23fff' style='font: 900 16px sans-serif' text-anchor='end' transform='matrix(0 -1 1 0 18 5)'%3eShrimp%3c/text%3e%3c/svg%3e</v>
      </c>
      <c r="F1406" s="14" t="str">
        <f t="shared" si="3"/>
        <v>https://svgtext.heliohost.us/cgi-bin/gen.perl?text=Shrimp</v>
      </c>
      <c r="G1406" s="11" t="str">
        <f t="shared" si="4"/>
        <v>data:image/svg+xml,%3csvg xmlns='http://www.w3.org/2000/svg' viewBox='0 0 24 216'%3e%3ctext fill='%23fff' style='font: 900 16px sans-serif' text-anchor='end' transform='matrix(0 -1 1 0 18 5)'%3eShrimp%3c/text%3e%3c/svg%3e</v>
      </c>
      <c r="H1406" s="8" t="s">
        <v>32</v>
      </c>
      <c r="I1406" s="8">
        <f t="shared" ref="I1406:J1406" si="1407">len(B1406)</f>
        <v>6</v>
      </c>
      <c r="J1406" s="8">
        <f t="shared" si="1407"/>
        <v>38</v>
      </c>
      <c r="K1406" s="8" t="s">
        <v>5882</v>
      </c>
    </row>
    <row r="1407">
      <c r="A1407" s="7" t="b">
        <v>0</v>
      </c>
      <c r="B1407" s="8" t="s">
        <v>5883</v>
      </c>
      <c r="C1407" s="7" t="s">
        <v>5884</v>
      </c>
      <c r="D1407" s="8" t="str">
        <f>Q&amp;$K1407&amp;Q&amp;":{"&amp;Q&amp;$B$2&amp;Q&amp;":"&amp;Q&amp;$B1407&amp;Q&amp;","&amp;Q&amp;$C$2&amp;Q&amp;":"&amp;Q&amp;$C1407&amp;Q&amp;","&amp;Q&amp;"sets"&amp;Q&amp;":"&amp;Q&amp;substitute(SUBSTITUTE($H1407,"[",""),"]","")&amp;Q&amp;"},"</f>
        <v>"mfuv":{"label":"Sigmund Freud","extra":"1856-1939, Viennese psychologist and the originator of psychoanalysis and the Freudian slip.","sets":"Expansion Set 3, Party Expansion 1"},</v>
      </c>
      <c r="E1407" s="9" t="str">
        <f t="shared" si="2"/>
        <v>data:image/svg+xml,%3csvg xmlns='http://www.w3.org/2000/svg' viewBox='0 0 24 216'%3e%3ctext fill='%23fff' style='font: 900 16px sans-serif' text-anchor='end' transform='matrix(0 -1 1 0 18 5)'%3eSigmund Freud%3c/text%3e%3c/svg%3e</v>
      </c>
      <c r="F1407" s="14" t="str">
        <f t="shared" si="3"/>
        <v>https://svgtext.heliohost.us/cgi-bin/gen.perl?text=Sigmund%20Freud</v>
      </c>
      <c r="G1407" s="11" t="str">
        <f t="shared" si="4"/>
        <v>data:image/svg+xml,%3csvg xmlns='http://www.w3.org/2000/svg' viewBox='0 0 24 216'%3e%3ctext fill='%23fff' style='font: 900 16px sans-serif' text-anchor='end' transform='matrix(0 -1 1 0 18 5)'%3eSigmund Freud%3c/text%3e%3c/svg%3e</v>
      </c>
      <c r="H1407" s="8" t="s">
        <v>39</v>
      </c>
      <c r="I1407" s="8">
        <f t="shared" ref="I1407:J1407" si="1408">len(B1407)</f>
        <v>13</v>
      </c>
      <c r="J1407" s="8">
        <f t="shared" si="1408"/>
        <v>92</v>
      </c>
      <c r="K1407" s="8" t="s">
        <v>5885</v>
      </c>
    </row>
    <row r="1408">
      <c r="A1408" s="7" t="b">
        <v>0</v>
      </c>
      <c r="B1408" s="8" t="s">
        <v>5886</v>
      </c>
      <c r="C1408" s="8" t="s">
        <v>5887</v>
      </c>
      <c r="D1408" s="8" t="str">
        <f>Q&amp;$K1408&amp;Q&amp;":{"&amp;Q&amp;$B$2&amp;Q&amp;":"&amp;Q&amp;$B1408&amp;Q&amp;","&amp;Q&amp;$C$2&amp;Q&amp;":"&amp;Q&amp;$C1408&amp;Q&amp;","&amp;Q&amp;"sets"&amp;Q&amp;":"&amp;Q&amp;substitute(SUBSTITUTE($H1408,"[",""),"]","")&amp;Q&amp;"},"</f>
        <v>"bois":{"label":"Silk","extra":"Produced as a cocoon covering by the silk worm, and used in fine fabrics and textiles.","sets":"Basic Set, Party Set"},</v>
      </c>
      <c r="E1408" s="9" t="str">
        <f t="shared" si="2"/>
        <v>data:image/svg+xml,%3csvg xmlns='http://www.w3.org/2000/svg' viewBox='0 0 24 216'%3e%3ctext fill='%23fff' style='font: 900 16px sans-serif' text-anchor='end' transform='matrix(0 -1 1 0 18 5)'%3eSilk%3c/text%3e%3c/svg%3e</v>
      </c>
      <c r="F1408" s="14" t="str">
        <f t="shared" si="3"/>
        <v>https://svgtext.heliohost.us/cgi-bin/gen.perl?text=Silk</v>
      </c>
      <c r="G1408" s="11" t="str">
        <f t="shared" si="4"/>
        <v>data:image/svg+xml,%3csvg xmlns='http://www.w3.org/2000/svg' viewBox='0 0 24 216'%3e%3ctext fill='%23fff' style='font: 900 16px sans-serif' text-anchor='end' transform='matrix(0 -1 1 0 18 5)'%3eSilk%3c/text%3e%3c/svg%3e</v>
      </c>
      <c r="H1408" s="8" t="s">
        <v>29</v>
      </c>
      <c r="I1408" s="8">
        <f t="shared" ref="I1408:J1408" si="1409">len(B1408)</f>
        <v>4</v>
      </c>
      <c r="J1408" s="8">
        <f t="shared" si="1409"/>
        <v>86</v>
      </c>
      <c r="K1408" s="8" t="s">
        <v>5888</v>
      </c>
    </row>
    <row r="1409">
      <c r="A1409" s="7" t="b">
        <v>0</v>
      </c>
      <c r="B1409" s="8" t="s">
        <v>5889</v>
      </c>
      <c r="C1409" s="7" t="s">
        <v>5890</v>
      </c>
      <c r="D1409" s="8" t="str">
        <f>Q&amp;$K1409&amp;Q&amp;":{"&amp;Q&amp;$B$2&amp;Q&amp;":"&amp;Q&amp;$B1409&amp;Q&amp;","&amp;Q&amp;$C$2&amp;Q&amp;":"&amp;Q&amp;$C1409&amp;Q&amp;","&amp;Q&amp;"sets"&amp;Q&amp;":"&amp;Q&amp;substitute(SUBSTITUTE($H1409,"[",""),"]","")&amp;Q&amp;"},"</f>
        <v>"djng":{"label":"Silly Putty","extra":"It’s putty in your hands!","sets":"Expansion Set 2, Party Set"},</v>
      </c>
      <c r="E1409" s="9" t="str">
        <f t="shared" si="2"/>
        <v>data:image/svg+xml,%3csvg xmlns='http://www.w3.org/2000/svg' viewBox='0 0 24 216'%3e%3ctext fill='%23fff' style='font: 900 16px sans-serif' text-anchor='end' transform='matrix(0 -1 1 0 18 5)'%3eSilly Putty%3c/text%3e%3c/svg%3e</v>
      </c>
      <c r="F1409" s="14" t="str">
        <f t="shared" si="3"/>
        <v>https://svgtext.heliohost.us/cgi-bin/gen.perl?text=Silly%20Putty</v>
      </c>
      <c r="G1409" s="11" t="str">
        <f t="shared" si="4"/>
        <v>data:image/svg+xml,%3csvg xmlns='http://www.w3.org/2000/svg' viewBox='0 0 24 216'%3e%3ctext fill='%23fff' style='font: 900 16px sans-serif' text-anchor='end' transform='matrix(0 -1 1 0 18 5)'%3eSilly Putty%3c/text%3e%3c/svg%3e</v>
      </c>
      <c r="H1409" s="8" t="s">
        <v>17</v>
      </c>
      <c r="I1409" s="8">
        <f t="shared" ref="I1409:J1409" si="1410">len(B1409)</f>
        <v>11</v>
      </c>
      <c r="J1409" s="8">
        <f t="shared" si="1410"/>
        <v>25</v>
      </c>
      <c r="K1409" s="8" t="s">
        <v>5891</v>
      </c>
    </row>
    <row r="1410">
      <c r="A1410" s="7" t="b">
        <v>1</v>
      </c>
      <c r="B1410" s="8" t="s">
        <v>5892</v>
      </c>
      <c r="C1410" s="8" t="s">
        <v>5893</v>
      </c>
      <c r="D1410" s="8" t="str">
        <f>Q&amp;$K1410&amp;Q&amp;":{"&amp;Q&amp;$B$2&amp;Q&amp;":"&amp;Q&amp;$B1410&amp;Q&amp;","&amp;Q&amp;$C$2&amp;Q&amp;":"&amp;Q&amp;$C1410&amp;Q&amp;","&amp;Q&amp;"sets"&amp;Q&amp;":"&amp;Q&amp;substitute(SUBSTITUTE($H1410,"[",""),"]","")&amp;Q&amp;"},"</f>
        <v>"wctd":{"label":"Sin &amp; Redemption","extra":"Everybody deserves a second chance.","sets":"Expansion Set 4, Party Expansion 1"},</v>
      </c>
      <c r="E1410" s="9" t="str">
        <f t="shared" si="2"/>
        <v>data:image/svg+xml,%3csvg xmlns='http://www.w3.org/2000/svg' viewBox='0 0 24 216'%3e%3ctext fill='%23fff' style='font: 900 16px sans-serif' text-anchor='end' transform='matrix(0 -1 1 0 18 5)'%3eSin %26amp%3B Redemption%3c/text%3e%3c/svg%3e</v>
      </c>
      <c r="F1410" s="14" t="str">
        <f t="shared" si="3"/>
        <v>https://svgtext.heliohost.us/cgi-bin/gen.perl?text=Sin%20%26%20Redemption</v>
      </c>
      <c r="G1410" s="11" t="str">
        <f t="shared" si="4"/>
        <v>data:image/svg+xml,%3csvg xmlns='http://www.w3.org/2000/svg' viewBox='0 0 24 216'%3e%3ctext fill='%23fff' style='font: 900 16px sans-serif' text-anchor='end' transform='matrix(0 -1 1 0 18 5)'%3eSin %26amp%3B Redemption%3c/text%3e%3c/svg%3e</v>
      </c>
      <c r="H1410" s="8" t="s">
        <v>63</v>
      </c>
      <c r="I1410" s="8">
        <f t="shared" ref="I1410:J1410" si="1411">len(B1410)</f>
        <v>16</v>
      </c>
      <c r="J1410" s="8">
        <f t="shared" si="1411"/>
        <v>35</v>
      </c>
      <c r="K1410" s="8" t="s">
        <v>5894</v>
      </c>
    </row>
    <row r="1411">
      <c r="A1411" s="7" t="b">
        <v>1</v>
      </c>
      <c r="B1411" s="8" t="s">
        <v>5895</v>
      </c>
      <c r="C1411" s="8" t="s">
        <v>5896</v>
      </c>
      <c r="D1411" s="8" t="str">
        <f>Q&amp;$K1411&amp;Q&amp;":{"&amp;Q&amp;$B$2&amp;Q&amp;":"&amp;Q&amp;$B1411&amp;Q&amp;","&amp;Q&amp;$C$2&amp;Q&amp;":"&amp;Q&amp;$C1411&amp;Q&amp;","&amp;Q&amp;"sets"&amp;Q&amp;":"&amp;Q&amp;substitute(SUBSTITUTE($H1411,"[",""),"]","")&amp;Q&amp;"},"</f>
        <v>"uufs":{"label":"Singing","extra":"Making music with your voice. La-la-la.","sets":"Junior"},</v>
      </c>
      <c r="E1411" s="9" t="str">
        <f t="shared" si="2"/>
        <v>data:image/svg+xml,%3csvg xmlns='http://www.w3.org/2000/svg' viewBox='0 0 24 216'%3e%3ctext fill='%23fff' style='font: 900 16px sans-serif' text-anchor='end' transform='matrix(0 -1 1 0 18 5)'%3eSinging%3c/text%3e%3c/svg%3e</v>
      </c>
      <c r="F1411" s="14" t="str">
        <f t="shared" si="3"/>
        <v>https://svgtext.heliohost.us/cgi-bin/gen.perl?text=Singing</v>
      </c>
      <c r="G1411" s="11" t="str">
        <f t="shared" si="4"/>
        <v>data:image/svg+xml,%3csvg xmlns='http://www.w3.org/2000/svg' viewBox='0 0 24 216'%3e%3ctext fill='%23fff' style='font: 900 16px sans-serif' text-anchor='end' transform='matrix(0 -1 1 0 18 5)'%3eSinging%3c/text%3e%3c/svg%3e</v>
      </c>
      <c r="H1411" s="8" t="s">
        <v>84</v>
      </c>
      <c r="I1411" s="8">
        <f t="shared" ref="I1411:J1411" si="1412">len(B1411)</f>
        <v>7</v>
      </c>
      <c r="J1411" s="8">
        <f t="shared" si="1412"/>
        <v>39</v>
      </c>
      <c r="K1411" s="8" t="s">
        <v>5897</v>
      </c>
    </row>
    <row r="1412">
      <c r="A1412" s="7" t="b">
        <v>1</v>
      </c>
      <c r="B1412" s="8" t="s">
        <v>5898</v>
      </c>
      <c r="C1412" s="8" t="s">
        <v>5899</v>
      </c>
      <c r="D1412" s="8" t="str">
        <f>Q&amp;$K1412&amp;Q&amp;":{"&amp;Q&amp;$B$2&amp;Q&amp;":"&amp;Q&amp;$B1412&amp;Q&amp;","&amp;Q&amp;$C$2&amp;Q&amp;":"&amp;Q&amp;$C1412&amp;Q&amp;","&amp;Q&amp;"sets"&amp;Q&amp;":"&amp;Q&amp;substitute(SUBSTITUTE($H1412,"[",""),"]","")&amp;Q&amp;"},"</f>
        <v>"nm{x":{"label":"Sisters","extra":"Sister, sister!","sets":"Junior 9+ (1st) &amp; (2nd)"},</v>
      </c>
      <c r="E1412" s="9" t="str">
        <f t="shared" si="2"/>
        <v>data:image/svg+xml,%3csvg xmlns='http://www.w3.org/2000/svg' viewBox='0 0 24 216'%3e%3ctext fill='%23fff' style='font: 900 16px sans-serif' text-anchor='end' transform='matrix(0 -1 1 0 18 5)'%3eSisters%3c/text%3e%3c/svg%3e</v>
      </c>
      <c r="F1412" s="14" t="str">
        <f t="shared" si="3"/>
        <v>https://svgtext.heliohost.us/cgi-bin/gen.perl?text=Sisters</v>
      </c>
      <c r="G1412" s="11" t="str">
        <f t="shared" si="4"/>
        <v>data:image/svg+xml,%3csvg xmlns='http://www.w3.org/2000/svg' viewBox='0 0 24 216'%3e%3ctext fill='%23fff' style='font: 900 16px sans-serif' text-anchor='end' transform='matrix(0 -1 1 0 18 5)'%3eSisters%3c/text%3e%3c/svg%3e</v>
      </c>
      <c r="H1412" s="8" t="s">
        <v>42</v>
      </c>
      <c r="I1412" s="8">
        <f t="shared" ref="I1412:J1412" si="1413">len(B1412)</f>
        <v>7</v>
      </c>
      <c r="J1412" s="8">
        <f t="shared" si="1413"/>
        <v>15</v>
      </c>
      <c r="K1412" s="8" t="s">
        <v>5900</v>
      </c>
    </row>
    <row r="1413">
      <c r="A1413" s="7" t="b">
        <v>1</v>
      </c>
      <c r="B1413" s="8" t="s">
        <v>5901</v>
      </c>
      <c r="C1413" s="8" t="s">
        <v>5902</v>
      </c>
      <c r="D1413" s="8" t="str">
        <f>Q&amp;$K1413&amp;Q&amp;":{"&amp;Q&amp;$B$2&amp;Q&amp;":"&amp;Q&amp;$B1413&amp;Q&amp;","&amp;Q&amp;$C$2&amp;Q&amp;":"&amp;Q&amp;$C1413&amp;Q&amp;","&amp;Q&amp;"sets"&amp;Q&amp;":"&amp;Q&amp;substitute(SUBSTITUTE($H1413,"[",""),"]","")&amp;Q&amp;"},"</f>
        <v>"dfqg":{"label":"Sitcoms","extra":"If they're so funny, WHY THE LAUGH TRACK?","sets":"Expansion Set 3, Party Expansion 1"},</v>
      </c>
      <c r="E1413" s="9" t="str">
        <f t="shared" si="2"/>
        <v>data:image/svg+xml,%3csvg xmlns='http://www.w3.org/2000/svg' viewBox='0 0 24 216'%3e%3ctext fill='%23fff' style='font: 900 16px sans-serif' text-anchor='end' transform='matrix(0 -1 1 0 18 5)'%3eSitcoms%3c/text%3e%3c/svg%3e</v>
      </c>
      <c r="F1413" s="14" t="str">
        <f t="shared" si="3"/>
        <v>https://svgtext.heliohost.us/cgi-bin/gen.perl?text=Sitcoms</v>
      </c>
      <c r="G1413" s="11" t="str">
        <f t="shared" si="4"/>
        <v>data:image/svg+xml,%3csvg xmlns='http://www.w3.org/2000/svg' viewBox='0 0 24 216'%3e%3ctext fill='%23fff' style='font: 900 16px sans-serif' text-anchor='end' transform='matrix(0 -1 1 0 18 5)'%3eSitcoms%3c/text%3e%3c/svg%3e</v>
      </c>
      <c r="H1413" s="8" t="s">
        <v>39</v>
      </c>
      <c r="I1413" s="8">
        <f t="shared" ref="I1413:J1413" si="1414">len(B1413)</f>
        <v>7</v>
      </c>
      <c r="J1413" s="8">
        <f t="shared" si="1414"/>
        <v>41</v>
      </c>
      <c r="K1413" s="8" t="s">
        <v>5903</v>
      </c>
    </row>
    <row r="1414">
      <c r="A1414" s="7" t="b">
        <v>1</v>
      </c>
      <c r="B1414" s="8" t="s">
        <v>5904</v>
      </c>
      <c r="C1414" s="7" t="s">
        <v>5905</v>
      </c>
      <c r="D1414" s="8" t="str">
        <f>Q&amp;$K1414&amp;Q&amp;":{"&amp;Q&amp;$B$2&amp;Q&amp;":"&amp;Q&amp;$B1414&amp;Q&amp;","&amp;Q&amp;$C$2&amp;Q&amp;":"&amp;Q&amp;$C1414&amp;Q&amp;","&amp;Q&amp;"sets"&amp;Q&amp;":"&amp;Q&amp;substitute(SUBSTITUTE($H1414,"[",""),"]","")&amp;Q&amp;"},"</f>
        <v>"ihlg":{"label":"Skateboarding","extra":"It’s just going downhill… down stairs… down ramps…","sets":"Basic Set, Party Set"},</v>
      </c>
      <c r="E1414" s="9" t="str">
        <f t="shared" si="2"/>
        <v>data:image/svg+xml,%3csvg xmlns='http://www.w3.org/2000/svg' viewBox='0 0 24 216'%3e%3ctext fill='%23fff' style='font: 900 16px sans-serif' text-anchor='end' transform='matrix(0 -1 1 0 18 5)'%3eSkateboarding%3c/text%3e%3c/svg%3e</v>
      </c>
      <c r="F1414" s="14" t="str">
        <f t="shared" si="3"/>
        <v>https://svgtext.heliohost.us/cgi-bin/gen.perl?text=Skateboarding</v>
      </c>
      <c r="G1414" s="11" t="str">
        <f t="shared" si="4"/>
        <v>data:image/svg+xml,%3csvg xmlns='http://www.w3.org/2000/svg' viewBox='0 0 24 216'%3e%3ctext fill='%23fff' style='font: 900 16px sans-serif' text-anchor='end' transform='matrix(0 -1 1 0 18 5)'%3eSkateboarding%3c/text%3e%3c/svg%3e</v>
      </c>
      <c r="H1414" s="8" t="s">
        <v>29</v>
      </c>
      <c r="I1414" s="8">
        <f t="shared" ref="I1414:J1414" si="1415">len(B1414)</f>
        <v>13</v>
      </c>
      <c r="J1414" s="8">
        <f t="shared" si="1415"/>
        <v>50</v>
      </c>
      <c r="K1414" s="8" t="s">
        <v>5906</v>
      </c>
    </row>
    <row r="1415">
      <c r="A1415" s="7" t="b">
        <v>0</v>
      </c>
      <c r="B1415" s="8" t="s">
        <v>5907</v>
      </c>
      <c r="C1415" s="7" t="s">
        <v>5908</v>
      </c>
      <c r="D1415" s="8" t="str">
        <f>Q&amp;$K1415&amp;Q&amp;":{"&amp;Q&amp;$B$2&amp;Q&amp;":"&amp;Q&amp;$B1415&amp;Q&amp;","&amp;Q&amp;$C$2&amp;Q&amp;":"&amp;Q&amp;$C1415&amp;Q&amp;","&amp;Q&amp;"sets"&amp;Q&amp;":"&amp;Q&amp;substitute(SUBSTITUTE($H1415,"[",""),"]","")&amp;Q&amp;"},"</f>
        <v>"rtro":{"label":"Skateboards","extra":"“Skateboarding is not a crime!”","sets":"Junior 9+ (1st) &amp; (2nd)"},</v>
      </c>
      <c r="E1415" s="9" t="str">
        <f t="shared" si="2"/>
        <v>data:image/svg+xml,%3csvg xmlns='http://www.w3.org/2000/svg' viewBox='0 0 24 216'%3e%3ctext fill='%23fff' style='font: 900 16px sans-serif' text-anchor='end' transform='matrix(0 -1 1 0 18 5)'%3eSkateboards%3c/text%3e%3c/svg%3e</v>
      </c>
      <c r="F1415" s="14" t="str">
        <f t="shared" si="3"/>
        <v>https://svgtext.heliohost.us/cgi-bin/gen.perl?text=Skateboards</v>
      </c>
      <c r="G1415" s="11" t="str">
        <f t="shared" si="4"/>
        <v>data:image/svg+xml,%3csvg xmlns='http://www.w3.org/2000/svg' viewBox='0 0 24 216'%3e%3ctext fill='%23fff' style='font: 900 16px sans-serif' text-anchor='end' transform='matrix(0 -1 1 0 18 5)'%3eSkateboards%3c/text%3e%3c/svg%3e</v>
      </c>
      <c r="H1415" s="8" t="s">
        <v>42</v>
      </c>
      <c r="I1415" s="8">
        <f t="shared" ref="I1415:J1415" si="1416">len(B1415)</f>
        <v>11</v>
      </c>
      <c r="J1415" s="8">
        <f t="shared" si="1416"/>
        <v>31</v>
      </c>
      <c r="K1415" s="8" t="s">
        <v>5909</v>
      </c>
    </row>
    <row r="1416">
      <c r="A1416" s="7" t="b">
        <v>1</v>
      </c>
      <c r="B1416" s="8" t="s">
        <v>5910</v>
      </c>
      <c r="C1416" s="8" t="s">
        <v>5911</v>
      </c>
      <c r="D1416" s="8" t="str">
        <f>Q&amp;$K1416&amp;Q&amp;":{"&amp;Q&amp;$B$2&amp;Q&amp;":"&amp;Q&amp;$B1416&amp;Q&amp;","&amp;Q&amp;$C$2&amp;Q&amp;":"&amp;Q&amp;$C1416&amp;Q&amp;","&amp;Q&amp;"sets"&amp;Q&amp;":"&amp;Q&amp;substitute(SUBSTITUTE($H1416,"[",""),"]","")&amp;Q&amp;"},"</f>
        <v>"dxyp":{"label":"Skeletons","extra":"There are 206 bones in the human body. Count them!","sets":"Junior 9+ (2nd)"},</v>
      </c>
      <c r="E1416" s="9" t="str">
        <f t="shared" si="2"/>
        <v>data:image/svg+xml,%3csvg xmlns='http://www.w3.org/2000/svg' viewBox='0 0 24 216'%3e%3ctext fill='%23fff' style='font: 900 16px sans-serif' text-anchor='end' transform='matrix(0 -1 1 0 18 5)'%3eSkeletons%3c/text%3e%3c/svg%3e</v>
      </c>
      <c r="F1416" s="14" t="str">
        <f t="shared" si="3"/>
        <v>https://svgtext.heliohost.us/cgi-bin/gen.perl?text=Skeletons</v>
      </c>
      <c r="G1416" s="11" t="str">
        <f t="shared" si="4"/>
        <v>data:image/svg+xml,%3csvg xmlns='http://www.w3.org/2000/svg' viewBox='0 0 24 216'%3e%3ctext fill='%23fff' style='font: 900 16px sans-serif' text-anchor='end' transform='matrix(0 -1 1 0 18 5)'%3eSkeletons%3c/text%3e%3c/svg%3e</v>
      </c>
      <c r="H1416" s="8" t="s">
        <v>32</v>
      </c>
      <c r="I1416" s="8">
        <f t="shared" ref="I1416:J1416" si="1417">len(B1416)</f>
        <v>9</v>
      </c>
      <c r="J1416" s="8">
        <f t="shared" si="1417"/>
        <v>50</v>
      </c>
      <c r="K1416" s="8" t="s">
        <v>5912</v>
      </c>
    </row>
    <row r="1417">
      <c r="A1417" s="7" t="b">
        <v>0</v>
      </c>
      <c r="B1417" s="8" t="s">
        <v>5913</v>
      </c>
      <c r="C1417" s="7" t="s">
        <v>5914</v>
      </c>
      <c r="D1417" s="8" t="str">
        <f>Q&amp;$K1417&amp;Q&amp;":{"&amp;Q&amp;$B$2&amp;Q&amp;":"&amp;Q&amp;$B1417&amp;Q&amp;","&amp;Q&amp;$C$2&amp;Q&amp;":"&amp;Q&amp;$C1417&amp;Q&amp;","&amp;Q&amp;"sets"&amp;Q&amp;":"&amp;Q&amp;substitute(SUBSTITUTE($H1417,"[",""),"]","")&amp;Q&amp;"},"</f>
        <v>"xlsi":{"label":"Skiing","extra":"The Super Ginat Slalom: Swiss for “suicide.”","sets":"Basic Set, Party Set"},</v>
      </c>
      <c r="E1417" s="9" t="str">
        <f t="shared" si="2"/>
        <v>data:image/svg+xml,%3csvg xmlns='http://www.w3.org/2000/svg' viewBox='0 0 24 216'%3e%3ctext fill='%23fff' style='font: 900 16px sans-serif' text-anchor='end' transform='matrix(0 -1 1 0 18 5)'%3eSkiing%3c/text%3e%3c/svg%3e</v>
      </c>
      <c r="F1417" s="14" t="str">
        <f t="shared" si="3"/>
        <v>https://svgtext.heliohost.us/cgi-bin/gen.perl?text=Skiing</v>
      </c>
      <c r="G1417" s="11" t="str">
        <f t="shared" si="4"/>
        <v>data:image/svg+xml,%3csvg xmlns='http://www.w3.org/2000/svg' viewBox='0 0 24 216'%3e%3ctext fill='%23fff' style='font: 900 16px sans-serif' text-anchor='end' transform='matrix(0 -1 1 0 18 5)'%3eSkiing%3c/text%3e%3c/svg%3e</v>
      </c>
      <c r="H1417" s="8" t="s">
        <v>29</v>
      </c>
      <c r="I1417" s="8">
        <f t="shared" ref="I1417:J1417" si="1418">len(B1417)</f>
        <v>6</v>
      </c>
      <c r="J1417" s="8">
        <f t="shared" si="1418"/>
        <v>44</v>
      </c>
      <c r="K1417" s="8" t="s">
        <v>5915</v>
      </c>
    </row>
    <row r="1418">
      <c r="A1418" s="7" t="b">
        <v>1</v>
      </c>
      <c r="B1418" s="8" t="s">
        <v>5916</v>
      </c>
      <c r="C1418" s="8" t="s">
        <v>5917</v>
      </c>
      <c r="D1418" s="8" t="str">
        <f>Q&amp;$K1418&amp;Q&amp;":{"&amp;Q&amp;$B$2&amp;Q&amp;":"&amp;Q&amp;$B1418&amp;Q&amp;","&amp;Q&amp;$C$2&amp;Q&amp;":"&amp;Q&amp;$C1418&amp;Q&amp;","&amp;Q&amp;"sets"&amp;Q&amp;":"&amp;Q&amp;substitute(SUBSTITUTE($H1418,"[",""),"]","")&amp;Q&amp;"},"</f>
        <v>"msrh":{"label":"Skin &amp; Bones","extra":"What would you be without them?","sets":"Expansion Set 4, Party Expansion 1"},</v>
      </c>
      <c r="E1418" s="9" t="str">
        <f t="shared" si="2"/>
        <v>data:image/svg+xml,%3csvg xmlns='http://www.w3.org/2000/svg' viewBox='0 0 24 216'%3e%3ctext fill='%23fff' style='font: 900 16px sans-serif' text-anchor='end' transform='matrix(0 -1 1 0 18 5)'%3eSkin %26amp%3B Bones%3c/text%3e%3c/svg%3e</v>
      </c>
      <c r="F1418" s="14" t="str">
        <f t="shared" si="3"/>
        <v>https://svgtext.heliohost.us/cgi-bin/gen.perl?text=Skin%20%26%20Bones</v>
      </c>
      <c r="G1418" s="11" t="str">
        <f t="shared" si="4"/>
        <v>data:image/svg+xml,%3csvg xmlns='http://www.w3.org/2000/svg' viewBox='0 0 24 216'%3e%3ctext fill='%23fff' style='font: 900 16px sans-serif' text-anchor='end' transform='matrix(0 -1 1 0 18 5)'%3eSkin %26amp%3B Bones%3c/text%3e%3c/svg%3e</v>
      </c>
      <c r="H1418" s="8" t="s">
        <v>63</v>
      </c>
      <c r="I1418" s="8">
        <f t="shared" ref="I1418:J1418" si="1419">len(B1418)</f>
        <v>12</v>
      </c>
      <c r="J1418" s="8">
        <f t="shared" si="1419"/>
        <v>31</v>
      </c>
      <c r="K1418" s="8" t="s">
        <v>5918</v>
      </c>
    </row>
    <row r="1419">
      <c r="A1419" s="7" t="b">
        <v>0</v>
      </c>
      <c r="B1419" s="8" t="s">
        <v>5919</v>
      </c>
      <c r="C1419" s="8" t="s">
        <v>5920</v>
      </c>
      <c r="D1419" s="8" t="str">
        <f>Q&amp;$K1419&amp;Q&amp;":{"&amp;Q&amp;$B$2&amp;Q&amp;":"&amp;Q&amp;$B1419&amp;Q&amp;","&amp;Q&amp;$C$2&amp;Q&amp;":"&amp;Q&amp;$C1419&amp;Q&amp;","&amp;Q&amp;"sets"&amp;Q&amp;":"&amp;Q&amp;substitute(SUBSTITUTE($H1419,"[",""),"]","")&amp;Q&amp;"},"</f>
        <v>"iums":{"label":"Skinheads","extra":"Shaved heads, big boots. Some are Nazis, some are not.","sets":"Basic Set, Party Set"},</v>
      </c>
      <c r="E1419" s="9" t="str">
        <f t="shared" si="2"/>
        <v>data:image/svg+xml,%3csvg xmlns='http://www.w3.org/2000/svg' viewBox='0 0 24 216'%3e%3ctext fill='%23fff' style='font: 900 16px sans-serif' text-anchor='end' transform='matrix(0 -1 1 0 18 5)'%3eSkinheads%3c/text%3e%3c/svg%3e</v>
      </c>
      <c r="F1419" s="14" t="str">
        <f t="shared" si="3"/>
        <v>https://svgtext.heliohost.us/cgi-bin/gen.perl?text=Skinheads</v>
      </c>
      <c r="G1419" s="11" t="str">
        <f t="shared" si="4"/>
        <v>data:image/svg+xml,%3csvg xmlns='http://www.w3.org/2000/svg' viewBox='0 0 24 216'%3e%3ctext fill='%23fff' style='font: 900 16px sans-serif' text-anchor='end' transform='matrix(0 -1 1 0 18 5)'%3eSkinheads%3c/text%3e%3c/svg%3e</v>
      </c>
      <c r="H1419" s="8" t="s">
        <v>29</v>
      </c>
      <c r="I1419" s="8">
        <f t="shared" ref="I1419:J1419" si="1420">len(B1419)</f>
        <v>9</v>
      </c>
      <c r="J1419" s="8">
        <f t="shared" si="1420"/>
        <v>54</v>
      </c>
      <c r="K1419" s="8" t="s">
        <v>5921</v>
      </c>
    </row>
    <row r="1420">
      <c r="A1420" s="7" t="b">
        <v>1</v>
      </c>
      <c r="B1420" s="8" t="s">
        <v>5922</v>
      </c>
      <c r="C1420" s="8" t="s">
        <v>5923</v>
      </c>
      <c r="D1420" s="8" t="str">
        <f>Q&amp;$K1420&amp;Q&amp;":{"&amp;Q&amp;$B$2&amp;Q&amp;":"&amp;Q&amp;$B1420&amp;Q&amp;","&amp;Q&amp;$C$2&amp;Q&amp;":"&amp;Q&amp;$C1420&amp;Q&amp;","&amp;Q&amp;"sets"&amp;Q&amp;":"&amp;Q&amp;substitute(SUBSTITUTE($H1420,"[",""),"]","")&amp;Q&amp;"},"</f>
        <v>"oykk":{"label":"Skinned Knees","extra":"Ouch! Ouch! OUCH!","sets":"Junior 9+ (1st) &amp; (2nd)"},</v>
      </c>
      <c r="E1420" s="9" t="str">
        <f t="shared" si="2"/>
        <v>data:image/svg+xml,%3csvg xmlns='http://www.w3.org/2000/svg' viewBox='0 0 24 216'%3e%3ctext fill='%23fff' style='font: 900 16px sans-serif' text-anchor='end' transform='matrix(0 -1 1 0 18 5)'%3eSkinned Knees%3c/text%3e%3c/svg%3e</v>
      </c>
      <c r="F1420" s="14" t="str">
        <f t="shared" si="3"/>
        <v>https://svgtext.heliohost.us/cgi-bin/gen.perl?text=Skinned%20Knees</v>
      </c>
      <c r="G1420" s="11" t="str">
        <f t="shared" si="4"/>
        <v>data:image/svg+xml,%3csvg xmlns='http://www.w3.org/2000/svg' viewBox='0 0 24 216'%3e%3ctext fill='%23fff' style='font: 900 16px sans-serif' text-anchor='end' transform='matrix(0 -1 1 0 18 5)'%3eSkinned Knees%3c/text%3e%3c/svg%3e</v>
      </c>
      <c r="H1420" s="8" t="s">
        <v>42</v>
      </c>
      <c r="I1420" s="8">
        <f t="shared" ref="I1420:J1420" si="1421">len(B1420)</f>
        <v>13</v>
      </c>
      <c r="J1420" s="8">
        <f t="shared" si="1421"/>
        <v>17</v>
      </c>
      <c r="K1420" s="8" t="s">
        <v>5924</v>
      </c>
    </row>
    <row r="1421">
      <c r="A1421" s="7" t="b">
        <v>0</v>
      </c>
      <c r="B1421" s="8" t="s">
        <v>5925</v>
      </c>
      <c r="C1421" s="8" t="s">
        <v>5926</v>
      </c>
      <c r="D1421" s="8" t="str">
        <f>Q&amp;$K1421&amp;Q&amp;":{"&amp;Q&amp;$B$2&amp;Q&amp;":"&amp;Q&amp;$B1421&amp;Q&amp;","&amp;Q&amp;$C$2&amp;Q&amp;":"&amp;Q&amp;$C1421&amp;Q&amp;","&amp;Q&amp;"sets"&amp;Q&amp;":"&amp;Q&amp;substitute(SUBSTITUTE($H1421,"[",""),"]","")&amp;Q&amp;"},"</f>
        <v>"tlpk":{"label":"Skunks","extra":"Black and white striped mammals known for their offensive smelling defensive spray.","sets":"Expansion Set 2, Party Set"},</v>
      </c>
      <c r="E1421" s="9" t="str">
        <f t="shared" si="2"/>
        <v>data:image/svg+xml,%3csvg xmlns='http://www.w3.org/2000/svg' viewBox='0 0 24 216'%3e%3ctext fill='%23fff' style='font: 900 16px sans-serif' text-anchor='end' transform='matrix(0 -1 1 0 18 5)'%3eSkunks%3c/text%3e%3c/svg%3e</v>
      </c>
      <c r="F1421" s="14" t="str">
        <f t="shared" si="3"/>
        <v>https://svgtext.heliohost.us/cgi-bin/gen.perl?text=Skunks</v>
      </c>
      <c r="G1421" s="11" t="str">
        <f t="shared" si="4"/>
        <v>data:image/svg+xml,%3csvg xmlns='http://www.w3.org/2000/svg' viewBox='0 0 24 216'%3e%3ctext fill='%23fff' style='font: 900 16px sans-serif' text-anchor='end' transform='matrix(0 -1 1 0 18 5)'%3eSkunks%3c/text%3e%3c/svg%3e</v>
      </c>
      <c r="H1421" s="8" t="s">
        <v>17</v>
      </c>
      <c r="I1421" s="8">
        <f t="shared" ref="I1421:J1421" si="1422">len(B1421)</f>
        <v>6</v>
      </c>
      <c r="J1421" s="8">
        <f t="shared" si="1422"/>
        <v>83</v>
      </c>
      <c r="K1421" s="8" t="s">
        <v>5927</v>
      </c>
    </row>
    <row r="1422">
      <c r="A1422" s="7" t="b">
        <v>1</v>
      </c>
      <c r="B1422" s="8" t="s">
        <v>5925</v>
      </c>
      <c r="C1422" s="8" t="s">
        <v>5928</v>
      </c>
      <c r="D1422" s="8" t="str">
        <f>Q&amp;$K1422&amp;Q&amp;":{"&amp;Q&amp;$B$2&amp;Q&amp;":"&amp;Q&amp;$B1422&amp;Q&amp;","&amp;Q&amp;$C$2&amp;Q&amp;":"&amp;Q&amp;$C1422&amp;Q&amp;","&amp;Q&amp;"sets"&amp;Q&amp;":"&amp;Q&amp;substitute(SUBSTITUTE($H1422,"[",""),"]","")&amp;Q&amp;"},"</f>
        <v>"pemi":{"label":"Skunks","extra":"Black, bushy-tailed animals with one or two white stripes down their backs. Stinky!","sets":"Junior"},</v>
      </c>
      <c r="E1422" s="9" t="str">
        <f t="shared" si="2"/>
        <v>data:image/svg+xml,%3csvg xmlns='http://www.w3.org/2000/svg' viewBox='0 0 24 216'%3e%3ctext fill='%23fff' style='font: 900 16px sans-serif' text-anchor='end' transform='matrix(0 -1 1 0 18 5)'%3eSkunks%3c/text%3e%3c/svg%3e</v>
      </c>
      <c r="F1422" s="14" t="str">
        <f t="shared" si="3"/>
        <v>https://svgtext.heliohost.us/cgi-bin/gen.perl?text=Skunks</v>
      </c>
      <c r="G1422" s="11" t="str">
        <f t="shared" si="4"/>
        <v>data:image/svg+xml,%3csvg xmlns='http://www.w3.org/2000/svg' viewBox='0 0 24 216'%3e%3ctext fill='%23fff' style='font: 900 16px sans-serif' text-anchor='end' transform='matrix(0 -1 1 0 18 5)'%3eSkunks%3c/text%3e%3c/svg%3e</v>
      </c>
      <c r="H1422" s="8" t="s">
        <v>84</v>
      </c>
      <c r="I1422" s="8">
        <f t="shared" ref="I1422:J1422" si="1423">len(B1422)</f>
        <v>6</v>
      </c>
      <c r="J1422" s="8">
        <f t="shared" si="1423"/>
        <v>83</v>
      </c>
      <c r="K1422" s="8" t="s">
        <v>5929</v>
      </c>
    </row>
    <row r="1423">
      <c r="A1423" s="7" t="b">
        <v>0</v>
      </c>
      <c r="B1423" s="8" t="s">
        <v>5930</v>
      </c>
      <c r="C1423" s="8" t="s">
        <v>5931</v>
      </c>
      <c r="D1423" s="8" t="str">
        <f>Q&amp;$K1423&amp;Q&amp;":{"&amp;Q&amp;$B$2&amp;Q&amp;":"&amp;Q&amp;$B1423&amp;Q&amp;","&amp;Q&amp;$C$2&amp;Q&amp;":"&amp;Q&amp;$C1423&amp;Q&amp;","&amp;Q&amp;"sets"&amp;Q&amp;":"&amp;Q&amp;substitute(SUBSTITUTE($H1423,"[",""),"]","")&amp;Q&amp;"},"</f>
        <v>"qdmp":{"label":"Skydiving","extra":"Parachute canopies are usually made from nylon fabric that lasts for thousands of jumps whether the skydiver does or not.","sets":"Basic Set, Party Set"},</v>
      </c>
      <c r="E1423" s="9" t="str">
        <f t="shared" si="2"/>
        <v>data:image/svg+xml,%3csvg xmlns='http://www.w3.org/2000/svg' viewBox='0 0 24 216'%3e%3ctext fill='%23fff' style='font: 900 16px sans-serif' text-anchor='end' transform='matrix(0 -1 1 0 18 5)'%3eSkydiving%3c/text%3e%3c/svg%3e</v>
      </c>
      <c r="F1423" s="14" t="str">
        <f t="shared" si="3"/>
        <v>https://svgtext.heliohost.us/cgi-bin/gen.perl?text=Skydiving</v>
      </c>
      <c r="G1423" s="11" t="str">
        <f t="shared" si="4"/>
        <v>data:image/svg+xml,%3csvg xmlns='http://www.w3.org/2000/svg' viewBox='0 0 24 216'%3e%3ctext fill='%23fff' style='font: 900 16px sans-serif' text-anchor='end' transform='matrix(0 -1 1 0 18 5)'%3eSkydiving%3c/text%3e%3c/svg%3e</v>
      </c>
      <c r="H1423" s="8" t="s">
        <v>29</v>
      </c>
      <c r="I1423" s="8">
        <f t="shared" ref="I1423:J1423" si="1424">len(B1423)</f>
        <v>9</v>
      </c>
      <c r="J1423" s="8">
        <f t="shared" si="1424"/>
        <v>121</v>
      </c>
      <c r="K1423" s="8" t="s">
        <v>5932</v>
      </c>
    </row>
    <row r="1424">
      <c r="A1424" s="7" t="b">
        <v>1</v>
      </c>
      <c r="B1424" s="8" t="s">
        <v>5933</v>
      </c>
      <c r="C1424" s="7" t="s">
        <v>5934</v>
      </c>
      <c r="D1424" s="8" t="str">
        <f>Q&amp;$K1424&amp;Q&amp;":{"&amp;Q&amp;$B$2&amp;Q&amp;":"&amp;Q&amp;$B1424&amp;Q&amp;","&amp;Q&amp;$C$2&amp;Q&amp;":"&amp;Q&amp;$C1424&amp;Q&amp;","&amp;Q&amp;"sets"&amp;Q&amp;":"&amp;Q&amp;substitute(SUBSTITUTE($H1424,"[",""),"]","")&amp;Q&amp;"},"</f>
        <v>"awiz":{"label":"Slash &amp; Burn","extra":"And there goes another rain forest…","sets":"Expansion Set 4, Party Expansion 1"},</v>
      </c>
      <c r="E1424" s="9" t="str">
        <f t="shared" si="2"/>
        <v>data:image/svg+xml,%3csvg xmlns='http://www.w3.org/2000/svg' viewBox='0 0 24 216'%3e%3ctext fill='%23fff' style='font: 900 16px sans-serif' text-anchor='end' transform='matrix(0 -1 1 0 18 5)'%3eSlash %26amp%3B Burn%3c/text%3e%3c/svg%3e</v>
      </c>
      <c r="F1424" s="14" t="str">
        <f t="shared" si="3"/>
        <v>https://svgtext.heliohost.us/cgi-bin/gen.perl?text=Slash%20%26%20Burn</v>
      </c>
      <c r="G1424" s="11" t="str">
        <f t="shared" si="4"/>
        <v>data:image/svg+xml,%3csvg xmlns='http://www.w3.org/2000/svg' viewBox='0 0 24 216'%3e%3ctext fill='%23fff' style='font: 900 16px sans-serif' text-anchor='end' transform='matrix(0 -1 1 0 18 5)'%3eSlash %26amp%3B Burn%3c/text%3e%3c/svg%3e</v>
      </c>
      <c r="H1424" s="8" t="s">
        <v>63</v>
      </c>
      <c r="I1424" s="8">
        <f t="shared" ref="I1424:J1424" si="1425">len(B1424)</f>
        <v>12</v>
      </c>
      <c r="J1424" s="8">
        <f t="shared" si="1425"/>
        <v>35</v>
      </c>
      <c r="K1424" s="8" t="s">
        <v>5935</v>
      </c>
    </row>
    <row r="1425">
      <c r="A1425" s="7" t="b">
        <v>0</v>
      </c>
      <c r="B1425" s="8" t="s">
        <v>5936</v>
      </c>
      <c r="C1425" s="7" t="s">
        <v>5937</v>
      </c>
      <c r="D1425" s="8" t="str">
        <f>Q&amp;$K1425&amp;Q&amp;":{"&amp;Q&amp;$B$2&amp;Q&amp;":"&amp;Q&amp;$B1425&amp;Q&amp;","&amp;Q&amp;$C$2&amp;Q&amp;":"&amp;Q&amp;$C1425&amp;Q&amp;","&amp;Q&amp;"sets"&amp;Q&amp;":"&amp;Q&amp;substitute(SUBSTITUTE($H1425,"[",""),"]","")&amp;Q&amp;"},"</f>
        <v>"mevr":{"label":"Slasher Films","extra":"A real nightmare.","sets":"Expansion Set 3, Party Expansion 1"},</v>
      </c>
      <c r="E1425" s="9" t="str">
        <f t="shared" si="2"/>
        <v>data:image/svg+xml,%3csvg xmlns='http://www.w3.org/2000/svg' viewBox='0 0 24 216'%3e%3ctext fill='%23fff' style='font: 900 16px sans-serif' text-anchor='end' transform='matrix(0 -1 1 0 18 5)'%3eSlasher Films%3c/text%3e%3c/svg%3e</v>
      </c>
      <c r="F1425" s="14" t="str">
        <f t="shared" si="3"/>
        <v>https://svgtext.heliohost.us/cgi-bin/gen.perl?text=Slasher%20Films</v>
      </c>
      <c r="G1425" s="11" t="str">
        <f t="shared" si="4"/>
        <v>data:image/svg+xml,%3csvg xmlns='http://www.w3.org/2000/svg' viewBox='0 0 24 216'%3e%3ctext fill='%23fff' style='font: 900 16px sans-serif' text-anchor='end' transform='matrix(0 -1 1 0 18 5)'%3eSlasher Films%3c/text%3e%3c/svg%3e</v>
      </c>
      <c r="H1425" s="8" t="s">
        <v>39</v>
      </c>
      <c r="I1425" s="8">
        <f t="shared" ref="I1425:J1425" si="1426">len(B1425)</f>
        <v>13</v>
      </c>
      <c r="J1425" s="8">
        <f t="shared" si="1426"/>
        <v>17</v>
      </c>
      <c r="K1425" s="8" t="s">
        <v>5938</v>
      </c>
    </row>
    <row r="1426">
      <c r="A1426" s="7" t="b">
        <v>1</v>
      </c>
      <c r="B1426" s="8" t="s">
        <v>5939</v>
      </c>
      <c r="C1426" s="8" t="s">
        <v>5940</v>
      </c>
      <c r="D1426" s="8" t="str">
        <f>Q&amp;$K1426&amp;Q&amp;":{"&amp;Q&amp;$B$2&amp;Q&amp;":"&amp;Q&amp;$B1426&amp;Q&amp;","&amp;Q&amp;$C$2&amp;Q&amp;":"&amp;Q&amp;$C1426&amp;Q&amp;","&amp;Q&amp;"sets"&amp;Q&amp;":"&amp;Q&amp;substitute(SUBSTITUTE($H1426,"[",""),"]","")&amp;Q&amp;"},"</f>
        <v>"cqdz":{"label":"Sledding","extra":"It would be more fun if you didn't have to climb back up the hill.","sets":"Junior"},</v>
      </c>
      <c r="E1426" s="9" t="str">
        <f t="shared" si="2"/>
        <v>data:image/svg+xml,%3csvg xmlns='http://www.w3.org/2000/svg' viewBox='0 0 24 216'%3e%3ctext fill='%23fff' style='font: 900 16px sans-serif' text-anchor='end' transform='matrix(0 -1 1 0 18 5)'%3eSledding%3c/text%3e%3c/svg%3e</v>
      </c>
      <c r="F1426" s="14" t="str">
        <f t="shared" si="3"/>
        <v>https://svgtext.heliohost.us/cgi-bin/gen.perl?text=Sledding</v>
      </c>
      <c r="G1426" s="11" t="str">
        <f t="shared" si="4"/>
        <v>data:image/svg+xml,%3csvg xmlns='http://www.w3.org/2000/svg' viewBox='0 0 24 216'%3e%3ctext fill='%23fff' style='font: 900 16px sans-serif' text-anchor='end' transform='matrix(0 -1 1 0 18 5)'%3eSledding%3c/text%3e%3c/svg%3e</v>
      </c>
      <c r="H1426" s="8" t="s">
        <v>84</v>
      </c>
      <c r="I1426" s="8">
        <f t="shared" ref="I1426:J1426" si="1427">len(B1426)</f>
        <v>8</v>
      </c>
      <c r="J1426" s="8">
        <f t="shared" si="1427"/>
        <v>66</v>
      </c>
      <c r="K1426" s="8" t="s">
        <v>5941</v>
      </c>
    </row>
    <row r="1427">
      <c r="A1427" s="7" t="b">
        <v>1</v>
      </c>
      <c r="B1427" s="8" t="s">
        <v>5942</v>
      </c>
      <c r="C1427" s="7" t="s">
        <v>5943</v>
      </c>
      <c r="D1427" s="8" t="str">
        <f>Q&amp;$K1427&amp;Q&amp;":{"&amp;Q&amp;$B$2&amp;Q&amp;":"&amp;Q&amp;$B1427&amp;Q&amp;","&amp;Q&amp;$C$2&amp;Q&amp;":"&amp;Q&amp;$C1427&amp;Q&amp;","&amp;Q&amp;"sets"&amp;Q&amp;":"&amp;Q&amp;substitute(SUBSTITUTE($H1427,"[",""),"]","")&amp;Q&amp;"},"</f>
        <v>"dfml":{"label":"Sleep","extra":"“Don’t let the bedbugs bite.”","sets":"Junior"},</v>
      </c>
      <c r="E1427" s="9" t="str">
        <f t="shared" si="2"/>
        <v>data:image/svg+xml,%3csvg xmlns='http://www.w3.org/2000/svg' viewBox='0 0 24 216'%3e%3ctext fill='%23fff' style='font: 900 16px sans-serif' text-anchor='end' transform='matrix(0 -1 1 0 18 5)'%3eSleep%3c/text%3e%3c/svg%3e</v>
      </c>
      <c r="F1427" s="14" t="str">
        <f t="shared" si="3"/>
        <v>https://svgtext.heliohost.us/cgi-bin/gen.perl?text=Sleep</v>
      </c>
      <c r="G1427" s="11" t="str">
        <f t="shared" si="4"/>
        <v>data:image/svg+xml,%3csvg xmlns='http://www.w3.org/2000/svg' viewBox='0 0 24 216'%3e%3ctext fill='%23fff' style='font: 900 16px sans-serif' text-anchor='end' transform='matrix(0 -1 1 0 18 5)'%3eSleep%3c/text%3e%3c/svg%3e</v>
      </c>
      <c r="H1427" s="8" t="s">
        <v>84</v>
      </c>
      <c r="I1427" s="8">
        <f t="shared" ref="I1427:J1427" si="1428">len(B1427)</f>
        <v>5</v>
      </c>
      <c r="J1427" s="8">
        <f t="shared" si="1428"/>
        <v>29</v>
      </c>
      <c r="K1427" s="8" t="s">
        <v>5944</v>
      </c>
    </row>
    <row r="1428">
      <c r="A1428" s="7" t="b">
        <v>0</v>
      </c>
      <c r="B1428" s="8" t="s">
        <v>5945</v>
      </c>
      <c r="C1428" s="7" t="s">
        <v>5946</v>
      </c>
      <c r="D1428" s="8" t="str">
        <f>Q&amp;$K1428&amp;Q&amp;":{"&amp;Q&amp;$B$2&amp;Q&amp;":"&amp;Q&amp;$B1428&amp;Q&amp;","&amp;Q&amp;$C$2&amp;Q&amp;":"&amp;Q&amp;$C1428&amp;Q&amp;","&amp;Q&amp;"sets"&amp;Q&amp;":"&amp;Q&amp;substitute(SUBSTITUTE($H1428,"[",""),"]","")&amp;Q&amp;"},"</f>
        <v>"ossx":{"label":"Sleeping Pills","extra":"I remember taking them… I just… don't rememmer… how mamy.","sets":"Expansion Set 1, Party Set"},</v>
      </c>
      <c r="E1428" s="9" t="str">
        <f t="shared" si="2"/>
        <v>data:image/svg+xml,%3csvg xmlns='http://www.w3.org/2000/svg' viewBox='0 0 24 216'%3e%3ctext fill='%23fff' style='font: 900 16px sans-serif' text-anchor='end' transform='matrix(0 -1 1 0 18 5)'%3eSleeping Pills%3c/text%3e%3c/svg%3e</v>
      </c>
      <c r="F1428" s="14" t="str">
        <f t="shared" si="3"/>
        <v>https://svgtext.heliohost.us/cgi-bin/gen.perl?text=Sleeping%20Pills</v>
      </c>
      <c r="G1428" s="11" t="str">
        <f t="shared" si="4"/>
        <v>data:image/svg+xml,%3csvg xmlns='http://www.w3.org/2000/svg' viewBox='0 0 24 216'%3e%3ctext fill='%23fff' style='font: 900 16px sans-serif' text-anchor='end' transform='matrix(0 -1 1 0 18 5)'%3eSleeping Pills%3c/text%3e%3c/svg%3e</v>
      </c>
      <c r="H1428" s="8" t="s">
        <v>25</v>
      </c>
      <c r="I1428" s="8">
        <f t="shared" ref="I1428:J1428" si="1429">len(B1428)</f>
        <v>14</v>
      </c>
      <c r="J1428" s="8">
        <f t="shared" si="1429"/>
        <v>57</v>
      </c>
      <c r="K1428" s="8" t="s">
        <v>5947</v>
      </c>
    </row>
    <row r="1429">
      <c r="A1429" s="7" t="b">
        <v>1</v>
      </c>
      <c r="B1429" s="8" t="s">
        <v>5948</v>
      </c>
      <c r="C1429" s="7" t="s">
        <v>5949</v>
      </c>
      <c r="D1429" s="8" t="str">
        <f>Q&amp;$K1429&amp;Q&amp;":{"&amp;Q&amp;$B$2&amp;Q&amp;":"&amp;Q&amp;$B1429&amp;Q&amp;","&amp;Q&amp;$C$2&amp;Q&amp;":"&amp;Q&amp;$C1429&amp;Q&amp;","&amp;Q&amp;"sets"&amp;Q&amp;":"&amp;Q&amp;substitute(SUBSTITUTE($H1429,"[",""),"]","")&amp;Q&amp;"},"</f>
        <v>"ropr":{"label":"Sleepovers","extra":"If you don’t sleep, is it still a sleepover?","sets":"Junior 9+ (1st) &amp; (2nd)"},</v>
      </c>
      <c r="E1429" s="9" t="str">
        <f t="shared" si="2"/>
        <v>data:image/svg+xml,%3csvg xmlns='http://www.w3.org/2000/svg' viewBox='0 0 24 216'%3e%3ctext fill='%23fff' style='font: 900 16px sans-serif' text-anchor='end' transform='matrix(0 -1 1 0 18 5)'%3eSleepovers%3c/text%3e%3c/svg%3e</v>
      </c>
      <c r="F1429" s="14" t="str">
        <f t="shared" si="3"/>
        <v>https://svgtext.heliohost.us/cgi-bin/gen.perl?text=Sleepovers</v>
      </c>
      <c r="G1429" s="11" t="str">
        <f t="shared" si="4"/>
        <v>data:image/svg+xml,%3csvg xmlns='http://www.w3.org/2000/svg' viewBox='0 0 24 216'%3e%3ctext fill='%23fff' style='font: 900 16px sans-serif' text-anchor='end' transform='matrix(0 -1 1 0 18 5)'%3eSleepovers%3c/text%3e%3c/svg%3e</v>
      </c>
      <c r="H1429" s="8" t="s">
        <v>42</v>
      </c>
      <c r="I1429" s="8">
        <f t="shared" ref="I1429:J1429" si="1430">len(B1429)</f>
        <v>10</v>
      </c>
      <c r="J1429" s="8">
        <f t="shared" si="1430"/>
        <v>44</v>
      </c>
      <c r="K1429" s="8" t="s">
        <v>5950</v>
      </c>
    </row>
    <row r="1430">
      <c r="A1430" s="7" t="b">
        <v>1</v>
      </c>
      <c r="B1430" s="8" t="s">
        <v>5951</v>
      </c>
      <c r="C1430" s="8" t="s">
        <v>5952</v>
      </c>
      <c r="D1430" s="8" t="str">
        <f>Q&amp;$K1430&amp;Q&amp;":{"&amp;Q&amp;$B$2&amp;Q&amp;":"&amp;Q&amp;$B1430&amp;Q&amp;","&amp;Q&amp;$C$2&amp;Q&amp;":"&amp;Q&amp;$C1430&amp;Q&amp;","&amp;Q&amp;"sets"&amp;Q&amp;":"&amp;Q&amp;substitute(SUBSTITUTE($H1430,"[",""),"]","")&amp;Q&amp;"},"</f>
        <v>"gufz":{"label":"Slice &amp; Dice","extra":"A sharp knife is a safe knife.","sets":"Expansion Set 4, Party Expansion 1"},</v>
      </c>
      <c r="E1430" s="9" t="str">
        <f t="shared" si="2"/>
        <v>data:image/svg+xml,%3csvg xmlns='http://www.w3.org/2000/svg' viewBox='0 0 24 216'%3e%3ctext fill='%23fff' style='font: 900 16px sans-serif' text-anchor='end' transform='matrix(0 -1 1 0 18 5)'%3eSlice %26amp%3B Dice%3c/text%3e%3c/svg%3e</v>
      </c>
      <c r="F1430" s="14" t="str">
        <f t="shared" si="3"/>
        <v>https://svgtext.heliohost.us/cgi-bin/gen.perl?text=Slice%20%26%20Dice</v>
      </c>
      <c r="G1430" s="11" t="str">
        <f t="shared" si="4"/>
        <v>data:image/svg+xml,%3csvg xmlns='http://www.w3.org/2000/svg' viewBox='0 0 24 216'%3e%3ctext fill='%23fff' style='font: 900 16px sans-serif' text-anchor='end' transform='matrix(0 -1 1 0 18 5)'%3eSlice %26amp%3B Dice%3c/text%3e%3c/svg%3e</v>
      </c>
      <c r="H1430" s="8" t="s">
        <v>63</v>
      </c>
      <c r="I1430" s="8">
        <f t="shared" ref="I1430:J1430" si="1431">len(B1430)</f>
        <v>12</v>
      </c>
      <c r="J1430" s="8">
        <f t="shared" si="1431"/>
        <v>30</v>
      </c>
      <c r="K1430" s="8" t="s">
        <v>5953</v>
      </c>
    </row>
    <row r="1431">
      <c r="A1431" s="7" t="b">
        <v>1</v>
      </c>
      <c r="B1431" s="8" t="s">
        <v>5954</v>
      </c>
      <c r="C1431" s="7" t="s">
        <v>5955</v>
      </c>
      <c r="D1431" s="8" t="str">
        <f>Q&amp;$K1431&amp;Q&amp;":{"&amp;Q&amp;$B$2&amp;Q&amp;":"&amp;Q&amp;$B1431&amp;Q&amp;","&amp;Q&amp;$C$2&amp;Q&amp;":"&amp;Q&amp;$C1431&amp;Q&amp;","&amp;Q&amp;"sets"&amp;Q&amp;":"&amp;Q&amp;substitute(SUBSTITUTE($H1431,"[",""),"]","")&amp;Q&amp;"},"</f>
        <v>"gmfq":{"label":"Slip &amp; Fall","extra":"Watch out for… too late!","sets":"Expansion Set 4, Party Expansion 1"},</v>
      </c>
      <c r="E1431" s="9" t="str">
        <f t="shared" si="2"/>
        <v>data:image/svg+xml,%3csvg xmlns='http://www.w3.org/2000/svg' viewBox='0 0 24 216'%3e%3ctext fill='%23fff' style='font: 900 16px sans-serif' text-anchor='end' transform='matrix(0 -1 1 0 18 5)'%3eSlip %26amp%3B Fall%3c/text%3e%3c/svg%3e</v>
      </c>
      <c r="F1431" s="14" t="str">
        <f t="shared" si="3"/>
        <v>https://svgtext.heliohost.us/cgi-bin/gen.perl?text=Slip%20%26%20Fall</v>
      </c>
      <c r="G1431" s="11" t="str">
        <f t="shared" si="4"/>
        <v>data:image/svg+xml,%3csvg xmlns='http://www.w3.org/2000/svg' viewBox='0 0 24 216'%3e%3ctext fill='%23fff' style='font: 900 16px sans-serif' text-anchor='end' transform='matrix(0 -1 1 0 18 5)'%3eSlip %26amp%3B Fall%3c/text%3e%3c/svg%3e</v>
      </c>
      <c r="H1431" s="8" t="s">
        <v>63</v>
      </c>
      <c r="I1431" s="8">
        <f t="shared" ref="I1431:J1431" si="1432">len(B1431)</f>
        <v>11</v>
      </c>
      <c r="J1431" s="8">
        <f t="shared" si="1432"/>
        <v>24</v>
      </c>
      <c r="K1431" s="8" t="s">
        <v>5956</v>
      </c>
    </row>
    <row r="1432">
      <c r="A1432" s="7" t="b">
        <v>0</v>
      </c>
      <c r="B1432" s="8" t="s">
        <v>5957</v>
      </c>
      <c r="C1432" s="8" t="s">
        <v>5958</v>
      </c>
      <c r="D1432" s="8" t="str">
        <f>Q&amp;$K1432&amp;Q&amp;":{"&amp;Q&amp;$B$2&amp;Q&amp;":"&amp;Q&amp;$B1432&amp;Q&amp;","&amp;Q&amp;$C$2&amp;Q&amp;":"&amp;Q&amp;$C1432&amp;Q&amp;","&amp;Q&amp;"sets"&amp;Q&amp;":"&amp;Q&amp;substitute(SUBSTITUTE($H1432,"[",""),"]","")&amp;Q&amp;"},"</f>
        <v>"nbxe":{"label":"Slivers","extra":"Also known as splinters. The worst ones are under your fingernails.","sets":"Expansion Set 1, Party Set"},</v>
      </c>
      <c r="E1432" s="9" t="str">
        <f t="shared" si="2"/>
        <v>data:image/svg+xml,%3csvg xmlns='http://www.w3.org/2000/svg' viewBox='0 0 24 216'%3e%3ctext fill='%23fff' style='font: 900 16px sans-serif' text-anchor='end' transform='matrix(0 -1 1 0 18 5)'%3eSlivers%3c/text%3e%3c/svg%3e</v>
      </c>
      <c r="F1432" s="14" t="str">
        <f t="shared" si="3"/>
        <v>https://svgtext.heliohost.us/cgi-bin/gen.perl?text=Slivers</v>
      </c>
      <c r="G1432" s="11" t="str">
        <f t="shared" si="4"/>
        <v>data:image/svg+xml,%3csvg xmlns='http://www.w3.org/2000/svg' viewBox='0 0 24 216'%3e%3ctext fill='%23fff' style='font: 900 16px sans-serif' text-anchor='end' transform='matrix(0 -1 1 0 18 5)'%3eSlivers%3c/text%3e%3c/svg%3e</v>
      </c>
      <c r="H1432" s="8" t="s">
        <v>25</v>
      </c>
      <c r="I1432" s="8">
        <f t="shared" ref="I1432:J1432" si="1433">len(B1432)</f>
        <v>7</v>
      </c>
      <c r="J1432" s="8">
        <f t="shared" si="1433"/>
        <v>67</v>
      </c>
      <c r="K1432" s="8" t="s">
        <v>5959</v>
      </c>
    </row>
    <row r="1433">
      <c r="A1433" s="7" t="b">
        <v>0</v>
      </c>
      <c r="B1433" s="8" t="s">
        <v>5960</v>
      </c>
      <c r="C1433" s="7" t="s">
        <v>5961</v>
      </c>
      <c r="D1433" s="8" t="str">
        <f>Q&amp;$K1433&amp;Q&amp;":{"&amp;Q&amp;$B$2&amp;Q&amp;":"&amp;Q&amp;$B1433&amp;Q&amp;","&amp;Q&amp;$C$2&amp;Q&amp;":"&amp;Q&amp;$C1433&amp;Q&amp;","&amp;Q&amp;"sets"&amp;Q&amp;":"&amp;Q&amp;substitute(SUBSTITUTE($H1433,"[",""),"]","")&amp;Q&amp;"},"</f>
        <v>"csg{":{"label":"Slobodan Milosevic","extra":"1941-, former leader of Serbia, also known as “the Butcher of the Balkans.”","sets":"Expansion Set 3, Party Expansion 1"},</v>
      </c>
      <c r="E1433" s="9" t="str">
        <f t="shared" si="2"/>
        <v>data:image/svg+xml,%3csvg xmlns='http://www.w3.org/2000/svg' viewBox='0 0 24 216'%3e%3ctext fill='%23fff' style='font: 900 16px sans-serif' text-anchor='end' transform='matrix(0 -1 1 0 18 5)'%3eSlobodan Milosevic%3c/text%3e%3c/svg%3e</v>
      </c>
      <c r="F1433" s="14" t="str">
        <f t="shared" si="3"/>
        <v>https://svgtext.heliohost.us/cgi-bin/gen.perl?text=Slobodan%20Milosevic</v>
      </c>
      <c r="G1433" s="11" t="str">
        <f t="shared" si="4"/>
        <v>data:image/svg+xml,%3csvg xmlns='http://www.w3.org/2000/svg' viewBox='0 0 24 216'%3e%3ctext fill='%23fff' style='font: 900 16px sans-serif' text-anchor='end' transform='matrix(0 -1 1 0 18 5)'%3eSlobodan Milosevic%3c/text%3e%3c/svg%3e</v>
      </c>
      <c r="H1433" s="8" t="s">
        <v>39</v>
      </c>
      <c r="I1433" s="8">
        <f t="shared" ref="I1433:J1433" si="1434">len(B1433)</f>
        <v>18</v>
      </c>
      <c r="J1433" s="8">
        <f t="shared" si="1434"/>
        <v>75</v>
      </c>
      <c r="K1433" s="8" t="s">
        <v>5962</v>
      </c>
    </row>
    <row r="1434">
      <c r="A1434" s="7" t="b">
        <v>0</v>
      </c>
      <c r="B1434" s="8" t="s">
        <v>5963</v>
      </c>
      <c r="C1434" s="7" t="s">
        <v>5964</v>
      </c>
      <c r="D1434" s="8" t="str">
        <f>Q&amp;$K1434&amp;Q&amp;":{"&amp;Q&amp;$B$2&amp;Q&amp;":"&amp;Q&amp;$B1434&amp;Q&amp;","&amp;Q&amp;$C$2&amp;Q&amp;":"&amp;Q&amp;$C1434&amp;Q&amp;","&amp;Q&amp;"sets"&amp;Q&amp;":"&amp;Q&amp;substitute(SUBSTITUTE($H1434,"[",""),"]","")&amp;Q&amp;"},"</f>
        <v>"eub{":{"label":"Sloppy Joes","extra":"My favorite recipe…open the can.","sets":"Expansion Set 1, Party Set"},</v>
      </c>
      <c r="E1434" s="9" t="str">
        <f t="shared" si="2"/>
        <v>data:image/svg+xml,%3csvg xmlns='http://www.w3.org/2000/svg' viewBox='0 0 24 216'%3e%3ctext fill='%23fff' style='font: 900 16px sans-serif' text-anchor='end' transform='matrix(0 -1 1 0 18 5)'%3eSloppy Joes%3c/text%3e%3c/svg%3e</v>
      </c>
      <c r="F1434" s="14" t="str">
        <f t="shared" si="3"/>
        <v>https://svgtext.heliohost.us/cgi-bin/gen.perl?text=Sloppy%20Joes</v>
      </c>
      <c r="G1434" s="11" t="str">
        <f t="shared" si="4"/>
        <v>data:image/svg+xml,%3csvg xmlns='http://www.w3.org/2000/svg' viewBox='0 0 24 216'%3e%3ctext fill='%23fff' style='font: 900 16px sans-serif' text-anchor='end' transform='matrix(0 -1 1 0 18 5)'%3eSloppy Joes%3c/text%3e%3c/svg%3e</v>
      </c>
      <c r="H1434" s="8" t="s">
        <v>25</v>
      </c>
      <c r="I1434" s="8">
        <f t="shared" ref="I1434:J1434" si="1435">len(B1434)</f>
        <v>11</v>
      </c>
      <c r="J1434" s="8">
        <f t="shared" si="1435"/>
        <v>32</v>
      </c>
      <c r="K1434" s="8" t="s">
        <v>5965</v>
      </c>
    </row>
    <row r="1435">
      <c r="A1435" s="7" t="b">
        <v>1</v>
      </c>
      <c r="B1435" s="8" t="s">
        <v>5966</v>
      </c>
      <c r="C1435" s="8" t="s">
        <v>5967</v>
      </c>
      <c r="D1435" s="8" t="str">
        <f>Q&amp;$K1435&amp;Q&amp;":{"&amp;Q&amp;$B$2&amp;Q&amp;":"&amp;Q&amp;$B1435&amp;Q&amp;","&amp;Q&amp;$C$2&amp;Q&amp;":"&amp;Q&amp;$C1435&amp;Q&amp;","&amp;Q&amp;"sets"&amp;Q&amp;":"&amp;Q&amp;substitute(SUBSTITUTE($H1435,"[",""),"]","")&amp;Q&amp;"},"</f>
        <v>"mhiv":{"label":"Smith &amp; Wesson","extra":"Firearms when ready!","sets":"Expansion Set 4, Party Expansion 1"},</v>
      </c>
      <c r="E1435" s="9" t="str">
        <f t="shared" si="2"/>
        <v>data:image/svg+xml,%3csvg xmlns='http://www.w3.org/2000/svg' viewBox='0 0 24 216'%3e%3ctext fill='%23fff' style='font: 900 16px sans-serif' text-anchor='end' transform='matrix(0 -1 1 0 18 5)'%3eSmith %26amp%3B Wesson%3c/text%3e%3c/svg%3e</v>
      </c>
      <c r="F1435" s="14" t="str">
        <f t="shared" si="3"/>
        <v>https://svgtext.heliohost.us/cgi-bin/gen.perl?text=Smith%20%26%20Wesson</v>
      </c>
      <c r="G1435" s="11" t="str">
        <f t="shared" si="4"/>
        <v>data:image/svg+xml,%3csvg xmlns='http://www.w3.org/2000/svg' viewBox='0 0 24 216'%3e%3ctext fill='%23fff' style='font: 900 16px sans-serif' text-anchor='end' transform='matrix(0 -1 1 0 18 5)'%3eSmith %26amp%3B Wesson%3c/text%3e%3c/svg%3e</v>
      </c>
      <c r="H1435" s="8" t="s">
        <v>63</v>
      </c>
      <c r="I1435" s="8">
        <f t="shared" ref="I1435:J1435" si="1436">len(B1435)</f>
        <v>14</v>
      </c>
      <c r="J1435" s="8">
        <f t="shared" si="1436"/>
        <v>20</v>
      </c>
      <c r="K1435" s="8" t="s">
        <v>5968</v>
      </c>
    </row>
    <row r="1436">
      <c r="A1436" s="7" t="b">
        <v>0</v>
      </c>
      <c r="B1436" s="8" t="s">
        <v>5969</v>
      </c>
      <c r="C1436" s="7" t="s">
        <v>5970</v>
      </c>
      <c r="D1436" s="8" t="str">
        <f>Q&amp;$K1436&amp;Q&amp;":{"&amp;Q&amp;$B$2&amp;Q&amp;":"&amp;Q&amp;$B1436&amp;Q&amp;","&amp;Q&amp;$C$2&amp;Q&amp;":"&amp;Q&amp;$C1436&amp;Q&amp;","&amp;Q&amp;"sets"&amp;Q&amp;":"&amp;Q&amp;substitute(SUBSTITUTE($H1436,"[",""),"]","")&amp;Q&amp;"},"</f>
        <v>"eqxr":{"label":"Smithsonian Institution","extra":"Located in Washington, D.C., the largest museum complex in the world. Wouldn’t that be a great garage sale?","sets":"Expansion Set 2, Party Set"},</v>
      </c>
      <c r="E1436" s="9" t="str">
        <f t="shared" si="2"/>
        <v>data:image/svg+xml,%3csvg xmlns='http://www.w3.org/2000/svg' viewBox='0 0 24 216'%3e%3ctext fill='%23fff' style='font: 900 16px sans-serif' text-anchor='end' transform='matrix(0 -1 1 0 18 5)'%3eSmithsonian Institution%3c/text%3e%3c/svg%3e</v>
      </c>
      <c r="F1436" s="14" t="str">
        <f t="shared" si="3"/>
        <v>https://svgtext.heliohost.us/cgi-bin/gen.perl?text=Smithsonian%20Institution</v>
      </c>
      <c r="G1436" s="11" t="str">
        <f t="shared" si="4"/>
        <v>data:image/svg+xml,%3csvg xmlns='http://www.w3.org/2000/svg' viewBox='0 0 24 216'%3e%3ctext fill='%23fff' style='font: 900 16px sans-serif' text-anchor='end' transform='matrix(0 -1 1 0 18 5)'%3eSmithsonian Institution%3c/text%3e%3c/svg%3e</v>
      </c>
      <c r="H1436" s="8" t="s">
        <v>17</v>
      </c>
      <c r="I1436" s="8">
        <f t="shared" ref="I1436:J1436" si="1437">len(B1436)</f>
        <v>23</v>
      </c>
      <c r="J1436" s="8">
        <f t="shared" si="1437"/>
        <v>107</v>
      </c>
      <c r="K1436" s="8" t="s">
        <v>5971</v>
      </c>
    </row>
    <row r="1437">
      <c r="A1437" s="7" t="b">
        <v>1</v>
      </c>
      <c r="B1437" s="8" t="s">
        <v>5972</v>
      </c>
      <c r="C1437" s="7" t="s">
        <v>5973</v>
      </c>
      <c r="D1437" s="8" t="str">
        <f>Q&amp;$K1437&amp;Q&amp;":{"&amp;Q&amp;$B$2&amp;Q&amp;":"&amp;Q&amp;$B1437&amp;Q&amp;","&amp;Q&amp;$C$2&amp;Q&amp;":"&amp;Q&amp;$C1437&amp;Q&amp;","&amp;Q&amp;"sets"&amp;Q&amp;":"&amp;Q&amp;substitute(SUBSTITUTE($H1437,"[",""),"]","")&amp;Q&amp;"},"</f>
        <v>"kckz":{"label":"Smoke","extra":"“Where there's smoke, there's fire!”","sets":"Junior"},</v>
      </c>
      <c r="E1437" s="9" t="str">
        <f t="shared" si="2"/>
        <v>data:image/svg+xml,%3csvg xmlns='http://www.w3.org/2000/svg' viewBox='0 0 24 216'%3e%3ctext fill='%23fff' style='font: 900 16px sans-serif' text-anchor='end' transform='matrix(0 -1 1 0 18 5)'%3eSmoke%3c/text%3e%3c/svg%3e</v>
      </c>
      <c r="F1437" s="14" t="str">
        <f t="shared" si="3"/>
        <v>https://svgtext.heliohost.us/cgi-bin/gen.perl?text=Smoke</v>
      </c>
      <c r="G1437" s="11" t="str">
        <f t="shared" si="4"/>
        <v>data:image/svg+xml,%3csvg xmlns='http://www.w3.org/2000/svg' viewBox='0 0 24 216'%3e%3ctext fill='%23fff' style='font: 900 16px sans-serif' text-anchor='end' transform='matrix(0 -1 1 0 18 5)'%3eSmoke%3c/text%3e%3c/svg%3e</v>
      </c>
      <c r="H1437" s="8" t="s">
        <v>84</v>
      </c>
      <c r="I1437" s="8">
        <f t="shared" ref="I1437:J1437" si="1438">len(B1437)</f>
        <v>5</v>
      </c>
      <c r="J1437" s="8">
        <f t="shared" si="1438"/>
        <v>36</v>
      </c>
      <c r="K1437" s="8" t="s">
        <v>5974</v>
      </c>
    </row>
    <row r="1438">
      <c r="A1438" s="7" t="b">
        <v>1</v>
      </c>
      <c r="B1438" s="8" t="s">
        <v>5975</v>
      </c>
      <c r="C1438" s="7" t="s">
        <v>5976</v>
      </c>
      <c r="D1438" s="8" t="str">
        <f>Q&amp;$K1438&amp;Q&amp;":{"&amp;Q&amp;$B$2&amp;Q&amp;":"&amp;Q&amp;$B1438&amp;Q&amp;","&amp;Q&amp;$C$2&amp;Q&amp;":"&amp;Q&amp;$C1438&amp;Q&amp;","&amp;Q&amp;"sets"&amp;Q&amp;":"&amp;Q&amp;substitute(SUBSTITUTE($H1438,"[",""),"]","")&amp;Q&amp;"},"</f>
        <v>"hwgk":{"label":"Smoke &amp; Mirrors","extra":"That’s how we do it!","sets":"Expansion Set 4, Party Expansion 1"},</v>
      </c>
      <c r="E1438" s="9" t="str">
        <f t="shared" si="2"/>
        <v>data:image/svg+xml,%3csvg xmlns='http://www.w3.org/2000/svg' viewBox='0 0 24 216'%3e%3ctext fill='%23fff' style='font: 900 16px sans-serif' text-anchor='end' transform='matrix(0 -1 1 0 18 5)'%3eSmoke %26amp%3B Mirrors%3c/text%3e%3c/svg%3e</v>
      </c>
      <c r="F1438" s="14" t="str">
        <f t="shared" si="3"/>
        <v>https://svgtext.heliohost.us/cgi-bin/gen.perl?text=Smoke%20%26%20Mirrors</v>
      </c>
      <c r="G1438" s="11" t="str">
        <f t="shared" si="4"/>
        <v>data:image/svg+xml,%3csvg xmlns='http://www.w3.org/2000/svg' viewBox='0 0 24 216'%3e%3ctext fill='%23fff' style='font: 900 16px sans-serif' text-anchor='end' transform='matrix(0 -1 1 0 18 5)'%3eSmoke %26amp%3B Mirrors%3c/text%3e%3c/svg%3e</v>
      </c>
      <c r="H1438" s="8" t="s">
        <v>63</v>
      </c>
      <c r="I1438" s="8">
        <f t="shared" ref="I1438:J1438" si="1439">len(B1438)</f>
        <v>15</v>
      </c>
      <c r="J1438" s="8">
        <f t="shared" si="1439"/>
        <v>20</v>
      </c>
      <c r="K1438" s="8" t="s">
        <v>5977</v>
      </c>
    </row>
    <row r="1439">
      <c r="A1439" s="7" t="b">
        <v>1</v>
      </c>
      <c r="B1439" s="8" t="s">
        <v>5978</v>
      </c>
      <c r="C1439" s="8" t="s">
        <v>5979</v>
      </c>
      <c r="D1439" s="8" t="str">
        <f>Q&amp;$K1439&amp;Q&amp;":{"&amp;Q&amp;$B$2&amp;Q&amp;":"&amp;Q&amp;$B1439&amp;Q&amp;","&amp;Q&amp;$C$2&amp;Q&amp;":"&amp;Q&amp;$C1439&amp;Q&amp;","&amp;Q&amp;"sets"&amp;Q&amp;":"&amp;Q&amp;substitute(SUBSTITUTE($H1439,"[",""),"]","")&amp;Q&amp;"},"</f>
        <v>"inxj":{"label":"Snakes","extra":"Surprising, snakes move rapidly without legs. Also surprising, they find OTHER snakes attractive.","sets":"Basic Set, Party Set"},</v>
      </c>
      <c r="E1439" s="9" t="str">
        <f t="shared" si="2"/>
        <v>data:image/svg+xml,%3csvg xmlns='http://www.w3.org/2000/svg' viewBox='0 0 24 216'%3e%3ctext fill='%23fff' style='font: 900 16px sans-serif' text-anchor='end' transform='matrix(0 -1 1 0 18 5)'%3eSnakes%3c/text%3e%3c/svg%3e</v>
      </c>
      <c r="F1439" s="14" t="str">
        <f t="shared" si="3"/>
        <v>https://svgtext.heliohost.us/cgi-bin/gen.perl?text=Snakes</v>
      </c>
      <c r="G1439" s="11" t="str">
        <f t="shared" si="4"/>
        <v>data:image/svg+xml,%3csvg xmlns='http://www.w3.org/2000/svg' viewBox='0 0 24 216'%3e%3ctext fill='%23fff' style='font: 900 16px sans-serif' text-anchor='end' transform='matrix(0 -1 1 0 18 5)'%3eSnakes%3c/text%3e%3c/svg%3e</v>
      </c>
      <c r="H1439" s="8" t="s">
        <v>29</v>
      </c>
      <c r="I1439" s="8">
        <f t="shared" ref="I1439:J1439" si="1440">len(B1439)</f>
        <v>6</v>
      </c>
      <c r="J1439" s="8">
        <f t="shared" si="1440"/>
        <v>97</v>
      </c>
      <c r="K1439" s="8" t="s">
        <v>5980</v>
      </c>
    </row>
    <row r="1440">
      <c r="A1440" s="7" t="b">
        <v>0</v>
      </c>
      <c r="B1440" s="8" t="s">
        <v>5978</v>
      </c>
      <c r="C1440" s="8" t="s">
        <v>5981</v>
      </c>
      <c r="D1440" s="8" t="str">
        <f>Q&amp;$K1440&amp;Q&amp;":{"&amp;Q&amp;$B$2&amp;Q&amp;":"&amp;Q&amp;$B1440&amp;Q&amp;","&amp;Q&amp;$C$2&amp;Q&amp;":"&amp;Q&amp;$C1440&amp;Q&amp;","&amp;Q&amp;"sets"&amp;Q&amp;":"&amp;Q&amp;substitute(SUBSTITUTE($H1440,"[",""),"]","")&amp;Q&amp;"},"</f>
        <v>"jwtd":{"label":"Snakes","extra":"Long, thin reptiles without arms or legs. Their forked tongues are used for smelling.","sets":"Junior"},</v>
      </c>
      <c r="E1440" s="9" t="str">
        <f t="shared" si="2"/>
        <v>data:image/svg+xml,%3csvg xmlns='http://www.w3.org/2000/svg' viewBox='0 0 24 216'%3e%3ctext fill='%23fff' style='font: 900 16px sans-serif' text-anchor='end' transform='matrix(0 -1 1 0 18 5)'%3eSnakes%3c/text%3e%3c/svg%3e</v>
      </c>
      <c r="F1440" s="14" t="str">
        <f t="shared" si="3"/>
        <v>https://svgtext.heliohost.us/cgi-bin/gen.perl?text=Snakes</v>
      </c>
      <c r="G1440" s="11" t="str">
        <f t="shared" si="4"/>
        <v>data:image/svg+xml,%3csvg xmlns='http://www.w3.org/2000/svg' viewBox='0 0 24 216'%3e%3ctext fill='%23fff' style='font: 900 16px sans-serif' text-anchor='end' transform='matrix(0 -1 1 0 18 5)'%3eSnakes%3c/text%3e%3c/svg%3e</v>
      </c>
      <c r="H1440" s="8" t="s">
        <v>84</v>
      </c>
      <c r="I1440" s="8">
        <f t="shared" ref="I1440:J1440" si="1441">len(B1440)</f>
        <v>6</v>
      </c>
      <c r="J1440" s="8">
        <f t="shared" si="1441"/>
        <v>85</v>
      </c>
      <c r="K1440" s="8" t="s">
        <v>5982</v>
      </c>
    </row>
    <row r="1441">
      <c r="A1441" s="7" t="b">
        <v>1</v>
      </c>
      <c r="B1441" s="8" t="s">
        <v>5983</v>
      </c>
      <c r="C1441" s="8" t="s">
        <v>5984</v>
      </c>
      <c r="D1441" s="8" t="str">
        <f>Q&amp;$K1441&amp;Q&amp;":{"&amp;Q&amp;$B$2&amp;Q&amp;":"&amp;Q&amp;$B1441&amp;Q&amp;","&amp;Q&amp;$C$2&amp;Q&amp;":"&amp;Q&amp;$C1441&amp;Q&amp;","&amp;Q&amp;"sets"&amp;Q&amp;":"&amp;Q&amp;substitute(SUBSTITUTE($H1441,"[",""),"]","")&amp;Q&amp;"},"</f>
        <v>"zwrt":{"label":"Sneezing","extra":"Ah-ah-ah-choo!","sets":"Junior 9+ (1st) &amp; (2nd)"},</v>
      </c>
      <c r="E1441" s="9" t="str">
        <f t="shared" si="2"/>
        <v>data:image/svg+xml,%3csvg xmlns='http://www.w3.org/2000/svg' viewBox='0 0 24 216'%3e%3ctext fill='%23fff' style='font: 900 16px sans-serif' text-anchor='end' transform='matrix(0 -1 1 0 18 5)'%3eSneezing%3c/text%3e%3c/svg%3e</v>
      </c>
      <c r="F1441" s="14" t="str">
        <f t="shared" si="3"/>
        <v>https://svgtext.heliohost.us/cgi-bin/gen.perl?text=Sneezing</v>
      </c>
      <c r="G1441" s="11" t="str">
        <f t="shared" si="4"/>
        <v>data:image/svg+xml,%3csvg xmlns='http://www.w3.org/2000/svg' viewBox='0 0 24 216'%3e%3ctext fill='%23fff' style='font: 900 16px sans-serif' text-anchor='end' transform='matrix(0 -1 1 0 18 5)'%3eSneezing%3c/text%3e%3c/svg%3e</v>
      </c>
      <c r="H1441" s="8" t="s">
        <v>42</v>
      </c>
      <c r="I1441" s="8">
        <f t="shared" ref="I1441:J1441" si="1442">len(B1441)</f>
        <v>8</v>
      </c>
      <c r="J1441" s="8">
        <f t="shared" si="1442"/>
        <v>14</v>
      </c>
      <c r="K1441" s="8" t="s">
        <v>5985</v>
      </c>
    </row>
    <row r="1442">
      <c r="A1442" s="7" t="b">
        <v>1</v>
      </c>
      <c r="B1442" s="8" t="s">
        <v>5986</v>
      </c>
      <c r="C1442" s="8" t="s">
        <v>5987</v>
      </c>
      <c r="D1442" s="8" t="str">
        <f>Q&amp;$K1442&amp;Q&amp;":{"&amp;Q&amp;$B$2&amp;Q&amp;":"&amp;Q&amp;$B1442&amp;Q&amp;","&amp;Q&amp;$C$2&amp;Q&amp;":"&amp;Q&amp;$C1442&amp;Q&amp;","&amp;Q&amp;"sets"&amp;Q&amp;":"&amp;Q&amp;substitute(SUBSTITUTE($H1442,"[",""),"]","")&amp;Q&amp;"},"</f>
        <v>"htnz":{"label":"Snips &amp; Snails","extra":"And puppy dog tails.","sets":"Expansion Set 4, Party Expansion 1"},</v>
      </c>
      <c r="E1442" s="9" t="str">
        <f t="shared" si="2"/>
        <v>data:image/svg+xml,%3csvg xmlns='http://www.w3.org/2000/svg' viewBox='0 0 24 216'%3e%3ctext fill='%23fff' style='font: 900 16px sans-serif' text-anchor='end' transform='matrix(0 -1 1 0 18 5)'%3eSnips %26amp%3B Snails%3c/text%3e%3c/svg%3e</v>
      </c>
      <c r="F1442" s="14" t="str">
        <f t="shared" si="3"/>
        <v>https://svgtext.heliohost.us/cgi-bin/gen.perl?text=Snips%20%26%20Snails</v>
      </c>
      <c r="G1442" s="11" t="str">
        <f t="shared" si="4"/>
        <v>data:image/svg+xml,%3csvg xmlns='http://www.w3.org/2000/svg' viewBox='0 0 24 216'%3e%3ctext fill='%23fff' style='font: 900 16px sans-serif' text-anchor='end' transform='matrix(0 -1 1 0 18 5)'%3eSnips %26amp%3B Snails%3c/text%3e%3c/svg%3e</v>
      </c>
      <c r="H1442" s="8" t="s">
        <v>63</v>
      </c>
      <c r="I1442" s="8">
        <f t="shared" ref="I1442:J1442" si="1443">len(B1442)</f>
        <v>14</v>
      </c>
      <c r="J1442" s="8">
        <f t="shared" si="1443"/>
        <v>20</v>
      </c>
      <c r="K1442" s="8" t="s">
        <v>5988</v>
      </c>
    </row>
    <row r="1443">
      <c r="A1443" s="7" t="b">
        <v>1</v>
      </c>
      <c r="B1443" s="8" t="s">
        <v>5989</v>
      </c>
      <c r="C1443" s="7" t="s">
        <v>5990</v>
      </c>
      <c r="D1443" s="8" t="str">
        <f>Q&amp;$K1443&amp;Q&amp;":{"&amp;Q&amp;$B$2&amp;Q&amp;":"&amp;Q&amp;$B1443&amp;Q&amp;","&amp;Q&amp;$C$2&amp;Q&amp;":"&amp;Q&amp;$C1443&amp;Q&amp;","&amp;Q&amp;"sets"&amp;Q&amp;":"&amp;Q&amp;substitute(SUBSTITUTE($H1443,"[",""),"]","")&amp;Q&amp;"},"</f>
        <v>"mwej":{"label":"Snoopy","extra":"The little, white beagle from the “Peanuts” cartoon.","sets":"Junior"},</v>
      </c>
      <c r="E1443" s="9" t="str">
        <f t="shared" si="2"/>
        <v>data:image/svg+xml,%3csvg xmlns='http://www.w3.org/2000/svg' viewBox='0 0 24 216'%3e%3ctext fill='%23fff' style='font: 900 16px sans-serif' text-anchor='end' transform='matrix(0 -1 1 0 18 5)'%3eSnoopy%3c/text%3e%3c/svg%3e</v>
      </c>
      <c r="F1443" s="14" t="str">
        <f t="shared" si="3"/>
        <v>https://svgtext.heliohost.us/cgi-bin/gen.perl?text=Snoopy</v>
      </c>
      <c r="G1443" s="11" t="str">
        <f t="shared" si="4"/>
        <v>data:image/svg+xml,%3csvg xmlns='http://www.w3.org/2000/svg' viewBox='0 0 24 216'%3e%3ctext fill='%23fff' style='font: 900 16px sans-serif' text-anchor='end' transform='matrix(0 -1 1 0 18 5)'%3eSnoopy%3c/text%3e%3c/svg%3e</v>
      </c>
      <c r="H1443" s="8" t="s">
        <v>84</v>
      </c>
      <c r="I1443" s="8">
        <f t="shared" ref="I1443:J1443" si="1444">len(B1443)</f>
        <v>6</v>
      </c>
      <c r="J1443" s="8">
        <f t="shared" si="1444"/>
        <v>52</v>
      </c>
      <c r="K1443" s="8" t="s">
        <v>5991</v>
      </c>
    </row>
    <row r="1444">
      <c r="A1444" s="7" t="b">
        <v>1</v>
      </c>
      <c r="B1444" s="8" t="s">
        <v>5992</v>
      </c>
      <c r="C1444" s="8" t="s">
        <v>5993</v>
      </c>
      <c r="D1444" s="8" t="str">
        <f>Q&amp;$K1444&amp;Q&amp;":{"&amp;Q&amp;$B$2&amp;Q&amp;":"&amp;Q&amp;$B1444&amp;Q&amp;","&amp;Q&amp;$C$2&amp;Q&amp;":"&amp;Q&amp;$C1444&amp;Q&amp;","&amp;Q&amp;"sets"&amp;Q&amp;":"&amp;Q&amp;substitute(SUBSTITUTE($H1444,"[",""),"]","")&amp;Q&amp;"},"</f>
        <v>"gzkx":{"label":"Snoopy &amp; The Red Barron","extra":"Characters in the Peanuts comic strip. Talk about a dog fight!","sets":"Expansion Set 4, Party Expansion 1"},</v>
      </c>
      <c r="E1444" s="9" t="str">
        <f t="shared" si="2"/>
        <v>data:image/svg+xml,%3csvg xmlns='http://www.w3.org/2000/svg' viewBox='0 0 24 216'%3e%3ctext fill='%23fff' style='font: 900 16px sans-serif' text-anchor='end' transform='matrix(0 -1 1 0 18 5)'%3eSnoopy %26amp%3B The Red Barron%3c/text%3e%3c/svg%3e</v>
      </c>
      <c r="F1444" s="14" t="str">
        <f t="shared" si="3"/>
        <v>https://svgtext.heliohost.us/cgi-bin/gen.perl?text=Snoopy%20%26%20The%20Red%20Barron</v>
      </c>
      <c r="G1444" s="11" t="str">
        <f t="shared" si="4"/>
        <v>data:image/svg+xml,%3csvg xmlns='http://www.w3.org/2000/svg' viewBox='0 0 24 216'%3e%3ctext fill='%23fff' style='font: 900 16px sans-serif' text-anchor='end' transform='matrix(0 -1 1 0 18 5)'%3eSnoopy %26amp%3B The Red Barron%3c/text%3e%3c/svg%3e</v>
      </c>
      <c r="H1444" s="8" t="s">
        <v>63</v>
      </c>
      <c r="I1444" s="8">
        <f t="shared" ref="I1444:J1444" si="1445">len(B1444)</f>
        <v>23</v>
      </c>
      <c r="J1444" s="8">
        <f t="shared" si="1445"/>
        <v>62</v>
      </c>
      <c r="K1444" s="8" t="s">
        <v>5994</v>
      </c>
    </row>
    <row r="1445">
      <c r="A1445" s="7" t="b">
        <v>0</v>
      </c>
      <c r="B1445" s="8" t="s">
        <v>5995</v>
      </c>
      <c r="C1445" s="8" t="s">
        <v>5996</v>
      </c>
      <c r="D1445" s="8" t="str">
        <f>Q&amp;$K1445&amp;Q&amp;":{"&amp;Q&amp;$B$2&amp;Q&amp;":"&amp;Q&amp;$B1445&amp;Q&amp;","&amp;Q&amp;$C$2&amp;Q&amp;":"&amp;Q&amp;$C1445&amp;Q&amp;","&amp;Q&amp;"sets"&amp;Q&amp;":"&amp;Q&amp;substitute(SUBSTITUTE($H1445,"[",""),"]","")&amp;Q&amp;"},"</f>
        <v>"ditz":{"label":"Snow","extra":"Transparent ice crystals which form around dust and other small particles. Get my drift?","sets":"Basic Set, Party Set"},</v>
      </c>
      <c r="E1445" s="9" t="str">
        <f t="shared" si="2"/>
        <v>data:image/svg+xml,%3csvg xmlns='http://www.w3.org/2000/svg' viewBox='0 0 24 216'%3e%3ctext fill='%23fff' style='font: 900 16px sans-serif' text-anchor='end' transform='matrix(0 -1 1 0 18 5)'%3eSnow%3c/text%3e%3c/svg%3e</v>
      </c>
      <c r="F1445" s="14" t="str">
        <f t="shared" si="3"/>
        <v>https://svgtext.heliohost.us/cgi-bin/gen.perl?text=Snow</v>
      </c>
      <c r="G1445" s="11" t="str">
        <f t="shared" si="4"/>
        <v>data:image/svg+xml,%3csvg xmlns='http://www.w3.org/2000/svg' viewBox='0 0 24 216'%3e%3ctext fill='%23fff' style='font: 900 16px sans-serif' text-anchor='end' transform='matrix(0 -1 1 0 18 5)'%3eSnow%3c/text%3e%3c/svg%3e</v>
      </c>
      <c r="H1445" s="8" t="s">
        <v>29</v>
      </c>
      <c r="I1445" s="8">
        <f t="shared" ref="I1445:J1445" si="1446">len(B1445)</f>
        <v>4</v>
      </c>
      <c r="J1445" s="8">
        <f t="shared" si="1446"/>
        <v>88</v>
      </c>
      <c r="K1445" s="8" t="s">
        <v>5997</v>
      </c>
    </row>
    <row r="1446">
      <c r="A1446" s="7" t="b">
        <v>1</v>
      </c>
      <c r="B1446" s="8" t="s">
        <v>5998</v>
      </c>
      <c r="C1446" s="7" t="s">
        <v>5999</v>
      </c>
      <c r="D1446" s="8" t="str">
        <f>Q&amp;$K1446&amp;Q&amp;":{"&amp;Q&amp;$B$2&amp;Q&amp;":"&amp;Q&amp;$B1446&amp;Q&amp;","&amp;Q&amp;$C$2&amp;Q&amp;":"&amp;Q&amp;$C1446&amp;Q&amp;","&amp;Q&amp;"sets"&amp;Q&amp;":"&amp;Q&amp;substitute(SUBSTITUTE($H1446,"[",""),"]","")&amp;Q&amp;"},"</f>
        <v>"ckol":{"label":"Snow Cones","extra":"You don’t have to wait for snow.","sets":"Junior 9+ (1st) &amp; (2nd)"},</v>
      </c>
      <c r="E1446" s="9" t="str">
        <f t="shared" si="2"/>
        <v>data:image/svg+xml,%3csvg xmlns='http://www.w3.org/2000/svg' viewBox='0 0 24 216'%3e%3ctext fill='%23fff' style='font: 900 16px sans-serif' text-anchor='end' transform='matrix(0 -1 1 0 18 5)'%3eSnow Cones%3c/text%3e%3c/svg%3e</v>
      </c>
      <c r="F1446" s="14" t="str">
        <f t="shared" si="3"/>
        <v>https://svgtext.heliohost.us/cgi-bin/gen.perl?text=Snow%20Cones</v>
      </c>
      <c r="G1446" s="11" t="str">
        <f t="shared" si="4"/>
        <v>data:image/svg+xml,%3csvg xmlns='http://www.w3.org/2000/svg' viewBox='0 0 24 216'%3e%3ctext fill='%23fff' style='font: 900 16px sans-serif' text-anchor='end' transform='matrix(0 -1 1 0 18 5)'%3eSnow Cones%3c/text%3e%3c/svg%3e</v>
      </c>
      <c r="H1446" s="8" t="s">
        <v>42</v>
      </c>
      <c r="I1446" s="8">
        <f t="shared" ref="I1446:J1446" si="1447">len(B1446)</f>
        <v>10</v>
      </c>
      <c r="J1446" s="8">
        <f t="shared" si="1447"/>
        <v>32</v>
      </c>
      <c r="K1446" s="8" t="s">
        <v>6000</v>
      </c>
    </row>
    <row r="1447">
      <c r="A1447" s="7" t="b">
        <v>1</v>
      </c>
      <c r="B1447" s="8" t="s">
        <v>6001</v>
      </c>
      <c r="C1447" s="7" t="s">
        <v>6002</v>
      </c>
      <c r="D1447" s="8" t="str">
        <f>Q&amp;$K1447&amp;Q&amp;":{"&amp;Q&amp;$B$2&amp;Q&amp;":"&amp;Q&amp;$B1447&amp;Q&amp;","&amp;Q&amp;$C$2&amp;Q&amp;":"&amp;Q&amp;$C1447&amp;Q&amp;","&amp;Q&amp;"sets"&amp;Q&amp;":"&amp;Q&amp;substitute(SUBSTITUTE($H1447,"[",""),"]","")&amp;Q&amp;"},"</f>
        <v>"bcrr":{"label":"Snow White","extra":"“Mirror, mirror, on the wall, who is the fairest of them all?”","sets":"Junior"},</v>
      </c>
      <c r="E1447" s="9" t="str">
        <f t="shared" si="2"/>
        <v>data:image/svg+xml,%3csvg xmlns='http://www.w3.org/2000/svg' viewBox='0 0 24 216'%3e%3ctext fill='%23fff' style='font: 900 16px sans-serif' text-anchor='end' transform='matrix(0 -1 1 0 18 5)'%3eSnow White%3c/text%3e%3c/svg%3e</v>
      </c>
      <c r="F1447" s="14" t="str">
        <f t="shared" si="3"/>
        <v>https://svgtext.heliohost.us/cgi-bin/gen.perl?text=Snow%20White</v>
      </c>
      <c r="G1447" s="11" t="str">
        <f t="shared" si="4"/>
        <v>data:image/svg+xml,%3csvg xmlns='http://www.w3.org/2000/svg' viewBox='0 0 24 216'%3e%3ctext fill='%23fff' style='font: 900 16px sans-serif' text-anchor='end' transform='matrix(0 -1 1 0 18 5)'%3eSnow White%3c/text%3e%3c/svg%3e</v>
      </c>
      <c r="H1447" s="8" t="s">
        <v>84</v>
      </c>
      <c r="I1447" s="8">
        <f t="shared" ref="I1447:J1447" si="1448">len(B1447)</f>
        <v>10</v>
      </c>
      <c r="J1447" s="8">
        <f t="shared" si="1448"/>
        <v>62</v>
      </c>
      <c r="K1447" s="8" t="s">
        <v>6003</v>
      </c>
    </row>
    <row r="1448">
      <c r="A1448" s="7" t="b">
        <v>1</v>
      </c>
      <c r="B1448" s="8" t="s">
        <v>6004</v>
      </c>
      <c r="C1448" s="8" t="s">
        <v>6005</v>
      </c>
      <c r="D1448" s="8" t="str">
        <f>Q&amp;$K1448&amp;Q&amp;":{"&amp;Q&amp;$B$2&amp;Q&amp;":"&amp;Q&amp;$B1448&amp;Q&amp;","&amp;Q&amp;$C$2&amp;Q&amp;":"&amp;Q&amp;$C1448&amp;Q&amp;","&amp;Q&amp;"sets"&amp;Q&amp;":"&amp;Q&amp;substitute(SUBSTITUTE($H1448,"[",""),"]","")&amp;Q&amp;"},"</f>
        <v>"irbf":{"label":"Snowballs","extra":"Just right for throwing!","sets":"Junior"},</v>
      </c>
      <c r="E1448" s="9" t="str">
        <f t="shared" si="2"/>
        <v>data:image/svg+xml,%3csvg xmlns='http://www.w3.org/2000/svg' viewBox='0 0 24 216'%3e%3ctext fill='%23fff' style='font: 900 16px sans-serif' text-anchor='end' transform='matrix(0 -1 1 0 18 5)'%3eSnowballs%3c/text%3e%3c/svg%3e</v>
      </c>
      <c r="F1448" s="14" t="str">
        <f t="shared" si="3"/>
        <v>https://svgtext.heliohost.us/cgi-bin/gen.perl?text=Snowballs</v>
      </c>
      <c r="G1448" s="11" t="str">
        <f t="shared" si="4"/>
        <v>data:image/svg+xml,%3csvg xmlns='http://www.w3.org/2000/svg' viewBox='0 0 24 216'%3e%3ctext fill='%23fff' style='font: 900 16px sans-serif' text-anchor='end' transform='matrix(0 -1 1 0 18 5)'%3eSnowballs%3c/text%3e%3c/svg%3e</v>
      </c>
      <c r="H1448" s="8" t="s">
        <v>84</v>
      </c>
      <c r="I1448" s="8">
        <f t="shared" ref="I1448:J1448" si="1449">len(B1448)</f>
        <v>9</v>
      </c>
      <c r="J1448" s="8">
        <f t="shared" si="1449"/>
        <v>24</v>
      </c>
      <c r="K1448" s="8" t="s">
        <v>6006</v>
      </c>
    </row>
    <row r="1449">
      <c r="A1449" s="7" t="b">
        <v>1</v>
      </c>
      <c r="B1449" s="8" t="s">
        <v>6007</v>
      </c>
      <c r="C1449" s="8" t="s">
        <v>6008</v>
      </c>
      <c r="D1449" s="8" t="str">
        <f>Q&amp;$K1449&amp;Q&amp;":{"&amp;Q&amp;$B$2&amp;Q&amp;":"&amp;Q&amp;$B1449&amp;Q&amp;","&amp;Q&amp;$C$2&amp;Q&amp;":"&amp;Q&amp;$C1449&amp;Q&amp;","&amp;Q&amp;"sets"&amp;Q&amp;":"&amp;Q&amp;substitute(SUBSTITUTE($H1449,"[",""),"]","")&amp;Q&amp;"},"</f>
        <v>"oyjl":{"label":"Snowboarding","extra":"Snowboarding was declared an official Olympic sport in 1994.","sets":"Junior 9+ (2nd)"},</v>
      </c>
      <c r="E1449" s="9" t="str">
        <f t="shared" si="2"/>
        <v>data:image/svg+xml,%3csvg xmlns='http://www.w3.org/2000/svg' viewBox='0 0 24 216'%3e%3ctext fill='%23fff' style='font: 900 16px sans-serif' text-anchor='end' transform='matrix(0 -1 1 0 18 5)'%3eSnowboarding%3c/text%3e%3c/svg%3e</v>
      </c>
      <c r="F1449" s="14" t="str">
        <f t="shared" si="3"/>
        <v>https://svgtext.heliohost.us/cgi-bin/gen.perl?text=Snowboarding</v>
      </c>
      <c r="G1449" s="11" t="str">
        <f t="shared" si="4"/>
        <v>data:image/svg+xml,%3csvg xmlns='http://www.w3.org/2000/svg' viewBox='0 0 24 216'%3e%3ctext fill='%23fff' style='font: 900 16px sans-serif' text-anchor='end' transform='matrix(0 -1 1 0 18 5)'%3eSnowboarding%3c/text%3e%3c/svg%3e</v>
      </c>
      <c r="H1449" s="8" t="s">
        <v>32</v>
      </c>
      <c r="I1449" s="8">
        <f t="shared" ref="I1449:J1449" si="1450">len(B1449)</f>
        <v>12</v>
      </c>
      <c r="J1449" s="8">
        <f t="shared" si="1450"/>
        <v>60</v>
      </c>
      <c r="K1449" s="8" t="s">
        <v>6009</v>
      </c>
    </row>
    <row r="1450">
      <c r="A1450" s="7" t="b">
        <v>1</v>
      </c>
      <c r="B1450" s="8" t="s">
        <v>6010</v>
      </c>
      <c r="C1450" s="8" t="s">
        <v>6011</v>
      </c>
      <c r="D1450" s="8" t="str">
        <f>Q&amp;$K1450&amp;Q&amp;":{"&amp;Q&amp;$B$2&amp;Q&amp;":"&amp;Q&amp;$B1450&amp;Q&amp;","&amp;Q&amp;$C$2&amp;Q&amp;":"&amp;Q&amp;$C1450&amp;Q&amp;","&amp;Q&amp;"sets"&amp;Q&amp;":"&amp;Q&amp;substitute(SUBSTITUTE($H1450,"[",""),"]","")&amp;Q&amp;"},"</f>
        <v>"kmch":{"label":"Snowflakes","extra":"They say each one is different, but who would know?","sets":"Junior 9+ (2nd)"},</v>
      </c>
      <c r="E1450" s="9" t="str">
        <f t="shared" si="2"/>
        <v>data:image/svg+xml,%3csvg xmlns='http://www.w3.org/2000/svg' viewBox='0 0 24 216'%3e%3ctext fill='%23fff' style='font: 900 16px sans-serif' text-anchor='end' transform='matrix(0 -1 1 0 18 5)'%3eSnowflakes%3c/text%3e%3c/svg%3e</v>
      </c>
      <c r="F1450" s="14" t="str">
        <f t="shared" si="3"/>
        <v>https://svgtext.heliohost.us/cgi-bin/gen.perl?text=Snowflakes</v>
      </c>
      <c r="G1450" s="11" t="str">
        <f t="shared" si="4"/>
        <v>data:image/svg+xml,%3csvg xmlns='http://www.w3.org/2000/svg' viewBox='0 0 24 216'%3e%3ctext fill='%23fff' style='font: 900 16px sans-serif' text-anchor='end' transform='matrix(0 -1 1 0 18 5)'%3eSnowflakes%3c/text%3e%3c/svg%3e</v>
      </c>
      <c r="H1450" s="8" t="s">
        <v>32</v>
      </c>
      <c r="I1450" s="8">
        <f t="shared" ref="I1450:J1450" si="1451">len(B1450)</f>
        <v>10</v>
      </c>
      <c r="J1450" s="8">
        <f t="shared" si="1451"/>
        <v>51</v>
      </c>
      <c r="K1450" s="8" t="s">
        <v>6012</v>
      </c>
    </row>
    <row r="1451">
      <c r="A1451" s="7" t="b">
        <v>1</v>
      </c>
      <c r="B1451" s="8" t="s">
        <v>6013</v>
      </c>
      <c r="C1451" s="8" t="s">
        <v>6014</v>
      </c>
      <c r="D1451" s="8" t="str">
        <f>Q&amp;$K1451&amp;Q&amp;":{"&amp;Q&amp;$B$2&amp;Q&amp;":"&amp;Q&amp;$B1451&amp;Q&amp;","&amp;Q&amp;$C$2&amp;Q&amp;":"&amp;Q&amp;$C1451&amp;Q&amp;","&amp;Q&amp;"sets"&amp;Q&amp;":"&amp;Q&amp;substitute(SUBSTITUTE($H1451,"[",""),"]","")&amp;Q&amp;"},"</f>
        <v>"jtix":{"label":"Snowstorm","extra":"Lots of snow blowing around. Maybe school will be closed!","sets":"Junior"},</v>
      </c>
      <c r="E1451" s="9" t="str">
        <f t="shared" si="2"/>
        <v>data:image/svg+xml,%3csvg xmlns='http://www.w3.org/2000/svg' viewBox='0 0 24 216'%3e%3ctext fill='%23fff' style='font: 900 16px sans-serif' text-anchor='end' transform='matrix(0 -1 1 0 18 5)'%3eSnowstorm%3c/text%3e%3c/svg%3e</v>
      </c>
      <c r="F1451" s="14" t="str">
        <f t="shared" si="3"/>
        <v>https://svgtext.heliohost.us/cgi-bin/gen.perl?text=Snowstorm</v>
      </c>
      <c r="G1451" s="11" t="str">
        <f t="shared" si="4"/>
        <v>data:image/svg+xml,%3csvg xmlns='http://www.w3.org/2000/svg' viewBox='0 0 24 216'%3e%3ctext fill='%23fff' style='font: 900 16px sans-serif' text-anchor='end' transform='matrix(0 -1 1 0 18 5)'%3eSnowstorm%3c/text%3e%3c/svg%3e</v>
      </c>
      <c r="H1451" s="8" t="s">
        <v>84</v>
      </c>
      <c r="I1451" s="8">
        <f t="shared" ref="I1451:J1451" si="1452">len(B1451)</f>
        <v>9</v>
      </c>
      <c r="J1451" s="8">
        <f t="shared" si="1452"/>
        <v>57</v>
      </c>
      <c r="K1451" s="8" t="s">
        <v>6015</v>
      </c>
    </row>
    <row r="1452">
      <c r="A1452" s="7" t="b">
        <v>1</v>
      </c>
      <c r="B1452" s="8" t="s">
        <v>6016</v>
      </c>
      <c r="C1452" s="8" t="s">
        <v>6017</v>
      </c>
      <c r="D1452" s="8" t="str">
        <f>Q&amp;$K1452&amp;Q&amp;":{"&amp;Q&amp;$B$2&amp;Q&amp;":"&amp;Q&amp;$B1452&amp;Q&amp;","&amp;Q&amp;$C$2&amp;Q&amp;":"&amp;Q&amp;$C1452&amp;Q&amp;","&amp;Q&amp;"sets"&amp;Q&amp;":"&amp;Q&amp;substitute(SUBSTITUTE($H1452,"[",""),"]","")&amp;Q&amp;"},"</f>
        <v>"jyyq":{"label":"Soccer","extra":"A favorite team sport for kids. KICK IT!","sets":"Junior"},</v>
      </c>
      <c r="E1452" s="9" t="str">
        <f t="shared" si="2"/>
        <v>data:image/svg+xml,%3csvg xmlns='http://www.w3.org/2000/svg' viewBox='0 0 24 216'%3e%3ctext fill='%23fff' style='font: 900 16px sans-serif' text-anchor='end' transform='matrix(0 -1 1 0 18 5)'%3eSoccer%3c/text%3e%3c/svg%3e</v>
      </c>
      <c r="F1452" s="14" t="str">
        <f t="shared" si="3"/>
        <v>https://svgtext.heliohost.us/cgi-bin/gen.perl?text=Soccer</v>
      </c>
      <c r="G1452" s="11" t="str">
        <f t="shared" si="4"/>
        <v>data:image/svg+xml,%3csvg xmlns='http://www.w3.org/2000/svg' viewBox='0 0 24 216'%3e%3ctext fill='%23fff' style='font: 900 16px sans-serif' text-anchor='end' transform='matrix(0 -1 1 0 18 5)'%3eSoccer%3c/text%3e%3c/svg%3e</v>
      </c>
      <c r="H1452" s="8" t="s">
        <v>84</v>
      </c>
      <c r="I1452" s="8">
        <f t="shared" ref="I1452:J1452" si="1453">len(B1452)</f>
        <v>6</v>
      </c>
      <c r="J1452" s="8">
        <f t="shared" si="1453"/>
        <v>40</v>
      </c>
      <c r="K1452" s="8" t="s">
        <v>6018</v>
      </c>
    </row>
    <row r="1453">
      <c r="A1453" s="7" t="b">
        <v>0</v>
      </c>
      <c r="B1453" s="8" t="s">
        <v>6019</v>
      </c>
      <c r="C1453" s="8" t="s">
        <v>6020</v>
      </c>
      <c r="D1453" s="8" t="str">
        <f>Q&amp;$K1453&amp;Q&amp;":{"&amp;Q&amp;$B$2&amp;Q&amp;":"&amp;Q&amp;$B1453&amp;Q&amp;","&amp;Q&amp;$C$2&amp;Q&amp;":"&amp;Q&amp;$C1453&amp;Q&amp;","&amp;Q&amp;"sets"&amp;Q&amp;":"&amp;Q&amp;substitute(SUBSTITUTE($H1453,"[",""),"]","")&amp;Q&amp;"},"</f>
        <v>"vzgi":{"label":"Social Security","extra":"American program designed to provide income and services in the event of retirement, sickness, disability, death or unemployment.","sets":"Expansion Set 2, Party Set"},</v>
      </c>
      <c r="E1453" s="9" t="str">
        <f t="shared" si="2"/>
        <v>data:image/svg+xml,%3csvg xmlns='http://www.w3.org/2000/svg' viewBox='0 0 24 216'%3e%3ctext fill='%23fff' style='font: 900 16px sans-serif' text-anchor='end' transform='matrix(0 -1 1 0 18 5)'%3eSocial Security%3c/text%3e%3c/svg%3e</v>
      </c>
      <c r="F1453" s="14" t="str">
        <f t="shared" si="3"/>
        <v>https://svgtext.heliohost.us/cgi-bin/gen.perl?text=Social%20Security</v>
      </c>
      <c r="G1453" s="11" t="str">
        <f t="shared" si="4"/>
        <v>data:image/svg+xml,%3csvg xmlns='http://www.w3.org/2000/svg' viewBox='0 0 24 216'%3e%3ctext fill='%23fff' style='font: 900 16px sans-serif' text-anchor='end' transform='matrix(0 -1 1 0 18 5)'%3eSocial Security%3c/text%3e%3c/svg%3e</v>
      </c>
      <c r="H1453" s="8" t="s">
        <v>17</v>
      </c>
      <c r="I1453" s="8">
        <f t="shared" ref="I1453:J1453" si="1454">len(B1453)</f>
        <v>15</v>
      </c>
      <c r="J1453" s="8">
        <f t="shared" si="1454"/>
        <v>129</v>
      </c>
      <c r="K1453" s="8" t="s">
        <v>6021</v>
      </c>
    </row>
    <row r="1454">
      <c r="A1454" s="7" t="b">
        <v>0</v>
      </c>
      <c r="B1454" s="8" t="s">
        <v>6022</v>
      </c>
      <c r="C1454" s="7" t="s">
        <v>6023</v>
      </c>
      <c r="D1454" s="8" t="str">
        <f>Q&amp;$K1454&amp;Q&amp;":{"&amp;Q&amp;$B$2&amp;Q&amp;":"&amp;Q&amp;$B1454&amp;Q&amp;","&amp;Q&amp;$C$2&amp;Q&amp;":"&amp;Q&amp;$C1454&amp;Q&amp;","&amp;Q&amp;"sets"&amp;Q&amp;":"&amp;Q&amp;substitute(SUBSTITUTE($H1454,"[",""),"]","")&amp;Q&amp;"},"</f>
        <v>"tuea":{"label":"Socks","extra":"“Black socks, they never get dirty, the longer you wear them the stronger they get.” —Bill Harley","sets":"Basic Set, Party Set"},</v>
      </c>
      <c r="E1454" s="9" t="str">
        <f t="shared" si="2"/>
        <v>data:image/svg+xml,%3csvg xmlns='http://www.w3.org/2000/svg' viewBox='0 0 24 216'%3e%3ctext fill='%23fff' style='font: 900 16px sans-serif' text-anchor='end' transform='matrix(0 -1 1 0 18 5)'%3eSocks%3c/text%3e%3c/svg%3e</v>
      </c>
      <c r="F1454" s="14" t="str">
        <f t="shared" si="3"/>
        <v>https://svgtext.heliohost.us/cgi-bin/gen.perl?text=Socks</v>
      </c>
      <c r="G1454" s="11" t="str">
        <f t="shared" si="4"/>
        <v>data:image/svg+xml,%3csvg xmlns='http://www.w3.org/2000/svg' viewBox='0 0 24 216'%3e%3ctext fill='%23fff' style='font: 900 16px sans-serif' text-anchor='end' transform='matrix(0 -1 1 0 18 5)'%3eSocks%3c/text%3e%3c/svg%3e</v>
      </c>
      <c r="H1454" s="8" t="s">
        <v>29</v>
      </c>
      <c r="I1454" s="8">
        <f t="shared" ref="I1454:J1454" si="1455">len(B1454)</f>
        <v>5</v>
      </c>
      <c r="J1454" s="8">
        <f t="shared" si="1455"/>
        <v>97</v>
      </c>
      <c r="K1454" s="8" t="s">
        <v>6024</v>
      </c>
    </row>
    <row r="1455">
      <c r="A1455" s="7" t="b">
        <v>1</v>
      </c>
      <c r="B1455" s="8" t="s">
        <v>6025</v>
      </c>
      <c r="C1455" s="8" t="s">
        <v>6026</v>
      </c>
      <c r="D1455" s="8" t="str">
        <f>Q&amp;$K1455&amp;Q&amp;":{"&amp;Q&amp;$B$2&amp;Q&amp;":"&amp;Q&amp;$B1455&amp;Q&amp;","&amp;Q&amp;$C$2&amp;Q&amp;":"&amp;Q&amp;$C1455&amp;Q&amp;","&amp;Q&amp;"sets"&amp;Q&amp;":"&amp;Q&amp;substitute(SUBSTITUTE($H1455,"[",""),"]","")&amp;Q&amp;"},"</f>
        <v>"fzjk":{"label":"Soldiers","extra":"Men and women who serve in the military.","sets":"Junior 9+ (1st) &amp; (2nd)"},</v>
      </c>
      <c r="E1455" s="9" t="str">
        <f t="shared" si="2"/>
        <v>data:image/svg+xml,%3csvg xmlns='http://www.w3.org/2000/svg' viewBox='0 0 24 216'%3e%3ctext fill='%23fff' style='font: 900 16px sans-serif' text-anchor='end' transform='matrix(0 -1 1 0 18 5)'%3eSoldiers%3c/text%3e%3c/svg%3e</v>
      </c>
      <c r="F1455" s="14" t="str">
        <f t="shared" si="3"/>
        <v>https://svgtext.heliohost.us/cgi-bin/gen.perl?text=Soldiers</v>
      </c>
      <c r="G1455" s="11" t="str">
        <f t="shared" si="4"/>
        <v>data:image/svg+xml,%3csvg xmlns='http://www.w3.org/2000/svg' viewBox='0 0 24 216'%3e%3ctext fill='%23fff' style='font: 900 16px sans-serif' text-anchor='end' transform='matrix(0 -1 1 0 18 5)'%3eSoldiers%3c/text%3e%3c/svg%3e</v>
      </c>
      <c r="H1455" s="8" t="s">
        <v>42</v>
      </c>
      <c r="I1455" s="8">
        <f t="shared" ref="I1455:J1455" si="1456">len(B1455)</f>
        <v>8</v>
      </c>
      <c r="J1455" s="8">
        <f t="shared" si="1456"/>
        <v>40</v>
      </c>
      <c r="K1455" s="8" t="s">
        <v>6027</v>
      </c>
    </row>
    <row r="1456">
      <c r="A1456" s="7" t="b">
        <v>0</v>
      </c>
      <c r="B1456" s="8" t="s">
        <v>6028</v>
      </c>
      <c r="C1456" s="7" t="s">
        <v>6029</v>
      </c>
      <c r="D1456" s="8" t="str">
        <f>Q&amp;$K1456&amp;Q&amp;":{"&amp;Q&amp;$B$2&amp;Q&amp;":"&amp;Q&amp;$B1456&amp;Q&amp;","&amp;Q&amp;$C$2&amp;Q&amp;":"&amp;Q&amp;$C1456&amp;Q&amp;","&amp;Q&amp;"sets"&amp;Q&amp;":"&amp;Q&amp;substitute(SUBSTITUTE($H1456,"[",""),"]","")&amp;Q&amp;"},"</f>
        <v>"nikq":{"label":"South Africa","extra":"Two oceans, rugged mountains, traditional villages, game sanctuaries, wineries… forget the past and bring on the tourists.","sets":"Basic Set, Party Set"},</v>
      </c>
      <c r="E1456" s="9" t="str">
        <f t="shared" si="2"/>
        <v>data:image/svg+xml,%3csvg xmlns='http://www.w3.org/2000/svg' viewBox='0 0 24 216'%3e%3ctext fill='%23fff' style='font: 900 16px sans-serif' text-anchor='end' transform='matrix(0 -1 1 0 18 5)'%3eSouth Africa%3c/text%3e%3c/svg%3e</v>
      </c>
      <c r="F1456" s="14" t="str">
        <f t="shared" si="3"/>
        <v>https://svgtext.heliohost.us/cgi-bin/gen.perl?text=South%20Africa</v>
      </c>
      <c r="G1456" s="11" t="str">
        <f t="shared" si="4"/>
        <v>data:image/svg+xml,%3csvg xmlns='http://www.w3.org/2000/svg' viewBox='0 0 24 216'%3e%3ctext fill='%23fff' style='font: 900 16px sans-serif' text-anchor='end' transform='matrix(0 -1 1 0 18 5)'%3eSouth Africa%3c/text%3e%3c/svg%3e</v>
      </c>
      <c r="H1456" s="8" t="s">
        <v>29</v>
      </c>
      <c r="I1456" s="8">
        <f t="shared" ref="I1456:J1456" si="1457">len(B1456)</f>
        <v>12</v>
      </c>
      <c r="J1456" s="8">
        <f t="shared" si="1457"/>
        <v>122</v>
      </c>
      <c r="K1456" s="8" t="s">
        <v>6030</v>
      </c>
    </row>
    <row r="1457">
      <c r="A1457" s="7" t="b">
        <v>0</v>
      </c>
      <c r="B1457" s="8" t="s">
        <v>6031</v>
      </c>
      <c r="C1457" s="7" t="s">
        <v>6032</v>
      </c>
      <c r="D1457" s="8" t="str">
        <f>Q&amp;$K1457&amp;Q&amp;":{"&amp;Q&amp;$B$2&amp;Q&amp;":"&amp;Q&amp;$B1457&amp;Q&amp;","&amp;Q&amp;$C$2&amp;Q&amp;":"&amp;Q&amp;$C1457&amp;Q&amp;","&amp;Q&amp;"sets"&amp;Q&amp;":"&amp;Q&amp;substitute(SUBSTITUTE($H1457,"[",""),"]","")&amp;Q&amp;"},"</f>
        <v>"ltkp":{"label":"South Park","extra":"Highly-rated, highly offensive animated cartoon series. “Oh my God! We killed Kenny!”","sets":"Expansion Set 2, Party Set"},</v>
      </c>
      <c r="E1457" s="9" t="str">
        <f t="shared" si="2"/>
        <v>data:image/svg+xml,%3csvg xmlns='http://www.w3.org/2000/svg' viewBox='0 0 24 216'%3e%3ctext fill='%23fff' style='font: 900 16px sans-serif' text-anchor='end' transform='matrix(0 -1 1 0 18 5)'%3eSouth Park%3c/text%3e%3c/svg%3e</v>
      </c>
      <c r="F1457" s="14" t="str">
        <f t="shared" si="3"/>
        <v>https://svgtext.heliohost.us/cgi-bin/gen.perl?text=South%20Park</v>
      </c>
      <c r="G1457" s="11" t="str">
        <f t="shared" si="4"/>
        <v>data:image/svg+xml,%3csvg xmlns='http://www.w3.org/2000/svg' viewBox='0 0 24 216'%3e%3ctext fill='%23fff' style='font: 900 16px sans-serif' text-anchor='end' transform='matrix(0 -1 1 0 18 5)'%3eSouth Park%3c/text%3e%3c/svg%3e</v>
      </c>
      <c r="H1457" s="8" t="s">
        <v>17</v>
      </c>
      <c r="I1457" s="8">
        <f t="shared" ref="I1457:J1457" si="1458">len(B1457)</f>
        <v>10</v>
      </c>
      <c r="J1457" s="8">
        <f t="shared" si="1458"/>
        <v>85</v>
      </c>
      <c r="K1457" s="8" t="s">
        <v>6033</v>
      </c>
    </row>
    <row r="1458">
      <c r="A1458" s="7" t="b">
        <v>0</v>
      </c>
      <c r="B1458" s="8" t="s">
        <v>6034</v>
      </c>
      <c r="C1458" s="8" t="s">
        <v>6035</v>
      </c>
      <c r="D1458" s="8" t="str">
        <f>Q&amp;$K1458&amp;Q&amp;":{"&amp;Q&amp;$B$2&amp;Q&amp;":"&amp;Q&amp;$B1458&amp;Q&amp;","&amp;Q&amp;$C$2&amp;Q&amp;":"&amp;Q&amp;$C1458&amp;Q&amp;","&amp;Q&amp;"sets"&amp;Q&amp;":"&amp;Q&amp;substitute(SUBSTITUTE($H1458,"[",""),"]","")&amp;Q&amp;"},"</f>
        <v>"putz":{"label":"Soy Sauce","extra":"A brewed seasoning made from soybeans, wheat, and salt.","sets":"Expansion Set 2, Party Set"},</v>
      </c>
      <c r="E1458" s="9" t="str">
        <f t="shared" si="2"/>
        <v>data:image/svg+xml,%3csvg xmlns='http://www.w3.org/2000/svg' viewBox='0 0 24 216'%3e%3ctext fill='%23fff' style='font: 900 16px sans-serif' text-anchor='end' transform='matrix(0 -1 1 0 18 5)'%3eSoy Sauce%3c/text%3e%3c/svg%3e</v>
      </c>
      <c r="F1458" s="14" t="str">
        <f t="shared" si="3"/>
        <v>https://svgtext.heliohost.us/cgi-bin/gen.perl?text=Soy%20Sauce</v>
      </c>
      <c r="G1458" s="11" t="str">
        <f t="shared" si="4"/>
        <v>data:image/svg+xml,%3csvg xmlns='http://www.w3.org/2000/svg' viewBox='0 0 24 216'%3e%3ctext fill='%23fff' style='font: 900 16px sans-serif' text-anchor='end' transform='matrix(0 -1 1 0 18 5)'%3eSoy Sauce%3c/text%3e%3c/svg%3e</v>
      </c>
      <c r="H1458" s="8" t="s">
        <v>17</v>
      </c>
      <c r="I1458" s="8">
        <f t="shared" ref="I1458:J1458" si="1459">len(B1458)</f>
        <v>9</v>
      </c>
      <c r="J1458" s="8">
        <f t="shared" si="1459"/>
        <v>55</v>
      </c>
      <c r="K1458" s="8" t="s">
        <v>6036</v>
      </c>
    </row>
    <row r="1459">
      <c r="A1459" s="7" t="b">
        <v>1</v>
      </c>
      <c r="B1459" s="8" t="s">
        <v>6037</v>
      </c>
      <c r="C1459" s="8" t="s">
        <v>6038</v>
      </c>
      <c r="D1459" s="8" t="str">
        <f>Q&amp;$K1459&amp;Q&amp;":{"&amp;Q&amp;$B$2&amp;Q&amp;":"&amp;Q&amp;$B1459&amp;Q&amp;","&amp;Q&amp;$C$2&amp;Q&amp;":"&amp;Q&amp;$C1459&amp;Q&amp;","&amp;Q&amp;"sets"&amp;Q&amp;":"&amp;Q&amp;substitute(SUBSTITUTE($H1459,"[",""),"]","")&amp;Q&amp;"},"</f>
        <v>"yydu":{"label":"Space &amp; Time","extra":"Infinite.","sets":"Expansion Set 4, Party Expansion 1"},</v>
      </c>
      <c r="E1459" s="9" t="str">
        <f t="shared" si="2"/>
        <v>data:image/svg+xml,%3csvg xmlns='http://www.w3.org/2000/svg' viewBox='0 0 24 216'%3e%3ctext fill='%23fff' style='font: 900 16px sans-serif' text-anchor='end' transform='matrix(0 -1 1 0 18 5)'%3eSpace %26amp%3B Time%3c/text%3e%3c/svg%3e</v>
      </c>
      <c r="F1459" s="14" t="str">
        <f t="shared" si="3"/>
        <v>https://svgtext.heliohost.us/cgi-bin/gen.perl?text=Space%20%26%20Time</v>
      </c>
      <c r="G1459" s="11" t="str">
        <f t="shared" si="4"/>
        <v>data:image/svg+xml,%3csvg xmlns='http://www.w3.org/2000/svg' viewBox='0 0 24 216'%3e%3ctext fill='%23fff' style='font: 900 16px sans-serif' text-anchor='end' transform='matrix(0 -1 1 0 18 5)'%3eSpace %26amp%3B Time%3c/text%3e%3c/svg%3e</v>
      </c>
      <c r="H1459" s="8" t="s">
        <v>63</v>
      </c>
      <c r="I1459" s="8">
        <f t="shared" ref="I1459:J1459" si="1460">len(B1459)</f>
        <v>12</v>
      </c>
      <c r="J1459" s="8">
        <f t="shared" si="1460"/>
        <v>9</v>
      </c>
      <c r="K1459" s="8" t="s">
        <v>6039</v>
      </c>
    </row>
    <row r="1460">
      <c r="A1460" s="7" t="b">
        <v>1</v>
      </c>
      <c r="B1460" s="8" t="s">
        <v>6040</v>
      </c>
      <c r="C1460" s="8" t="s">
        <v>6041</v>
      </c>
      <c r="D1460" s="8" t="str">
        <f>Q&amp;$K1460&amp;Q&amp;":{"&amp;Q&amp;$B$2&amp;Q&amp;":"&amp;Q&amp;$B1460&amp;Q&amp;","&amp;Q&amp;$C$2&amp;Q&amp;":"&amp;Q&amp;$C1460&amp;Q&amp;","&amp;Q&amp;"sets"&amp;Q&amp;":"&amp;Q&amp;substitute(SUBSTITUTE($H1460,"[",""),"]","")&amp;Q&amp;"},"</f>
        <v>"tvqh":{"label":"Spaghetti","extra":"Looks like a plate of worms!","sets":"Junior"},</v>
      </c>
      <c r="E1460" s="9" t="str">
        <f t="shared" si="2"/>
        <v>data:image/svg+xml,%3csvg xmlns='http://www.w3.org/2000/svg' viewBox='0 0 24 216'%3e%3ctext fill='%23fff' style='font: 900 16px sans-serif' text-anchor='end' transform='matrix(0 -1 1 0 18 5)'%3eSpaghetti%3c/text%3e%3c/svg%3e</v>
      </c>
      <c r="F1460" s="14" t="str">
        <f t="shared" si="3"/>
        <v>https://svgtext.heliohost.us/cgi-bin/gen.perl?text=Spaghetti</v>
      </c>
      <c r="G1460" s="11" t="str">
        <f t="shared" si="4"/>
        <v>data:image/svg+xml,%3csvg xmlns='http://www.w3.org/2000/svg' viewBox='0 0 24 216'%3e%3ctext fill='%23fff' style='font: 900 16px sans-serif' text-anchor='end' transform='matrix(0 -1 1 0 18 5)'%3eSpaghetti%3c/text%3e%3c/svg%3e</v>
      </c>
      <c r="H1460" s="8" t="s">
        <v>84</v>
      </c>
      <c r="I1460" s="8">
        <f t="shared" ref="I1460:J1460" si="1461">len(B1460)</f>
        <v>9</v>
      </c>
      <c r="J1460" s="8">
        <f t="shared" si="1461"/>
        <v>28</v>
      </c>
      <c r="K1460" s="8" t="s">
        <v>6042</v>
      </c>
    </row>
    <row r="1461">
      <c r="A1461" s="7" t="b">
        <v>0</v>
      </c>
      <c r="B1461" s="8" t="s">
        <v>6043</v>
      </c>
      <c r="C1461" s="7" t="s">
        <v>6044</v>
      </c>
      <c r="D1461" s="8" t="str">
        <f>Q&amp;$K1461&amp;Q&amp;":{"&amp;Q&amp;$B$2&amp;Q&amp;":"&amp;Q&amp;$B1461&amp;Q&amp;","&amp;Q&amp;$C$2&amp;Q&amp;":"&amp;Q&amp;$C1461&amp;Q&amp;","&amp;Q&amp;"sets"&amp;Q&amp;":"&amp;Q&amp;substitute(SUBSTITUTE($H1461,"[",""),"]","")&amp;Q&amp;"},"</f>
        <v>"szdz":{"label":"Spam","extra":"Mystery meat, or mystery E-mails…","sets":"Expansion Set 1, Party Set"},</v>
      </c>
      <c r="E1461" s="9" t="str">
        <f t="shared" si="2"/>
        <v>data:image/svg+xml,%3csvg xmlns='http://www.w3.org/2000/svg' viewBox='0 0 24 216'%3e%3ctext fill='%23fff' style='font: 900 16px sans-serif' text-anchor='end' transform='matrix(0 -1 1 0 18 5)'%3eSpam%3c/text%3e%3c/svg%3e</v>
      </c>
      <c r="F1461" s="14" t="str">
        <f t="shared" si="3"/>
        <v>https://svgtext.heliohost.us/cgi-bin/gen.perl?text=Spam</v>
      </c>
      <c r="G1461" s="11" t="str">
        <f t="shared" si="4"/>
        <v>data:image/svg+xml,%3csvg xmlns='http://www.w3.org/2000/svg' viewBox='0 0 24 216'%3e%3ctext fill='%23fff' style='font: 900 16px sans-serif' text-anchor='end' transform='matrix(0 -1 1 0 18 5)'%3eSpam%3c/text%3e%3c/svg%3e</v>
      </c>
      <c r="H1461" s="8" t="s">
        <v>25</v>
      </c>
      <c r="I1461" s="8">
        <f t="shared" ref="I1461:J1461" si="1462">len(B1461)</f>
        <v>4</v>
      </c>
      <c r="J1461" s="8">
        <f t="shared" si="1462"/>
        <v>33</v>
      </c>
      <c r="K1461" s="8" t="s">
        <v>6045</v>
      </c>
    </row>
    <row r="1462">
      <c r="A1462" s="7" t="b">
        <v>1</v>
      </c>
      <c r="B1462" s="8" t="s">
        <v>6046</v>
      </c>
      <c r="C1462" s="7" t="s">
        <v>6047</v>
      </c>
      <c r="D1462" s="8" t="str">
        <f>Q&amp;$K1462&amp;Q&amp;":{"&amp;Q&amp;$B$2&amp;Q&amp;":"&amp;Q&amp;$B1462&amp;Q&amp;","&amp;Q&amp;$C$2&amp;Q&amp;":"&amp;Q&amp;$C1462&amp;Q&amp;","&amp;Q&amp;"sets"&amp;Q&amp;":"&amp;Q&amp;substitute(SUBSTITUTE($H1462,"[",""),"]","")&amp;Q&amp;"},"</f>
        <v>"bjzp":{"label":"Sparklers","extra":"They'’e still fireworks!","sets":"Junior 9+ (2nd)"},</v>
      </c>
      <c r="E1462" s="9" t="str">
        <f t="shared" si="2"/>
        <v>data:image/svg+xml,%3csvg xmlns='http://www.w3.org/2000/svg' viewBox='0 0 24 216'%3e%3ctext fill='%23fff' style='font: 900 16px sans-serif' text-anchor='end' transform='matrix(0 -1 1 0 18 5)'%3eSparklers%3c/text%3e%3c/svg%3e</v>
      </c>
      <c r="F1462" s="14" t="str">
        <f t="shared" si="3"/>
        <v>https://svgtext.heliohost.us/cgi-bin/gen.perl?text=Sparklers</v>
      </c>
      <c r="G1462" s="11" t="str">
        <f t="shared" si="4"/>
        <v>data:image/svg+xml,%3csvg xmlns='http://www.w3.org/2000/svg' viewBox='0 0 24 216'%3e%3ctext fill='%23fff' style='font: 900 16px sans-serif' text-anchor='end' transform='matrix(0 -1 1 0 18 5)'%3eSparklers%3c/text%3e%3c/svg%3e</v>
      </c>
      <c r="H1462" s="8" t="s">
        <v>32</v>
      </c>
      <c r="I1462" s="8">
        <f t="shared" ref="I1462:J1462" si="1463">len(B1462)</f>
        <v>9</v>
      </c>
      <c r="J1462" s="8">
        <f t="shared" si="1463"/>
        <v>24</v>
      </c>
      <c r="K1462" s="8" t="s">
        <v>6048</v>
      </c>
    </row>
    <row r="1463">
      <c r="A1463" s="7" t="b">
        <v>0</v>
      </c>
      <c r="B1463" s="8" t="s">
        <v>6049</v>
      </c>
      <c r="C1463" s="7" t="s">
        <v>6050</v>
      </c>
      <c r="D1463" s="8" t="str">
        <f>Q&amp;$K1463&amp;Q&amp;":{"&amp;Q&amp;$B$2&amp;Q&amp;":"&amp;Q&amp;$B1463&amp;Q&amp;","&amp;Q&amp;$C$2&amp;Q&amp;":"&amp;Q&amp;$C1463&amp;Q&amp;","&amp;Q&amp;"sets"&amp;Q&amp;":"&amp;Q&amp;substitute(SUBSTITUTE($H1463,"[",""),"]","")&amp;Q&amp;"},"</f>
        <v>"hzix":{"label":"Speeding Tickets","extra":"“No, officer, I don’t have any idea how fast I was going.”","sets":"Expansion Set 1, Party Set"},</v>
      </c>
      <c r="E1463" s="9" t="str">
        <f t="shared" si="2"/>
        <v>data:image/svg+xml,%3csvg xmlns='http://www.w3.org/2000/svg' viewBox='0 0 24 216'%3e%3ctext fill='%23fff' style='font: 900 16px sans-serif' text-anchor='end' transform='matrix(0 -1 1 0 18 5)'%3eSpeeding Tickets%3c/text%3e%3c/svg%3e</v>
      </c>
      <c r="F1463" s="14" t="str">
        <f t="shared" si="3"/>
        <v>https://svgtext.heliohost.us/cgi-bin/gen.perl?text=Speeding%20Tickets</v>
      </c>
      <c r="G1463" s="11" t="str">
        <f t="shared" si="4"/>
        <v>data:image/svg+xml,%3csvg xmlns='http://www.w3.org/2000/svg' viewBox='0 0 24 216'%3e%3ctext fill='%23fff' style='font: 900 16px sans-serif' text-anchor='end' transform='matrix(0 -1 1 0 18 5)'%3eSpeeding Tickets%3c/text%3e%3c/svg%3e</v>
      </c>
      <c r="H1463" s="8" t="s">
        <v>25</v>
      </c>
      <c r="I1463" s="8">
        <f t="shared" ref="I1463:J1463" si="1464">len(B1463)</f>
        <v>16</v>
      </c>
      <c r="J1463" s="8">
        <f t="shared" si="1464"/>
        <v>58</v>
      </c>
      <c r="K1463" s="8" t="s">
        <v>6051</v>
      </c>
    </row>
    <row r="1464">
      <c r="A1464" s="7" t="b">
        <v>1</v>
      </c>
      <c r="B1464" s="8" t="s">
        <v>6052</v>
      </c>
      <c r="C1464" s="8" t="s">
        <v>6053</v>
      </c>
      <c r="D1464" s="8" t="str">
        <f>Q&amp;$K1464&amp;Q&amp;":{"&amp;Q&amp;$B$2&amp;Q&amp;":"&amp;Q&amp;$B1464&amp;Q&amp;","&amp;Q&amp;$C$2&amp;Q&amp;":"&amp;Q&amp;$C1464&amp;Q&amp;","&amp;Q&amp;"sets"&amp;Q&amp;":"&amp;Q&amp;substitute(SUBSTITUTE($H1464,"[",""),"]","")&amp;Q&amp;"},"</f>
        <v>"zuml":{"label":"Spelling Bees","extra":"Spelling contests. They have nothing to do with bees.","sets":"Junior 9+ (1st) &amp; (2nd)"},</v>
      </c>
      <c r="E1464" s="9" t="str">
        <f t="shared" si="2"/>
        <v>data:image/svg+xml,%3csvg xmlns='http://www.w3.org/2000/svg' viewBox='0 0 24 216'%3e%3ctext fill='%23fff' style='font: 900 16px sans-serif' text-anchor='end' transform='matrix(0 -1 1 0 18 5)'%3eSpelling Bees%3c/text%3e%3c/svg%3e</v>
      </c>
      <c r="F1464" s="14" t="str">
        <f t="shared" si="3"/>
        <v>https://svgtext.heliohost.us/cgi-bin/gen.perl?text=Spelling%20Bees</v>
      </c>
      <c r="G1464" s="11" t="str">
        <f t="shared" si="4"/>
        <v>data:image/svg+xml,%3csvg xmlns='http://www.w3.org/2000/svg' viewBox='0 0 24 216'%3e%3ctext fill='%23fff' style='font: 900 16px sans-serif' text-anchor='end' transform='matrix(0 -1 1 0 18 5)'%3eSpelling Bees%3c/text%3e%3c/svg%3e</v>
      </c>
      <c r="H1464" s="8" t="s">
        <v>42</v>
      </c>
      <c r="I1464" s="8">
        <f t="shared" ref="I1464:J1464" si="1465">len(B1464)</f>
        <v>13</v>
      </c>
      <c r="J1464" s="8">
        <f t="shared" si="1465"/>
        <v>53</v>
      </c>
      <c r="K1464" s="8" t="s">
        <v>6054</v>
      </c>
    </row>
    <row r="1465">
      <c r="A1465" s="7" t="b">
        <v>1</v>
      </c>
      <c r="B1465" s="8" t="s">
        <v>6055</v>
      </c>
      <c r="C1465" s="7" t="s">
        <v>6056</v>
      </c>
      <c r="D1465" s="8" t="str">
        <f>Q&amp;$K1465&amp;Q&amp;":{"&amp;Q&amp;$B$2&amp;Q&amp;":"&amp;Q&amp;$B1465&amp;Q&amp;","&amp;Q&amp;$C$2&amp;Q&amp;":"&amp;Q&amp;$C1465&amp;Q&amp;","&amp;Q&amp;"sets"&amp;Q&amp;":"&amp;Q&amp;substitute(SUBSTITUTE($H1465,"[",""),"]","")&amp;Q&amp;"},"</f>
        <v>"idgx":{"label":"Spider-Man","extra":"He’s a student. He’s a superhuman crime fighter. He's Spider-Man!","sets":"Junior 9+ (2nd)"},</v>
      </c>
      <c r="E1465" s="9" t="str">
        <f t="shared" si="2"/>
        <v>data:image/svg+xml,%3csvg xmlns='http://www.w3.org/2000/svg' viewBox='0 0 24 216'%3e%3ctext fill='%23fff' style='font: 900 16px sans-serif' text-anchor='end' transform='matrix(0 -1 1 0 18 5)'%3eSpider-Man%3c/text%3e%3c/svg%3e</v>
      </c>
      <c r="F1465" s="14" t="str">
        <f t="shared" si="3"/>
        <v>https://svgtext.heliohost.us/cgi-bin/gen.perl?text=Spider-Man</v>
      </c>
      <c r="G1465" s="11" t="str">
        <f t="shared" si="4"/>
        <v>data:image/svg+xml,%3csvg xmlns='http://www.w3.org/2000/svg' viewBox='0 0 24 216'%3e%3ctext fill='%23fff' style='font: 900 16px sans-serif' text-anchor='end' transform='matrix(0 -1 1 0 18 5)'%3eSpider-Man%3c/text%3e%3c/svg%3e</v>
      </c>
      <c r="H1465" s="8" t="s">
        <v>32</v>
      </c>
      <c r="I1465" s="8">
        <f t="shared" ref="I1465:J1465" si="1466">len(B1465)</f>
        <v>10</v>
      </c>
      <c r="J1465" s="8">
        <f t="shared" si="1466"/>
        <v>65</v>
      </c>
      <c r="K1465" s="8" t="s">
        <v>6057</v>
      </c>
    </row>
    <row r="1466">
      <c r="A1466" s="7" t="b">
        <v>0</v>
      </c>
      <c r="B1466" s="8" t="s">
        <v>6058</v>
      </c>
      <c r="C1466" s="8" t="s">
        <v>6059</v>
      </c>
      <c r="D1466" s="8" t="str">
        <f>Q&amp;$K1466&amp;Q&amp;":{"&amp;Q&amp;$B$2&amp;Q&amp;":"&amp;Q&amp;$B1466&amp;Q&amp;","&amp;Q&amp;$C$2&amp;Q&amp;":"&amp;Q&amp;$C1466&amp;Q&amp;","&amp;Q&amp;"sets"&amp;Q&amp;":"&amp;Q&amp;substitute(SUBSTITUTE($H1466,"[",""),"]","")&amp;Q&amp;"},"</f>
        <v>"upmy":{"label":"Spiders","extra":"There are more than 34,000 species of spiders. Try not to think about THAT right before bedtime.","sets":"Basic Set, Party Set"},</v>
      </c>
      <c r="E1466" s="9" t="str">
        <f t="shared" si="2"/>
        <v>data:image/svg+xml,%3csvg xmlns='http://www.w3.org/2000/svg' viewBox='0 0 24 216'%3e%3ctext fill='%23fff' style='font: 900 16px sans-serif' text-anchor='end' transform='matrix(0 -1 1 0 18 5)'%3eSpiders%3c/text%3e%3c/svg%3e</v>
      </c>
      <c r="F1466" s="14" t="str">
        <f t="shared" si="3"/>
        <v>https://svgtext.heliohost.us/cgi-bin/gen.perl?text=Spiders</v>
      </c>
      <c r="G1466" s="11" t="str">
        <f t="shared" si="4"/>
        <v>data:image/svg+xml,%3csvg xmlns='http://www.w3.org/2000/svg' viewBox='0 0 24 216'%3e%3ctext fill='%23fff' style='font: 900 16px sans-serif' text-anchor='end' transform='matrix(0 -1 1 0 18 5)'%3eSpiders%3c/text%3e%3c/svg%3e</v>
      </c>
      <c r="H1466" s="8" t="s">
        <v>29</v>
      </c>
      <c r="I1466" s="8">
        <f t="shared" ref="I1466:J1466" si="1467">len(B1466)</f>
        <v>7</v>
      </c>
      <c r="J1466" s="8">
        <f t="shared" si="1467"/>
        <v>96</v>
      </c>
      <c r="K1466" s="8" t="s">
        <v>6060</v>
      </c>
    </row>
    <row r="1467">
      <c r="A1467" s="7" t="b">
        <v>1</v>
      </c>
      <c r="B1467" s="8" t="s">
        <v>6058</v>
      </c>
      <c r="C1467" s="8" t="s">
        <v>6061</v>
      </c>
      <c r="D1467" s="8" t="str">
        <f>Q&amp;$K1467&amp;Q&amp;":{"&amp;Q&amp;$B$2&amp;Q&amp;":"&amp;Q&amp;$B1467&amp;Q&amp;","&amp;Q&amp;$C$2&amp;Q&amp;":"&amp;Q&amp;$C1467&amp;Q&amp;","&amp;Q&amp;"sets"&amp;Q&amp;":"&amp;Q&amp;substitute(SUBSTITUTE($H1467,"[",""),"]","")&amp;Q&amp;"},"</f>
        <v>"oppl":{"label":"Spiders","extra":"They have eight legs and they spin webs to catch their food.","sets":"Junior"},</v>
      </c>
      <c r="E1467" s="9" t="str">
        <f t="shared" si="2"/>
        <v>data:image/svg+xml,%3csvg xmlns='http://www.w3.org/2000/svg' viewBox='0 0 24 216'%3e%3ctext fill='%23fff' style='font: 900 16px sans-serif' text-anchor='end' transform='matrix(0 -1 1 0 18 5)'%3eSpiders%3c/text%3e%3c/svg%3e</v>
      </c>
      <c r="F1467" s="14" t="str">
        <f t="shared" si="3"/>
        <v>https://svgtext.heliohost.us/cgi-bin/gen.perl?text=Spiders</v>
      </c>
      <c r="G1467" s="11" t="str">
        <f t="shared" si="4"/>
        <v>data:image/svg+xml,%3csvg xmlns='http://www.w3.org/2000/svg' viewBox='0 0 24 216'%3e%3ctext fill='%23fff' style='font: 900 16px sans-serif' text-anchor='end' transform='matrix(0 -1 1 0 18 5)'%3eSpiders%3c/text%3e%3c/svg%3e</v>
      </c>
      <c r="H1467" s="8" t="s">
        <v>84</v>
      </c>
      <c r="I1467" s="8">
        <f t="shared" ref="I1467:J1467" si="1468">len(B1467)</f>
        <v>7</v>
      </c>
      <c r="J1467" s="8">
        <f t="shared" si="1468"/>
        <v>60</v>
      </c>
      <c r="K1467" s="8" t="s">
        <v>6062</v>
      </c>
    </row>
    <row r="1468">
      <c r="A1468" s="7" t="b">
        <v>1</v>
      </c>
      <c r="B1468" s="8" t="s">
        <v>6063</v>
      </c>
      <c r="C1468" s="7" t="s">
        <v>6064</v>
      </c>
      <c r="D1468" s="8" t="str">
        <f>Q&amp;$K1468&amp;Q&amp;":{"&amp;Q&amp;$B$2&amp;Q&amp;":"&amp;Q&amp;$B1468&amp;Q&amp;","&amp;Q&amp;$C$2&amp;Q&amp;":"&amp;Q&amp;$C1468&amp;Q&amp;","&amp;Q&amp;"sets"&amp;Q&amp;":"&amp;Q&amp;substitute(SUBSTITUTE($H1468,"[",""),"]","")&amp;Q&amp;"},"</f>
        <v>"soex":{"label":"Spiders &amp; Snakes","extra":"Creepy! Legs or no legs.","sets":"Expansion Set 4, Party Expansion 1"},</v>
      </c>
      <c r="E1468" s="9" t="str">
        <f t="shared" si="2"/>
        <v>data:image/svg+xml,%3csvg xmlns='http://www.w3.org/2000/svg' viewBox='0 0 24 216'%3e%3ctext fill='%23fff' style='font: 900 16px sans-serif' text-anchor='end' transform='matrix(0 -1 1 0 18 5)'%3eSpiders %26amp%3B Snakes%3c/text%3e%3c/svg%3e</v>
      </c>
      <c r="F1468" s="14" t="str">
        <f t="shared" si="3"/>
        <v>https://svgtext.heliohost.us/cgi-bin/gen.perl?text=Spiders%20%26%20Snakes</v>
      </c>
      <c r="G1468" s="11" t="str">
        <f t="shared" si="4"/>
        <v>data:image/svg+xml,%3csvg xmlns='http://www.w3.org/2000/svg' viewBox='0 0 24 216'%3e%3ctext fill='%23fff' style='font: 900 16px sans-serif' text-anchor='end' transform='matrix(0 -1 1 0 18 5)'%3eSpiders %26amp%3B Snakes%3c/text%3e%3c/svg%3e</v>
      </c>
      <c r="H1468" s="8" t="s">
        <v>63</v>
      </c>
      <c r="I1468" s="8">
        <f t="shared" ref="I1468:J1468" si="1469">len(B1468)</f>
        <v>16</v>
      </c>
      <c r="J1468" s="8">
        <f t="shared" si="1469"/>
        <v>24</v>
      </c>
      <c r="K1468" s="8" t="s">
        <v>6065</v>
      </c>
    </row>
    <row r="1469">
      <c r="A1469" s="7" t="b">
        <v>0</v>
      </c>
      <c r="B1469" s="8" t="s">
        <v>6066</v>
      </c>
      <c r="C1469" s="8" t="s">
        <v>6067</v>
      </c>
      <c r="D1469" s="8" t="str">
        <f>Q&amp;$K1469&amp;Q&amp;":{"&amp;Q&amp;$B$2&amp;Q&amp;":"&amp;Q&amp;$B1469&amp;Q&amp;","&amp;Q&amp;$C$2&amp;Q&amp;":"&amp;Q&amp;$C1469&amp;Q&amp;","&amp;Q&amp;"sets"&amp;Q&amp;":"&amp;Q&amp;substitute(SUBSTITUTE($H1469,"[",""),"]","")&amp;Q&amp;"},"</f>
        <v>"temc":{"label":"Spike Lee","extra":"1957-, American film maker and Knicks fan. Best known for Do the Right Thing, Malcolm X, and 4 Little Girls.","sets":"Basic Set, Party Set"},</v>
      </c>
      <c r="E1469" s="9" t="str">
        <f t="shared" si="2"/>
        <v>data:image/svg+xml,%3csvg xmlns='http://www.w3.org/2000/svg' viewBox='0 0 24 216'%3e%3ctext fill='%23fff' style='font: 900 16px sans-serif' text-anchor='end' transform='matrix(0 -1 1 0 18 5)'%3eSpike Lee%3c/text%3e%3c/svg%3e</v>
      </c>
      <c r="F1469" s="14" t="str">
        <f t="shared" si="3"/>
        <v>https://svgtext.heliohost.us/cgi-bin/gen.perl?text=Spike%20Lee</v>
      </c>
      <c r="G1469" s="11" t="str">
        <f t="shared" si="4"/>
        <v>data:image/svg+xml,%3csvg xmlns='http://www.w3.org/2000/svg' viewBox='0 0 24 216'%3e%3ctext fill='%23fff' style='font: 900 16px sans-serif' text-anchor='end' transform='matrix(0 -1 1 0 18 5)'%3eSpike Lee%3c/text%3e%3c/svg%3e</v>
      </c>
      <c r="H1469" s="8" t="s">
        <v>29</v>
      </c>
      <c r="I1469" s="8">
        <f t="shared" ref="I1469:J1469" si="1470">len(B1469)</f>
        <v>9</v>
      </c>
      <c r="J1469" s="8">
        <f t="shared" si="1470"/>
        <v>108</v>
      </c>
      <c r="K1469" s="8" t="s">
        <v>6068</v>
      </c>
    </row>
    <row r="1470">
      <c r="A1470" s="7" t="b">
        <v>0</v>
      </c>
      <c r="B1470" s="8" t="s">
        <v>6069</v>
      </c>
      <c r="C1470" s="7" t="s">
        <v>6070</v>
      </c>
      <c r="D1470" s="8" t="str">
        <f>Q&amp;$K1470&amp;Q&amp;":{"&amp;Q&amp;$B$2&amp;Q&amp;":"&amp;Q&amp;$B1470&amp;Q&amp;","&amp;Q&amp;$C$2&amp;Q&amp;":"&amp;Q&amp;$C1470&amp;Q&amp;","&amp;Q&amp;"sets"&amp;Q&amp;":"&amp;Q&amp;substitute(SUBSTITUTE($H1470,"[",""),"]","")&amp;Q&amp;"},"</f>
        <v>"kyvc":{"label":"Spilled Milk","extra":"Got milk? WHOOPS! Apparently not…","sets":"Expansion Set 2, Party Set"},</v>
      </c>
      <c r="E1470" s="9" t="str">
        <f t="shared" si="2"/>
        <v>data:image/svg+xml,%3csvg xmlns='http://www.w3.org/2000/svg' viewBox='0 0 24 216'%3e%3ctext fill='%23fff' style='font: 900 16px sans-serif' text-anchor='end' transform='matrix(0 -1 1 0 18 5)'%3eSpilled Milk%3c/text%3e%3c/svg%3e</v>
      </c>
      <c r="F1470" s="14" t="str">
        <f t="shared" si="3"/>
        <v>https://svgtext.heliohost.us/cgi-bin/gen.perl?text=Spilled%20Milk</v>
      </c>
      <c r="G1470" s="11" t="str">
        <f t="shared" si="4"/>
        <v>data:image/svg+xml,%3csvg xmlns='http://www.w3.org/2000/svg' viewBox='0 0 24 216'%3e%3ctext fill='%23fff' style='font: 900 16px sans-serif' text-anchor='end' transform='matrix(0 -1 1 0 18 5)'%3eSpilled Milk%3c/text%3e%3c/svg%3e</v>
      </c>
      <c r="H1470" s="8" t="s">
        <v>17</v>
      </c>
      <c r="I1470" s="8">
        <f t="shared" ref="I1470:J1470" si="1471">len(B1470)</f>
        <v>12</v>
      </c>
      <c r="J1470" s="8">
        <f t="shared" si="1471"/>
        <v>33</v>
      </c>
      <c r="K1470" s="8" t="s">
        <v>6071</v>
      </c>
    </row>
    <row r="1471">
      <c r="A1471" s="7" t="b">
        <v>1</v>
      </c>
      <c r="B1471" s="8" t="s">
        <v>6072</v>
      </c>
      <c r="C1471" s="7" t="s">
        <v>6073</v>
      </c>
      <c r="D1471" s="8" t="str">
        <f>Q&amp;$K1471&amp;Q&amp;":{"&amp;Q&amp;$B$2&amp;Q&amp;":"&amp;Q&amp;$B1471&amp;Q&amp;","&amp;Q&amp;$C$2&amp;Q&amp;":"&amp;Q&amp;$C1471&amp;Q&amp;","&amp;Q&amp;"sets"&amp;Q&amp;":"&amp;Q&amp;substitute(SUBSTITUTE($H1471,"[",""),"]","")&amp;Q&amp;"},"</f>
        <v>"rehd":{"label":"Spinach","extra":"Raw or cooked- it’s full of vitamins.","sets":"Junior 9+ (2nd)"},</v>
      </c>
      <c r="E1471" s="9" t="str">
        <f t="shared" si="2"/>
        <v>data:image/svg+xml,%3csvg xmlns='http://www.w3.org/2000/svg' viewBox='0 0 24 216'%3e%3ctext fill='%23fff' style='font: 900 16px sans-serif' text-anchor='end' transform='matrix(0 -1 1 0 18 5)'%3eSpinach%3c/text%3e%3c/svg%3e</v>
      </c>
      <c r="F1471" s="14" t="str">
        <f t="shared" si="3"/>
        <v>https://svgtext.heliohost.us/cgi-bin/gen.perl?text=Spinach</v>
      </c>
      <c r="G1471" s="11" t="str">
        <f t="shared" si="4"/>
        <v>data:image/svg+xml,%3csvg xmlns='http://www.w3.org/2000/svg' viewBox='0 0 24 216'%3e%3ctext fill='%23fff' style='font: 900 16px sans-serif' text-anchor='end' transform='matrix(0 -1 1 0 18 5)'%3eSpinach%3c/text%3e%3c/svg%3e</v>
      </c>
      <c r="H1471" s="8" t="s">
        <v>32</v>
      </c>
      <c r="I1471" s="8">
        <f t="shared" ref="I1471:J1471" si="1472">len(B1471)</f>
        <v>7</v>
      </c>
      <c r="J1471" s="8">
        <f t="shared" si="1472"/>
        <v>37</v>
      </c>
      <c r="K1471" s="8" t="s">
        <v>6074</v>
      </c>
    </row>
    <row r="1472">
      <c r="A1472" s="7" t="b">
        <v>1</v>
      </c>
      <c r="B1472" s="8" t="s">
        <v>6075</v>
      </c>
      <c r="C1472" s="7" t="s">
        <v>6076</v>
      </c>
      <c r="D1472" s="8" t="str">
        <f>Q&amp;$K1472&amp;Q&amp;":{"&amp;Q&amp;$B$2&amp;Q&amp;":"&amp;Q&amp;$B1472&amp;Q&amp;","&amp;Q&amp;$C$2&amp;Q&amp;":"&amp;Q&amp;$C1472&amp;Q&amp;","&amp;Q&amp;"sets"&amp;Q&amp;":"&amp;Q&amp;substitute(SUBSTITUTE($H1472,"[",""),"]","")&amp;Q&amp;"},"</f>
        <v>"ofyu":{"label":"Spit","extra":"Ladies and gentlemen, straight from the Salivary Glands…","sets":"Basic Set, Party Set"},</v>
      </c>
      <c r="E1472" s="9" t="str">
        <f t="shared" si="2"/>
        <v>data:image/svg+xml,%3csvg xmlns='http://www.w3.org/2000/svg' viewBox='0 0 24 216'%3e%3ctext fill='%23fff' style='font: 900 16px sans-serif' text-anchor='end' transform='matrix(0 -1 1 0 18 5)'%3eSpit%3c/text%3e%3c/svg%3e</v>
      </c>
      <c r="F1472" s="14" t="str">
        <f t="shared" si="3"/>
        <v>https://svgtext.heliohost.us/cgi-bin/gen.perl?text=Spit</v>
      </c>
      <c r="G1472" s="11" t="str">
        <f t="shared" si="4"/>
        <v>data:image/svg+xml,%3csvg xmlns='http://www.w3.org/2000/svg' viewBox='0 0 24 216'%3e%3ctext fill='%23fff' style='font: 900 16px sans-serif' text-anchor='end' transform='matrix(0 -1 1 0 18 5)'%3eSpit%3c/text%3e%3c/svg%3e</v>
      </c>
      <c r="H1472" s="8" t="s">
        <v>29</v>
      </c>
      <c r="I1472" s="8">
        <f t="shared" ref="I1472:J1472" si="1473">len(B1472)</f>
        <v>4</v>
      </c>
      <c r="J1472" s="8">
        <f t="shared" si="1473"/>
        <v>56</v>
      </c>
      <c r="K1472" s="8" t="s">
        <v>6077</v>
      </c>
    </row>
    <row r="1473">
      <c r="A1473" s="7" t="b">
        <v>0</v>
      </c>
      <c r="B1473" s="8" t="s">
        <v>6075</v>
      </c>
      <c r="C1473" s="8" t="s">
        <v>6078</v>
      </c>
      <c r="D1473" s="8" t="str">
        <f>Q&amp;$K1473&amp;Q&amp;":{"&amp;Q&amp;$B$2&amp;Q&amp;":"&amp;Q&amp;$B1473&amp;Q&amp;","&amp;Q&amp;$C$2&amp;Q&amp;":"&amp;Q&amp;$C1473&amp;Q&amp;","&amp;Q&amp;"sets"&amp;Q&amp;":"&amp;Q&amp;substitute(SUBSTITUTE($H1473,"[",""),"]","")&amp;Q&amp;"},"</f>
        <v>"enpj":{"label":"Spit","extra":"Spit that gum out right now!","sets":"Junior"},</v>
      </c>
      <c r="E1473" s="9" t="str">
        <f t="shared" si="2"/>
        <v>data:image/svg+xml,%3csvg xmlns='http://www.w3.org/2000/svg' viewBox='0 0 24 216'%3e%3ctext fill='%23fff' style='font: 900 16px sans-serif' text-anchor='end' transform='matrix(0 -1 1 0 18 5)'%3eSpit%3c/text%3e%3c/svg%3e</v>
      </c>
      <c r="F1473" s="14" t="str">
        <f t="shared" si="3"/>
        <v>https://svgtext.heliohost.us/cgi-bin/gen.perl?text=Spit</v>
      </c>
      <c r="G1473" s="11" t="str">
        <f t="shared" si="4"/>
        <v>data:image/svg+xml,%3csvg xmlns='http://www.w3.org/2000/svg' viewBox='0 0 24 216'%3e%3ctext fill='%23fff' style='font: 900 16px sans-serif' text-anchor='end' transform='matrix(0 -1 1 0 18 5)'%3eSpit%3c/text%3e%3c/svg%3e</v>
      </c>
      <c r="H1473" s="8" t="s">
        <v>84</v>
      </c>
      <c r="I1473" s="8">
        <f t="shared" ref="I1473:J1473" si="1474">len(B1473)</f>
        <v>4</v>
      </c>
      <c r="J1473" s="8">
        <f t="shared" si="1474"/>
        <v>28</v>
      </c>
      <c r="K1473" s="8" t="s">
        <v>6079</v>
      </c>
    </row>
    <row r="1474">
      <c r="A1474" s="7" t="b">
        <v>1</v>
      </c>
      <c r="B1474" s="8" t="s">
        <v>6080</v>
      </c>
      <c r="C1474" s="7" t="s">
        <v>6081</v>
      </c>
      <c r="D1474" s="8" t="str">
        <f>Q&amp;$K1474&amp;Q&amp;":{"&amp;Q&amp;$B$2&amp;Q&amp;":"&amp;Q&amp;$B1474&amp;Q&amp;","&amp;Q&amp;$C$2&amp;Q&amp;":"&amp;Q&amp;$C1474&amp;Q&amp;","&amp;Q&amp;"sets"&amp;Q&amp;":"&amp;Q&amp;substitute(SUBSTITUTE($H1474,"[",""),"]","")&amp;Q&amp;"},"</f>
        <v>"eebn":{"label":"Spit &amp; Polish","extra":"We could do with less spit and more polish.","sets":"Expansion Set 4, Party Expansion 1"},</v>
      </c>
      <c r="E1474" s="9" t="str">
        <f t="shared" si="2"/>
        <v>data:image/svg+xml,%3csvg xmlns='http://www.w3.org/2000/svg' viewBox='0 0 24 216'%3e%3ctext fill='%23fff' style='font: 900 16px sans-serif' text-anchor='end' transform='matrix(0 -1 1 0 18 5)'%3eSpit %26amp%3B Polish%3c/text%3e%3c/svg%3e</v>
      </c>
      <c r="F1474" s="14" t="str">
        <f t="shared" si="3"/>
        <v>https://svgtext.heliohost.us/cgi-bin/gen.perl?text=Spit%20%26%20Polish</v>
      </c>
      <c r="G1474" s="11" t="str">
        <f t="shared" si="4"/>
        <v>data:image/svg+xml,%3csvg xmlns='http://www.w3.org/2000/svg' viewBox='0 0 24 216'%3e%3ctext fill='%23fff' style='font: 900 16px sans-serif' text-anchor='end' transform='matrix(0 -1 1 0 18 5)'%3eSpit %26amp%3B Polish%3c/text%3e%3c/svg%3e</v>
      </c>
      <c r="H1474" s="8" t="s">
        <v>63</v>
      </c>
      <c r="I1474" s="8">
        <f t="shared" ref="I1474:J1474" si="1475">len(B1474)</f>
        <v>13</v>
      </c>
      <c r="J1474" s="8">
        <f t="shared" si="1475"/>
        <v>43</v>
      </c>
      <c r="K1474" s="8" t="s">
        <v>6082</v>
      </c>
    </row>
    <row r="1475">
      <c r="A1475" s="7" t="b">
        <v>0</v>
      </c>
      <c r="B1475" s="8" t="s">
        <v>6083</v>
      </c>
      <c r="C1475" s="7" t="s">
        <v>6084</v>
      </c>
      <c r="D1475" s="8" t="str">
        <f>Q&amp;$K1475&amp;Q&amp;":{"&amp;Q&amp;$B$2&amp;Q&amp;":"&amp;Q&amp;$B1475&amp;Q&amp;","&amp;Q&amp;$C$2&amp;Q&amp;":"&amp;Q&amp;$C1475&amp;Q&amp;","&amp;Q&amp;"sets"&amp;Q&amp;":"&amp;Q&amp;substitute(SUBSTITUTE($H1475,"[",""),"]","")&amp;Q&amp;"},"</f>
        <v>"brtp":{"label":"Spontaneous Combustion","extra":"The ignition of substances without application of an external heat source. A good plot for “The X-Files.”","sets":"Expansion Set 1, Party Set"},</v>
      </c>
      <c r="E1475" s="9" t="str">
        <f t="shared" si="2"/>
        <v>data:image/svg+xml,%3csvg xmlns='http://www.w3.org/2000/svg' viewBox='0 0 24 216'%3e%3ctext fill='%23fff' style='font: 900 16px sans-serif' text-anchor='end' transform='matrix(0 -1 1 0 18 5)'%3eSpontaneous Combustion%3c/text%3e%3c/svg%3e</v>
      </c>
      <c r="F1475" s="14" t="str">
        <f t="shared" si="3"/>
        <v>https://svgtext.heliohost.us/cgi-bin/gen.perl?text=Spontaneous%20Combustion</v>
      </c>
      <c r="G1475" s="11" t="str">
        <f t="shared" si="4"/>
        <v>data:image/svg+xml,%3csvg xmlns='http://www.w3.org/2000/svg' viewBox='0 0 24 216'%3e%3ctext fill='%23fff' style='font: 900 16px sans-serif' text-anchor='end' transform='matrix(0 -1 1 0 18 5)'%3eSpontaneous Combustion%3c/text%3e%3c/svg%3e</v>
      </c>
      <c r="H1475" s="8" t="s">
        <v>25</v>
      </c>
      <c r="I1475" s="8">
        <f t="shared" ref="I1475:J1475" si="1476">len(B1475)</f>
        <v>22</v>
      </c>
      <c r="J1475" s="8">
        <f t="shared" si="1476"/>
        <v>105</v>
      </c>
      <c r="K1475" s="8" t="s">
        <v>6085</v>
      </c>
    </row>
    <row r="1476">
      <c r="A1476" s="7" t="b">
        <v>0</v>
      </c>
      <c r="B1476" s="8" t="s">
        <v>6086</v>
      </c>
      <c r="C1476" s="8" t="s">
        <v>6087</v>
      </c>
      <c r="D1476" s="8" t="str">
        <f>Q&amp;$K1476&amp;Q&amp;":{"&amp;Q&amp;$B$2&amp;Q&amp;":"&amp;Q&amp;$B1476&amp;Q&amp;","&amp;Q&amp;$C$2&amp;Q&amp;":"&amp;Q&amp;$C1476&amp;Q&amp;","&amp;Q&amp;"sets"&amp;Q&amp;":"&amp;Q&amp;substitute(SUBSTITUTE($H1476,"[",""),"]","")&amp;Q&amp;"},"</f>
        <v>"walf":{"label":"Sport Utility Vehicles","extra":"Need new tires?","sets":"Expansion Set 2, Party Set"},</v>
      </c>
      <c r="E1476" s="9" t="str">
        <f t="shared" si="2"/>
        <v>data:image/svg+xml,%3csvg xmlns='http://www.w3.org/2000/svg' viewBox='0 0 24 216'%3e%3ctext fill='%23fff' style='font: 900 16px sans-serif' text-anchor='end' transform='matrix(0 -1 1 0 18 5)'%3eSport Utility Vehicles%3c/text%3e%3c/svg%3e</v>
      </c>
      <c r="F1476" s="14" t="str">
        <f t="shared" si="3"/>
        <v>https://svgtext.heliohost.us/cgi-bin/gen.perl?text=Sport%20Utility%20Vehicles</v>
      </c>
      <c r="G1476" s="11" t="str">
        <f t="shared" si="4"/>
        <v>data:image/svg+xml,%3csvg xmlns='http://www.w3.org/2000/svg' viewBox='0 0 24 216'%3e%3ctext fill='%23fff' style='font: 900 16px sans-serif' text-anchor='end' transform='matrix(0 -1 1 0 18 5)'%3eSport Utility Vehicles%3c/text%3e%3c/svg%3e</v>
      </c>
      <c r="H1476" s="8" t="s">
        <v>17</v>
      </c>
      <c r="I1476" s="8">
        <f t="shared" ref="I1476:J1476" si="1477">len(B1476)</f>
        <v>22</v>
      </c>
      <c r="J1476" s="8">
        <f t="shared" si="1477"/>
        <v>15</v>
      </c>
      <c r="K1476" s="8" t="s">
        <v>6088</v>
      </c>
    </row>
    <row r="1477">
      <c r="A1477" s="7" t="b">
        <v>0</v>
      </c>
      <c r="B1477" s="8" t="s">
        <v>6089</v>
      </c>
      <c r="C1477" s="7" t="s">
        <v>6090</v>
      </c>
      <c r="D1477" s="8" t="str">
        <f>Q&amp;$K1477&amp;Q&amp;":{"&amp;Q&amp;$B$2&amp;Q&amp;":"&amp;Q&amp;$B1477&amp;Q&amp;","&amp;Q&amp;$C$2&amp;Q&amp;":"&amp;Q&amp;$C1477&amp;Q&amp;","&amp;Q&amp;"sets"&amp;Q&amp;":"&amp;Q&amp;substitute(SUBSTITUTE($H1477,"[",""),"]","")&amp;Q&amp;"},"</f>
        <v>"oxvt":{"label":"Sports Channels","extra":"Any team, any time.","sets":"Expansion Set 2, Party Set"},</v>
      </c>
      <c r="E1477" s="9" t="str">
        <f t="shared" si="2"/>
        <v>data:image/svg+xml,%3csvg xmlns='http://www.w3.org/2000/svg' viewBox='0 0 24 216'%3e%3ctext fill='%23fff' style='font: 900 16px sans-serif' text-anchor='end' transform='matrix(0 -1 1 0 18 5)'%3eSports Channels%3c/text%3e%3c/svg%3e</v>
      </c>
      <c r="F1477" s="14" t="str">
        <f t="shared" si="3"/>
        <v>https://svgtext.heliohost.us/cgi-bin/gen.perl?text=Sports%20Channels</v>
      </c>
      <c r="G1477" s="11" t="str">
        <f t="shared" si="4"/>
        <v>data:image/svg+xml,%3csvg xmlns='http://www.w3.org/2000/svg' viewBox='0 0 24 216'%3e%3ctext fill='%23fff' style='font: 900 16px sans-serif' text-anchor='end' transform='matrix(0 -1 1 0 18 5)'%3eSports Channels%3c/text%3e%3c/svg%3e</v>
      </c>
      <c r="H1477" s="8" t="s">
        <v>17</v>
      </c>
      <c r="I1477" s="8">
        <f t="shared" ref="I1477:J1477" si="1478">len(B1477)</f>
        <v>15</v>
      </c>
      <c r="J1477" s="8">
        <f t="shared" si="1478"/>
        <v>19</v>
      </c>
      <c r="K1477" s="8" t="s">
        <v>6091</v>
      </c>
    </row>
    <row r="1478">
      <c r="A1478" s="7" t="b">
        <v>1</v>
      </c>
      <c r="B1478" s="8" t="s">
        <v>6092</v>
      </c>
      <c r="C1478" s="7" t="s">
        <v>6093</v>
      </c>
      <c r="D1478" s="8" t="str">
        <f>Q&amp;$K1478&amp;Q&amp;":{"&amp;Q&amp;$B$2&amp;Q&amp;":"&amp;Q&amp;$B1478&amp;Q&amp;","&amp;Q&amp;$C$2&amp;Q&amp;":"&amp;Q&amp;$C1478&amp;Q&amp;","&amp;Q&amp;"sets"&amp;Q&amp;":"&amp;Q&amp;substitute(SUBSTITUTE($H1478,"[",""),"]","")&amp;Q&amp;"},"</f>
        <v>"cuue":{"label":"Square Dancing","extra":"“Swing your partner!”","sets":"Junior 9+ (2nd)"},</v>
      </c>
      <c r="E1478" s="9" t="str">
        <f t="shared" si="2"/>
        <v>data:image/svg+xml,%3csvg xmlns='http://www.w3.org/2000/svg' viewBox='0 0 24 216'%3e%3ctext fill='%23fff' style='font: 900 16px sans-serif' text-anchor='end' transform='matrix(0 -1 1 0 18 5)'%3eSquare Dancing%3c/text%3e%3c/svg%3e</v>
      </c>
      <c r="F1478" s="14" t="str">
        <f t="shared" si="3"/>
        <v>https://svgtext.heliohost.us/cgi-bin/gen.perl?text=Square%20Dancing</v>
      </c>
      <c r="G1478" s="11" t="str">
        <f t="shared" si="4"/>
        <v>data:image/svg+xml,%3csvg xmlns='http://www.w3.org/2000/svg' viewBox='0 0 24 216'%3e%3ctext fill='%23fff' style='font: 900 16px sans-serif' text-anchor='end' transform='matrix(0 -1 1 0 18 5)'%3eSquare Dancing%3c/text%3e%3c/svg%3e</v>
      </c>
      <c r="H1478" s="8" t="s">
        <v>32</v>
      </c>
      <c r="I1478" s="8">
        <f t="shared" ref="I1478:J1478" si="1479">len(B1478)</f>
        <v>14</v>
      </c>
      <c r="J1478" s="8">
        <f t="shared" si="1479"/>
        <v>21</v>
      </c>
      <c r="K1478" s="8" t="s">
        <v>6094</v>
      </c>
    </row>
    <row r="1479">
      <c r="A1479" s="7" t="b">
        <v>1</v>
      </c>
      <c r="B1479" s="8" t="s">
        <v>6095</v>
      </c>
      <c r="C1479" s="8" t="s">
        <v>6096</v>
      </c>
      <c r="D1479" s="8" t="str">
        <f>Q&amp;$K1479&amp;Q&amp;":{"&amp;Q&amp;$B$2&amp;Q&amp;":"&amp;Q&amp;$B1479&amp;Q&amp;","&amp;Q&amp;$C$2&amp;Q&amp;":"&amp;Q&amp;$C1479&amp;Q&amp;","&amp;Q&amp;"sets"&amp;Q&amp;":"&amp;Q&amp;substitute(SUBSTITUTE($H1479,"[",""),"]","")&amp;Q&amp;"},"</f>
        <v>"soqu":{"label":"Squirrels","extra":"Small animals with big brown eyes and bushy tails. They like nuts and can run on telephone lines.","sets":"Junior"},</v>
      </c>
      <c r="E1479" s="9" t="str">
        <f t="shared" si="2"/>
        <v>data:image/svg+xml,%3csvg xmlns='http://www.w3.org/2000/svg' viewBox='0 0 24 216'%3e%3ctext fill='%23fff' style='font: 900 16px sans-serif' text-anchor='end' transform='matrix(0 -1 1 0 18 5)'%3eSquirrels%3c/text%3e%3c/svg%3e</v>
      </c>
      <c r="F1479" s="14" t="str">
        <f t="shared" si="3"/>
        <v>https://svgtext.heliohost.us/cgi-bin/gen.perl?text=Squirrels</v>
      </c>
      <c r="G1479" s="11" t="str">
        <f t="shared" si="4"/>
        <v>data:image/svg+xml,%3csvg xmlns='http://www.w3.org/2000/svg' viewBox='0 0 24 216'%3e%3ctext fill='%23fff' style='font: 900 16px sans-serif' text-anchor='end' transform='matrix(0 -1 1 0 18 5)'%3eSquirrels%3c/text%3e%3c/svg%3e</v>
      </c>
      <c r="H1479" s="8" t="s">
        <v>84</v>
      </c>
      <c r="I1479" s="8">
        <f t="shared" ref="I1479:J1479" si="1480">len(B1479)</f>
        <v>9</v>
      </c>
      <c r="J1479" s="8">
        <f t="shared" si="1480"/>
        <v>97</v>
      </c>
      <c r="K1479" s="8" t="s">
        <v>6097</v>
      </c>
    </row>
    <row r="1480">
      <c r="A1480" s="7" t="b">
        <v>1</v>
      </c>
      <c r="B1480" s="8" t="s">
        <v>6098</v>
      </c>
      <c r="C1480" s="7" t="s">
        <v>6099</v>
      </c>
      <c r="D1480" s="8" t="str">
        <f>Q&amp;$K1480&amp;Q&amp;":{"&amp;Q&amp;$B$2&amp;Q&amp;":"&amp;Q&amp;$B1480&amp;Q&amp;","&amp;Q&amp;$C$2&amp;Q&amp;":"&amp;Q&amp;$C1480&amp;Q&amp;","&amp;Q&amp;"sets"&amp;Q&amp;":"&amp;Q&amp;substitute(SUBSTITUTE($H1480,"[",""),"]","")&amp;Q&amp;"},"</f>
        <v>"vzne":{"label":"Stalactites &amp; Stalagmites","extra":"The ups and downs of spelunking.","sets":"Expansion Set 4, Party Expansion 1"},</v>
      </c>
      <c r="E1480" s="9" t="str">
        <f t="shared" si="2"/>
        <v>data:image/svg+xml,%3csvg xmlns='http://www.w3.org/2000/svg' viewBox='0 0 24 216'%3e%3ctext fill='%23fff' style='font: 900 16px sans-serif' text-anchor='end' transform='matrix(0 -1 1 0 18 5)'%3eStalactites %26amp%3B Stalagmites%3c/text%3e%3c/svg%3e</v>
      </c>
      <c r="F1480" s="14" t="str">
        <f t="shared" si="3"/>
        <v>https://svgtext.heliohost.us/cgi-bin/gen.perl?text=Stalactites%20%26%20Stalagmites</v>
      </c>
      <c r="G1480" s="11" t="str">
        <f t="shared" si="4"/>
        <v>data:image/svg+xml,%3csvg xmlns='http://www.w3.org/2000/svg' viewBox='0 0 24 216'%3e%3ctext fill='%23fff' style='font: 900 16px sans-serif' text-anchor='end' transform='matrix(0 -1 1 0 18 5)'%3eStalactites %26amp%3B Stalagmites%3c/text%3e%3c/svg%3e</v>
      </c>
      <c r="H1480" s="8" t="s">
        <v>63</v>
      </c>
      <c r="I1480" s="8">
        <f t="shared" ref="I1480:J1480" si="1481">len(B1480)</f>
        <v>25</v>
      </c>
      <c r="J1480" s="8">
        <f t="shared" si="1481"/>
        <v>32</v>
      </c>
      <c r="K1480" s="8" t="s">
        <v>6100</v>
      </c>
    </row>
    <row r="1481">
      <c r="A1481" s="7" t="b">
        <v>1</v>
      </c>
      <c r="B1481" s="8" t="s">
        <v>6101</v>
      </c>
      <c r="C1481" s="7" t="s">
        <v>6102</v>
      </c>
      <c r="D1481" s="8" t="str">
        <f>Q&amp;$K1481&amp;Q&amp;":{"&amp;Q&amp;$B$2&amp;Q&amp;":"&amp;Q&amp;$B1481&amp;Q&amp;","&amp;Q&amp;$C$2&amp;Q&amp;":"&amp;Q&amp;$C1481&amp;Q&amp;","&amp;Q&amp;"sets"&amp;Q&amp;":"&amp;Q&amp;substitute(SUBSTITUTE($H1481,"[",""),"]","")&amp;Q&amp;"},"</f>
        <v>"vsi{":{"label":"Stamp Collecting","extra":"If you can't lick ’em, collect ’em.","sets":"Expansion Set 3, Party Expansion 1"},</v>
      </c>
      <c r="E1481" s="9" t="str">
        <f t="shared" si="2"/>
        <v>data:image/svg+xml,%3csvg xmlns='http://www.w3.org/2000/svg' viewBox='0 0 24 216'%3e%3ctext fill='%23fff' style='font: 900 16px sans-serif' text-anchor='end' transform='matrix(0 -1 1 0 18 5)'%3eStamp Collecting%3c/text%3e%3c/svg%3e</v>
      </c>
      <c r="F1481" s="14" t="str">
        <f t="shared" si="3"/>
        <v>https://svgtext.heliohost.us/cgi-bin/gen.perl?text=Stamp%20Collecting</v>
      </c>
      <c r="G1481" s="11" t="str">
        <f t="shared" si="4"/>
        <v>data:image/svg+xml,%3csvg xmlns='http://www.w3.org/2000/svg' viewBox='0 0 24 216'%3e%3ctext fill='%23fff' style='font: 900 16px sans-serif' text-anchor='end' transform='matrix(0 -1 1 0 18 5)'%3eStamp Collecting%3c/text%3e%3c/svg%3e</v>
      </c>
      <c r="H1481" s="8" t="s">
        <v>39</v>
      </c>
      <c r="I1481" s="8">
        <f t="shared" ref="I1481:J1481" si="1482">len(B1481)</f>
        <v>16</v>
      </c>
      <c r="J1481" s="8">
        <f t="shared" si="1482"/>
        <v>35</v>
      </c>
      <c r="K1481" s="8" t="s">
        <v>6103</v>
      </c>
    </row>
    <row r="1482">
      <c r="A1482" s="7" t="b">
        <v>0</v>
      </c>
      <c r="B1482" s="8" t="s">
        <v>6104</v>
      </c>
      <c r="C1482" s="7" t="s">
        <v>6105</v>
      </c>
      <c r="D1482" s="8" t="str">
        <f>Q&amp;$K1482&amp;Q&amp;":{"&amp;Q&amp;$B$2&amp;Q&amp;":"&amp;Q&amp;$B1482&amp;Q&amp;","&amp;Q&amp;$C$2&amp;Q&amp;":"&amp;Q&amp;$C1482&amp;Q&amp;","&amp;Q&amp;"sets"&amp;Q&amp;":"&amp;Q&amp;substitute(SUBSTITUTE($H1482,"[",""),"]","")&amp;Q&amp;"},"</f>
        <v>"hnwc":{"label":"Stanley &amp; Livingston","extra":"Britons who explored Africa, I presume.","sets":"Expansion Set 4, Party Expansion 1"},</v>
      </c>
      <c r="E1482" s="9" t="str">
        <f t="shared" si="2"/>
        <v>data:image/svg+xml,%3csvg xmlns='http://www.w3.org/2000/svg' viewBox='0 0 24 216'%3e%3ctext fill='%23fff' style='font: 900 16px sans-serif' text-anchor='end' transform='matrix(0 -1 1 0 18 5)'%3eStanley %26amp%3B Livingston%3c/text%3e%3c/svg%3e</v>
      </c>
      <c r="F1482" s="14" t="str">
        <f t="shared" si="3"/>
        <v>https://svgtext.heliohost.us/cgi-bin/gen.perl?text=Stanley%20%26%20Livingston</v>
      </c>
      <c r="G1482" s="11" t="str">
        <f t="shared" si="4"/>
        <v>data:image/svg+xml,%3csvg xmlns='http://www.w3.org/2000/svg' viewBox='0 0 24 216'%3e%3ctext fill='%23fff' style='font: 900 16px sans-serif' text-anchor='end' transform='matrix(0 -1 1 0 18 5)'%3eStanley %26amp%3B Livingston%3c/text%3e%3c/svg%3e</v>
      </c>
      <c r="H1482" s="8" t="s">
        <v>63</v>
      </c>
      <c r="I1482" s="8">
        <f t="shared" ref="I1482:J1482" si="1483">len(B1482)</f>
        <v>20</v>
      </c>
      <c r="J1482" s="8">
        <f t="shared" si="1483"/>
        <v>39</v>
      </c>
      <c r="K1482" s="8" t="s">
        <v>6106</v>
      </c>
    </row>
    <row r="1483">
      <c r="A1483" s="7" t="b">
        <v>0</v>
      </c>
      <c r="B1483" s="8" t="s">
        <v>6107</v>
      </c>
      <c r="C1483" s="7" t="s">
        <v>6108</v>
      </c>
      <c r="D1483" s="8" t="str">
        <f>Q&amp;$K1483&amp;Q&amp;":{"&amp;Q&amp;$B$2&amp;Q&amp;":"&amp;Q&amp;$B1483&amp;Q&amp;","&amp;Q&amp;$C$2&amp;Q&amp;":"&amp;Q&amp;$C1483&amp;Q&amp;","&amp;Q&amp;"sets"&amp;Q&amp;":"&amp;Q&amp;substitute(SUBSTITUTE($H1483,"[",""),"]","")&amp;Q&amp;"},"</f>
        <v>"chts":{"label":"Star Fruit","extra":"Looks like plastic, tastes like lemons.","sets":"Expansion Set 2, Party Set"},</v>
      </c>
      <c r="E1483" s="9" t="str">
        <f t="shared" si="2"/>
        <v>data:image/svg+xml,%3csvg xmlns='http://www.w3.org/2000/svg' viewBox='0 0 24 216'%3e%3ctext fill='%23fff' style='font: 900 16px sans-serif' text-anchor='end' transform='matrix(0 -1 1 0 18 5)'%3eStar Fruit%3c/text%3e%3c/svg%3e</v>
      </c>
      <c r="F1483" s="14" t="str">
        <f t="shared" si="3"/>
        <v>https://svgtext.heliohost.us/cgi-bin/gen.perl?text=Star%20Fruit</v>
      </c>
      <c r="G1483" s="11" t="str">
        <f t="shared" si="4"/>
        <v>data:image/svg+xml,%3csvg xmlns='http://www.w3.org/2000/svg' viewBox='0 0 24 216'%3e%3ctext fill='%23fff' style='font: 900 16px sans-serif' text-anchor='end' transform='matrix(0 -1 1 0 18 5)'%3eStar Fruit%3c/text%3e%3c/svg%3e</v>
      </c>
      <c r="H1483" s="8" t="s">
        <v>17</v>
      </c>
      <c r="I1483" s="8">
        <f t="shared" ref="I1483:J1483" si="1484">len(B1483)</f>
        <v>10</v>
      </c>
      <c r="J1483" s="8">
        <f t="shared" si="1484"/>
        <v>39</v>
      </c>
      <c r="K1483" s="8" t="s">
        <v>6109</v>
      </c>
    </row>
    <row r="1484">
      <c r="A1484" s="7" t="b">
        <v>1</v>
      </c>
      <c r="B1484" s="8" t="s">
        <v>6110</v>
      </c>
      <c r="C1484" s="8" t="s">
        <v>6111</v>
      </c>
      <c r="D1484" s="8" t="str">
        <f>Q&amp;$K1484&amp;Q&amp;":{"&amp;Q&amp;$B$2&amp;Q&amp;":"&amp;Q&amp;$B1484&amp;Q&amp;","&amp;Q&amp;$C$2&amp;Q&amp;":"&amp;Q&amp;$C1484&amp;Q&amp;","&amp;Q&amp;"sets"&amp;Q&amp;":"&amp;Q&amp;substitute(SUBSTITUTE($H1484,"[",""),"]","")&amp;Q&amp;"},"</f>
        <v>"{bhn":{"label":"Starfish","extra":"A star-shaped sea creature with five or more arms. If one breaks off, another arm will grow.","sets":"Junior 9+ (1st) &amp; (2nd)"},</v>
      </c>
      <c r="E1484" s="9" t="str">
        <f t="shared" si="2"/>
        <v>data:image/svg+xml,%3csvg xmlns='http://www.w3.org/2000/svg' viewBox='0 0 24 216'%3e%3ctext fill='%23fff' style='font: 900 16px sans-serif' text-anchor='end' transform='matrix(0 -1 1 0 18 5)'%3eStarfish%3c/text%3e%3c/svg%3e</v>
      </c>
      <c r="F1484" s="14" t="str">
        <f t="shared" si="3"/>
        <v>https://svgtext.heliohost.us/cgi-bin/gen.perl?text=Starfish</v>
      </c>
      <c r="G1484" s="11" t="str">
        <f t="shared" si="4"/>
        <v>data:image/svg+xml,%3csvg xmlns='http://www.w3.org/2000/svg' viewBox='0 0 24 216'%3e%3ctext fill='%23fff' style='font: 900 16px sans-serif' text-anchor='end' transform='matrix(0 -1 1 0 18 5)'%3eStarfish%3c/text%3e%3c/svg%3e</v>
      </c>
      <c r="H1484" s="8" t="s">
        <v>42</v>
      </c>
      <c r="I1484" s="8">
        <f t="shared" ref="I1484:J1484" si="1485">len(B1484)</f>
        <v>8</v>
      </c>
      <c r="J1484" s="8">
        <f t="shared" si="1485"/>
        <v>92</v>
      </c>
      <c r="K1484" s="8" t="s">
        <v>6112</v>
      </c>
    </row>
    <row r="1485">
      <c r="A1485" s="7" t="b">
        <v>0</v>
      </c>
      <c r="B1485" s="8" t="s">
        <v>6113</v>
      </c>
      <c r="C1485" s="8" t="s">
        <v>6114</v>
      </c>
      <c r="D1485" s="8" t="str">
        <f>Q&amp;$K1485&amp;Q&amp;":{"&amp;Q&amp;$B$2&amp;Q&amp;":"&amp;Q&amp;$B1485&amp;Q&amp;","&amp;Q&amp;$C$2&amp;Q&amp;":"&amp;Q&amp;$C1485&amp;Q&amp;","&amp;Q&amp;"sets"&amp;Q&amp;":"&amp;Q&amp;substitute(SUBSTITUTE($H1485,"[",""),"]","")&amp;Q&amp;"},"</f>
        <v>"nkqj":{"label":"Starry Night","extra":"A sky bright with stars, a classic Van Gogh painting, and a Don McLean song. Three cards in one!","sets":"Expansion Set 1, Party Set"},</v>
      </c>
      <c r="E1485" s="9" t="str">
        <f t="shared" si="2"/>
        <v>data:image/svg+xml,%3csvg xmlns='http://www.w3.org/2000/svg' viewBox='0 0 24 216'%3e%3ctext fill='%23fff' style='font: 900 16px sans-serif' text-anchor='end' transform='matrix(0 -1 1 0 18 5)'%3eStarry Night%3c/text%3e%3c/svg%3e</v>
      </c>
      <c r="F1485" s="14" t="str">
        <f t="shared" si="3"/>
        <v>https://svgtext.heliohost.us/cgi-bin/gen.perl?text=Starry%20Night</v>
      </c>
      <c r="G1485" s="11" t="str">
        <f t="shared" si="4"/>
        <v>data:image/svg+xml,%3csvg xmlns='http://www.w3.org/2000/svg' viewBox='0 0 24 216'%3e%3ctext fill='%23fff' style='font: 900 16px sans-serif' text-anchor='end' transform='matrix(0 -1 1 0 18 5)'%3eStarry Night%3c/text%3e%3c/svg%3e</v>
      </c>
      <c r="H1485" s="8" t="s">
        <v>25</v>
      </c>
      <c r="I1485" s="8">
        <f t="shared" ref="I1485:J1485" si="1486">len(B1485)</f>
        <v>12</v>
      </c>
      <c r="J1485" s="8">
        <f t="shared" si="1486"/>
        <v>96</v>
      </c>
      <c r="K1485" s="8" t="s">
        <v>6115</v>
      </c>
    </row>
    <row r="1486">
      <c r="A1486" s="7" t="b">
        <v>1</v>
      </c>
      <c r="B1486" s="8" t="s">
        <v>6116</v>
      </c>
      <c r="C1486" s="8" t="s">
        <v>6117</v>
      </c>
      <c r="D1486" s="8" t="str">
        <f>Q&amp;$K1486&amp;Q&amp;":{"&amp;Q&amp;$B$2&amp;Q&amp;":"&amp;Q&amp;$B1486&amp;Q&amp;","&amp;Q&amp;$C$2&amp;Q&amp;":"&amp;Q&amp;$C1486&amp;Q&amp;","&amp;Q&amp;"sets"&amp;Q&amp;":"&amp;Q&amp;substitute(SUBSTITUTE($H1486,"[",""),"]","")&amp;Q&amp;"},"</f>
        <v>"vsyh":{"label":"Stars","extra":"Points of sparkling light that you can see in the night sky. Make a wish!","sets":"Junior"},</v>
      </c>
      <c r="E1486" s="9" t="str">
        <f t="shared" si="2"/>
        <v>data:image/svg+xml,%3csvg xmlns='http://www.w3.org/2000/svg' viewBox='0 0 24 216'%3e%3ctext fill='%23fff' style='font: 900 16px sans-serif' text-anchor='end' transform='matrix(0 -1 1 0 18 5)'%3eStars%3c/text%3e%3c/svg%3e</v>
      </c>
      <c r="F1486" s="14" t="str">
        <f t="shared" si="3"/>
        <v>https://svgtext.heliohost.us/cgi-bin/gen.perl?text=Stars</v>
      </c>
      <c r="G1486" s="11" t="str">
        <f t="shared" si="4"/>
        <v>data:image/svg+xml,%3csvg xmlns='http://www.w3.org/2000/svg' viewBox='0 0 24 216'%3e%3ctext fill='%23fff' style='font: 900 16px sans-serif' text-anchor='end' transform='matrix(0 -1 1 0 18 5)'%3eStars%3c/text%3e%3c/svg%3e</v>
      </c>
      <c r="H1486" s="8" t="s">
        <v>84</v>
      </c>
      <c r="I1486" s="8">
        <f t="shared" ref="I1486:J1486" si="1487">len(B1486)</f>
        <v>5</v>
      </c>
      <c r="J1486" s="8">
        <f t="shared" si="1487"/>
        <v>73</v>
      </c>
      <c r="K1486" s="8" t="s">
        <v>6118</v>
      </c>
    </row>
    <row r="1487">
      <c r="A1487" s="7" t="b">
        <v>1</v>
      </c>
      <c r="B1487" s="8" t="s">
        <v>6119</v>
      </c>
      <c r="C1487" s="8" t="s">
        <v>6120</v>
      </c>
      <c r="D1487" s="8" t="str">
        <f>Q&amp;$K1487&amp;Q&amp;":{"&amp;Q&amp;$B$2&amp;Q&amp;":"&amp;Q&amp;$B1487&amp;Q&amp;","&amp;Q&amp;$C$2&amp;Q&amp;":"&amp;Q&amp;$C1487&amp;Q&amp;","&amp;Q&amp;"sets"&amp;Q&amp;":"&amp;Q&amp;substitute(SUBSTITUTE($H1487,"[",""),"]","")&amp;Q&amp;"},"</f>
        <v>"gubc":{"label":"Stars &amp; Stripes","extra":"Three cheers for the red, white, and blue!","sets":"Expansion Set 4, Party Expansion 1"},</v>
      </c>
      <c r="E1487" s="9" t="str">
        <f t="shared" si="2"/>
        <v>data:image/svg+xml,%3csvg xmlns='http://www.w3.org/2000/svg' viewBox='0 0 24 216'%3e%3ctext fill='%23fff' style='font: 900 16px sans-serif' text-anchor='end' transform='matrix(0 -1 1 0 18 5)'%3eStars %26amp%3B Stripes%3c/text%3e%3c/svg%3e</v>
      </c>
      <c r="F1487" s="14" t="str">
        <f t="shared" si="3"/>
        <v>https://svgtext.heliohost.us/cgi-bin/gen.perl?text=Stars%20%26%20Stripes</v>
      </c>
      <c r="G1487" s="11" t="str">
        <f t="shared" si="4"/>
        <v>data:image/svg+xml,%3csvg xmlns='http://www.w3.org/2000/svg' viewBox='0 0 24 216'%3e%3ctext fill='%23fff' style='font: 900 16px sans-serif' text-anchor='end' transform='matrix(0 -1 1 0 18 5)'%3eStars %26amp%3B Stripes%3c/text%3e%3c/svg%3e</v>
      </c>
      <c r="H1487" s="8" t="s">
        <v>63</v>
      </c>
      <c r="I1487" s="8">
        <f t="shared" ref="I1487:J1487" si="1488">len(B1487)</f>
        <v>15</v>
      </c>
      <c r="J1487" s="8">
        <f t="shared" si="1488"/>
        <v>42</v>
      </c>
      <c r="K1487" s="8" t="s">
        <v>6121</v>
      </c>
    </row>
    <row r="1488">
      <c r="A1488" s="7" t="b">
        <v>0</v>
      </c>
      <c r="B1488" s="8" t="s">
        <v>6122</v>
      </c>
      <c r="C1488" s="8" t="s">
        <v>6123</v>
      </c>
      <c r="D1488" s="8" t="str">
        <f>Q&amp;$K1488&amp;Q&amp;":{"&amp;Q&amp;$B$2&amp;Q&amp;":"&amp;Q&amp;$B1488&amp;Q&amp;","&amp;Q&amp;$C$2&amp;Q&amp;":"&amp;Q&amp;$C1488&amp;Q&amp;","&amp;Q&amp;"sets"&amp;Q&amp;":"&amp;Q&amp;substitute(SUBSTITUTE($H1488,"[",""),"]","")&amp;Q&amp;"},"</f>
        <v>"slrg":{"label":"State Fair","extra":"Aw, gee whiz, a blue ribbon for Bessie!","sets":"Expansion Set 2, Party Set"},</v>
      </c>
      <c r="E1488" s="9" t="str">
        <f t="shared" si="2"/>
        <v>data:image/svg+xml,%3csvg xmlns='http://www.w3.org/2000/svg' viewBox='0 0 24 216'%3e%3ctext fill='%23fff' style='font: 900 16px sans-serif' text-anchor='end' transform='matrix(0 -1 1 0 18 5)'%3eState Fair%3c/text%3e%3c/svg%3e</v>
      </c>
      <c r="F1488" s="14" t="str">
        <f t="shared" si="3"/>
        <v>https://svgtext.heliohost.us/cgi-bin/gen.perl?text=State%20Fair</v>
      </c>
      <c r="G1488" s="11" t="str">
        <f t="shared" si="4"/>
        <v>data:image/svg+xml,%3csvg xmlns='http://www.w3.org/2000/svg' viewBox='0 0 24 216'%3e%3ctext fill='%23fff' style='font: 900 16px sans-serif' text-anchor='end' transform='matrix(0 -1 1 0 18 5)'%3eState Fair%3c/text%3e%3c/svg%3e</v>
      </c>
      <c r="H1488" s="8" t="s">
        <v>17</v>
      </c>
      <c r="I1488" s="8">
        <f t="shared" ref="I1488:J1488" si="1489">len(B1488)</f>
        <v>10</v>
      </c>
      <c r="J1488" s="8">
        <f t="shared" si="1489"/>
        <v>39</v>
      </c>
      <c r="K1488" s="8" t="s">
        <v>6124</v>
      </c>
    </row>
    <row r="1489">
      <c r="A1489" s="7" t="b">
        <v>0</v>
      </c>
      <c r="B1489" s="8" t="s">
        <v>6125</v>
      </c>
      <c r="C1489" s="8" t="s">
        <v>6126</v>
      </c>
      <c r="D1489" s="8" t="str">
        <f>Q&amp;$K1489&amp;Q&amp;":{"&amp;Q&amp;$B$2&amp;Q&amp;":"&amp;Q&amp;$B1489&amp;Q&amp;","&amp;Q&amp;$C$2&amp;Q&amp;":"&amp;Q&amp;$C1489&amp;Q&amp;","&amp;Q&amp;"sets"&amp;Q&amp;":"&amp;Q&amp;substitute(SUBSTITUTE($H1489,"[",""),"]","")&amp;Q&amp;"},"</f>
        <v>"oebr":{"label":"Steak And Potatoes","extra":"Hot off the grill!","sets":"Expansion Set 2, Party Set"},</v>
      </c>
      <c r="E1489" s="9" t="str">
        <f t="shared" si="2"/>
        <v>data:image/svg+xml,%3csvg xmlns='http://www.w3.org/2000/svg' viewBox='0 0 24 216'%3e%3ctext fill='%23fff' style='font: 900 16px sans-serif' text-anchor='end' transform='matrix(0 -1 1 0 18 5)'%3eSteak And Potatoes%3c/text%3e%3c/svg%3e</v>
      </c>
      <c r="F1489" s="14" t="str">
        <f t="shared" si="3"/>
        <v>https://svgtext.heliohost.us/cgi-bin/gen.perl?text=Steak%20And%20Potatoes</v>
      </c>
      <c r="G1489" s="11" t="str">
        <f t="shared" si="4"/>
        <v>data:image/svg+xml,%3csvg xmlns='http://www.w3.org/2000/svg' viewBox='0 0 24 216'%3e%3ctext fill='%23fff' style='font: 900 16px sans-serif' text-anchor='end' transform='matrix(0 -1 1 0 18 5)'%3eSteak And Potatoes%3c/text%3e%3c/svg%3e</v>
      </c>
      <c r="H1489" s="8" t="s">
        <v>17</v>
      </c>
      <c r="I1489" s="8">
        <f t="shared" ref="I1489:J1489" si="1490">len(B1489)</f>
        <v>18</v>
      </c>
      <c r="J1489" s="8">
        <f t="shared" si="1490"/>
        <v>18</v>
      </c>
      <c r="K1489" s="8" t="s">
        <v>6127</v>
      </c>
    </row>
    <row r="1490">
      <c r="A1490" s="7" t="b">
        <v>0</v>
      </c>
      <c r="B1490" s="8" t="s">
        <v>6128</v>
      </c>
      <c r="C1490" s="7" t="s">
        <v>6129</v>
      </c>
      <c r="D1490" s="8" t="str">
        <f>Q&amp;$K1490&amp;Q&amp;":{"&amp;Q&amp;$B$2&amp;Q&amp;":"&amp;Q&amp;$B1490&amp;Q&amp;","&amp;Q&amp;$C$2&amp;Q&amp;":"&amp;Q&amp;$C1490&amp;Q&amp;","&amp;Q&amp;"sets"&amp;Q&amp;":"&amp;Q&amp;substitute(SUBSTITUTE($H1490,"[",""),"]","")&amp;Q&amp;"},"</f>
        <v>"ziie":{"label":"Stephen King","extra":"1947-, American author of horror novels, who's sold more than 100 million copies of his books. Talk about frightening…","sets":"Basic Set, Party Set"},</v>
      </c>
      <c r="E1490" s="9" t="str">
        <f t="shared" si="2"/>
        <v>data:image/svg+xml,%3csvg xmlns='http://www.w3.org/2000/svg' viewBox='0 0 24 216'%3e%3ctext fill='%23fff' style='font: 900 16px sans-serif' text-anchor='end' transform='matrix(0 -1 1 0 18 5)'%3eStephen King%3c/text%3e%3c/svg%3e</v>
      </c>
      <c r="F1490" s="14" t="str">
        <f t="shared" si="3"/>
        <v>https://svgtext.heliohost.us/cgi-bin/gen.perl?text=Stephen%20King</v>
      </c>
      <c r="G1490" s="11" t="str">
        <f t="shared" si="4"/>
        <v>data:image/svg+xml,%3csvg xmlns='http://www.w3.org/2000/svg' viewBox='0 0 24 216'%3e%3ctext fill='%23fff' style='font: 900 16px sans-serif' text-anchor='end' transform='matrix(0 -1 1 0 18 5)'%3eStephen King%3c/text%3e%3c/svg%3e</v>
      </c>
      <c r="H1490" s="8" t="s">
        <v>29</v>
      </c>
      <c r="I1490" s="8">
        <f t="shared" ref="I1490:J1490" si="1491">len(B1490)</f>
        <v>12</v>
      </c>
      <c r="J1490" s="8">
        <f t="shared" si="1491"/>
        <v>118</v>
      </c>
      <c r="K1490" s="8" t="s">
        <v>6130</v>
      </c>
    </row>
    <row r="1491">
      <c r="A1491" s="7" t="b">
        <v>0</v>
      </c>
      <c r="B1491" s="8" t="s">
        <v>6131</v>
      </c>
      <c r="C1491" s="7" t="s">
        <v>6132</v>
      </c>
      <c r="D1491" s="8" t="str">
        <f>Q&amp;$K1491&amp;Q&amp;":{"&amp;Q&amp;$B$2&amp;Q&amp;":"&amp;Q&amp;$B1491&amp;Q&amp;","&amp;Q&amp;$C$2&amp;Q&amp;":"&amp;Q&amp;$C1491&amp;Q&amp;","&amp;Q&amp;"sets"&amp;Q&amp;":"&amp;Q&amp;substitute(SUBSTITUTE($H1491,"[",""),"]","")&amp;Q&amp;"},"</f>
        <v>"qfzo":{"label":"Steve Martin","extra":"1945-, American comedian, actor, writer, and “wild and crazy guy.”","sets":"Expansion Set 1, Party Set"},</v>
      </c>
      <c r="E1491" s="9" t="str">
        <f t="shared" si="2"/>
        <v>data:image/svg+xml,%3csvg xmlns='http://www.w3.org/2000/svg' viewBox='0 0 24 216'%3e%3ctext fill='%23fff' style='font: 900 16px sans-serif' text-anchor='end' transform='matrix(0 -1 1 0 18 5)'%3eSteve Martin%3c/text%3e%3c/svg%3e</v>
      </c>
      <c r="F1491" s="14" t="str">
        <f t="shared" si="3"/>
        <v>https://svgtext.heliohost.us/cgi-bin/gen.perl?text=Steve%20Martin</v>
      </c>
      <c r="G1491" s="11" t="str">
        <f t="shared" si="4"/>
        <v>data:image/svg+xml,%3csvg xmlns='http://www.w3.org/2000/svg' viewBox='0 0 24 216'%3e%3ctext fill='%23fff' style='font: 900 16px sans-serif' text-anchor='end' transform='matrix(0 -1 1 0 18 5)'%3eSteve Martin%3c/text%3e%3c/svg%3e</v>
      </c>
      <c r="H1491" s="8" t="s">
        <v>25</v>
      </c>
      <c r="I1491" s="8">
        <f t="shared" ref="I1491:J1491" si="1492">len(B1491)</f>
        <v>12</v>
      </c>
      <c r="J1491" s="8">
        <f t="shared" si="1492"/>
        <v>66</v>
      </c>
      <c r="K1491" s="8" t="s">
        <v>6133</v>
      </c>
    </row>
    <row r="1492">
      <c r="A1492" s="7" t="b">
        <v>0</v>
      </c>
      <c r="B1492" s="8" t="s">
        <v>6134</v>
      </c>
      <c r="C1492" s="7" t="s">
        <v>6135</v>
      </c>
      <c r="D1492" s="8" t="str">
        <f>Q&amp;$K1492&amp;Q&amp;":{"&amp;Q&amp;$B$2&amp;Q&amp;":"&amp;Q&amp;$B1492&amp;Q&amp;","&amp;Q&amp;$C$2&amp;Q&amp;":"&amp;Q&amp;$C1492&amp;Q&amp;","&amp;Q&amp;"sets"&amp;Q&amp;":"&amp;Q&amp;substitute(SUBSTITUTE($H1492,"[",""),"]","")&amp;Q&amp;"},"</f>
        <v>"yonz":{"label":"Steven Spielberg","extra":"1947-, American movie director and producer, and overachiever. From “E.T.” to “Schindler’s List” …too many to list.","sets":"Basic Set, Party Set"},</v>
      </c>
      <c r="E1492" s="9" t="str">
        <f t="shared" si="2"/>
        <v>data:image/svg+xml,%3csvg xmlns='http://www.w3.org/2000/svg' viewBox='0 0 24 216'%3e%3ctext fill='%23fff' style='font: 900 16px sans-serif' text-anchor='end' transform='matrix(0 -1 1 0 18 5)'%3eSteven Spielberg%3c/text%3e%3c/svg%3e</v>
      </c>
      <c r="F1492" s="14" t="str">
        <f t="shared" si="3"/>
        <v>https://svgtext.heliohost.us/cgi-bin/gen.perl?text=Steven%20Spielberg</v>
      </c>
      <c r="G1492" s="11" t="str">
        <f t="shared" si="4"/>
        <v>data:image/svg+xml,%3csvg xmlns='http://www.w3.org/2000/svg' viewBox='0 0 24 216'%3e%3ctext fill='%23fff' style='font: 900 16px sans-serif' text-anchor='end' transform='matrix(0 -1 1 0 18 5)'%3eSteven Spielberg%3c/text%3e%3c/svg%3e</v>
      </c>
      <c r="H1492" s="8" t="s">
        <v>29</v>
      </c>
      <c r="I1492" s="8">
        <f t="shared" ref="I1492:J1492" si="1493">len(B1492)</f>
        <v>16</v>
      </c>
      <c r="J1492" s="8">
        <f t="shared" si="1493"/>
        <v>115</v>
      </c>
      <c r="K1492" s="8" t="s">
        <v>6136</v>
      </c>
    </row>
    <row r="1493">
      <c r="A1493" s="7" t="b">
        <v>1</v>
      </c>
      <c r="B1493" s="8" t="s">
        <v>6137</v>
      </c>
      <c r="C1493" s="8" t="s">
        <v>6138</v>
      </c>
      <c r="D1493" s="8" t="str">
        <f>Q&amp;$K1493&amp;Q&amp;":{"&amp;Q&amp;$B$2&amp;Q&amp;":"&amp;Q&amp;$B1493&amp;Q&amp;","&amp;Q&amp;$C$2&amp;Q&amp;":"&amp;Q&amp;$C1493&amp;Q&amp;","&amp;Q&amp;"sets"&amp;Q&amp;":"&amp;Q&amp;substitute(SUBSTITUTE($H1493,"[",""),"]","")&amp;Q&amp;"},"</f>
        <v>"flky":{"label":"Sticks &amp; Stones","extra":"When words are not enough.","sets":"Expansion Set 4, Party Expansion 1"},</v>
      </c>
      <c r="E1493" s="9" t="str">
        <f t="shared" si="2"/>
        <v>data:image/svg+xml,%3csvg xmlns='http://www.w3.org/2000/svg' viewBox='0 0 24 216'%3e%3ctext fill='%23fff' style='font: 900 16px sans-serif' text-anchor='end' transform='matrix(0 -1 1 0 18 5)'%3eSticks %26amp%3B Stones%3c/text%3e%3c/svg%3e</v>
      </c>
      <c r="F1493" s="14" t="str">
        <f t="shared" si="3"/>
        <v>https://svgtext.heliohost.us/cgi-bin/gen.perl?text=Sticks%20%26%20Stones</v>
      </c>
      <c r="G1493" s="11" t="str">
        <f t="shared" si="4"/>
        <v>data:image/svg+xml,%3csvg xmlns='http://www.w3.org/2000/svg' viewBox='0 0 24 216'%3e%3ctext fill='%23fff' style='font: 900 16px sans-serif' text-anchor='end' transform='matrix(0 -1 1 0 18 5)'%3eSticks %26amp%3B Stones%3c/text%3e%3c/svg%3e</v>
      </c>
      <c r="H1493" s="8" t="s">
        <v>63</v>
      </c>
      <c r="I1493" s="8">
        <f t="shared" ref="I1493:J1493" si="1494">len(B1493)</f>
        <v>15</v>
      </c>
      <c r="J1493" s="8">
        <f t="shared" si="1494"/>
        <v>26</v>
      </c>
      <c r="K1493" s="8" t="s">
        <v>6139</v>
      </c>
    </row>
    <row r="1494">
      <c r="A1494" s="7" t="b">
        <v>1</v>
      </c>
      <c r="B1494" s="8" t="s">
        <v>6140</v>
      </c>
      <c r="C1494" s="7" t="s">
        <v>6141</v>
      </c>
      <c r="D1494" s="8" t="str">
        <f>Q&amp;$K1494&amp;Q&amp;":{"&amp;Q&amp;$B$2&amp;Q&amp;":"&amp;Q&amp;$B1494&amp;Q&amp;","&amp;Q&amp;$C$2&amp;Q&amp;":"&amp;Q&amp;$C1494&amp;Q&amp;","&amp;Q&amp;"sets"&amp;Q&amp;":"&amp;Q&amp;substitute(SUBSTITUTE($H1494,"[",""),"]","")&amp;Q&amp;"},"</f>
        <v>"onbm":{"label":"Stocks &amp; Bonds","extra":"At least they'’e worth the paper they're printed on… We hope.","sets":"Expansion Set 4, Party Expansion 1"},</v>
      </c>
      <c r="E1494" s="9" t="str">
        <f t="shared" si="2"/>
        <v>data:image/svg+xml,%3csvg xmlns='http://www.w3.org/2000/svg' viewBox='0 0 24 216'%3e%3ctext fill='%23fff' style='font: 900 16px sans-serif' text-anchor='end' transform='matrix(0 -1 1 0 18 5)'%3eStocks %26amp%3B Bonds%3c/text%3e%3c/svg%3e</v>
      </c>
      <c r="F1494" s="14" t="str">
        <f t="shared" si="3"/>
        <v>https://svgtext.heliohost.us/cgi-bin/gen.perl?text=Stocks%20%26%20Bonds</v>
      </c>
      <c r="G1494" s="11" t="str">
        <f t="shared" si="4"/>
        <v>data:image/svg+xml,%3csvg xmlns='http://www.w3.org/2000/svg' viewBox='0 0 24 216'%3e%3ctext fill='%23fff' style='font: 900 16px sans-serif' text-anchor='end' transform='matrix(0 -1 1 0 18 5)'%3eStocks %26amp%3B Bonds%3c/text%3e%3c/svg%3e</v>
      </c>
      <c r="H1494" s="8" t="s">
        <v>63</v>
      </c>
      <c r="I1494" s="8">
        <f t="shared" ref="I1494:J1494" si="1495">len(B1494)</f>
        <v>14</v>
      </c>
      <c r="J1494" s="8">
        <f t="shared" si="1495"/>
        <v>61</v>
      </c>
      <c r="K1494" s="8" t="s">
        <v>6142</v>
      </c>
    </row>
    <row r="1495">
      <c r="A1495" s="7" t="b">
        <v>1</v>
      </c>
      <c r="B1495" s="8" t="s">
        <v>6143</v>
      </c>
      <c r="C1495" s="8" t="s">
        <v>6144</v>
      </c>
      <c r="D1495" s="8" t="str">
        <f>Q&amp;$K1495&amp;Q&amp;":{"&amp;Q&amp;$B$2&amp;Q&amp;":"&amp;Q&amp;$B1495&amp;Q&amp;","&amp;Q&amp;$C$2&amp;Q&amp;":"&amp;Q&amp;$C1495&amp;Q&amp;","&amp;Q&amp;"sets"&amp;Q&amp;":"&amp;Q&amp;substitute(SUBSTITUTE($H1495,"[",""),"]","")&amp;Q&amp;"},"</f>
        <v>"cfeg":{"label":"Stomach Ache","extra":"You ate the whole thing?","sets":"Junior 9+ (2nd)"},</v>
      </c>
      <c r="E1495" s="9" t="str">
        <f t="shared" si="2"/>
        <v>data:image/svg+xml,%3csvg xmlns='http://www.w3.org/2000/svg' viewBox='0 0 24 216'%3e%3ctext fill='%23fff' style='font: 900 16px sans-serif' text-anchor='end' transform='matrix(0 -1 1 0 18 5)'%3eStomach Ache%3c/text%3e%3c/svg%3e</v>
      </c>
      <c r="F1495" s="14" t="str">
        <f t="shared" si="3"/>
        <v>https://svgtext.heliohost.us/cgi-bin/gen.perl?text=Stomach%20Ache</v>
      </c>
      <c r="G1495" s="11" t="str">
        <f t="shared" si="4"/>
        <v>data:image/svg+xml,%3csvg xmlns='http://www.w3.org/2000/svg' viewBox='0 0 24 216'%3e%3ctext fill='%23fff' style='font: 900 16px sans-serif' text-anchor='end' transform='matrix(0 -1 1 0 18 5)'%3eStomach Ache%3c/text%3e%3c/svg%3e</v>
      </c>
      <c r="H1495" s="8" t="s">
        <v>32</v>
      </c>
      <c r="I1495" s="8">
        <f t="shared" ref="I1495:J1495" si="1496">len(B1495)</f>
        <v>12</v>
      </c>
      <c r="J1495" s="8">
        <f t="shared" si="1496"/>
        <v>24</v>
      </c>
      <c r="K1495" s="8" t="s">
        <v>6145</v>
      </c>
    </row>
    <row r="1496">
      <c r="A1496" s="7" t="b">
        <v>0</v>
      </c>
      <c r="B1496" s="8" t="s">
        <v>6146</v>
      </c>
      <c r="C1496" s="8" t="s">
        <v>6147</v>
      </c>
      <c r="D1496" s="8" t="str">
        <f>Q&amp;$K1496&amp;Q&amp;":{"&amp;Q&amp;$B$2&amp;Q&amp;":"&amp;Q&amp;$B1496&amp;Q&amp;","&amp;Q&amp;$C$2&amp;Q&amp;":"&amp;Q&amp;$C1496&amp;Q&amp;","&amp;Q&amp;"sets"&amp;Q&amp;":"&amp;Q&amp;substitute(SUBSTITUTE($H1496,"[",""),"]","")&amp;Q&amp;"},"</f>
        <v>"uhxq":{"label":"Stonehenge","extra":"Prehistoric stone monument located north of Salisbury, England.","sets":"Expansion Set 1, Party Set"},</v>
      </c>
      <c r="E1496" s="9" t="str">
        <f t="shared" si="2"/>
        <v>data:image/svg+xml,%3csvg xmlns='http://www.w3.org/2000/svg' viewBox='0 0 24 216'%3e%3ctext fill='%23fff' style='font: 900 16px sans-serif' text-anchor='end' transform='matrix(0 -1 1 0 18 5)'%3eStonehenge%3c/text%3e%3c/svg%3e</v>
      </c>
      <c r="F1496" s="14" t="str">
        <f t="shared" si="3"/>
        <v>https://svgtext.heliohost.us/cgi-bin/gen.perl?text=Stonehenge</v>
      </c>
      <c r="G1496" s="11" t="str">
        <f t="shared" si="4"/>
        <v>data:image/svg+xml,%3csvg xmlns='http://www.w3.org/2000/svg' viewBox='0 0 24 216'%3e%3ctext fill='%23fff' style='font: 900 16px sans-serif' text-anchor='end' transform='matrix(0 -1 1 0 18 5)'%3eStonehenge%3c/text%3e%3c/svg%3e</v>
      </c>
      <c r="H1496" s="8" t="s">
        <v>25</v>
      </c>
      <c r="I1496" s="8">
        <f t="shared" ref="I1496:J1496" si="1497">len(B1496)</f>
        <v>10</v>
      </c>
      <c r="J1496" s="8">
        <f t="shared" si="1497"/>
        <v>63</v>
      </c>
      <c r="K1496" s="8" t="s">
        <v>6148</v>
      </c>
    </row>
    <row r="1497">
      <c r="A1497" s="7" t="b">
        <v>1</v>
      </c>
      <c r="B1497" s="8" t="s">
        <v>6149</v>
      </c>
      <c r="C1497" s="8" t="s">
        <v>6150</v>
      </c>
      <c r="D1497" s="8" t="str">
        <f>Q&amp;$K1497&amp;Q&amp;":{"&amp;Q&amp;$B$2&amp;Q&amp;":"&amp;Q&amp;$B1497&amp;Q&amp;","&amp;Q&amp;$C$2&amp;Q&amp;":"&amp;Q&amp;$C1497&amp;Q&amp;","&amp;Q&amp;"sets"&amp;Q&amp;":"&amp;Q&amp;substitute(SUBSTITUTE($H1497,"[",""),"]","")&amp;Q&amp;"},"</f>
        <v>"iilb":{"label":"Stop Signs","extra":"Gee, Officer, I THOUGHT it was green!","sets":"Expansion Set 3, Party Expansion 1"},</v>
      </c>
      <c r="E1497" s="9" t="str">
        <f t="shared" si="2"/>
        <v>data:image/svg+xml,%3csvg xmlns='http://www.w3.org/2000/svg' viewBox='0 0 24 216'%3e%3ctext fill='%23fff' style='font: 900 16px sans-serif' text-anchor='end' transform='matrix(0 -1 1 0 18 5)'%3eStop Signs%3c/text%3e%3c/svg%3e</v>
      </c>
      <c r="F1497" s="14" t="str">
        <f t="shared" si="3"/>
        <v>https://svgtext.heliohost.us/cgi-bin/gen.perl?text=Stop%20Signs</v>
      </c>
      <c r="G1497" s="11" t="str">
        <f t="shared" si="4"/>
        <v>data:image/svg+xml,%3csvg xmlns='http://www.w3.org/2000/svg' viewBox='0 0 24 216'%3e%3ctext fill='%23fff' style='font: 900 16px sans-serif' text-anchor='end' transform='matrix(0 -1 1 0 18 5)'%3eStop Signs%3c/text%3e%3c/svg%3e</v>
      </c>
      <c r="H1497" s="8" t="s">
        <v>39</v>
      </c>
      <c r="I1497" s="8">
        <f t="shared" ref="I1497:J1497" si="1498">len(B1497)</f>
        <v>10</v>
      </c>
      <c r="J1497" s="8">
        <f t="shared" si="1498"/>
        <v>37</v>
      </c>
      <c r="K1497" s="8" t="s">
        <v>6151</v>
      </c>
    </row>
    <row r="1498">
      <c r="A1498" s="7" t="b">
        <v>1</v>
      </c>
      <c r="B1498" s="8" t="s">
        <v>6152</v>
      </c>
      <c r="C1498" s="7" t="s">
        <v>6153</v>
      </c>
      <c r="D1498" s="8" t="str">
        <f>Q&amp;$K1498&amp;Q&amp;":{"&amp;Q&amp;$B$2&amp;Q&amp;":"&amp;Q&amp;$B1498&amp;Q&amp;","&amp;Q&amp;$C$2&amp;Q&amp;":"&amp;Q&amp;$C1498&amp;Q&amp;","&amp;Q&amp;"sets"&amp;Q&amp;":"&amp;Q&amp;substitute(SUBSTITUTE($H1498,"[",""),"]","")&amp;Q&amp;"},"</f>
        <v>"yydp":{"label":"Strained Peas","extra":"The strain comes when you have to eat them.","sets":"Expansion Set 3, Party Expansion 1"},</v>
      </c>
      <c r="E1498" s="9" t="str">
        <f t="shared" si="2"/>
        <v>data:image/svg+xml,%3csvg xmlns='http://www.w3.org/2000/svg' viewBox='0 0 24 216'%3e%3ctext fill='%23fff' style='font: 900 16px sans-serif' text-anchor='end' transform='matrix(0 -1 1 0 18 5)'%3eStrained Peas%3c/text%3e%3c/svg%3e</v>
      </c>
      <c r="F1498" s="14" t="str">
        <f t="shared" si="3"/>
        <v>https://svgtext.heliohost.us/cgi-bin/gen.perl?text=Strained%20Peas</v>
      </c>
      <c r="G1498" s="11" t="str">
        <f t="shared" si="4"/>
        <v>data:image/svg+xml,%3csvg xmlns='http://www.w3.org/2000/svg' viewBox='0 0 24 216'%3e%3ctext fill='%23fff' style='font: 900 16px sans-serif' text-anchor='end' transform='matrix(0 -1 1 0 18 5)'%3eStrained Peas%3c/text%3e%3c/svg%3e</v>
      </c>
      <c r="H1498" s="8" t="s">
        <v>39</v>
      </c>
      <c r="I1498" s="8">
        <f t="shared" ref="I1498:J1498" si="1499">len(B1498)</f>
        <v>13</v>
      </c>
      <c r="J1498" s="8">
        <f t="shared" si="1499"/>
        <v>43</v>
      </c>
      <c r="K1498" s="8" t="s">
        <v>6154</v>
      </c>
    </row>
    <row r="1499">
      <c r="A1499" s="7" t="b">
        <v>1</v>
      </c>
      <c r="B1499" s="8" t="s">
        <v>6155</v>
      </c>
      <c r="C1499" s="8" t="s">
        <v>6156</v>
      </c>
      <c r="D1499" s="8" t="str">
        <f>Q&amp;$K1499&amp;Q&amp;":{"&amp;Q&amp;$B$2&amp;Q&amp;":"&amp;Q&amp;$B1499&amp;Q&amp;","&amp;Q&amp;$C$2&amp;Q&amp;":"&amp;Q&amp;$C1499&amp;Q&amp;","&amp;Q&amp;"sets"&amp;Q&amp;":"&amp;Q&amp;substitute(SUBSTITUTE($H1499,"[",""),"]","")&amp;Q&amp;"},"</f>
        <v>"wgic":{"label":"Strawberries","extra":"Strawberry shortcake!","sets":"Junior 9+ (2nd)"},</v>
      </c>
      <c r="E1499" s="9" t="str">
        <f t="shared" si="2"/>
        <v>data:image/svg+xml,%3csvg xmlns='http://www.w3.org/2000/svg' viewBox='0 0 24 216'%3e%3ctext fill='%23fff' style='font: 900 16px sans-serif' text-anchor='end' transform='matrix(0 -1 1 0 18 5)'%3eStrawberries%3c/text%3e%3c/svg%3e</v>
      </c>
      <c r="F1499" s="14" t="str">
        <f t="shared" si="3"/>
        <v>https://svgtext.heliohost.us/cgi-bin/gen.perl?text=Strawberries</v>
      </c>
      <c r="G1499" s="11" t="str">
        <f t="shared" si="4"/>
        <v>data:image/svg+xml,%3csvg xmlns='http://www.w3.org/2000/svg' viewBox='0 0 24 216'%3e%3ctext fill='%23fff' style='font: 900 16px sans-serif' text-anchor='end' transform='matrix(0 -1 1 0 18 5)'%3eStrawberries%3c/text%3e%3c/svg%3e</v>
      </c>
      <c r="H1499" s="8" t="s">
        <v>32</v>
      </c>
      <c r="I1499" s="8">
        <f t="shared" ref="I1499:J1499" si="1500">len(B1499)</f>
        <v>12</v>
      </c>
      <c r="J1499" s="8">
        <f t="shared" si="1500"/>
        <v>21</v>
      </c>
      <c r="K1499" s="8" t="s">
        <v>6157</v>
      </c>
    </row>
    <row r="1500">
      <c r="A1500" s="7" t="b">
        <v>0</v>
      </c>
      <c r="B1500" s="8" t="s">
        <v>6158</v>
      </c>
      <c r="C1500" s="7" t="s">
        <v>6159</v>
      </c>
      <c r="D1500" s="8" t="str">
        <f>Q&amp;$K1500&amp;Q&amp;":{"&amp;Q&amp;$B$2&amp;Q&amp;":"&amp;Q&amp;$B1500&amp;Q&amp;","&amp;Q&amp;$C$2&amp;Q&amp;":"&amp;Q&amp;$C1500&amp;Q&amp;","&amp;Q&amp;"sets"&amp;Q&amp;":"&amp;Q&amp;substitute(SUBSTITUTE($H1500,"[",""),"]","")&amp;Q&amp;"},"</f>
        <v>"trfh":{"label":"Strawberry Shortcake","extra":"Summertime and the eating is easy…","sets":"Expansion Set 2, Party Set"},</v>
      </c>
      <c r="E1500" s="9" t="str">
        <f t="shared" si="2"/>
        <v>data:image/svg+xml,%3csvg xmlns='http://www.w3.org/2000/svg' viewBox='0 0 24 216'%3e%3ctext fill='%23fff' style='font: 900 16px sans-serif' text-anchor='end' transform='matrix(0 -1 1 0 18 5)'%3eStrawberry Shortcake%3c/text%3e%3c/svg%3e</v>
      </c>
      <c r="F1500" s="14" t="str">
        <f t="shared" si="3"/>
        <v>https://svgtext.heliohost.us/cgi-bin/gen.perl?text=Strawberry%20Shortcake</v>
      </c>
      <c r="G1500" s="11" t="str">
        <f t="shared" si="4"/>
        <v>data:image/svg+xml,%3csvg xmlns='http://www.w3.org/2000/svg' viewBox='0 0 24 216'%3e%3ctext fill='%23fff' style='font: 900 16px sans-serif' text-anchor='end' transform='matrix(0 -1 1 0 18 5)'%3eStrawberry Shortcake%3c/text%3e%3c/svg%3e</v>
      </c>
      <c r="H1500" s="8" t="s">
        <v>17</v>
      </c>
      <c r="I1500" s="8">
        <f t="shared" ref="I1500:J1500" si="1501">len(B1500)</f>
        <v>20</v>
      </c>
      <c r="J1500" s="8">
        <f t="shared" si="1501"/>
        <v>34</v>
      </c>
      <c r="K1500" s="8" t="s">
        <v>6160</v>
      </c>
    </row>
    <row r="1501">
      <c r="A1501" s="7" t="b">
        <v>1</v>
      </c>
      <c r="B1501" s="8" t="s">
        <v>6161</v>
      </c>
      <c r="C1501" s="7" t="s">
        <v>6162</v>
      </c>
      <c r="D1501" s="8" t="str">
        <f>Q&amp;$K1501&amp;Q&amp;":{"&amp;Q&amp;$B$2&amp;Q&amp;":"&amp;Q&amp;$B1501&amp;Q&amp;","&amp;Q&amp;$C$2&amp;Q&amp;":"&amp;Q&amp;$C1501&amp;Q&amp;","&amp;Q&amp;"sets"&amp;Q&amp;":"&amp;Q&amp;substitute(SUBSTITUTE($H1501,"[",""),"]","")&amp;Q&amp;"},"</f>
        <v>"xjsz":{"label":"Street Mimes","extra":"A mime is a terrible thing to waste. On second thought…","sets":"Expansion Set 3, Party Expansion 1"},</v>
      </c>
      <c r="E1501" s="9" t="str">
        <f t="shared" si="2"/>
        <v>data:image/svg+xml,%3csvg xmlns='http://www.w3.org/2000/svg' viewBox='0 0 24 216'%3e%3ctext fill='%23fff' style='font: 900 16px sans-serif' text-anchor='end' transform='matrix(0 -1 1 0 18 5)'%3eStreet Mimes%3c/text%3e%3c/svg%3e</v>
      </c>
      <c r="F1501" s="14" t="str">
        <f t="shared" si="3"/>
        <v>https://svgtext.heliohost.us/cgi-bin/gen.perl?text=Street%20Mimes</v>
      </c>
      <c r="G1501" s="11" t="str">
        <f t="shared" si="4"/>
        <v>data:image/svg+xml,%3csvg xmlns='http://www.w3.org/2000/svg' viewBox='0 0 24 216'%3e%3ctext fill='%23fff' style='font: 900 16px sans-serif' text-anchor='end' transform='matrix(0 -1 1 0 18 5)'%3eStreet Mimes%3c/text%3e%3c/svg%3e</v>
      </c>
      <c r="H1501" s="8" t="s">
        <v>39</v>
      </c>
      <c r="I1501" s="8">
        <f t="shared" ref="I1501:J1501" si="1502">len(B1501)</f>
        <v>12</v>
      </c>
      <c r="J1501" s="8">
        <f t="shared" si="1502"/>
        <v>55</v>
      </c>
      <c r="K1501" s="8" t="s">
        <v>6163</v>
      </c>
    </row>
    <row r="1502">
      <c r="A1502" s="7" t="b">
        <v>1</v>
      </c>
      <c r="B1502" s="8" t="s">
        <v>6164</v>
      </c>
      <c r="C1502" s="7" t="s">
        <v>6165</v>
      </c>
      <c r="D1502" s="8" t="str">
        <f>Q&amp;$K1502&amp;Q&amp;":{"&amp;Q&amp;$B$2&amp;Q&amp;":"&amp;Q&amp;$B1502&amp;Q&amp;","&amp;Q&amp;$C$2&amp;Q&amp;":"&amp;Q&amp;$C1502&amp;Q&amp;","&amp;Q&amp;"sets"&amp;Q&amp;":"&amp;Q&amp;substitute(SUBSTITUTE($H1502,"[",""),"]","")&amp;Q&amp;"},"</f>
        <v>"iquh":{"label":"Stretch Limos","extra":"Stretch your legs, stretch your wallet.","sets":"Expansion Set 3, Party Expansion 1"},</v>
      </c>
      <c r="E1502" s="9" t="str">
        <f t="shared" si="2"/>
        <v>data:image/svg+xml,%3csvg xmlns='http://www.w3.org/2000/svg' viewBox='0 0 24 216'%3e%3ctext fill='%23fff' style='font: 900 16px sans-serif' text-anchor='end' transform='matrix(0 -1 1 0 18 5)'%3eStretch Limos%3c/text%3e%3c/svg%3e</v>
      </c>
      <c r="F1502" s="14" t="str">
        <f t="shared" si="3"/>
        <v>https://svgtext.heliohost.us/cgi-bin/gen.perl?text=Stretch%20Limos</v>
      </c>
      <c r="G1502" s="11" t="str">
        <f t="shared" si="4"/>
        <v>data:image/svg+xml,%3csvg xmlns='http://www.w3.org/2000/svg' viewBox='0 0 24 216'%3e%3ctext fill='%23fff' style='font: 900 16px sans-serif' text-anchor='end' transform='matrix(0 -1 1 0 18 5)'%3eStretch Limos%3c/text%3e%3c/svg%3e</v>
      </c>
      <c r="H1502" s="8" t="s">
        <v>39</v>
      </c>
      <c r="I1502" s="8">
        <f t="shared" ref="I1502:J1502" si="1503">len(B1502)</f>
        <v>13</v>
      </c>
      <c r="J1502" s="8">
        <f t="shared" si="1503"/>
        <v>39</v>
      </c>
      <c r="K1502" s="8" t="s">
        <v>6166</v>
      </c>
    </row>
    <row r="1503">
      <c r="A1503" s="7" t="b">
        <v>1</v>
      </c>
      <c r="B1503" s="8" t="s">
        <v>6167</v>
      </c>
      <c r="C1503" s="7" t="s">
        <v>6168</v>
      </c>
      <c r="D1503" s="8" t="str">
        <f>Q&amp;$K1503&amp;Q&amp;":{"&amp;Q&amp;$B$2&amp;Q&amp;":"&amp;Q&amp;$B1503&amp;Q&amp;","&amp;Q&amp;$C$2&amp;Q&amp;":"&amp;Q&amp;$C1503&amp;Q&amp;","&amp;Q&amp;"sets"&amp;Q&amp;":"&amp;Q&amp;substitute(SUBSTITUTE($H1503,"[",""),"]","")&amp;Q&amp;"},"</f>
        <v>"jhos":{"label":"Strip Malls","extra":"Almost as attractive as stip mines.","sets":"Expansion Set 3, Party Expansion 1"},</v>
      </c>
      <c r="E1503" s="9" t="str">
        <f t="shared" si="2"/>
        <v>data:image/svg+xml,%3csvg xmlns='http://www.w3.org/2000/svg' viewBox='0 0 24 216'%3e%3ctext fill='%23fff' style='font: 900 16px sans-serif' text-anchor='end' transform='matrix(0 -1 1 0 18 5)'%3eStrip Malls%3c/text%3e%3c/svg%3e</v>
      </c>
      <c r="F1503" s="14" t="str">
        <f t="shared" si="3"/>
        <v>https://svgtext.heliohost.us/cgi-bin/gen.perl?text=Strip%20Malls</v>
      </c>
      <c r="G1503" s="11" t="str">
        <f t="shared" si="4"/>
        <v>data:image/svg+xml,%3csvg xmlns='http://www.w3.org/2000/svg' viewBox='0 0 24 216'%3e%3ctext fill='%23fff' style='font: 900 16px sans-serif' text-anchor='end' transform='matrix(0 -1 1 0 18 5)'%3eStrip Malls%3c/text%3e%3c/svg%3e</v>
      </c>
      <c r="H1503" s="8" t="s">
        <v>39</v>
      </c>
      <c r="I1503" s="8">
        <f t="shared" ref="I1503:J1503" si="1504">len(B1503)</f>
        <v>11</v>
      </c>
      <c r="J1503" s="8">
        <f t="shared" si="1504"/>
        <v>35</v>
      </c>
      <c r="K1503" s="8" t="s">
        <v>6169</v>
      </c>
    </row>
    <row r="1504">
      <c r="A1504" s="7" t="b">
        <v>1</v>
      </c>
      <c r="B1504" s="8" t="s">
        <v>6170</v>
      </c>
      <c r="C1504" s="8" t="s">
        <v>6171</v>
      </c>
      <c r="D1504" s="8" t="str">
        <f>Q&amp;$K1504&amp;Q&amp;":{"&amp;Q&amp;$B$2&amp;Q&amp;":"&amp;Q&amp;$B1504&amp;Q&amp;","&amp;Q&amp;$C$2&amp;Q&amp;":"&amp;Q&amp;$C1504&amp;Q&amp;","&amp;Q&amp;"sets"&amp;Q&amp;":"&amp;Q&amp;substitute(SUBSTITUTE($H1504,"[",""),"]","")&amp;Q&amp;"},"</f>
        <v>"hv{f":{"label":"Stuart Little","extra":"A clever little mouse who is a character in a book and a movie.","sets":"Junior"},</v>
      </c>
      <c r="E1504" s="9" t="str">
        <f t="shared" si="2"/>
        <v>data:image/svg+xml,%3csvg xmlns='http://www.w3.org/2000/svg' viewBox='0 0 24 216'%3e%3ctext fill='%23fff' style='font: 900 16px sans-serif' text-anchor='end' transform='matrix(0 -1 1 0 18 5)'%3eStuart Little%3c/text%3e%3c/svg%3e</v>
      </c>
      <c r="F1504" s="14" t="str">
        <f t="shared" si="3"/>
        <v>https://svgtext.heliohost.us/cgi-bin/gen.perl?text=Stuart%20Little</v>
      </c>
      <c r="G1504" s="11" t="str">
        <f t="shared" si="4"/>
        <v>data:image/svg+xml,%3csvg xmlns='http://www.w3.org/2000/svg' viewBox='0 0 24 216'%3e%3ctext fill='%23fff' style='font: 900 16px sans-serif' text-anchor='end' transform='matrix(0 -1 1 0 18 5)'%3eStuart Little%3c/text%3e%3c/svg%3e</v>
      </c>
      <c r="H1504" s="8" t="s">
        <v>84</v>
      </c>
      <c r="I1504" s="8">
        <f t="shared" ref="I1504:J1504" si="1505">len(B1504)</f>
        <v>13</v>
      </c>
      <c r="J1504" s="8">
        <f t="shared" si="1505"/>
        <v>63</v>
      </c>
      <c r="K1504" s="8" t="s">
        <v>6172</v>
      </c>
    </row>
    <row r="1505">
      <c r="A1505" s="7" t="b">
        <v>0</v>
      </c>
      <c r="B1505" s="8" t="s">
        <v>6173</v>
      </c>
      <c r="C1505" s="7" t="s">
        <v>6174</v>
      </c>
      <c r="D1505" s="8" t="str">
        <f>Q&amp;$K1505&amp;Q&amp;":{"&amp;Q&amp;$B$2&amp;Q&amp;":"&amp;Q&amp;$B1505&amp;Q&amp;","&amp;Q&amp;$C$2&amp;Q&amp;":"&amp;Q&amp;$C1505&amp;Q&amp;","&amp;Q&amp;"sets"&amp;Q&amp;":"&amp;Q&amp;substitute(SUBSTITUTE($H1505,"[",""),"]","")&amp;Q&amp;"},"</f>
        <v>"sbdc":{"label":"Stubbed Toes","extra":"It’ll feel better when it quits hurting.","sets":"Expansion Set 2, Party Set"},</v>
      </c>
      <c r="E1505" s="9" t="str">
        <f t="shared" si="2"/>
        <v>data:image/svg+xml,%3csvg xmlns='http://www.w3.org/2000/svg' viewBox='0 0 24 216'%3e%3ctext fill='%23fff' style='font: 900 16px sans-serif' text-anchor='end' transform='matrix(0 -1 1 0 18 5)'%3eStubbed Toes%3c/text%3e%3c/svg%3e</v>
      </c>
      <c r="F1505" s="14" t="str">
        <f t="shared" si="3"/>
        <v>https://svgtext.heliohost.us/cgi-bin/gen.perl?text=Stubbed%20Toes</v>
      </c>
      <c r="G1505" s="11" t="str">
        <f t="shared" si="4"/>
        <v>data:image/svg+xml,%3csvg xmlns='http://www.w3.org/2000/svg' viewBox='0 0 24 216'%3e%3ctext fill='%23fff' style='font: 900 16px sans-serif' text-anchor='end' transform='matrix(0 -1 1 0 18 5)'%3eStubbed Toes%3c/text%3e%3c/svg%3e</v>
      </c>
      <c r="H1505" s="8" t="s">
        <v>17</v>
      </c>
      <c r="I1505" s="8">
        <f t="shared" ref="I1505:J1505" si="1506">len(B1505)</f>
        <v>12</v>
      </c>
      <c r="J1505" s="8">
        <f t="shared" si="1506"/>
        <v>40</v>
      </c>
      <c r="K1505" s="8" t="s">
        <v>6175</v>
      </c>
    </row>
    <row r="1506">
      <c r="A1506" s="7" t="b">
        <v>0</v>
      </c>
      <c r="B1506" s="8" t="s">
        <v>6176</v>
      </c>
      <c r="C1506" s="7" t="s">
        <v>6177</v>
      </c>
      <c r="D1506" s="8" t="str">
        <f>Q&amp;$K1506&amp;Q&amp;":{"&amp;Q&amp;$B$2&amp;Q&amp;":"&amp;Q&amp;$B1506&amp;Q&amp;","&amp;Q&amp;$C$2&amp;Q&amp;":"&amp;Q&amp;$C1506&amp;Q&amp;","&amp;Q&amp;"sets"&amp;Q&amp;":"&amp;Q&amp;substitute(SUBSTITUTE($H1506,"[",""),"]","")&amp;Q&amp;"},"</f>
        <v>"ipe{":{"label":"Stunt People","extra":"When you need someone to take the fall.","sets":"Expansion Set 2, Party Set"},</v>
      </c>
      <c r="E1506" s="9" t="str">
        <f t="shared" si="2"/>
        <v>data:image/svg+xml,%3csvg xmlns='http://www.w3.org/2000/svg' viewBox='0 0 24 216'%3e%3ctext fill='%23fff' style='font: 900 16px sans-serif' text-anchor='end' transform='matrix(0 -1 1 0 18 5)'%3eStunt People%3c/text%3e%3c/svg%3e</v>
      </c>
      <c r="F1506" s="14" t="str">
        <f t="shared" si="3"/>
        <v>https://svgtext.heliohost.us/cgi-bin/gen.perl?text=Stunt%20People</v>
      </c>
      <c r="G1506" s="11" t="str">
        <f t="shared" si="4"/>
        <v>data:image/svg+xml,%3csvg xmlns='http://www.w3.org/2000/svg' viewBox='0 0 24 216'%3e%3ctext fill='%23fff' style='font: 900 16px sans-serif' text-anchor='end' transform='matrix(0 -1 1 0 18 5)'%3eStunt People%3c/text%3e%3c/svg%3e</v>
      </c>
      <c r="H1506" s="8" t="s">
        <v>17</v>
      </c>
      <c r="I1506" s="8">
        <f t="shared" ref="I1506:J1506" si="1507">len(B1506)</f>
        <v>12</v>
      </c>
      <c r="J1506" s="8">
        <f t="shared" si="1507"/>
        <v>39</v>
      </c>
      <c r="K1506" s="8" t="s">
        <v>6178</v>
      </c>
    </row>
    <row r="1507">
      <c r="A1507" s="7" t="b">
        <v>1</v>
      </c>
      <c r="B1507" s="8" t="s">
        <v>6179</v>
      </c>
      <c r="C1507" s="7" t="s">
        <v>6180</v>
      </c>
      <c r="D1507" s="8" t="str">
        <f>Q&amp;$K1507&amp;Q&amp;":{"&amp;Q&amp;$B$2&amp;Q&amp;":"&amp;Q&amp;$B1507&amp;Q&amp;","&amp;Q&amp;$C$2&amp;Q&amp;":"&amp;Q&amp;$C1507&amp;Q&amp;","&amp;Q&amp;"sets"&amp;Q&amp;":"&amp;Q&amp;substitute(SUBSTITUTE($H1507,"[",""),"]","")&amp;Q&amp;"},"</f>
        <v>"fpwu":{"label":"Substitute Teachers","extra":"“Ms. Jones lets us eat candy and get drinks whenever we want!”","sets":"Junior 9+ (2nd)"},</v>
      </c>
      <c r="E1507" s="9" t="str">
        <f t="shared" si="2"/>
        <v>data:image/svg+xml,%3csvg xmlns='http://www.w3.org/2000/svg' viewBox='0 0 24 216'%3e%3ctext fill='%23fff' style='font: 900 16px sans-serif' text-anchor='end' transform='matrix(0 -1 1 0 18 5)'%3eSubstitute Teachers%3c/text%3e%3c/svg%3e</v>
      </c>
      <c r="F1507" s="14" t="str">
        <f t="shared" si="3"/>
        <v>https://svgtext.heliohost.us/cgi-bin/gen.perl?text=Substitute%20Teachers</v>
      </c>
      <c r="G1507" s="11" t="str">
        <f t="shared" si="4"/>
        <v>data:image/svg+xml,%3csvg xmlns='http://www.w3.org/2000/svg' viewBox='0 0 24 216'%3e%3ctext fill='%23fff' style='font: 900 16px sans-serif' text-anchor='end' transform='matrix(0 -1 1 0 18 5)'%3eSubstitute Teachers%3c/text%3e%3c/svg%3e</v>
      </c>
      <c r="H1507" s="8" t="s">
        <v>32</v>
      </c>
      <c r="I1507" s="8">
        <f t="shared" ref="I1507:J1507" si="1508">len(B1507)</f>
        <v>19</v>
      </c>
      <c r="J1507" s="8">
        <f t="shared" si="1508"/>
        <v>62</v>
      </c>
      <c r="K1507" s="8" t="s">
        <v>6181</v>
      </c>
    </row>
    <row r="1508">
      <c r="A1508" s="7" t="b">
        <v>1</v>
      </c>
      <c r="B1508" s="8" t="s">
        <v>6182</v>
      </c>
      <c r="C1508" s="7" t="s">
        <v>6183</v>
      </c>
      <c r="D1508" s="8" t="str">
        <f>Q&amp;$K1508&amp;Q&amp;":{"&amp;Q&amp;$B$2&amp;Q&amp;":"&amp;Q&amp;$B1508&amp;Q&amp;","&amp;Q&amp;$C$2&amp;Q&amp;":"&amp;Q&amp;$C1508&amp;Q&amp;","&amp;Q&amp;"sets"&amp;Q&amp;":"&amp;Q&amp;substitute(SUBSTITUTE($H1508,"[",""),"]","")&amp;Q&amp;"},"</f>
        <v>"hogi":{"label":"Sugar","extra":"“Sugar is sweet and so are you.”","sets":"Junior 9+ (2nd)"},</v>
      </c>
      <c r="E1508" s="9" t="str">
        <f t="shared" si="2"/>
        <v>data:image/svg+xml,%3csvg xmlns='http://www.w3.org/2000/svg' viewBox='0 0 24 216'%3e%3ctext fill='%23fff' style='font: 900 16px sans-serif' text-anchor='end' transform='matrix(0 -1 1 0 18 5)'%3eSugar%3c/text%3e%3c/svg%3e</v>
      </c>
      <c r="F1508" s="14" t="str">
        <f t="shared" si="3"/>
        <v>https://svgtext.heliohost.us/cgi-bin/gen.perl?text=Sugar</v>
      </c>
      <c r="G1508" s="11" t="str">
        <f t="shared" si="4"/>
        <v>data:image/svg+xml,%3csvg xmlns='http://www.w3.org/2000/svg' viewBox='0 0 24 216'%3e%3ctext fill='%23fff' style='font: 900 16px sans-serif' text-anchor='end' transform='matrix(0 -1 1 0 18 5)'%3eSugar%3c/text%3e%3c/svg%3e</v>
      </c>
      <c r="H1508" s="8" t="s">
        <v>32</v>
      </c>
      <c r="I1508" s="8">
        <f t="shared" ref="I1508:J1508" si="1509">len(B1508)</f>
        <v>5</v>
      </c>
      <c r="J1508" s="8">
        <f t="shared" si="1509"/>
        <v>32</v>
      </c>
      <c r="K1508" s="8" t="s">
        <v>6184</v>
      </c>
    </row>
    <row r="1509">
      <c r="A1509" s="7" t="b">
        <v>1</v>
      </c>
      <c r="B1509" s="8" t="s">
        <v>6185</v>
      </c>
      <c r="C1509" s="8" t="s">
        <v>6186</v>
      </c>
      <c r="D1509" s="8" t="str">
        <f>Q&amp;$K1509&amp;Q&amp;":{"&amp;Q&amp;$B$2&amp;Q&amp;":"&amp;Q&amp;$B1509&amp;Q&amp;","&amp;Q&amp;$C$2&amp;Q&amp;":"&amp;Q&amp;$C1509&amp;Q&amp;","&amp;Q&amp;"sets"&amp;Q&amp;":"&amp;Q&amp;substitute(SUBSTITUTE($H1509,"[",""),"]","")&amp;Q&amp;"},"</f>
        <v>"llwf":{"label":"Sugar &amp; Spice","extra":"And everything nice.","sets":"Expansion Set 4, Party Expansion 1"},</v>
      </c>
      <c r="E1509" s="9" t="str">
        <f t="shared" si="2"/>
        <v>data:image/svg+xml,%3csvg xmlns='http://www.w3.org/2000/svg' viewBox='0 0 24 216'%3e%3ctext fill='%23fff' style='font: 900 16px sans-serif' text-anchor='end' transform='matrix(0 -1 1 0 18 5)'%3eSugar %26amp%3B Spice%3c/text%3e%3c/svg%3e</v>
      </c>
      <c r="F1509" s="14" t="str">
        <f t="shared" si="3"/>
        <v>https://svgtext.heliohost.us/cgi-bin/gen.perl?text=Sugar%20%26%20Spice</v>
      </c>
      <c r="G1509" s="11" t="str">
        <f t="shared" si="4"/>
        <v>data:image/svg+xml,%3csvg xmlns='http://www.w3.org/2000/svg' viewBox='0 0 24 216'%3e%3ctext fill='%23fff' style='font: 900 16px sans-serif' text-anchor='end' transform='matrix(0 -1 1 0 18 5)'%3eSugar %26amp%3B Spice%3c/text%3e%3c/svg%3e</v>
      </c>
      <c r="H1509" s="8" t="s">
        <v>63</v>
      </c>
      <c r="I1509" s="8">
        <f t="shared" ref="I1509:J1509" si="1510">len(B1509)</f>
        <v>13</v>
      </c>
      <c r="J1509" s="8">
        <f t="shared" si="1510"/>
        <v>20</v>
      </c>
      <c r="K1509" s="8" t="s">
        <v>6187</v>
      </c>
    </row>
    <row r="1510">
      <c r="A1510" s="7" t="b">
        <v>1</v>
      </c>
      <c r="B1510" s="8" t="s">
        <v>6188</v>
      </c>
      <c r="C1510" s="7" t="s">
        <v>6189</v>
      </c>
      <c r="D1510" s="8" t="str">
        <f>Q&amp;$K1510&amp;Q&amp;":{"&amp;Q&amp;$B$2&amp;Q&amp;":"&amp;Q&amp;$B1510&amp;Q&amp;","&amp;Q&amp;$C$2&amp;Q&amp;":"&amp;Q&amp;$C1510&amp;Q&amp;","&amp;Q&amp;"sets"&amp;Q&amp;":"&amp;Q&amp;substitute(SUBSTITUTE($H1510,"[",""),"]","")&amp;Q&amp;"},"</f>
        <v>"uazq":{"label":"Suit &amp; Tie","extra":"It’s business as usual!","sets":"Expansion Set 4, Party Expansion 1"},</v>
      </c>
      <c r="E1510" s="9" t="str">
        <f t="shared" si="2"/>
        <v>data:image/svg+xml,%3csvg xmlns='http://www.w3.org/2000/svg' viewBox='0 0 24 216'%3e%3ctext fill='%23fff' style='font: 900 16px sans-serif' text-anchor='end' transform='matrix(0 -1 1 0 18 5)'%3eSuit %26amp%3B Tie%3c/text%3e%3c/svg%3e</v>
      </c>
      <c r="F1510" s="14" t="str">
        <f t="shared" si="3"/>
        <v>https://svgtext.heliohost.us/cgi-bin/gen.perl?text=Suit%20%26%20Tie</v>
      </c>
      <c r="G1510" s="11" t="str">
        <f t="shared" si="4"/>
        <v>data:image/svg+xml,%3csvg xmlns='http://www.w3.org/2000/svg' viewBox='0 0 24 216'%3e%3ctext fill='%23fff' style='font: 900 16px sans-serif' text-anchor='end' transform='matrix(0 -1 1 0 18 5)'%3eSuit %26amp%3B Tie%3c/text%3e%3c/svg%3e</v>
      </c>
      <c r="H1510" s="8" t="s">
        <v>63</v>
      </c>
      <c r="I1510" s="8">
        <f t="shared" ref="I1510:J1510" si="1511">len(B1510)</f>
        <v>10</v>
      </c>
      <c r="J1510" s="8">
        <f t="shared" si="1511"/>
        <v>23</v>
      </c>
      <c r="K1510" s="8" t="s">
        <v>6190</v>
      </c>
    </row>
    <row r="1511">
      <c r="A1511" s="7" t="b">
        <v>0</v>
      </c>
      <c r="B1511" s="8" t="s">
        <v>6191</v>
      </c>
      <c r="C1511" s="8" t="s">
        <v>6192</v>
      </c>
      <c r="D1511" s="8" t="str">
        <f>Q&amp;$K1511&amp;Q&amp;":{"&amp;Q&amp;$B$2&amp;Q&amp;":"&amp;Q&amp;$B1511&amp;Q&amp;","&amp;Q&amp;$C$2&amp;Q&amp;":"&amp;Q&amp;$C1511&amp;Q&amp;","&amp;Q&amp;"sets"&amp;Q&amp;":"&amp;Q&amp;substitute(SUBSTITUTE($H1511,"[",""),"]","")&amp;Q&amp;"},"</f>
        <v>"bc{f":{"label":"Summer","extra":"SCHOOL'S OUT!","sets":"Junior"},</v>
      </c>
      <c r="E1511" s="9" t="str">
        <f t="shared" si="2"/>
        <v>data:image/svg+xml,%3csvg xmlns='http://www.w3.org/2000/svg' viewBox='0 0 24 216'%3e%3ctext fill='%23fff' style='font: 900 16px sans-serif' text-anchor='end' transform='matrix(0 -1 1 0 18 5)'%3eSummer%3c/text%3e%3c/svg%3e</v>
      </c>
      <c r="F1511" s="14" t="str">
        <f t="shared" si="3"/>
        <v>https://svgtext.heliohost.us/cgi-bin/gen.perl?text=Summer</v>
      </c>
      <c r="G1511" s="11" t="str">
        <f t="shared" si="4"/>
        <v>data:image/svg+xml,%3csvg xmlns='http://www.w3.org/2000/svg' viewBox='0 0 24 216'%3e%3ctext fill='%23fff' style='font: 900 16px sans-serif' text-anchor='end' transform='matrix(0 -1 1 0 18 5)'%3eSummer%3c/text%3e%3c/svg%3e</v>
      </c>
      <c r="H1511" s="8" t="s">
        <v>84</v>
      </c>
      <c r="I1511" s="8">
        <f t="shared" ref="I1511:J1511" si="1512">len(B1511)</f>
        <v>6</v>
      </c>
      <c r="J1511" s="8">
        <f t="shared" si="1512"/>
        <v>13</v>
      </c>
      <c r="K1511" s="8" t="s">
        <v>6193</v>
      </c>
    </row>
    <row r="1512">
      <c r="A1512" s="7" t="b">
        <v>0</v>
      </c>
      <c r="B1512" s="8" t="s">
        <v>6194</v>
      </c>
      <c r="C1512" s="7" t="s">
        <v>6195</v>
      </c>
      <c r="D1512" s="8" t="str">
        <f>Q&amp;$K1512&amp;Q&amp;":{"&amp;Q&amp;$B$2&amp;Q&amp;":"&amp;Q&amp;$B1512&amp;Q&amp;","&amp;Q&amp;$C$2&amp;Q&amp;":"&amp;Q&amp;$C1512&amp;Q&amp;","&amp;Q&amp;"sets"&amp;Q&amp;":"&amp;Q&amp;substitute(SUBSTITUTE($H1512,"[",""),"]","")&amp;Q&amp;"},"</f>
        <v>"bayl":{"label":"Summer Camp","extra":"Day camps and sleepover camps. Either way, you’ll have lots of fun.","sets":"Junior"},</v>
      </c>
      <c r="E1512" s="9" t="str">
        <f t="shared" si="2"/>
        <v>data:image/svg+xml,%3csvg xmlns='http://www.w3.org/2000/svg' viewBox='0 0 24 216'%3e%3ctext fill='%23fff' style='font: 900 16px sans-serif' text-anchor='end' transform='matrix(0 -1 1 0 18 5)'%3eSummer Camp%3c/text%3e%3c/svg%3e</v>
      </c>
      <c r="F1512" s="14" t="str">
        <f t="shared" si="3"/>
        <v>https://svgtext.heliohost.us/cgi-bin/gen.perl?text=Summer%20Camp</v>
      </c>
      <c r="G1512" s="11" t="str">
        <f t="shared" si="4"/>
        <v>data:image/svg+xml,%3csvg xmlns='http://www.w3.org/2000/svg' viewBox='0 0 24 216'%3e%3ctext fill='%23fff' style='font: 900 16px sans-serif' text-anchor='end' transform='matrix(0 -1 1 0 18 5)'%3eSummer Camp%3c/text%3e%3c/svg%3e</v>
      </c>
      <c r="H1512" s="8" t="s">
        <v>84</v>
      </c>
      <c r="I1512" s="8">
        <f t="shared" ref="I1512:J1512" si="1513">len(B1512)</f>
        <v>11</v>
      </c>
      <c r="J1512" s="8">
        <f t="shared" si="1513"/>
        <v>67</v>
      </c>
      <c r="K1512" s="8" t="s">
        <v>6196</v>
      </c>
    </row>
    <row r="1513">
      <c r="A1513" s="7" t="b">
        <v>1</v>
      </c>
      <c r="B1513" s="8" t="s">
        <v>6194</v>
      </c>
      <c r="C1513" s="7" t="s">
        <v>6197</v>
      </c>
      <c r="D1513" s="8" t="str">
        <f>Q&amp;$K1513&amp;Q&amp;":{"&amp;Q&amp;$B$2&amp;Q&amp;":"&amp;Q&amp;$B1513&amp;Q&amp;","&amp;Q&amp;$C$2&amp;Q&amp;":"&amp;Q&amp;$C1513&amp;Q&amp;","&amp;Q&amp;"sets"&amp;Q&amp;":"&amp;Q&amp;substitute(SUBSTITUTE($H1513,"[",""),"]","")&amp;Q&amp;"},"</f>
        <v>"svxm":{"label":"Summer Camp","extra":"If the bugs don’t get you, the poison ivy will!","sets":"Expansion Set 1, Party Set"},</v>
      </c>
      <c r="E1513" s="9" t="str">
        <f t="shared" si="2"/>
        <v>data:image/svg+xml,%3csvg xmlns='http://www.w3.org/2000/svg' viewBox='0 0 24 216'%3e%3ctext fill='%23fff' style='font: 900 16px sans-serif' text-anchor='end' transform='matrix(0 -1 1 0 18 5)'%3eSummer Camp%3c/text%3e%3c/svg%3e</v>
      </c>
      <c r="F1513" s="14" t="str">
        <f t="shared" si="3"/>
        <v>https://svgtext.heliohost.us/cgi-bin/gen.perl?text=Summer%20Camp</v>
      </c>
      <c r="G1513" s="11" t="str">
        <f t="shared" si="4"/>
        <v>data:image/svg+xml,%3csvg xmlns='http://www.w3.org/2000/svg' viewBox='0 0 24 216'%3e%3ctext fill='%23fff' style='font: 900 16px sans-serif' text-anchor='end' transform='matrix(0 -1 1 0 18 5)'%3eSummer Camp%3c/text%3e%3c/svg%3e</v>
      </c>
      <c r="H1513" s="8" t="s">
        <v>25</v>
      </c>
      <c r="I1513" s="8">
        <f t="shared" ref="I1513:J1513" si="1514">len(B1513)</f>
        <v>11</v>
      </c>
      <c r="J1513" s="8">
        <f t="shared" si="1514"/>
        <v>47</v>
      </c>
      <c r="K1513" s="8" t="s">
        <v>6198</v>
      </c>
    </row>
    <row r="1514">
      <c r="A1514" s="7" t="b">
        <v>1</v>
      </c>
      <c r="B1514" s="8" t="s">
        <v>6199</v>
      </c>
      <c r="C1514" s="8" t="s">
        <v>6200</v>
      </c>
      <c r="D1514" s="8" t="str">
        <f>Q&amp;$K1514&amp;Q&amp;":{"&amp;Q&amp;$B$2&amp;Q&amp;":"&amp;Q&amp;$B1514&amp;Q&amp;","&amp;Q&amp;$C$2&amp;Q&amp;":"&amp;Q&amp;$C1514&amp;Q&amp;","&amp;Q&amp;"sets"&amp;Q&amp;":"&amp;Q&amp;substitute(SUBSTITUTE($H1514,"[",""),"]","")&amp;Q&amp;"},"</f>
        <v>"nalo":{"label":"Sumo Wrestlers","extra":"Wrestlers usually weigh 300-400 pounds and win this Japanese form of wrestling by forcing an opponent out of the ring.","sets":"Expansion Set 3, Party Expansion 1"},</v>
      </c>
      <c r="E1514" s="9" t="str">
        <f t="shared" si="2"/>
        <v>data:image/svg+xml,%3csvg xmlns='http://www.w3.org/2000/svg' viewBox='0 0 24 216'%3e%3ctext fill='%23fff' style='font: 900 16px sans-serif' text-anchor='end' transform='matrix(0 -1 1 0 18 5)'%3eSumo Wrestlers%3c/text%3e%3c/svg%3e</v>
      </c>
      <c r="F1514" s="14" t="str">
        <f t="shared" si="3"/>
        <v>https://svgtext.heliohost.us/cgi-bin/gen.perl?text=Sumo%20Wrestlers</v>
      </c>
      <c r="G1514" s="11" t="str">
        <f t="shared" si="4"/>
        <v>data:image/svg+xml,%3csvg xmlns='http://www.w3.org/2000/svg' viewBox='0 0 24 216'%3e%3ctext fill='%23fff' style='font: 900 16px sans-serif' text-anchor='end' transform='matrix(0 -1 1 0 18 5)'%3eSumo Wrestlers%3c/text%3e%3c/svg%3e</v>
      </c>
      <c r="H1514" s="8" t="s">
        <v>39</v>
      </c>
      <c r="I1514" s="8">
        <f t="shared" ref="I1514:J1514" si="1515">len(B1514)</f>
        <v>14</v>
      </c>
      <c r="J1514" s="8">
        <f t="shared" si="1515"/>
        <v>118</v>
      </c>
      <c r="K1514" s="8" t="s">
        <v>6201</v>
      </c>
    </row>
    <row r="1515">
      <c r="A1515" s="7" t="b">
        <v>1</v>
      </c>
      <c r="B1515" s="8" t="s">
        <v>6202</v>
      </c>
      <c r="C1515" s="8" t="s">
        <v>6203</v>
      </c>
      <c r="D1515" s="8" t="str">
        <f>Q&amp;$K1515&amp;Q&amp;":{"&amp;Q&amp;$B$2&amp;Q&amp;":"&amp;Q&amp;$B1515&amp;Q&amp;","&amp;Q&amp;$C$2&amp;Q&amp;":"&amp;Q&amp;$C1515&amp;Q&amp;","&amp;Q&amp;"sets"&amp;Q&amp;":"&amp;Q&amp;substitute(SUBSTITUTE($H1515,"[",""),"]","")&amp;Q&amp;"},"</f>
        <v>"nrso":{"label":"Sunburns","extra":"Next time, use some sunscreen.","sets":"Junior 9+ (1st) &amp; (2nd)"},</v>
      </c>
      <c r="E1515" s="9" t="str">
        <f t="shared" si="2"/>
        <v>data:image/svg+xml,%3csvg xmlns='http://www.w3.org/2000/svg' viewBox='0 0 24 216'%3e%3ctext fill='%23fff' style='font: 900 16px sans-serif' text-anchor='end' transform='matrix(0 -1 1 0 18 5)'%3eSunburns%3c/text%3e%3c/svg%3e</v>
      </c>
      <c r="F1515" s="14" t="str">
        <f t="shared" si="3"/>
        <v>https://svgtext.heliohost.us/cgi-bin/gen.perl?text=Sunburns</v>
      </c>
      <c r="G1515" s="11" t="str">
        <f t="shared" si="4"/>
        <v>data:image/svg+xml,%3csvg xmlns='http://www.w3.org/2000/svg' viewBox='0 0 24 216'%3e%3ctext fill='%23fff' style='font: 900 16px sans-serif' text-anchor='end' transform='matrix(0 -1 1 0 18 5)'%3eSunburns%3c/text%3e%3c/svg%3e</v>
      </c>
      <c r="H1515" s="8" t="s">
        <v>42</v>
      </c>
      <c r="I1515" s="8">
        <f t="shared" ref="I1515:J1515" si="1516">len(B1515)</f>
        <v>8</v>
      </c>
      <c r="J1515" s="8">
        <f t="shared" si="1516"/>
        <v>30</v>
      </c>
      <c r="K1515" s="8" t="s">
        <v>6204</v>
      </c>
    </row>
    <row r="1516">
      <c r="A1516" s="7" t="b">
        <v>0</v>
      </c>
      <c r="B1516" s="8" t="s">
        <v>6205</v>
      </c>
      <c r="C1516" s="8" t="s">
        <v>6206</v>
      </c>
      <c r="D1516" s="8" t="str">
        <f>Q&amp;$K1516&amp;Q&amp;":{"&amp;Q&amp;$B$2&amp;Q&amp;":"&amp;Q&amp;$B1516&amp;Q&amp;","&amp;Q&amp;$C$2&amp;Q&amp;":"&amp;Q&amp;$C1516&amp;Q&amp;","&amp;Q&amp;"sets"&amp;Q&amp;":"&amp;Q&amp;substitute(SUBSTITUTE($H1516,"[",""),"]","")&amp;Q&amp;"},"</f>
        <v>"wedg":{"label":"Sunday Drivers","extra":"Now available ANY day of the week!","sets":"Expansion Set 1, Party Set"},</v>
      </c>
      <c r="E1516" s="9" t="str">
        <f t="shared" si="2"/>
        <v>data:image/svg+xml,%3csvg xmlns='http://www.w3.org/2000/svg' viewBox='0 0 24 216'%3e%3ctext fill='%23fff' style='font: 900 16px sans-serif' text-anchor='end' transform='matrix(0 -1 1 0 18 5)'%3eSunday Drivers%3c/text%3e%3c/svg%3e</v>
      </c>
      <c r="F1516" s="14" t="str">
        <f t="shared" si="3"/>
        <v>https://svgtext.heliohost.us/cgi-bin/gen.perl?text=Sunday%20Drivers</v>
      </c>
      <c r="G1516" s="11" t="str">
        <f t="shared" si="4"/>
        <v>data:image/svg+xml,%3csvg xmlns='http://www.w3.org/2000/svg' viewBox='0 0 24 216'%3e%3ctext fill='%23fff' style='font: 900 16px sans-serif' text-anchor='end' transform='matrix(0 -1 1 0 18 5)'%3eSunday Drivers%3c/text%3e%3c/svg%3e</v>
      </c>
      <c r="H1516" s="8" t="s">
        <v>25</v>
      </c>
      <c r="I1516" s="8">
        <f t="shared" ref="I1516:J1516" si="1517">len(B1516)</f>
        <v>14</v>
      </c>
      <c r="J1516" s="8">
        <f t="shared" si="1517"/>
        <v>34</v>
      </c>
      <c r="K1516" s="8" t="s">
        <v>6207</v>
      </c>
    </row>
    <row r="1517">
      <c r="A1517" s="7" t="b">
        <v>1</v>
      </c>
      <c r="B1517" s="8" t="s">
        <v>6208</v>
      </c>
      <c r="C1517" s="8" t="s">
        <v>6209</v>
      </c>
      <c r="D1517" s="8" t="str">
        <f>Q&amp;$K1517&amp;Q&amp;":{"&amp;Q&amp;$B$2&amp;Q&amp;":"&amp;Q&amp;$B1517&amp;Q&amp;","&amp;Q&amp;$C$2&amp;Q&amp;":"&amp;Q&amp;$C1517&amp;Q&amp;","&amp;Q&amp;"sets"&amp;Q&amp;":"&amp;Q&amp;substitute(SUBSTITUTE($H1517,"[",""),"]","")&amp;Q&amp;"},"</f>
        <v>"ohhz":{"label":"Sunflower","extra":"Tall plants with large, yellow flowers. Toast the seeds for a tasty snack.","sets":"Junior"},</v>
      </c>
      <c r="E1517" s="9" t="str">
        <f t="shared" si="2"/>
        <v>data:image/svg+xml,%3csvg xmlns='http://www.w3.org/2000/svg' viewBox='0 0 24 216'%3e%3ctext fill='%23fff' style='font: 900 16px sans-serif' text-anchor='end' transform='matrix(0 -1 1 0 18 5)'%3eSunflower%3c/text%3e%3c/svg%3e</v>
      </c>
      <c r="F1517" s="14" t="str">
        <f t="shared" si="3"/>
        <v>https://svgtext.heliohost.us/cgi-bin/gen.perl?text=Sunflower</v>
      </c>
      <c r="G1517" s="11" t="str">
        <f t="shared" si="4"/>
        <v>data:image/svg+xml,%3csvg xmlns='http://www.w3.org/2000/svg' viewBox='0 0 24 216'%3e%3ctext fill='%23fff' style='font: 900 16px sans-serif' text-anchor='end' transform='matrix(0 -1 1 0 18 5)'%3eSunflower%3c/text%3e%3c/svg%3e</v>
      </c>
      <c r="H1517" s="8" t="s">
        <v>84</v>
      </c>
      <c r="I1517" s="8">
        <f t="shared" ref="I1517:J1517" si="1518">len(B1517)</f>
        <v>9</v>
      </c>
      <c r="J1517" s="8">
        <f t="shared" si="1518"/>
        <v>74</v>
      </c>
      <c r="K1517" s="8" t="s">
        <v>6210</v>
      </c>
    </row>
    <row r="1518">
      <c r="A1518" s="7" t="b">
        <v>1</v>
      </c>
      <c r="B1518" s="8" t="s">
        <v>6211</v>
      </c>
      <c r="C1518" s="8" t="s">
        <v>6212</v>
      </c>
      <c r="D1518" s="8" t="str">
        <f>Q&amp;$K1518&amp;Q&amp;":{"&amp;Q&amp;$B$2&amp;Q&amp;":"&amp;Q&amp;$B1518&amp;Q&amp;","&amp;Q&amp;$C$2&amp;Q&amp;":"&amp;Q&amp;$C1518&amp;Q&amp;","&amp;Q&amp;"sets"&amp;Q&amp;":"&amp;Q&amp;substitute(SUBSTITUTE($H1518,"[",""),"]","")&amp;Q&amp;"},"</f>
        <v>"nihj":{"label":"Sunken Ships","extra":"Early ships would often sink in battles or bad weather.","sets":"Junior 9+ (2nd)"},</v>
      </c>
      <c r="E1518" s="9" t="str">
        <f t="shared" si="2"/>
        <v>data:image/svg+xml,%3csvg xmlns='http://www.w3.org/2000/svg' viewBox='0 0 24 216'%3e%3ctext fill='%23fff' style='font: 900 16px sans-serif' text-anchor='end' transform='matrix(0 -1 1 0 18 5)'%3eSunken Ships%3c/text%3e%3c/svg%3e</v>
      </c>
      <c r="F1518" s="14" t="str">
        <f t="shared" si="3"/>
        <v>https://svgtext.heliohost.us/cgi-bin/gen.perl?text=Sunken%20Ships</v>
      </c>
      <c r="G1518" s="11" t="str">
        <f t="shared" si="4"/>
        <v>data:image/svg+xml,%3csvg xmlns='http://www.w3.org/2000/svg' viewBox='0 0 24 216'%3e%3ctext fill='%23fff' style='font: 900 16px sans-serif' text-anchor='end' transform='matrix(0 -1 1 0 18 5)'%3eSunken Ships%3c/text%3e%3c/svg%3e</v>
      </c>
      <c r="H1518" s="8" t="s">
        <v>32</v>
      </c>
      <c r="I1518" s="8">
        <f t="shared" ref="I1518:J1518" si="1519">len(B1518)</f>
        <v>12</v>
      </c>
      <c r="J1518" s="8">
        <f t="shared" si="1519"/>
        <v>55</v>
      </c>
      <c r="K1518" s="8" t="s">
        <v>6213</v>
      </c>
    </row>
    <row r="1519">
      <c r="A1519" s="7" t="b">
        <v>1</v>
      </c>
      <c r="B1519" s="8" t="s">
        <v>6214</v>
      </c>
      <c r="C1519" s="8" t="s">
        <v>6215</v>
      </c>
      <c r="D1519" s="8" t="str">
        <f>Q&amp;$K1519&amp;Q&amp;":{"&amp;Q&amp;$B$2&amp;Q&amp;":"&amp;Q&amp;$B1519&amp;Q&amp;","&amp;Q&amp;$C$2&amp;Q&amp;":"&amp;Q&amp;$C1519&amp;Q&amp;","&amp;Q&amp;"sets"&amp;Q&amp;":"&amp;Q&amp;substitute(SUBSTITUTE($H1519,"[",""),"]","")&amp;Q&amp;"},"</f>
        <v>"bbbl":{"label":"Sunshine","extra":"Warms the Earth and helps plants to grow.","sets":"Junior"},</v>
      </c>
      <c r="E1519" s="9" t="str">
        <f t="shared" si="2"/>
        <v>data:image/svg+xml,%3csvg xmlns='http://www.w3.org/2000/svg' viewBox='0 0 24 216'%3e%3ctext fill='%23fff' style='font: 900 16px sans-serif' text-anchor='end' transform='matrix(0 -1 1 0 18 5)'%3eSunshine%3c/text%3e%3c/svg%3e</v>
      </c>
      <c r="F1519" s="14" t="str">
        <f t="shared" si="3"/>
        <v>https://svgtext.heliohost.us/cgi-bin/gen.perl?text=Sunshine</v>
      </c>
      <c r="G1519" s="11" t="str">
        <f t="shared" si="4"/>
        <v>data:image/svg+xml,%3csvg xmlns='http://www.w3.org/2000/svg' viewBox='0 0 24 216'%3e%3ctext fill='%23fff' style='font: 900 16px sans-serif' text-anchor='end' transform='matrix(0 -1 1 0 18 5)'%3eSunshine%3c/text%3e%3c/svg%3e</v>
      </c>
      <c r="H1519" s="8" t="s">
        <v>84</v>
      </c>
      <c r="I1519" s="8">
        <f t="shared" ref="I1519:J1519" si="1520">len(B1519)</f>
        <v>8</v>
      </c>
      <c r="J1519" s="8">
        <f t="shared" si="1520"/>
        <v>41</v>
      </c>
      <c r="K1519" s="8" t="s">
        <v>6216</v>
      </c>
    </row>
    <row r="1520">
      <c r="A1520" s="7" t="b">
        <v>0</v>
      </c>
      <c r="B1520" s="8" t="s">
        <v>6217</v>
      </c>
      <c r="C1520" s="8" t="s">
        <v>6218</v>
      </c>
      <c r="D1520" s="8" t="str">
        <f>Q&amp;$K1520&amp;Q&amp;":{"&amp;Q&amp;$B$2&amp;Q&amp;":"&amp;Q&amp;$B1520&amp;Q&amp;","&amp;Q&amp;$C$2&amp;Q&amp;":"&amp;Q&amp;$C1520&amp;Q&amp;","&amp;Q&amp;"sets"&amp;Q&amp;":"&amp;Q&amp;substitute(SUBSTITUTE($H1520,"[",""),"]","")&amp;Q&amp;"},"</f>
        <v>"bblb":{"label":"Superman","extra":"Fictional comic book superhero loved by Lois Lane and Jerry Seinfeld.","sets":"Basic Set, Party Set"},</v>
      </c>
      <c r="E1520" s="9" t="str">
        <f t="shared" si="2"/>
        <v>data:image/svg+xml,%3csvg xmlns='http://www.w3.org/2000/svg' viewBox='0 0 24 216'%3e%3ctext fill='%23fff' style='font: 900 16px sans-serif' text-anchor='end' transform='matrix(0 -1 1 0 18 5)'%3eSuperman%3c/text%3e%3c/svg%3e</v>
      </c>
      <c r="F1520" s="14" t="str">
        <f t="shared" si="3"/>
        <v>https://svgtext.heliohost.us/cgi-bin/gen.perl?text=Superman</v>
      </c>
      <c r="G1520" s="11" t="str">
        <f t="shared" si="4"/>
        <v>data:image/svg+xml,%3csvg xmlns='http://www.w3.org/2000/svg' viewBox='0 0 24 216'%3e%3ctext fill='%23fff' style='font: 900 16px sans-serif' text-anchor='end' transform='matrix(0 -1 1 0 18 5)'%3eSuperman%3c/text%3e%3c/svg%3e</v>
      </c>
      <c r="H1520" s="8" t="s">
        <v>29</v>
      </c>
      <c r="I1520" s="8">
        <f t="shared" ref="I1520:J1520" si="1521">len(B1520)</f>
        <v>8</v>
      </c>
      <c r="J1520" s="8">
        <f t="shared" si="1521"/>
        <v>69</v>
      </c>
      <c r="K1520" s="8" t="s">
        <v>6219</v>
      </c>
    </row>
    <row r="1521">
      <c r="A1521" s="7" t="b">
        <v>1</v>
      </c>
      <c r="B1521" s="8" t="s">
        <v>6217</v>
      </c>
      <c r="C1521" s="8" t="s">
        <v>6220</v>
      </c>
      <c r="D1521" s="8" t="str">
        <f>Q&amp;$K1521&amp;Q&amp;":{"&amp;Q&amp;$B$2&amp;Q&amp;":"&amp;Q&amp;$B1521&amp;Q&amp;","&amp;Q&amp;$C$2&amp;Q&amp;":"&amp;Q&amp;$C1521&amp;Q&amp;","&amp;Q&amp;"sets"&amp;Q&amp;":"&amp;Q&amp;substitute(SUBSTITUTE($H1521,"[",""),"]","")&amp;Q&amp;"},"</f>
        <v>"eoun":{"label":"Superman","extra":"Faster than a speeding bullet!","sets":"Junior 9+ (1st) &amp; (2nd)"},</v>
      </c>
      <c r="E1521" s="9" t="str">
        <f t="shared" si="2"/>
        <v>data:image/svg+xml,%3csvg xmlns='http://www.w3.org/2000/svg' viewBox='0 0 24 216'%3e%3ctext fill='%23fff' style='font: 900 16px sans-serif' text-anchor='end' transform='matrix(0 -1 1 0 18 5)'%3eSuperman%3c/text%3e%3c/svg%3e</v>
      </c>
      <c r="F1521" s="14" t="str">
        <f t="shared" si="3"/>
        <v>https://svgtext.heliohost.us/cgi-bin/gen.perl?text=Superman</v>
      </c>
      <c r="G1521" s="11" t="str">
        <f t="shared" si="4"/>
        <v>data:image/svg+xml,%3csvg xmlns='http://www.w3.org/2000/svg' viewBox='0 0 24 216'%3e%3ctext fill='%23fff' style='font: 900 16px sans-serif' text-anchor='end' transform='matrix(0 -1 1 0 18 5)'%3eSuperman%3c/text%3e%3c/svg%3e</v>
      </c>
      <c r="H1521" s="8" t="s">
        <v>42</v>
      </c>
      <c r="I1521" s="8">
        <f t="shared" ref="I1521:J1521" si="1522">len(B1521)</f>
        <v>8</v>
      </c>
      <c r="J1521" s="8">
        <f t="shared" si="1522"/>
        <v>30</v>
      </c>
      <c r="K1521" s="8" t="s">
        <v>6221</v>
      </c>
    </row>
    <row r="1522">
      <c r="A1522" s="7" t="b">
        <v>1</v>
      </c>
      <c r="B1522" s="8" t="s">
        <v>6222</v>
      </c>
      <c r="C1522" s="7" t="s">
        <v>6223</v>
      </c>
      <c r="D1522" s="8" t="str">
        <f>Q&amp;$K1522&amp;Q&amp;":{"&amp;Q&amp;$B$2&amp;Q&amp;":"&amp;Q&amp;$B1522&amp;Q&amp;","&amp;Q&amp;$C$2&amp;Q&amp;":"&amp;Q&amp;$C1522&amp;Q&amp;","&amp;Q&amp;"sets"&amp;Q&amp;":"&amp;Q&amp;substitute(SUBSTITUTE($H1522,"[",""),"]","")&amp;Q&amp;"},"</f>
        <v>"mdey":{"label":"Supermarkets","extra":"It’s a meat market, bakery, flower shop, and toy store- all in one!","sets":"Junior 9+ (2nd)"},</v>
      </c>
      <c r="E1522" s="9" t="str">
        <f t="shared" si="2"/>
        <v>data:image/svg+xml,%3csvg xmlns='http://www.w3.org/2000/svg' viewBox='0 0 24 216'%3e%3ctext fill='%23fff' style='font: 900 16px sans-serif' text-anchor='end' transform='matrix(0 -1 1 0 18 5)'%3eSupermarkets%3c/text%3e%3c/svg%3e</v>
      </c>
      <c r="F1522" s="14" t="str">
        <f t="shared" si="3"/>
        <v>https://svgtext.heliohost.us/cgi-bin/gen.perl?text=Supermarkets</v>
      </c>
      <c r="G1522" s="11" t="str">
        <f t="shared" si="4"/>
        <v>data:image/svg+xml,%3csvg xmlns='http://www.w3.org/2000/svg' viewBox='0 0 24 216'%3e%3ctext fill='%23fff' style='font: 900 16px sans-serif' text-anchor='end' transform='matrix(0 -1 1 0 18 5)'%3eSupermarkets%3c/text%3e%3c/svg%3e</v>
      </c>
      <c r="H1522" s="8" t="s">
        <v>32</v>
      </c>
      <c r="I1522" s="8">
        <f t="shared" ref="I1522:J1522" si="1523">len(B1522)</f>
        <v>12</v>
      </c>
      <c r="J1522" s="8">
        <f t="shared" si="1523"/>
        <v>67</v>
      </c>
      <c r="K1522" s="8" t="s">
        <v>6224</v>
      </c>
    </row>
    <row r="1523">
      <c r="A1523" s="7" t="b">
        <v>0</v>
      </c>
      <c r="B1523" s="8" t="s">
        <v>6225</v>
      </c>
      <c r="C1523" s="8" t="s">
        <v>6226</v>
      </c>
      <c r="D1523" s="8" t="str">
        <f>Q&amp;$K1523&amp;Q&amp;":{"&amp;Q&amp;$B$2&amp;Q&amp;":"&amp;Q&amp;$B1523&amp;Q&amp;","&amp;Q&amp;$C$2&amp;Q&amp;":"&amp;Q&amp;$C1523&amp;Q&amp;","&amp;Q&amp;"sets"&amp;Q&amp;":"&amp;Q&amp;substitute(SUBSTITUTE($H1523,"[",""),"]","")&amp;Q&amp;"},"</f>
        <v>"vsfc":{"label":"Supermodels","extra":"Long legs = big bucks.","sets":"Expansion Set 2, Party Set"},</v>
      </c>
      <c r="E1523" s="9" t="str">
        <f t="shared" si="2"/>
        <v>data:image/svg+xml,%3csvg xmlns='http://www.w3.org/2000/svg' viewBox='0 0 24 216'%3e%3ctext fill='%23fff' style='font: 900 16px sans-serif' text-anchor='end' transform='matrix(0 -1 1 0 18 5)'%3eSupermodels%3c/text%3e%3c/svg%3e</v>
      </c>
      <c r="F1523" s="14" t="str">
        <f t="shared" si="3"/>
        <v>https://svgtext.heliohost.us/cgi-bin/gen.perl?text=Supermodels</v>
      </c>
      <c r="G1523" s="11" t="str">
        <f t="shared" si="4"/>
        <v>data:image/svg+xml,%3csvg xmlns='http://www.w3.org/2000/svg' viewBox='0 0 24 216'%3e%3ctext fill='%23fff' style='font: 900 16px sans-serif' text-anchor='end' transform='matrix(0 -1 1 0 18 5)'%3eSupermodels%3c/text%3e%3c/svg%3e</v>
      </c>
      <c r="H1523" s="8" t="s">
        <v>17</v>
      </c>
      <c r="I1523" s="8">
        <f t="shared" ref="I1523:J1523" si="1524">len(B1523)</f>
        <v>11</v>
      </c>
      <c r="J1523" s="8">
        <f t="shared" si="1524"/>
        <v>22</v>
      </c>
      <c r="K1523" s="8" t="s">
        <v>6227</v>
      </c>
    </row>
    <row r="1524">
      <c r="A1524" s="7" t="b">
        <v>1</v>
      </c>
      <c r="B1524" s="8" t="s">
        <v>6228</v>
      </c>
      <c r="C1524" s="7" t="s">
        <v>6229</v>
      </c>
      <c r="D1524" s="8" t="str">
        <f>Q&amp;$K1524&amp;Q&amp;":{"&amp;Q&amp;$B$2&amp;Q&amp;":"&amp;Q&amp;$B1524&amp;Q&amp;","&amp;Q&amp;$C$2&amp;Q&amp;":"&amp;Q&amp;$C1524&amp;Q&amp;","&amp;Q&amp;"sets"&amp;Q&amp;":"&amp;Q&amp;substitute(SUBSTITUTE($H1524,"[",""),"]","")&amp;Q&amp;"},"</f>
        <v>"cgzx":{"label":"Surf &amp; Turf","extra":"Steak and lobster. No need to choose.","sets":"Expansion Set 4, Party Expansion 1"},</v>
      </c>
      <c r="E1524" s="9" t="str">
        <f t="shared" si="2"/>
        <v>data:image/svg+xml,%3csvg xmlns='http://www.w3.org/2000/svg' viewBox='0 0 24 216'%3e%3ctext fill='%23fff' style='font: 900 16px sans-serif' text-anchor='end' transform='matrix(0 -1 1 0 18 5)'%3eSurf %26amp%3B Turf%3c/text%3e%3c/svg%3e</v>
      </c>
      <c r="F1524" s="14" t="str">
        <f t="shared" si="3"/>
        <v>https://svgtext.heliohost.us/cgi-bin/gen.perl?text=Surf%20%26%20Turf</v>
      </c>
      <c r="G1524" s="11" t="str">
        <f t="shared" si="4"/>
        <v>data:image/svg+xml,%3csvg xmlns='http://www.w3.org/2000/svg' viewBox='0 0 24 216'%3e%3ctext fill='%23fff' style='font: 900 16px sans-serif' text-anchor='end' transform='matrix(0 -1 1 0 18 5)'%3eSurf %26amp%3B Turf%3c/text%3e%3c/svg%3e</v>
      </c>
      <c r="H1524" s="8" t="s">
        <v>63</v>
      </c>
      <c r="I1524" s="8">
        <f t="shared" ref="I1524:J1524" si="1525">len(B1524)</f>
        <v>11</v>
      </c>
      <c r="J1524" s="8">
        <f t="shared" si="1525"/>
        <v>37</v>
      </c>
      <c r="K1524" s="8" t="s">
        <v>6230</v>
      </c>
    </row>
    <row r="1525">
      <c r="A1525" s="7" t="b">
        <v>1</v>
      </c>
      <c r="B1525" s="8" t="s">
        <v>6231</v>
      </c>
      <c r="C1525" s="8" t="s">
        <v>6232</v>
      </c>
      <c r="D1525" s="8" t="str">
        <f>Q&amp;$K1525&amp;Q&amp;":{"&amp;Q&amp;$B$2&amp;Q&amp;":"&amp;Q&amp;$B1525&amp;Q&amp;","&amp;Q&amp;$C$2&amp;Q&amp;":"&amp;Q&amp;$C1525&amp;Q&amp;","&amp;Q&amp;"sets"&amp;Q&amp;":"&amp;Q&amp;substitute(SUBSTITUTE($H1525,"[",""),"]","")&amp;Q&amp;"},"</f>
        <v>"wpwq":{"label":"Surfing","extra":"The waves or the web.","sets":"Junior 9+ (2nd)"},</v>
      </c>
      <c r="E1525" s="9" t="str">
        <f t="shared" si="2"/>
        <v>data:image/svg+xml,%3csvg xmlns='http://www.w3.org/2000/svg' viewBox='0 0 24 216'%3e%3ctext fill='%23fff' style='font: 900 16px sans-serif' text-anchor='end' transform='matrix(0 -1 1 0 18 5)'%3eSurfing%3c/text%3e%3c/svg%3e</v>
      </c>
      <c r="F1525" s="14" t="str">
        <f t="shared" si="3"/>
        <v>https://svgtext.heliohost.us/cgi-bin/gen.perl?text=Surfing</v>
      </c>
      <c r="G1525" s="11" t="str">
        <f t="shared" si="4"/>
        <v>data:image/svg+xml,%3csvg xmlns='http://www.w3.org/2000/svg' viewBox='0 0 24 216'%3e%3ctext fill='%23fff' style='font: 900 16px sans-serif' text-anchor='end' transform='matrix(0 -1 1 0 18 5)'%3eSurfing%3c/text%3e%3c/svg%3e</v>
      </c>
      <c r="H1525" s="8" t="s">
        <v>32</v>
      </c>
      <c r="I1525" s="8">
        <f t="shared" ref="I1525:J1525" si="1526">len(B1525)</f>
        <v>7</v>
      </c>
      <c r="J1525" s="8">
        <f t="shared" si="1526"/>
        <v>21</v>
      </c>
      <c r="K1525" s="8" t="s">
        <v>6233</v>
      </c>
    </row>
    <row r="1526">
      <c r="A1526" s="7" t="b">
        <v>0</v>
      </c>
      <c r="B1526" s="8" t="s">
        <v>6234</v>
      </c>
      <c r="C1526" s="8" t="s">
        <v>6235</v>
      </c>
      <c r="D1526" s="8" t="str">
        <f>Q&amp;$K1526&amp;Q&amp;":{"&amp;Q&amp;$B$2&amp;Q&amp;":"&amp;Q&amp;$B1526&amp;Q&amp;","&amp;Q&amp;$C$2&amp;Q&amp;":"&amp;Q&amp;$C1526&amp;Q&amp;","&amp;Q&amp;"sets"&amp;Q&amp;":"&amp;Q&amp;substitute(SUBSTITUTE($H1526,"[",""),"]","")&amp;Q&amp;"},"</f>
        <v>"xgzw":{"label":"Surfing The Net","extra":"www.otb-games.com","sets":"Basic Set, Party Set"},</v>
      </c>
      <c r="E1526" s="9" t="str">
        <f t="shared" si="2"/>
        <v>data:image/svg+xml,%3csvg xmlns='http://www.w3.org/2000/svg' viewBox='0 0 24 216'%3e%3ctext fill='%23fff' style='font: 900 16px sans-serif' text-anchor='end' transform='matrix(0 -1 1 0 18 5)'%3eSurfing The Net%3c/text%3e%3c/svg%3e</v>
      </c>
      <c r="F1526" s="14" t="str">
        <f t="shared" si="3"/>
        <v>https://svgtext.heliohost.us/cgi-bin/gen.perl?text=Surfing%20The%20Net</v>
      </c>
      <c r="G1526" s="11" t="str">
        <f t="shared" si="4"/>
        <v>data:image/svg+xml,%3csvg xmlns='http://www.w3.org/2000/svg' viewBox='0 0 24 216'%3e%3ctext fill='%23fff' style='font: 900 16px sans-serif' text-anchor='end' transform='matrix(0 -1 1 0 18 5)'%3eSurfing The Net%3c/text%3e%3c/svg%3e</v>
      </c>
      <c r="H1526" s="8" t="s">
        <v>29</v>
      </c>
      <c r="I1526" s="8">
        <f t="shared" ref="I1526:J1526" si="1527">len(B1526)</f>
        <v>15</v>
      </c>
      <c r="J1526" s="8">
        <f t="shared" si="1527"/>
        <v>17</v>
      </c>
      <c r="K1526" s="8" t="s">
        <v>6236</v>
      </c>
    </row>
    <row r="1527">
      <c r="A1527" s="7" t="b">
        <v>1</v>
      </c>
      <c r="B1527" s="8" t="s">
        <v>6237</v>
      </c>
      <c r="C1527" s="7" t="s">
        <v>6238</v>
      </c>
      <c r="D1527" s="8" t="str">
        <f>Q&amp;$K1527&amp;Q&amp;":{"&amp;Q&amp;$B$2&amp;Q&amp;":"&amp;Q&amp;$B1527&amp;Q&amp;","&amp;Q&amp;$C$2&amp;Q&amp;":"&amp;Q&amp;$C1527&amp;Q&amp;","&amp;Q&amp;"sets"&amp;Q&amp;":"&amp;Q&amp;substitute(SUBSTITUTE($H1527,"[",""),"]","")&amp;Q&amp;"},"</f>
        <v>"ldrv":{"label":"Surprise Parties","extra":"SURPRISE! Oh. He had a heart condition… that WAS a surprise…","sets":"Expansion Set 3, Party Expansion 1"},</v>
      </c>
      <c r="E1527" s="9" t="str">
        <f t="shared" si="2"/>
        <v>data:image/svg+xml,%3csvg xmlns='http://www.w3.org/2000/svg' viewBox='0 0 24 216'%3e%3ctext fill='%23fff' style='font: 900 16px sans-serif' text-anchor='end' transform='matrix(0 -1 1 0 18 5)'%3eSurprise Parties%3c/text%3e%3c/svg%3e</v>
      </c>
      <c r="F1527" s="14" t="str">
        <f t="shared" si="3"/>
        <v>https://svgtext.heliohost.us/cgi-bin/gen.perl?text=Surprise%20Parties</v>
      </c>
      <c r="G1527" s="11" t="str">
        <f t="shared" si="4"/>
        <v>data:image/svg+xml,%3csvg xmlns='http://www.w3.org/2000/svg' viewBox='0 0 24 216'%3e%3ctext fill='%23fff' style='font: 900 16px sans-serif' text-anchor='end' transform='matrix(0 -1 1 0 18 5)'%3eSurprise Parties%3c/text%3e%3c/svg%3e</v>
      </c>
      <c r="H1527" s="8" t="s">
        <v>39</v>
      </c>
      <c r="I1527" s="8">
        <f t="shared" ref="I1527:J1527" si="1528">len(B1527)</f>
        <v>16</v>
      </c>
      <c r="J1527" s="8">
        <f t="shared" si="1528"/>
        <v>60</v>
      </c>
      <c r="K1527" s="8" t="s">
        <v>6239</v>
      </c>
    </row>
    <row r="1528">
      <c r="A1528" s="7" t="b">
        <v>1</v>
      </c>
      <c r="B1528" s="8" t="s">
        <v>6237</v>
      </c>
      <c r="C1528" s="8" t="s">
        <v>6240</v>
      </c>
      <c r="D1528" s="8" t="str">
        <f>Q&amp;$K1528&amp;Q&amp;":{"&amp;Q&amp;$B$2&amp;Q&amp;":"&amp;Q&amp;$B1528&amp;Q&amp;","&amp;Q&amp;$C$2&amp;Q&amp;":"&amp;Q&amp;$C1528&amp;Q&amp;","&amp;Q&amp;"sets"&amp;Q&amp;":"&amp;Q&amp;substitute(SUBSTITUTE($H1528,"[",""),"]","")&amp;Q&amp;"},"</f>
        <v>"tyqa":{"label":"Surprise Parties","extra":"Everybody hide!","sets":"Junior 9+ (2nd)"},</v>
      </c>
      <c r="E1528" s="9" t="str">
        <f t="shared" si="2"/>
        <v>data:image/svg+xml,%3csvg xmlns='http://www.w3.org/2000/svg' viewBox='0 0 24 216'%3e%3ctext fill='%23fff' style='font: 900 16px sans-serif' text-anchor='end' transform='matrix(0 -1 1 0 18 5)'%3eSurprise Parties%3c/text%3e%3c/svg%3e</v>
      </c>
      <c r="F1528" s="14" t="str">
        <f t="shared" si="3"/>
        <v>https://svgtext.heliohost.us/cgi-bin/gen.perl?text=Surprise%20Parties</v>
      </c>
      <c r="G1528" s="11" t="str">
        <f t="shared" si="4"/>
        <v>data:image/svg+xml,%3csvg xmlns='http://www.w3.org/2000/svg' viewBox='0 0 24 216'%3e%3ctext fill='%23fff' style='font: 900 16px sans-serif' text-anchor='end' transform='matrix(0 -1 1 0 18 5)'%3eSurprise Parties%3c/text%3e%3c/svg%3e</v>
      </c>
      <c r="H1528" s="8" t="s">
        <v>32</v>
      </c>
      <c r="I1528" s="8">
        <f t="shared" ref="I1528:J1528" si="1529">len(B1528)</f>
        <v>16</v>
      </c>
      <c r="J1528" s="8">
        <f t="shared" si="1529"/>
        <v>15</v>
      </c>
      <c r="K1528" s="8" t="s">
        <v>6241</v>
      </c>
    </row>
    <row r="1529">
      <c r="A1529" s="7" t="b">
        <v>0</v>
      </c>
      <c r="B1529" s="8" t="s">
        <v>6242</v>
      </c>
      <c r="C1529" s="8" t="s">
        <v>6243</v>
      </c>
      <c r="D1529" s="8" t="str">
        <f>Q&amp;$K1529&amp;Q&amp;":{"&amp;Q&amp;$B$2&amp;Q&amp;":"&amp;Q&amp;$B1529&amp;Q&amp;","&amp;Q&amp;$C$2&amp;Q&amp;":"&amp;Q&amp;$C1529&amp;Q&amp;","&amp;Q&amp;"sets"&amp;Q&amp;":"&amp;Q&amp;substitute(SUBSTITUTE($H1529,"[",""),"]","")&amp;Q&amp;"},"</f>
        <v>"bfuf":{"label":"Sushi","extra":"Who would ever have guessed that raw fish could be so fashionable?","sets":"Expansion Set 2, Party Set"},</v>
      </c>
      <c r="E1529" s="9" t="str">
        <f t="shared" si="2"/>
        <v>data:image/svg+xml,%3csvg xmlns='http://www.w3.org/2000/svg' viewBox='0 0 24 216'%3e%3ctext fill='%23fff' style='font: 900 16px sans-serif' text-anchor='end' transform='matrix(0 -1 1 0 18 5)'%3eSushi%3c/text%3e%3c/svg%3e</v>
      </c>
      <c r="F1529" s="14" t="str">
        <f t="shared" si="3"/>
        <v>https://svgtext.heliohost.us/cgi-bin/gen.perl?text=Sushi</v>
      </c>
      <c r="G1529" s="11" t="str">
        <f t="shared" si="4"/>
        <v>data:image/svg+xml,%3csvg xmlns='http://www.w3.org/2000/svg' viewBox='0 0 24 216'%3e%3ctext fill='%23fff' style='font: 900 16px sans-serif' text-anchor='end' transform='matrix(0 -1 1 0 18 5)'%3eSushi%3c/text%3e%3c/svg%3e</v>
      </c>
      <c r="H1529" s="8" t="s">
        <v>17</v>
      </c>
      <c r="I1529" s="8">
        <f t="shared" ref="I1529:J1529" si="1530">len(B1529)</f>
        <v>5</v>
      </c>
      <c r="J1529" s="8">
        <f t="shared" si="1530"/>
        <v>66</v>
      </c>
      <c r="K1529" s="8" t="s">
        <v>6244</v>
      </c>
    </row>
    <row r="1530">
      <c r="A1530" s="7" t="b">
        <v>1</v>
      </c>
      <c r="B1530" s="8" t="s">
        <v>6245</v>
      </c>
      <c r="C1530" s="7" t="s">
        <v>6246</v>
      </c>
      <c r="D1530" s="8" t="str">
        <f>Q&amp;$K1530&amp;Q&amp;":{"&amp;Q&amp;$B$2&amp;Q&amp;":"&amp;Q&amp;$B1530&amp;Q&amp;","&amp;Q&amp;$C$2&amp;Q&amp;":"&amp;Q&amp;$C1530&amp;Q&amp;","&amp;Q&amp;"sets"&amp;Q&amp;":"&amp;Q&amp;substitute(SUBSTITUTE($H1530,"[",""),"]","")&amp;Q&amp;"},"</f>
        <v>"bdmp":{"label":"Swamps","extra":"Wet, spongy land, often covered with water. A great place to live- if you’re a mosquito.","sets":"Junior 9+ (2nd)"},</v>
      </c>
      <c r="E1530" s="9" t="str">
        <f t="shared" si="2"/>
        <v>data:image/svg+xml,%3csvg xmlns='http://www.w3.org/2000/svg' viewBox='0 0 24 216'%3e%3ctext fill='%23fff' style='font: 900 16px sans-serif' text-anchor='end' transform='matrix(0 -1 1 0 18 5)'%3eSwamps%3c/text%3e%3c/svg%3e</v>
      </c>
      <c r="F1530" s="14" t="str">
        <f t="shared" si="3"/>
        <v>https://svgtext.heliohost.us/cgi-bin/gen.perl?text=Swamps</v>
      </c>
      <c r="G1530" s="11" t="str">
        <f t="shared" si="4"/>
        <v>data:image/svg+xml,%3csvg xmlns='http://www.w3.org/2000/svg' viewBox='0 0 24 216'%3e%3ctext fill='%23fff' style='font: 900 16px sans-serif' text-anchor='end' transform='matrix(0 -1 1 0 18 5)'%3eSwamps%3c/text%3e%3c/svg%3e</v>
      </c>
      <c r="H1530" s="8" t="s">
        <v>32</v>
      </c>
      <c r="I1530" s="8">
        <f t="shared" ref="I1530:J1530" si="1531">len(B1530)</f>
        <v>6</v>
      </c>
      <c r="J1530" s="8">
        <f t="shared" si="1531"/>
        <v>88</v>
      </c>
      <c r="K1530" s="8" t="s">
        <v>6247</v>
      </c>
    </row>
    <row r="1531">
      <c r="A1531" s="7" t="b">
        <v>1</v>
      </c>
      <c r="B1531" s="8" t="s">
        <v>6248</v>
      </c>
      <c r="C1531" s="7" t="s">
        <v>6249</v>
      </c>
      <c r="D1531" s="8" t="str">
        <f>Q&amp;$K1531&amp;Q&amp;":{"&amp;Q&amp;$B$2&amp;Q&amp;":"&amp;Q&amp;$B1531&amp;Q&amp;","&amp;Q&amp;$C$2&amp;Q&amp;":"&amp;Q&amp;$C1531&amp;Q&amp;","&amp;Q&amp;"sets"&amp;Q&amp;":"&amp;Q&amp;substitute(SUBSTITUTE($H1531,"[",""),"]","")&amp;Q&amp;"},"</f>
        <v>"zljz":{"label":"Swans","extra":"The “Ugly Duckling” was actually a baby swan.","sets":"Junior 9+ (2nd)"},</v>
      </c>
      <c r="E1531" s="9" t="str">
        <f t="shared" si="2"/>
        <v>data:image/svg+xml,%3csvg xmlns='http://www.w3.org/2000/svg' viewBox='0 0 24 216'%3e%3ctext fill='%23fff' style='font: 900 16px sans-serif' text-anchor='end' transform='matrix(0 -1 1 0 18 5)'%3eSwans%3c/text%3e%3c/svg%3e</v>
      </c>
      <c r="F1531" s="14" t="str">
        <f t="shared" si="3"/>
        <v>https://svgtext.heliohost.us/cgi-bin/gen.perl?text=Swans</v>
      </c>
      <c r="G1531" s="11" t="str">
        <f t="shared" si="4"/>
        <v>data:image/svg+xml,%3csvg xmlns='http://www.w3.org/2000/svg' viewBox='0 0 24 216'%3e%3ctext fill='%23fff' style='font: 900 16px sans-serif' text-anchor='end' transform='matrix(0 -1 1 0 18 5)'%3eSwans%3c/text%3e%3c/svg%3e</v>
      </c>
      <c r="H1531" s="8" t="s">
        <v>32</v>
      </c>
      <c r="I1531" s="8">
        <f t="shared" ref="I1531:J1531" si="1532">len(B1531)</f>
        <v>5</v>
      </c>
      <c r="J1531" s="8">
        <f t="shared" si="1532"/>
        <v>45</v>
      </c>
      <c r="K1531" s="8" t="s">
        <v>6250</v>
      </c>
    </row>
    <row r="1532">
      <c r="A1532" s="7" t="b">
        <v>1</v>
      </c>
      <c r="B1532" s="8" t="s">
        <v>6251</v>
      </c>
      <c r="C1532" s="8" t="s">
        <v>6252</v>
      </c>
      <c r="D1532" s="8" t="str">
        <f>Q&amp;$K1532&amp;Q&amp;":{"&amp;Q&amp;$B$2&amp;Q&amp;":"&amp;Q&amp;$B1532&amp;Q&amp;","&amp;Q&amp;$C$2&amp;Q&amp;":"&amp;Q&amp;$C1532&amp;Q&amp;","&amp;Q&amp;"sets"&amp;Q&amp;":"&amp;Q&amp;substitute(SUBSTITUTE($H1532,"[",""),"]","")&amp;Q&amp;"},"</f>
        <v>"iwue":{"label":"Swimming","extra":"A great way to cool down on a hot summer day!","sets":"Junior"},</v>
      </c>
      <c r="E1532" s="9" t="str">
        <f t="shared" si="2"/>
        <v>data:image/svg+xml,%3csvg xmlns='http://www.w3.org/2000/svg' viewBox='0 0 24 216'%3e%3ctext fill='%23fff' style='font: 900 16px sans-serif' text-anchor='end' transform='matrix(0 -1 1 0 18 5)'%3eSwimming%3c/text%3e%3c/svg%3e</v>
      </c>
      <c r="F1532" s="14" t="str">
        <f t="shared" si="3"/>
        <v>https://svgtext.heliohost.us/cgi-bin/gen.perl?text=Swimming</v>
      </c>
      <c r="G1532" s="11" t="str">
        <f t="shared" si="4"/>
        <v>data:image/svg+xml,%3csvg xmlns='http://www.w3.org/2000/svg' viewBox='0 0 24 216'%3e%3ctext fill='%23fff' style='font: 900 16px sans-serif' text-anchor='end' transform='matrix(0 -1 1 0 18 5)'%3eSwimming%3c/text%3e%3c/svg%3e</v>
      </c>
      <c r="H1532" s="8" t="s">
        <v>84</v>
      </c>
      <c r="I1532" s="8">
        <f t="shared" ref="I1532:J1532" si="1533">len(B1532)</f>
        <v>8</v>
      </c>
      <c r="J1532" s="8">
        <f t="shared" si="1533"/>
        <v>45</v>
      </c>
      <c r="K1532" s="8" t="s">
        <v>6253</v>
      </c>
    </row>
    <row r="1533">
      <c r="A1533" s="7" t="b">
        <v>0</v>
      </c>
      <c r="B1533" s="8" t="s">
        <v>6254</v>
      </c>
      <c r="C1533" s="8" t="s">
        <v>6255</v>
      </c>
      <c r="D1533" s="8" t="str">
        <f>Q&amp;$K1533&amp;Q&amp;":{"&amp;Q&amp;$B$2&amp;Q&amp;":"&amp;Q&amp;$B1533&amp;Q&amp;","&amp;Q&amp;$C$2&amp;Q&amp;":"&amp;Q&amp;$C1533&amp;Q&amp;","&amp;Q&amp;"sets"&amp;Q&amp;":"&amp;Q&amp;substitute(SUBSTITUTE($H1533,"[",""),"]","")&amp;Q&amp;"},"</f>
        <v>"vcse":{"label":"Swiss Bank Accounts","extra":"Do you think everyone in Switzerland has one?","sets":"Expansion Set 1, Party Set"},</v>
      </c>
      <c r="E1533" s="9" t="str">
        <f t="shared" si="2"/>
        <v>data:image/svg+xml,%3csvg xmlns='http://www.w3.org/2000/svg' viewBox='0 0 24 216'%3e%3ctext fill='%23fff' style='font: 900 16px sans-serif' text-anchor='end' transform='matrix(0 -1 1 0 18 5)'%3eSwiss Bank Accounts%3c/text%3e%3c/svg%3e</v>
      </c>
      <c r="F1533" s="14" t="str">
        <f t="shared" si="3"/>
        <v>https://svgtext.heliohost.us/cgi-bin/gen.perl?text=Swiss%20Bank%20Accounts</v>
      </c>
      <c r="G1533" s="11" t="str">
        <f t="shared" si="4"/>
        <v>data:image/svg+xml,%3csvg xmlns='http://www.w3.org/2000/svg' viewBox='0 0 24 216'%3e%3ctext fill='%23fff' style='font: 900 16px sans-serif' text-anchor='end' transform='matrix(0 -1 1 0 18 5)'%3eSwiss Bank Accounts%3c/text%3e%3c/svg%3e</v>
      </c>
      <c r="H1533" s="8" t="s">
        <v>25</v>
      </c>
      <c r="I1533" s="8">
        <f t="shared" ref="I1533:J1533" si="1534">len(B1533)</f>
        <v>19</v>
      </c>
      <c r="J1533" s="8">
        <f t="shared" si="1534"/>
        <v>45</v>
      </c>
      <c r="K1533" s="8" t="s">
        <v>6256</v>
      </c>
    </row>
    <row r="1534">
      <c r="A1534" s="7" t="b">
        <v>0</v>
      </c>
      <c r="B1534" s="8" t="s">
        <v>6257</v>
      </c>
      <c r="C1534" s="7" t="s">
        <v>6258</v>
      </c>
      <c r="D1534" s="8" t="str">
        <f>Q&amp;$K1534&amp;Q&amp;":{"&amp;Q&amp;$B$2&amp;Q&amp;":"&amp;Q&amp;$B1534&amp;Q&amp;","&amp;Q&amp;$C$2&amp;Q&amp;":"&amp;Q&amp;$C1534&amp;Q&amp;","&amp;Q&amp;"sets"&amp;Q&amp;":"&amp;Q&amp;substitute(SUBSTITUTE($H1534,"[",""),"]","")&amp;Q&amp;"},"</f>
        <v>"cibt":{"label":"Swiss Cheese","extra":"Guess it comes from holey cows…","sets":"Expansion Set 2, Party Set"},</v>
      </c>
      <c r="E1534" s="9" t="str">
        <f t="shared" si="2"/>
        <v>data:image/svg+xml,%3csvg xmlns='http://www.w3.org/2000/svg' viewBox='0 0 24 216'%3e%3ctext fill='%23fff' style='font: 900 16px sans-serif' text-anchor='end' transform='matrix(0 -1 1 0 18 5)'%3eSwiss Cheese%3c/text%3e%3c/svg%3e</v>
      </c>
      <c r="F1534" s="14" t="str">
        <f t="shared" si="3"/>
        <v>https://svgtext.heliohost.us/cgi-bin/gen.perl?text=Swiss%20Cheese</v>
      </c>
      <c r="G1534" s="11" t="str">
        <f t="shared" si="4"/>
        <v>data:image/svg+xml,%3csvg xmlns='http://www.w3.org/2000/svg' viewBox='0 0 24 216'%3e%3ctext fill='%23fff' style='font: 900 16px sans-serif' text-anchor='end' transform='matrix(0 -1 1 0 18 5)'%3eSwiss Cheese%3c/text%3e%3c/svg%3e</v>
      </c>
      <c r="H1534" s="8" t="s">
        <v>17</v>
      </c>
      <c r="I1534" s="8">
        <f t="shared" ref="I1534:J1534" si="1535">len(B1534)</f>
        <v>12</v>
      </c>
      <c r="J1534" s="8">
        <f t="shared" si="1535"/>
        <v>31</v>
      </c>
      <c r="K1534" s="8" t="s">
        <v>6259</v>
      </c>
    </row>
    <row r="1535">
      <c r="A1535" s="7" t="b">
        <v>1</v>
      </c>
      <c r="B1535" s="8" t="s">
        <v>6260</v>
      </c>
      <c r="C1535" s="7" t="s">
        <v>6261</v>
      </c>
      <c r="D1535" s="8" t="str">
        <f>Q&amp;$K1535&amp;Q&amp;":{"&amp;Q&amp;$B$2&amp;Q&amp;":"&amp;Q&amp;$B1535&amp;Q&amp;","&amp;Q&amp;$C$2&amp;Q&amp;":"&amp;Q&amp;$C1535&amp;Q&amp;","&amp;Q&amp;"sets"&amp;Q&amp;":"&amp;Q&amp;substitute(SUBSTITUTE($H1535,"[",""),"]","")&amp;Q&amp;"},"</f>
        <v>"rbkk":{"label":"Swiss Chocolate","extra":"“What use are cartridges in battle? I always carry chocolate instead.” —George Bernard Shaw","sets":"Basic Set, Party Set"},</v>
      </c>
      <c r="E1535" s="9" t="str">
        <f t="shared" si="2"/>
        <v>data:image/svg+xml,%3csvg xmlns='http://www.w3.org/2000/svg' viewBox='0 0 24 216'%3e%3ctext fill='%23fff' style='font: 900 16px sans-serif' text-anchor='end' transform='matrix(0 -1 1 0 18 5)'%3eSwiss Chocolate%3c/text%3e%3c/svg%3e</v>
      </c>
      <c r="F1535" s="14" t="str">
        <f t="shared" si="3"/>
        <v>https://svgtext.heliohost.us/cgi-bin/gen.perl?text=Swiss%20Chocolate</v>
      </c>
      <c r="G1535" s="11" t="str">
        <f t="shared" si="4"/>
        <v>data:image/svg+xml,%3csvg xmlns='http://www.w3.org/2000/svg' viewBox='0 0 24 216'%3e%3ctext fill='%23fff' style='font: 900 16px sans-serif' text-anchor='end' transform='matrix(0 -1 1 0 18 5)'%3eSwiss Chocolate%3c/text%3e%3c/svg%3e</v>
      </c>
      <c r="H1535" s="8" t="s">
        <v>29</v>
      </c>
      <c r="I1535" s="8">
        <f t="shared" ref="I1535:J1535" si="1536">len(B1535)</f>
        <v>15</v>
      </c>
      <c r="J1535" s="8">
        <f t="shared" si="1536"/>
        <v>91</v>
      </c>
      <c r="K1535" s="8" t="s">
        <v>6262</v>
      </c>
    </row>
    <row r="1536">
      <c r="A1536" s="7" t="b">
        <v>1</v>
      </c>
      <c r="B1536" s="8" t="s">
        <v>6263</v>
      </c>
      <c r="C1536" s="7" t="s">
        <v>6264</v>
      </c>
      <c r="D1536" s="8" t="str">
        <f>Q&amp;$K1536&amp;Q&amp;":{"&amp;Q&amp;$B$2&amp;Q&amp;":"&amp;Q&amp;$B1536&amp;Q&amp;","&amp;Q&amp;$C$2&amp;Q&amp;":"&amp;Q&amp;$C1536&amp;Q&amp;","&amp;Q&amp;"sets"&amp;Q&amp;":"&amp;Q&amp;substitute(SUBSTITUTE($H1536,"[",""),"]","")&amp;Q&amp;"},"</f>
        <v>"cnvp":{"label":"Swordfighting","extra":"As a sport, sword fighting is called “Fencing.” It is an Olympic event.","sets":"Junior 9+ (2nd)"},</v>
      </c>
      <c r="E1536" s="9" t="str">
        <f t="shared" si="2"/>
        <v>data:image/svg+xml,%3csvg xmlns='http://www.w3.org/2000/svg' viewBox='0 0 24 216'%3e%3ctext fill='%23fff' style='font: 900 16px sans-serif' text-anchor='end' transform='matrix(0 -1 1 0 18 5)'%3eSwordfighting%3c/text%3e%3c/svg%3e</v>
      </c>
      <c r="F1536" s="14" t="str">
        <f t="shared" si="3"/>
        <v>https://svgtext.heliohost.us/cgi-bin/gen.perl?text=Swordfighting</v>
      </c>
      <c r="G1536" s="11" t="str">
        <f t="shared" si="4"/>
        <v>data:image/svg+xml,%3csvg xmlns='http://www.w3.org/2000/svg' viewBox='0 0 24 216'%3e%3ctext fill='%23fff' style='font: 900 16px sans-serif' text-anchor='end' transform='matrix(0 -1 1 0 18 5)'%3eSwordfighting%3c/text%3e%3c/svg%3e</v>
      </c>
      <c r="H1536" s="8" t="s">
        <v>32</v>
      </c>
      <c r="I1536" s="8">
        <f t="shared" ref="I1536:J1536" si="1537">len(B1536)</f>
        <v>13</v>
      </c>
      <c r="J1536" s="8">
        <f t="shared" si="1537"/>
        <v>71</v>
      </c>
      <c r="K1536" s="8" t="s">
        <v>6265</v>
      </c>
    </row>
    <row r="1537">
      <c r="A1537" s="7" t="b">
        <v>1</v>
      </c>
      <c r="B1537" s="8" t="s">
        <v>6266</v>
      </c>
      <c r="C1537" s="8" t="s">
        <v>6267</v>
      </c>
      <c r="D1537" s="8" t="str">
        <f>Q&amp;$K1537&amp;Q&amp;":{"&amp;Q&amp;$B$2&amp;Q&amp;":"&amp;Q&amp;$B1537&amp;Q&amp;","&amp;Q&amp;$C$2&amp;Q&amp;":"&amp;Q&amp;$C1537&amp;Q&amp;","&amp;Q&amp;"sets"&amp;Q&amp;":"&amp;Q&amp;substitute(SUBSTITUTE($H1537,"[",""),"]","")&amp;Q&amp;"},"</f>
        <v>"mgqo":{"label":"Tacos","extra":"Meat, cheese, and hot sauce all wrapped up in a tortilla.","sets":"Junior 9+ (2nd)"},</v>
      </c>
      <c r="E1537" s="9" t="str">
        <f t="shared" si="2"/>
        <v>data:image/svg+xml,%3csvg xmlns='http://www.w3.org/2000/svg' viewBox='0 0 24 216'%3e%3ctext fill='%23fff' style='font: 900 16px sans-serif' text-anchor='end' transform='matrix(0 -1 1 0 18 5)'%3eTacos%3c/text%3e%3c/svg%3e</v>
      </c>
      <c r="F1537" s="14" t="str">
        <f t="shared" si="3"/>
        <v>https://svgtext.heliohost.us/cgi-bin/gen.perl?text=Tacos</v>
      </c>
      <c r="G1537" s="11" t="str">
        <f t="shared" si="4"/>
        <v>data:image/svg+xml,%3csvg xmlns='http://www.w3.org/2000/svg' viewBox='0 0 24 216'%3e%3ctext fill='%23fff' style='font: 900 16px sans-serif' text-anchor='end' transform='matrix(0 -1 1 0 18 5)'%3eTacos%3c/text%3e%3c/svg%3e</v>
      </c>
      <c r="H1537" s="8" t="s">
        <v>32</v>
      </c>
      <c r="I1537" s="8">
        <f t="shared" ref="I1537:J1537" si="1538">len(B1537)</f>
        <v>5</v>
      </c>
      <c r="J1537" s="8">
        <f t="shared" si="1538"/>
        <v>57</v>
      </c>
      <c r="K1537" s="8" t="s">
        <v>6268</v>
      </c>
    </row>
    <row r="1538">
      <c r="A1538" s="7" t="b">
        <v>0</v>
      </c>
      <c r="B1538" s="8" t="s">
        <v>6269</v>
      </c>
      <c r="C1538" s="7" t="s">
        <v>6270</v>
      </c>
      <c r="D1538" s="8" t="str">
        <f>Q&amp;$K1538&amp;Q&amp;":{"&amp;Q&amp;$B$2&amp;Q&amp;":"&amp;Q&amp;$B1538&amp;Q&amp;","&amp;Q&amp;$C$2&amp;Q&amp;":"&amp;Q&amp;$C1538&amp;Q&amp;","&amp;Q&amp;"sets"&amp;Q&amp;":"&amp;Q&amp;substitute(SUBSTITUTE($H1538,"[",""),"]","")&amp;Q&amp;"},"</f>
        <v>"ouwe":{"label":"Taking A Bath","extra":"Bathing facilities have been found in excavations in India from before 2000 BC. Soap-on-a-Rope hasn’t.","sets":"Basic Set, Party Set"},</v>
      </c>
      <c r="E1538" s="9" t="str">
        <f t="shared" si="2"/>
        <v>data:image/svg+xml,%3csvg xmlns='http://www.w3.org/2000/svg' viewBox='0 0 24 216'%3e%3ctext fill='%23fff' style='font: 900 16px sans-serif' text-anchor='end' transform='matrix(0 -1 1 0 18 5)'%3eTaking A Bath%3c/text%3e%3c/svg%3e</v>
      </c>
      <c r="F1538" s="14" t="str">
        <f t="shared" si="3"/>
        <v>https://svgtext.heliohost.us/cgi-bin/gen.perl?text=Taking%20A%20Bath</v>
      </c>
      <c r="G1538" s="11" t="str">
        <f t="shared" si="4"/>
        <v>data:image/svg+xml,%3csvg xmlns='http://www.w3.org/2000/svg' viewBox='0 0 24 216'%3e%3ctext fill='%23fff' style='font: 900 16px sans-serif' text-anchor='end' transform='matrix(0 -1 1 0 18 5)'%3eTaking A Bath%3c/text%3e%3c/svg%3e</v>
      </c>
      <c r="H1538" s="8" t="s">
        <v>29</v>
      </c>
      <c r="I1538" s="8">
        <f t="shared" ref="I1538:J1538" si="1539">len(B1538)</f>
        <v>13</v>
      </c>
      <c r="J1538" s="8">
        <f t="shared" si="1539"/>
        <v>102</v>
      </c>
      <c r="K1538" s="8" t="s">
        <v>6271</v>
      </c>
    </row>
    <row r="1539">
      <c r="A1539" s="7" t="b">
        <v>1</v>
      </c>
      <c r="B1539" s="8" t="s">
        <v>6269</v>
      </c>
      <c r="C1539" s="7" t="s">
        <v>6272</v>
      </c>
      <c r="D1539" s="8" t="str">
        <f>Q&amp;$K1539&amp;Q&amp;":{"&amp;Q&amp;$B$2&amp;Q&amp;":"&amp;Q&amp;$B1539&amp;Q&amp;","&amp;Q&amp;$C$2&amp;Q&amp;":"&amp;Q&amp;$C1539&amp;Q&amp;","&amp;Q&amp;"sets"&amp;Q&amp;":"&amp;Q&amp;substitute(SUBSTITUTE($H1539,"[",""),"]","")&amp;Q&amp;"},"</f>
        <v>"tzfo":{"label":"Taking A Bath","extra":"Don’t Forget the bubbles and toys.","sets":"Junior"},</v>
      </c>
      <c r="E1539" s="9" t="str">
        <f t="shared" si="2"/>
        <v>data:image/svg+xml,%3csvg xmlns='http://www.w3.org/2000/svg' viewBox='0 0 24 216'%3e%3ctext fill='%23fff' style='font: 900 16px sans-serif' text-anchor='end' transform='matrix(0 -1 1 0 18 5)'%3eTaking A Bath%3c/text%3e%3c/svg%3e</v>
      </c>
      <c r="F1539" s="14" t="str">
        <f t="shared" si="3"/>
        <v>https://svgtext.heliohost.us/cgi-bin/gen.perl?text=Taking%20A%20Bath</v>
      </c>
      <c r="G1539" s="11" t="str">
        <f t="shared" si="4"/>
        <v>data:image/svg+xml,%3csvg xmlns='http://www.w3.org/2000/svg' viewBox='0 0 24 216'%3e%3ctext fill='%23fff' style='font: 900 16px sans-serif' text-anchor='end' transform='matrix(0 -1 1 0 18 5)'%3eTaking A Bath%3c/text%3e%3c/svg%3e</v>
      </c>
      <c r="H1539" s="8" t="s">
        <v>84</v>
      </c>
      <c r="I1539" s="8">
        <f t="shared" ref="I1539:J1539" si="1540">len(B1539)</f>
        <v>13</v>
      </c>
      <c r="J1539" s="8">
        <f t="shared" si="1540"/>
        <v>34</v>
      </c>
      <c r="K1539" s="8" t="s">
        <v>6273</v>
      </c>
    </row>
    <row r="1540">
      <c r="A1540" s="7" t="b">
        <v>1</v>
      </c>
      <c r="B1540" s="8" t="s">
        <v>6274</v>
      </c>
      <c r="C1540" s="7" t="s">
        <v>6275</v>
      </c>
      <c r="D1540" s="8" t="str">
        <f>Q&amp;$K1540&amp;Q&amp;":{"&amp;Q&amp;$B$2&amp;Q&amp;":"&amp;Q&amp;$B1540&amp;Q&amp;","&amp;Q&amp;$C$2&amp;Q&amp;":"&amp;Q&amp;$C1540&amp;Q&amp;","&amp;Q&amp;"sets"&amp;Q&amp;":"&amp;Q&amp;substitute(SUBSTITUTE($H1540,"[",""),"]","")&amp;Q&amp;"},"</f>
        <v>"wudv":{"label":"Taking A Shower","extra":"That’ll wake you up.","sets":"Junior 9+ (2nd)"},</v>
      </c>
      <c r="E1540" s="9" t="str">
        <f t="shared" si="2"/>
        <v>data:image/svg+xml,%3csvg xmlns='http://www.w3.org/2000/svg' viewBox='0 0 24 216'%3e%3ctext fill='%23fff' style='font: 900 16px sans-serif' text-anchor='end' transform='matrix(0 -1 1 0 18 5)'%3eTaking A Shower%3c/text%3e%3c/svg%3e</v>
      </c>
      <c r="F1540" s="14" t="str">
        <f t="shared" si="3"/>
        <v>https://svgtext.heliohost.us/cgi-bin/gen.perl?text=Taking%20A%20Shower</v>
      </c>
      <c r="G1540" s="11" t="str">
        <f t="shared" si="4"/>
        <v>data:image/svg+xml,%3csvg xmlns='http://www.w3.org/2000/svg' viewBox='0 0 24 216'%3e%3ctext fill='%23fff' style='font: 900 16px sans-serif' text-anchor='end' transform='matrix(0 -1 1 0 18 5)'%3eTaking A Shower%3c/text%3e%3c/svg%3e</v>
      </c>
      <c r="H1540" s="8" t="s">
        <v>32</v>
      </c>
      <c r="I1540" s="8">
        <f t="shared" ref="I1540:J1540" si="1541">len(B1540)</f>
        <v>15</v>
      </c>
      <c r="J1540" s="8">
        <f t="shared" si="1541"/>
        <v>20</v>
      </c>
      <c r="K1540" s="8" t="s">
        <v>6276</v>
      </c>
    </row>
    <row r="1541">
      <c r="A1541" s="7" t="b">
        <v>0</v>
      </c>
      <c r="B1541" s="8" t="s">
        <v>6277</v>
      </c>
      <c r="C1541" s="7" t="s">
        <v>6278</v>
      </c>
      <c r="D1541" s="8" t="str">
        <f>Q&amp;$K1541&amp;Q&amp;":{"&amp;Q&amp;$B$2&amp;Q&amp;":"&amp;Q&amp;$B1541&amp;Q&amp;","&amp;Q&amp;$C$2&amp;Q&amp;":"&amp;Q&amp;$C1541&amp;Q&amp;","&amp;Q&amp;"sets"&amp;Q&amp;":"&amp;Q&amp;substitute(SUBSTITUTE($H1541,"[",""),"]","")&amp;Q&amp;"},"</f>
        <v>"mzxe":{"label":"Talk Radio","extra":"Talk about air pollution.","sets":"Expansion Set 2, Party Set"},</v>
      </c>
      <c r="E1541" s="9" t="str">
        <f t="shared" si="2"/>
        <v>data:image/svg+xml,%3csvg xmlns='http://www.w3.org/2000/svg' viewBox='0 0 24 216'%3e%3ctext fill='%23fff' style='font: 900 16px sans-serif' text-anchor='end' transform='matrix(0 -1 1 0 18 5)'%3eTalk Radio%3c/text%3e%3c/svg%3e</v>
      </c>
      <c r="F1541" s="14" t="str">
        <f t="shared" si="3"/>
        <v>https://svgtext.heliohost.us/cgi-bin/gen.perl?text=Talk%20Radio</v>
      </c>
      <c r="G1541" s="11" t="str">
        <f t="shared" si="4"/>
        <v>data:image/svg+xml,%3csvg xmlns='http://www.w3.org/2000/svg' viewBox='0 0 24 216'%3e%3ctext fill='%23fff' style='font: 900 16px sans-serif' text-anchor='end' transform='matrix(0 -1 1 0 18 5)'%3eTalk Radio%3c/text%3e%3c/svg%3e</v>
      </c>
      <c r="H1541" s="8" t="s">
        <v>17</v>
      </c>
      <c r="I1541" s="8">
        <f t="shared" ref="I1541:J1541" si="1542">len(B1541)</f>
        <v>10</v>
      </c>
      <c r="J1541" s="8">
        <f t="shared" si="1542"/>
        <v>25</v>
      </c>
      <c r="K1541" s="8" t="s">
        <v>6279</v>
      </c>
    </row>
    <row r="1542">
      <c r="A1542" s="7" t="b">
        <v>1</v>
      </c>
      <c r="B1542" s="8" t="s">
        <v>6280</v>
      </c>
      <c r="C1542" s="7" t="s">
        <v>6281</v>
      </c>
      <c r="D1542" s="8" t="str">
        <f>Q&amp;$K1542&amp;Q&amp;":{"&amp;Q&amp;$B$2&amp;Q&amp;":"&amp;Q&amp;$B1542&amp;Q&amp;","&amp;Q&amp;$C$2&amp;Q&amp;":"&amp;Q&amp;$C1542&amp;Q&amp;","&amp;Q&amp;"sets"&amp;Q&amp;":"&amp;Q&amp;substitute(SUBSTITUTE($H1542,"[",""),"]","")&amp;Q&amp;"},"</f>
        <v>"hqsd":{"label":"Tarred &amp; Feathered","extra":"It’s a sticky situation.","sets":"Expansion Set 4, Party Expansion 1"},</v>
      </c>
      <c r="E1542" s="9" t="str">
        <f t="shared" si="2"/>
        <v>data:image/svg+xml,%3csvg xmlns='http://www.w3.org/2000/svg' viewBox='0 0 24 216'%3e%3ctext fill='%23fff' style='font: 900 16px sans-serif' text-anchor='end' transform='matrix(0 -1 1 0 18 5)'%3eTarred %26amp%3B Feathered%3c/text%3e%3c/svg%3e</v>
      </c>
      <c r="F1542" s="14" t="str">
        <f t="shared" si="3"/>
        <v>https://svgtext.heliohost.us/cgi-bin/gen.perl?text=Tarred%20%26%20Feathered</v>
      </c>
      <c r="G1542" s="11" t="str">
        <f t="shared" si="4"/>
        <v>data:image/svg+xml,%3csvg xmlns='http://www.w3.org/2000/svg' viewBox='0 0 24 216'%3e%3ctext fill='%23fff' style='font: 900 16px sans-serif' text-anchor='end' transform='matrix(0 -1 1 0 18 5)'%3eTarred %26amp%3B Feathered%3c/text%3e%3c/svg%3e</v>
      </c>
      <c r="H1542" s="8" t="s">
        <v>63</v>
      </c>
      <c r="I1542" s="8">
        <f t="shared" ref="I1542:J1542" si="1543">len(B1542)</f>
        <v>18</v>
      </c>
      <c r="J1542" s="8">
        <f t="shared" si="1543"/>
        <v>24</v>
      </c>
      <c r="K1542" s="8" t="s">
        <v>6282</v>
      </c>
    </row>
    <row r="1543">
      <c r="A1543" s="7" t="b">
        <v>1</v>
      </c>
      <c r="B1543" s="8" t="s">
        <v>6283</v>
      </c>
      <c r="C1543" s="7" t="s">
        <v>6284</v>
      </c>
      <c r="D1543" s="8" t="str">
        <f>Q&amp;$K1543&amp;Q&amp;":{"&amp;Q&amp;$B$2&amp;Q&amp;":"&amp;Q&amp;$B1543&amp;Q&amp;","&amp;Q&amp;$C$2&amp;Q&amp;":"&amp;Q&amp;$C1543&amp;Q&amp;","&amp;Q&amp;"sets"&amp;Q&amp;":"&amp;Q&amp;substitute(SUBSTITUTE($H1543,"[",""),"]","")&amp;Q&amp;"},"</f>
        <v>"jyme":{"label":"Tarzan &amp; Jane","extra":"He went ape over her.","sets":"Expansion Set 4, Party Expansion 1"},</v>
      </c>
      <c r="E1543" s="9" t="str">
        <f t="shared" si="2"/>
        <v>data:image/svg+xml,%3csvg xmlns='http://www.w3.org/2000/svg' viewBox='0 0 24 216'%3e%3ctext fill='%23fff' style='font: 900 16px sans-serif' text-anchor='end' transform='matrix(0 -1 1 0 18 5)'%3eTarzan %26amp%3B Jane%3c/text%3e%3c/svg%3e</v>
      </c>
      <c r="F1543" s="14" t="str">
        <f t="shared" si="3"/>
        <v>https://svgtext.heliohost.us/cgi-bin/gen.perl?text=Tarzan%20%26%20Jane</v>
      </c>
      <c r="G1543" s="11" t="str">
        <f t="shared" si="4"/>
        <v>data:image/svg+xml,%3csvg xmlns='http://www.w3.org/2000/svg' viewBox='0 0 24 216'%3e%3ctext fill='%23fff' style='font: 900 16px sans-serif' text-anchor='end' transform='matrix(0 -1 1 0 18 5)'%3eTarzan %26amp%3B Jane%3c/text%3e%3c/svg%3e</v>
      </c>
      <c r="H1543" s="8" t="s">
        <v>63</v>
      </c>
      <c r="I1543" s="8">
        <f t="shared" ref="I1543:J1543" si="1544">len(B1543)</f>
        <v>13</v>
      </c>
      <c r="J1543" s="8">
        <f t="shared" si="1544"/>
        <v>21</v>
      </c>
      <c r="K1543" s="8" t="s">
        <v>6285</v>
      </c>
    </row>
    <row r="1544">
      <c r="A1544" s="7" t="b">
        <v>1</v>
      </c>
      <c r="B1544" s="8" t="s">
        <v>6286</v>
      </c>
      <c r="C1544" s="7" t="s">
        <v>6287</v>
      </c>
      <c r="D1544" s="8" t="str">
        <f>Q&amp;$K1544&amp;Q&amp;":{"&amp;Q&amp;$B$2&amp;Q&amp;":"&amp;Q&amp;$B1544&amp;Q&amp;","&amp;Q&amp;$C$2&amp;Q&amp;":"&amp;Q&amp;$C1544&amp;Q&amp;","&amp;Q&amp;"sets"&amp;Q&amp;":"&amp;Q&amp;substitute(SUBSTITUTE($H1544,"[",""),"]","")&amp;Q&amp;"},"</f>
        <v>"nuvx":{"label":"Tattoo Parlors","extra":"“With nothing to show but this brand new tattoo… how I got it here I haven't a clue.” —Jimmy Buffett","sets":"Expansion Set 3, Party Expansion 1"},</v>
      </c>
      <c r="E1544" s="9" t="str">
        <f t="shared" si="2"/>
        <v>data:image/svg+xml,%3csvg xmlns='http://www.w3.org/2000/svg' viewBox='0 0 24 216'%3e%3ctext fill='%23fff' style='font: 900 16px sans-serif' text-anchor='end' transform='matrix(0 -1 1 0 18 5)'%3eTattoo Parlors%3c/text%3e%3c/svg%3e</v>
      </c>
      <c r="F1544" s="14" t="str">
        <f t="shared" si="3"/>
        <v>https://svgtext.heliohost.us/cgi-bin/gen.perl?text=Tattoo%20Parlors</v>
      </c>
      <c r="G1544" s="11" t="str">
        <f t="shared" si="4"/>
        <v>data:image/svg+xml,%3csvg xmlns='http://www.w3.org/2000/svg' viewBox='0 0 24 216'%3e%3ctext fill='%23fff' style='font: 900 16px sans-serif' text-anchor='end' transform='matrix(0 -1 1 0 18 5)'%3eTattoo Parlors%3c/text%3e%3c/svg%3e</v>
      </c>
      <c r="H1544" s="8" t="s">
        <v>39</v>
      </c>
      <c r="I1544" s="8">
        <f t="shared" ref="I1544:J1544" si="1545">len(B1544)</f>
        <v>14</v>
      </c>
      <c r="J1544" s="8">
        <f t="shared" si="1545"/>
        <v>100</v>
      </c>
      <c r="K1544" s="8" t="s">
        <v>6288</v>
      </c>
    </row>
    <row r="1545">
      <c r="A1545" s="7" t="b">
        <v>0</v>
      </c>
      <c r="B1545" s="8" t="s">
        <v>6289</v>
      </c>
      <c r="C1545" s="7" t="s">
        <v>6290</v>
      </c>
      <c r="D1545" s="8" t="str">
        <f>Q&amp;$K1545&amp;Q&amp;":{"&amp;Q&amp;$B$2&amp;Q&amp;":"&amp;Q&amp;$B1545&amp;Q&amp;","&amp;Q&amp;$C$2&amp;Q&amp;":"&amp;Q&amp;$C1545&amp;Q&amp;","&amp;Q&amp;"sets"&amp;Q&amp;":"&amp;Q&amp;substitute(SUBSTITUTE($H1545,"[",""),"]","")&amp;Q&amp;"},"</f>
        <v>"jozd":{"label":"Tattoos","extra":"Tattoos can be painful. Temporary tatoos don’t hurt at all.","sets":"Junior 9+ (2nd)"},</v>
      </c>
      <c r="E1545" s="9" t="str">
        <f t="shared" si="2"/>
        <v>data:image/svg+xml,%3csvg xmlns='http://www.w3.org/2000/svg' viewBox='0 0 24 216'%3e%3ctext fill='%23fff' style='font: 900 16px sans-serif' text-anchor='end' transform='matrix(0 -1 1 0 18 5)'%3eTattoos%3c/text%3e%3c/svg%3e</v>
      </c>
      <c r="F1545" s="14" t="str">
        <f t="shared" si="3"/>
        <v>https://svgtext.heliohost.us/cgi-bin/gen.perl?text=Tattoos</v>
      </c>
      <c r="G1545" s="11" t="str">
        <f t="shared" si="4"/>
        <v>data:image/svg+xml,%3csvg xmlns='http://www.w3.org/2000/svg' viewBox='0 0 24 216'%3e%3ctext fill='%23fff' style='font: 900 16px sans-serif' text-anchor='end' transform='matrix(0 -1 1 0 18 5)'%3eTattoos%3c/text%3e%3c/svg%3e</v>
      </c>
      <c r="H1545" s="8" t="s">
        <v>32</v>
      </c>
      <c r="I1545" s="8">
        <f t="shared" ref="I1545:J1545" si="1546">len(B1545)</f>
        <v>7</v>
      </c>
      <c r="J1545" s="8">
        <f t="shared" si="1546"/>
        <v>59</v>
      </c>
      <c r="K1545" s="8" t="s">
        <v>6291</v>
      </c>
    </row>
    <row r="1546">
      <c r="A1546" s="7" t="b">
        <v>1</v>
      </c>
      <c r="B1546" s="8" t="s">
        <v>6292</v>
      </c>
      <c r="C1546" s="7" t="s">
        <v>6293</v>
      </c>
      <c r="D1546" s="8" t="str">
        <f>Q&amp;$K1546&amp;Q&amp;":{"&amp;Q&amp;$B$2&amp;Q&amp;":"&amp;Q&amp;$B1546&amp;Q&amp;","&amp;Q&amp;$C$2&amp;Q&amp;":"&amp;Q&amp;$C1546&amp;Q&amp;","&amp;Q&amp;"sets"&amp;Q&amp;":"&amp;Q&amp;substitute(SUBSTITUTE($H1546,"[",""),"]","")&amp;Q&amp;"},"</f>
        <v>"svni":{"label":"Tea &amp; Crumpets","extra":"Upper-crust toast &amp; jelly.","sets":"Expansion Set 4, Party Expansion 1"},</v>
      </c>
      <c r="E1546" s="9" t="str">
        <f t="shared" si="2"/>
        <v>data:image/svg+xml,%3csvg xmlns='http://www.w3.org/2000/svg' viewBox='0 0 24 216'%3e%3ctext fill='%23fff' style='font: 900 16px sans-serif' text-anchor='end' transform='matrix(0 -1 1 0 18 5)'%3eTea %26amp%3B Crumpets%3c/text%3e%3c/svg%3e</v>
      </c>
      <c r="F1546" s="14" t="str">
        <f t="shared" si="3"/>
        <v>https://svgtext.heliohost.us/cgi-bin/gen.perl?text=Tea%20%26%20Crumpets</v>
      </c>
      <c r="G1546" s="11" t="str">
        <f t="shared" si="4"/>
        <v>data:image/svg+xml,%3csvg xmlns='http://www.w3.org/2000/svg' viewBox='0 0 24 216'%3e%3ctext fill='%23fff' style='font: 900 16px sans-serif' text-anchor='end' transform='matrix(0 -1 1 0 18 5)'%3eTea %26amp%3B Crumpets%3c/text%3e%3c/svg%3e</v>
      </c>
      <c r="H1546" s="8" t="s">
        <v>63</v>
      </c>
      <c r="I1546" s="8">
        <f t="shared" ref="I1546:J1546" si="1547">len(B1546)</f>
        <v>14</v>
      </c>
      <c r="J1546" s="8">
        <f t="shared" si="1547"/>
        <v>26</v>
      </c>
      <c r="K1546" s="8" t="s">
        <v>6294</v>
      </c>
    </row>
    <row r="1547">
      <c r="A1547" s="7" t="b">
        <v>1</v>
      </c>
      <c r="B1547" s="8" t="s">
        <v>6295</v>
      </c>
      <c r="C1547" s="7" t="s">
        <v>6296</v>
      </c>
      <c r="D1547" s="8" t="str">
        <f>Q&amp;$K1547&amp;Q&amp;":{"&amp;Q&amp;$B$2&amp;Q&amp;":"&amp;Q&amp;$B1547&amp;Q&amp;","&amp;Q&amp;$C$2&amp;Q&amp;":"&amp;Q&amp;$C1547&amp;Q&amp;","&amp;Q&amp;"sets"&amp;Q&amp;":"&amp;Q&amp;substitute(SUBSTITUTE($H1547,"[",""),"]","")&amp;Q&amp;"},"</f>
        <v>"ec{p":{"label":"Teachers","extra":"“What do you mean, you didn’t know there was a test today?”","sets":"Junior 9+ (1st) &amp; (2nd)"},</v>
      </c>
      <c r="E1547" s="9" t="str">
        <f t="shared" si="2"/>
        <v>data:image/svg+xml,%3csvg xmlns='http://www.w3.org/2000/svg' viewBox='0 0 24 216'%3e%3ctext fill='%23fff' style='font: 900 16px sans-serif' text-anchor='end' transform='matrix(0 -1 1 0 18 5)'%3eTeachers%3c/text%3e%3c/svg%3e</v>
      </c>
      <c r="F1547" s="14" t="str">
        <f t="shared" si="3"/>
        <v>https://svgtext.heliohost.us/cgi-bin/gen.perl?text=Teachers</v>
      </c>
      <c r="G1547" s="11" t="str">
        <f t="shared" si="4"/>
        <v>data:image/svg+xml,%3csvg xmlns='http://www.w3.org/2000/svg' viewBox='0 0 24 216'%3e%3ctext fill='%23fff' style='font: 900 16px sans-serif' text-anchor='end' transform='matrix(0 -1 1 0 18 5)'%3eTeachers%3c/text%3e%3c/svg%3e</v>
      </c>
      <c r="H1547" s="8" t="s">
        <v>42</v>
      </c>
      <c r="I1547" s="8">
        <f t="shared" ref="I1547:J1547" si="1548">len(B1547)</f>
        <v>8</v>
      </c>
      <c r="J1547" s="8">
        <f t="shared" si="1548"/>
        <v>59</v>
      </c>
      <c r="K1547" s="8" t="s">
        <v>6297</v>
      </c>
    </row>
    <row r="1548">
      <c r="A1548" s="7" t="b">
        <v>0</v>
      </c>
      <c r="B1548" s="8" t="s">
        <v>6295</v>
      </c>
      <c r="C1548" s="8" t="s">
        <v>6298</v>
      </c>
      <c r="D1548" s="8" t="str">
        <f>Q&amp;$K1548&amp;Q&amp;":{"&amp;Q&amp;$B$2&amp;Q&amp;":"&amp;Q&amp;$B1548&amp;Q&amp;","&amp;Q&amp;$C$2&amp;Q&amp;":"&amp;Q&amp;$C1548&amp;Q&amp;","&amp;Q&amp;"sets"&amp;Q&amp;":"&amp;Q&amp;substitute(SUBSTITUTE($H1548,"[",""),"]","")&amp;Q&amp;"},"</f>
        <v>"vmrs":{"label":"Teachers","extra":"If you can play this game, thank a teacher.","sets":"Basic Set, Party Set"},</v>
      </c>
      <c r="E1548" s="9" t="str">
        <f t="shared" si="2"/>
        <v>data:image/svg+xml,%3csvg xmlns='http://www.w3.org/2000/svg' viewBox='0 0 24 216'%3e%3ctext fill='%23fff' style='font: 900 16px sans-serif' text-anchor='end' transform='matrix(0 -1 1 0 18 5)'%3eTeachers%3c/text%3e%3c/svg%3e</v>
      </c>
      <c r="F1548" s="14" t="str">
        <f t="shared" si="3"/>
        <v>https://svgtext.heliohost.us/cgi-bin/gen.perl?text=Teachers</v>
      </c>
      <c r="G1548" s="11" t="str">
        <f t="shared" si="4"/>
        <v>data:image/svg+xml,%3csvg xmlns='http://www.w3.org/2000/svg' viewBox='0 0 24 216'%3e%3ctext fill='%23fff' style='font: 900 16px sans-serif' text-anchor='end' transform='matrix(0 -1 1 0 18 5)'%3eTeachers%3c/text%3e%3c/svg%3e</v>
      </c>
      <c r="H1548" s="8" t="s">
        <v>29</v>
      </c>
      <c r="I1548" s="8">
        <f t="shared" ref="I1548:J1548" si="1549">len(B1548)</f>
        <v>8</v>
      </c>
      <c r="J1548" s="8">
        <f t="shared" si="1549"/>
        <v>43</v>
      </c>
      <c r="K1548" s="8" t="s">
        <v>6299</v>
      </c>
    </row>
    <row r="1549">
      <c r="A1549" s="7" t="b">
        <v>1</v>
      </c>
      <c r="B1549" s="8" t="s">
        <v>6300</v>
      </c>
      <c r="C1549" s="8" t="s">
        <v>6301</v>
      </c>
      <c r="D1549" s="8" t="str">
        <f>Q&amp;$K1549&amp;Q&amp;":{"&amp;Q&amp;$B$2&amp;Q&amp;":"&amp;Q&amp;$B1549&amp;Q&amp;","&amp;Q&amp;$C$2&amp;Q&amp;":"&amp;Q&amp;$C1549&amp;Q&amp;","&amp;Q&amp;"sets"&amp;Q&amp;":"&amp;Q&amp;substitute(SUBSTITUTE($H1549,"[",""),"]","")&amp;Q&amp;"},"</f>
        <v>"kdce":{"label":"Teenagers","extra":"Ages thirteen to nineteen.","sets":"Junior 9+ (1st) &amp; (2nd)"},</v>
      </c>
      <c r="E1549" s="9" t="str">
        <f t="shared" si="2"/>
        <v>data:image/svg+xml,%3csvg xmlns='http://www.w3.org/2000/svg' viewBox='0 0 24 216'%3e%3ctext fill='%23fff' style='font: 900 16px sans-serif' text-anchor='end' transform='matrix(0 -1 1 0 18 5)'%3eTeenagers%3c/text%3e%3c/svg%3e</v>
      </c>
      <c r="F1549" s="14" t="str">
        <f t="shared" si="3"/>
        <v>https://svgtext.heliohost.us/cgi-bin/gen.perl?text=Teenagers</v>
      </c>
      <c r="G1549" s="11" t="str">
        <f t="shared" si="4"/>
        <v>data:image/svg+xml,%3csvg xmlns='http://www.w3.org/2000/svg' viewBox='0 0 24 216'%3e%3ctext fill='%23fff' style='font: 900 16px sans-serif' text-anchor='end' transform='matrix(0 -1 1 0 18 5)'%3eTeenagers%3c/text%3e%3c/svg%3e</v>
      </c>
      <c r="H1549" s="8" t="s">
        <v>42</v>
      </c>
      <c r="I1549" s="8">
        <f t="shared" ref="I1549:J1549" si="1550">len(B1549)</f>
        <v>9</v>
      </c>
      <c r="J1549" s="8">
        <f t="shared" si="1550"/>
        <v>26</v>
      </c>
      <c r="K1549" s="8" t="s">
        <v>6302</v>
      </c>
    </row>
    <row r="1550">
      <c r="A1550" s="7" t="b">
        <v>1</v>
      </c>
      <c r="B1550" s="8" t="s">
        <v>6303</v>
      </c>
      <c r="C1550" s="8" t="s">
        <v>6304</v>
      </c>
      <c r="D1550" s="8" t="str">
        <f>Q&amp;$K1550&amp;Q&amp;":{"&amp;Q&amp;$B$2&amp;Q&amp;":"&amp;Q&amp;$B1550&amp;Q&amp;","&amp;Q&amp;$C$2&amp;Q&amp;":"&amp;Q&amp;$C1550&amp;Q&amp;","&amp;Q&amp;"sets"&amp;Q&amp;":"&amp;Q&amp;substitute(SUBSTITUTE($H1550,"[",""),"]","")&amp;Q&amp;"},"</f>
        <v>"jcsy":{"label":"Teeth","extra":"Adults have 32 permanent teeth.","sets":"Junior 9+ (1st) &amp; (2nd)"},</v>
      </c>
      <c r="E1550" s="9" t="str">
        <f t="shared" si="2"/>
        <v>data:image/svg+xml,%3csvg xmlns='http://www.w3.org/2000/svg' viewBox='0 0 24 216'%3e%3ctext fill='%23fff' style='font: 900 16px sans-serif' text-anchor='end' transform='matrix(0 -1 1 0 18 5)'%3eTeeth%3c/text%3e%3c/svg%3e</v>
      </c>
      <c r="F1550" s="14" t="str">
        <f t="shared" si="3"/>
        <v>https://svgtext.heliohost.us/cgi-bin/gen.perl?text=Teeth</v>
      </c>
      <c r="G1550" s="11" t="str">
        <f t="shared" si="4"/>
        <v>data:image/svg+xml,%3csvg xmlns='http://www.w3.org/2000/svg' viewBox='0 0 24 216'%3e%3ctext fill='%23fff' style='font: 900 16px sans-serif' text-anchor='end' transform='matrix(0 -1 1 0 18 5)'%3eTeeth%3c/text%3e%3c/svg%3e</v>
      </c>
      <c r="H1550" s="8" t="s">
        <v>42</v>
      </c>
      <c r="I1550" s="8">
        <f t="shared" ref="I1550:J1550" si="1551">len(B1550)</f>
        <v>5</v>
      </c>
      <c r="J1550" s="8">
        <f t="shared" si="1551"/>
        <v>31</v>
      </c>
      <c r="K1550" s="8" t="s">
        <v>6305</v>
      </c>
    </row>
    <row r="1551">
      <c r="A1551" s="7" t="b">
        <v>0</v>
      </c>
      <c r="B1551" s="8" t="s">
        <v>6306</v>
      </c>
      <c r="C1551" s="7" t="s">
        <v>6307</v>
      </c>
      <c r="D1551" s="8" t="str">
        <f>Q&amp;$K1551&amp;Q&amp;":{"&amp;Q&amp;$B$2&amp;Q&amp;":"&amp;Q&amp;$B1551&amp;Q&amp;","&amp;Q&amp;$C$2&amp;Q&amp;":"&amp;Q&amp;$C1551&amp;Q&amp;","&amp;Q&amp;"sets"&amp;Q&amp;":"&amp;Q&amp;substitute(SUBSTITUTE($H1551,"[",""),"]","")&amp;Q&amp;"},"</f>
        <v>"gzjp":{"label":"Telemarketers","extra":"“No, thank you… No, I’m not interested… No, I have to go now…”","sets":"Expansion Set 1, Party Set"},</v>
      </c>
      <c r="E1551" s="9" t="str">
        <f t="shared" si="2"/>
        <v>data:image/svg+xml,%3csvg xmlns='http://www.w3.org/2000/svg' viewBox='0 0 24 216'%3e%3ctext fill='%23fff' style='font: 900 16px sans-serif' text-anchor='end' transform='matrix(0 -1 1 0 18 5)'%3eTelemarketers%3c/text%3e%3c/svg%3e</v>
      </c>
      <c r="F1551" s="14" t="str">
        <f t="shared" si="3"/>
        <v>https://svgtext.heliohost.us/cgi-bin/gen.perl?text=Telemarketers</v>
      </c>
      <c r="G1551" s="11" t="str">
        <f t="shared" si="4"/>
        <v>data:image/svg+xml,%3csvg xmlns='http://www.w3.org/2000/svg' viewBox='0 0 24 216'%3e%3ctext fill='%23fff' style='font: 900 16px sans-serif' text-anchor='end' transform='matrix(0 -1 1 0 18 5)'%3eTelemarketers%3c/text%3e%3c/svg%3e</v>
      </c>
      <c r="H1551" s="8" t="s">
        <v>25</v>
      </c>
      <c r="I1551" s="8">
        <f t="shared" ref="I1551:J1551" si="1552">len(B1551)</f>
        <v>13</v>
      </c>
      <c r="J1551" s="8">
        <f t="shared" si="1552"/>
        <v>62</v>
      </c>
      <c r="K1551" s="8" t="s">
        <v>6308</v>
      </c>
    </row>
    <row r="1552">
      <c r="A1552" s="7" t="b">
        <v>0</v>
      </c>
      <c r="B1552" s="8" t="s">
        <v>6309</v>
      </c>
      <c r="C1552" s="8" t="s">
        <v>6310</v>
      </c>
      <c r="D1552" s="8" t="str">
        <f>Q&amp;$K1552&amp;Q&amp;":{"&amp;Q&amp;$B$2&amp;Q&amp;":"&amp;Q&amp;$B1552&amp;Q&amp;","&amp;Q&amp;$C$2&amp;Q&amp;":"&amp;Q&amp;$C1552&amp;Q&amp;","&amp;Q&amp;"sets"&amp;Q&amp;":"&amp;Q&amp;substitute(SUBSTITUTE($H1552,"[",""),"]","")&amp;Q&amp;"},"</f>
        <v>"ifin":{"label":"Teletubbies","extra":"Colorful characters with televisions in their stomachs. Tinky Winky is purple.","sets":"Junior"},</v>
      </c>
      <c r="E1552" s="9" t="str">
        <f t="shared" si="2"/>
        <v>data:image/svg+xml,%3csvg xmlns='http://www.w3.org/2000/svg' viewBox='0 0 24 216'%3e%3ctext fill='%23fff' style='font: 900 16px sans-serif' text-anchor='end' transform='matrix(0 -1 1 0 18 5)'%3eTeletubbies%3c/text%3e%3c/svg%3e</v>
      </c>
      <c r="F1552" s="14" t="str">
        <f t="shared" si="3"/>
        <v>https://svgtext.heliohost.us/cgi-bin/gen.perl?text=Teletubbies</v>
      </c>
      <c r="G1552" s="11" t="str">
        <f t="shared" si="4"/>
        <v>data:image/svg+xml,%3csvg xmlns='http://www.w3.org/2000/svg' viewBox='0 0 24 216'%3e%3ctext fill='%23fff' style='font: 900 16px sans-serif' text-anchor='end' transform='matrix(0 -1 1 0 18 5)'%3eTeletubbies%3c/text%3e%3c/svg%3e</v>
      </c>
      <c r="H1552" s="8" t="s">
        <v>84</v>
      </c>
      <c r="I1552" s="8">
        <f t="shared" ref="I1552:J1552" si="1553">len(B1552)</f>
        <v>11</v>
      </c>
      <c r="J1552" s="8">
        <f t="shared" si="1553"/>
        <v>78</v>
      </c>
      <c r="K1552" s="8" t="s">
        <v>6311</v>
      </c>
    </row>
    <row r="1553">
      <c r="A1553" s="7" t="b">
        <v>0</v>
      </c>
      <c r="B1553" s="8" t="s">
        <v>6312</v>
      </c>
      <c r="C1553" s="8" t="s">
        <v>6313</v>
      </c>
      <c r="D1553" s="8" t="str">
        <f>Q&amp;$K1553&amp;Q&amp;":{"&amp;Q&amp;$B$2&amp;Q&amp;":"&amp;Q&amp;$B1553&amp;Q&amp;","&amp;Q&amp;$C$2&amp;Q&amp;":"&amp;Q&amp;$C1553&amp;Q&amp;","&amp;Q&amp;"sets"&amp;Q&amp;":"&amp;Q&amp;substitute(SUBSTITUTE($H1553,"[",""),"]","")&amp;Q&amp;"},"</f>
        <v>"zoky":{"label":"Televangelists","extra":"Not to be confused with Teletubbies.","sets":"Expansion Set 1, Party Set"},</v>
      </c>
      <c r="E1553" s="9" t="str">
        <f t="shared" si="2"/>
        <v>data:image/svg+xml,%3csvg xmlns='http://www.w3.org/2000/svg' viewBox='0 0 24 216'%3e%3ctext fill='%23fff' style='font: 900 16px sans-serif' text-anchor='end' transform='matrix(0 -1 1 0 18 5)'%3eTelevangelists%3c/text%3e%3c/svg%3e</v>
      </c>
      <c r="F1553" s="14" t="str">
        <f t="shared" si="3"/>
        <v>https://svgtext.heliohost.us/cgi-bin/gen.perl?text=Televangelists</v>
      </c>
      <c r="G1553" s="11" t="str">
        <f t="shared" si="4"/>
        <v>data:image/svg+xml,%3csvg xmlns='http://www.w3.org/2000/svg' viewBox='0 0 24 216'%3e%3ctext fill='%23fff' style='font: 900 16px sans-serif' text-anchor='end' transform='matrix(0 -1 1 0 18 5)'%3eTelevangelists%3c/text%3e%3c/svg%3e</v>
      </c>
      <c r="H1553" s="8" t="s">
        <v>25</v>
      </c>
      <c r="I1553" s="8">
        <f t="shared" ref="I1553:J1553" si="1554">len(B1553)</f>
        <v>14</v>
      </c>
      <c r="J1553" s="8">
        <f t="shared" si="1554"/>
        <v>36</v>
      </c>
      <c r="K1553" s="8" t="s">
        <v>6314</v>
      </c>
    </row>
    <row r="1554">
      <c r="A1554" s="7" t="b">
        <v>0</v>
      </c>
      <c r="B1554" s="8" t="s">
        <v>6315</v>
      </c>
      <c r="C1554" s="8" t="s">
        <v>6316</v>
      </c>
      <c r="D1554" s="8" t="str">
        <f>Q&amp;$K1554&amp;Q&amp;":{"&amp;Q&amp;$B$2&amp;Q&amp;":"&amp;Q&amp;$B1554&amp;Q&amp;","&amp;Q&amp;$C$2&amp;Q&amp;":"&amp;Q&amp;$C1554&amp;Q&amp;","&amp;Q&amp;"sets"&amp;Q&amp;":"&amp;Q&amp;substitute(SUBSTITUTE($H1554,"[",""),"]","")&amp;Q&amp;"},"</f>
        <v>"wzcp":{"label":"Television","extra":"One-hundred and sixty-four channels, and nothing worth watching.","sets":"Basic Set, Party Set"},</v>
      </c>
      <c r="E1554" s="9" t="str">
        <f t="shared" si="2"/>
        <v>data:image/svg+xml,%3csvg xmlns='http://www.w3.org/2000/svg' viewBox='0 0 24 216'%3e%3ctext fill='%23fff' style='font: 900 16px sans-serif' text-anchor='end' transform='matrix(0 -1 1 0 18 5)'%3eTelevision%3c/text%3e%3c/svg%3e</v>
      </c>
      <c r="F1554" s="14" t="str">
        <f t="shared" si="3"/>
        <v>https://svgtext.heliohost.us/cgi-bin/gen.perl?text=Television</v>
      </c>
      <c r="G1554" s="11" t="str">
        <f t="shared" si="4"/>
        <v>data:image/svg+xml,%3csvg xmlns='http://www.w3.org/2000/svg' viewBox='0 0 24 216'%3e%3ctext fill='%23fff' style='font: 900 16px sans-serif' text-anchor='end' transform='matrix(0 -1 1 0 18 5)'%3eTelevision%3c/text%3e%3c/svg%3e</v>
      </c>
      <c r="H1554" s="8" t="s">
        <v>29</v>
      </c>
      <c r="I1554" s="8">
        <f t="shared" ref="I1554:J1554" si="1555">len(B1554)</f>
        <v>10</v>
      </c>
      <c r="J1554" s="8">
        <f t="shared" si="1555"/>
        <v>64</v>
      </c>
      <c r="K1554" s="8" t="s">
        <v>6317</v>
      </c>
    </row>
    <row r="1555">
      <c r="A1555" s="7" t="b">
        <v>1</v>
      </c>
      <c r="B1555" s="8" t="s">
        <v>6315</v>
      </c>
      <c r="C1555" s="7" t="s">
        <v>6318</v>
      </c>
      <c r="D1555" s="8" t="str">
        <f>Q&amp;$K1555&amp;Q&amp;":{"&amp;Q&amp;$B$2&amp;Q&amp;":"&amp;Q&amp;$B1555&amp;Q&amp;","&amp;Q&amp;$C$2&amp;Q&amp;":"&amp;Q&amp;$C1555&amp;Q&amp;","&amp;Q&amp;"sets"&amp;Q&amp;":"&amp;Q&amp;substitute(SUBSTITUTE($H1555,"[",""),"]","")&amp;Q&amp;"},"</f>
        <v>"znfr":{"label":"Television","extra":"If you get your homework done…","sets":"Junior 9+ (2nd)"},</v>
      </c>
      <c r="E1555" s="9" t="str">
        <f t="shared" si="2"/>
        <v>data:image/svg+xml,%3csvg xmlns='http://www.w3.org/2000/svg' viewBox='0 0 24 216'%3e%3ctext fill='%23fff' style='font: 900 16px sans-serif' text-anchor='end' transform='matrix(0 -1 1 0 18 5)'%3eTelevision%3c/text%3e%3c/svg%3e</v>
      </c>
      <c r="F1555" s="14" t="str">
        <f t="shared" si="3"/>
        <v>https://svgtext.heliohost.us/cgi-bin/gen.perl?text=Television</v>
      </c>
      <c r="G1555" s="11" t="str">
        <f t="shared" si="4"/>
        <v>data:image/svg+xml,%3csvg xmlns='http://www.w3.org/2000/svg' viewBox='0 0 24 216'%3e%3ctext fill='%23fff' style='font: 900 16px sans-serif' text-anchor='end' transform='matrix(0 -1 1 0 18 5)'%3eTelevision%3c/text%3e%3c/svg%3e</v>
      </c>
      <c r="H1555" s="8" t="s">
        <v>32</v>
      </c>
      <c r="I1555" s="8">
        <f t="shared" ref="I1555:J1555" si="1556">len(B1555)</f>
        <v>10</v>
      </c>
      <c r="J1555" s="8">
        <f t="shared" si="1556"/>
        <v>30</v>
      </c>
      <c r="K1555" s="8" t="s">
        <v>6319</v>
      </c>
    </row>
    <row r="1556">
      <c r="A1556" s="7" t="b">
        <v>1</v>
      </c>
      <c r="B1556" s="8" t="s">
        <v>6320</v>
      </c>
      <c r="C1556" s="7" t="s">
        <v>6321</v>
      </c>
      <c r="D1556" s="8" t="str">
        <f>Q&amp;$K1556&amp;Q&amp;":{"&amp;Q&amp;$B$2&amp;Q&amp;":"&amp;Q&amp;$B1556&amp;Q&amp;","&amp;Q&amp;$C$2&amp;Q&amp;":"&amp;Q&amp;$C1556&amp;Q&amp;","&amp;Q&amp;"sets"&amp;Q&amp;":"&amp;Q&amp;substitute(SUBSTITUTE($H1556,"[",""),"]","")&amp;Q&amp;"},"</f>
        <v>"ddkv":{"label":"Telling Scary Stories","extra":"“It was a dark and stormy night…”","sets":"Junior 9+ (1st) &amp; (2nd)"},</v>
      </c>
      <c r="E1556" s="9" t="str">
        <f t="shared" si="2"/>
        <v>data:image/svg+xml,%3csvg xmlns='http://www.w3.org/2000/svg' viewBox='0 0 24 216'%3e%3ctext fill='%23fff' style='font: 900 16px sans-serif' text-anchor='end' transform='matrix(0 -1 1 0 18 5)'%3eTelling Scary Stories%3c/text%3e%3c/svg%3e</v>
      </c>
      <c r="F1556" s="14" t="str">
        <f t="shared" si="3"/>
        <v>https://svgtext.heliohost.us/cgi-bin/gen.perl?text=Telling%20Scary%20Stories</v>
      </c>
      <c r="G1556" s="11" t="str">
        <f t="shared" si="4"/>
        <v>data:image/svg+xml,%3csvg xmlns='http://www.w3.org/2000/svg' viewBox='0 0 24 216'%3e%3ctext fill='%23fff' style='font: 900 16px sans-serif' text-anchor='end' transform='matrix(0 -1 1 0 18 5)'%3eTelling Scary Stories%3c/text%3e%3c/svg%3e</v>
      </c>
      <c r="H1556" s="8" t="s">
        <v>42</v>
      </c>
      <c r="I1556" s="8">
        <f t="shared" ref="I1556:J1556" si="1557">len(B1556)</f>
        <v>21</v>
      </c>
      <c r="J1556" s="8">
        <f t="shared" si="1557"/>
        <v>33</v>
      </c>
      <c r="K1556" s="8" t="s">
        <v>6322</v>
      </c>
    </row>
    <row r="1557">
      <c r="A1557" s="7" t="b">
        <v>0</v>
      </c>
      <c r="B1557" s="8" t="s">
        <v>6323</v>
      </c>
      <c r="C1557" s="7" t="s">
        <v>6324</v>
      </c>
      <c r="D1557" s="8" t="str">
        <f>Q&amp;$K1557&amp;Q&amp;":{"&amp;Q&amp;$B$2&amp;Q&amp;":"&amp;Q&amp;$B1557&amp;Q&amp;","&amp;Q&amp;$C$2&amp;Q&amp;":"&amp;Q&amp;$C1557&amp;Q&amp;","&amp;Q&amp;"sets"&amp;Q&amp;":"&amp;Q&amp;substitute(SUBSTITUTE($H1557,"[",""),"]","")&amp;Q&amp;"},"</f>
        <v>"leky":{"label":"Telling The Truth","extra":"“There are two kinds of truth. There are real truths and there are made-up truths.” —Marion Barry, ex-mayor of Washington, D.C.","sets":"Expansion Set 2, Party Set"},</v>
      </c>
      <c r="E1557" s="9" t="str">
        <f t="shared" si="2"/>
        <v>data:image/svg+xml,%3csvg xmlns='http://www.w3.org/2000/svg' viewBox='0 0 24 216'%3e%3ctext fill='%23fff' style='font: 900 16px sans-serif' text-anchor='end' transform='matrix(0 -1 1 0 18 5)'%3eTelling The Truth%3c/text%3e%3c/svg%3e</v>
      </c>
      <c r="F1557" s="14" t="str">
        <f t="shared" si="3"/>
        <v>https://svgtext.heliohost.us/cgi-bin/gen.perl?text=Telling%20The%20Truth</v>
      </c>
      <c r="G1557" s="11" t="str">
        <f t="shared" si="4"/>
        <v>data:image/svg+xml,%3csvg xmlns='http://www.w3.org/2000/svg' viewBox='0 0 24 216'%3e%3ctext fill='%23fff' style='font: 900 16px sans-serif' text-anchor='end' transform='matrix(0 -1 1 0 18 5)'%3eTelling The Truth%3c/text%3e%3c/svg%3e</v>
      </c>
      <c r="H1557" s="8" t="s">
        <v>17</v>
      </c>
      <c r="I1557" s="8">
        <f t="shared" ref="I1557:J1557" si="1558">len(B1557)</f>
        <v>17</v>
      </c>
      <c r="J1557" s="8">
        <f t="shared" si="1558"/>
        <v>127</v>
      </c>
      <c r="K1557" s="8" t="s">
        <v>6325</v>
      </c>
    </row>
    <row r="1558">
      <c r="A1558" s="7" t="b">
        <v>1</v>
      </c>
      <c r="B1558" s="8" t="s">
        <v>6326</v>
      </c>
      <c r="C1558" s="8" t="s">
        <v>6327</v>
      </c>
      <c r="D1558" s="8" t="str">
        <f>Q&amp;$K1558&amp;Q&amp;":{"&amp;Q&amp;$B$2&amp;Q&amp;":"&amp;Q&amp;$B1558&amp;Q&amp;","&amp;Q&amp;$C$2&amp;Q&amp;":"&amp;Q&amp;$C1558&amp;Q&amp;","&amp;Q&amp;"sets"&amp;Q&amp;":"&amp;Q&amp;substitute(SUBSTITUTE($H1558,"[",""),"]","")&amp;Q&amp;"},"</f>
        <v>"kxll":{"label":"Tents","extra":"A pup tent will hold one or two people, but a circus tent can hold hundreds.","sets":"Junior 9+ (1st) &amp; (2nd)"},</v>
      </c>
      <c r="E1558" s="9" t="str">
        <f t="shared" si="2"/>
        <v>data:image/svg+xml,%3csvg xmlns='http://www.w3.org/2000/svg' viewBox='0 0 24 216'%3e%3ctext fill='%23fff' style='font: 900 16px sans-serif' text-anchor='end' transform='matrix(0 -1 1 0 18 5)'%3eTents%3c/text%3e%3c/svg%3e</v>
      </c>
      <c r="F1558" s="14" t="str">
        <f t="shared" si="3"/>
        <v>https://svgtext.heliohost.us/cgi-bin/gen.perl?text=Tents</v>
      </c>
      <c r="G1558" s="11" t="str">
        <f t="shared" si="4"/>
        <v>data:image/svg+xml,%3csvg xmlns='http://www.w3.org/2000/svg' viewBox='0 0 24 216'%3e%3ctext fill='%23fff' style='font: 900 16px sans-serif' text-anchor='end' transform='matrix(0 -1 1 0 18 5)'%3eTents%3c/text%3e%3c/svg%3e</v>
      </c>
      <c r="H1558" s="8" t="s">
        <v>42</v>
      </c>
      <c r="I1558" s="8">
        <f t="shared" ref="I1558:J1558" si="1559">len(B1558)</f>
        <v>5</v>
      </c>
      <c r="J1558" s="8">
        <f t="shared" si="1559"/>
        <v>76</v>
      </c>
      <c r="K1558" s="8" t="s">
        <v>6328</v>
      </c>
    </row>
    <row r="1559">
      <c r="A1559" s="7" t="b">
        <v>0</v>
      </c>
      <c r="B1559" s="8" t="s">
        <v>6329</v>
      </c>
      <c r="C1559" s="8" t="s">
        <v>6330</v>
      </c>
      <c r="D1559" s="8" t="str">
        <f>Q&amp;$K1559&amp;Q&amp;":{"&amp;Q&amp;$B$2&amp;Q&amp;":"&amp;Q&amp;$B1559&amp;Q&amp;","&amp;Q&amp;$C$2&amp;Q&amp;":"&amp;Q&amp;$C1559&amp;Q&amp;","&amp;Q&amp;"sets"&amp;Q&amp;":"&amp;Q&amp;substitute(SUBSTITUTE($H1559,"[",""),"]","")&amp;Q&amp;"},"</f>
        <v>"lqoi":{"label":"Terrorist Attack","extra":"We will never negotiate with terrorists.","sets":"Basic Set, Party Set"},</v>
      </c>
      <c r="E1559" s="9" t="str">
        <f t="shared" si="2"/>
        <v>data:image/svg+xml,%3csvg xmlns='http://www.w3.org/2000/svg' viewBox='0 0 24 216'%3e%3ctext fill='%23fff' style='font: 900 16px sans-serif' text-anchor='end' transform='matrix(0 -1 1 0 18 5)'%3eTerrorist Attack%3c/text%3e%3c/svg%3e</v>
      </c>
      <c r="F1559" s="14" t="str">
        <f t="shared" si="3"/>
        <v>https://svgtext.heliohost.us/cgi-bin/gen.perl?text=Terrorist%20Attack</v>
      </c>
      <c r="G1559" s="11" t="str">
        <f t="shared" si="4"/>
        <v>data:image/svg+xml,%3csvg xmlns='http://www.w3.org/2000/svg' viewBox='0 0 24 216'%3e%3ctext fill='%23fff' style='font: 900 16px sans-serif' text-anchor='end' transform='matrix(0 -1 1 0 18 5)'%3eTerrorist Attack%3c/text%3e%3c/svg%3e</v>
      </c>
      <c r="H1559" s="8" t="s">
        <v>29</v>
      </c>
      <c r="I1559" s="8">
        <f t="shared" ref="I1559:J1559" si="1560">len(B1559)</f>
        <v>16</v>
      </c>
      <c r="J1559" s="8">
        <f t="shared" si="1560"/>
        <v>40</v>
      </c>
      <c r="K1559" s="8" t="s">
        <v>6331</v>
      </c>
    </row>
    <row r="1560">
      <c r="A1560" s="7" t="b">
        <v>0</v>
      </c>
      <c r="B1560" s="8" t="s">
        <v>6332</v>
      </c>
      <c r="C1560" s="8" t="s">
        <v>6333</v>
      </c>
      <c r="D1560" s="8" t="str">
        <f>Q&amp;$K1560&amp;Q&amp;":{"&amp;Q&amp;$B$2&amp;Q&amp;":"&amp;Q&amp;$B1560&amp;Q&amp;","&amp;Q&amp;$C$2&amp;Q&amp;":"&amp;Q&amp;$C1560&amp;Q&amp;","&amp;Q&amp;"sets"&amp;Q&amp;":"&amp;Q&amp;substitute(SUBSTITUTE($H1560,"[",""),"]","")&amp;Q&amp;"},"</f>
        <v>"gnmi":{"label":"Texas","extra":"Famous for oil wells, barbecues, and cowboys. The capital of Texas is Austin.","sets":"Junior 9+ (2nd)"},</v>
      </c>
      <c r="E1560" s="9" t="str">
        <f t="shared" si="2"/>
        <v>data:image/svg+xml,%3csvg xmlns='http://www.w3.org/2000/svg' viewBox='0 0 24 216'%3e%3ctext fill='%23fff' style='font: 900 16px sans-serif' text-anchor='end' transform='matrix(0 -1 1 0 18 5)'%3eTexas%3c/text%3e%3c/svg%3e</v>
      </c>
      <c r="F1560" s="14" t="str">
        <f t="shared" si="3"/>
        <v>https://svgtext.heliohost.us/cgi-bin/gen.perl?text=Texas</v>
      </c>
      <c r="G1560" s="11" t="str">
        <f t="shared" si="4"/>
        <v>data:image/svg+xml,%3csvg xmlns='http://www.w3.org/2000/svg' viewBox='0 0 24 216'%3e%3ctext fill='%23fff' style='font: 900 16px sans-serif' text-anchor='end' transform='matrix(0 -1 1 0 18 5)'%3eTexas%3c/text%3e%3c/svg%3e</v>
      </c>
      <c r="H1560" s="8" t="s">
        <v>32</v>
      </c>
      <c r="I1560" s="8">
        <f t="shared" ref="I1560:J1560" si="1561">len(B1560)</f>
        <v>5</v>
      </c>
      <c r="J1560" s="8">
        <f t="shared" si="1561"/>
        <v>77</v>
      </c>
      <c r="K1560" s="8" t="s">
        <v>6334</v>
      </c>
    </row>
    <row r="1561">
      <c r="A1561" s="7" t="b">
        <v>0</v>
      </c>
      <c r="B1561" s="8" t="s">
        <v>6335</v>
      </c>
      <c r="C1561" s="8" t="s">
        <v>6336</v>
      </c>
      <c r="D1561" s="8" t="str">
        <f>Q&amp;$K1561&amp;Q&amp;":{"&amp;Q&amp;$B$2&amp;Q&amp;":"&amp;Q&amp;$B1561&amp;Q&amp;","&amp;Q&amp;$C$2&amp;Q&amp;":"&amp;Q&amp;$C1561&amp;Q&amp;","&amp;Q&amp;"sets"&amp;Q&amp;":"&amp;Q&amp;substitute(SUBSTITUTE($H1561,"[",""),"]","")&amp;Q&amp;"},"</f>
        <v>"drjl":{"label":"Thanksgiving Day","extra":"The fourth Thursday of November in the U.S.; the second Monday in October in Canada.","sets":"Basic Set, Party Set"},</v>
      </c>
      <c r="E1561" s="9" t="str">
        <f t="shared" si="2"/>
        <v>data:image/svg+xml,%3csvg xmlns='http://www.w3.org/2000/svg' viewBox='0 0 24 216'%3e%3ctext fill='%23fff' style='font: 900 16px sans-serif' text-anchor='end' transform='matrix(0 -1 1 0 18 5)'%3eThanksgiving Day%3c/text%3e%3c/svg%3e</v>
      </c>
      <c r="F1561" s="14" t="str">
        <f t="shared" si="3"/>
        <v>https://svgtext.heliohost.us/cgi-bin/gen.perl?text=Thanksgiving%20Day</v>
      </c>
      <c r="G1561" s="11" t="str">
        <f t="shared" si="4"/>
        <v>data:image/svg+xml,%3csvg xmlns='http://www.w3.org/2000/svg' viewBox='0 0 24 216'%3e%3ctext fill='%23fff' style='font: 900 16px sans-serif' text-anchor='end' transform='matrix(0 -1 1 0 18 5)'%3eThanksgiving Day%3c/text%3e%3c/svg%3e</v>
      </c>
      <c r="H1561" s="8" t="s">
        <v>29</v>
      </c>
      <c r="I1561" s="8">
        <f t="shared" ref="I1561:J1561" si="1562">len(B1561)</f>
        <v>16</v>
      </c>
      <c r="J1561" s="8">
        <f t="shared" si="1562"/>
        <v>84</v>
      </c>
      <c r="K1561" s="8" t="s">
        <v>6337</v>
      </c>
    </row>
    <row r="1562">
      <c r="A1562" s="7" t="b">
        <v>1</v>
      </c>
      <c r="B1562" s="8" t="s">
        <v>6335</v>
      </c>
      <c r="C1562" s="8" t="s">
        <v>6338</v>
      </c>
      <c r="D1562" s="8" t="str">
        <f>Q&amp;$K1562&amp;Q&amp;":{"&amp;Q&amp;$B$2&amp;Q&amp;":"&amp;Q&amp;$B1562&amp;Q&amp;","&amp;Q&amp;$C$2&amp;Q&amp;":"&amp;Q&amp;$C1562&amp;Q&amp;","&amp;Q&amp;"sets"&amp;Q&amp;":"&amp;Q&amp;substitute(SUBSTITUTE($H1562,"[",""),"]","")&amp;Q&amp;"},"</f>
        <v>"hsrt":{"label":"Thanksgiving Day","extra":"A harvest festival celebrated on the fourth Thursday in November in the U.S.","sets":"Junior 9+ (1st) &amp; (2nd)"},</v>
      </c>
      <c r="E1562" s="9" t="str">
        <f t="shared" si="2"/>
        <v>data:image/svg+xml,%3csvg xmlns='http://www.w3.org/2000/svg' viewBox='0 0 24 216'%3e%3ctext fill='%23fff' style='font: 900 16px sans-serif' text-anchor='end' transform='matrix(0 -1 1 0 18 5)'%3eThanksgiving Day%3c/text%3e%3c/svg%3e</v>
      </c>
      <c r="F1562" s="14" t="str">
        <f t="shared" si="3"/>
        <v>https://svgtext.heliohost.us/cgi-bin/gen.perl?text=Thanksgiving%20Day</v>
      </c>
      <c r="G1562" s="11" t="str">
        <f t="shared" si="4"/>
        <v>data:image/svg+xml,%3csvg xmlns='http://www.w3.org/2000/svg' viewBox='0 0 24 216'%3e%3ctext fill='%23fff' style='font: 900 16px sans-serif' text-anchor='end' transform='matrix(0 -1 1 0 18 5)'%3eThanksgiving Day%3c/text%3e%3c/svg%3e</v>
      </c>
      <c r="H1562" s="8" t="s">
        <v>42</v>
      </c>
      <c r="I1562" s="8">
        <f t="shared" ref="I1562:J1562" si="1563">len(B1562)</f>
        <v>16</v>
      </c>
      <c r="J1562" s="8">
        <f t="shared" si="1563"/>
        <v>76</v>
      </c>
      <c r="K1562" s="8" t="s">
        <v>6339</v>
      </c>
    </row>
    <row r="1563">
      <c r="A1563" s="7" t="b">
        <v>1</v>
      </c>
      <c r="B1563" s="8" t="s">
        <v>6340</v>
      </c>
      <c r="C1563" s="8" t="s">
        <v>6341</v>
      </c>
      <c r="D1563" s="8" t="str">
        <f>Q&amp;$K1563&amp;Q&amp;":{"&amp;Q&amp;$B$2&amp;Q&amp;":"&amp;Q&amp;$B1563&amp;Q&amp;","&amp;Q&amp;$C$2&amp;Q&amp;":"&amp;Q&amp;$C1563&amp;Q&amp;","&amp;Q&amp;"sets"&amp;Q&amp;":"&amp;Q&amp;substitute(SUBSTITUTE($H1563,"[",""),"]","")&amp;Q&amp;"},"</f>
        <v>"otvj":{"label":"The 1920s","extra":"Pros: the Jazz Age. Cons: Presidents who look like librarians.","sets":"Basic Set, Party Set"},</v>
      </c>
      <c r="E1563" s="9" t="str">
        <f t="shared" si="2"/>
        <v>data:image/svg+xml,%3csvg xmlns='http://www.w3.org/2000/svg' viewBox='0 0 24 216'%3e%3ctext fill='%23fff' style='font: 900 16px sans-serif' text-anchor='end' transform='matrix(0 -1 1 0 18 5)'%3eThe 1920s%3c/text%3e%3c/svg%3e</v>
      </c>
      <c r="F1563" s="14" t="str">
        <f t="shared" si="3"/>
        <v>https://svgtext.heliohost.us/cgi-bin/gen.perl?text=The%201920s</v>
      </c>
      <c r="G1563" s="11" t="str">
        <f t="shared" si="4"/>
        <v>data:image/svg+xml,%3csvg xmlns='http://www.w3.org/2000/svg' viewBox='0 0 24 216'%3e%3ctext fill='%23fff' style='font: 900 16px sans-serif' text-anchor='end' transform='matrix(0 -1 1 0 18 5)'%3eThe 1920s%3c/text%3e%3c/svg%3e</v>
      </c>
      <c r="H1563" s="8" t="s">
        <v>29</v>
      </c>
      <c r="I1563" s="8">
        <f t="shared" ref="I1563:J1563" si="1564">len(B1563)</f>
        <v>9</v>
      </c>
      <c r="J1563" s="8">
        <f t="shared" si="1564"/>
        <v>62</v>
      </c>
      <c r="K1563" s="8" t="s">
        <v>6342</v>
      </c>
    </row>
    <row r="1564">
      <c r="A1564" s="7" t="b">
        <v>1</v>
      </c>
      <c r="B1564" s="8" t="s">
        <v>6343</v>
      </c>
      <c r="C1564" s="8" t="s">
        <v>6344</v>
      </c>
      <c r="D1564" s="8" t="str">
        <f>Q&amp;$K1564&amp;Q&amp;":{"&amp;Q&amp;$B$2&amp;Q&amp;":"&amp;Q&amp;$B1564&amp;Q&amp;","&amp;Q&amp;$C$2&amp;Q&amp;":"&amp;Q&amp;$C1564&amp;Q&amp;","&amp;Q&amp;"sets"&amp;Q&amp;":"&amp;Q&amp;substitute(SUBSTITUTE($H1564,"[",""),"]","")&amp;Q&amp;"},"</f>
        <v>"o{ya":{"label":"The 1950s","extra":"Pros: Barbies, barbecues, and bikinis. Cons: McCarthy, the Korean War, television.","sets":"Basic Set, Party Set"},</v>
      </c>
      <c r="E1564" s="9" t="str">
        <f t="shared" si="2"/>
        <v>data:image/svg+xml,%3csvg xmlns='http://www.w3.org/2000/svg' viewBox='0 0 24 216'%3e%3ctext fill='%23fff' style='font: 900 16px sans-serif' text-anchor='end' transform='matrix(0 -1 1 0 18 5)'%3eThe 1950s%3c/text%3e%3c/svg%3e</v>
      </c>
      <c r="F1564" s="14" t="str">
        <f t="shared" si="3"/>
        <v>https://svgtext.heliohost.us/cgi-bin/gen.perl?text=The%201950s</v>
      </c>
      <c r="G1564" s="11" t="str">
        <f t="shared" si="4"/>
        <v>data:image/svg+xml,%3csvg xmlns='http://www.w3.org/2000/svg' viewBox='0 0 24 216'%3e%3ctext fill='%23fff' style='font: 900 16px sans-serif' text-anchor='end' transform='matrix(0 -1 1 0 18 5)'%3eThe 1950s%3c/text%3e%3c/svg%3e</v>
      </c>
      <c r="H1564" s="8" t="s">
        <v>29</v>
      </c>
      <c r="I1564" s="8">
        <f t="shared" ref="I1564:J1564" si="1565">len(B1564)</f>
        <v>9</v>
      </c>
      <c r="J1564" s="8">
        <f t="shared" si="1565"/>
        <v>82</v>
      </c>
      <c r="K1564" s="8" t="s">
        <v>6345</v>
      </c>
    </row>
    <row r="1565">
      <c r="A1565" s="7" t="b">
        <v>1</v>
      </c>
      <c r="B1565" s="8" t="s">
        <v>6346</v>
      </c>
      <c r="C1565" s="7" t="s">
        <v>6347</v>
      </c>
      <c r="D1565" s="8" t="str">
        <f>Q&amp;$K1565&amp;Q&amp;":{"&amp;Q&amp;$B$2&amp;Q&amp;":"&amp;Q&amp;$B1565&amp;Q&amp;","&amp;Q&amp;$C$2&amp;Q&amp;":"&amp;Q&amp;$C1565&amp;Q&amp;","&amp;Q&amp;"sets"&amp;Q&amp;":"&amp;Q&amp;substitute(SUBSTITUTE($H1565,"[",""),"]","")&amp;Q&amp;"},"</f>
        <v>"xesf":{"label":"The 1960s","extra":"Pros: the Moon Lsnding, the music. Cons: hippies who refuse to believe they’re over.","sets":"Basic Set, Party Set"},</v>
      </c>
      <c r="E1565" s="9" t="str">
        <f t="shared" si="2"/>
        <v>data:image/svg+xml,%3csvg xmlns='http://www.w3.org/2000/svg' viewBox='0 0 24 216'%3e%3ctext fill='%23fff' style='font: 900 16px sans-serif' text-anchor='end' transform='matrix(0 -1 1 0 18 5)'%3eThe 1960s%3c/text%3e%3c/svg%3e</v>
      </c>
      <c r="F1565" s="14" t="str">
        <f t="shared" si="3"/>
        <v>https://svgtext.heliohost.us/cgi-bin/gen.perl?text=The%201960s</v>
      </c>
      <c r="G1565" s="11" t="str">
        <f t="shared" si="4"/>
        <v>data:image/svg+xml,%3csvg xmlns='http://www.w3.org/2000/svg' viewBox='0 0 24 216'%3e%3ctext fill='%23fff' style='font: 900 16px sans-serif' text-anchor='end' transform='matrix(0 -1 1 0 18 5)'%3eThe 1960s%3c/text%3e%3c/svg%3e</v>
      </c>
      <c r="H1565" s="8" t="s">
        <v>29</v>
      </c>
      <c r="I1565" s="8">
        <f t="shared" ref="I1565:J1565" si="1566">len(B1565)</f>
        <v>9</v>
      </c>
      <c r="J1565" s="8">
        <f t="shared" si="1566"/>
        <v>84</v>
      </c>
      <c r="K1565" s="8" t="s">
        <v>6348</v>
      </c>
    </row>
    <row r="1566">
      <c r="A1566" s="7" t="b">
        <v>1</v>
      </c>
      <c r="B1566" s="8" t="s">
        <v>6349</v>
      </c>
      <c r="C1566" s="7" t="s">
        <v>6350</v>
      </c>
      <c r="D1566" s="8" t="str">
        <f>Q&amp;$K1566&amp;Q&amp;":{"&amp;Q&amp;$B$2&amp;Q&amp;":"&amp;Q&amp;$B1566&amp;Q&amp;","&amp;Q&amp;$C$2&amp;Q&amp;":"&amp;Q&amp;$C1566&amp;Q&amp;","&amp;Q&amp;"sets"&amp;Q&amp;":"&amp;Q&amp;substitute(SUBSTITUTE($H1566,"[",""),"]","")&amp;Q&amp;"},"</f>
        <v>"bzxe":{"label":"The 1970s","extra":"Pros… uh… pros… uh… GIVE US A MINUTE, OKAY?","sets":"Basic Set, Party Set"},</v>
      </c>
      <c r="E1566" s="9" t="str">
        <f t="shared" si="2"/>
        <v>data:image/svg+xml,%3csvg xmlns='http://www.w3.org/2000/svg' viewBox='0 0 24 216'%3e%3ctext fill='%23fff' style='font: 900 16px sans-serif' text-anchor='end' transform='matrix(0 -1 1 0 18 5)'%3eThe 1970s%3c/text%3e%3c/svg%3e</v>
      </c>
      <c r="F1566" s="14" t="str">
        <f t="shared" si="3"/>
        <v>https://svgtext.heliohost.us/cgi-bin/gen.perl?text=The%201970s</v>
      </c>
      <c r="G1566" s="11" t="str">
        <f t="shared" si="4"/>
        <v>data:image/svg+xml,%3csvg xmlns='http://www.w3.org/2000/svg' viewBox='0 0 24 216'%3e%3ctext fill='%23fff' style='font: 900 16px sans-serif' text-anchor='end' transform='matrix(0 -1 1 0 18 5)'%3eThe 1970s%3c/text%3e%3c/svg%3e</v>
      </c>
      <c r="H1566" s="8" t="s">
        <v>29</v>
      </c>
      <c r="I1566" s="8">
        <f t="shared" ref="I1566:J1566" si="1567">len(B1566)</f>
        <v>9</v>
      </c>
      <c r="J1566" s="8">
        <f t="shared" si="1567"/>
        <v>43</v>
      </c>
      <c r="K1566" s="8" t="s">
        <v>6351</v>
      </c>
    </row>
    <row r="1567">
      <c r="A1567" s="7" t="b">
        <v>1</v>
      </c>
      <c r="B1567" s="8" t="s">
        <v>6352</v>
      </c>
      <c r="C1567" s="7" t="s">
        <v>6353</v>
      </c>
      <c r="D1567" s="8" t="str">
        <f>Q&amp;$K1567&amp;Q&amp;":{"&amp;Q&amp;$B$2&amp;Q&amp;":"&amp;Q&amp;$B1567&amp;Q&amp;","&amp;Q&amp;$C$2&amp;Q&amp;":"&amp;Q&amp;$C1567&amp;Q&amp;","&amp;Q&amp;"sets"&amp;Q&amp;":"&amp;Q&amp;substitute(SUBSTITUTE($H1567,"[",""),"]","")&amp;Q&amp;"},"</f>
        <v>"oxoi":{"label":"The 1980s","extra":"Pros: meant the end of the 1970s. Cons: ’80s nostalgia.","sets":"Basic Set, Party Set"},</v>
      </c>
      <c r="E1567" s="9" t="str">
        <f t="shared" si="2"/>
        <v>data:image/svg+xml,%3csvg xmlns='http://www.w3.org/2000/svg' viewBox='0 0 24 216'%3e%3ctext fill='%23fff' style='font: 900 16px sans-serif' text-anchor='end' transform='matrix(0 -1 1 0 18 5)'%3eThe 1980s%3c/text%3e%3c/svg%3e</v>
      </c>
      <c r="F1567" s="14" t="str">
        <f t="shared" si="3"/>
        <v>https://svgtext.heliohost.us/cgi-bin/gen.perl?text=The%201980s</v>
      </c>
      <c r="G1567" s="11" t="str">
        <f t="shared" si="4"/>
        <v>data:image/svg+xml,%3csvg xmlns='http://www.w3.org/2000/svg' viewBox='0 0 24 216'%3e%3ctext fill='%23fff' style='font: 900 16px sans-serif' text-anchor='end' transform='matrix(0 -1 1 0 18 5)'%3eThe 1980s%3c/text%3e%3c/svg%3e</v>
      </c>
      <c r="H1567" s="8" t="s">
        <v>29</v>
      </c>
      <c r="I1567" s="8">
        <f t="shared" ref="I1567:J1567" si="1568">len(B1567)</f>
        <v>9</v>
      </c>
      <c r="J1567" s="8">
        <f t="shared" si="1568"/>
        <v>55</v>
      </c>
      <c r="K1567" s="8" t="s">
        <v>6354</v>
      </c>
    </row>
    <row r="1568">
      <c r="A1568" s="7" t="b">
        <v>1</v>
      </c>
      <c r="B1568" s="8" t="s">
        <v>6355</v>
      </c>
      <c r="C1568" s="7" t="s">
        <v>6356</v>
      </c>
      <c r="D1568" s="8" t="str">
        <f>Q&amp;$K1568&amp;Q&amp;":{"&amp;Q&amp;$B$2&amp;Q&amp;":"&amp;Q&amp;$B1568&amp;Q&amp;","&amp;Q&amp;$C$2&amp;Q&amp;":"&amp;Q&amp;$C1568&amp;Q&amp;","&amp;Q&amp;"sets"&amp;Q&amp;":"&amp;Q&amp;substitute(SUBSTITUTE($H1568,"[",""),"]","")&amp;Q&amp;"},"</f>
        <v>"grwu":{"label":"The 1990s","extra":"Dot-coms, Clinton and designer coffee. The good old days.","sets":"Expansion Set 3, Party Expansion 1"},</v>
      </c>
      <c r="E1568" s="9" t="str">
        <f t="shared" si="2"/>
        <v>data:image/svg+xml,%3csvg xmlns='http://www.w3.org/2000/svg' viewBox='0 0 24 216'%3e%3ctext fill='%23fff' style='font: 900 16px sans-serif' text-anchor='end' transform='matrix(0 -1 1 0 18 5)'%3eThe 1990s%3c/text%3e%3c/svg%3e</v>
      </c>
      <c r="F1568" s="14" t="str">
        <f t="shared" si="3"/>
        <v>https://svgtext.heliohost.us/cgi-bin/gen.perl?text=The%201990s</v>
      </c>
      <c r="G1568" s="11" t="str">
        <f t="shared" si="4"/>
        <v>data:image/svg+xml,%3csvg xmlns='http://www.w3.org/2000/svg' viewBox='0 0 24 216'%3e%3ctext fill='%23fff' style='font: 900 16px sans-serif' text-anchor='end' transform='matrix(0 -1 1 0 18 5)'%3eThe 1990s%3c/text%3e%3c/svg%3e</v>
      </c>
      <c r="H1568" s="8" t="s">
        <v>39</v>
      </c>
      <c r="I1568" s="8">
        <f t="shared" ref="I1568:J1568" si="1569">len(B1568)</f>
        <v>9</v>
      </c>
      <c r="J1568" s="8">
        <f t="shared" si="1569"/>
        <v>57</v>
      </c>
      <c r="K1568" s="8" t="s">
        <v>6357</v>
      </c>
    </row>
    <row r="1569">
      <c r="A1569" s="7" t="b">
        <v>1</v>
      </c>
      <c r="B1569" s="8" t="s">
        <v>6358</v>
      </c>
      <c r="C1569" s="8" t="s">
        <v>6359</v>
      </c>
      <c r="D1569" s="8" t="str">
        <f>Q&amp;$K1569&amp;Q&amp;":{"&amp;Q&amp;$B$2&amp;Q&amp;":"&amp;Q&amp;$B1569&amp;Q&amp;","&amp;Q&amp;$C$2&amp;Q&amp;":"&amp;Q&amp;$C1569&amp;Q&amp;","&amp;Q&amp;"sets"&amp;Q&amp;":"&amp;Q&amp;substitute(SUBSTITUTE($H1569,"[",""),"]","")&amp;Q&amp;"},"</f>
        <v>"hvty":{"label":"The 21st Century","extra":"The future is NOW!","sets":"Basic Set, Party Set"},</v>
      </c>
      <c r="E1569" s="9" t="str">
        <f t="shared" si="2"/>
        <v>data:image/svg+xml,%3csvg xmlns='http://www.w3.org/2000/svg' viewBox='0 0 24 216'%3e%3ctext fill='%23fff' style='font: 900 16px sans-serif' text-anchor='end' transform='matrix(0 -1 1 0 18 5)'%3eThe 21st Century%3c/text%3e%3c/svg%3e</v>
      </c>
      <c r="F1569" s="14" t="str">
        <f t="shared" si="3"/>
        <v>https://svgtext.heliohost.us/cgi-bin/gen.perl?text=The%2021st%20Century</v>
      </c>
      <c r="G1569" s="11" t="str">
        <f t="shared" si="4"/>
        <v>data:image/svg+xml,%3csvg xmlns='http://www.w3.org/2000/svg' viewBox='0 0 24 216'%3e%3ctext fill='%23fff' style='font: 900 16px sans-serif' text-anchor='end' transform='matrix(0 -1 1 0 18 5)'%3eThe 21st Century%3c/text%3e%3c/svg%3e</v>
      </c>
      <c r="H1569" s="8" t="s">
        <v>29</v>
      </c>
      <c r="I1569" s="8">
        <f t="shared" ref="I1569:J1569" si="1570">len(B1569)</f>
        <v>16</v>
      </c>
      <c r="J1569" s="8">
        <f t="shared" si="1570"/>
        <v>18</v>
      </c>
      <c r="K1569" s="8" t="s">
        <v>6360</v>
      </c>
    </row>
    <row r="1570">
      <c r="A1570" s="7" t="b">
        <v>0</v>
      </c>
      <c r="B1570" s="8" t="s">
        <v>6361</v>
      </c>
      <c r="C1570" s="7" t="s">
        <v>6362</v>
      </c>
      <c r="D1570" s="8" t="str">
        <f>Q&amp;$K1570&amp;Q&amp;":{"&amp;Q&amp;$B$2&amp;Q&amp;":"&amp;Q&amp;$B1570&amp;Q&amp;","&amp;Q&amp;$C$2&amp;Q&amp;":"&amp;Q&amp;$C1570&amp;Q&amp;","&amp;Q&amp;"sets"&amp;Q&amp;":"&amp;Q&amp;substitute(SUBSTITUTE($H1570,"[",""),"]","")&amp;Q&amp;"},"</f>
        <v>"wtbf":{"label":"The Academy Awards","extra":"The statue known as “Oscar” weighs only eight and a half pounds. So why does it carry so much weight?","sets":"Basic Set, Party Set"},</v>
      </c>
      <c r="E1570" s="9" t="str">
        <f t="shared" si="2"/>
        <v>data:image/svg+xml,%3csvg xmlns='http://www.w3.org/2000/svg' viewBox='0 0 24 216'%3e%3ctext fill='%23fff' style='font: 900 16px sans-serif' text-anchor='end' transform='matrix(0 -1 1 0 18 5)'%3eThe Academy Awards%3c/text%3e%3c/svg%3e</v>
      </c>
      <c r="F1570" s="14" t="str">
        <f t="shared" si="3"/>
        <v>https://svgtext.heliohost.us/cgi-bin/gen.perl?text=The%20Academy%20Awards</v>
      </c>
      <c r="G1570" s="11" t="str">
        <f t="shared" si="4"/>
        <v>data:image/svg+xml,%3csvg xmlns='http://www.w3.org/2000/svg' viewBox='0 0 24 216'%3e%3ctext fill='%23fff' style='font: 900 16px sans-serif' text-anchor='end' transform='matrix(0 -1 1 0 18 5)'%3eThe Academy Awards%3c/text%3e%3c/svg%3e</v>
      </c>
      <c r="H1570" s="8" t="s">
        <v>29</v>
      </c>
      <c r="I1570" s="8">
        <f t="shared" ref="I1570:J1570" si="1571">len(B1570)</f>
        <v>18</v>
      </c>
      <c r="J1570" s="8">
        <f t="shared" si="1571"/>
        <v>101</v>
      </c>
      <c r="K1570" s="8" t="s">
        <v>6363</v>
      </c>
    </row>
    <row r="1571">
      <c r="A1571" s="7" t="b">
        <v>1</v>
      </c>
      <c r="B1571" s="8" t="s">
        <v>6364</v>
      </c>
      <c r="C1571" s="8" t="s">
        <v>6365</v>
      </c>
      <c r="D1571" s="8" t="str">
        <f>Q&amp;$K1571&amp;Q&amp;":{"&amp;Q&amp;$B$2&amp;Q&amp;":"&amp;Q&amp;$B1571&amp;Q&amp;","&amp;Q&amp;$C$2&amp;Q&amp;":"&amp;Q&amp;$C1571&amp;Q&amp;","&amp;Q&amp;"sets"&amp;Q&amp;":"&amp;Q&amp;substitute(SUBSTITUTE($H1571,"[",""),"]","")&amp;Q&amp;"},"</f>
        <v>"xwc{":{"label":"The Atlantic &amp; Pacific","extra":"Oceans apart.","sets":"Expansion Set 4, Party Expansion 1"},</v>
      </c>
      <c r="E1571" s="9" t="str">
        <f t="shared" si="2"/>
        <v>data:image/svg+xml,%3csvg xmlns='http://www.w3.org/2000/svg' viewBox='0 0 24 216'%3e%3ctext fill='%23fff' style='font: 900 16px sans-serif' text-anchor='end' transform='matrix(0 -1 1 0 18 5)'%3eThe Atlantic %26amp%3B Pacific%3c/text%3e%3c/svg%3e</v>
      </c>
      <c r="F1571" s="14" t="str">
        <f t="shared" si="3"/>
        <v>https://svgtext.heliohost.us/cgi-bin/gen.perl?text=The%20Atlantic%20%26%20Pacific</v>
      </c>
      <c r="G1571" s="11" t="str">
        <f t="shared" si="4"/>
        <v>data:image/svg+xml,%3csvg xmlns='http://www.w3.org/2000/svg' viewBox='0 0 24 216'%3e%3ctext fill='%23fff' style='font: 900 16px sans-serif' text-anchor='end' transform='matrix(0 -1 1 0 18 5)'%3eThe Atlantic %26amp%3B Pacific%3c/text%3e%3c/svg%3e</v>
      </c>
      <c r="H1571" s="8" t="s">
        <v>63</v>
      </c>
      <c r="I1571" s="8">
        <f t="shared" ref="I1571:J1571" si="1572">len(B1571)</f>
        <v>22</v>
      </c>
      <c r="J1571" s="8">
        <f t="shared" si="1572"/>
        <v>13</v>
      </c>
      <c r="K1571" s="8" t="s">
        <v>6366</v>
      </c>
    </row>
    <row r="1572">
      <c r="A1572" s="7" t="b">
        <v>0</v>
      </c>
      <c r="B1572" s="8" t="s">
        <v>6367</v>
      </c>
      <c r="C1572" s="8" t="s">
        <v>6368</v>
      </c>
      <c r="D1572" s="8" t="str">
        <f>Q&amp;$K1572&amp;Q&amp;":{"&amp;Q&amp;$B$2&amp;Q&amp;":"&amp;Q&amp;$B1572&amp;Q&amp;","&amp;Q&amp;$C$2&amp;Q&amp;":"&amp;Q&amp;$C1572&amp;Q&amp;","&amp;Q&amp;"sets"&amp;Q&amp;":"&amp;Q&amp;substitute(SUBSTITUTE($H1572,"[",""),"]","")&amp;Q&amp;"},"</f>
        <v>"gbwu":{"label":"The Baby-Sitters Club","extra":"This series of books, written by Ann M. Martin, is a favorite of girls, world-wide.","sets":"Junior 9+ (2nd)"},</v>
      </c>
      <c r="E1572" s="9" t="str">
        <f t="shared" si="2"/>
        <v>data:image/svg+xml,%3csvg xmlns='http://www.w3.org/2000/svg' viewBox='0 0 24 216'%3e%3ctext fill='%23fff' style='font: 900 16px sans-serif' text-anchor='end' transform='matrix(0 -1 1 0 18 5)'%3eThe Baby-Sitters Club%3c/text%3e%3c/svg%3e</v>
      </c>
      <c r="F1572" s="14" t="str">
        <f t="shared" si="3"/>
        <v>https://svgtext.heliohost.us/cgi-bin/gen.perl?text=The%20Baby-Sitters%20Club</v>
      </c>
      <c r="G1572" s="11" t="str">
        <f t="shared" si="4"/>
        <v>data:image/svg+xml,%3csvg xmlns='http://www.w3.org/2000/svg' viewBox='0 0 24 216'%3e%3ctext fill='%23fff' style='font: 900 16px sans-serif' text-anchor='end' transform='matrix(0 -1 1 0 18 5)'%3eThe Baby-Sitters Club%3c/text%3e%3c/svg%3e</v>
      </c>
      <c r="H1572" s="8" t="s">
        <v>32</v>
      </c>
      <c r="I1572" s="8">
        <f t="shared" ref="I1572:J1572" si="1573">len(B1572)</f>
        <v>21</v>
      </c>
      <c r="J1572" s="8">
        <f t="shared" si="1573"/>
        <v>83</v>
      </c>
      <c r="K1572" s="8" t="s">
        <v>6369</v>
      </c>
    </row>
    <row r="1573">
      <c r="A1573" s="7" t="b">
        <v>1</v>
      </c>
      <c r="B1573" s="8" t="s">
        <v>6370</v>
      </c>
      <c r="C1573" s="8" t="s">
        <v>6371</v>
      </c>
      <c r="D1573" s="8" t="str">
        <f>Q&amp;$K1573&amp;Q&amp;":{"&amp;Q&amp;$B$2&amp;Q&amp;":"&amp;Q&amp;$B1573&amp;Q&amp;","&amp;Q&amp;$C$2&amp;Q&amp;":"&amp;Q&amp;$C1573&amp;Q&amp;","&amp;Q&amp;"sets"&amp;Q&amp;":"&amp;Q&amp;substitute(SUBSTITUTE($H1573,"[",""),"]","")&amp;Q&amp;"},"</f>
        <v>"sczr":{"label":"The Beach","extra":"A day at the beach is no day at the beach, ya know?","sets":"Basic Set, Party Set"},</v>
      </c>
      <c r="E1573" s="9" t="str">
        <f t="shared" si="2"/>
        <v>data:image/svg+xml,%3csvg xmlns='http://www.w3.org/2000/svg' viewBox='0 0 24 216'%3e%3ctext fill='%23fff' style='font: 900 16px sans-serif' text-anchor='end' transform='matrix(0 -1 1 0 18 5)'%3eThe Beach%3c/text%3e%3c/svg%3e</v>
      </c>
      <c r="F1573" s="14" t="str">
        <f t="shared" si="3"/>
        <v>https://svgtext.heliohost.us/cgi-bin/gen.perl?text=The%20Beach</v>
      </c>
      <c r="G1573" s="11" t="str">
        <f t="shared" si="4"/>
        <v>data:image/svg+xml,%3csvg xmlns='http://www.w3.org/2000/svg' viewBox='0 0 24 216'%3e%3ctext fill='%23fff' style='font: 900 16px sans-serif' text-anchor='end' transform='matrix(0 -1 1 0 18 5)'%3eThe Beach%3c/text%3e%3c/svg%3e</v>
      </c>
      <c r="H1573" s="8" t="s">
        <v>29</v>
      </c>
      <c r="I1573" s="8">
        <f t="shared" ref="I1573:J1573" si="1574">len(B1573)</f>
        <v>9</v>
      </c>
      <c r="J1573" s="8">
        <f t="shared" si="1574"/>
        <v>51</v>
      </c>
      <c r="K1573" s="8" t="s">
        <v>6372</v>
      </c>
    </row>
    <row r="1574">
      <c r="A1574" s="7" t="b">
        <v>0</v>
      </c>
      <c r="B1574" s="8" t="s">
        <v>6370</v>
      </c>
      <c r="C1574" s="8" t="s">
        <v>6373</v>
      </c>
      <c r="D1574" s="8" t="str">
        <f>Q&amp;$K1574&amp;Q&amp;":{"&amp;Q&amp;$B$2&amp;Q&amp;":"&amp;Q&amp;$B1574&amp;Q&amp;","&amp;Q&amp;$C$2&amp;Q&amp;":"&amp;Q&amp;$C1574&amp;Q&amp;","&amp;Q&amp;"sets"&amp;Q&amp;":"&amp;Q&amp;substitute(SUBSTITUTE($H1574,"[",""),"]","")&amp;Q&amp;"},"</f>
        <v>"kdcd":{"label":"The Beach","extra":"Sun, surf, and sand.","sets":"Junior 9+ (1st) &amp; (2nd)"},</v>
      </c>
      <c r="E1574" s="9" t="str">
        <f t="shared" si="2"/>
        <v>data:image/svg+xml,%3csvg xmlns='http://www.w3.org/2000/svg' viewBox='0 0 24 216'%3e%3ctext fill='%23fff' style='font: 900 16px sans-serif' text-anchor='end' transform='matrix(0 -1 1 0 18 5)'%3eThe Beach%3c/text%3e%3c/svg%3e</v>
      </c>
      <c r="F1574" s="14" t="str">
        <f t="shared" si="3"/>
        <v>https://svgtext.heliohost.us/cgi-bin/gen.perl?text=The%20Beach</v>
      </c>
      <c r="G1574" s="11" t="str">
        <f t="shared" si="4"/>
        <v>data:image/svg+xml,%3csvg xmlns='http://www.w3.org/2000/svg' viewBox='0 0 24 216'%3e%3ctext fill='%23fff' style='font: 900 16px sans-serif' text-anchor='end' transform='matrix(0 -1 1 0 18 5)'%3eThe Beach%3c/text%3e%3c/svg%3e</v>
      </c>
      <c r="H1574" s="8" t="s">
        <v>42</v>
      </c>
      <c r="I1574" s="8">
        <f t="shared" ref="I1574:J1574" si="1575">len(B1574)</f>
        <v>9</v>
      </c>
      <c r="J1574" s="8">
        <f t="shared" si="1575"/>
        <v>20</v>
      </c>
      <c r="K1574" s="8" t="s">
        <v>1076</v>
      </c>
    </row>
    <row r="1575">
      <c r="A1575" s="7" t="b">
        <v>1</v>
      </c>
      <c r="B1575" s="8" t="s">
        <v>6374</v>
      </c>
      <c r="C1575" s="8" t="s">
        <v>6375</v>
      </c>
      <c r="D1575" s="8" t="str">
        <f>Q&amp;$K1575&amp;Q&amp;":{"&amp;Q&amp;$B$2&amp;Q&amp;":"&amp;Q&amp;$B1575&amp;Q&amp;","&amp;Q&amp;$C$2&amp;Q&amp;":"&amp;Q&amp;$C1575&amp;Q&amp;","&amp;Q&amp;"sets"&amp;Q&amp;":"&amp;Q&amp;substitute(SUBSTITUTE($H1575,"[",""),"]","")&amp;Q&amp;"},"</f>
        <v>"tvc{":{"label":"The Beatles","extra":"1960s British band. Only the most revolutionary, influential and universally acclaimed group of the 20th century. That's all.","sets":"Basic Set, Party Set"},</v>
      </c>
      <c r="E1575" s="9" t="str">
        <f t="shared" si="2"/>
        <v>data:image/svg+xml,%3csvg xmlns='http://www.w3.org/2000/svg' viewBox='0 0 24 216'%3e%3ctext fill='%23fff' style='font: 900 16px sans-serif' text-anchor='end' transform='matrix(0 -1 1 0 18 5)'%3eThe Beatles%3c/text%3e%3c/svg%3e</v>
      </c>
      <c r="F1575" s="14" t="str">
        <f t="shared" si="3"/>
        <v>https://svgtext.heliohost.us/cgi-bin/gen.perl?text=The%20Beatles</v>
      </c>
      <c r="G1575" s="11" t="str">
        <f t="shared" si="4"/>
        <v>data:image/svg+xml,%3csvg xmlns='http://www.w3.org/2000/svg' viewBox='0 0 24 216'%3e%3ctext fill='%23fff' style='font: 900 16px sans-serif' text-anchor='end' transform='matrix(0 -1 1 0 18 5)'%3eThe Beatles%3c/text%3e%3c/svg%3e</v>
      </c>
      <c r="H1575" s="8" t="s">
        <v>29</v>
      </c>
      <c r="I1575" s="8">
        <f t="shared" ref="I1575:J1575" si="1576">len(B1575)</f>
        <v>11</v>
      </c>
      <c r="J1575" s="8">
        <f t="shared" si="1576"/>
        <v>125</v>
      </c>
      <c r="K1575" s="8" t="s">
        <v>6376</v>
      </c>
    </row>
    <row r="1576">
      <c r="A1576" s="7" t="b">
        <v>1</v>
      </c>
      <c r="B1576" s="8" t="s">
        <v>6377</v>
      </c>
      <c r="C1576" s="8" t="s">
        <v>6378</v>
      </c>
      <c r="D1576" s="8" t="str">
        <f>Q&amp;$K1576&amp;Q&amp;":{"&amp;Q&amp;$B$2&amp;Q&amp;":"&amp;Q&amp;$B1576&amp;Q&amp;","&amp;Q&amp;$C$2&amp;Q&amp;":"&amp;Q&amp;$C1576&amp;Q&amp;","&amp;Q&amp;"sets"&amp;Q&amp;":"&amp;Q&amp;substitute(SUBSTITUTE($H1576,"[",""),"]","")&amp;Q&amp;"},"</f>
        <v>"sbrj":{"label":"The Big Dipper","extra":"Group of stars in the Northern sky that form part of the constellation Ursa Major.","sets":"Expansion Set 3, Party Expansion 1"},</v>
      </c>
      <c r="E1576" s="9" t="str">
        <f t="shared" si="2"/>
        <v>data:image/svg+xml,%3csvg xmlns='http://www.w3.org/2000/svg' viewBox='0 0 24 216'%3e%3ctext fill='%23fff' style='font: 900 16px sans-serif' text-anchor='end' transform='matrix(0 -1 1 0 18 5)'%3eThe Big Dipper%3c/text%3e%3c/svg%3e</v>
      </c>
      <c r="F1576" s="14" t="str">
        <f t="shared" si="3"/>
        <v>https://svgtext.heliohost.us/cgi-bin/gen.perl?text=The%20Big%20Dipper</v>
      </c>
      <c r="G1576" s="11" t="str">
        <f t="shared" si="4"/>
        <v>data:image/svg+xml,%3csvg xmlns='http://www.w3.org/2000/svg' viewBox='0 0 24 216'%3e%3ctext fill='%23fff' style='font: 900 16px sans-serif' text-anchor='end' transform='matrix(0 -1 1 0 18 5)'%3eThe Big Dipper%3c/text%3e%3c/svg%3e</v>
      </c>
      <c r="H1576" s="8" t="s">
        <v>39</v>
      </c>
      <c r="I1576" s="8">
        <f t="shared" ref="I1576:J1576" si="1577">len(B1576)</f>
        <v>14</v>
      </c>
      <c r="J1576" s="8">
        <f t="shared" si="1577"/>
        <v>82</v>
      </c>
      <c r="K1576" s="8" t="s">
        <v>6379</v>
      </c>
    </row>
    <row r="1577">
      <c r="A1577" s="7" t="b">
        <v>1</v>
      </c>
      <c r="B1577" s="8" t="s">
        <v>6380</v>
      </c>
      <c r="C1577" s="7" t="s">
        <v>6381</v>
      </c>
      <c r="D1577" s="8" t="str">
        <f>Q&amp;$K1577&amp;Q&amp;":{"&amp;Q&amp;$B$2&amp;Q&amp;":"&amp;Q&amp;$B1577&amp;Q&amp;","&amp;Q&amp;$C$2&amp;Q&amp;":"&amp;Q&amp;$C1577&amp;Q&amp;","&amp;Q&amp;"sets"&amp;Q&amp;":"&amp;Q&amp;substitute(SUBSTITUTE($H1577,"[",""),"]","")&amp;Q&amp;"},"</f>
        <v>"ckac":{"label":"The Birds &amp; The Bees","extra":"We’ll tell you about them sometime.","sets":"Expansion Set 4, Party Expansion 1"},</v>
      </c>
      <c r="E1577" s="9" t="str">
        <f t="shared" si="2"/>
        <v>data:image/svg+xml,%3csvg xmlns='http://www.w3.org/2000/svg' viewBox='0 0 24 216'%3e%3ctext fill='%23fff' style='font: 900 16px sans-serif' text-anchor='end' transform='matrix(0 -1 1 0 18 5)'%3eThe Birds %26amp%3B The Bees%3c/text%3e%3c/svg%3e</v>
      </c>
      <c r="F1577" s="14" t="str">
        <f t="shared" si="3"/>
        <v>https://svgtext.heliohost.us/cgi-bin/gen.perl?text=The%20Birds%20%26%20The%20Bees</v>
      </c>
      <c r="G1577" s="11" t="str">
        <f t="shared" si="4"/>
        <v>data:image/svg+xml,%3csvg xmlns='http://www.w3.org/2000/svg' viewBox='0 0 24 216'%3e%3ctext fill='%23fff' style='font: 900 16px sans-serif' text-anchor='end' transform='matrix(0 -1 1 0 18 5)'%3eThe Birds %26amp%3B The Bees%3c/text%3e%3c/svg%3e</v>
      </c>
      <c r="H1577" s="8" t="s">
        <v>63</v>
      </c>
      <c r="I1577" s="8">
        <f t="shared" ref="I1577:J1577" si="1578">len(B1577)</f>
        <v>20</v>
      </c>
      <c r="J1577" s="8">
        <f t="shared" si="1578"/>
        <v>35</v>
      </c>
      <c r="K1577" s="8" t="s">
        <v>6382</v>
      </c>
    </row>
    <row r="1578">
      <c r="A1578" s="7" t="b">
        <v>1</v>
      </c>
      <c r="B1578" s="8" t="s">
        <v>6383</v>
      </c>
      <c r="C1578" s="8" t="s">
        <v>6384</v>
      </c>
      <c r="D1578" s="8" t="str">
        <f>Q&amp;$K1578&amp;Q&amp;":{"&amp;Q&amp;$B$2&amp;Q&amp;":"&amp;Q&amp;$B1578&amp;Q&amp;","&amp;Q&amp;$C$2&amp;Q&amp;":"&amp;Q&amp;$C1578&amp;Q&amp;","&amp;Q&amp;"sets"&amp;Q&amp;":"&amp;Q&amp;substitute(SUBSTITUTE($H1578,"[",""),"]","")&amp;Q&amp;"},"</f>
        <v>"ykas":{"label":"The Chicken &amp; The Egg","extra":"Which came first? The egg. Look it up!","sets":"Expansion Set 4, Party Expansion 1"},</v>
      </c>
      <c r="E1578" s="9" t="str">
        <f t="shared" si="2"/>
        <v>data:image/svg+xml,%3csvg xmlns='http://www.w3.org/2000/svg' viewBox='0 0 24 216'%3e%3ctext fill='%23fff' style='font: 900 16px sans-serif' text-anchor='end' transform='matrix(0 -1 1 0 18 5)'%3eThe Chicken %26amp%3B The Egg%3c/text%3e%3c/svg%3e</v>
      </c>
      <c r="F1578" s="14" t="str">
        <f t="shared" si="3"/>
        <v>https://svgtext.heliohost.us/cgi-bin/gen.perl?text=The%20Chicken%20%26%20The%20Egg</v>
      </c>
      <c r="G1578" s="11" t="str">
        <f t="shared" si="4"/>
        <v>data:image/svg+xml,%3csvg xmlns='http://www.w3.org/2000/svg' viewBox='0 0 24 216'%3e%3ctext fill='%23fff' style='font: 900 16px sans-serif' text-anchor='end' transform='matrix(0 -1 1 0 18 5)'%3eThe Chicken %26amp%3B The Egg%3c/text%3e%3c/svg%3e</v>
      </c>
      <c r="H1578" s="8" t="s">
        <v>63</v>
      </c>
      <c r="I1578" s="8">
        <f t="shared" ref="I1578:J1578" si="1579">len(B1578)</f>
        <v>21</v>
      </c>
      <c r="J1578" s="8">
        <f t="shared" si="1579"/>
        <v>38</v>
      </c>
      <c r="K1578" s="8" t="s">
        <v>6385</v>
      </c>
    </row>
    <row r="1579">
      <c r="A1579" s="7" t="b">
        <v>0</v>
      </c>
      <c r="B1579" s="8" t="s">
        <v>6386</v>
      </c>
      <c r="C1579" s="7" t="s">
        <v>6387</v>
      </c>
      <c r="D1579" s="8" t="str">
        <f>Q&amp;$K1579&amp;Q&amp;":{"&amp;Q&amp;$B$2&amp;Q&amp;":"&amp;Q&amp;$B1579&amp;Q&amp;","&amp;Q&amp;$C$2&amp;Q&amp;":"&amp;Q&amp;$C1579&amp;Q&amp;","&amp;Q&amp;"sets"&amp;Q&amp;":"&amp;Q&amp;substitute(SUBSTITUTE($H1579,"[",""),"]","")&amp;Q&amp;"},"</f>
        <v>"yxlm":{"label":"The Chicken Dance","extra":"You put your hands in your armpits…","sets":"Junior 9+ (2nd)"},</v>
      </c>
      <c r="E1579" s="9" t="str">
        <f t="shared" si="2"/>
        <v>data:image/svg+xml,%3csvg xmlns='http://www.w3.org/2000/svg' viewBox='0 0 24 216'%3e%3ctext fill='%23fff' style='font: 900 16px sans-serif' text-anchor='end' transform='matrix(0 -1 1 0 18 5)'%3eThe Chicken Dance%3c/text%3e%3c/svg%3e</v>
      </c>
      <c r="F1579" s="14" t="str">
        <f t="shared" si="3"/>
        <v>https://svgtext.heliohost.us/cgi-bin/gen.perl?text=The%20Chicken%20Dance</v>
      </c>
      <c r="G1579" s="11" t="str">
        <f t="shared" si="4"/>
        <v>data:image/svg+xml,%3csvg xmlns='http://www.w3.org/2000/svg' viewBox='0 0 24 216'%3e%3ctext fill='%23fff' style='font: 900 16px sans-serif' text-anchor='end' transform='matrix(0 -1 1 0 18 5)'%3eThe Chicken Dance%3c/text%3e%3c/svg%3e</v>
      </c>
      <c r="H1579" s="8" t="s">
        <v>32</v>
      </c>
      <c r="I1579" s="8">
        <f t="shared" ref="I1579:J1579" si="1580">len(B1579)</f>
        <v>17</v>
      </c>
      <c r="J1579" s="8">
        <f t="shared" si="1580"/>
        <v>35</v>
      </c>
      <c r="K1579" s="8" t="s">
        <v>6388</v>
      </c>
    </row>
    <row r="1580">
      <c r="A1580" s="7" t="b">
        <v>0</v>
      </c>
      <c r="B1580" s="8" t="s">
        <v>6389</v>
      </c>
      <c r="C1580" s="7" t="s">
        <v>6390</v>
      </c>
      <c r="D1580" s="8" t="str">
        <f>Q&amp;$K1580&amp;Q&amp;":{"&amp;Q&amp;$B$2&amp;Q&amp;":"&amp;Q&amp;$B1580&amp;Q&amp;","&amp;Q&amp;$C$2&amp;Q&amp;":"&amp;Q&amp;$C1580&amp;Q&amp;","&amp;Q&amp;"sets"&amp;Q&amp;":"&amp;Q&amp;substitute(SUBSTITUTE($H1580,"[",""),"]","")&amp;Q&amp;"},"</f>
        <v>"osud":{"label":"The CIA","extra":"The Central Intelligence Agency is responsible for keeping the U.S. government informed of foreign actions affecting the nation’s interest.","sets":"Expansion Set 2, Party Set"},</v>
      </c>
      <c r="E1580" s="9" t="str">
        <f t="shared" si="2"/>
        <v>data:image/svg+xml,%3csvg xmlns='http://www.w3.org/2000/svg' viewBox='0 0 24 216'%3e%3ctext fill='%23fff' style='font: 900 16px sans-serif' text-anchor='end' transform='matrix(0 -1 1 0 18 5)'%3eThe CIA%3c/text%3e%3c/svg%3e</v>
      </c>
      <c r="F1580" s="14" t="str">
        <f t="shared" si="3"/>
        <v>https://svgtext.heliohost.us/cgi-bin/gen.perl?text=The%20CIA</v>
      </c>
      <c r="G1580" s="11" t="str">
        <f t="shared" si="4"/>
        <v>data:image/svg+xml,%3csvg xmlns='http://www.w3.org/2000/svg' viewBox='0 0 24 216'%3e%3ctext fill='%23fff' style='font: 900 16px sans-serif' text-anchor='end' transform='matrix(0 -1 1 0 18 5)'%3eThe CIA%3c/text%3e%3c/svg%3e</v>
      </c>
      <c r="H1580" s="8" t="s">
        <v>17</v>
      </c>
      <c r="I1580" s="8">
        <f t="shared" ref="I1580:J1580" si="1581">len(B1580)</f>
        <v>7</v>
      </c>
      <c r="J1580" s="8">
        <f t="shared" si="1581"/>
        <v>139</v>
      </c>
      <c r="K1580" s="8" t="s">
        <v>6391</v>
      </c>
    </row>
    <row r="1581">
      <c r="A1581" s="7" t="b">
        <v>1</v>
      </c>
      <c r="B1581" s="8" t="s">
        <v>6392</v>
      </c>
      <c r="C1581" s="8" t="s">
        <v>6393</v>
      </c>
      <c r="D1581" s="8" t="str">
        <f>Q&amp;$K1581&amp;Q&amp;":{"&amp;Q&amp;$B$2&amp;Q&amp;":"&amp;Q&amp;$B1581&amp;Q&amp;","&amp;Q&amp;$C$2&amp;Q&amp;":"&amp;Q&amp;$C1581&amp;Q&amp;","&amp;Q&amp;"sets"&amp;Q&amp;":"&amp;Q&amp;substitute(SUBSTITUTE($H1581,"[",""),"]","")&amp;Q&amp;"},"</f>
        <v>"mgbg":{"label":"The Circus","extra":"A show featuring trained animals, clowns and acrobats.","sets":"Junior"},</v>
      </c>
      <c r="E1581" s="9" t="str">
        <f t="shared" si="2"/>
        <v>data:image/svg+xml,%3csvg xmlns='http://www.w3.org/2000/svg' viewBox='0 0 24 216'%3e%3ctext fill='%23fff' style='font: 900 16px sans-serif' text-anchor='end' transform='matrix(0 -1 1 0 18 5)'%3eThe Circus%3c/text%3e%3c/svg%3e</v>
      </c>
      <c r="F1581" s="14" t="str">
        <f t="shared" si="3"/>
        <v>https://svgtext.heliohost.us/cgi-bin/gen.perl?text=The%20Circus</v>
      </c>
      <c r="G1581" s="11" t="str">
        <f t="shared" si="4"/>
        <v>data:image/svg+xml,%3csvg xmlns='http://www.w3.org/2000/svg' viewBox='0 0 24 216'%3e%3ctext fill='%23fff' style='font: 900 16px sans-serif' text-anchor='end' transform='matrix(0 -1 1 0 18 5)'%3eThe Circus%3c/text%3e%3c/svg%3e</v>
      </c>
      <c r="H1581" s="8" t="s">
        <v>84</v>
      </c>
      <c r="I1581" s="8">
        <f t="shared" ref="I1581:J1581" si="1582">len(B1581)</f>
        <v>10</v>
      </c>
      <c r="J1581" s="8">
        <f t="shared" si="1582"/>
        <v>54</v>
      </c>
      <c r="K1581" s="8" t="s">
        <v>6394</v>
      </c>
    </row>
    <row r="1582">
      <c r="A1582" s="7" t="b">
        <v>0</v>
      </c>
      <c r="B1582" s="8" t="s">
        <v>6395</v>
      </c>
      <c r="C1582" s="8" t="s">
        <v>6396</v>
      </c>
      <c r="D1582" s="8" t="str">
        <f>Q&amp;$K1582&amp;Q&amp;":{"&amp;Q&amp;$B$2&amp;Q&amp;":"&amp;Q&amp;$B1582&amp;Q&amp;","&amp;Q&amp;$C$2&amp;Q&amp;":"&amp;Q&amp;$C1582&amp;Q&amp;","&amp;Q&amp;"sets"&amp;Q&amp;":"&amp;Q&amp;substitute(SUBSTITUTE($H1582,"[",""),"]","")&amp;Q&amp;"},"</f>
        <v>"wypy":{"label":"The Cold War","extra":"The post-World War II struggle between the US and its allies, and the former USSR and its allies. Things could have gotten hot.","sets":"Expansion Set 1, Party Set"},</v>
      </c>
      <c r="E1582" s="9" t="str">
        <f t="shared" si="2"/>
        <v>data:image/svg+xml,%3csvg xmlns='http://www.w3.org/2000/svg' viewBox='0 0 24 216'%3e%3ctext fill='%23fff' style='font: 900 16px sans-serif' text-anchor='end' transform='matrix(0 -1 1 0 18 5)'%3eThe Cold War%3c/text%3e%3c/svg%3e</v>
      </c>
      <c r="F1582" s="14" t="str">
        <f t="shared" si="3"/>
        <v>https://svgtext.heliohost.us/cgi-bin/gen.perl?text=The%20Cold%20War</v>
      </c>
      <c r="G1582" s="11" t="str">
        <f t="shared" si="4"/>
        <v>data:image/svg+xml,%3csvg xmlns='http://www.w3.org/2000/svg' viewBox='0 0 24 216'%3e%3ctext fill='%23fff' style='font: 900 16px sans-serif' text-anchor='end' transform='matrix(0 -1 1 0 18 5)'%3eThe Cold War%3c/text%3e%3c/svg%3e</v>
      </c>
      <c r="H1582" s="8" t="s">
        <v>25</v>
      </c>
      <c r="I1582" s="8">
        <f t="shared" ref="I1582:J1582" si="1583">len(B1582)</f>
        <v>12</v>
      </c>
      <c r="J1582" s="8">
        <f t="shared" si="1583"/>
        <v>127</v>
      </c>
      <c r="K1582" s="8" t="s">
        <v>6397</v>
      </c>
    </row>
    <row r="1583">
      <c r="A1583" s="7" t="b">
        <v>0</v>
      </c>
      <c r="B1583" s="8" t="s">
        <v>6398</v>
      </c>
      <c r="C1583" s="8" t="s">
        <v>6399</v>
      </c>
      <c r="D1583" s="8" t="str">
        <f>Q&amp;$K1583&amp;Q&amp;":{"&amp;Q&amp;$B$2&amp;Q&amp;":"&amp;Q&amp;$B1583&amp;Q&amp;","&amp;Q&amp;$C$2&amp;Q&amp;":"&amp;Q&amp;$C1583&amp;Q&amp;","&amp;Q&amp;"sets"&amp;Q&amp;":"&amp;Q&amp;substitute(SUBSTITUTE($H1583,"[",""),"]","")&amp;Q&amp;"},"</f>
        <v>"kksu":{"label":"The Common Loon","extra":"A spotted, red-eyed diving birdor various friends or family.","sets":"Expansion Set 1, Party Set"},</v>
      </c>
      <c r="E1583" s="9" t="str">
        <f t="shared" si="2"/>
        <v>data:image/svg+xml,%3csvg xmlns='http://www.w3.org/2000/svg' viewBox='0 0 24 216'%3e%3ctext fill='%23fff' style='font: 900 16px sans-serif' text-anchor='end' transform='matrix(0 -1 1 0 18 5)'%3eThe Common Loon%3c/text%3e%3c/svg%3e</v>
      </c>
      <c r="F1583" s="14" t="str">
        <f t="shared" si="3"/>
        <v>https://svgtext.heliohost.us/cgi-bin/gen.perl?text=The%20Common%20Loon</v>
      </c>
      <c r="G1583" s="11" t="str">
        <f t="shared" si="4"/>
        <v>data:image/svg+xml,%3csvg xmlns='http://www.w3.org/2000/svg' viewBox='0 0 24 216'%3e%3ctext fill='%23fff' style='font: 900 16px sans-serif' text-anchor='end' transform='matrix(0 -1 1 0 18 5)'%3eThe Common Loon%3c/text%3e%3c/svg%3e</v>
      </c>
      <c r="H1583" s="8" t="s">
        <v>25</v>
      </c>
      <c r="I1583" s="8">
        <f t="shared" ref="I1583:J1583" si="1584">len(B1583)</f>
        <v>15</v>
      </c>
      <c r="J1583" s="8">
        <f t="shared" si="1584"/>
        <v>60</v>
      </c>
      <c r="K1583" s="8" t="s">
        <v>6400</v>
      </c>
    </row>
    <row r="1584">
      <c r="A1584" s="7" t="b">
        <v>1</v>
      </c>
      <c r="B1584" s="8" t="s">
        <v>6401</v>
      </c>
      <c r="C1584" s="8" t="s">
        <v>6402</v>
      </c>
      <c r="D1584" s="8" t="str">
        <f>Q&amp;$K1584&amp;Q&amp;":{"&amp;Q&amp;$B$2&amp;Q&amp;":"&amp;Q&amp;$B1584&amp;Q&amp;","&amp;Q&amp;$C$2&amp;Q&amp;":"&amp;Q&amp;$C1584&amp;Q&amp;","&amp;Q&amp;"sets"&amp;Q&amp;":"&amp;Q&amp;substitute(SUBSTITUTE($H1584,"[",""),"]","")&amp;Q&amp;"},"</f>
        <v>"oycd":{"label":"The Dalai Lama","extra":"Title of the leader of Tibetan Buddhism, in exile since 1959. Hello, Dalai!","sets":"Expansion Set 3, Party Expansion 1"},</v>
      </c>
      <c r="E1584" s="9" t="str">
        <f t="shared" si="2"/>
        <v>data:image/svg+xml,%3csvg xmlns='http://www.w3.org/2000/svg' viewBox='0 0 24 216'%3e%3ctext fill='%23fff' style='font: 900 16px sans-serif' text-anchor='end' transform='matrix(0 -1 1 0 18 5)'%3eThe Dalai Lama%3c/text%3e%3c/svg%3e</v>
      </c>
      <c r="F1584" s="14" t="str">
        <f t="shared" si="3"/>
        <v>https://svgtext.heliohost.us/cgi-bin/gen.perl?text=The%20Dalai%20Lama</v>
      </c>
      <c r="G1584" s="11" t="str">
        <f t="shared" si="4"/>
        <v>data:image/svg+xml,%3csvg xmlns='http://www.w3.org/2000/svg' viewBox='0 0 24 216'%3e%3ctext fill='%23fff' style='font: 900 16px sans-serif' text-anchor='end' transform='matrix(0 -1 1 0 18 5)'%3eThe Dalai Lama%3c/text%3e%3c/svg%3e</v>
      </c>
      <c r="H1584" s="8" t="s">
        <v>39</v>
      </c>
      <c r="I1584" s="8">
        <f t="shared" ref="I1584:J1584" si="1585">len(B1584)</f>
        <v>14</v>
      </c>
      <c r="J1584" s="8">
        <f t="shared" si="1585"/>
        <v>75</v>
      </c>
      <c r="K1584" s="8" t="s">
        <v>6403</v>
      </c>
    </row>
    <row r="1585">
      <c r="A1585" s="7" t="b">
        <v>0</v>
      </c>
      <c r="B1585" s="8" t="s">
        <v>6404</v>
      </c>
      <c r="C1585" s="8" t="s">
        <v>6405</v>
      </c>
      <c r="D1585" s="8" t="str">
        <f>Q&amp;$K1585&amp;Q&amp;":{"&amp;Q&amp;$B$2&amp;Q&amp;":"&amp;Q&amp;$B1585&amp;Q&amp;","&amp;Q&amp;$C$2&amp;Q&amp;":"&amp;Q&amp;$C1585&amp;Q&amp;","&amp;Q&amp;"sets"&amp;Q&amp;":"&amp;Q&amp;substitute(SUBSTITUTE($H1585,"[",""),"]","")&amp;Q&amp;"},"</f>
        <v>"dgqt":{"label":"The Dallas Cowboys","extra":"National Football League team known for their cheerleaders and their performance, both on and off the field.","sets":"Expansion Set 1, Party Set"},</v>
      </c>
      <c r="E1585" s="9" t="str">
        <f t="shared" si="2"/>
        <v>data:image/svg+xml,%3csvg xmlns='http://www.w3.org/2000/svg' viewBox='0 0 24 216'%3e%3ctext fill='%23fff' style='font: 900 16px sans-serif' text-anchor='end' transform='matrix(0 -1 1 0 18 5)'%3eThe Dallas Cowboys%3c/text%3e%3c/svg%3e</v>
      </c>
      <c r="F1585" s="14" t="str">
        <f t="shared" si="3"/>
        <v>https://svgtext.heliohost.us/cgi-bin/gen.perl?text=The%20Dallas%20Cowboys</v>
      </c>
      <c r="G1585" s="11" t="str">
        <f t="shared" si="4"/>
        <v>data:image/svg+xml,%3csvg xmlns='http://www.w3.org/2000/svg' viewBox='0 0 24 216'%3e%3ctext fill='%23fff' style='font: 900 16px sans-serif' text-anchor='end' transform='matrix(0 -1 1 0 18 5)'%3eThe Dallas Cowboys%3c/text%3e%3c/svg%3e</v>
      </c>
      <c r="H1585" s="8" t="s">
        <v>25</v>
      </c>
      <c r="I1585" s="8">
        <f t="shared" ref="I1585:J1585" si="1586">len(B1585)</f>
        <v>18</v>
      </c>
      <c r="J1585" s="8">
        <f t="shared" si="1586"/>
        <v>108</v>
      </c>
      <c r="K1585" s="8" t="s">
        <v>6406</v>
      </c>
    </row>
    <row r="1586">
      <c r="A1586" s="7" t="b">
        <v>1</v>
      </c>
      <c r="B1586" s="8" t="s">
        <v>6407</v>
      </c>
      <c r="C1586" s="8" t="s">
        <v>6408</v>
      </c>
      <c r="D1586" s="8" t="str">
        <f>Q&amp;$K1586&amp;Q&amp;":{"&amp;Q&amp;$B$2&amp;Q&amp;":"&amp;Q&amp;$B1586&amp;Q&amp;","&amp;Q&amp;$C$2&amp;Q&amp;":"&amp;Q&amp;$C1586&amp;Q&amp;","&amp;Q&amp;"sets"&amp;Q&amp;":"&amp;Q&amp;substitute(SUBSTITUTE($H1586,"[",""),"]","")&amp;Q&amp;"},"</f>
        <v>"onlm":{"label":"The Dixie Chicks","extra":"Female country and western band with pop leanings. Winners of multiple Country Music Association awards. Goodbye, Earl!","sets":"Expansion Set 3, Party Expansion 1"},</v>
      </c>
      <c r="E1586" s="9" t="str">
        <f t="shared" si="2"/>
        <v>data:image/svg+xml,%3csvg xmlns='http://www.w3.org/2000/svg' viewBox='0 0 24 216'%3e%3ctext fill='%23fff' style='font: 900 16px sans-serif' text-anchor='end' transform='matrix(0 -1 1 0 18 5)'%3eThe Dixie Chicks%3c/text%3e%3c/svg%3e</v>
      </c>
      <c r="F1586" s="14" t="str">
        <f t="shared" si="3"/>
        <v>https://svgtext.heliohost.us/cgi-bin/gen.perl?text=The%20Dixie%20Chicks</v>
      </c>
      <c r="G1586" s="11" t="str">
        <f t="shared" si="4"/>
        <v>data:image/svg+xml,%3csvg xmlns='http://www.w3.org/2000/svg' viewBox='0 0 24 216'%3e%3ctext fill='%23fff' style='font: 900 16px sans-serif' text-anchor='end' transform='matrix(0 -1 1 0 18 5)'%3eThe Dixie Chicks%3c/text%3e%3c/svg%3e</v>
      </c>
      <c r="H1586" s="8" t="s">
        <v>39</v>
      </c>
      <c r="I1586" s="8">
        <f t="shared" ref="I1586:J1586" si="1587">len(B1586)</f>
        <v>16</v>
      </c>
      <c r="J1586" s="8">
        <f t="shared" si="1587"/>
        <v>119</v>
      </c>
      <c r="K1586" s="8" t="s">
        <v>6409</v>
      </c>
    </row>
    <row r="1587">
      <c r="A1587" s="7" t="b">
        <v>0</v>
      </c>
      <c r="B1587" s="8" t="s">
        <v>6410</v>
      </c>
      <c r="C1587" s="8" t="s">
        <v>6411</v>
      </c>
      <c r="D1587" s="8" t="str">
        <f>Q&amp;$K1587&amp;Q&amp;":{"&amp;Q&amp;$B$2&amp;Q&amp;":"&amp;Q&amp;$B1587&amp;Q&amp;","&amp;Q&amp;$C$2&amp;Q&amp;":"&amp;Q&amp;$C1587&amp;Q&amp;","&amp;Q&amp;"sets"&amp;Q&amp;":"&amp;Q&amp;substitute(SUBSTITUTE($H1587,"[",""),"]","")&amp;Q&amp;"},"</f>
        <v>"c{ml":{"label":"The Dump","extra":"Just remember to recycle.","sets":"Basic Set, Party Set"},</v>
      </c>
      <c r="E1587" s="9" t="str">
        <f t="shared" si="2"/>
        <v>data:image/svg+xml,%3csvg xmlns='http://www.w3.org/2000/svg' viewBox='0 0 24 216'%3e%3ctext fill='%23fff' style='font: 900 16px sans-serif' text-anchor='end' transform='matrix(0 -1 1 0 18 5)'%3eThe Dump%3c/text%3e%3c/svg%3e</v>
      </c>
      <c r="F1587" s="14" t="str">
        <f t="shared" si="3"/>
        <v>https://svgtext.heliohost.us/cgi-bin/gen.perl?text=The%20Dump</v>
      </c>
      <c r="G1587" s="11" t="str">
        <f t="shared" si="4"/>
        <v>data:image/svg+xml,%3csvg xmlns='http://www.w3.org/2000/svg' viewBox='0 0 24 216'%3e%3ctext fill='%23fff' style='font: 900 16px sans-serif' text-anchor='end' transform='matrix(0 -1 1 0 18 5)'%3eThe Dump%3c/text%3e%3c/svg%3e</v>
      </c>
      <c r="H1587" s="8" t="s">
        <v>29</v>
      </c>
      <c r="I1587" s="8">
        <f t="shared" ref="I1587:J1587" si="1588">len(B1587)</f>
        <v>8</v>
      </c>
      <c r="J1587" s="8">
        <f t="shared" si="1588"/>
        <v>25</v>
      </c>
      <c r="K1587" s="8" t="s">
        <v>6412</v>
      </c>
    </row>
    <row r="1588">
      <c r="A1588" s="7" t="b">
        <v>1</v>
      </c>
      <c r="B1588" s="8" t="s">
        <v>6413</v>
      </c>
      <c r="C1588" s="8" t="s">
        <v>6414</v>
      </c>
      <c r="D1588" s="8" t="str">
        <f>Q&amp;$K1588&amp;Q&amp;":{"&amp;Q&amp;$B$2&amp;Q&amp;":"&amp;Q&amp;$B1588&amp;Q&amp;","&amp;Q&amp;$C$2&amp;Q&amp;":"&amp;Q&amp;$C1588&amp;Q&amp;","&amp;Q&amp;"sets"&amp;Q&amp;":"&amp;Q&amp;substitute(SUBSTITUTE($H1588,"[",""),"]","")&amp;Q&amp;"},"</f>
        <v>"wade":{"label":"The Earth","extra":"Third planet from the sun. Home to Earthlings.","sets":"Junior 9+ (1st) &amp; (2nd)"},</v>
      </c>
      <c r="E1588" s="9" t="str">
        <f t="shared" si="2"/>
        <v>data:image/svg+xml,%3csvg xmlns='http://www.w3.org/2000/svg' viewBox='0 0 24 216'%3e%3ctext fill='%23fff' style='font: 900 16px sans-serif' text-anchor='end' transform='matrix(0 -1 1 0 18 5)'%3eThe Earth%3c/text%3e%3c/svg%3e</v>
      </c>
      <c r="F1588" s="14" t="str">
        <f t="shared" si="3"/>
        <v>https://svgtext.heliohost.us/cgi-bin/gen.perl?text=The%20Earth</v>
      </c>
      <c r="G1588" s="11" t="str">
        <f t="shared" si="4"/>
        <v>data:image/svg+xml,%3csvg xmlns='http://www.w3.org/2000/svg' viewBox='0 0 24 216'%3e%3ctext fill='%23fff' style='font: 900 16px sans-serif' text-anchor='end' transform='matrix(0 -1 1 0 18 5)'%3eThe Earth%3c/text%3e%3c/svg%3e</v>
      </c>
      <c r="H1588" s="8" t="s">
        <v>42</v>
      </c>
      <c r="I1588" s="8">
        <f t="shared" ref="I1588:J1588" si="1589">len(B1588)</f>
        <v>9</v>
      </c>
      <c r="J1588" s="8">
        <f t="shared" si="1589"/>
        <v>46</v>
      </c>
      <c r="K1588" s="8" t="s">
        <v>6415</v>
      </c>
    </row>
    <row r="1589">
      <c r="A1589" s="7" t="b">
        <v>0</v>
      </c>
      <c r="B1589" s="8" t="s">
        <v>6416</v>
      </c>
      <c r="C1589" s="8" t="s">
        <v>6417</v>
      </c>
      <c r="D1589" s="8" t="str">
        <f>Q&amp;$K1589&amp;Q&amp;":{"&amp;Q&amp;$B$2&amp;Q&amp;":"&amp;Q&amp;$B1589&amp;Q&amp;","&amp;Q&amp;$C$2&amp;Q&amp;":"&amp;Q&amp;$C1589&amp;Q&amp;","&amp;Q&amp;"sets"&amp;Q&amp;":"&amp;Q&amp;substitute(SUBSTITUTE($H1589,"[",""),"]","")&amp;Q&amp;"},"</f>
        <v>"szmh":{"label":"The Eiffel Tower","extra":"Designed and built by French engineer Alexandre Gustave Eiffel for the Paris World's Fair of 1889.","sets":"Basic Set, Party Set"},</v>
      </c>
      <c r="E1589" s="9" t="str">
        <f t="shared" si="2"/>
        <v>data:image/svg+xml,%3csvg xmlns='http://www.w3.org/2000/svg' viewBox='0 0 24 216'%3e%3ctext fill='%23fff' style='font: 900 16px sans-serif' text-anchor='end' transform='matrix(0 -1 1 0 18 5)'%3eThe Eiffel Tower%3c/text%3e%3c/svg%3e</v>
      </c>
      <c r="F1589" s="14" t="str">
        <f t="shared" si="3"/>
        <v>https://svgtext.heliohost.us/cgi-bin/gen.perl?text=The%20Eiffel%20Tower</v>
      </c>
      <c r="G1589" s="11" t="str">
        <f t="shared" si="4"/>
        <v>data:image/svg+xml,%3csvg xmlns='http://www.w3.org/2000/svg' viewBox='0 0 24 216'%3e%3ctext fill='%23fff' style='font: 900 16px sans-serif' text-anchor='end' transform='matrix(0 -1 1 0 18 5)'%3eThe Eiffel Tower%3c/text%3e%3c/svg%3e</v>
      </c>
      <c r="H1589" s="8" t="s">
        <v>29</v>
      </c>
      <c r="I1589" s="8">
        <f t="shared" ref="I1589:J1589" si="1590">len(B1589)</f>
        <v>16</v>
      </c>
      <c r="J1589" s="8">
        <f t="shared" si="1590"/>
        <v>98</v>
      </c>
      <c r="K1589" s="8" t="s">
        <v>6418</v>
      </c>
    </row>
    <row r="1590">
      <c r="A1590" s="7" t="b">
        <v>0</v>
      </c>
      <c r="B1590" s="8" t="s">
        <v>6419</v>
      </c>
      <c r="C1590" s="8" t="s">
        <v>6420</v>
      </c>
      <c r="D1590" s="8" t="str">
        <f>Q&amp;$K1590&amp;Q&amp;":{"&amp;Q&amp;$B$2&amp;Q&amp;":"&amp;Q&amp;$B1590&amp;Q&amp;","&amp;Q&amp;$C$2&amp;Q&amp;":"&amp;Q&amp;$C1590&amp;Q&amp;","&amp;Q&amp;"sets"&amp;Q&amp;":"&amp;Q&amp;substitute(SUBSTITUTE($H1590,"[",""),"]","")&amp;Q&amp;"},"</f>
        <v>"rljo":{"label":"The Electric Chair","extra":"In U.S. prisons, an alternating current of about 2000 volts is used for electrocution.","sets":"Basic Set, Party Set"},</v>
      </c>
      <c r="E1590" s="9" t="str">
        <f t="shared" si="2"/>
        <v>data:image/svg+xml,%3csvg xmlns='http://www.w3.org/2000/svg' viewBox='0 0 24 216'%3e%3ctext fill='%23fff' style='font: 900 16px sans-serif' text-anchor='end' transform='matrix(0 -1 1 0 18 5)'%3eThe Electric Chair%3c/text%3e%3c/svg%3e</v>
      </c>
      <c r="F1590" s="14" t="str">
        <f t="shared" si="3"/>
        <v>https://svgtext.heliohost.us/cgi-bin/gen.perl?text=The%20Electric%20Chair</v>
      </c>
      <c r="G1590" s="11" t="str">
        <f t="shared" si="4"/>
        <v>data:image/svg+xml,%3csvg xmlns='http://www.w3.org/2000/svg' viewBox='0 0 24 216'%3e%3ctext fill='%23fff' style='font: 900 16px sans-serif' text-anchor='end' transform='matrix(0 -1 1 0 18 5)'%3eThe Electric Chair%3c/text%3e%3c/svg%3e</v>
      </c>
      <c r="H1590" s="8" t="s">
        <v>29</v>
      </c>
      <c r="I1590" s="8">
        <f t="shared" ref="I1590:J1590" si="1591">len(B1590)</f>
        <v>18</v>
      </c>
      <c r="J1590" s="8">
        <f t="shared" si="1591"/>
        <v>86</v>
      </c>
      <c r="K1590" s="8" t="s">
        <v>6421</v>
      </c>
    </row>
    <row r="1591">
      <c r="A1591" s="7" t="b">
        <v>0</v>
      </c>
      <c r="B1591" s="8" t="s">
        <v>6422</v>
      </c>
      <c r="C1591" s="7" t="s">
        <v>6423</v>
      </c>
      <c r="D1591" s="8" t="str">
        <f>Q&amp;$K1591&amp;Q&amp;":{"&amp;Q&amp;$B$2&amp;Q&amp;":"&amp;Q&amp;$B1591&amp;Q&amp;","&amp;Q&amp;$C$2&amp;Q&amp;":"&amp;Q&amp;$C1591&amp;Q&amp;","&amp;Q&amp;"sets"&amp;Q&amp;":"&amp;Q&amp;substitute(SUBSTITUTE($H1591,"[",""),"]","")&amp;Q&amp;"},"</f>
        <v>"lmkw":{"label":"The End Of The World","extra":"“It's the end of the world as we know it, and I feel fine…” —REM","sets":"Expansion Set 1, Party Set"},</v>
      </c>
      <c r="E1591" s="9" t="str">
        <f t="shared" si="2"/>
        <v>data:image/svg+xml,%3csvg xmlns='http://www.w3.org/2000/svg' viewBox='0 0 24 216'%3e%3ctext fill='%23fff' style='font: 900 16px sans-serif' text-anchor='end' transform='matrix(0 -1 1 0 18 5)'%3eThe End Of The World%3c/text%3e%3c/svg%3e</v>
      </c>
      <c r="F1591" s="14" t="str">
        <f t="shared" si="3"/>
        <v>https://svgtext.heliohost.us/cgi-bin/gen.perl?text=The%20End%20Of%20The%20World</v>
      </c>
      <c r="G1591" s="11" t="str">
        <f t="shared" si="4"/>
        <v>data:image/svg+xml,%3csvg xmlns='http://www.w3.org/2000/svg' viewBox='0 0 24 216'%3e%3ctext fill='%23fff' style='font: 900 16px sans-serif' text-anchor='end' transform='matrix(0 -1 1 0 18 5)'%3eThe End Of The World%3c/text%3e%3c/svg%3e</v>
      </c>
      <c r="H1591" s="8" t="s">
        <v>25</v>
      </c>
      <c r="I1591" s="8">
        <f t="shared" ref="I1591:J1591" si="1592">len(B1591)</f>
        <v>20</v>
      </c>
      <c r="J1591" s="8">
        <f t="shared" si="1592"/>
        <v>64</v>
      </c>
      <c r="K1591" s="8" t="s">
        <v>6424</v>
      </c>
    </row>
    <row r="1592">
      <c r="A1592" s="7" t="b">
        <v>0</v>
      </c>
      <c r="B1592" s="8" t="s">
        <v>6425</v>
      </c>
      <c r="C1592" s="8" t="s">
        <v>6426</v>
      </c>
      <c r="D1592" s="8" t="str">
        <f>Q&amp;$K1592&amp;Q&amp;":{"&amp;Q&amp;$B$2&amp;Q&amp;":"&amp;Q&amp;$B1592&amp;Q&amp;","&amp;Q&amp;$C$2&amp;Q&amp;":"&amp;Q&amp;$C1592&amp;Q&amp;","&amp;Q&amp;"sets"&amp;Q&amp;":"&amp;Q&amp;substitute(SUBSTITUTE($H1592,"[",""),"]","")&amp;Q&amp;"},"</f>
        <v>"efwr":{"label":"The Everglades","extra":"A vast marsh covering much of southern Florida. Watch out for alligators!","sets":"Expansion Set 1, Party Set"},</v>
      </c>
      <c r="E1592" s="9" t="str">
        <f t="shared" si="2"/>
        <v>data:image/svg+xml,%3csvg xmlns='http://www.w3.org/2000/svg' viewBox='0 0 24 216'%3e%3ctext fill='%23fff' style='font: 900 16px sans-serif' text-anchor='end' transform='matrix(0 -1 1 0 18 5)'%3eThe Everglades%3c/text%3e%3c/svg%3e</v>
      </c>
      <c r="F1592" s="14" t="str">
        <f t="shared" si="3"/>
        <v>https://svgtext.heliohost.us/cgi-bin/gen.perl?text=The%20Everglades</v>
      </c>
      <c r="G1592" s="11" t="str">
        <f t="shared" si="4"/>
        <v>data:image/svg+xml,%3csvg xmlns='http://www.w3.org/2000/svg' viewBox='0 0 24 216'%3e%3ctext fill='%23fff' style='font: 900 16px sans-serif' text-anchor='end' transform='matrix(0 -1 1 0 18 5)'%3eThe Everglades%3c/text%3e%3c/svg%3e</v>
      </c>
      <c r="H1592" s="8" t="s">
        <v>25</v>
      </c>
      <c r="I1592" s="8">
        <f t="shared" ref="I1592:J1592" si="1593">len(B1592)</f>
        <v>14</v>
      </c>
      <c r="J1592" s="8">
        <f t="shared" si="1593"/>
        <v>73</v>
      </c>
      <c r="K1592" s="8" t="s">
        <v>6427</v>
      </c>
    </row>
    <row r="1593">
      <c r="A1593" s="7" t="b">
        <v>0</v>
      </c>
      <c r="B1593" s="8" t="s">
        <v>6428</v>
      </c>
      <c r="C1593" s="7" t="s">
        <v>6429</v>
      </c>
      <c r="D1593" s="8" t="str">
        <f>Q&amp;$K1593&amp;Q&amp;":{"&amp;Q&amp;$B$2&amp;Q&amp;":"&amp;Q&amp;$B1593&amp;Q&amp;","&amp;Q&amp;$C$2&amp;Q&amp;":"&amp;Q&amp;$C1593&amp;Q&amp;","&amp;Q&amp;"sets"&amp;Q&amp;":"&amp;Q&amp;substitute(SUBSTITUTE($H1593,"[",""),"]","")&amp;Q&amp;"},"</f>
        <v>"wejd":{"label":"The Far Left","extra":"They get high Marx from some.","sets":"Expansion Set 2, Party Set"},</v>
      </c>
      <c r="E1593" s="9" t="str">
        <f t="shared" si="2"/>
        <v>data:image/svg+xml,%3csvg xmlns='http://www.w3.org/2000/svg' viewBox='0 0 24 216'%3e%3ctext fill='%23fff' style='font: 900 16px sans-serif' text-anchor='end' transform='matrix(0 -1 1 0 18 5)'%3eThe Far Left%3c/text%3e%3c/svg%3e</v>
      </c>
      <c r="F1593" s="14" t="str">
        <f t="shared" si="3"/>
        <v>https://svgtext.heliohost.us/cgi-bin/gen.perl?text=The%20Far%20Left</v>
      </c>
      <c r="G1593" s="11" t="str">
        <f t="shared" si="4"/>
        <v>data:image/svg+xml,%3csvg xmlns='http://www.w3.org/2000/svg' viewBox='0 0 24 216'%3e%3ctext fill='%23fff' style='font: 900 16px sans-serif' text-anchor='end' transform='matrix(0 -1 1 0 18 5)'%3eThe Far Left%3c/text%3e%3c/svg%3e</v>
      </c>
      <c r="H1593" s="8" t="s">
        <v>17</v>
      </c>
      <c r="I1593" s="8">
        <f t="shared" ref="I1593:J1593" si="1594">len(B1593)</f>
        <v>12</v>
      </c>
      <c r="J1593" s="8">
        <f t="shared" si="1594"/>
        <v>29</v>
      </c>
      <c r="K1593" s="8" t="s">
        <v>6430</v>
      </c>
    </row>
    <row r="1594">
      <c r="A1594" s="7" t="b">
        <v>0</v>
      </c>
      <c r="B1594" s="8" t="s">
        <v>6431</v>
      </c>
      <c r="C1594" s="7" t="s">
        <v>6432</v>
      </c>
      <c r="D1594" s="8" t="str">
        <f>Q&amp;$K1594&amp;Q&amp;":{"&amp;Q&amp;$B$2&amp;Q&amp;":"&amp;Q&amp;$B1594&amp;Q&amp;","&amp;Q&amp;$C$2&amp;Q&amp;":"&amp;Q&amp;$C1594&amp;Q&amp;","&amp;Q&amp;"sets"&amp;Q&amp;":"&amp;Q&amp;substitute(SUBSTITUTE($H1594,"[",""),"]","")&amp;Q&amp;"},"</f>
        <v>"tjtf":{"label":"The Far Right","extra":"Far right for some and far wrong for others.","sets":"Expansion Set 2, Party Set"},</v>
      </c>
      <c r="E1594" s="9" t="str">
        <f t="shared" si="2"/>
        <v>data:image/svg+xml,%3csvg xmlns='http://www.w3.org/2000/svg' viewBox='0 0 24 216'%3e%3ctext fill='%23fff' style='font: 900 16px sans-serif' text-anchor='end' transform='matrix(0 -1 1 0 18 5)'%3eThe Far Right%3c/text%3e%3c/svg%3e</v>
      </c>
      <c r="F1594" s="14" t="str">
        <f t="shared" si="3"/>
        <v>https://svgtext.heliohost.us/cgi-bin/gen.perl?text=The%20Far%20Right</v>
      </c>
      <c r="G1594" s="11" t="str">
        <f t="shared" si="4"/>
        <v>data:image/svg+xml,%3csvg xmlns='http://www.w3.org/2000/svg' viewBox='0 0 24 216'%3e%3ctext fill='%23fff' style='font: 900 16px sans-serif' text-anchor='end' transform='matrix(0 -1 1 0 18 5)'%3eThe Far Right%3c/text%3e%3c/svg%3e</v>
      </c>
      <c r="H1594" s="8" t="s">
        <v>17</v>
      </c>
      <c r="I1594" s="8">
        <f t="shared" ref="I1594:J1594" si="1595">len(B1594)</f>
        <v>13</v>
      </c>
      <c r="J1594" s="8">
        <f t="shared" si="1595"/>
        <v>44</v>
      </c>
      <c r="K1594" s="8" t="s">
        <v>6433</v>
      </c>
    </row>
    <row r="1595">
      <c r="A1595" s="7" t="b">
        <v>0</v>
      </c>
      <c r="B1595" s="8" t="s">
        <v>6434</v>
      </c>
      <c r="C1595" s="7" t="s">
        <v>6435</v>
      </c>
      <c r="D1595" s="8" t="str">
        <f>Q&amp;$K1595&amp;Q&amp;":{"&amp;Q&amp;$B$2&amp;Q&amp;":"&amp;Q&amp;$B1595&amp;Q&amp;","&amp;Q&amp;$C$2&amp;Q&amp;":"&amp;Q&amp;$C1595&amp;Q&amp;","&amp;Q&amp;"sets"&amp;Q&amp;":"&amp;Q&amp;substitute(SUBSTITUTE($H1595,"[",""),"]","")&amp;Q&amp;"},"</f>
        <v>"ckjq":{"label":"The FBI","extra":"The Federal Bureau of Investigation: the investigative agency for the U.S. Department of Justice. They’re listening…","sets":"Expansion Set 1, Party Set"},</v>
      </c>
      <c r="E1595" s="9" t="str">
        <f t="shared" si="2"/>
        <v>data:image/svg+xml,%3csvg xmlns='http://www.w3.org/2000/svg' viewBox='0 0 24 216'%3e%3ctext fill='%23fff' style='font: 900 16px sans-serif' text-anchor='end' transform='matrix(0 -1 1 0 18 5)'%3eThe FBI%3c/text%3e%3c/svg%3e</v>
      </c>
      <c r="F1595" s="14" t="str">
        <f t="shared" si="3"/>
        <v>https://svgtext.heliohost.us/cgi-bin/gen.perl?text=The%20FBI</v>
      </c>
      <c r="G1595" s="11" t="str">
        <f t="shared" si="4"/>
        <v>data:image/svg+xml,%3csvg xmlns='http://www.w3.org/2000/svg' viewBox='0 0 24 216'%3e%3ctext fill='%23fff' style='font: 900 16px sans-serif' text-anchor='end' transform='matrix(0 -1 1 0 18 5)'%3eThe FBI%3c/text%3e%3c/svg%3e</v>
      </c>
      <c r="H1595" s="8" t="s">
        <v>25</v>
      </c>
      <c r="I1595" s="8">
        <f t="shared" ref="I1595:J1595" si="1596">len(B1595)</f>
        <v>7</v>
      </c>
      <c r="J1595" s="8">
        <f t="shared" si="1596"/>
        <v>116</v>
      </c>
      <c r="K1595" s="8" t="s">
        <v>6436</v>
      </c>
    </row>
    <row r="1596">
      <c r="A1596" s="7" t="b">
        <v>1</v>
      </c>
      <c r="B1596" s="8" t="s">
        <v>6437</v>
      </c>
      <c r="C1596" s="8" t="s">
        <v>6438</v>
      </c>
      <c r="D1596" s="8" t="str">
        <f>Q&amp;$K1596&amp;Q&amp;":{"&amp;Q&amp;$B$2&amp;Q&amp;":"&amp;Q&amp;$B1596&amp;Q&amp;","&amp;Q&amp;$C$2&amp;Q&amp;":"&amp;Q&amp;$C1596&amp;Q&amp;","&amp;Q&amp;"sets"&amp;Q&amp;":"&amp;Q&amp;substitute(SUBSTITUTE($H1596,"[",""),"]","")&amp;Q&amp;"},"</f>
        <v>"typi":{"label":"The First Day Of School","extra":"Get your backpack, your lunch, and get going!","sets":"Junior"},</v>
      </c>
      <c r="E1596" s="9" t="str">
        <f t="shared" si="2"/>
        <v>data:image/svg+xml,%3csvg xmlns='http://www.w3.org/2000/svg' viewBox='0 0 24 216'%3e%3ctext fill='%23fff' style='font: 900 16px sans-serif' text-anchor='end' transform='matrix(0 -1 1 0 18 5)'%3eThe First Day Of School%3c/text%3e%3c/svg%3e</v>
      </c>
      <c r="F1596" s="14" t="str">
        <f t="shared" si="3"/>
        <v>https://svgtext.heliohost.us/cgi-bin/gen.perl?text=The%20First%20Day%20Of%20School</v>
      </c>
      <c r="G1596" s="11" t="str">
        <f t="shared" si="4"/>
        <v>data:image/svg+xml,%3csvg xmlns='http://www.w3.org/2000/svg' viewBox='0 0 24 216'%3e%3ctext fill='%23fff' style='font: 900 16px sans-serif' text-anchor='end' transform='matrix(0 -1 1 0 18 5)'%3eThe First Day Of School%3c/text%3e%3c/svg%3e</v>
      </c>
      <c r="H1596" s="8" t="s">
        <v>84</v>
      </c>
      <c r="I1596" s="8">
        <f t="shared" ref="I1596:J1596" si="1597">len(B1596)</f>
        <v>23</v>
      </c>
      <c r="J1596" s="8">
        <f t="shared" si="1597"/>
        <v>45</v>
      </c>
      <c r="K1596" s="8" t="s">
        <v>6439</v>
      </c>
    </row>
    <row r="1597">
      <c r="A1597" s="7" t="b">
        <v>0</v>
      </c>
      <c r="B1597" s="8" t="s">
        <v>6437</v>
      </c>
      <c r="C1597" s="7" t="s">
        <v>6440</v>
      </c>
      <c r="D1597" s="8" t="str">
        <f>Q&amp;$K1597&amp;Q&amp;":{"&amp;Q&amp;$B$2&amp;Q&amp;":"&amp;Q&amp;$B1597&amp;Q&amp;","&amp;Q&amp;$C$2&amp;Q&amp;":"&amp;Q&amp;$C1597&amp;Q&amp;","&amp;Q&amp;"sets"&amp;Q&amp;":"&amp;Q&amp;substitute(SUBSTITUTE($H1597,"[",""),"]","")&amp;Q&amp;"},"</f>
        <v>"qsxo":{"label":"The First Day Of School","extra":"“Fear has many eyes.” —Cervantes","sets":"Basic Set, Party Set"},</v>
      </c>
      <c r="E1597" s="9" t="str">
        <f t="shared" si="2"/>
        <v>data:image/svg+xml,%3csvg xmlns='http://www.w3.org/2000/svg' viewBox='0 0 24 216'%3e%3ctext fill='%23fff' style='font: 900 16px sans-serif' text-anchor='end' transform='matrix(0 -1 1 0 18 5)'%3eThe First Day Of School%3c/text%3e%3c/svg%3e</v>
      </c>
      <c r="F1597" s="14" t="str">
        <f t="shared" si="3"/>
        <v>https://svgtext.heliohost.us/cgi-bin/gen.perl?text=The%20First%20Day%20Of%20School</v>
      </c>
      <c r="G1597" s="11" t="str">
        <f t="shared" si="4"/>
        <v>data:image/svg+xml,%3csvg xmlns='http://www.w3.org/2000/svg' viewBox='0 0 24 216'%3e%3ctext fill='%23fff' style='font: 900 16px sans-serif' text-anchor='end' transform='matrix(0 -1 1 0 18 5)'%3eThe First Day Of School%3c/text%3e%3c/svg%3e</v>
      </c>
      <c r="H1597" s="8" t="s">
        <v>29</v>
      </c>
      <c r="I1597" s="8">
        <f t="shared" ref="I1597:J1597" si="1598">len(B1597)</f>
        <v>23</v>
      </c>
      <c r="J1597" s="8">
        <f t="shared" si="1598"/>
        <v>32</v>
      </c>
      <c r="K1597" s="8" t="s">
        <v>6441</v>
      </c>
    </row>
    <row r="1598">
      <c r="A1598" s="7" t="b">
        <v>0</v>
      </c>
      <c r="B1598" s="8" t="s">
        <v>6442</v>
      </c>
      <c r="C1598" s="8" t="s">
        <v>6443</v>
      </c>
      <c r="D1598" s="8" t="str">
        <f>Q&amp;$K1598&amp;Q&amp;":{"&amp;Q&amp;$B$2&amp;Q&amp;":"&amp;Q&amp;$B1598&amp;Q&amp;","&amp;Q&amp;$C$2&amp;Q&amp;":"&amp;Q&amp;$C1598&amp;Q&amp;","&amp;Q&amp;"sets"&amp;Q&amp;":"&amp;Q&amp;substitute(SUBSTITUTE($H1598,"[",""),"]","")&amp;Q&amp;"},"</f>
        <v>"coad":{"label":"The French Riviera","extra":"Holiday home of the rich, the famous, and the half-naked.","sets":"Basic Set, Party Set"},</v>
      </c>
      <c r="E1598" s="9" t="str">
        <f t="shared" si="2"/>
        <v>data:image/svg+xml,%3csvg xmlns='http://www.w3.org/2000/svg' viewBox='0 0 24 216'%3e%3ctext fill='%23fff' style='font: 900 16px sans-serif' text-anchor='end' transform='matrix(0 -1 1 0 18 5)'%3eThe French Riviera%3c/text%3e%3c/svg%3e</v>
      </c>
      <c r="F1598" s="14" t="str">
        <f t="shared" si="3"/>
        <v>https://svgtext.heliohost.us/cgi-bin/gen.perl?text=The%20French%20Riviera</v>
      </c>
      <c r="G1598" s="11" t="str">
        <f t="shared" si="4"/>
        <v>data:image/svg+xml,%3csvg xmlns='http://www.w3.org/2000/svg' viewBox='0 0 24 216'%3e%3ctext fill='%23fff' style='font: 900 16px sans-serif' text-anchor='end' transform='matrix(0 -1 1 0 18 5)'%3eThe French Riviera%3c/text%3e%3c/svg%3e</v>
      </c>
      <c r="H1598" s="8" t="s">
        <v>29</v>
      </c>
      <c r="I1598" s="8">
        <f t="shared" ref="I1598:J1598" si="1599">len(B1598)</f>
        <v>18</v>
      </c>
      <c r="J1598" s="8">
        <f t="shared" si="1599"/>
        <v>57</v>
      </c>
      <c r="K1598" s="8" t="s">
        <v>6444</v>
      </c>
    </row>
    <row r="1599">
      <c r="A1599" s="7" t="b">
        <v>0</v>
      </c>
      <c r="B1599" s="8" t="s">
        <v>6445</v>
      </c>
      <c r="C1599" s="8" t="s">
        <v>6446</v>
      </c>
      <c r="D1599" s="8" t="str">
        <f>Q&amp;$K1599&amp;Q&amp;":{"&amp;Q&amp;$B$2&amp;Q&amp;":"&amp;Q&amp;$B1599&amp;Q&amp;","&amp;Q&amp;$C$2&amp;Q&amp;":"&amp;Q&amp;$C1599&amp;Q&amp;","&amp;Q&amp;"sets"&amp;Q&amp;":"&amp;Q&amp;substitute(SUBSTITUTE($H1599,"[",""),"]","")&amp;Q&amp;"},"</f>
        <v>"piuh":{"label":"The Godfather","extra":"The 1972 critically acclaimed Mafia movie that made us as offer we couldn't refuse.","sets":"Expansion Set 1, Party Set"},</v>
      </c>
      <c r="E1599" s="9" t="str">
        <f t="shared" si="2"/>
        <v>data:image/svg+xml,%3csvg xmlns='http://www.w3.org/2000/svg' viewBox='0 0 24 216'%3e%3ctext fill='%23fff' style='font: 900 16px sans-serif' text-anchor='end' transform='matrix(0 -1 1 0 18 5)'%3eThe Godfather%3c/text%3e%3c/svg%3e</v>
      </c>
      <c r="F1599" s="14" t="str">
        <f t="shared" si="3"/>
        <v>https://svgtext.heliohost.us/cgi-bin/gen.perl?text=The%20Godfather</v>
      </c>
      <c r="G1599" s="11" t="str">
        <f t="shared" si="4"/>
        <v>data:image/svg+xml,%3csvg xmlns='http://www.w3.org/2000/svg' viewBox='0 0 24 216'%3e%3ctext fill='%23fff' style='font: 900 16px sans-serif' text-anchor='end' transform='matrix(0 -1 1 0 18 5)'%3eThe Godfather%3c/text%3e%3c/svg%3e</v>
      </c>
      <c r="H1599" s="8" t="s">
        <v>25</v>
      </c>
      <c r="I1599" s="8">
        <f t="shared" ref="I1599:J1599" si="1600">len(B1599)</f>
        <v>13</v>
      </c>
      <c r="J1599" s="8">
        <f t="shared" si="1600"/>
        <v>83</v>
      </c>
      <c r="K1599" s="8" t="s">
        <v>6447</v>
      </c>
    </row>
    <row r="1600">
      <c r="A1600" s="7" t="b">
        <v>0</v>
      </c>
      <c r="B1600" s="8" t="s">
        <v>6448</v>
      </c>
      <c r="C1600" s="8" t="s">
        <v>6449</v>
      </c>
      <c r="D1600" s="8" t="str">
        <f>Q&amp;$K1600&amp;Q&amp;":{"&amp;Q&amp;$B$2&amp;Q&amp;":"&amp;Q&amp;$B1600&amp;Q&amp;","&amp;Q&amp;$C$2&amp;Q&amp;":"&amp;Q&amp;$C1600&amp;Q&amp;","&amp;Q&amp;"sets"&amp;Q&amp;":"&amp;Q&amp;substitute(SUBSTITUTE($H1600,"[",""),"]","")&amp;Q&amp;"},"</f>
        <v>"vimi":{"label":"The Grand Canyon","extra":"217 miles long, 4 to 18 miles wide, and more than 1 mile deeps. Now THAT'S grand.","sets":"Basic Set, Party Set"},</v>
      </c>
      <c r="E1600" s="9" t="str">
        <f t="shared" si="2"/>
        <v>data:image/svg+xml,%3csvg xmlns='http://www.w3.org/2000/svg' viewBox='0 0 24 216'%3e%3ctext fill='%23fff' style='font: 900 16px sans-serif' text-anchor='end' transform='matrix(0 -1 1 0 18 5)'%3eThe Grand Canyon%3c/text%3e%3c/svg%3e</v>
      </c>
      <c r="F1600" s="14" t="str">
        <f t="shared" si="3"/>
        <v>https://svgtext.heliohost.us/cgi-bin/gen.perl?text=The%20Grand%20Canyon</v>
      </c>
      <c r="G1600" s="11" t="str">
        <f t="shared" si="4"/>
        <v>data:image/svg+xml,%3csvg xmlns='http://www.w3.org/2000/svg' viewBox='0 0 24 216'%3e%3ctext fill='%23fff' style='font: 900 16px sans-serif' text-anchor='end' transform='matrix(0 -1 1 0 18 5)'%3eThe Grand Canyon%3c/text%3e%3c/svg%3e</v>
      </c>
      <c r="H1600" s="8" t="s">
        <v>29</v>
      </c>
      <c r="I1600" s="8">
        <f t="shared" ref="I1600:J1600" si="1601">len(B1600)</f>
        <v>16</v>
      </c>
      <c r="J1600" s="8">
        <f t="shared" si="1601"/>
        <v>81</v>
      </c>
      <c r="K1600" s="8" t="s">
        <v>6450</v>
      </c>
    </row>
    <row r="1601">
      <c r="A1601" s="7" t="b">
        <v>0</v>
      </c>
      <c r="B1601" s="8" t="s">
        <v>6451</v>
      </c>
      <c r="C1601" s="7" t="s">
        <v>6452</v>
      </c>
      <c r="D1601" s="8" t="str">
        <f>Q&amp;$K1601&amp;Q&amp;":{"&amp;Q&amp;$B$2&amp;Q&amp;":"&amp;Q&amp;$B1601&amp;Q&amp;","&amp;Q&amp;$C$2&amp;Q&amp;":"&amp;Q&amp;$C1601&amp;Q&amp;","&amp;Q&amp;"sets"&amp;Q&amp;":"&amp;Q&amp;substitute(SUBSTITUTE($H1601,"[",""),"]","")&amp;Q&amp;"},"</f>
        <v>"wokz":{"label":"The Grateful Dead","extra":"American rock band, founded in 1965 and best known for their “Dead Head” fans.","sets":"Basic Set, Party Set"},</v>
      </c>
      <c r="E1601" s="9" t="str">
        <f t="shared" si="2"/>
        <v>data:image/svg+xml,%3csvg xmlns='http://www.w3.org/2000/svg' viewBox='0 0 24 216'%3e%3ctext fill='%23fff' style='font: 900 16px sans-serif' text-anchor='end' transform='matrix(0 -1 1 0 18 5)'%3eThe Grateful Dead%3c/text%3e%3c/svg%3e</v>
      </c>
      <c r="F1601" s="14" t="str">
        <f t="shared" si="3"/>
        <v>https://svgtext.heliohost.us/cgi-bin/gen.perl?text=The%20Grateful%20Dead</v>
      </c>
      <c r="G1601" s="11" t="str">
        <f t="shared" si="4"/>
        <v>data:image/svg+xml,%3csvg xmlns='http://www.w3.org/2000/svg' viewBox='0 0 24 216'%3e%3ctext fill='%23fff' style='font: 900 16px sans-serif' text-anchor='end' transform='matrix(0 -1 1 0 18 5)'%3eThe Grateful Dead%3c/text%3e%3c/svg%3e</v>
      </c>
      <c r="H1601" s="8" t="s">
        <v>29</v>
      </c>
      <c r="I1601" s="8">
        <f t="shared" ref="I1601:J1601" si="1602">len(B1601)</f>
        <v>17</v>
      </c>
      <c r="J1601" s="8">
        <f t="shared" si="1602"/>
        <v>78</v>
      </c>
      <c r="K1601" s="8" t="s">
        <v>6453</v>
      </c>
    </row>
    <row r="1602">
      <c r="A1602" s="7" t="b">
        <v>1</v>
      </c>
      <c r="B1602" s="8" t="s">
        <v>6454</v>
      </c>
      <c r="C1602" s="7" t="s">
        <v>6455</v>
      </c>
      <c r="D1602" s="8" t="str">
        <f>Q&amp;$K1602&amp;Q&amp;":{"&amp;Q&amp;$B$2&amp;Q&amp;":"&amp;Q&amp;$B1602&amp;Q&amp;","&amp;Q&amp;$C$2&amp;Q&amp;":"&amp;Q&amp;$C1602&amp;Q&amp;","&amp;Q&amp;"sets"&amp;Q&amp;":"&amp;Q&amp;substitute(SUBSTITUTE($H1602,"[",""),"]","")&amp;Q&amp;"},"</f>
        <v>"h{ru":{"label":"The Graveyard Shift","extra":"It WILL be the death of me…","sets":"Expansion Set 3, Party Expansion 1"},</v>
      </c>
      <c r="E1602" s="9" t="str">
        <f t="shared" si="2"/>
        <v>data:image/svg+xml,%3csvg xmlns='http://www.w3.org/2000/svg' viewBox='0 0 24 216'%3e%3ctext fill='%23fff' style='font: 900 16px sans-serif' text-anchor='end' transform='matrix(0 -1 1 0 18 5)'%3eThe Graveyard Shift%3c/text%3e%3c/svg%3e</v>
      </c>
      <c r="F1602" s="14" t="str">
        <f t="shared" si="3"/>
        <v>https://svgtext.heliohost.us/cgi-bin/gen.perl?text=The%20Graveyard%20Shift</v>
      </c>
      <c r="G1602" s="11" t="str">
        <f t="shared" si="4"/>
        <v>data:image/svg+xml,%3csvg xmlns='http://www.w3.org/2000/svg' viewBox='0 0 24 216'%3e%3ctext fill='%23fff' style='font: 900 16px sans-serif' text-anchor='end' transform='matrix(0 -1 1 0 18 5)'%3eThe Graveyard Shift%3c/text%3e%3c/svg%3e</v>
      </c>
      <c r="H1602" s="8" t="s">
        <v>39</v>
      </c>
      <c r="I1602" s="8">
        <f t="shared" ref="I1602:J1602" si="1603">len(B1602)</f>
        <v>19</v>
      </c>
      <c r="J1602" s="8">
        <f t="shared" si="1603"/>
        <v>27</v>
      </c>
      <c r="K1602" s="8" t="s">
        <v>6456</v>
      </c>
    </row>
    <row r="1603">
      <c r="A1603" s="7" t="b">
        <v>1</v>
      </c>
      <c r="B1603" s="8" t="s">
        <v>6457</v>
      </c>
      <c r="C1603" s="7" t="s">
        <v>6458</v>
      </c>
      <c r="D1603" s="8" t="str">
        <f>Q&amp;$K1603&amp;Q&amp;":{"&amp;Q&amp;$B$2&amp;Q&amp;":"&amp;Q&amp;$B1603&amp;Q&amp;","&amp;Q&amp;$C$2&amp;Q&amp;":"&amp;Q&amp;$C1603&amp;Q&amp;","&amp;Q&amp;"sets"&amp;Q&amp;":"&amp;Q&amp;substitute(SUBSTITUTE($H1603,"[",""),"]","")&amp;Q&amp;"},"</f>
        <v>"yepq":{"label":"The Great Barrier Reef","extra":"Coral reefs, shoals and islets off the northern coast of Australia. Scuba heaven.","sets":"Expansion Set 3, Party Expansion 1"},</v>
      </c>
      <c r="E1603" s="9" t="str">
        <f t="shared" si="2"/>
        <v>data:image/svg+xml,%3csvg xmlns='http://www.w3.org/2000/svg' viewBox='0 0 24 216'%3e%3ctext fill='%23fff' style='font: 900 16px sans-serif' text-anchor='end' transform='matrix(0 -1 1 0 18 5)'%3eThe Great Barrier Reef%3c/text%3e%3c/svg%3e</v>
      </c>
      <c r="F1603" s="14" t="str">
        <f t="shared" si="3"/>
        <v>https://svgtext.heliohost.us/cgi-bin/gen.perl?text=The%20Great%20Barrier%20Reef</v>
      </c>
      <c r="G1603" s="11" t="str">
        <f t="shared" si="4"/>
        <v>data:image/svg+xml,%3csvg xmlns='http://www.w3.org/2000/svg' viewBox='0 0 24 216'%3e%3ctext fill='%23fff' style='font: 900 16px sans-serif' text-anchor='end' transform='matrix(0 -1 1 0 18 5)'%3eThe Great Barrier Reef%3c/text%3e%3c/svg%3e</v>
      </c>
      <c r="H1603" s="8" t="s">
        <v>39</v>
      </c>
      <c r="I1603" s="8">
        <f t="shared" ref="I1603:J1603" si="1604">len(B1603)</f>
        <v>22</v>
      </c>
      <c r="J1603" s="8">
        <f t="shared" si="1604"/>
        <v>81</v>
      </c>
      <c r="K1603" s="8" t="s">
        <v>6459</v>
      </c>
    </row>
    <row r="1604">
      <c r="A1604" s="7" t="b">
        <v>0</v>
      </c>
      <c r="B1604" s="8" t="s">
        <v>6460</v>
      </c>
      <c r="C1604" s="7" t="s">
        <v>6461</v>
      </c>
      <c r="D1604" s="8" t="str">
        <f>Q&amp;$K1604&amp;Q&amp;":{"&amp;Q&amp;$B$2&amp;Q&amp;":"&amp;Q&amp;$B1604&amp;Q&amp;","&amp;Q&amp;$C$2&amp;Q&amp;":"&amp;Q&amp;$C1604&amp;Q&amp;","&amp;Q&amp;"sets"&amp;Q&amp;":"&amp;Q&amp;substitute(SUBSTITUTE($H1604,"[",""),"]","")&amp;Q&amp;"},"</f>
        <v>"q{ok":{"label":"The Great Chicago Fire","extra":"The noteworthy fire of 1871… a hot time in the old town…","sets":"Expansion Set 1, Party Set"},</v>
      </c>
      <c r="E1604" s="9" t="str">
        <f t="shared" si="2"/>
        <v>data:image/svg+xml,%3csvg xmlns='http://www.w3.org/2000/svg' viewBox='0 0 24 216'%3e%3ctext fill='%23fff' style='font: 900 16px sans-serif' text-anchor='end' transform='matrix(0 -1 1 0 18 5)'%3eThe Great Chicago Fire%3c/text%3e%3c/svg%3e</v>
      </c>
      <c r="F1604" s="14" t="str">
        <f t="shared" si="3"/>
        <v>https://svgtext.heliohost.us/cgi-bin/gen.perl?text=The%20Great%20Chicago%20Fire</v>
      </c>
      <c r="G1604" s="11" t="str">
        <f t="shared" si="4"/>
        <v>data:image/svg+xml,%3csvg xmlns='http://www.w3.org/2000/svg' viewBox='0 0 24 216'%3e%3ctext fill='%23fff' style='font: 900 16px sans-serif' text-anchor='end' transform='matrix(0 -1 1 0 18 5)'%3eThe Great Chicago Fire%3c/text%3e%3c/svg%3e</v>
      </c>
      <c r="H1604" s="8" t="s">
        <v>25</v>
      </c>
      <c r="I1604" s="8">
        <f t="shared" ref="I1604:J1604" si="1605">len(B1604)</f>
        <v>22</v>
      </c>
      <c r="J1604" s="8">
        <f t="shared" si="1605"/>
        <v>56</v>
      </c>
      <c r="K1604" s="8" t="s">
        <v>6462</v>
      </c>
    </row>
    <row r="1605">
      <c r="A1605" s="7" t="b">
        <v>0</v>
      </c>
      <c r="B1605" s="8" t="s">
        <v>6463</v>
      </c>
      <c r="C1605" s="8" t="s">
        <v>6464</v>
      </c>
      <c r="D1605" s="8" t="str">
        <f>Q&amp;$K1605&amp;Q&amp;":{"&amp;Q&amp;$B$2&amp;Q&amp;":"&amp;Q&amp;$B1605&amp;Q&amp;","&amp;Q&amp;$C$2&amp;Q&amp;":"&amp;Q&amp;$C1605&amp;Q&amp;","&amp;Q&amp;"sets"&amp;Q&amp;":"&amp;Q&amp;substitute(SUBSTITUTE($H1605,"[",""),"]","")&amp;Q&amp;"},"</f>
        <v>"xdfz":{"label":"The Great Depression","extra":"Prozac was invented six decades too late.","sets":"Basic Set, Party Set"},</v>
      </c>
      <c r="E1605" s="9" t="str">
        <f t="shared" si="2"/>
        <v>data:image/svg+xml,%3csvg xmlns='http://www.w3.org/2000/svg' viewBox='0 0 24 216'%3e%3ctext fill='%23fff' style='font: 900 16px sans-serif' text-anchor='end' transform='matrix(0 -1 1 0 18 5)'%3eThe Great Depression%3c/text%3e%3c/svg%3e</v>
      </c>
      <c r="F1605" s="14" t="str">
        <f t="shared" si="3"/>
        <v>https://svgtext.heliohost.us/cgi-bin/gen.perl?text=The%20Great%20Depression</v>
      </c>
      <c r="G1605" s="11" t="str">
        <f t="shared" si="4"/>
        <v>data:image/svg+xml,%3csvg xmlns='http://www.w3.org/2000/svg' viewBox='0 0 24 216'%3e%3ctext fill='%23fff' style='font: 900 16px sans-serif' text-anchor='end' transform='matrix(0 -1 1 0 18 5)'%3eThe Great Depression%3c/text%3e%3c/svg%3e</v>
      </c>
      <c r="H1605" s="8" t="s">
        <v>29</v>
      </c>
      <c r="I1605" s="8">
        <f t="shared" ref="I1605:J1605" si="1606">len(B1605)</f>
        <v>20</v>
      </c>
      <c r="J1605" s="8">
        <f t="shared" si="1606"/>
        <v>41</v>
      </c>
      <c r="K1605" s="8" t="s">
        <v>6465</v>
      </c>
    </row>
    <row r="1606">
      <c r="A1606" s="7" t="b">
        <v>1</v>
      </c>
      <c r="B1606" s="8" t="s">
        <v>6466</v>
      </c>
      <c r="C1606" s="8" t="s">
        <v>6467</v>
      </c>
      <c r="D1606" s="8" t="str">
        <f>Q&amp;$K1606&amp;Q&amp;":{"&amp;Q&amp;$B$2&amp;Q&amp;":"&amp;Q&amp;$B1606&amp;Q&amp;","&amp;Q&amp;$C$2&amp;Q&amp;":"&amp;Q&amp;$C1606&amp;Q&amp;","&amp;Q&amp;"sets"&amp;Q&amp;":"&amp;Q&amp;substitute(SUBSTITUTE($H1606,"[",""),"]","")&amp;Q&amp;"},"</f>
        <v>"qcze":{"label":"The Great Wall Of China","extra":"A 1500 mile long wall across northern China. Built for fortification but better for tourism.","sets":"Expansion Set 3, Party Expansion 1"},</v>
      </c>
      <c r="E1606" s="9" t="str">
        <f t="shared" si="2"/>
        <v>data:image/svg+xml,%3csvg xmlns='http://www.w3.org/2000/svg' viewBox='0 0 24 216'%3e%3ctext fill='%23fff' style='font: 900 16px sans-serif' text-anchor='end' transform='matrix(0 -1 1 0 18 5)'%3eThe Great Wall Of China%3c/text%3e%3c/svg%3e</v>
      </c>
      <c r="F1606" s="14" t="str">
        <f t="shared" si="3"/>
        <v>https://svgtext.heliohost.us/cgi-bin/gen.perl?text=The%20Great%20Wall%20Of%20China</v>
      </c>
      <c r="G1606" s="11" t="str">
        <f t="shared" si="4"/>
        <v>data:image/svg+xml,%3csvg xmlns='http://www.w3.org/2000/svg' viewBox='0 0 24 216'%3e%3ctext fill='%23fff' style='font: 900 16px sans-serif' text-anchor='end' transform='matrix(0 -1 1 0 18 5)'%3eThe Great Wall Of China%3c/text%3e%3c/svg%3e</v>
      </c>
      <c r="H1606" s="8" t="s">
        <v>39</v>
      </c>
      <c r="I1606" s="8">
        <f t="shared" ref="I1606:J1606" si="1607">len(B1606)</f>
        <v>23</v>
      </c>
      <c r="J1606" s="8">
        <f t="shared" si="1607"/>
        <v>92</v>
      </c>
      <c r="K1606" s="8" t="s">
        <v>6468</v>
      </c>
    </row>
    <row r="1607">
      <c r="A1607" s="7" t="b">
        <v>0</v>
      </c>
      <c r="B1607" s="8" t="s">
        <v>6469</v>
      </c>
      <c r="C1607" s="7" t="s">
        <v>6470</v>
      </c>
      <c r="D1607" s="8" t="str">
        <f>Q&amp;$K1607&amp;Q&amp;":{"&amp;Q&amp;$B$2&amp;Q&amp;":"&amp;Q&amp;$B1607&amp;Q&amp;","&amp;Q&amp;$C$2&amp;Q&amp;":"&amp;Q&amp;$C1607&amp;Q&amp;","&amp;Q&amp;"sets"&amp;Q&amp;":"&amp;Q&amp;substitute(SUBSTITUTE($H1607,"[",""),"]","")&amp;Q&amp;"},"</f>
        <v>"gxe{":{"label":"The Green Bay Packers","extra":"Twelve time National Football League world champions, beloved by “Cheeseheads” everywhere. Are those brats done yet?","sets":"Basic Set, Party Set"},</v>
      </c>
      <c r="E1607" s="9" t="str">
        <f t="shared" si="2"/>
        <v>data:image/svg+xml,%3csvg xmlns='http://www.w3.org/2000/svg' viewBox='0 0 24 216'%3e%3ctext fill='%23fff' style='font: 900 16px sans-serif' text-anchor='end' transform='matrix(0 -1 1 0 18 5)'%3eThe Green Bay Packers%3c/text%3e%3c/svg%3e</v>
      </c>
      <c r="F1607" s="14" t="str">
        <f t="shared" si="3"/>
        <v>https://svgtext.heliohost.us/cgi-bin/gen.perl?text=The%20Green%20Bay%20Packers</v>
      </c>
      <c r="G1607" s="11" t="str">
        <f t="shared" si="4"/>
        <v>data:image/svg+xml,%3csvg xmlns='http://www.w3.org/2000/svg' viewBox='0 0 24 216'%3e%3ctext fill='%23fff' style='font: 900 16px sans-serif' text-anchor='end' transform='matrix(0 -1 1 0 18 5)'%3eThe Green Bay Packers%3c/text%3e%3c/svg%3e</v>
      </c>
      <c r="H1607" s="8" t="s">
        <v>29</v>
      </c>
      <c r="I1607" s="8">
        <f t="shared" ref="I1607:J1607" si="1608">len(B1607)</f>
        <v>21</v>
      </c>
      <c r="J1607" s="8">
        <f t="shared" si="1608"/>
        <v>116</v>
      </c>
      <c r="K1607" s="8" t="s">
        <v>6471</v>
      </c>
    </row>
    <row r="1608">
      <c r="A1608" s="7" t="b">
        <v>0</v>
      </c>
      <c r="B1608" s="8" t="s">
        <v>6472</v>
      </c>
      <c r="C1608" s="7" t="s">
        <v>6473</v>
      </c>
      <c r="D1608" s="8" t="str">
        <f>Q&amp;$K1608&amp;Q&amp;":{"&amp;Q&amp;$B$2&amp;Q&amp;":"&amp;Q&amp;$B1608&amp;Q&amp;","&amp;Q&amp;$C$2&amp;Q&amp;":"&amp;Q&amp;$C1608&amp;Q&amp;","&amp;Q&amp;"sets"&amp;Q&amp;":"&amp;Q&amp;substitute(SUBSTITUTE($H1608,"[",""),"]","")&amp;Q&amp;"},"</f>
        <v>"cozo":{"label":"The Gulf War","extra":"JanuaryFebruary, 1991. This six week conflict with Iraq was also known as “Desert Storm.”","sets":"Basic Set, Party Set"},</v>
      </c>
      <c r="E1608" s="9" t="str">
        <f t="shared" si="2"/>
        <v>data:image/svg+xml,%3csvg xmlns='http://www.w3.org/2000/svg' viewBox='0 0 24 216'%3e%3ctext fill='%23fff' style='font: 900 16px sans-serif' text-anchor='end' transform='matrix(0 -1 1 0 18 5)'%3eThe Gulf War%3c/text%3e%3c/svg%3e</v>
      </c>
      <c r="F1608" s="14" t="str">
        <f t="shared" si="3"/>
        <v>https://svgtext.heliohost.us/cgi-bin/gen.perl?text=The%20Gulf%20War</v>
      </c>
      <c r="G1608" s="11" t="str">
        <f t="shared" si="4"/>
        <v>data:image/svg+xml,%3csvg xmlns='http://www.w3.org/2000/svg' viewBox='0 0 24 216'%3e%3ctext fill='%23fff' style='font: 900 16px sans-serif' text-anchor='end' transform='matrix(0 -1 1 0 18 5)'%3eThe Gulf War%3c/text%3e%3c/svg%3e</v>
      </c>
      <c r="H1608" s="8" t="s">
        <v>29</v>
      </c>
      <c r="I1608" s="8">
        <f t="shared" ref="I1608:J1608" si="1609">len(B1608)</f>
        <v>12</v>
      </c>
      <c r="J1608" s="8">
        <f t="shared" si="1609"/>
        <v>89</v>
      </c>
      <c r="K1608" s="8" t="s">
        <v>6474</v>
      </c>
    </row>
    <row r="1609">
      <c r="A1609" s="7" t="b">
        <v>1</v>
      </c>
      <c r="B1609" s="8" t="s">
        <v>6475</v>
      </c>
      <c r="C1609" s="7" t="s">
        <v>6476</v>
      </c>
      <c r="D1609" s="8" t="str">
        <f>Q&amp;$K1609&amp;Q&amp;":{"&amp;Q&amp;$B$2&amp;Q&amp;":"&amp;Q&amp;$B1609&amp;Q&amp;","&amp;Q&amp;$C$2&amp;Q&amp;":"&amp;Q&amp;$C1609&amp;Q&amp;","&amp;Q&amp;"sets"&amp;Q&amp;":"&amp;Q&amp;substitute(SUBSTITUTE($H1609,"[",""),"]","")&amp;Q&amp;"},"</f>
        <v>"legg":{"label":"The Ice Age","extra":"Polarity analysis of deep-sea sediment suggests the Pleistocene age began more than 1.8 million years ago. Bla-bla-bla.","sets":"Expansion Set 3, Party Expansion 1"},</v>
      </c>
      <c r="E1609" s="9" t="str">
        <f t="shared" si="2"/>
        <v>data:image/svg+xml,%3csvg xmlns='http://www.w3.org/2000/svg' viewBox='0 0 24 216'%3e%3ctext fill='%23fff' style='font: 900 16px sans-serif' text-anchor='end' transform='matrix(0 -1 1 0 18 5)'%3eThe Ice Age%3c/text%3e%3c/svg%3e</v>
      </c>
      <c r="F1609" s="14" t="str">
        <f t="shared" si="3"/>
        <v>https://svgtext.heliohost.us/cgi-bin/gen.perl?text=The%20Ice%20Age</v>
      </c>
      <c r="G1609" s="11" t="str">
        <f t="shared" si="4"/>
        <v>data:image/svg+xml,%3csvg xmlns='http://www.w3.org/2000/svg' viewBox='0 0 24 216'%3e%3ctext fill='%23fff' style='font: 900 16px sans-serif' text-anchor='end' transform='matrix(0 -1 1 0 18 5)'%3eThe Ice Age%3c/text%3e%3c/svg%3e</v>
      </c>
      <c r="H1609" s="8" t="s">
        <v>39</v>
      </c>
      <c r="I1609" s="8">
        <f t="shared" ref="I1609:J1609" si="1610">len(B1609)</f>
        <v>11</v>
      </c>
      <c r="J1609" s="8">
        <f t="shared" si="1610"/>
        <v>119</v>
      </c>
      <c r="K1609" s="8" t="s">
        <v>6477</v>
      </c>
    </row>
    <row r="1610">
      <c r="A1610" s="7" t="b">
        <v>0</v>
      </c>
      <c r="B1610" s="8" t="s">
        <v>6478</v>
      </c>
      <c r="C1610" s="8" t="s">
        <v>6479</v>
      </c>
      <c r="D1610" s="8" t="str">
        <f>Q&amp;$K1610&amp;Q&amp;":{"&amp;Q&amp;$B$2&amp;Q&amp;":"&amp;Q&amp;$B1610&amp;Q&amp;","&amp;Q&amp;$C$2&amp;Q&amp;":"&amp;Q&amp;$C1610&amp;Q&amp;","&amp;Q&amp;"sets"&amp;Q&amp;":"&amp;Q&amp;substitute(SUBSTITUTE($H1610,"[",""),"]","")&amp;Q&amp;"},"</f>
        <v>"mvhw":{"label":"The Indy 500","extra":"Contestants must drive the full 500 miles. Bathroom breaks ARE allowed.","sets":"Basic Set, Party Set"},</v>
      </c>
      <c r="E1610" s="9" t="str">
        <f t="shared" si="2"/>
        <v>data:image/svg+xml,%3csvg xmlns='http://www.w3.org/2000/svg' viewBox='0 0 24 216'%3e%3ctext fill='%23fff' style='font: 900 16px sans-serif' text-anchor='end' transform='matrix(0 -1 1 0 18 5)'%3eThe Indy 500%3c/text%3e%3c/svg%3e</v>
      </c>
      <c r="F1610" s="14" t="str">
        <f t="shared" si="3"/>
        <v>https://svgtext.heliohost.us/cgi-bin/gen.perl?text=The%20Indy%20500</v>
      </c>
      <c r="G1610" s="11" t="str">
        <f t="shared" si="4"/>
        <v>data:image/svg+xml,%3csvg xmlns='http://www.w3.org/2000/svg' viewBox='0 0 24 216'%3e%3ctext fill='%23fff' style='font: 900 16px sans-serif' text-anchor='end' transform='matrix(0 -1 1 0 18 5)'%3eThe Indy 500%3c/text%3e%3c/svg%3e</v>
      </c>
      <c r="H1610" s="8" t="s">
        <v>29</v>
      </c>
      <c r="I1610" s="8">
        <f t="shared" ref="I1610:J1610" si="1611">len(B1610)</f>
        <v>12</v>
      </c>
      <c r="J1610" s="8">
        <f t="shared" si="1611"/>
        <v>71</v>
      </c>
      <c r="K1610" s="8" t="s">
        <v>6480</v>
      </c>
    </row>
    <row r="1611">
      <c r="A1611" s="7" t="b">
        <v>0</v>
      </c>
      <c r="B1611" s="8" t="s">
        <v>6481</v>
      </c>
      <c r="C1611" s="7" t="s">
        <v>6482</v>
      </c>
      <c r="D1611" s="8" t="str">
        <f>Q&amp;$K1611&amp;Q&amp;":{"&amp;Q&amp;$B$2&amp;Q&amp;":"&amp;Q&amp;$B1611&amp;Q&amp;","&amp;Q&amp;$C$2&amp;Q&amp;":"&amp;Q&amp;$C1611&amp;Q&amp;","&amp;Q&amp;"sets"&amp;Q&amp;":"&amp;Q&amp;substitute(SUBSTITUTE($H1611,"[",""),"]","")&amp;Q&amp;"},"</f>
        <v>"iluo":{"label":"The Internet","extra":"Computer-based worldwide information network, and global shopping market.","sets":"Expansion Set 2, Party Set"},</v>
      </c>
      <c r="E1611" s="9" t="str">
        <f t="shared" si="2"/>
        <v>data:image/svg+xml,%3csvg xmlns='http://www.w3.org/2000/svg' viewBox='0 0 24 216'%3e%3ctext fill='%23fff' style='font: 900 16px sans-serif' text-anchor='end' transform='matrix(0 -1 1 0 18 5)'%3eThe Internet%3c/text%3e%3c/svg%3e</v>
      </c>
      <c r="F1611" s="14" t="str">
        <f t="shared" si="3"/>
        <v>https://svgtext.heliohost.us/cgi-bin/gen.perl?text=The%20Internet</v>
      </c>
      <c r="G1611" s="11" t="str">
        <f t="shared" si="4"/>
        <v>data:image/svg+xml,%3csvg xmlns='http://www.w3.org/2000/svg' viewBox='0 0 24 216'%3e%3ctext fill='%23fff' style='font: 900 16px sans-serif' text-anchor='end' transform='matrix(0 -1 1 0 18 5)'%3eThe Internet%3c/text%3e%3c/svg%3e</v>
      </c>
      <c r="H1611" s="8" t="s">
        <v>17</v>
      </c>
      <c r="I1611" s="8">
        <f t="shared" ref="I1611:J1611" si="1612">len(B1611)</f>
        <v>12</v>
      </c>
      <c r="J1611" s="8">
        <f t="shared" si="1612"/>
        <v>73</v>
      </c>
      <c r="K1611" s="8" t="s">
        <v>6483</v>
      </c>
    </row>
    <row r="1612">
      <c r="A1612" s="7" t="b">
        <v>0</v>
      </c>
      <c r="B1612" s="8" t="s">
        <v>6484</v>
      </c>
      <c r="C1612" s="8" t="s">
        <v>6485</v>
      </c>
      <c r="D1612" s="8" t="str">
        <f>Q&amp;$K1612&amp;Q&amp;":{"&amp;Q&amp;$B$2&amp;Q&amp;":"&amp;Q&amp;$B1612&amp;Q&amp;","&amp;Q&amp;$C$2&amp;Q&amp;":"&amp;Q&amp;$C1612&amp;Q&amp;","&amp;Q&amp;"sets"&amp;Q&amp;":"&amp;Q&amp;substitute(SUBSTITUTE($H1612,"[",""),"]","")&amp;Q&amp;"},"</f>
        <v>"hcym":{"label":"The IRS","extra":"The Internal Revenue Service: agency of the U.S. Department of the Treasury responsible for collecting taxes. A human audity.","sets":"Expansion Set 1, Party Set"},</v>
      </c>
      <c r="E1612" s="9" t="str">
        <f t="shared" si="2"/>
        <v>data:image/svg+xml,%3csvg xmlns='http://www.w3.org/2000/svg' viewBox='0 0 24 216'%3e%3ctext fill='%23fff' style='font: 900 16px sans-serif' text-anchor='end' transform='matrix(0 -1 1 0 18 5)'%3eThe IRS%3c/text%3e%3c/svg%3e</v>
      </c>
      <c r="F1612" s="14" t="str">
        <f t="shared" si="3"/>
        <v>https://svgtext.heliohost.us/cgi-bin/gen.perl?text=The%20IRS</v>
      </c>
      <c r="G1612" s="11" t="str">
        <f t="shared" si="4"/>
        <v>data:image/svg+xml,%3csvg xmlns='http://www.w3.org/2000/svg' viewBox='0 0 24 216'%3e%3ctext fill='%23fff' style='font: 900 16px sans-serif' text-anchor='end' transform='matrix(0 -1 1 0 18 5)'%3eThe IRS%3c/text%3e%3c/svg%3e</v>
      </c>
      <c r="H1612" s="8" t="s">
        <v>25</v>
      </c>
      <c r="I1612" s="8">
        <f t="shared" ref="I1612:J1612" si="1613">len(B1612)</f>
        <v>7</v>
      </c>
      <c r="J1612" s="8">
        <f t="shared" si="1613"/>
        <v>125</v>
      </c>
      <c r="K1612" s="8" t="s">
        <v>6486</v>
      </c>
    </row>
    <row r="1613">
      <c r="A1613" s="7" t="b">
        <v>0</v>
      </c>
      <c r="B1613" s="8" t="s">
        <v>6487</v>
      </c>
      <c r="C1613" s="8" t="s">
        <v>6488</v>
      </c>
      <c r="D1613" s="8" t="str">
        <f>Q&amp;$K1613&amp;Q&amp;":{"&amp;Q&amp;$B$2&amp;Q&amp;":"&amp;Q&amp;$B1613&amp;Q&amp;","&amp;Q&amp;$C$2&amp;Q&amp;":"&amp;Q&amp;$C1613&amp;Q&amp;","&amp;Q&amp;"sets"&amp;Q&amp;":"&amp;Q&amp;substitute(SUBSTITUTE($H1613,"[",""),"]","")&amp;Q&amp;"},"</f>
        <v>"uwna":{"label":"The JFK Assassination","extra":"November 22, 1963. The funeral of President Kennedy was watched on television by millions around the world.","sets":"Basic Set, Party Set"},</v>
      </c>
      <c r="E1613" s="9" t="str">
        <f t="shared" si="2"/>
        <v>data:image/svg+xml,%3csvg xmlns='http://www.w3.org/2000/svg' viewBox='0 0 24 216'%3e%3ctext fill='%23fff' style='font: 900 16px sans-serif' text-anchor='end' transform='matrix(0 -1 1 0 18 5)'%3eThe JFK Assassination%3c/text%3e%3c/svg%3e</v>
      </c>
      <c r="F1613" s="14" t="str">
        <f t="shared" si="3"/>
        <v>https://svgtext.heliohost.us/cgi-bin/gen.perl?text=The%20JFK%20Assassination</v>
      </c>
      <c r="G1613" s="11" t="str">
        <f t="shared" si="4"/>
        <v>data:image/svg+xml,%3csvg xmlns='http://www.w3.org/2000/svg' viewBox='0 0 24 216'%3e%3ctext fill='%23fff' style='font: 900 16px sans-serif' text-anchor='end' transform='matrix(0 -1 1 0 18 5)'%3eThe JFK Assassination%3c/text%3e%3c/svg%3e</v>
      </c>
      <c r="H1613" s="8" t="s">
        <v>29</v>
      </c>
      <c r="I1613" s="8">
        <f t="shared" ref="I1613:J1613" si="1614">len(B1613)</f>
        <v>21</v>
      </c>
      <c r="J1613" s="8">
        <f t="shared" si="1614"/>
        <v>107</v>
      </c>
      <c r="K1613" s="8" t="s">
        <v>6489</v>
      </c>
    </row>
    <row r="1614">
      <c r="A1614" s="7" t="b">
        <v>1</v>
      </c>
      <c r="B1614" s="8" t="s">
        <v>6490</v>
      </c>
      <c r="C1614" s="7" t="s">
        <v>6491</v>
      </c>
      <c r="D1614" s="8" t="str">
        <f>Q&amp;$K1614&amp;Q&amp;":{"&amp;Q&amp;$B$2&amp;Q&amp;":"&amp;Q&amp;$B1614&amp;Q&amp;","&amp;Q&amp;$C$2&amp;Q&amp;":"&amp;Q&amp;$C1614&amp;Q&amp;","&amp;Q&amp;"sets"&amp;Q&amp;":"&amp;Q&amp;substitute(SUBSTITUTE($H1614,"[",""),"]","")&amp;Q&amp;"},"</f>
        <v>"myds":{"label":"The Judge","extra":"Smile when you play this card.","sets":"Expansion Set 3, Party Expansion 1"},</v>
      </c>
      <c r="E1614" s="9" t="str">
        <f t="shared" si="2"/>
        <v>data:image/svg+xml,%3csvg xmlns='http://www.w3.org/2000/svg' viewBox='0 0 24 216'%3e%3ctext fill='%23fff' style='font: 900 16px sans-serif' text-anchor='end' transform='matrix(0 -1 1 0 18 5)'%3eThe Judge%3c/text%3e%3c/svg%3e</v>
      </c>
      <c r="F1614" s="14" t="str">
        <f t="shared" si="3"/>
        <v>https://svgtext.heliohost.us/cgi-bin/gen.perl?text=The%20Judge</v>
      </c>
      <c r="G1614" s="11" t="str">
        <f t="shared" si="4"/>
        <v>data:image/svg+xml,%3csvg xmlns='http://www.w3.org/2000/svg' viewBox='0 0 24 216'%3e%3ctext fill='%23fff' style='font: 900 16px sans-serif' text-anchor='end' transform='matrix(0 -1 1 0 18 5)'%3eThe Judge%3c/text%3e%3c/svg%3e</v>
      </c>
      <c r="H1614" s="8" t="s">
        <v>39</v>
      </c>
      <c r="I1614" s="8">
        <f t="shared" ref="I1614:J1614" si="1615">len(B1614)</f>
        <v>9</v>
      </c>
      <c r="J1614" s="8">
        <f t="shared" si="1615"/>
        <v>30</v>
      </c>
      <c r="K1614" s="8" t="s">
        <v>6492</v>
      </c>
    </row>
    <row r="1615">
      <c r="A1615" s="7" t="b">
        <v>0</v>
      </c>
      <c r="B1615" s="8" t="s">
        <v>6493</v>
      </c>
      <c r="C1615" s="7" t="s">
        <v>6494</v>
      </c>
      <c r="D1615" s="8" t="str">
        <f>Q&amp;$K1615&amp;Q&amp;":{"&amp;Q&amp;$B$2&amp;Q&amp;":"&amp;Q&amp;$B1615&amp;Q&amp;","&amp;Q&amp;$C$2&amp;Q&amp;":"&amp;Q&amp;$C1615&amp;Q&amp;","&amp;Q&amp;"sets"&amp;Q&amp;":"&amp;Q&amp;substitute(SUBSTITUTE($H1615,"[",""),"]","")&amp;Q&amp;"},"</f>
        <v>"hvfr":{"label":"The KKK","extra":"IF they're supposed to be the master race, why do they keep misspelling “Clan”?","sets":"Basic Set, Party Set"},</v>
      </c>
      <c r="E1615" s="9" t="str">
        <f t="shared" si="2"/>
        <v>data:image/svg+xml,%3csvg xmlns='http://www.w3.org/2000/svg' viewBox='0 0 24 216'%3e%3ctext fill='%23fff' style='font: 900 16px sans-serif' text-anchor='end' transform='matrix(0 -1 1 0 18 5)'%3eThe KKK%3c/text%3e%3c/svg%3e</v>
      </c>
      <c r="F1615" s="14" t="str">
        <f t="shared" si="3"/>
        <v>https://svgtext.heliohost.us/cgi-bin/gen.perl?text=The%20KKK</v>
      </c>
      <c r="G1615" s="11" t="str">
        <f t="shared" si="4"/>
        <v>data:image/svg+xml,%3csvg xmlns='http://www.w3.org/2000/svg' viewBox='0 0 24 216'%3e%3ctext fill='%23fff' style='font: 900 16px sans-serif' text-anchor='end' transform='matrix(0 -1 1 0 18 5)'%3eThe KKK%3c/text%3e%3c/svg%3e</v>
      </c>
      <c r="H1615" s="8" t="s">
        <v>29</v>
      </c>
      <c r="I1615" s="8">
        <f t="shared" ref="I1615:J1615" si="1616">len(B1615)</f>
        <v>7</v>
      </c>
      <c r="J1615" s="8">
        <f t="shared" si="1616"/>
        <v>79</v>
      </c>
      <c r="K1615" s="8" t="s">
        <v>6495</v>
      </c>
    </row>
    <row r="1616">
      <c r="A1616" s="7" t="b">
        <v>0</v>
      </c>
      <c r="B1616" s="8" t="s">
        <v>6496</v>
      </c>
      <c r="C1616" s="7" t="s">
        <v>6497</v>
      </c>
      <c r="D1616" s="8" t="str">
        <f>Q&amp;$K1616&amp;Q&amp;":{"&amp;Q&amp;$B$2&amp;Q&amp;":"&amp;Q&amp;$B1616&amp;Q&amp;","&amp;Q&amp;$C$2&amp;Q&amp;":"&amp;Q&amp;$C1616&amp;Q&amp;","&amp;Q&amp;"sets"&amp;Q&amp;":"&amp;Q&amp;substitute(SUBSTITUTE($H1616,"[",""),"]","")&amp;Q&amp;"},"</f>
        <v>"ckrq":{"label":"The Land Of Oz","extra":"“Toto, I’ve a feeling we're not in Kansas anymore.” —Dorothy, “The Wizard Of Oz”","sets":"Basic Set, Party Set"},</v>
      </c>
      <c r="E1616" s="9" t="str">
        <f t="shared" si="2"/>
        <v>data:image/svg+xml,%3csvg xmlns='http://www.w3.org/2000/svg' viewBox='0 0 24 216'%3e%3ctext fill='%23fff' style='font: 900 16px sans-serif' text-anchor='end' transform='matrix(0 -1 1 0 18 5)'%3eThe Land Of Oz%3c/text%3e%3c/svg%3e</v>
      </c>
      <c r="F1616" s="14" t="str">
        <f t="shared" si="3"/>
        <v>https://svgtext.heliohost.us/cgi-bin/gen.perl?text=The%20Land%20Of%20Oz</v>
      </c>
      <c r="G1616" s="11" t="str">
        <f t="shared" si="4"/>
        <v>data:image/svg+xml,%3csvg xmlns='http://www.w3.org/2000/svg' viewBox='0 0 24 216'%3e%3ctext fill='%23fff' style='font: 900 16px sans-serif' text-anchor='end' transform='matrix(0 -1 1 0 18 5)'%3eThe Land Of Oz%3c/text%3e%3c/svg%3e</v>
      </c>
      <c r="H1616" s="8" t="s">
        <v>29</v>
      </c>
      <c r="I1616" s="8">
        <f t="shared" ref="I1616:J1616" si="1617">len(B1616)</f>
        <v>14</v>
      </c>
      <c r="J1616" s="8">
        <f t="shared" si="1617"/>
        <v>80</v>
      </c>
      <c r="K1616" s="8" t="s">
        <v>6498</v>
      </c>
    </row>
    <row r="1617">
      <c r="A1617" s="7" t="b">
        <v>1</v>
      </c>
      <c r="B1617" s="8" t="s">
        <v>6499</v>
      </c>
      <c r="C1617" s="8" t="s">
        <v>6500</v>
      </c>
      <c r="D1617" s="8" t="str">
        <f>Q&amp;$K1617&amp;Q&amp;":{"&amp;Q&amp;$B$2&amp;Q&amp;":"&amp;Q&amp;$B1617&amp;Q&amp;","&amp;Q&amp;$C$2&amp;Q&amp;":"&amp;Q&amp;$C1617&amp;Q&amp;","&amp;Q&amp;"sets"&amp;Q&amp;":"&amp;Q&amp;substitute(SUBSTITUTE($H1617,"[",""),"]","")&amp;Q&amp;"},"</f>
        <v>"fgax":{"label":"The Last Day Of School","extra":"Almost as good as a birthday!","sets":"Junior 9+ (1st) &amp; (2nd)"},</v>
      </c>
      <c r="E1617" s="9" t="str">
        <f t="shared" si="2"/>
        <v>data:image/svg+xml,%3csvg xmlns='http://www.w3.org/2000/svg' viewBox='0 0 24 216'%3e%3ctext fill='%23fff' style='font: 900 16px sans-serif' text-anchor='end' transform='matrix(0 -1 1 0 18 5)'%3eThe Last Day Of School%3c/text%3e%3c/svg%3e</v>
      </c>
      <c r="F1617" s="14" t="str">
        <f t="shared" si="3"/>
        <v>https://svgtext.heliohost.us/cgi-bin/gen.perl?text=The%20Last%20Day%20Of%20School</v>
      </c>
      <c r="G1617" s="11" t="str">
        <f t="shared" si="4"/>
        <v>data:image/svg+xml,%3csvg xmlns='http://www.w3.org/2000/svg' viewBox='0 0 24 216'%3e%3ctext fill='%23fff' style='font: 900 16px sans-serif' text-anchor='end' transform='matrix(0 -1 1 0 18 5)'%3eThe Last Day Of School%3c/text%3e%3c/svg%3e</v>
      </c>
      <c r="H1617" s="8" t="s">
        <v>42</v>
      </c>
      <c r="I1617" s="8">
        <f t="shared" ref="I1617:J1617" si="1618">len(B1617)</f>
        <v>22</v>
      </c>
      <c r="J1617" s="8">
        <f t="shared" si="1618"/>
        <v>29</v>
      </c>
      <c r="K1617" s="8" t="s">
        <v>6501</v>
      </c>
    </row>
    <row r="1618">
      <c r="A1618" s="7" t="b">
        <v>1</v>
      </c>
      <c r="B1618" s="8" t="s">
        <v>6502</v>
      </c>
      <c r="C1618" s="8" t="s">
        <v>6503</v>
      </c>
      <c r="D1618" s="8" t="str">
        <f>Q&amp;$K1618&amp;Q&amp;":{"&amp;Q&amp;$B$2&amp;Q&amp;":"&amp;Q&amp;$B1618&amp;Q&amp;","&amp;Q&amp;$C$2&amp;Q&amp;":"&amp;Q&amp;$C1618&amp;Q&amp;","&amp;Q&amp;"sets"&amp;Q&amp;":"&amp;Q&amp;substitute(SUBSTITUTE($H1618,"[",""),"]","")&amp;Q&amp;"},"</f>
        <v>"lgbw":{"label":"The Library","extra":"Books, magazines, newspapers, tapes, and computers. SHHHH!","sets":"Junior 9+ (1st) &amp; (2nd)"},</v>
      </c>
      <c r="E1618" s="9" t="str">
        <f t="shared" si="2"/>
        <v>data:image/svg+xml,%3csvg xmlns='http://www.w3.org/2000/svg' viewBox='0 0 24 216'%3e%3ctext fill='%23fff' style='font: 900 16px sans-serif' text-anchor='end' transform='matrix(0 -1 1 0 18 5)'%3eThe Library%3c/text%3e%3c/svg%3e</v>
      </c>
      <c r="F1618" s="14" t="str">
        <f t="shared" si="3"/>
        <v>https://svgtext.heliohost.us/cgi-bin/gen.perl?text=The%20Library</v>
      </c>
      <c r="G1618" s="11" t="str">
        <f t="shared" si="4"/>
        <v>data:image/svg+xml,%3csvg xmlns='http://www.w3.org/2000/svg' viewBox='0 0 24 216'%3e%3ctext fill='%23fff' style='font: 900 16px sans-serif' text-anchor='end' transform='matrix(0 -1 1 0 18 5)'%3eThe Library%3c/text%3e%3c/svg%3e</v>
      </c>
      <c r="H1618" s="8" t="s">
        <v>42</v>
      </c>
      <c r="I1618" s="8">
        <f t="shared" ref="I1618:J1618" si="1619">len(B1618)</f>
        <v>11</v>
      </c>
      <c r="J1618" s="8">
        <f t="shared" si="1619"/>
        <v>58</v>
      </c>
      <c r="K1618" s="8" t="s">
        <v>6504</v>
      </c>
    </row>
    <row r="1619">
      <c r="A1619" s="7" t="b">
        <v>0</v>
      </c>
      <c r="B1619" s="8" t="s">
        <v>6505</v>
      </c>
      <c r="C1619" s="8" t="s">
        <v>6506</v>
      </c>
      <c r="D1619" s="8" t="str">
        <f>Q&amp;$K1619&amp;Q&amp;":{"&amp;Q&amp;$B$2&amp;Q&amp;":"&amp;Q&amp;$B1619&amp;Q&amp;","&amp;Q&amp;$C$2&amp;Q&amp;":"&amp;Q&amp;$C1619&amp;Q&amp;","&amp;Q&amp;"sets"&amp;Q&amp;":"&amp;Q&amp;substitute(SUBSTITUTE($H1619,"[",""),"]","")&amp;Q&amp;"},"</f>
        <v>"dvtk":{"label":"The Little Mermaid","extra":"The 1837 story by Hans Christian Anderson or the 1989 animated film by Disney. Guess which made more money?","sets":"Expansion Set 1, Party Set"},</v>
      </c>
      <c r="E1619" s="9" t="str">
        <f t="shared" si="2"/>
        <v>data:image/svg+xml,%3csvg xmlns='http://www.w3.org/2000/svg' viewBox='0 0 24 216'%3e%3ctext fill='%23fff' style='font: 900 16px sans-serif' text-anchor='end' transform='matrix(0 -1 1 0 18 5)'%3eThe Little Mermaid%3c/text%3e%3c/svg%3e</v>
      </c>
      <c r="F1619" s="14" t="str">
        <f t="shared" si="3"/>
        <v>https://svgtext.heliohost.us/cgi-bin/gen.perl?text=The%20Little%20Mermaid</v>
      </c>
      <c r="G1619" s="11" t="str">
        <f t="shared" si="4"/>
        <v>data:image/svg+xml,%3csvg xmlns='http://www.w3.org/2000/svg' viewBox='0 0 24 216'%3e%3ctext fill='%23fff' style='font: 900 16px sans-serif' text-anchor='end' transform='matrix(0 -1 1 0 18 5)'%3eThe Little Mermaid%3c/text%3e%3c/svg%3e</v>
      </c>
      <c r="H1619" s="8" t="s">
        <v>25</v>
      </c>
      <c r="I1619" s="8">
        <f t="shared" ref="I1619:J1619" si="1620">len(B1619)</f>
        <v>18</v>
      </c>
      <c r="J1619" s="8">
        <f t="shared" si="1620"/>
        <v>107</v>
      </c>
      <c r="K1619" s="8" t="s">
        <v>6507</v>
      </c>
    </row>
    <row r="1620">
      <c r="A1620" s="7" t="b">
        <v>1</v>
      </c>
      <c r="B1620" s="8" t="s">
        <v>6505</v>
      </c>
      <c r="C1620" s="8" t="s">
        <v>6508</v>
      </c>
      <c r="D1620" s="8" t="str">
        <f>Q&amp;$K1620&amp;Q&amp;":{"&amp;Q&amp;$B$2&amp;Q&amp;":"&amp;Q&amp;$B1620&amp;Q&amp;","&amp;Q&amp;$C$2&amp;Q&amp;":"&amp;Q&amp;$C1620&amp;Q&amp;","&amp;Q&amp;"sets"&amp;Q&amp;":"&amp;Q&amp;substitute(SUBSTITUTE($H1620,"[",""),"]","")&amp;Q&amp;"},"</f>
        <v>"ynhg":{"label":"The Little Mermaid","extra":"A character in a folktale who gave up her home under the sea so that she could live on land.","sets":"Junior"},</v>
      </c>
      <c r="E1620" s="9" t="str">
        <f t="shared" si="2"/>
        <v>data:image/svg+xml,%3csvg xmlns='http://www.w3.org/2000/svg' viewBox='0 0 24 216'%3e%3ctext fill='%23fff' style='font: 900 16px sans-serif' text-anchor='end' transform='matrix(0 -1 1 0 18 5)'%3eThe Little Mermaid%3c/text%3e%3c/svg%3e</v>
      </c>
      <c r="F1620" s="14" t="str">
        <f t="shared" si="3"/>
        <v>https://svgtext.heliohost.us/cgi-bin/gen.perl?text=The%20Little%20Mermaid</v>
      </c>
      <c r="G1620" s="11" t="str">
        <f t="shared" si="4"/>
        <v>data:image/svg+xml,%3csvg xmlns='http://www.w3.org/2000/svg' viewBox='0 0 24 216'%3e%3ctext fill='%23fff' style='font: 900 16px sans-serif' text-anchor='end' transform='matrix(0 -1 1 0 18 5)'%3eThe Little Mermaid%3c/text%3e%3c/svg%3e</v>
      </c>
      <c r="H1620" s="8" t="s">
        <v>84</v>
      </c>
      <c r="I1620" s="8">
        <f t="shared" ref="I1620:J1620" si="1621">len(B1620)</f>
        <v>18</v>
      </c>
      <c r="J1620" s="8">
        <f t="shared" si="1621"/>
        <v>92</v>
      </c>
      <c r="K1620" s="8" t="s">
        <v>6509</v>
      </c>
    </row>
    <row r="1621">
      <c r="A1621" s="7" t="b">
        <v>1</v>
      </c>
      <c r="B1621" s="8" t="s">
        <v>6510</v>
      </c>
      <c r="C1621" s="8" t="s">
        <v>6511</v>
      </c>
      <c r="D1621" s="8" t="str">
        <f>Q&amp;$K1621&amp;Q&amp;":{"&amp;Q&amp;$B$2&amp;Q&amp;":"&amp;Q&amp;$B1621&amp;Q&amp;","&amp;Q&amp;$C$2&amp;Q&amp;":"&amp;Q&amp;$C1621&amp;Q&amp;","&amp;Q&amp;"sets"&amp;Q&amp;":"&amp;Q&amp;substitute(SUBSTITUTE($H1621,"[",""),"]","")&amp;Q&amp;"},"</f>
        <v>"o{{y":{"label":"The Lunchroom","extra":"What's for lunch?","sets":"Junior 9+ (2nd)"},</v>
      </c>
      <c r="E1621" s="9" t="str">
        <f t="shared" si="2"/>
        <v>data:image/svg+xml,%3csvg xmlns='http://www.w3.org/2000/svg' viewBox='0 0 24 216'%3e%3ctext fill='%23fff' style='font: 900 16px sans-serif' text-anchor='end' transform='matrix(0 -1 1 0 18 5)'%3eThe Lunchroom%3c/text%3e%3c/svg%3e</v>
      </c>
      <c r="F1621" s="14" t="str">
        <f t="shared" si="3"/>
        <v>https://svgtext.heliohost.us/cgi-bin/gen.perl?text=The%20Lunchroom</v>
      </c>
      <c r="G1621" s="11" t="str">
        <f t="shared" si="4"/>
        <v>data:image/svg+xml,%3csvg xmlns='http://www.w3.org/2000/svg' viewBox='0 0 24 216'%3e%3ctext fill='%23fff' style='font: 900 16px sans-serif' text-anchor='end' transform='matrix(0 -1 1 0 18 5)'%3eThe Lunchroom%3c/text%3e%3c/svg%3e</v>
      </c>
      <c r="H1621" s="8" t="s">
        <v>32</v>
      </c>
      <c r="I1621" s="8">
        <f t="shared" ref="I1621:J1621" si="1622">len(B1621)</f>
        <v>13</v>
      </c>
      <c r="J1621" s="8">
        <f t="shared" si="1622"/>
        <v>17</v>
      </c>
      <c r="K1621" s="8" t="s">
        <v>6512</v>
      </c>
    </row>
    <row r="1622">
      <c r="A1622" s="7" t="b">
        <v>0</v>
      </c>
      <c r="B1622" s="8" t="s">
        <v>6513</v>
      </c>
      <c r="C1622" s="8" t="s">
        <v>6514</v>
      </c>
      <c r="D1622" s="8" t="str">
        <f>Q&amp;$K1622&amp;Q&amp;":{"&amp;Q&amp;$B$2&amp;Q&amp;":"&amp;Q&amp;$B1622&amp;Q&amp;","&amp;Q&amp;$C$2&amp;Q&amp;":"&amp;Q&amp;$C1622&amp;Q&amp;","&amp;Q&amp;"sets"&amp;Q&amp;":"&amp;Q&amp;substitute(SUBSTITUTE($H1622,"[",""),"]","")&amp;Q&amp;"},"</f>
        <v>"jhte":{"label":"The Mafia","extra":"A loose association of criminal groups, bound by a blood oath and sworn to secrecy. Of course, now we have to kill you.","sets":"Basic Set, Party Set"},</v>
      </c>
      <c r="E1622" s="9" t="str">
        <f t="shared" si="2"/>
        <v>data:image/svg+xml,%3csvg xmlns='http://www.w3.org/2000/svg' viewBox='0 0 24 216'%3e%3ctext fill='%23fff' style='font: 900 16px sans-serif' text-anchor='end' transform='matrix(0 -1 1 0 18 5)'%3eThe Mafia%3c/text%3e%3c/svg%3e</v>
      </c>
      <c r="F1622" s="14" t="str">
        <f t="shared" si="3"/>
        <v>https://svgtext.heliohost.us/cgi-bin/gen.perl?text=The%20Mafia</v>
      </c>
      <c r="G1622" s="11" t="str">
        <f t="shared" si="4"/>
        <v>data:image/svg+xml,%3csvg xmlns='http://www.w3.org/2000/svg' viewBox='0 0 24 216'%3e%3ctext fill='%23fff' style='font: 900 16px sans-serif' text-anchor='end' transform='matrix(0 -1 1 0 18 5)'%3eThe Mafia%3c/text%3e%3c/svg%3e</v>
      </c>
      <c r="H1622" s="8" t="s">
        <v>29</v>
      </c>
      <c r="I1622" s="8">
        <f t="shared" ref="I1622:J1622" si="1623">len(B1622)</f>
        <v>9</v>
      </c>
      <c r="J1622" s="8">
        <f t="shared" si="1623"/>
        <v>119</v>
      </c>
      <c r="K1622" s="8" t="s">
        <v>6515</v>
      </c>
    </row>
    <row r="1623">
      <c r="A1623" s="7" t="b">
        <v>1</v>
      </c>
      <c r="B1623" s="8" t="s">
        <v>6516</v>
      </c>
      <c r="C1623" s="8" t="s">
        <v>6517</v>
      </c>
      <c r="D1623" s="8" t="str">
        <f>Q&amp;$K1623&amp;Q&amp;":{"&amp;Q&amp;$B$2&amp;Q&amp;":"&amp;Q&amp;$B1623&amp;Q&amp;","&amp;Q&amp;$C$2&amp;Q&amp;":"&amp;Q&amp;$C1623&amp;Q&amp;","&amp;Q&amp;"sets"&amp;Q&amp;":"&amp;Q&amp;substitute(SUBSTITUTE($H1623,"[",""),"]","")&amp;Q&amp;"},"</f>
        <v>"hmoe":{"label":"The Mall","extra":"Great place to shop and meet friends.","sets":"Junior 9+ (1st) &amp; (2nd)"},</v>
      </c>
      <c r="E1623" s="9" t="str">
        <f t="shared" si="2"/>
        <v>data:image/svg+xml,%3csvg xmlns='http://www.w3.org/2000/svg' viewBox='0 0 24 216'%3e%3ctext fill='%23fff' style='font: 900 16px sans-serif' text-anchor='end' transform='matrix(0 -1 1 0 18 5)'%3eThe Mall%3c/text%3e%3c/svg%3e</v>
      </c>
      <c r="F1623" s="14" t="str">
        <f t="shared" si="3"/>
        <v>https://svgtext.heliohost.us/cgi-bin/gen.perl?text=The%20Mall</v>
      </c>
      <c r="G1623" s="11" t="str">
        <f t="shared" si="4"/>
        <v>data:image/svg+xml,%3csvg xmlns='http://www.w3.org/2000/svg' viewBox='0 0 24 216'%3e%3ctext fill='%23fff' style='font: 900 16px sans-serif' text-anchor='end' transform='matrix(0 -1 1 0 18 5)'%3eThe Mall%3c/text%3e%3c/svg%3e</v>
      </c>
      <c r="H1623" s="8" t="s">
        <v>42</v>
      </c>
      <c r="I1623" s="8">
        <f t="shared" ref="I1623:J1623" si="1624">len(B1623)</f>
        <v>8</v>
      </c>
      <c r="J1623" s="8">
        <f t="shared" si="1624"/>
        <v>37</v>
      </c>
      <c r="K1623" s="8" t="s">
        <v>6518</v>
      </c>
    </row>
    <row r="1624">
      <c r="A1624" s="7" t="b">
        <v>0</v>
      </c>
      <c r="B1624" s="8" t="s">
        <v>6519</v>
      </c>
      <c r="C1624" s="8" t="s">
        <v>6520</v>
      </c>
      <c r="D1624" s="8" t="str">
        <f>Q&amp;$K1624&amp;Q&amp;":{"&amp;Q&amp;$B$2&amp;Q&amp;":"&amp;Q&amp;$B1624&amp;Q&amp;","&amp;Q&amp;$C$2&amp;Q&amp;":"&amp;Q&amp;$C1624&amp;Q&amp;","&amp;Q&amp;"sets"&amp;Q&amp;":"&amp;Q&amp;substitute(SUBSTITUTE($H1624,"[",""),"]","")&amp;Q&amp;"},"</f>
        <v>"wkqp":{"label":"The Marx Brothers","extra":"Chico, Groucho, Harpo, amd sometimes Zeppo. Their 1930s films include Duck Soup and Animal Crackers.","sets":"Basic Set, Party Set"},</v>
      </c>
      <c r="E1624" s="9" t="str">
        <f t="shared" si="2"/>
        <v>data:image/svg+xml,%3csvg xmlns='http://www.w3.org/2000/svg' viewBox='0 0 24 216'%3e%3ctext fill='%23fff' style='font: 900 16px sans-serif' text-anchor='end' transform='matrix(0 -1 1 0 18 5)'%3eThe Marx Brothers%3c/text%3e%3c/svg%3e</v>
      </c>
      <c r="F1624" s="14" t="str">
        <f t="shared" si="3"/>
        <v>https://svgtext.heliohost.us/cgi-bin/gen.perl?text=The%20Marx%20Brothers</v>
      </c>
      <c r="G1624" s="11" t="str">
        <f t="shared" si="4"/>
        <v>data:image/svg+xml,%3csvg xmlns='http://www.w3.org/2000/svg' viewBox='0 0 24 216'%3e%3ctext fill='%23fff' style='font: 900 16px sans-serif' text-anchor='end' transform='matrix(0 -1 1 0 18 5)'%3eThe Marx Brothers%3c/text%3e%3c/svg%3e</v>
      </c>
      <c r="H1624" s="8" t="s">
        <v>29</v>
      </c>
      <c r="I1624" s="8">
        <f t="shared" ref="I1624:J1624" si="1625">len(B1624)</f>
        <v>17</v>
      </c>
      <c r="J1624" s="8">
        <f t="shared" si="1625"/>
        <v>100</v>
      </c>
      <c r="K1624" s="8" t="s">
        <v>6521</v>
      </c>
    </row>
    <row r="1625">
      <c r="A1625" s="7" t="b">
        <v>0</v>
      </c>
      <c r="B1625" s="8" t="s">
        <v>6522</v>
      </c>
      <c r="C1625" s="8" t="s">
        <v>6523</v>
      </c>
      <c r="D1625" s="8" t="str">
        <f>Q&amp;$K1625&amp;Q&amp;":{"&amp;Q&amp;$B$2&amp;Q&amp;":"&amp;Q&amp;$B1625&amp;Q&amp;","&amp;Q&amp;$C$2&amp;Q&amp;":"&amp;Q&amp;$C1625&amp;Q&amp;","&amp;Q&amp;"sets"&amp;Q&amp;":"&amp;Q&amp;substitute(SUBSTITUTE($H1625,"[",""),"]","")&amp;Q&amp;"},"</f>
        <v>"dze{":{"label":"The Metric System","extra":"No, thank you. We like our inches and feet!","sets":"Expansion Set 1, Party Set"},</v>
      </c>
      <c r="E1625" s="9" t="str">
        <f t="shared" si="2"/>
        <v>data:image/svg+xml,%3csvg xmlns='http://www.w3.org/2000/svg' viewBox='0 0 24 216'%3e%3ctext fill='%23fff' style='font: 900 16px sans-serif' text-anchor='end' transform='matrix(0 -1 1 0 18 5)'%3eThe Metric System%3c/text%3e%3c/svg%3e</v>
      </c>
      <c r="F1625" s="14" t="str">
        <f t="shared" si="3"/>
        <v>https://svgtext.heliohost.us/cgi-bin/gen.perl?text=The%20Metric%20System</v>
      </c>
      <c r="G1625" s="11" t="str">
        <f t="shared" si="4"/>
        <v>data:image/svg+xml,%3csvg xmlns='http://www.w3.org/2000/svg' viewBox='0 0 24 216'%3e%3ctext fill='%23fff' style='font: 900 16px sans-serif' text-anchor='end' transform='matrix(0 -1 1 0 18 5)'%3eThe Metric System%3c/text%3e%3c/svg%3e</v>
      </c>
      <c r="H1625" s="8" t="s">
        <v>25</v>
      </c>
      <c r="I1625" s="8">
        <f t="shared" ref="I1625:J1625" si="1626">len(B1625)</f>
        <v>17</v>
      </c>
      <c r="J1625" s="8">
        <f t="shared" si="1626"/>
        <v>43</v>
      </c>
      <c r="K1625" s="8" t="s">
        <v>6524</v>
      </c>
    </row>
    <row r="1626">
      <c r="A1626" s="7" t="b">
        <v>0</v>
      </c>
      <c r="B1626" s="8" t="s">
        <v>6525</v>
      </c>
      <c r="C1626" s="7" t="s">
        <v>6526</v>
      </c>
      <c r="D1626" s="8" t="str">
        <f>Q&amp;$K1626&amp;Q&amp;":{"&amp;Q&amp;$B$2&amp;Q&amp;":"&amp;Q&amp;$B1626&amp;Q&amp;","&amp;Q&amp;$C$2&amp;Q&amp;":"&amp;Q&amp;$C1626&amp;Q&amp;","&amp;Q&amp;"sets"&amp;Q&amp;":"&amp;Q&amp;substitute(SUBSTITUTE($H1626,"[",""),"]","")&amp;Q&amp;"},"</f>
        <v>"gvmh":{"label":"The Midwest","extra":"America’s central plains states. They’re not like folks ’round here…","sets":"Basic Set, Party Set"},</v>
      </c>
      <c r="E1626" s="9" t="str">
        <f t="shared" si="2"/>
        <v>data:image/svg+xml,%3csvg xmlns='http://www.w3.org/2000/svg' viewBox='0 0 24 216'%3e%3ctext fill='%23fff' style='font: 900 16px sans-serif' text-anchor='end' transform='matrix(0 -1 1 0 18 5)'%3eThe Midwest%3c/text%3e%3c/svg%3e</v>
      </c>
      <c r="F1626" s="14" t="str">
        <f t="shared" si="3"/>
        <v>https://svgtext.heliohost.us/cgi-bin/gen.perl?text=The%20Midwest</v>
      </c>
      <c r="G1626" s="11" t="str">
        <f t="shared" si="4"/>
        <v>data:image/svg+xml,%3csvg xmlns='http://www.w3.org/2000/svg' viewBox='0 0 24 216'%3e%3ctext fill='%23fff' style='font: 900 16px sans-serif' text-anchor='end' transform='matrix(0 -1 1 0 18 5)'%3eThe Midwest%3c/text%3e%3c/svg%3e</v>
      </c>
      <c r="H1626" s="8" t="s">
        <v>29</v>
      </c>
      <c r="I1626" s="8">
        <f t="shared" ref="I1626:J1626" si="1627">len(B1626)</f>
        <v>11</v>
      </c>
      <c r="J1626" s="8">
        <f t="shared" si="1627"/>
        <v>68</v>
      </c>
      <c r="K1626" s="8" t="s">
        <v>6527</v>
      </c>
    </row>
    <row r="1627">
      <c r="A1627" s="7" t="b">
        <v>0</v>
      </c>
      <c r="B1627" s="8" t="s">
        <v>6528</v>
      </c>
      <c r="C1627" s="8" t="s">
        <v>6529</v>
      </c>
      <c r="D1627" s="8" t="str">
        <f>Q&amp;$K1627&amp;Q&amp;":{"&amp;Q&amp;$B$2&amp;Q&amp;":"&amp;Q&amp;$B1627&amp;Q&amp;","&amp;Q&amp;$C$2&amp;Q&amp;":"&amp;Q&amp;$C1627&amp;Q&amp;","&amp;Q&amp;"sets"&amp;Q&amp;":"&amp;Q&amp;substitute(SUBSTITUTE($H1627,"[",""),"]","")&amp;Q&amp;"},"</f>
        <v>"ffai":{"label":"The Milky Way","extra":"The galaxy that includes the sun, its solar system, and a chewy layer of caramel.","sets":"Basic Set, Party Set"},</v>
      </c>
      <c r="E1627" s="9" t="str">
        <f t="shared" si="2"/>
        <v>data:image/svg+xml,%3csvg xmlns='http://www.w3.org/2000/svg' viewBox='0 0 24 216'%3e%3ctext fill='%23fff' style='font: 900 16px sans-serif' text-anchor='end' transform='matrix(0 -1 1 0 18 5)'%3eThe Milky Way%3c/text%3e%3c/svg%3e</v>
      </c>
      <c r="F1627" s="14" t="str">
        <f t="shared" si="3"/>
        <v>https://svgtext.heliohost.us/cgi-bin/gen.perl?text=The%20Milky%20Way</v>
      </c>
      <c r="G1627" s="11" t="str">
        <f t="shared" si="4"/>
        <v>data:image/svg+xml,%3csvg xmlns='http://www.w3.org/2000/svg' viewBox='0 0 24 216'%3e%3ctext fill='%23fff' style='font: 900 16px sans-serif' text-anchor='end' transform='matrix(0 -1 1 0 18 5)'%3eThe Milky Way%3c/text%3e%3c/svg%3e</v>
      </c>
      <c r="H1627" s="8" t="s">
        <v>29</v>
      </c>
      <c r="I1627" s="8">
        <f t="shared" ref="I1627:J1627" si="1628">len(B1627)</f>
        <v>13</v>
      </c>
      <c r="J1627" s="8">
        <f t="shared" si="1628"/>
        <v>81</v>
      </c>
      <c r="K1627" s="8" t="s">
        <v>6530</v>
      </c>
    </row>
    <row r="1628">
      <c r="A1628" s="7" t="b">
        <v>0</v>
      </c>
      <c r="B1628" s="8" t="s">
        <v>6531</v>
      </c>
      <c r="C1628" s="7" t="s">
        <v>6532</v>
      </c>
      <c r="D1628" s="8" t="str">
        <f>Q&amp;$K1628&amp;Q&amp;":{"&amp;Q&amp;$B$2&amp;Q&amp;":"&amp;Q&amp;$B1628&amp;Q&amp;","&amp;Q&amp;$C$2&amp;Q&amp;":"&amp;Q&amp;$C1628&amp;Q&amp;","&amp;Q&amp;"sets"&amp;Q&amp;":"&amp;Q&amp;substitute(SUBSTITUTE($H1628,"[",""),"]","")&amp;Q&amp;"},"</f>
        <v>"jlxo":{"label":"The Mississippi River","extra":"The Algonquin words “Misi sipi” mean “big river.” What's Algonquin for “muddy”?","sets":"Basic Set, Party Set"},</v>
      </c>
      <c r="E1628" s="9" t="str">
        <f t="shared" si="2"/>
        <v>data:image/svg+xml,%3csvg xmlns='http://www.w3.org/2000/svg' viewBox='0 0 24 216'%3e%3ctext fill='%23fff' style='font: 900 16px sans-serif' text-anchor='end' transform='matrix(0 -1 1 0 18 5)'%3eThe Mississippi River%3c/text%3e%3c/svg%3e</v>
      </c>
      <c r="F1628" s="14" t="str">
        <f t="shared" si="3"/>
        <v>https://svgtext.heliohost.us/cgi-bin/gen.perl?text=The%20Mississippi%20River</v>
      </c>
      <c r="G1628" s="11" t="str">
        <f t="shared" si="4"/>
        <v>data:image/svg+xml,%3csvg xmlns='http://www.w3.org/2000/svg' viewBox='0 0 24 216'%3e%3ctext fill='%23fff' style='font: 900 16px sans-serif' text-anchor='end' transform='matrix(0 -1 1 0 18 5)'%3eThe Mississippi River%3c/text%3e%3c/svg%3e</v>
      </c>
      <c r="H1628" s="8" t="s">
        <v>29</v>
      </c>
      <c r="I1628" s="8">
        <f t="shared" ref="I1628:J1628" si="1629">len(B1628)</f>
        <v>21</v>
      </c>
      <c r="J1628" s="8">
        <f t="shared" si="1629"/>
        <v>79</v>
      </c>
      <c r="K1628" s="8" t="s">
        <v>6533</v>
      </c>
    </row>
    <row r="1629">
      <c r="A1629" s="7" t="b">
        <v>1</v>
      </c>
      <c r="B1629" s="8" t="s">
        <v>6534</v>
      </c>
      <c r="C1629" s="7" t="s">
        <v>6535</v>
      </c>
      <c r="D1629" s="8" t="str">
        <f>Q&amp;$K1629&amp;Q&amp;":{"&amp;Q&amp;$B$2&amp;Q&amp;":"&amp;Q&amp;$B1629&amp;Q&amp;","&amp;Q&amp;$C$2&amp;Q&amp;":"&amp;Q&amp;$C1629&amp;Q&amp;","&amp;Q&amp;"sets"&amp;Q&amp;":"&amp;Q&amp;substitute(SUBSTITUTE($H1629,"[",""),"]","")&amp;Q&amp;"},"</f>
        <v>"yf{q":{"label":"The Moon","extra":"There’s a new moon and there’s a full moon, and sometimes there’s a man in the moon.","sets":"Junior 9+ (1st) &amp; (2nd)"},</v>
      </c>
      <c r="E1629" s="9" t="str">
        <f t="shared" si="2"/>
        <v>data:image/svg+xml,%3csvg xmlns='http://www.w3.org/2000/svg' viewBox='0 0 24 216'%3e%3ctext fill='%23fff' style='font: 900 16px sans-serif' text-anchor='end' transform='matrix(0 -1 1 0 18 5)'%3eThe Moon%3c/text%3e%3c/svg%3e</v>
      </c>
      <c r="F1629" s="14" t="str">
        <f t="shared" si="3"/>
        <v>https://svgtext.heliohost.us/cgi-bin/gen.perl?text=The%20Moon</v>
      </c>
      <c r="G1629" s="11" t="str">
        <f t="shared" si="4"/>
        <v>data:image/svg+xml,%3csvg xmlns='http://www.w3.org/2000/svg' viewBox='0 0 24 216'%3e%3ctext fill='%23fff' style='font: 900 16px sans-serif' text-anchor='end' transform='matrix(0 -1 1 0 18 5)'%3eThe Moon%3c/text%3e%3c/svg%3e</v>
      </c>
      <c r="H1629" s="8" t="s">
        <v>42</v>
      </c>
      <c r="I1629" s="8">
        <f t="shared" ref="I1629:J1629" si="1630">len(B1629)</f>
        <v>8</v>
      </c>
      <c r="J1629" s="8">
        <f t="shared" si="1630"/>
        <v>84</v>
      </c>
      <c r="K1629" s="8" t="s">
        <v>6536</v>
      </c>
    </row>
    <row r="1630">
      <c r="A1630" s="7" t="b">
        <v>1</v>
      </c>
      <c r="B1630" s="8" t="s">
        <v>6537</v>
      </c>
      <c r="C1630" s="8" t="s">
        <v>6538</v>
      </c>
      <c r="D1630" s="8" t="str">
        <f>Q&amp;$K1630&amp;Q&amp;":{"&amp;Q&amp;$B$2&amp;Q&amp;":"&amp;Q&amp;$B1630&amp;Q&amp;","&amp;Q&amp;$C$2&amp;Q&amp;":"&amp;Q&amp;$C1630&amp;Q&amp;","&amp;Q&amp;"sets"&amp;Q&amp;":"&amp;Q&amp;substitute(SUBSTITUTE($H1630,"[",""),"]","")&amp;Q&amp;"},"</f>
        <v>"ppnz":{"label":"The Mounties","extra":"The Royal Canadian Mounted Police. They always get their man.","sets":"Expansion Set 3, Party Expansion 1"},</v>
      </c>
      <c r="E1630" s="9" t="str">
        <f t="shared" si="2"/>
        <v>data:image/svg+xml,%3csvg xmlns='http://www.w3.org/2000/svg' viewBox='0 0 24 216'%3e%3ctext fill='%23fff' style='font: 900 16px sans-serif' text-anchor='end' transform='matrix(0 -1 1 0 18 5)'%3eThe Mounties%3c/text%3e%3c/svg%3e</v>
      </c>
      <c r="F1630" s="14" t="str">
        <f t="shared" si="3"/>
        <v>https://svgtext.heliohost.us/cgi-bin/gen.perl?text=The%20Mounties</v>
      </c>
      <c r="G1630" s="11" t="str">
        <f t="shared" si="4"/>
        <v>data:image/svg+xml,%3csvg xmlns='http://www.w3.org/2000/svg' viewBox='0 0 24 216'%3e%3ctext fill='%23fff' style='font: 900 16px sans-serif' text-anchor='end' transform='matrix(0 -1 1 0 18 5)'%3eThe Mounties%3c/text%3e%3c/svg%3e</v>
      </c>
      <c r="H1630" s="8" t="s">
        <v>39</v>
      </c>
      <c r="I1630" s="8">
        <f t="shared" ref="I1630:J1630" si="1631">len(B1630)</f>
        <v>12</v>
      </c>
      <c r="J1630" s="8">
        <f t="shared" si="1631"/>
        <v>61</v>
      </c>
      <c r="K1630" s="8" t="s">
        <v>6539</v>
      </c>
    </row>
    <row r="1631">
      <c r="A1631" s="7" t="b">
        <v>0</v>
      </c>
      <c r="B1631" s="8" t="s">
        <v>6540</v>
      </c>
      <c r="C1631" s="7" t="s">
        <v>6541</v>
      </c>
      <c r="D1631" s="8" t="str">
        <f>Q&amp;$K1631&amp;Q&amp;":{"&amp;Q&amp;$B$2&amp;Q&amp;":"&amp;Q&amp;$B1631&amp;Q&amp;","&amp;Q&amp;$C$2&amp;Q&amp;":"&amp;Q&amp;$C1631&amp;Q&amp;","&amp;Q&amp;"sets"&amp;Q&amp;":"&amp;Q&amp;substitute(SUBSTITUTE($H1631,"[",""),"]","")&amp;Q&amp;"},"</f>
        <v>"xdyv":{"label":"The National Enquirer","extra":"American tabloid newspaper. Inquiring minds want to know… Why the heck does this thing sell?","sets":"Expansion Set 1, Party Set"},</v>
      </c>
      <c r="E1631" s="9" t="str">
        <f t="shared" si="2"/>
        <v>data:image/svg+xml,%3csvg xmlns='http://www.w3.org/2000/svg' viewBox='0 0 24 216'%3e%3ctext fill='%23fff' style='font: 900 16px sans-serif' text-anchor='end' transform='matrix(0 -1 1 0 18 5)'%3eThe National Enquirer%3c/text%3e%3c/svg%3e</v>
      </c>
      <c r="F1631" s="14" t="str">
        <f t="shared" si="3"/>
        <v>https://svgtext.heliohost.us/cgi-bin/gen.perl?text=The%20National%20Enquirer</v>
      </c>
      <c r="G1631" s="11" t="str">
        <f t="shared" si="4"/>
        <v>data:image/svg+xml,%3csvg xmlns='http://www.w3.org/2000/svg' viewBox='0 0 24 216'%3e%3ctext fill='%23fff' style='font: 900 16px sans-serif' text-anchor='end' transform='matrix(0 -1 1 0 18 5)'%3eThe National Enquirer%3c/text%3e%3c/svg%3e</v>
      </c>
      <c r="H1631" s="8" t="s">
        <v>25</v>
      </c>
      <c r="I1631" s="8">
        <f t="shared" ref="I1631:J1631" si="1632">len(B1631)</f>
        <v>21</v>
      </c>
      <c r="J1631" s="8">
        <f t="shared" si="1632"/>
        <v>92</v>
      </c>
      <c r="K1631" s="8" t="s">
        <v>6542</v>
      </c>
    </row>
    <row r="1632">
      <c r="A1632" s="7" t="b">
        <v>0</v>
      </c>
      <c r="B1632" s="8" t="s">
        <v>6543</v>
      </c>
      <c r="C1632" s="7" t="s">
        <v>6544</v>
      </c>
      <c r="D1632" s="8" t="str">
        <f>Q&amp;$K1632&amp;Q&amp;":{"&amp;Q&amp;$B$2&amp;Q&amp;":"&amp;Q&amp;$B1632&amp;Q&amp;","&amp;Q&amp;$C$2&amp;Q&amp;":"&amp;Q&amp;$C1632&amp;Q&amp;","&amp;Q&amp;"sets"&amp;Q&amp;":"&amp;Q&amp;substitute(SUBSTITUTE($H1632,"[",""),"]","")&amp;Q&amp;"},"</f>
        <v>"ozoi":{"label":"The New York Yankees","extra":"Legendary American baseball team. With so much success, it's obvious why they’re reviled.","sets":"Basic Set, Party Set"},</v>
      </c>
      <c r="E1632" s="9" t="str">
        <f t="shared" si="2"/>
        <v>data:image/svg+xml,%3csvg xmlns='http://www.w3.org/2000/svg' viewBox='0 0 24 216'%3e%3ctext fill='%23fff' style='font: 900 16px sans-serif' text-anchor='end' transform='matrix(0 -1 1 0 18 5)'%3eThe New York Yankees%3c/text%3e%3c/svg%3e</v>
      </c>
      <c r="F1632" s="14" t="str">
        <f t="shared" si="3"/>
        <v>https://svgtext.heliohost.us/cgi-bin/gen.perl?text=The%20New%20York%20Yankees</v>
      </c>
      <c r="G1632" s="11" t="str">
        <f t="shared" si="4"/>
        <v>data:image/svg+xml,%3csvg xmlns='http://www.w3.org/2000/svg' viewBox='0 0 24 216'%3e%3ctext fill='%23fff' style='font: 900 16px sans-serif' text-anchor='end' transform='matrix(0 -1 1 0 18 5)'%3eThe New York Yankees%3c/text%3e%3c/svg%3e</v>
      </c>
      <c r="H1632" s="8" t="s">
        <v>29</v>
      </c>
      <c r="I1632" s="8">
        <f t="shared" ref="I1632:J1632" si="1633">len(B1632)</f>
        <v>20</v>
      </c>
      <c r="J1632" s="8">
        <f t="shared" si="1633"/>
        <v>89</v>
      </c>
      <c r="K1632" s="8" t="s">
        <v>6545</v>
      </c>
    </row>
    <row r="1633">
      <c r="A1633" s="7" t="b">
        <v>1</v>
      </c>
      <c r="B1633" s="8" t="s">
        <v>6546</v>
      </c>
      <c r="C1633" s="7" t="s">
        <v>6547</v>
      </c>
      <c r="D1633" s="8" t="str">
        <f>Q&amp;$K1633&amp;Q&amp;":{"&amp;Q&amp;$B$2&amp;Q&amp;":"&amp;Q&amp;$B1633&amp;Q&amp;","&amp;Q&amp;$C$2&amp;Q&amp;":"&amp;Q&amp;$C1633&amp;Q&amp;","&amp;Q&amp;"sets"&amp;Q&amp;":"&amp;Q&amp;substitute(SUBSTITUTE($H1633,"[",""),"]","")&amp;Q&amp;"},"</f>
        <v>"vdc{":{"label":"The North Pole","extra":"Things can only go south from here…","sets":"Expansion Set 3, Party Expansion 1"},</v>
      </c>
      <c r="E1633" s="9" t="str">
        <f t="shared" si="2"/>
        <v>data:image/svg+xml,%3csvg xmlns='http://www.w3.org/2000/svg' viewBox='0 0 24 216'%3e%3ctext fill='%23fff' style='font: 900 16px sans-serif' text-anchor='end' transform='matrix(0 -1 1 0 18 5)'%3eThe North Pole%3c/text%3e%3c/svg%3e</v>
      </c>
      <c r="F1633" s="14" t="str">
        <f t="shared" si="3"/>
        <v>https://svgtext.heliohost.us/cgi-bin/gen.perl?text=The%20North%20Pole</v>
      </c>
      <c r="G1633" s="11" t="str">
        <f t="shared" si="4"/>
        <v>data:image/svg+xml,%3csvg xmlns='http://www.w3.org/2000/svg' viewBox='0 0 24 216'%3e%3ctext fill='%23fff' style='font: 900 16px sans-serif' text-anchor='end' transform='matrix(0 -1 1 0 18 5)'%3eThe North Pole%3c/text%3e%3c/svg%3e</v>
      </c>
      <c r="H1633" s="8" t="s">
        <v>39</v>
      </c>
      <c r="I1633" s="8">
        <f t="shared" ref="I1633:J1633" si="1634">len(B1633)</f>
        <v>14</v>
      </c>
      <c r="J1633" s="8">
        <f t="shared" si="1634"/>
        <v>35</v>
      </c>
      <c r="K1633" s="8" t="s">
        <v>6548</v>
      </c>
    </row>
    <row r="1634">
      <c r="A1634" s="7" t="b">
        <v>0</v>
      </c>
      <c r="B1634" s="8" t="s">
        <v>6549</v>
      </c>
      <c r="C1634" s="7" t="s">
        <v>6550</v>
      </c>
      <c r="D1634" s="8" t="str">
        <f>Q&amp;$K1634&amp;Q&amp;":{"&amp;Q&amp;$B$2&amp;Q&amp;":"&amp;Q&amp;$B1634&amp;Q&amp;","&amp;Q&amp;$C$2&amp;Q&amp;":"&amp;Q&amp;$C1634&amp;Q&amp;","&amp;Q&amp;"sets"&amp;Q&amp;":"&amp;Q&amp;substitute(SUBSTITUTE($H1634,"[",""),"]","")&amp;Q&amp;"},"</f>
        <v>"yluc":{"label":"The NRA","extra":"National Rifle Association. They’re gunning for your vote.","sets":"Basic Set, Party Set"},</v>
      </c>
      <c r="E1634" s="9" t="str">
        <f t="shared" si="2"/>
        <v>data:image/svg+xml,%3csvg xmlns='http://www.w3.org/2000/svg' viewBox='0 0 24 216'%3e%3ctext fill='%23fff' style='font: 900 16px sans-serif' text-anchor='end' transform='matrix(0 -1 1 0 18 5)'%3eThe NRA%3c/text%3e%3c/svg%3e</v>
      </c>
      <c r="F1634" s="14" t="str">
        <f t="shared" si="3"/>
        <v>https://svgtext.heliohost.us/cgi-bin/gen.perl?text=The%20NRA</v>
      </c>
      <c r="G1634" s="11" t="str">
        <f t="shared" si="4"/>
        <v>data:image/svg+xml,%3csvg xmlns='http://www.w3.org/2000/svg' viewBox='0 0 24 216'%3e%3ctext fill='%23fff' style='font: 900 16px sans-serif' text-anchor='end' transform='matrix(0 -1 1 0 18 5)'%3eThe NRA%3c/text%3e%3c/svg%3e</v>
      </c>
      <c r="H1634" s="8" t="s">
        <v>29</v>
      </c>
      <c r="I1634" s="8">
        <f t="shared" ref="I1634:J1634" si="1635">len(B1634)</f>
        <v>7</v>
      </c>
      <c r="J1634" s="8">
        <f t="shared" si="1635"/>
        <v>58</v>
      </c>
      <c r="K1634" s="8" t="s">
        <v>6551</v>
      </c>
    </row>
    <row r="1635">
      <c r="A1635" s="7" t="b">
        <v>0</v>
      </c>
      <c r="B1635" s="8" t="s">
        <v>6552</v>
      </c>
      <c r="C1635" s="7" t="s">
        <v>6553</v>
      </c>
      <c r="D1635" s="8" t="str">
        <f>Q&amp;$K1635&amp;Q&amp;":{"&amp;Q&amp;$B$2&amp;Q&amp;":"&amp;Q&amp;$B1635&amp;Q&amp;","&amp;Q&amp;$C$2&amp;Q&amp;":"&amp;Q&amp;$C1635&amp;Q&amp;","&amp;Q&amp;"sets"&amp;Q&amp;":"&amp;Q&amp;substitute(SUBSTITUTE($H1635,"[",""),"]","")&amp;Q&amp;"},"</f>
        <v>"mojg":{"label":"The Ocean","extra":"How deep is the ocean? 12,000 feet. If they’d known that, maybe they wouldn’t have written that stupid song.","sets":"Basic Set, Party Set"},</v>
      </c>
      <c r="E1635" s="9" t="str">
        <f t="shared" si="2"/>
        <v>data:image/svg+xml,%3csvg xmlns='http://www.w3.org/2000/svg' viewBox='0 0 24 216'%3e%3ctext fill='%23fff' style='font: 900 16px sans-serif' text-anchor='end' transform='matrix(0 -1 1 0 18 5)'%3eThe Ocean%3c/text%3e%3c/svg%3e</v>
      </c>
      <c r="F1635" s="14" t="str">
        <f t="shared" si="3"/>
        <v>https://svgtext.heliohost.us/cgi-bin/gen.perl?text=The%20Ocean</v>
      </c>
      <c r="G1635" s="11" t="str">
        <f t="shared" si="4"/>
        <v>data:image/svg+xml,%3csvg xmlns='http://www.w3.org/2000/svg' viewBox='0 0 24 216'%3e%3ctext fill='%23fff' style='font: 900 16px sans-serif' text-anchor='end' transform='matrix(0 -1 1 0 18 5)'%3eThe Ocean%3c/text%3e%3c/svg%3e</v>
      </c>
      <c r="H1635" s="8" t="s">
        <v>29</v>
      </c>
      <c r="I1635" s="8">
        <f t="shared" ref="I1635:J1635" si="1636">len(B1635)</f>
        <v>9</v>
      </c>
      <c r="J1635" s="8">
        <f t="shared" si="1636"/>
        <v>108</v>
      </c>
      <c r="K1635" s="8" t="s">
        <v>6554</v>
      </c>
    </row>
    <row r="1636">
      <c r="A1636" s="7" t="b">
        <v>1</v>
      </c>
      <c r="B1636" s="8" t="s">
        <v>6552</v>
      </c>
      <c r="C1636" s="7" t="s">
        <v>6555</v>
      </c>
      <c r="D1636" s="8" t="str">
        <f>Q&amp;$K1636&amp;Q&amp;":{"&amp;Q&amp;$B$2&amp;Q&amp;":"&amp;Q&amp;$B1636&amp;Q&amp;","&amp;Q&amp;$C$2&amp;Q&amp;":"&amp;Q&amp;$C1636&amp;Q&amp;","&amp;Q&amp;"sets"&amp;Q&amp;":"&amp;Q&amp;substitute(SUBSTITUTE($H1636,"[",""),"]","")&amp;Q&amp;"},"</f>
        <v>"mlog":{"label":"The Ocean","extra":"Almost three-fourths of the Earth’s surface is covered by the four oceans.","sets":"Junior 9+ (1st) &amp; (2nd)"},</v>
      </c>
      <c r="E1636" s="9" t="str">
        <f t="shared" si="2"/>
        <v>data:image/svg+xml,%3csvg xmlns='http://www.w3.org/2000/svg' viewBox='0 0 24 216'%3e%3ctext fill='%23fff' style='font: 900 16px sans-serif' text-anchor='end' transform='matrix(0 -1 1 0 18 5)'%3eThe Ocean%3c/text%3e%3c/svg%3e</v>
      </c>
      <c r="F1636" s="14" t="str">
        <f t="shared" si="3"/>
        <v>https://svgtext.heliohost.us/cgi-bin/gen.perl?text=The%20Ocean</v>
      </c>
      <c r="G1636" s="11" t="str">
        <f t="shared" si="4"/>
        <v>data:image/svg+xml,%3csvg xmlns='http://www.w3.org/2000/svg' viewBox='0 0 24 216'%3e%3ctext fill='%23fff' style='font: 900 16px sans-serif' text-anchor='end' transform='matrix(0 -1 1 0 18 5)'%3eThe Ocean%3c/text%3e%3c/svg%3e</v>
      </c>
      <c r="H1636" s="8" t="s">
        <v>42</v>
      </c>
      <c r="I1636" s="8">
        <f t="shared" ref="I1636:J1636" si="1637">len(B1636)</f>
        <v>9</v>
      </c>
      <c r="J1636" s="8">
        <f t="shared" si="1637"/>
        <v>74</v>
      </c>
      <c r="K1636" s="8" t="s">
        <v>6556</v>
      </c>
    </row>
    <row r="1637">
      <c r="A1637" s="7" t="b">
        <v>0</v>
      </c>
      <c r="B1637" s="8" t="s">
        <v>6557</v>
      </c>
      <c r="C1637" s="7" t="s">
        <v>6558</v>
      </c>
      <c r="D1637" s="8" t="str">
        <f>Q&amp;$K1637&amp;Q&amp;":{"&amp;Q&amp;$B$2&amp;Q&amp;":"&amp;Q&amp;$B1637&amp;Q&amp;","&amp;Q&amp;$C$2&amp;Q&amp;":"&amp;Q&amp;$C1637&amp;Q&amp;","&amp;Q&amp;"sets"&amp;Q&amp;":"&amp;Q&amp;substitute(SUBSTITUTE($H1637,"[",""),"]","")&amp;Q&amp;"},"</f>
        <v>"gzon":{"label":"The Old Man And The Sea","extra":"Ernest Hemingway’s classic novel fishing, hunger, fishing, torment, fishing, personal loss… fishing…","sets":"Expansion Set 2, Party Set"},</v>
      </c>
      <c r="E1637" s="9" t="str">
        <f t="shared" si="2"/>
        <v>data:image/svg+xml,%3csvg xmlns='http://www.w3.org/2000/svg' viewBox='0 0 24 216'%3e%3ctext fill='%23fff' style='font: 900 16px sans-serif' text-anchor='end' transform='matrix(0 -1 1 0 18 5)'%3eThe Old Man And The Sea%3c/text%3e%3c/svg%3e</v>
      </c>
      <c r="F1637" s="14" t="str">
        <f t="shared" si="3"/>
        <v>https://svgtext.heliohost.us/cgi-bin/gen.perl?text=The%20Old%20Man%20And%20The%20Sea</v>
      </c>
      <c r="G1637" s="11" t="str">
        <f t="shared" si="4"/>
        <v>data:image/svg+xml,%3csvg xmlns='http://www.w3.org/2000/svg' viewBox='0 0 24 216'%3e%3ctext fill='%23fff' style='font: 900 16px sans-serif' text-anchor='end' transform='matrix(0 -1 1 0 18 5)'%3eThe Old Man And The Sea%3c/text%3e%3c/svg%3e</v>
      </c>
      <c r="H1637" s="8" t="s">
        <v>17</v>
      </c>
      <c r="I1637" s="8">
        <f t="shared" ref="I1637:J1637" si="1638">len(B1637)</f>
        <v>23</v>
      </c>
      <c r="J1637" s="8">
        <f t="shared" si="1638"/>
        <v>100</v>
      </c>
      <c r="K1637" s="8" t="s">
        <v>6559</v>
      </c>
    </row>
    <row r="1638">
      <c r="A1638" s="7" t="b">
        <v>0</v>
      </c>
      <c r="B1638" s="8" t="s">
        <v>6560</v>
      </c>
      <c r="C1638" s="8" t="s">
        <v>6561</v>
      </c>
      <c r="D1638" s="8" t="str">
        <f>Q&amp;$K1638&amp;Q&amp;":{"&amp;Q&amp;$B$2&amp;Q&amp;":"&amp;Q&amp;$B1638&amp;Q&amp;","&amp;Q&amp;$C$2&amp;Q&amp;":"&amp;Q&amp;$C1638&amp;Q&amp;","&amp;Q&amp;"sets"&amp;Q&amp;":"&amp;Q&amp;substitute(SUBSTITUTE($H1638,"[",""),"]","")&amp;Q&amp;"},"</f>
        <v>"gdwv":{"label":"The Olympics","extra":"An international athletic competition held every four years. The thrill of victors and the agony of defeat.","sets":"Expansion Set 1, Party Set"},</v>
      </c>
      <c r="E1638" s="9" t="str">
        <f t="shared" si="2"/>
        <v>data:image/svg+xml,%3csvg xmlns='http://www.w3.org/2000/svg' viewBox='0 0 24 216'%3e%3ctext fill='%23fff' style='font: 900 16px sans-serif' text-anchor='end' transform='matrix(0 -1 1 0 18 5)'%3eThe Olympics%3c/text%3e%3c/svg%3e</v>
      </c>
      <c r="F1638" s="14" t="str">
        <f t="shared" si="3"/>
        <v>https://svgtext.heliohost.us/cgi-bin/gen.perl?text=The%20Olympics</v>
      </c>
      <c r="G1638" s="11" t="str">
        <f t="shared" si="4"/>
        <v>data:image/svg+xml,%3csvg xmlns='http://www.w3.org/2000/svg' viewBox='0 0 24 216'%3e%3ctext fill='%23fff' style='font: 900 16px sans-serif' text-anchor='end' transform='matrix(0 -1 1 0 18 5)'%3eThe Olympics%3c/text%3e%3c/svg%3e</v>
      </c>
      <c r="H1638" s="8" t="s">
        <v>25</v>
      </c>
      <c r="I1638" s="8">
        <f t="shared" ref="I1638:J1638" si="1639">len(B1638)</f>
        <v>12</v>
      </c>
      <c r="J1638" s="8">
        <f t="shared" si="1639"/>
        <v>107</v>
      </c>
      <c r="K1638" s="8" t="s">
        <v>6562</v>
      </c>
    </row>
    <row r="1639">
      <c r="A1639" s="7" t="b">
        <v>0</v>
      </c>
      <c r="B1639" s="8" t="s">
        <v>6563</v>
      </c>
      <c r="C1639" s="7" t="s">
        <v>6564</v>
      </c>
      <c r="D1639" s="8" t="str">
        <f>Q&amp;$K1639&amp;Q&amp;":{"&amp;Q&amp;$B$2&amp;Q&amp;":"&amp;Q&amp;$B1639&amp;Q&amp;","&amp;Q&amp;$C$2&amp;Q&amp;":"&amp;Q&amp;$C1639&amp;Q&amp;","&amp;Q&amp;"sets"&amp;Q&amp;":"&amp;Q&amp;substitute(SUBSTITUTE($H1639,"[",""),"]","")&amp;Q&amp;"},"</f>
        <v>"qtjm":{"label":"The Opera","extra":"It ain’t over ’til the fat lady sings. Unfortunately, sometimes, not even then.","sets":"Basic Set, Party Set"},</v>
      </c>
      <c r="E1639" s="9" t="str">
        <f t="shared" si="2"/>
        <v>data:image/svg+xml,%3csvg xmlns='http://www.w3.org/2000/svg' viewBox='0 0 24 216'%3e%3ctext fill='%23fff' style='font: 900 16px sans-serif' text-anchor='end' transform='matrix(0 -1 1 0 18 5)'%3eThe Opera%3c/text%3e%3c/svg%3e</v>
      </c>
      <c r="F1639" s="14" t="str">
        <f t="shared" si="3"/>
        <v>https://svgtext.heliohost.us/cgi-bin/gen.perl?text=The%20Opera</v>
      </c>
      <c r="G1639" s="11" t="str">
        <f t="shared" si="4"/>
        <v>data:image/svg+xml,%3csvg xmlns='http://www.w3.org/2000/svg' viewBox='0 0 24 216'%3e%3ctext fill='%23fff' style='font: 900 16px sans-serif' text-anchor='end' transform='matrix(0 -1 1 0 18 5)'%3eThe Opera%3c/text%3e%3c/svg%3e</v>
      </c>
      <c r="H1639" s="8" t="s">
        <v>29</v>
      </c>
      <c r="I1639" s="8">
        <f t="shared" ref="I1639:J1639" si="1640">len(B1639)</f>
        <v>9</v>
      </c>
      <c r="J1639" s="8">
        <f t="shared" si="1640"/>
        <v>79</v>
      </c>
      <c r="K1639" s="8" t="s">
        <v>6565</v>
      </c>
    </row>
    <row r="1640">
      <c r="A1640" s="7" t="b">
        <v>0</v>
      </c>
      <c r="B1640" s="8" t="s">
        <v>6566</v>
      </c>
      <c r="C1640" s="8" t="s">
        <v>6567</v>
      </c>
      <c r="D1640" s="8" t="str">
        <f>Q&amp;$K1640&amp;Q&amp;":{"&amp;Q&amp;$B$2&amp;Q&amp;":"&amp;Q&amp;$B1640&amp;Q&amp;","&amp;Q&amp;$C$2&amp;Q&amp;":"&amp;Q&amp;$C1640&amp;Q&amp;","&amp;Q&amp;"sets"&amp;Q&amp;":"&amp;Q&amp;substitute(SUBSTITUTE($H1640,"[",""),"]","")&amp;Q&amp;"},"</f>
        <v>"hseb":{"label":"The Ozone Layer","extra":"Short for ozonosphere. Theories about the ozone layer are full of holes.","sets":"Expansion Set 1, Party Set"},</v>
      </c>
      <c r="E1640" s="9" t="str">
        <f t="shared" si="2"/>
        <v>data:image/svg+xml,%3csvg xmlns='http://www.w3.org/2000/svg' viewBox='0 0 24 216'%3e%3ctext fill='%23fff' style='font: 900 16px sans-serif' text-anchor='end' transform='matrix(0 -1 1 0 18 5)'%3eThe Ozone Layer%3c/text%3e%3c/svg%3e</v>
      </c>
      <c r="F1640" s="14" t="str">
        <f t="shared" si="3"/>
        <v>https://svgtext.heliohost.us/cgi-bin/gen.perl?text=The%20Ozone%20Layer</v>
      </c>
      <c r="G1640" s="11" t="str">
        <f t="shared" si="4"/>
        <v>data:image/svg+xml,%3csvg xmlns='http://www.w3.org/2000/svg' viewBox='0 0 24 216'%3e%3ctext fill='%23fff' style='font: 900 16px sans-serif' text-anchor='end' transform='matrix(0 -1 1 0 18 5)'%3eThe Ozone Layer%3c/text%3e%3c/svg%3e</v>
      </c>
      <c r="H1640" s="8" t="s">
        <v>25</v>
      </c>
      <c r="I1640" s="8">
        <f t="shared" ref="I1640:J1640" si="1641">len(B1640)</f>
        <v>15</v>
      </c>
      <c r="J1640" s="8">
        <f t="shared" si="1641"/>
        <v>72</v>
      </c>
      <c r="K1640" s="8" t="s">
        <v>6568</v>
      </c>
    </row>
    <row r="1641">
      <c r="A1641" s="7" t="b">
        <v>0</v>
      </c>
      <c r="B1641" s="8" t="s">
        <v>6569</v>
      </c>
      <c r="C1641" s="8" t="s">
        <v>6570</v>
      </c>
      <c r="D1641" s="8" t="str">
        <f>Q&amp;$K1641&amp;Q&amp;":{"&amp;Q&amp;$B$2&amp;Q&amp;":"&amp;Q&amp;$B1641&amp;Q&amp;","&amp;Q&amp;$C$2&amp;Q&amp;":"&amp;Q&amp;$C1641&amp;Q&amp;","&amp;Q&amp;"sets"&amp;Q&amp;":"&amp;Q&amp;substitute(SUBSTITUTE($H1641,"[",""),"]","")&amp;Q&amp;"},"</f>
        <v>"{vkj":{"label":"The Pentagon","extra":"The five-sided home of the U.S. Department of Defense.","sets":"Expansion Set 1, Party Set"},</v>
      </c>
      <c r="E1641" s="9" t="str">
        <f t="shared" si="2"/>
        <v>data:image/svg+xml,%3csvg xmlns='http://www.w3.org/2000/svg' viewBox='0 0 24 216'%3e%3ctext fill='%23fff' style='font: 900 16px sans-serif' text-anchor='end' transform='matrix(0 -1 1 0 18 5)'%3eThe Pentagon%3c/text%3e%3c/svg%3e</v>
      </c>
      <c r="F1641" s="14" t="str">
        <f t="shared" si="3"/>
        <v>https://svgtext.heliohost.us/cgi-bin/gen.perl?text=The%20Pentagon</v>
      </c>
      <c r="G1641" s="11" t="str">
        <f t="shared" si="4"/>
        <v>data:image/svg+xml,%3csvg xmlns='http://www.w3.org/2000/svg' viewBox='0 0 24 216'%3e%3ctext fill='%23fff' style='font: 900 16px sans-serif' text-anchor='end' transform='matrix(0 -1 1 0 18 5)'%3eThe Pentagon%3c/text%3e%3c/svg%3e</v>
      </c>
      <c r="H1641" s="8" t="s">
        <v>25</v>
      </c>
      <c r="I1641" s="8">
        <f t="shared" ref="I1641:J1641" si="1642">len(B1641)</f>
        <v>12</v>
      </c>
      <c r="J1641" s="8">
        <f t="shared" si="1642"/>
        <v>54</v>
      </c>
      <c r="K1641" s="8" t="s">
        <v>6571</v>
      </c>
    </row>
    <row r="1642">
      <c r="A1642" s="7" t="b">
        <v>1</v>
      </c>
      <c r="B1642" s="8" t="s">
        <v>6572</v>
      </c>
      <c r="C1642" s="8" t="s">
        <v>6573</v>
      </c>
      <c r="D1642" s="8" t="str">
        <f>Q&amp;$K1642&amp;Q&amp;":{"&amp;Q&amp;$B$2&amp;Q&amp;":"&amp;Q&amp;$B1642&amp;Q&amp;","&amp;Q&amp;$C$2&amp;Q&amp;":"&amp;Q&amp;$C1642&amp;Q&amp;","&amp;Q&amp;"sets"&amp;Q&amp;":"&amp;Q&amp;substitute(SUBSTITUTE($H1642,"[",""),"]","")&amp;Q&amp;"},"</f>
        <v>"bxun":{"label":"The Police","extra":"They keep order and arrest those who break the law.","sets":"Junior 9+ (1st) &amp; (2nd)"},</v>
      </c>
      <c r="E1642" s="9" t="str">
        <f t="shared" si="2"/>
        <v>data:image/svg+xml,%3csvg xmlns='http://www.w3.org/2000/svg' viewBox='0 0 24 216'%3e%3ctext fill='%23fff' style='font: 900 16px sans-serif' text-anchor='end' transform='matrix(0 -1 1 0 18 5)'%3eThe Police%3c/text%3e%3c/svg%3e</v>
      </c>
      <c r="F1642" s="14" t="str">
        <f t="shared" si="3"/>
        <v>https://svgtext.heliohost.us/cgi-bin/gen.perl?text=The%20Police</v>
      </c>
      <c r="G1642" s="11" t="str">
        <f t="shared" si="4"/>
        <v>data:image/svg+xml,%3csvg xmlns='http://www.w3.org/2000/svg' viewBox='0 0 24 216'%3e%3ctext fill='%23fff' style='font: 900 16px sans-serif' text-anchor='end' transform='matrix(0 -1 1 0 18 5)'%3eThe Police%3c/text%3e%3c/svg%3e</v>
      </c>
      <c r="H1642" s="8" t="s">
        <v>42</v>
      </c>
      <c r="I1642" s="8">
        <f t="shared" ref="I1642:J1642" si="1643">len(B1642)</f>
        <v>10</v>
      </c>
      <c r="J1642" s="8">
        <f t="shared" si="1643"/>
        <v>51</v>
      </c>
      <c r="K1642" s="8" t="s">
        <v>6574</v>
      </c>
    </row>
    <row r="1643">
      <c r="A1643" s="7" t="b">
        <v>1</v>
      </c>
      <c r="B1643" s="8" t="s">
        <v>6575</v>
      </c>
      <c r="C1643" s="8" t="s">
        <v>6576</v>
      </c>
      <c r="D1643" s="8" t="str">
        <f>Q&amp;$K1643&amp;Q&amp;":{"&amp;Q&amp;$B$2&amp;Q&amp;":"&amp;Q&amp;$B1643&amp;Q&amp;","&amp;Q&amp;$C$2&amp;Q&amp;":"&amp;Q&amp;$C1643&amp;Q&amp;","&amp;Q&amp;"sets"&amp;Q&amp;":"&amp;Q&amp;substitute(SUBSTITUTE($H1643,"[",""),"]","")&amp;Q&amp;"},"</f>
        <v>"gcqv":{"label":"The President","extra":"A U.S. president must be at least 35 years old and a natural born citizen.","sets":"Junior 9+ (1st) &amp; (2nd)"},</v>
      </c>
      <c r="E1643" s="9" t="str">
        <f t="shared" si="2"/>
        <v>data:image/svg+xml,%3csvg xmlns='http://www.w3.org/2000/svg' viewBox='0 0 24 216'%3e%3ctext fill='%23fff' style='font: 900 16px sans-serif' text-anchor='end' transform='matrix(0 -1 1 0 18 5)'%3eThe President%3c/text%3e%3c/svg%3e</v>
      </c>
      <c r="F1643" s="14" t="str">
        <f t="shared" si="3"/>
        <v>https://svgtext.heliohost.us/cgi-bin/gen.perl?text=The%20President</v>
      </c>
      <c r="G1643" s="11" t="str">
        <f t="shared" si="4"/>
        <v>data:image/svg+xml,%3csvg xmlns='http://www.w3.org/2000/svg' viewBox='0 0 24 216'%3e%3ctext fill='%23fff' style='font: 900 16px sans-serif' text-anchor='end' transform='matrix(0 -1 1 0 18 5)'%3eThe President%3c/text%3e%3c/svg%3e</v>
      </c>
      <c r="H1643" s="8" t="s">
        <v>42</v>
      </c>
      <c r="I1643" s="8">
        <f t="shared" ref="I1643:J1643" si="1644">len(B1643)</f>
        <v>13</v>
      </c>
      <c r="J1643" s="8">
        <f t="shared" si="1644"/>
        <v>74</v>
      </c>
      <c r="K1643" s="8" t="s">
        <v>6577</v>
      </c>
    </row>
    <row r="1644">
      <c r="A1644" s="7" t="b">
        <v>1</v>
      </c>
      <c r="B1644" s="8" t="s">
        <v>6578</v>
      </c>
      <c r="C1644" s="7" t="s">
        <v>6579</v>
      </c>
      <c r="D1644" s="8" t="str">
        <f>Q&amp;$K1644&amp;Q&amp;":{"&amp;Q&amp;$B$2&amp;Q&amp;":"&amp;Q&amp;$B1644&amp;Q&amp;","&amp;Q&amp;$C$2&amp;Q&amp;":"&amp;Q&amp;$C1644&amp;Q&amp;","&amp;Q&amp;"sets"&amp;Q&amp;":"&amp;Q&amp;substitute(SUBSTITUTE($H1644,"[",""),"]","")&amp;Q&amp;"},"</f>
        <v>"wfeb":{"label":"The Princess &amp; The Pea","extra":"The true test of a princess, fairy tale or otherwise.","sets":"Expansion Set 4, Party Expansion 1"},</v>
      </c>
      <c r="E1644" s="9" t="str">
        <f t="shared" si="2"/>
        <v>data:image/svg+xml,%3csvg xmlns='http://www.w3.org/2000/svg' viewBox='0 0 24 216'%3e%3ctext fill='%23fff' style='font: 900 16px sans-serif' text-anchor='end' transform='matrix(0 -1 1 0 18 5)'%3eThe Princess %26amp%3B The Pea%3c/text%3e%3c/svg%3e</v>
      </c>
      <c r="F1644" s="14" t="str">
        <f t="shared" si="3"/>
        <v>https://svgtext.heliohost.us/cgi-bin/gen.perl?text=The%20Princess%20%26%20The%20Pea</v>
      </c>
      <c r="G1644" s="11" t="str">
        <f t="shared" si="4"/>
        <v>data:image/svg+xml,%3csvg xmlns='http://www.w3.org/2000/svg' viewBox='0 0 24 216'%3e%3ctext fill='%23fff' style='font: 900 16px sans-serif' text-anchor='end' transform='matrix(0 -1 1 0 18 5)'%3eThe Princess %26amp%3B The Pea%3c/text%3e%3c/svg%3e</v>
      </c>
      <c r="H1644" s="8" t="s">
        <v>63</v>
      </c>
      <c r="I1644" s="8">
        <f t="shared" ref="I1644:J1644" si="1645">len(B1644)</f>
        <v>22</v>
      </c>
      <c r="J1644" s="8">
        <f t="shared" si="1645"/>
        <v>53</v>
      </c>
      <c r="K1644" s="8" t="s">
        <v>6580</v>
      </c>
    </row>
    <row r="1645">
      <c r="A1645" s="7" t="b">
        <v>0</v>
      </c>
      <c r="B1645" s="8" t="s">
        <v>6581</v>
      </c>
      <c r="C1645" s="7" t="s">
        <v>6582</v>
      </c>
      <c r="D1645" s="8" t="str">
        <f>Q&amp;$K1645&amp;Q&amp;":{"&amp;Q&amp;$B$2&amp;Q&amp;":"&amp;Q&amp;$B1645&amp;Q&amp;","&amp;Q&amp;$C$2&amp;Q&amp;":"&amp;Q&amp;$C1645&amp;Q&amp;","&amp;Q&amp;"sets"&amp;Q&amp;":"&amp;Q&amp;substitute(SUBSTITUTE($H1645,"[",""),"]","")&amp;Q&amp;"},"</f>
        <v>"ibcu":{"label":"The Pyramids","extra":"The Egyptian pyramids were built from about 2700 BC to about 1000 BC. Tut, tut, tut…","sets":"Basic Set, Party Set"},</v>
      </c>
      <c r="E1645" s="9" t="str">
        <f t="shared" si="2"/>
        <v>data:image/svg+xml,%3csvg xmlns='http://www.w3.org/2000/svg' viewBox='0 0 24 216'%3e%3ctext fill='%23fff' style='font: 900 16px sans-serif' text-anchor='end' transform='matrix(0 -1 1 0 18 5)'%3eThe Pyramids%3c/text%3e%3c/svg%3e</v>
      </c>
      <c r="F1645" s="14" t="str">
        <f t="shared" si="3"/>
        <v>https://svgtext.heliohost.us/cgi-bin/gen.perl?text=The%20Pyramids</v>
      </c>
      <c r="G1645" s="11" t="str">
        <f t="shared" si="4"/>
        <v>data:image/svg+xml,%3csvg xmlns='http://www.w3.org/2000/svg' viewBox='0 0 24 216'%3e%3ctext fill='%23fff' style='font: 900 16px sans-serif' text-anchor='end' transform='matrix(0 -1 1 0 18 5)'%3eThe Pyramids%3c/text%3e%3c/svg%3e</v>
      </c>
      <c r="H1645" s="8" t="s">
        <v>29</v>
      </c>
      <c r="I1645" s="8">
        <f t="shared" ref="I1645:J1645" si="1646">len(B1645)</f>
        <v>12</v>
      </c>
      <c r="J1645" s="8">
        <f t="shared" si="1646"/>
        <v>84</v>
      </c>
      <c r="K1645" s="8" t="s">
        <v>6583</v>
      </c>
    </row>
    <row r="1646">
      <c r="A1646" s="7" t="b">
        <v>0</v>
      </c>
      <c r="B1646" s="8" t="s">
        <v>6584</v>
      </c>
      <c r="C1646" s="7" t="s">
        <v>6585</v>
      </c>
      <c r="D1646" s="8" t="str">
        <f>Q&amp;$K1646&amp;Q&amp;":{"&amp;Q&amp;$B$2&amp;Q&amp;":"&amp;Q&amp;$B1646&amp;Q&amp;","&amp;Q&amp;$C$2&amp;Q&amp;":"&amp;Q&amp;$C1646&amp;Q&amp;","&amp;Q&amp;"sets"&amp;Q&amp;":"&amp;Q&amp;substitute(SUBSTITUTE($H1646,"[",""),"]","")&amp;Q&amp;"},"</f>
        <v>"rlpz":{"label":"The Renaissance","extra":"Beginning in the 1300s, started in Italy and spread across Europe. Kind of like Espresso bars…","sets":"Basic Set, Party Set"},</v>
      </c>
      <c r="E1646" s="9" t="str">
        <f t="shared" si="2"/>
        <v>data:image/svg+xml,%3csvg xmlns='http://www.w3.org/2000/svg' viewBox='0 0 24 216'%3e%3ctext fill='%23fff' style='font: 900 16px sans-serif' text-anchor='end' transform='matrix(0 -1 1 0 18 5)'%3eThe Renaissance%3c/text%3e%3c/svg%3e</v>
      </c>
      <c r="F1646" s="14" t="str">
        <f t="shared" si="3"/>
        <v>https://svgtext.heliohost.us/cgi-bin/gen.perl?text=The%20Renaissance</v>
      </c>
      <c r="G1646" s="11" t="str">
        <f t="shared" si="4"/>
        <v>data:image/svg+xml,%3csvg xmlns='http://www.w3.org/2000/svg' viewBox='0 0 24 216'%3e%3ctext fill='%23fff' style='font: 900 16px sans-serif' text-anchor='end' transform='matrix(0 -1 1 0 18 5)'%3eThe Renaissance%3c/text%3e%3c/svg%3e</v>
      </c>
      <c r="H1646" s="8" t="s">
        <v>29</v>
      </c>
      <c r="I1646" s="8">
        <f t="shared" ref="I1646:J1646" si="1647">len(B1646)</f>
        <v>15</v>
      </c>
      <c r="J1646" s="8">
        <f t="shared" si="1647"/>
        <v>94</v>
      </c>
      <c r="K1646" s="8" t="s">
        <v>6586</v>
      </c>
    </row>
    <row r="1647">
      <c r="A1647" s="7" t="b">
        <v>0</v>
      </c>
      <c r="B1647" s="8" t="s">
        <v>6587</v>
      </c>
      <c r="C1647" s="7" t="s">
        <v>6588</v>
      </c>
      <c r="D1647" s="8" t="str">
        <f>Q&amp;$K1647&amp;Q&amp;":{"&amp;Q&amp;$B$2&amp;Q&amp;":"&amp;Q&amp;$B1647&amp;Q&amp;","&amp;Q&amp;$C$2&amp;Q&amp;":"&amp;Q&amp;$C1647&amp;Q&amp;","&amp;Q&amp;"sets"&amp;Q&amp;":"&amp;Q&amp;substitute(SUBSTITUTE($H1647,"[",""),"]","")&amp;Q&amp;"},"</f>
        <v>"roqb":{"label":"The Rolling Stones","extra":"British “bad boy” rock band formed in 1962. Still touring?","sets":"Basic Set, Party Set"},</v>
      </c>
      <c r="E1647" s="9" t="str">
        <f t="shared" si="2"/>
        <v>data:image/svg+xml,%3csvg xmlns='http://www.w3.org/2000/svg' viewBox='0 0 24 216'%3e%3ctext fill='%23fff' style='font: 900 16px sans-serif' text-anchor='end' transform='matrix(0 -1 1 0 18 5)'%3eThe Rolling Stones%3c/text%3e%3c/svg%3e</v>
      </c>
      <c r="F1647" s="14" t="str">
        <f t="shared" si="3"/>
        <v>https://svgtext.heliohost.us/cgi-bin/gen.perl?text=The%20Rolling%20Stones</v>
      </c>
      <c r="G1647" s="11" t="str">
        <f t="shared" si="4"/>
        <v>data:image/svg+xml,%3csvg xmlns='http://www.w3.org/2000/svg' viewBox='0 0 24 216'%3e%3ctext fill='%23fff' style='font: 900 16px sans-serif' text-anchor='end' transform='matrix(0 -1 1 0 18 5)'%3eThe Rolling Stones%3c/text%3e%3c/svg%3e</v>
      </c>
      <c r="H1647" s="8" t="s">
        <v>29</v>
      </c>
      <c r="I1647" s="8">
        <f t="shared" ref="I1647:J1647" si="1648">len(B1647)</f>
        <v>18</v>
      </c>
      <c r="J1647" s="8">
        <f t="shared" si="1648"/>
        <v>58</v>
      </c>
      <c r="K1647" s="8" t="s">
        <v>6589</v>
      </c>
    </row>
    <row r="1648">
      <c r="A1648" s="7" t="b">
        <v>0</v>
      </c>
      <c r="B1648" s="8" t="s">
        <v>6590</v>
      </c>
      <c r="C1648" s="7" t="s">
        <v>6591</v>
      </c>
      <c r="D1648" s="8" t="str">
        <f>Q&amp;$K1648&amp;Q&amp;":{"&amp;Q&amp;$B$2&amp;Q&amp;":"&amp;Q&amp;$B1648&amp;Q&amp;","&amp;Q&amp;$C$2&amp;Q&amp;":"&amp;Q&amp;$C1648&amp;Q&amp;","&amp;Q&amp;"sets"&amp;Q&amp;":"&amp;Q&amp;substitute(SUBSTITUTE($H1648,"[",""),"]","")&amp;Q&amp;"},"</f>
        <v>"kwjy":{"label":"The San Andreas Fault","extra":"Geological feature in California stretching 600 miles. Like the state doesn’t have enough faults already.","sets":"Basic Set, Party Set"},</v>
      </c>
      <c r="E1648" s="9" t="str">
        <f t="shared" si="2"/>
        <v>data:image/svg+xml,%3csvg xmlns='http://www.w3.org/2000/svg' viewBox='0 0 24 216'%3e%3ctext fill='%23fff' style='font: 900 16px sans-serif' text-anchor='end' transform='matrix(0 -1 1 0 18 5)'%3eThe San Andreas Fault%3c/text%3e%3c/svg%3e</v>
      </c>
      <c r="F1648" s="14" t="str">
        <f t="shared" si="3"/>
        <v>https://svgtext.heliohost.us/cgi-bin/gen.perl?text=The%20San%20Andreas%20Fault</v>
      </c>
      <c r="G1648" s="11" t="str">
        <f t="shared" si="4"/>
        <v>data:image/svg+xml,%3csvg xmlns='http://www.w3.org/2000/svg' viewBox='0 0 24 216'%3e%3ctext fill='%23fff' style='font: 900 16px sans-serif' text-anchor='end' transform='matrix(0 -1 1 0 18 5)'%3eThe San Andreas Fault%3c/text%3e%3c/svg%3e</v>
      </c>
      <c r="H1648" s="8" t="s">
        <v>29</v>
      </c>
      <c r="I1648" s="8">
        <f t="shared" ref="I1648:J1648" si="1649">len(B1648)</f>
        <v>21</v>
      </c>
      <c r="J1648" s="8">
        <f t="shared" si="1649"/>
        <v>105</v>
      </c>
      <c r="K1648" s="8" t="s">
        <v>6592</v>
      </c>
    </row>
    <row r="1649">
      <c r="A1649" s="7" t="b">
        <v>1</v>
      </c>
      <c r="B1649" s="8" t="s">
        <v>6593</v>
      </c>
      <c r="C1649" s="7" t="s">
        <v>6594</v>
      </c>
      <c r="D1649" s="8" t="str">
        <f>Q&amp;$K1649&amp;Q&amp;":{"&amp;Q&amp;$B$2&amp;Q&amp;":"&amp;Q&amp;$B1649&amp;Q&amp;","&amp;Q&amp;$C$2&amp;Q&amp;":"&amp;Q&amp;$C1649&amp;Q&amp;","&amp;Q&amp;"sets"&amp;Q&amp;":"&amp;Q&amp;substitute(SUBSTITUTE($H1649,"[",""),"]","")&amp;Q&amp;"},"</f>
        <v>"dqci":{"label":"The Scarlet Letter","extra":"Hawthorne’s 1845 novel about Puritan New England, moral conflicts, guilt, and down-right nastiness. (It was an “A”.)","sets":"Expansion Set 3, Party Expansion 1"},</v>
      </c>
      <c r="E1649" s="9" t="str">
        <f t="shared" si="2"/>
        <v>data:image/svg+xml,%3csvg xmlns='http://www.w3.org/2000/svg' viewBox='0 0 24 216'%3e%3ctext fill='%23fff' style='font: 900 16px sans-serif' text-anchor='end' transform='matrix(0 -1 1 0 18 5)'%3eThe Scarlet Letter%3c/text%3e%3c/svg%3e</v>
      </c>
      <c r="F1649" s="14" t="str">
        <f t="shared" si="3"/>
        <v>https://svgtext.heliohost.us/cgi-bin/gen.perl?text=The%20Scarlet%20Letter</v>
      </c>
      <c r="G1649" s="11" t="str">
        <f t="shared" si="4"/>
        <v>data:image/svg+xml,%3csvg xmlns='http://www.w3.org/2000/svg' viewBox='0 0 24 216'%3e%3ctext fill='%23fff' style='font: 900 16px sans-serif' text-anchor='end' transform='matrix(0 -1 1 0 18 5)'%3eThe Scarlet Letter%3c/text%3e%3c/svg%3e</v>
      </c>
      <c r="H1649" s="8" t="s">
        <v>39</v>
      </c>
      <c r="I1649" s="8">
        <f t="shared" ref="I1649:J1649" si="1650">len(B1649)</f>
        <v>18</v>
      </c>
      <c r="J1649" s="8">
        <f t="shared" si="1650"/>
        <v>116</v>
      </c>
      <c r="K1649" s="8" t="s">
        <v>6595</v>
      </c>
    </row>
    <row r="1650">
      <c r="A1650" s="7" t="b">
        <v>0</v>
      </c>
      <c r="B1650" s="8" t="s">
        <v>6596</v>
      </c>
      <c r="C1650" s="7" t="s">
        <v>6597</v>
      </c>
      <c r="D1650" s="8" t="str">
        <f>Q&amp;$K1650&amp;Q&amp;":{"&amp;Q&amp;$B$2&amp;Q&amp;":"&amp;Q&amp;$B1650&amp;Q&amp;","&amp;Q&amp;$C$2&amp;Q&amp;":"&amp;Q&amp;$C1650&amp;Q&amp;","&amp;Q&amp;"sets"&amp;Q&amp;":"&amp;Q&amp;substitute(SUBSTITUTE($H1650,"[",""),"]","")&amp;Q&amp;"},"</f>
        <v>"bsha":{"label":"The South","extra":"Dixie: South of the Mason-Dixon line that is. They’re not like folks ’round here…","sets":"Basic Set, Party Set"},</v>
      </c>
      <c r="E1650" s="9" t="str">
        <f t="shared" si="2"/>
        <v>data:image/svg+xml,%3csvg xmlns='http://www.w3.org/2000/svg' viewBox='0 0 24 216'%3e%3ctext fill='%23fff' style='font: 900 16px sans-serif' text-anchor='end' transform='matrix(0 -1 1 0 18 5)'%3eThe South%3c/text%3e%3c/svg%3e</v>
      </c>
      <c r="F1650" s="14" t="str">
        <f t="shared" si="3"/>
        <v>https://svgtext.heliohost.us/cgi-bin/gen.perl?text=The%20South</v>
      </c>
      <c r="G1650" s="11" t="str">
        <f t="shared" si="4"/>
        <v>data:image/svg+xml,%3csvg xmlns='http://www.w3.org/2000/svg' viewBox='0 0 24 216'%3e%3ctext fill='%23fff' style='font: 900 16px sans-serif' text-anchor='end' transform='matrix(0 -1 1 0 18 5)'%3eThe South%3c/text%3e%3c/svg%3e</v>
      </c>
      <c r="H1650" s="8" t="s">
        <v>29</v>
      </c>
      <c r="I1650" s="8">
        <f t="shared" ref="I1650:J1650" si="1651">len(B1650)</f>
        <v>9</v>
      </c>
      <c r="J1650" s="8">
        <f t="shared" si="1651"/>
        <v>81</v>
      </c>
      <c r="K1650" s="8" t="s">
        <v>6598</v>
      </c>
    </row>
    <row r="1651">
      <c r="A1651" s="7" t="b">
        <v>0</v>
      </c>
      <c r="B1651" s="8" t="s">
        <v>6599</v>
      </c>
      <c r="C1651" s="7" t="s">
        <v>6600</v>
      </c>
      <c r="D1651" s="8" t="str">
        <f>Q&amp;$K1651&amp;Q&amp;":{"&amp;Q&amp;$B$2&amp;Q&amp;":"&amp;Q&amp;$B1651&amp;Q&amp;","&amp;Q&amp;$C$2&amp;Q&amp;":"&amp;Q&amp;$C1651&amp;Q&amp;","&amp;Q&amp;"sets"&amp;Q&amp;":"&amp;Q&amp;substitute(SUBSTITUTE($H1651,"[",""),"]","")&amp;Q&amp;"},"</f>
        <v>"py{n":{"label":"The Statue Of Liberty","extra":"“Give me your tired, your poor / Your huddled masses yearning to breathe free…” —Emma Lazarus","sets":"Basic Set, Party Set"},</v>
      </c>
      <c r="E1651" s="9" t="str">
        <f t="shared" si="2"/>
        <v>data:image/svg+xml,%3csvg xmlns='http://www.w3.org/2000/svg' viewBox='0 0 24 216'%3e%3ctext fill='%23fff' style='font: 900 16px sans-serif' text-anchor='end' transform='matrix(0 -1 1 0 18 5)'%3eThe Statue Of Liberty%3c/text%3e%3c/svg%3e</v>
      </c>
      <c r="F1651" s="14" t="str">
        <f t="shared" si="3"/>
        <v>https://svgtext.heliohost.us/cgi-bin/gen.perl?text=The%20Statue%20Of%20Liberty</v>
      </c>
      <c r="G1651" s="11" t="str">
        <f t="shared" si="4"/>
        <v>data:image/svg+xml,%3csvg xmlns='http://www.w3.org/2000/svg' viewBox='0 0 24 216'%3e%3ctext fill='%23fff' style='font: 900 16px sans-serif' text-anchor='end' transform='matrix(0 -1 1 0 18 5)'%3eThe Statue Of Liberty%3c/text%3e%3c/svg%3e</v>
      </c>
      <c r="H1651" s="8" t="s">
        <v>29</v>
      </c>
      <c r="I1651" s="8">
        <f t="shared" ref="I1651:J1651" si="1652">len(B1651)</f>
        <v>21</v>
      </c>
      <c r="J1651" s="8">
        <f t="shared" si="1652"/>
        <v>93</v>
      </c>
      <c r="K1651" s="8" t="s">
        <v>6601</v>
      </c>
    </row>
    <row r="1652">
      <c r="A1652" s="7" t="b">
        <v>1</v>
      </c>
      <c r="B1652" s="8" t="s">
        <v>6599</v>
      </c>
      <c r="C1652" s="7" t="s">
        <v>6602</v>
      </c>
      <c r="D1652" s="8" t="str">
        <f>Q&amp;$K1652&amp;Q&amp;":{"&amp;Q&amp;$B$2&amp;Q&amp;":"&amp;Q&amp;$B1652&amp;Q&amp;","&amp;Q&amp;$C$2&amp;Q&amp;":"&amp;Q&amp;$C1652&amp;Q&amp;","&amp;Q&amp;"sets"&amp;Q&amp;":"&amp;Q&amp;substitute(SUBSTITUTE($H1652,"[",""),"]","")&amp;Q&amp;"},"</f>
        <v>"xxud":{"label":"The Statue Of Liberty","extra":"“Lady Liberty” was a gift to the U.S. from the people of France.","sets":"Junior 9+ (2nd)"},</v>
      </c>
      <c r="E1652" s="9" t="str">
        <f t="shared" si="2"/>
        <v>data:image/svg+xml,%3csvg xmlns='http://www.w3.org/2000/svg' viewBox='0 0 24 216'%3e%3ctext fill='%23fff' style='font: 900 16px sans-serif' text-anchor='end' transform='matrix(0 -1 1 0 18 5)'%3eThe Statue Of Liberty%3c/text%3e%3c/svg%3e</v>
      </c>
      <c r="F1652" s="14" t="str">
        <f t="shared" si="3"/>
        <v>https://svgtext.heliohost.us/cgi-bin/gen.perl?text=The%20Statue%20Of%20Liberty</v>
      </c>
      <c r="G1652" s="11" t="str">
        <f t="shared" si="4"/>
        <v>data:image/svg+xml,%3csvg xmlns='http://www.w3.org/2000/svg' viewBox='0 0 24 216'%3e%3ctext fill='%23fff' style='font: 900 16px sans-serif' text-anchor='end' transform='matrix(0 -1 1 0 18 5)'%3eThe Statue Of Liberty%3c/text%3e%3c/svg%3e</v>
      </c>
      <c r="H1652" s="8" t="s">
        <v>32</v>
      </c>
      <c r="I1652" s="8">
        <f t="shared" ref="I1652:J1652" si="1653">len(B1652)</f>
        <v>21</v>
      </c>
      <c r="J1652" s="8">
        <f t="shared" si="1653"/>
        <v>64</v>
      </c>
      <c r="K1652" s="8" t="s">
        <v>6603</v>
      </c>
    </row>
    <row r="1653">
      <c r="A1653" s="7" t="b">
        <v>0</v>
      </c>
      <c r="B1653" s="8" t="s">
        <v>6604</v>
      </c>
      <c r="C1653" s="8" t="s">
        <v>6605</v>
      </c>
      <c r="D1653" s="8" t="str">
        <f>Q&amp;$K1653&amp;Q&amp;":{"&amp;Q&amp;$B$2&amp;Q&amp;":"&amp;Q&amp;$B1653&amp;Q&amp;","&amp;Q&amp;$C$2&amp;Q&amp;":"&amp;Q&amp;$C1653&amp;Q&amp;","&amp;Q&amp;"sets"&amp;Q&amp;":"&amp;Q&amp;substitute(SUBSTITUTE($H1653,"[",""),"]","")&amp;Q&amp;"},"</f>
        <v>"uiju":{"label":"The Super Bowl","extra":"Who needs another national holiday?","sets":"Expansion Set 2, Party Set"},</v>
      </c>
      <c r="E1653" s="9" t="str">
        <f t="shared" si="2"/>
        <v>data:image/svg+xml,%3csvg xmlns='http://www.w3.org/2000/svg' viewBox='0 0 24 216'%3e%3ctext fill='%23fff' style='font: 900 16px sans-serif' text-anchor='end' transform='matrix(0 -1 1 0 18 5)'%3eThe Super Bowl%3c/text%3e%3c/svg%3e</v>
      </c>
      <c r="F1653" s="14" t="str">
        <f t="shared" si="3"/>
        <v>https://svgtext.heliohost.us/cgi-bin/gen.perl?text=The%20Super%20Bowl</v>
      </c>
      <c r="G1653" s="11" t="str">
        <f t="shared" si="4"/>
        <v>data:image/svg+xml,%3csvg xmlns='http://www.w3.org/2000/svg' viewBox='0 0 24 216'%3e%3ctext fill='%23fff' style='font: 900 16px sans-serif' text-anchor='end' transform='matrix(0 -1 1 0 18 5)'%3eThe Super Bowl%3c/text%3e%3c/svg%3e</v>
      </c>
      <c r="H1653" s="8" t="s">
        <v>17</v>
      </c>
      <c r="I1653" s="8">
        <f t="shared" ref="I1653:J1653" si="1654">len(B1653)</f>
        <v>14</v>
      </c>
      <c r="J1653" s="8">
        <f t="shared" si="1654"/>
        <v>35</v>
      </c>
      <c r="K1653" s="8" t="s">
        <v>6606</v>
      </c>
    </row>
    <row r="1654">
      <c r="A1654" s="7" t="b">
        <v>0</v>
      </c>
      <c r="B1654" s="8" t="s">
        <v>6607</v>
      </c>
      <c r="C1654" s="8" t="s">
        <v>6608</v>
      </c>
      <c r="D1654" s="8" t="str">
        <f>Q&amp;$K1654&amp;Q&amp;":{"&amp;Q&amp;$B$2&amp;Q&amp;":"&amp;Q&amp;$B1654&amp;Q&amp;","&amp;Q&amp;$C$2&amp;Q&amp;":"&amp;Q&amp;$C1654&amp;Q&amp;","&amp;Q&amp;"sets"&amp;Q&amp;":"&amp;Q&amp;substitute(SUBSTITUTE($H1654,"[",""),"]","")&amp;Q&amp;"},"</f>
        <v>"mmvv":{"label":"The Supreme Court","extra":"The highest court in the United States. Robes, but no wigs.","sets":"Expansion Set 1, Party Set"},</v>
      </c>
      <c r="E1654" s="9" t="str">
        <f t="shared" si="2"/>
        <v>data:image/svg+xml,%3csvg xmlns='http://www.w3.org/2000/svg' viewBox='0 0 24 216'%3e%3ctext fill='%23fff' style='font: 900 16px sans-serif' text-anchor='end' transform='matrix(0 -1 1 0 18 5)'%3eThe Supreme Court%3c/text%3e%3c/svg%3e</v>
      </c>
      <c r="F1654" s="14" t="str">
        <f t="shared" si="3"/>
        <v>https://svgtext.heliohost.us/cgi-bin/gen.perl?text=The%20Supreme%20Court</v>
      </c>
      <c r="G1654" s="11" t="str">
        <f t="shared" si="4"/>
        <v>data:image/svg+xml,%3csvg xmlns='http://www.w3.org/2000/svg' viewBox='0 0 24 216'%3e%3ctext fill='%23fff' style='font: 900 16px sans-serif' text-anchor='end' transform='matrix(0 -1 1 0 18 5)'%3eThe Supreme Court%3c/text%3e%3c/svg%3e</v>
      </c>
      <c r="H1654" s="8" t="s">
        <v>25</v>
      </c>
      <c r="I1654" s="8">
        <f t="shared" ref="I1654:J1654" si="1655">len(B1654)</f>
        <v>17</v>
      </c>
      <c r="J1654" s="8">
        <f t="shared" si="1655"/>
        <v>59</v>
      </c>
      <c r="K1654" s="8" t="s">
        <v>6609</v>
      </c>
    </row>
    <row r="1655">
      <c r="A1655" s="7" t="b">
        <v>1</v>
      </c>
      <c r="B1655" s="8" t="s">
        <v>6610</v>
      </c>
      <c r="C1655" s="7" t="s">
        <v>6611</v>
      </c>
      <c r="D1655" s="8" t="str">
        <f>Q&amp;$K1655&amp;Q&amp;":{"&amp;Q&amp;$B$2&amp;Q&amp;":"&amp;Q&amp;$B1655&amp;Q&amp;","&amp;Q&amp;$C$2&amp;Q&amp;":"&amp;Q&amp;$C1655&amp;Q&amp;","&amp;Q&amp;"sets"&amp;Q&amp;":"&amp;Q&amp;substitute(SUBSTITUTE($H1655,"[",""),"]","")&amp;Q&amp;"},"</f>
        <v>"cfel":{"label":"The Symphony","extra":"It’s music to our ears.","sets":"Expansion Set 3, Party Expansion 1"},</v>
      </c>
      <c r="E1655" s="9" t="str">
        <f t="shared" si="2"/>
        <v>data:image/svg+xml,%3csvg xmlns='http://www.w3.org/2000/svg' viewBox='0 0 24 216'%3e%3ctext fill='%23fff' style='font: 900 16px sans-serif' text-anchor='end' transform='matrix(0 -1 1 0 18 5)'%3eThe Symphony%3c/text%3e%3c/svg%3e</v>
      </c>
      <c r="F1655" s="14" t="str">
        <f t="shared" si="3"/>
        <v>https://svgtext.heliohost.us/cgi-bin/gen.perl?text=The%20Symphony</v>
      </c>
      <c r="G1655" s="11" t="str">
        <f t="shared" si="4"/>
        <v>data:image/svg+xml,%3csvg xmlns='http://www.w3.org/2000/svg' viewBox='0 0 24 216'%3e%3ctext fill='%23fff' style='font: 900 16px sans-serif' text-anchor='end' transform='matrix(0 -1 1 0 18 5)'%3eThe Symphony%3c/text%3e%3c/svg%3e</v>
      </c>
      <c r="H1655" s="8" t="s">
        <v>39</v>
      </c>
      <c r="I1655" s="8">
        <f t="shared" ref="I1655:J1655" si="1656">len(B1655)</f>
        <v>12</v>
      </c>
      <c r="J1655" s="8">
        <f t="shared" si="1656"/>
        <v>23</v>
      </c>
      <c r="K1655" s="8" t="s">
        <v>6612</v>
      </c>
    </row>
    <row r="1656">
      <c r="A1656" s="7" t="b">
        <v>1</v>
      </c>
      <c r="B1656" s="8" t="s">
        <v>6613</v>
      </c>
      <c r="C1656" s="8" t="s">
        <v>6614</v>
      </c>
      <c r="D1656" s="8" t="str">
        <f>Q&amp;$K1656&amp;Q&amp;":{"&amp;Q&amp;$B$2&amp;Q&amp;":"&amp;Q&amp;$B1656&amp;Q&amp;","&amp;Q&amp;$C$2&amp;Q&amp;":"&amp;Q&amp;$C1656&amp;Q&amp;","&amp;Q&amp;"sets"&amp;Q&amp;":"&amp;Q&amp;substitute(SUBSTITUTE($H1656,"[",""),"]","")&amp;Q&amp;"},"</f>
        <v>"hx{c":{"label":"The Three Stooges","extra":"Nyuk, nyuk, nyuk. A wiseguy, eh?","sets":"Expansion Set 3, Party Expansion 1"},</v>
      </c>
      <c r="E1656" s="9" t="str">
        <f t="shared" si="2"/>
        <v>data:image/svg+xml,%3csvg xmlns='http://www.w3.org/2000/svg' viewBox='0 0 24 216'%3e%3ctext fill='%23fff' style='font: 900 16px sans-serif' text-anchor='end' transform='matrix(0 -1 1 0 18 5)'%3eThe Three Stooges%3c/text%3e%3c/svg%3e</v>
      </c>
      <c r="F1656" s="14" t="str">
        <f t="shared" si="3"/>
        <v>https://svgtext.heliohost.us/cgi-bin/gen.perl?text=The%20Three%20Stooges</v>
      </c>
      <c r="G1656" s="11" t="str">
        <f t="shared" si="4"/>
        <v>data:image/svg+xml,%3csvg xmlns='http://www.w3.org/2000/svg' viewBox='0 0 24 216'%3e%3ctext fill='%23fff' style='font: 900 16px sans-serif' text-anchor='end' transform='matrix(0 -1 1 0 18 5)'%3eThe Three Stooges%3c/text%3e%3c/svg%3e</v>
      </c>
      <c r="H1656" s="8" t="s">
        <v>39</v>
      </c>
      <c r="I1656" s="8">
        <f t="shared" ref="I1656:J1656" si="1657">len(B1656)</f>
        <v>17</v>
      </c>
      <c r="J1656" s="8">
        <f t="shared" si="1657"/>
        <v>32</v>
      </c>
      <c r="K1656" s="8" t="s">
        <v>6615</v>
      </c>
    </row>
    <row r="1657">
      <c r="A1657" s="7" t="b">
        <v>0</v>
      </c>
      <c r="B1657" s="8" t="s">
        <v>6616</v>
      </c>
      <c r="C1657" s="8" t="s">
        <v>6617</v>
      </c>
      <c r="D1657" s="8" t="str">
        <f>Q&amp;$K1657&amp;Q&amp;":{"&amp;Q&amp;$B$2&amp;Q&amp;":"&amp;Q&amp;$B1657&amp;Q&amp;","&amp;Q&amp;$C$2&amp;Q&amp;":"&amp;Q&amp;$C1657&amp;Q&amp;","&amp;Q&amp;"sets"&amp;Q&amp;":"&amp;Q&amp;substitute(SUBSTITUTE($H1657,"[",""),"]","")&amp;Q&amp;"},"</f>
        <v>"pceb":{"label":"The Three Tenors","extra":"Opera stars Placido Domingo, Jose Carreras, and Luciano Pavarotti began recording as The Three Tenors in 1990.","sets":"Expansion Set 2, Party Set"},</v>
      </c>
      <c r="E1657" s="9" t="str">
        <f t="shared" si="2"/>
        <v>data:image/svg+xml,%3csvg xmlns='http://www.w3.org/2000/svg' viewBox='0 0 24 216'%3e%3ctext fill='%23fff' style='font: 900 16px sans-serif' text-anchor='end' transform='matrix(0 -1 1 0 18 5)'%3eThe Three Tenors%3c/text%3e%3c/svg%3e</v>
      </c>
      <c r="F1657" s="14" t="str">
        <f t="shared" si="3"/>
        <v>https://svgtext.heliohost.us/cgi-bin/gen.perl?text=The%20Three%20Tenors</v>
      </c>
      <c r="G1657" s="11" t="str">
        <f t="shared" si="4"/>
        <v>data:image/svg+xml,%3csvg xmlns='http://www.w3.org/2000/svg' viewBox='0 0 24 216'%3e%3ctext fill='%23fff' style='font: 900 16px sans-serif' text-anchor='end' transform='matrix(0 -1 1 0 18 5)'%3eThe Three Tenors%3c/text%3e%3c/svg%3e</v>
      </c>
      <c r="H1657" s="8" t="s">
        <v>17</v>
      </c>
      <c r="I1657" s="8">
        <f t="shared" ref="I1657:J1657" si="1658">len(B1657)</f>
        <v>16</v>
      </c>
      <c r="J1657" s="8">
        <f t="shared" si="1658"/>
        <v>110</v>
      </c>
      <c r="K1657" s="8" t="s">
        <v>6618</v>
      </c>
    </row>
    <row r="1658">
      <c r="A1658" s="7" t="b">
        <v>0</v>
      </c>
      <c r="B1658" s="8" t="s">
        <v>6619</v>
      </c>
      <c r="C1658" s="8" t="s">
        <v>6620</v>
      </c>
      <c r="D1658" s="8" t="str">
        <f>Q&amp;$K1658&amp;Q&amp;":{"&amp;Q&amp;$B$2&amp;Q&amp;":"&amp;Q&amp;$B1658&amp;Q&amp;","&amp;Q&amp;$C$2&amp;Q&amp;":"&amp;Q&amp;$C1658&amp;Q&amp;","&amp;Q&amp;"sets"&amp;Q&amp;":"&amp;Q&amp;substitute(SUBSTITUTE($H1658,"[",""),"]","")&amp;Q&amp;"},"</f>
        <v>"nckm":{"label":"The Titanic","extra":"It sank in 1912. Get over it!","sets":"Expansion Set 1, Party Set"},</v>
      </c>
      <c r="E1658" s="9" t="str">
        <f t="shared" si="2"/>
        <v>data:image/svg+xml,%3csvg xmlns='http://www.w3.org/2000/svg' viewBox='0 0 24 216'%3e%3ctext fill='%23fff' style='font: 900 16px sans-serif' text-anchor='end' transform='matrix(0 -1 1 0 18 5)'%3eThe Titanic%3c/text%3e%3c/svg%3e</v>
      </c>
      <c r="F1658" s="14" t="str">
        <f t="shared" si="3"/>
        <v>https://svgtext.heliohost.us/cgi-bin/gen.perl?text=The%20Titanic</v>
      </c>
      <c r="G1658" s="11" t="str">
        <f t="shared" si="4"/>
        <v>data:image/svg+xml,%3csvg xmlns='http://www.w3.org/2000/svg' viewBox='0 0 24 216'%3e%3ctext fill='%23fff' style='font: 900 16px sans-serif' text-anchor='end' transform='matrix(0 -1 1 0 18 5)'%3eThe Titanic%3c/text%3e%3c/svg%3e</v>
      </c>
      <c r="H1658" s="8" t="s">
        <v>25</v>
      </c>
      <c r="I1658" s="8">
        <f t="shared" ref="I1658:J1658" si="1659">len(B1658)</f>
        <v>11</v>
      </c>
      <c r="J1658" s="8">
        <f t="shared" si="1659"/>
        <v>29</v>
      </c>
      <c r="K1658" s="8" t="s">
        <v>6621</v>
      </c>
    </row>
    <row r="1659">
      <c r="A1659" s="7" t="b">
        <v>1</v>
      </c>
      <c r="B1659" s="8" t="s">
        <v>6622</v>
      </c>
      <c r="C1659" s="7" t="s">
        <v>6623</v>
      </c>
      <c r="D1659" s="8" t="str">
        <f>Q&amp;$K1659&amp;Q&amp;":{"&amp;Q&amp;$B$2&amp;Q&amp;":"&amp;Q&amp;$B1659&amp;Q&amp;","&amp;Q&amp;$C$2&amp;Q&amp;":"&amp;Q&amp;$C1659&amp;Q&amp;","&amp;Q&amp;"sets"&amp;Q&amp;":"&amp;Q&amp;substitute(SUBSTITUTE($H1659,"[",""),"]","")&amp;Q&amp;"},"</f>
        <v>"lljc":{"label":"The U.S. Constitution","extra":"We the people…","sets":"Expansion Set 3, Party Expansion 1"},</v>
      </c>
      <c r="E1659" s="9" t="str">
        <f t="shared" si="2"/>
        <v>data:image/svg+xml,%3csvg xmlns='http://www.w3.org/2000/svg' viewBox='0 0 24 216'%3e%3ctext fill='%23fff' style='font: 900 16px sans-serif' text-anchor='end' transform='matrix(0 -1 1 0 18 5)'%3eThe U.S. Constitution%3c/text%3e%3c/svg%3e</v>
      </c>
      <c r="F1659" s="14" t="str">
        <f t="shared" si="3"/>
        <v>https://svgtext.heliohost.us/cgi-bin/gen.perl?text=The%20U.S.%20Constitution</v>
      </c>
      <c r="G1659" s="11" t="str">
        <f t="shared" si="4"/>
        <v>data:image/svg+xml,%3csvg xmlns='http://www.w3.org/2000/svg' viewBox='0 0 24 216'%3e%3ctext fill='%23fff' style='font: 900 16px sans-serif' text-anchor='end' transform='matrix(0 -1 1 0 18 5)'%3eThe U.S. Constitution%3c/text%3e%3c/svg%3e</v>
      </c>
      <c r="H1659" s="8" t="s">
        <v>39</v>
      </c>
      <c r="I1659" s="8">
        <f t="shared" ref="I1659:J1659" si="1660">len(B1659)</f>
        <v>21</v>
      </c>
      <c r="J1659" s="8">
        <f t="shared" si="1660"/>
        <v>14</v>
      </c>
      <c r="K1659" s="8" t="s">
        <v>6624</v>
      </c>
    </row>
    <row r="1660">
      <c r="A1660" s="7" t="b">
        <v>0</v>
      </c>
      <c r="B1660" s="8" t="s">
        <v>6625</v>
      </c>
      <c r="C1660" s="7" t="s">
        <v>6626</v>
      </c>
      <c r="D1660" s="8" t="str">
        <f>Q&amp;$K1660&amp;Q&amp;":{"&amp;Q&amp;$B$2&amp;Q&amp;":"&amp;Q&amp;$B1660&amp;Q&amp;","&amp;Q&amp;$C$2&amp;Q&amp;":"&amp;Q&amp;$C1660&amp;Q&amp;","&amp;Q&amp;"sets"&amp;Q&amp;":"&amp;Q&amp;substitute(SUBSTITUTE($H1660,"[",""),"]","")&amp;Q&amp;"},"</f>
        <v>"ygch":{"label":"The Universe","extra":"Everything. The big “It.” Huge. Massive. THAT big.","sets":"Basic Set, Party Set"},</v>
      </c>
      <c r="E1660" s="9" t="str">
        <f t="shared" si="2"/>
        <v>data:image/svg+xml,%3csvg xmlns='http://www.w3.org/2000/svg' viewBox='0 0 24 216'%3e%3ctext fill='%23fff' style='font: 900 16px sans-serif' text-anchor='end' transform='matrix(0 -1 1 0 18 5)'%3eThe Universe%3c/text%3e%3c/svg%3e</v>
      </c>
      <c r="F1660" s="14" t="str">
        <f t="shared" si="3"/>
        <v>https://svgtext.heliohost.us/cgi-bin/gen.perl?text=The%20Universe</v>
      </c>
      <c r="G1660" s="11" t="str">
        <f t="shared" si="4"/>
        <v>data:image/svg+xml,%3csvg xmlns='http://www.w3.org/2000/svg' viewBox='0 0 24 216'%3e%3ctext fill='%23fff' style='font: 900 16px sans-serif' text-anchor='end' transform='matrix(0 -1 1 0 18 5)'%3eThe Universe%3c/text%3e%3c/svg%3e</v>
      </c>
      <c r="H1660" s="8" t="s">
        <v>29</v>
      </c>
      <c r="I1660" s="8">
        <f t="shared" ref="I1660:J1660" si="1661">len(B1660)</f>
        <v>12</v>
      </c>
      <c r="J1660" s="8">
        <f t="shared" si="1661"/>
        <v>50</v>
      </c>
      <c r="K1660" s="8" t="s">
        <v>6627</v>
      </c>
    </row>
    <row r="1661">
      <c r="A1661" s="7" t="b">
        <v>0</v>
      </c>
      <c r="B1661" s="8" t="s">
        <v>6628</v>
      </c>
      <c r="C1661" s="8" t="s">
        <v>6629</v>
      </c>
      <c r="D1661" s="8" t="str">
        <f>Q&amp;$K1661&amp;Q&amp;":{"&amp;Q&amp;$B$2&amp;Q&amp;":"&amp;Q&amp;$B1661&amp;Q&amp;","&amp;Q&amp;$C$2&amp;Q&amp;":"&amp;Q&amp;$C1661&amp;Q&amp;","&amp;Q&amp;"sets"&amp;Q&amp;":"&amp;Q&amp;substitute(SUBSTITUTE($H1661,"[",""),"]","")&amp;Q&amp;"},"</f>
        <v>"{pqu":{"label":"The Vatican","extra":"The Papal State in the middle of Rome. Home of the Pope, Swiss Guards, and lots of pigeons.","sets":"Expansion Set 1, Party Set"},</v>
      </c>
      <c r="E1661" s="9" t="str">
        <f t="shared" si="2"/>
        <v>data:image/svg+xml,%3csvg xmlns='http://www.w3.org/2000/svg' viewBox='0 0 24 216'%3e%3ctext fill='%23fff' style='font: 900 16px sans-serif' text-anchor='end' transform='matrix(0 -1 1 0 18 5)'%3eThe Vatican%3c/text%3e%3c/svg%3e</v>
      </c>
      <c r="F1661" s="14" t="str">
        <f t="shared" si="3"/>
        <v>https://svgtext.heliohost.us/cgi-bin/gen.perl?text=The%20Vatican</v>
      </c>
      <c r="G1661" s="11" t="str">
        <f t="shared" si="4"/>
        <v>data:image/svg+xml,%3csvg xmlns='http://www.w3.org/2000/svg' viewBox='0 0 24 216'%3e%3ctext fill='%23fff' style='font: 900 16px sans-serif' text-anchor='end' transform='matrix(0 -1 1 0 18 5)'%3eThe Vatican%3c/text%3e%3c/svg%3e</v>
      </c>
      <c r="H1661" s="8" t="s">
        <v>25</v>
      </c>
      <c r="I1661" s="8">
        <f t="shared" ref="I1661:J1661" si="1662">len(B1661)</f>
        <v>11</v>
      </c>
      <c r="J1661" s="8">
        <f t="shared" si="1662"/>
        <v>91</v>
      </c>
      <c r="K1661" s="8" t="s">
        <v>6630</v>
      </c>
    </row>
    <row r="1662">
      <c r="A1662" s="7" t="b">
        <v>0</v>
      </c>
      <c r="B1662" s="8" t="s">
        <v>6631</v>
      </c>
      <c r="C1662" s="7" t="s">
        <v>6632</v>
      </c>
      <c r="D1662" s="8" t="str">
        <f>Q&amp;$K1662&amp;Q&amp;":{"&amp;Q&amp;$B$2&amp;Q&amp;":"&amp;Q&amp;$B1662&amp;Q&amp;","&amp;Q&amp;$C$2&amp;Q&amp;":"&amp;Q&amp;$C1662&amp;Q&amp;","&amp;Q&amp;"sets"&amp;Q&amp;":"&amp;Q&amp;substitute(SUBSTITUTE($H1662,"[",""),"]","")&amp;Q&amp;"},"</f>
        <v>"hnwy":{"label":"The Vietnam Memorial","extra":"“The Wall,” built in 1982, was designed by 21-year-old architecture student, Maya Lin.","sets":"Expansion Set 2, Party Set"},</v>
      </c>
      <c r="E1662" s="9" t="str">
        <f t="shared" si="2"/>
        <v>data:image/svg+xml,%3csvg xmlns='http://www.w3.org/2000/svg' viewBox='0 0 24 216'%3e%3ctext fill='%23fff' style='font: 900 16px sans-serif' text-anchor='end' transform='matrix(0 -1 1 0 18 5)'%3eThe Vietnam Memorial%3c/text%3e%3c/svg%3e</v>
      </c>
      <c r="F1662" s="14" t="str">
        <f t="shared" si="3"/>
        <v>https://svgtext.heliohost.us/cgi-bin/gen.perl?text=The%20Vietnam%20Memorial</v>
      </c>
      <c r="G1662" s="11" t="str">
        <f t="shared" si="4"/>
        <v>data:image/svg+xml,%3csvg xmlns='http://www.w3.org/2000/svg' viewBox='0 0 24 216'%3e%3ctext fill='%23fff' style='font: 900 16px sans-serif' text-anchor='end' transform='matrix(0 -1 1 0 18 5)'%3eThe Vietnam Memorial%3c/text%3e%3c/svg%3e</v>
      </c>
      <c r="H1662" s="8" t="s">
        <v>17</v>
      </c>
      <c r="I1662" s="8">
        <f t="shared" ref="I1662:J1662" si="1663">len(B1662)</f>
        <v>20</v>
      </c>
      <c r="J1662" s="8">
        <f t="shared" si="1663"/>
        <v>86</v>
      </c>
      <c r="K1662" s="8" t="s">
        <v>6633</v>
      </c>
    </row>
    <row r="1663">
      <c r="A1663" s="7" t="b">
        <v>0</v>
      </c>
      <c r="B1663" s="8" t="s">
        <v>6634</v>
      </c>
      <c r="C1663" s="8" t="s">
        <v>6635</v>
      </c>
      <c r="D1663" s="8" t="str">
        <f>Q&amp;$K1663&amp;Q&amp;":{"&amp;Q&amp;$B$2&amp;Q&amp;":"&amp;Q&amp;$B1663&amp;Q&amp;","&amp;Q&amp;$C$2&amp;Q&amp;":"&amp;Q&amp;$C1663&amp;Q&amp;","&amp;Q&amp;"sets"&amp;Q&amp;":"&amp;Q&amp;substitute(SUBSTITUTE($H1663,"[",""),"]","")&amp;Q&amp;"},"</f>
        <v>"hgxj":{"label":"The Williams Sisters","extra":"Venus, 1980-, and Serena, 1981-, Williams, American tennis champs. One heck of a sister act.","sets":"Expansion Set 2, Party Set"},</v>
      </c>
      <c r="E1663" s="9" t="str">
        <f t="shared" si="2"/>
        <v>data:image/svg+xml,%3csvg xmlns='http://www.w3.org/2000/svg' viewBox='0 0 24 216'%3e%3ctext fill='%23fff' style='font: 900 16px sans-serif' text-anchor='end' transform='matrix(0 -1 1 0 18 5)'%3eThe Williams Sisters%3c/text%3e%3c/svg%3e</v>
      </c>
      <c r="F1663" s="14" t="str">
        <f t="shared" si="3"/>
        <v>https://svgtext.heliohost.us/cgi-bin/gen.perl?text=The%20Williams%20Sisters</v>
      </c>
      <c r="G1663" s="11" t="str">
        <f t="shared" si="4"/>
        <v>data:image/svg+xml,%3csvg xmlns='http://www.w3.org/2000/svg' viewBox='0 0 24 216'%3e%3ctext fill='%23fff' style='font: 900 16px sans-serif' text-anchor='end' transform='matrix(0 -1 1 0 18 5)'%3eThe Williams Sisters%3c/text%3e%3c/svg%3e</v>
      </c>
      <c r="H1663" s="8" t="s">
        <v>17</v>
      </c>
      <c r="I1663" s="8">
        <f t="shared" ref="I1663:J1663" si="1664">len(B1663)</f>
        <v>20</v>
      </c>
      <c r="J1663" s="8">
        <f t="shared" si="1664"/>
        <v>92</v>
      </c>
      <c r="K1663" s="8" t="s">
        <v>6636</v>
      </c>
    </row>
    <row r="1664">
      <c r="A1664" s="7" t="b">
        <v>0</v>
      </c>
      <c r="B1664" s="8" t="s">
        <v>6637</v>
      </c>
      <c r="C1664" s="8" t="s">
        <v>6638</v>
      </c>
      <c r="D1664" s="8" t="str">
        <f>Q&amp;$K1664&amp;Q&amp;":{"&amp;Q&amp;$B$2&amp;Q&amp;":"&amp;Q&amp;$B1664&amp;Q&amp;","&amp;Q&amp;$C$2&amp;Q&amp;":"&amp;Q&amp;$C1664&amp;Q&amp;","&amp;Q&amp;"sets"&amp;Q&amp;":"&amp;Q&amp;substitute(SUBSTITUTE($H1664,"[",""),"]","")&amp;Q&amp;"},"</f>
        <v>"cvws":{"label":"The Wright Brothers","extra":"In 1903, Wilbur and Orville made the first powered airplane flights in history. Although there were delays at the airport.","sets":"Basic Set, Party Set"},</v>
      </c>
      <c r="E1664" s="9" t="str">
        <f t="shared" si="2"/>
        <v>data:image/svg+xml,%3csvg xmlns='http://www.w3.org/2000/svg' viewBox='0 0 24 216'%3e%3ctext fill='%23fff' style='font: 900 16px sans-serif' text-anchor='end' transform='matrix(0 -1 1 0 18 5)'%3eThe Wright Brothers%3c/text%3e%3c/svg%3e</v>
      </c>
      <c r="F1664" s="14" t="str">
        <f t="shared" si="3"/>
        <v>https://svgtext.heliohost.us/cgi-bin/gen.perl?text=The%20Wright%20Brothers</v>
      </c>
      <c r="G1664" s="11" t="str">
        <f t="shared" si="4"/>
        <v>data:image/svg+xml,%3csvg xmlns='http://www.w3.org/2000/svg' viewBox='0 0 24 216'%3e%3ctext fill='%23fff' style='font: 900 16px sans-serif' text-anchor='end' transform='matrix(0 -1 1 0 18 5)'%3eThe Wright Brothers%3c/text%3e%3c/svg%3e</v>
      </c>
      <c r="H1664" s="8" t="s">
        <v>29</v>
      </c>
      <c r="I1664" s="8">
        <f t="shared" ref="I1664:J1664" si="1665">len(B1664)</f>
        <v>19</v>
      </c>
      <c r="J1664" s="8">
        <f t="shared" si="1665"/>
        <v>122</v>
      </c>
      <c r="K1664" s="8" t="s">
        <v>6639</v>
      </c>
    </row>
    <row r="1665">
      <c r="A1665" s="7" t="b">
        <v>0</v>
      </c>
      <c r="B1665" s="8" t="s">
        <v>6640</v>
      </c>
      <c r="C1665" s="7" t="s">
        <v>6641</v>
      </c>
      <c r="D1665" s="8" t="str">
        <f>Q&amp;$K1665&amp;Q&amp;":{"&amp;Q&amp;$B$2&amp;Q&amp;":"&amp;Q&amp;$B1665&amp;Q&amp;","&amp;Q&amp;$C$2&amp;Q&amp;":"&amp;Q&amp;$C1665&amp;Q&amp;","&amp;Q&amp;"sets"&amp;Q&amp;":"&amp;Q&amp;substitute(SUBSTITUTE($H1665,"[",""),"]","")&amp;Q&amp;"},"</f>
        <v>"uhnx":{"label":"The YMCA","extra":"The Young Men’s Christian Association has 30 million members in 110 countries. “It’s fun to stay at the Y-M-C-A.” —The Village Peopl","sets":"Expansion Set 1, Party Set"},</v>
      </c>
      <c r="E1665" s="9" t="str">
        <f t="shared" si="2"/>
        <v>data:image/svg+xml,%3csvg xmlns='http://www.w3.org/2000/svg' viewBox='0 0 24 216'%3e%3ctext fill='%23fff' style='font: 900 16px sans-serif' text-anchor='end' transform='matrix(0 -1 1 0 18 5)'%3eThe YMCA%3c/text%3e%3c/svg%3e</v>
      </c>
      <c r="F1665" s="14" t="str">
        <f t="shared" si="3"/>
        <v>https://svgtext.heliohost.us/cgi-bin/gen.perl?text=The%20YMCA</v>
      </c>
      <c r="G1665" s="11" t="str">
        <f t="shared" si="4"/>
        <v>data:image/svg+xml,%3csvg xmlns='http://www.w3.org/2000/svg' viewBox='0 0 24 216'%3e%3ctext fill='%23fff' style='font: 900 16px sans-serif' text-anchor='end' transform='matrix(0 -1 1 0 18 5)'%3eThe YMCA%3c/text%3e%3c/svg%3e</v>
      </c>
      <c r="H1665" s="8" t="s">
        <v>25</v>
      </c>
      <c r="I1665" s="8">
        <f t="shared" ref="I1665:J1665" si="1666">len(B1665)</f>
        <v>8</v>
      </c>
      <c r="J1665" s="8">
        <f t="shared" si="1666"/>
        <v>132</v>
      </c>
      <c r="K1665" s="8" t="s">
        <v>6642</v>
      </c>
    </row>
    <row r="1666">
      <c r="A1666" s="7" t="b">
        <v>1</v>
      </c>
      <c r="B1666" s="8" t="s">
        <v>6643</v>
      </c>
      <c r="C1666" s="7" t="s">
        <v>6644</v>
      </c>
      <c r="D1666" s="8" t="str">
        <f>Q&amp;$K1666&amp;Q&amp;":{"&amp;Q&amp;$B$2&amp;Q&amp;":"&amp;Q&amp;$B1666&amp;Q&amp;","&amp;Q&amp;$C$2&amp;Q&amp;":"&amp;Q&amp;$C1666&amp;Q&amp;","&amp;Q&amp;"sets"&amp;Q&amp;":"&amp;Q&amp;substitute(SUBSTITUTE($H1666,"[",""),"]","")&amp;Q&amp;"},"</f>
        <v>"yhis":{"label":"The Young &amp; The Restless","extra":"Launched in 1973, this soap opera isn’t young, but it’s still restless.","sets":"Expansion Set 4, Party Expansion 1"},</v>
      </c>
      <c r="E1666" s="9" t="str">
        <f t="shared" si="2"/>
        <v>data:image/svg+xml,%3csvg xmlns='http://www.w3.org/2000/svg' viewBox='0 0 24 216'%3e%3ctext fill='%23fff' style='font: 900 16px sans-serif' text-anchor='end' transform='matrix(0 -1 1 0 18 5)'%3eThe Young %26amp%3B The Restless%3c/text%3e%3c/svg%3e</v>
      </c>
      <c r="F1666" s="14" t="str">
        <f t="shared" si="3"/>
        <v>https://svgtext.heliohost.us/cgi-bin/gen.perl?text=The%20Young%20%26%20The%20Restless</v>
      </c>
      <c r="G1666" s="11" t="str">
        <f t="shared" si="4"/>
        <v>data:image/svg+xml,%3csvg xmlns='http://www.w3.org/2000/svg' viewBox='0 0 24 216'%3e%3ctext fill='%23fff' style='font: 900 16px sans-serif' text-anchor='end' transform='matrix(0 -1 1 0 18 5)'%3eThe Young %26amp%3B The Restless%3c/text%3e%3c/svg%3e</v>
      </c>
      <c r="H1666" s="8" t="s">
        <v>63</v>
      </c>
      <c r="I1666" s="8">
        <f t="shared" ref="I1666:J1666" si="1667">len(B1666)</f>
        <v>24</v>
      </c>
      <c r="J1666" s="8">
        <f t="shared" si="1667"/>
        <v>71</v>
      </c>
      <c r="K1666" s="8" t="s">
        <v>6645</v>
      </c>
    </row>
    <row r="1667">
      <c r="A1667" s="7" t="b">
        <v>1</v>
      </c>
      <c r="B1667" s="8" t="s">
        <v>6646</v>
      </c>
      <c r="C1667" s="7" t="s">
        <v>6647</v>
      </c>
      <c r="D1667" s="8" t="str">
        <f>Q&amp;$K1667&amp;Q&amp;":{"&amp;Q&amp;$B$2&amp;Q&amp;":"&amp;Q&amp;$B1667&amp;Q&amp;","&amp;Q&amp;$C$2&amp;Q&amp;":"&amp;Q&amp;$C1667&amp;Q&amp;","&amp;Q&amp;"sets"&amp;Q&amp;":"&amp;Q&amp;substitute(SUBSTITUTE($H1667,"[",""),"]","")&amp;Q&amp;"},"</f>
        <v>"jmuc":{"label":"The Zoo","extra":"“Oh! Lions and tigers and bears. Oh my.”","sets":"Junior"},</v>
      </c>
      <c r="E1667" s="9" t="str">
        <f t="shared" si="2"/>
        <v>data:image/svg+xml,%3csvg xmlns='http://www.w3.org/2000/svg' viewBox='0 0 24 216'%3e%3ctext fill='%23fff' style='font: 900 16px sans-serif' text-anchor='end' transform='matrix(0 -1 1 0 18 5)'%3eThe Zoo%3c/text%3e%3c/svg%3e</v>
      </c>
      <c r="F1667" s="14" t="str">
        <f t="shared" si="3"/>
        <v>https://svgtext.heliohost.us/cgi-bin/gen.perl?text=The%20Zoo</v>
      </c>
      <c r="G1667" s="11" t="str">
        <f t="shared" si="4"/>
        <v>data:image/svg+xml,%3csvg xmlns='http://www.w3.org/2000/svg' viewBox='0 0 24 216'%3e%3ctext fill='%23fff' style='font: 900 16px sans-serif' text-anchor='end' transform='matrix(0 -1 1 0 18 5)'%3eThe Zoo%3c/text%3e%3c/svg%3e</v>
      </c>
      <c r="H1667" s="8" t="s">
        <v>84</v>
      </c>
      <c r="I1667" s="8">
        <f t="shared" ref="I1667:J1667" si="1668">len(B1667)</f>
        <v>7</v>
      </c>
      <c r="J1667" s="8">
        <f t="shared" si="1668"/>
        <v>40</v>
      </c>
      <c r="K1667" s="8" t="s">
        <v>6648</v>
      </c>
    </row>
    <row r="1668">
      <c r="A1668" s="7" t="b">
        <v>0</v>
      </c>
      <c r="B1668" s="8" t="s">
        <v>6649</v>
      </c>
      <c r="C1668" s="8" t="s">
        <v>6650</v>
      </c>
      <c r="D1668" s="8" t="str">
        <f>Q&amp;$K1668&amp;Q&amp;":{"&amp;Q&amp;$B$2&amp;Q&amp;":"&amp;Q&amp;$B1668&amp;Q&amp;","&amp;Q&amp;$C$2&amp;Q&amp;":"&amp;Q&amp;$C1668&amp;Q&amp;","&amp;Q&amp;"sets"&amp;Q&amp;":"&amp;Q&amp;substitute(SUBSTITUTE($H1668,"[",""),"]","")&amp;Q&amp;"},"</f>
        <v>"qird":{"label":"Thelma &amp; Louise","extra":"1991 Ridley Scott film starring Susan Sarandon and Geena Davis as two over-the-edge women.","sets":"Expansion Set 4, Party Expansion 1"},</v>
      </c>
      <c r="E1668" s="9" t="str">
        <f t="shared" si="2"/>
        <v>data:image/svg+xml,%3csvg xmlns='http://www.w3.org/2000/svg' viewBox='0 0 24 216'%3e%3ctext fill='%23fff' style='font: 900 16px sans-serif' text-anchor='end' transform='matrix(0 -1 1 0 18 5)'%3eThelma %26amp%3B Louise%3c/text%3e%3c/svg%3e</v>
      </c>
      <c r="F1668" s="14" t="str">
        <f t="shared" si="3"/>
        <v>https://svgtext.heliohost.us/cgi-bin/gen.perl?text=Thelma%20%26%20Louise</v>
      </c>
      <c r="G1668" s="11" t="str">
        <f t="shared" si="4"/>
        <v>data:image/svg+xml,%3csvg xmlns='http://www.w3.org/2000/svg' viewBox='0 0 24 216'%3e%3ctext fill='%23fff' style='font: 900 16px sans-serif' text-anchor='end' transform='matrix(0 -1 1 0 18 5)'%3eThelma %26amp%3B Louise%3c/text%3e%3c/svg%3e</v>
      </c>
      <c r="H1668" s="8" t="s">
        <v>63</v>
      </c>
      <c r="I1668" s="8">
        <f t="shared" ref="I1668:J1668" si="1669">len(B1668)</f>
        <v>15</v>
      </c>
      <c r="J1668" s="8">
        <f t="shared" si="1669"/>
        <v>90</v>
      </c>
      <c r="K1668" s="8" t="s">
        <v>6651</v>
      </c>
    </row>
    <row r="1669">
      <c r="A1669" s="7" t="b">
        <v>0</v>
      </c>
      <c r="B1669" s="8" t="s">
        <v>6652</v>
      </c>
      <c r="C1669" s="8" t="s">
        <v>6653</v>
      </c>
      <c r="D1669" s="8" t="str">
        <f>Q&amp;$K1669&amp;Q&amp;":{"&amp;Q&amp;$B$2&amp;Q&amp;":"&amp;Q&amp;$B1669&amp;Q&amp;","&amp;Q&amp;$C$2&amp;Q&amp;":"&amp;Q&amp;$C1669&amp;Q&amp;","&amp;Q&amp;"sets"&amp;Q&amp;":"&amp;Q&amp;substitute(SUBSTITUTE($H1669,"[",""),"]","")&amp;Q&amp;"},"</f>
        <v>"pccw":{"label":"Thomas Edison","extra":"1847-1931, American inventor, developed a light bulb, generator, sound-recorder, and motion picture projector. Show off.","sets":"Basic Set, Party Set"},</v>
      </c>
      <c r="E1669" s="9" t="str">
        <f t="shared" si="2"/>
        <v>data:image/svg+xml,%3csvg xmlns='http://www.w3.org/2000/svg' viewBox='0 0 24 216'%3e%3ctext fill='%23fff' style='font: 900 16px sans-serif' text-anchor='end' transform='matrix(0 -1 1 0 18 5)'%3eThomas Edison%3c/text%3e%3c/svg%3e</v>
      </c>
      <c r="F1669" s="14" t="str">
        <f t="shared" si="3"/>
        <v>https://svgtext.heliohost.us/cgi-bin/gen.perl?text=Thomas%20Edison</v>
      </c>
      <c r="G1669" s="11" t="str">
        <f t="shared" si="4"/>
        <v>data:image/svg+xml,%3csvg xmlns='http://www.w3.org/2000/svg' viewBox='0 0 24 216'%3e%3ctext fill='%23fff' style='font: 900 16px sans-serif' text-anchor='end' transform='matrix(0 -1 1 0 18 5)'%3eThomas Edison%3c/text%3e%3c/svg%3e</v>
      </c>
      <c r="H1669" s="8" t="s">
        <v>29</v>
      </c>
      <c r="I1669" s="8">
        <f t="shared" ref="I1669:J1669" si="1670">len(B1669)</f>
        <v>13</v>
      </c>
      <c r="J1669" s="8">
        <f t="shared" si="1670"/>
        <v>120</v>
      </c>
      <c r="K1669" s="8" t="s">
        <v>6654</v>
      </c>
    </row>
    <row r="1670">
      <c r="A1670" s="7" t="b">
        <v>0</v>
      </c>
      <c r="B1670" s="8" t="s">
        <v>6655</v>
      </c>
      <c r="C1670" s="7" t="s">
        <v>6656</v>
      </c>
      <c r="D1670" s="8" t="str">
        <f>Q&amp;$K1670&amp;Q&amp;":{"&amp;Q&amp;$B$2&amp;Q&amp;":"&amp;Q&amp;$B1670&amp;Q&amp;","&amp;Q&amp;$C$2&amp;Q&amp;":"&amp;Q&amp;$C1670&amp;Q&amp;","&amp;Q&amp;"sets"&amp;Q&amp;":"&amp;Q&amp;substitute(SUBSTITUTE($H1670,"[",""),"]","")&amp;Q&amp;"},"</f>
        <v>"cwvv":{"label":"Three Men &amp; A Baby","extra":"The 1987 comedy film. You do the math.","sets":"Expansion Set 4, Party Expansion 1"},</v>
      </c>
      <c r="E1670" s="9" t="str">
        <f t="shared" si="2"/>
        <v>data:image/svg+xml,%3csvg xmlns='http://www.w3.org/2000/svg' viewBox='0 0 24 216'%3e%3ctext fill='%23fff' style='font: 900 16px sans-serif' text-anchor='end' transform='matrix(0 -1 1 0 18 5)'%3eThree Men %26amp%3B A Baby%3c/text%3e%3c/svg%3e</v>
      </c>
      <c r="F1670" s="14" t="str">
        <f t="shared" si="3"/>
        <v>https://svgtext.heliohost.us/cgi-bin/gen.perl?text=Three%20Men%20%26%20A%20Baby</v>
      </c>
      <c r="G1670" s="11" t="str">
        <f t="shared" si="4"/>
        <v>data:image/svg+xml,%3csvg xmlns='http://www.w3.org/2000/svg' viewBox='0 0 24 216'%3e%3ctext fill='%23fff' style='font: 900 16px sans-serif' text-anchor='end' transform='matrix(0 -1 1 0 18 5)'%3eThree Men %26amp%3B A Baby%3c/text%3e%3c/svg%3e</v>
      </c>
      <c r="H1670" s="8" t="s">
        <v>63</v>
      </c>
      <c r="I1670" s="8">
        <f t="shared" ref="I1670:J1670" si="1671">len(B1670)</f>
        <v>18</v>
      </c>
      <c r="J1670" s="8">
        <f t="shared" si="1671"/>
        <v>38</v>
      </c>
      <c r="K1670" s="8" t="s">
        <v>6657</v>
      </c>
    </row>
    <row r="1671">
      <c r="A1671" s="7" t="b">
        <v>1</v>
      </c>
      <c r="B1671" s="8" t="s">
        <v>6658</v>
      </c>
      <c r="C1671" s="8" t="s">
        <v>6659</v>
      </c>
      <c r="D1671" s="8" t="str">
        <f>Q&amp;$K1671&amp;Q&amp;":{"&amp;Q&amp;$B$2&amp;Q&amp;":"&amp;Q&amp;$B1671&amp;Q&amp;","&amp;Q&amp;$C$2&amp;Q&amp;":"&amp;Q&amp;$C1671&amp;Q&amp;","&amp;Q&amp;"sets"&amp;Q&amp;":"&amp;Q&amp;substitute(SUBSTITUTE($H1671,"[",""),"]","")&amp;Q&amp;"},"</f>
        <v>"rjps":{"label":"Throwing Rocks","extra":"Be careful so that you don't break any windows.","sets":"Junior"},</v>
      </c>
      <c r="E1671" s="9" t="str">
        <f t="shared" si="2"/>
        <v>data:image/svg+xml,%3csvg xmlns='http://www.w3.org/2000/svg' viewBox='0 0 24 216'%3e%3ctext fill='%23fff' style='font: 900 16px sans-serif' text-anchor='end' transform='matrix(0 -1 1 0 18 5)'%3eThrowing Rocks%3c/text%3e%3c/svg%3e</v>
      </c>
      <c r="F1671" s="14" t="str">
        <f t="shared" si="3"/>
        <v>https://svgtext.heliohost.us/cgi-bin/gen.perl?text=Throwing%20Rocks</v>
      </c>
      <c r="G1671" s="11" t="str">
        <f t="shared" si="4"/>
        <v>data:image/svg+xml,%3csvg xmlns='http://www.w3.org/2000/svg' viewBox='0 0 24 216'%3e%3ctext fill='%23fff' style='font: 900 16px sans-serif' text-anchor='end' transform='matrix(0 -1 1 0 18 5)'%3eThrowing Rocks%3c/text%3e%3c/svg%3e</v>
      </c>
      <c r="H1671" s="8" t="s">
        <v>84</v>
      </c>
      <c r="I1671" s="8">
        <f t="shared" ref="I1671:J1671" si="1672">len(B1671)</f>
        <v>14</v>
      </c>
      <c r="J1671" s="8">
        <f t="shared" si="1672"/>
        <v>47</v>
      </c>
      <c r="K1671" s="8" t="s">
        <v>6660</v>
      </c>
    </row>
    <row r="1672">
      <c r="A1672" s="7" t="b">
        <v>1</v>
      </c>
      <c r="B1672" s="8" t="s">
        <v>6661</v>
      </c>
      <c r="C1672" s="7" t="s">
        <v>6662</v>
      </c>
      <c r="D1672" s="8" t="str">
        <f>Q&amp;$K1672&amp;Q&amp;":{"&amp;Q&amp;$B$2&amp;Q&amp;":"&amp;Q&amp;$B1672&amp;Q&amp;","&amp;Q&amp;$C$2&amp;Q&amp;":"&amp;Q&amp;$C1672&amp;Q&amp;","&amp;Q&amp;"sets"&amp;Q&amp;":"&amp;Q&amp;substitute(SUBSTITUTE($H1672,"[",""),"]","")&amp;Q&amp;"},"</f>
        <v>"sxqk":{"label":"Throwing Up","extra":"It’s proof that you really are sick.","sets":"Junior"},</v>
      </c>
      <c r="E1672" s="9" t="str">
        <f t="shared" si="2"/>
        <v>data:image/svg+xml,%3csvg xmlns='http://www.w3.org/2000/svg' viewBox='0 0 24 216'%3e%3ctext fill='%23fff' style='font: 900 16px sans-serif' text-anchor='end' transform='matrix(0 -1 1 0 18 5)'%3eThrowing Up%3c/text%3e%3c/svg%3e</v>
      </c>
      <c r="F1672" s="14" t="str">
        <f t="shared" si="3"/>
        <v>https://svgtext.heliohost.us/cgi-bin/gen.perl?text=Throwing%20Up</v>
      </c>
      <c r="G1672" s="11" t="str">
        <f t="shared" si="4"/>
        <v>data:image/svg+xml,%3csvg xmlns='http://www.w3.org/2000/svg' viewBox='0 0 24 216'%3e%3ctext fill='%23fff' style='font: 900 16px sans-serif' text-anchor='end' transform='matrix(0 -1 1 0 18 5)'%3eThrowing Up%3c/text%3e%3c/svg%3e</v>
      </c>
      <c r="H1672" s="8" t="s">
        <v>84</v>
      </c>
      <c r="I1672" s="8">
        <f t="shared" ref="I1672:J1672" si="1673">len(B1672)</f>
        <v>11</v>
      </c>
      <c r="J1672" s="8">
        <f t="shared" si="1673"/>
        <v>36</v>
      </c>
      <c r="K1672" s="8" t="s">
        <v>6663</v>
      </c>
    </row>
    <row r="1673">
      <c r="A1673" s="7" t="b">
        <v>1</v>
      </c>
      <c r="B1673" s="8" t="s">
        <v>6664</v>
      </c>
      <c r="C1673" s="8" t="s">
        <v>6665</v>
      </c>
      <c r="D1673" s="8" t="str">
        <f>Q&amp;$K1673&amp;Q&amp;":{"&amp;Q&amp;$B$2&amp;Q&amp;":"&amp;Q&amp;$B1673&amp;Q&amp;","&amp;Q&amp;$C$2&amp;Q&amp;":"&amp;Q&amp;$C1673&amp;Q&amp;","&amp;Q&amp;"sets"&amp;Q&amp;":"&amp;Q&amp;substitute(SUBSTITUTE($H1673,"[",""),"]","")&amp;Q&amp;"},"</f>
        <v>"qpvz":{"label":"Thunder","extra":"A booming sound wave created by the heat from lightning.","sets":"Junior 9+ (1st) &amp; (2nd)"},</v>
      </c>
      <c r="E1673" s="9" t="str">
        <f t="shared" si="2"/>
        <v>data:image/svg+xml,%3csvg xmlns='http://www.w3.org/2000/svg' viewBox='0 0 24 216'%3e%3ctext fill='%23fff' style='font: 900 16px sans-serif' text-anchor='end' transform='matrix(0 -1 1 0 18 5)'%3eThunder%3c/text%3e%3c/svg%3e</v>
      </c>
      <c r="F1673" s="14" t="str">
        <f t="shared" si="3"/>
        <v>https://svgtext.heliohost.us/cgi-bin/gen.perl?text=Thunder</v>
      </c>
      <c r="G1673" s="11" t="str">
        <f t="shared" si="4"/>
        <v>data:image/svg+xml,%3csvg xmlns='http://www.w3.org/2000/svg' viewBox='0 0 24 216'%3e%3ctext fill='%23fff' style='font: 900 16px sans-serif' text-anchor='end' transform='matrix(0 -1 1 0 18 5)'%3eThunder%3c/text%3e%3c/svg%3e</v>
      </c>
      <c r="H1673" s="8" t="s">
        <v>42</v>
      </c>
      <c r="I1673" s="8">
        <f t="shared" ref="I1673:J1673" si="1674">len(B1673)</f>
        <v>7</v>
      </c>
      <c r="J1673" s="8">
        <f t="shared" si="1674"/>
        <v>56</v>
      </c>
      <c r="K1673" s="8" t="s">
        <v>6666</v>
      </c>
    </row>
    <row r="1674">
      <c r="A1674" s="7" t="b">
        <v>0</v>
      </c>
      <c r="B1674" s="8" t="s">
        <v>6664</v>
      </c>
      <c r="C1674" s="7" t="s">
        <v>6667</v>
      </c>
      <c r="D1674" s="8" t="str">
        <f>Q&amp;$K1674&amp;Q&amp;":{"&amp;Q&amp;$B$2&amp;Q&amp;":"&amp;Q&amp;$B1674&amp;Q&amp;","&amp;Q&amp;$C$2&amp;Q&amp;":"&amp;Q&amp;$C1674&amp;Q&amp;","&amp;Q&amp;"sets"&amp;Q&amp;":"&amp;Q&amp;substitute(SUBSTITUTE($H1674,"[",""),"]","")&amp;Q&amp;"},"</f>
        <v>"pzjg":{"label":"Thunder","extra":"“Here it comes again, Thunder and Lightning…” —ELO.","sets":"Basic Set, Party Set"},</v>
      </c>
      <c r="E1674" s="9" t="str">
        <f t="shared" si="2"/>
        <v>data:image/svg+xml,%3csvg xmlns='http://www.w3.org/2000/svg' viewBox='0 0 24 216'%3e%3ctext fill='%23fff' style='font: 900 16px sans-serif' text-anchor='end' transform='matrix(0 -1 1 0 18 5)'%3eThunder%3c/text%3e%3c/svg%3e</v>
      </c>
      <c r="F1674" s="14" t="str">
        <f t="shared" si="3"/>
        <v>https://svgtext.heliohost.us/cgi-bin/gen.perl?text=Thunder</v>
      </c>
      <c r="G1674" s="11" t="str">
        <f t="shared" si="4"/>
        <v>data:image/svg+xml,%3csvg xmlns='http://www.w3.org/2000/svg' viewBox='0 0 24 216'%3e%3ctext fill='%23fff' style='font: 900 16px sans-serif' text-anchor='end' transform='matrix(0 -1 1 0 18 5)'%3eThunder%3c/text%3e%3c/svg%3e</v>
      </c>
      <c r="H1674" s="8" t="s">
        <v>29</v>
      </c>
      <c r="I1674" s="8">
        <f t="shared" ref="I1674:J1674" si="1675">len(B1674)</f>
        <v>7</v>
      </c>
      <c r="J1674" s="8">
        <f t="shared" si="1675"/>
        <v>51</v>
      </c>
      <c r="K1674" s="8" t="s">
        <v>6668</v>
      </c>
    </row>
    <row r="1675">
      <c r="A1675" s="7" t="b">
        <v>1</v>
      </c>
      <c r="B1675" s="8" t="s">
        <v>6669</v>
      </c>
      <c r="C1675" s="7" t="s">
        <v>6670</v>
      </c>
      <c r="D1675" s="8" t="str">
        <f>Q&amp;$K1675&amp;Q&amp;":{"&amp;Q&amp;$B$2&amp;Q&amp;":"&amp;Q&amp;$B1675&amp;Q&amp;","&amp;Q&amp;$C$2&amp;Q&amp;":"&amp;Q&amp;$C1675&amp;Q&amp;","&amp;Q&amp;"sets"&amp;Q&amp;":"&amp;Q&amp;substitute(SUBSTITUTE($H1675,"[",""),"]","")&amp;Q&amp;"},"</f>
        <v>"clpv":{"label":"Thunder &amp; Lightning","extra":"Nature’s fireworks.","sets":"Expansion Set 4, Party Expansion 1"},</v>
      </c>
      <c r="E1675" s="9" t="str">
        <f t="shared" si="2"/>
        <v>data:image/svg+xml,%3csvg xmlns='http://www.w3.org/2000/svg' viewBox='0 0 24 216'%3e%3ctext fill='%23fff' style='font: 900 16px sans-serif' text-anchor='end' transform='matrix(0 -1 1 0 18 5)'%3eThunder %26amp%3B Lightning%3c/text%3e%3c/svg%3e</v>
      </c>
      <c r="F1675" s="14" t="str">
        <f t="shared" si="3"/>
        <v>https://svgtext.heliohost.us/cgi-bin/gen.perl?text=Thunder%20%26%20Lightning</v>
      </c>
      <c r="G1675" s="11" t="str">
        <f t="shared" si="4"/>
        <v>data:image/svg+xml,%3csvg xmlns='http://www.w3.org/2000/svg' viewBox='0 0 24 216'%3e%3ctext fill='%23fff' style='font: 900 16px sans-serif' text-anchor='end' transform='matrix(0 -1 1 0 18 5)'%3eThunder %26amp%3B Lightning%3c/text%3e%3c/svg%3e</v>
      </c>
      <c r="H1675" s="8" t="s">
        <v>63</v>
      </c>
      <c r="I1675" s="8">
        <f t="shared" ref="I1675:J1675" si="1676">len(B1675)</f>
        <v>19</v>
      </c>
      <c r="J1675" s="8">
        <f t="shared" si="1676"/>
        <v>19</v>
      </c>
      <c r="K1675" s="8" t="s">
        <v>6671</v>
      </c>
    </row>
    <row r="1676">
      <c r="A1676" s="7" t="b">
        <v>1</v>
      </c>
      <c r="B1676" s="8" t="s">
        <v>6672</v>
      </c>
      <c r="C1676" s="7" t="s">
        <v>6673</v>
      </c>
      <c r="D1676" s="8" t="str">
        <f>Q&amp;$K1676&amp;Q&amp;":{"&amp;Q&amp;$B$2&amp;Q&amp;":"&amp;Q&amp;$B1676&amp;Q&amp;","&amp;Q&amp;$C$2&amp;Q&amp;":"&amp;Q&amp;$C1676&amp;Q&amp;","&amp;Q&amp;"sets"&amp;Q&amp;":"&amp;Q&amp;substitute(SUBSTITUTE($H1676,"[",""),"]","")&amp;Q&amp;"},"</f>
        <v>"uebw":{"label":"Thunderstorms","extra":"Don’t stand under a tree if you hear thunder!","sets":"Junior"},</v>
      </c>
      <c r="E1676" s="9" t="str">
        <f t="shared" si="2"/>
        <v>data:image/svg+xml,%3csvg xmlns='http://www.w3.org/2000/svg' viewBox='0 0 24 216'%3e%3ctext fill='%23fff' style='font: 900 16px sans-serif' text-anchor='end' transform='matrix(0 -1 1 0 18 5)'%3eThunderstorms%3c/text%3e%3c/svg%3e</v>
      </c>
      <c r="F1676" s="14" t="str">
        <f t="shared" si="3"/>
        <v>https://svgtext.heliohost.us/cgi-bin/gen.perl?text=Thunderstorms</v>
      </c>
      <c r="G1676" s="11" t="str">
        <f t="shared" si="4"/>
        <v>data:image/svg+xml,%3csvg xmlns='http://www.w3.org/2000/svg' viewBox='0 0 24 216'%3e%3ctext fill='%23fff' style='font: 900 16px sans-serif' text-anchor='end' transform='matrix(0 -1 1 0 18 5)'%3eThunderstorms%3c/text%3e%3c/svg%3e</v>
      </c>
      <c r="H1676" s="8" t="s">
        <v>84</v>
      </c>
      <c r="I1676" s="8">
        <f t="shared" ref="I1676:J1676" si="1677">len(B1676)</f>
        <v>13</v>
      </c>
      <c r="J1676" s="8">
        <f t="shared" si="1677"/>
        <v>45</v>
      </c>
      <c r="K1676" s="8" t="s">
        <v>6674</v>
      </c>
    </row>
    <row r="1677">
      <c r="A1677" s="7" t="b">
        <v>0</v>
      </c>
      <c r="B1677" s="8" t="s">
        <v>6675</v>
      </c>
      <c r="C1677" s="8" t="s">
        <v>6676</v>
      </c>
      <c r="D1677" s="8" t="str">
        <f>Q&amp;$K1677&amp;Q&amp;":{"&amp;Q&amp;$B$2&amp;Q&amp;":"&amp;Q&amp;$B1677&amp;Q&amp;","&amp;Q&amp;$C$2&amp;Q&amp;":"&amp;Q&amp;$C1677&amp;Q&amp;","&amp;Q&amp;"sets"&amp;Q&amp;":"&amp;Q&amp;substitute(SUBSTITUTE($H1677,"[",""),"]","")&amp;Q&amp;"},"</f>
        <v>"stoe":{"label":"Tibet","extra":"Mountainous region of China and religious enclave for a form of Buddhism called Lamaism. Known as the roof of the world.","sets":"Expansion Set 1, Party Set"},</v>
      </c>
      <c r="E1677" s="9" t="str">
        <f t="shared" si="2"/>
        <v>data:image/svg+xml,%3csvg xmlns='http://www.w3.org/2000/svg' viewBox='0 0 24 216'%3e%3ctext fill='%23fff' style='font: 900 16px sans-serif' text-anchor='end' transform='matrix(0 -1 1 0 18 5)'%3eTibet%3c/text%3e%3c/svg%3e</v>
      </c>
      <c r="F1677" s="14" t="str">
        <f t="shared" si="3"/>
        <v>https://svgtext.heliohost.us/cgi-bin/gen.perl?text=Tibet</v>
      </c>
      <c r="G1677" s="11" t="str">
        <f t="shared" si="4"/>
        <v>data:image/svg+xml,%3csvg xmlns='http://www.w3.org/2000/svg' viewBox='0 0 24 216'%3e%3ctext fill='%23fff' style='font: 900 16px sans-serif' text-anchor='end' transform='matrix(0 -1 1 0 18 5)'%3eTibet%3c/text%3e%3c/svg%3e</v>
      </c>
      <c r="H1677" s="8" t="s">
        <v>25</v>
      </c>
      <c r="I1677" s="8">
        <f t="shared" ref="I1677:J1677" si="1678">len(B1677)</f>
        <v>5</v>
      </c>
      <c r="J1677" s="8">
        <f t="shared" si="1678"/>
        <v>120</v>
      </c>
      <c r="K1677" s="8" t="s">
        <v>6677</v>
      </c>
    </row>
    <row r="1678">
      <c r="A1678" s="7" t="b">
        <v>0</v>
      </c>
      <c r="B1678" s="8" t="s">
        <v>6678</v>
      </c>
      <c r="C1678" s="7" t="s">
        <v>6679</v>
      </c>
      <c r="D1678" s="8" t="str">
        <f>Q&amp;$K1678&amp;Q&amp;":{"&amp;Q&amp;$B$2&amp;Q&amp;":"&amp;Q&amp;$B1678&amp;Q&amp;","&amp;Q&amp;$C$2&amp;Q&amp;":"&amp;Q&amp;$C1678&amp;Q&amp;","&amp;Q&amp;"sets"&amp;Q&amp;":"&amp;Q&amp;substitute(SUBSTITUTE($H1678,"[",""),"]","")&amp;Q&amp;"},"</f>
        <v>"vc{s":{"label":"Ticks","extra":"All ticks are bloodsucking parasites, but not all bloodsucking parasites are ticks.","sets":"Expansion Set 2, Party Set"},</v>
      </c>
      <c r="E1678" s="9" t="str">
        <f t="shared" si="2"/>
        <v>data:image/svg+xml,%3csvg xmlns='http://www.w3.org/2000/svg' viewBox='0 0 24 216'%3e%3ctext fill='%23fff' style='font: 900 16px sans-serif' text-anchor='end' transform='matrix(0 -1 1 0 18 5)'%3eTicks%3c/text%3e%3c/svg%3e</v>
      </c>
      <c r="F1678" s="14" t="str">
        <f t="shared" si="3"/>
        <v>https://svgtext.heliohost.us/cgi-bin/gen.perl?text=Ticks</v>
      </c>
      <c r="G1678" s="11" t="str">
        <f t="shared" si="4"/>
        <v>data:image/svg+xml,%3csvg xmlns='http://www.w3.org/2000/svg' viewBox='0 0 24 216'%3e%3ctext fill='%23fff' style='font: 900 16px sans-serif' text-anchor='end' transform='matrix(0 -1 1 0 18 5)'%3eTicks%3c/text%3e%3c/svg%3e</v>
      </c>
      <c r="H1678" s="8" t="s">
        <v>17</v>
      </c>
      <c r="I1678" s="8">
        <f t="shared" ref="I1678:J1678" si="1679">len(B1678)</f>
        <v>5</v>
      </c>
      <c r="J1678" s="8">
        <f t="shared" si="1679"/>
        <v>83</v>
      </c>
      <c r="K1678" s="8" t="s">
        <v>6680</v>
      </c>
    </row>
    <row r="1679">
      <c r="A1679" s="7" t="b">
        <v>0</v>
      </c>
      <c r="B1679" s="8" t="s">
        <v>6681</v>
      </c>
      <c r="C1679" s="8" t="s">
        <v>6682</v>
      </c>
      <c r="D1679" s="8" t="str">
        <f>Q&amp;$K1679&amp;Q&amp;":{"&amp;Q&amp;$B$2&amp;Q&amp;":"&amp;Q&amp;$B1679&amp;Q&amp;","&amp;Q&amp;$C$2&amp;Q&amp;":"&amp;Q&amp;$C1679&amp;Q&amp;","&amp;Q&amp;"sets"&amp;Q&amp;":"&amp;Q&amp;substitute(SUBSTITUTE($H1679,"[",""),"]","")&amp;Q&amp;"},"</f>
        <v>"pji{":{"label":"Tidal Waves","extra":"The gigantic ocean waves that strike with tremendous force, and cause considerable damage to life and property. Kind of like Spring Break.","sets":"Expansion Set 1, Party Set"},</v>
      </c>
      <c r="E1679" s="9" t="str">
        <f t="shared" si="2"/>
        <v>data:image/svg+xml,%3csvg xmlns='http://www.w3.org/2000/svg' viewBox='0 0 24 216'%3e%3ctext fill='%23fff' style='font: 900 16px sans-serif' text-anchor='end' transform='matrix(0 -1 1 0 18 5)'%3eTidal Waves%3c/text%3e%3c/svg%3e</v>
      </c>
      <c r="F1679" s="14" t="str">
        <f t="shared" si="3"/>
        <v>https://svgtext.heliohost.us/cgi-bin/gen.perl?text=Tidal%20Waves</v>
      </c>
      <c r="G1679" s="11" t="str">
        <f t="shared" si="4"/>
        <v>data:image/svg+xml,%3csvg xmlns='http://www.w3.org/2000/svg' viewBox='0 0 24 216'%3e%3ctext fill='%23fff' style='font: 900 16px sans-serif' text-anchor='end' transform='matrix(0 -1 1 0 18 5)'%3eTidal Waves%3c/text%3e%3c/svg%3e</v>
      </c>
      <c r="H1679" s="8" t="s">
        <v>25</v>
      </c>
      <c r="I1679" s="8">
        <f t="shared" ref="I1679:J1679" si="1680">len(B1679)</f>
        <v>11</v>
      </c>
      <c r="J1679" s="8">
        <f t="shared" si="1680"/>
        <v>138</v>
      </c>
      <c r="K1679" s="8" t="s">
        <v>6683</v>
      </c>
    </row>
    <row r="1680">
      <c r="A1680" s="7" t="b">
        <v>0</v>
      </c>
      <c r="B1680" s="8" t="s">
        <v>6684</v>
      </c>
      <c r="C1680" s="8" t="s">
        <v>6685</v>
      </c>
      <c r="D1680" s="8" t="str">
        <f>Q&amp;$K1680&amp;Q&amp;":{"&amp;Q&amp;$B$2&amp;Q&amp;":"&amp;Q&amp;$B1680&amp;Q&amp;","&amp;Q&amp;$C$2&amp;Q&amp;":"&amp;Q&amp;$C1680&amp;Q&amp;","&amp;Q&amp;"sets"&amp;Q&amp;":"&amp;Q&amp;substitute(SUBSTITUTE($H1680,"[",""),"]","")&amp;Q&amp;"},"</f>
        <v>"iona":{"label":"Tiger Woods","extra":"1975-, American star of the golf circuit. Known for his athletic skill, and youthful, classic style.","sets":"Expansion Set 2, Party Set"},</v>
      </c>
      <c r="E1680" s="9" t="str">
        <f t="shared" si="2"/>
        <v>data:image/svg+xml,%3csvg xmlns='http://www.w3.org/2000/svg' viewBox='0 0 24 216'%3e%3ctext fill='%23fff' style='font: 900 16px sans-serif' text-anchor='end' transform='matrix(0 -1 1 0 18 5)'%3eTiger Woods%3c/text%3e%3c/svg%3e</v>
      </c>
      <c r="F1680" s="14" t="str">
        <f t="shared" si="3"/>
        <v>https://svgtext.heliohost.us/cgi-bin/gen.perl?text=Tiger%20Woods</v>
      </c>
      <c r="G1680" s="11" t="str">
        <f t="shared" si="4"/>
        <v>data:image/svg+xml,%3csvg xmlns='http://www.w3.org/2000/svg' viewBox='0 0 24 216'%3e%3ctext fill='%23fff' style='font: 900 16px sans-serif' text-anchor='end' transform='matrix(0 -1 1 0 18 5)'%3eTiger Woods%3c/text%3e%3c/svg%3e</v>
      </c>
      <c r="H1680" s="8" t="s">
        <v>17</v>
      </c>
      <c r="I1680" s="8">
        <f t="shared" ref="I1680:J1680" si="1681">len(B1680)</f>
        <v>11</v>
      </c>
      <c r="J1680" s="8">
        <f t="shared" si="1681"/>
        <v>100</v>
      </c>
      <c r="K1680" s="8" t="s">
        <v>6686</v>
      </c>
    </row>
    <row r="1681">
      <c r="A1681" s="7" t="b">
        <v>1</v>
      </c>
      <c r="B1681" s="8" t="s">
        <v>6687</v>
      </c>
      <c r="C1681" s="8" t="s">
        <v>6688</v>
      </c>
      <c r="D1681" s="8" t="str">
        <f>Q&amp;$K1681&amp;Q&amp;":{"&amp;Q&amp;$B$2&amp;Q&amp;":"&amp;Q&amp;$B1681&amp;Q&amp;","&amp;Q&amp;$C$2&amp;Q&amp;":"&amp;Q&amp;$C1681&amp;Q&amp;","&amp;Q&amp;"sets"&amp;Q&amp;":"&amp;Q&amp;substitute(SUBSTITUTE($H1681,"[",""),"]","")&amp;Q&amp;"},"</f>
        <v>"jzcc":{"label":"Tightrope Walking","extra":"If you get really good, you can join the circus.","sets":"Junior 9+ (2nd)"},</v>
      </c>
      <c r="E1681" s="9" t="str">
        <f t="shared" si="2"/>
        <v>data:image/svg+xml,%3csvg xmlns='http://www.w3.org/2000/svg' viewBox='0 0 24 216'%3e%3ctext fill='%23fff' style='font: 900 16px sans-serif' text-anchor='end' transform='matrix(0 -1 1 0 18 5)'%3eTightrope Walking%3c/text%3e%3c/svg%3e</v>
      </c>
      <c r="F1681" s="14" t="str">
        <f t="shared" si="3"/>
        <v>https://svgtext.heliohost.us/cgi-bin/gen.perl?text=Tightrope%20Walking</v>
      </c>
      <c r="G1681" s="11" t="str">
        <f t="shared" si="4"/>
        <v>data:image/svg+xml,%3csvg xmlns='http://www.w3.org/2000/svg' viewBox='0 0 24 216'%3e%3ctext fill='%23fff' style='font: 900 16px sans-serif' text-anchor='end' transform='matrix(0 -1 1 0 18 5)'%3eTightrope Walking%3c/text%3e%3c/svg%3e</v>
      </c>
      <c r="H1681" s="8" t="s">
        <v>32</v>
      </c>
      <c r="I1681" s="8">
        <f t="shared" ref="I1681:J1681" si="1682">len(B1681)</f>
        <v>17</v>
      </c>
      <c r="J1681" s="8">
        <f t="shared" si="1682"/>
        <v>48</v>
      </c>
      <c r="K1681" s="8" t="s">
        <v>6689</v>
      </c>
    </row>
    <row r="1682">
      <c r="A1682" s="7" t="b">
        <v>1</v>
      </c>
      <c r="B1682" s="8" t="s">
        <v>6690</v>
      </c>
      <c r="C1682" s="7" t="s">
        <v>6691</v>
      </c>
      <c r="D1682" s="8" t="str">
        <f>Q&amp;$K1682&amp;Q&amp;":{"&amp;Q&amp;$B$2&amp;Q&amp;":"&amp;Q&amp;$B1682&amp;Q&amp;","&amp;Q&amp;$C$2&amp;Q&amp;":"&amp;Q&amp;$C1682&amp;Q&amp;","&amp;Q&amp;"sets"&amp;Q&amp;":"&amp;Q&amp;substitute(SUBSTITUTE($H1682,"[",""),"]","")&amp;Q&amp;"},"</f>
        <v>"mfcf":{"label":"Timbuktu","extra":"City of 20,000 located in the West African nation of Mali. The official name is Tombouctou. From here to Timbuktu.","sets":"Expansion Set 3, Party Expansion 1"},</v>
      </c>
      <c r="E1682" s="9" t="str">
        <f t="shared" si="2"/>
        <v>data:image/svg+xml,%3csvg xmlns='http://www.w3.org/2000/svg' viewBox='0 0 24 216'%3e%3ctext fill='%23fff' style='font: 900 16px sans-serif' text-anchor='end' transform='matrix(0 -1 1 0 18 5)'%3eTimbuktu%3c/text%3e%3c/svg%3e</v>
      </c>
      <c r="F1682" s="14" t="str">
        <f t="shared" si="3"/>
        <v>https://svgtext.heliohost.us/cgi-bin/gen.perl?text=Timbuktu</v>
      </c>
      <c r="G1682" s="11" t="str">
        <f t="shared" si="4"/>
        <v>data:image/svg+xml,%3csvg xmlns='http://www.w3.org/2000/svg' viewBox='0 0 24 216'%3e%3ctext fill='%23fff' style='font: 900 16px sans-serif' text-anchor='end' transform='matrix(0 -1 1 0 18 5)'%3eTimbuktu%3c/text%3e%3c/svg%3e</v>
      </c>
      <c r="H1682" s="8" t="s">
        <v>39</v>
      </c>
      <c r="I1682" s="8">
        <f t="shared" ref="I1682:J1682" si="1683">len(B1682)</f>
        <v>8</v>
      </c>
      <c r="J1682" s="8">
        <f t="shared" si="1683"/>
        <v>114</v>
      </c>
      <c r="K1682" s="8" t="s">
        <v>6692</v>
      </c>
    </row>
    <row r="1683">
      <c r="A1683" s="7" t="b">
        <v>1</v>
      </c>
      <c r="B1683" s="8" t="s">
        <v>6693</v>
      </c>
      <c r="C1683" s="7" t="s">
        <v>6694</v>
      </c>
      <c r="D1683" s="8" t="str">
        <f>Q&amp;$K1683&amp;Q&amp;":{"&amp;Q&amp;$B$2&amp;Q&amp;":"&amp;Q&amp;$B1683&amp;Q&amp;","&amp;Q&amp;$C$2&amp;Q&amp;":"&amp;Q&amp;$C1683&amp;Q&amp;","&amp;Q&amp;"sets"&amp;Q&amp;":"&amp;Q&amp;substitute(SUBSTITUTE($H1683,"[",""),"]","")&amp;Q&amp;"},"</f>
        <v>"vpio":{"label":"Time Travel","extra":"“What do you mean I missed my connection in the 14th Century?”","sets":"Expansion Set 3, Party Expansion 1"},</v>
      </c>
      <c r="E1683" s="9" t="str">
        <f t="shared" si="2"/>
        <v>data:image/svg+xml,%3csvg xmlns='http://www.w3.org/2000/svg' viewBox='0 0 24 216'%3e%3ctext fill='%23fff' style='font: 900 16px sans-serif' text-anchor='end' transform='matrix(0 -1 1 0 18 5)'%3eTime Travel%3c/text%3e%3c/svg%3e</v>
      </c>
      <c r="F1683" s="14" t="str">
        <f t="shared" si="3"/>
        <v>https://svgtext.heliohost.us/cgi-bin/gen.perl?text=Time%20Travel</v>
      </c>
      <c r="G1683" s="11" t="str">
        <f t="shared" si="4"/>
        <v>data:image/svg+xml,%3csvg xmlns='http://www.w3.org/2000/svg' viewBox='0 0 24 216'%3e%3ctext fill='%23fff' style='font: 900 16px sans-serif' text-anchor='end' transform='matrix(0 -1 1 0 18 5)'%3eTime Travel%3c/text%3e%3c/svg%3e</v>
      </c>
      <c r="H1683" s="8" t="s">
        <v>39</v>
      </c>
      <c r="I1683" s="8">
        <f t="shared" ref="I1683:J1683" si="1684">len(B1683)</f>
        <v>11</v>
      </c>
      <c r="J1683" s="8">
        <f t="shared" si="1684"/>
        <v>62</v>
      </c>
      <c r="K1683" s="8" t="s">
        <v>6695</v>
      </c>
    </row>
    <row r="1684">
      <c r="A1684" s="7" t="b">
        <v>0</v>
      </c>
      <c r="B1684" s="8" t="s">
        <v>6696</v>
      </c>
      <c r="C1684" s="8" t="s">
        <v>6697</v>
      </c>
      <c r="D1684" s="8" t="str">
        <f>Q&amp;$K1684&amp;Q&amp;":{"&amp;Q&amp;$B$2&amp;Q&amp;":"&amp;Q&amp;$B1684&amp;Q&amp;","&amp;Q&amp;$C$2&amp;Q&amp;":"&amp;Q&amp;$C1684&amp;Q&amp;","&amp;Q&amp;"sets"&amp;Q&amp;":"&amp;Q&amp;substitute(SUBSTITUTE($H1684,"[",""),"]","")&amp;Q&amp;"},"</f>
        <v>"hdmq":{"label":"Timothy McVey","extra":"1961-2001, the Oklahoma City Bomber.","sets":"Expansion Set 3, Party Expansion 1"},</v>
      </c>
      <c r="E1684" s="9" t="str">
        <f t="shared" si="2"/>
        <v>data:image/svg+xml,%3csvg xmlns='http://www.w3.org/2000/svg' viewBox='0 0 24 216'%3e%3ctext fill='%23fff' style='font: 900 16px sans-serif' text-anchor='end' transform='matrix(0 -1 1 0 18 5)'%3eTimothy McVey%3c/text%3e%3c/svg%3e</v>
      </c>
      <c r="F1684" s="14" t="str">
        <f t="shared" si="3"/>
        <v>https://svgtext.heliohost.us/cgi-bin/gen.perl?text=Timothy%20McVey</v>
      </c>
      <c r="G1684" s="11" t="str">
        <f t="shared" si="4"/>
        <v>data:image/svg+xml,%3csvg xmlns='http://www.w3.org/2000/svg' viewBox='0 0 24 216'%3e%3ctext fill='%23fff' style='font: 900 16px sans-serif' text-anchor='end' transform='matrix(0 -1 1 0 18 5)'%3eTimothy McVey%3c/text%3e%3c/svg%3e</v>
      </c>
      <c r="H1684" s="8" t="s">
        <v>39</v>
      </c>
      <c r="I1684" s="8">
        <f t="shared" ref="I1684:J1684" si="1685">len(B1684)</f>
        <v>13</v>
      </c>
      <c r="J1684" s="8">
        <f t="shared" si="1685"/>
        <v>36</v>
      </c>
      <c r="K1684" s="8" t="s">
        <v>6698</v>
      </c>
    </row>
    <row r="1685">
      <c r="A1685" s="7" t="b">
        <v>1</v>
      </c>
      <c r="B1685" s="8" t="s">
        <v>6699</v>
      </c>
      <c r="C1685" s="7" t="s">
        <v>6700</v>
      </c>
      <c r="D1685" s="8" t="str">
        <f>Q&amp;$K1685&amp;Q&amp;":{"&amp;Q&amp;$B$2&amp;Q&amp;":"&amp;Q&amp;$B1685&amp;Q&amp;","&amp;Q&amp;$C$2&amp;Q&amp;":"&amp;Q&amp;$C1685&amp;Q&amp;","&amp;Q&amp;"sets"&amp;Q&amp;":"&amp;Q&amp;substitute(SUBSTITUTE($H1685,"[",""),"]","")&amp;Q&amp;"},"</f>
        <v>"lbmk":{"label":"Toasted Marshmallows","extra":"Add chocolate and graham crackers and you'll wish you had s’more.","sets":"Junior 9+ (1st) &amp; (2nd)"},</v>
      </c>
      <c r="E1685" s="9" t="str">
        <f t="shared" si="2"/>
        <v>data:image/svg+xml,%3csvg xmlns='http://www.w3.org/2000/svg' viewBox='0 0 24 216'%3e%3ctext fill='%23fff' style='font: 900 16px sans-serif' text-anchor='end' transform='matrix(0 -1 1 0 18 5)'%3eToasted Marshmallows%3c/text%3e%3c/svg%3e</v>
      </c>
      <c r="F1685" s="14" t="str">
        <f t="shared" si="3"/>
        <v>https://svgtext.heliohost.us/cgi-bin/gen.perl?text=Toasted%20Marshmallows</v>
      </c>
      <c r="G1685" s="11" t="str">
        <f t="shared" si="4"/>
        <v>data:image/svg+xml,%3csvg xmlns='http://www.w3.org/2000/svg' viewBox='0 0 24 216'%3e%3ctext fill='%23fff' style='font: 900 16px sans-serif' text-anchor='end' transform='matrix(0 -1 1 0 18 5)'%3eToasted Marshmallows%3c/text%3e%3c/svg%3e</v>
      </c>
      <c r="H1685" s="8" t="s">
        <v>42</v>
      </c>
      <c r="I1685" s="8">
        <f t="shared" ref="I1685:J1685" si="1686">len(B1685)</f>
        <v>20</v>
      </c>
      <c r="J1685" s="8">
        <f t="shared" si="1686"/>
        <v>65</v>
      </c>
      <c r="K1685" s="8" t="s">
        <v>6701</v>
      </c>
    </row>
    <row r="1686">
      <c r="A1686" s="7" t="b">
        <v>0</v>
      </c>
      <c r="B1686" s="8" t="s">
        <v>6699</v>
      </c>
      <c r="C1686" s="7" t="s">
        <v>6702</v>
      </c>
      <c r="D1686" s="8" t="str">
        <f>Q&amp;$K1686&amp;Q&amp;":{"&amp;Q&amp;$B$2&amp;Q&amp;":"&amp;Q&amp;$B1686&amp;Q&amp;","&amp;Q&amp;$C$2&amp;Q&amp;":"&amp;Q&amp;$C1686&amp;Q&amp;","&amp;Q&amp;"sets"&amp;Q&amp;":"&amp;Q&amp;substitute(SUBSTITUTE($H1686,"[",""),"]","")&amp;Q&amp;"},"</f>
        <v>"elvs":{"label":"Toasted Marshmallows","extra":"How do you like yours…golden brown or flaming?","sets":"Expansion Set 1, Party Set"},</v>
      </c>
      <c r="E1686" s="9" t="str">
        <f t="shared" si="2"/>
        <v>data:image/svg+xml,%3csvg xmlns='http://www.w3.org/2000/svg' viewBox='0 0 24 216'%3e%3ctext fill='%23fff' style='font: 900 16px sans-serif' text-anchor='end' transform='matrix(0 -1 1 0 18 5)'%3eToasted Marshmallows%3c/text%3e%3c/svg%3e</v>
      </c>
      <c r="F1686" s="14" t="str">
        <f t="shared" si="3"/>
        <v>https://svgtext.heliohost.us/cgi-bin/gen.perl?text=Toasted%20Marshmallows</v>
      </c>
      <c r="G1686" s="11" t="str">
        <f t="shared" si="4"/>
        <v>data:image/svg+xml,%3csvg xmlns='http://www.w3.org/2000/svg' viewBox='0 0 24 216'%3e%3ctext fill='%23fff' style='font: 900 16px sans-serif' text-anchor='end' transform='matrix(0 -1 1 0 18 5)'%3eToasted Marshmallows%3c/text%3e%3c/svg%3e</v>
      </c>
      <c r="H1686" s="8" t="s">
        <v>25</v>
      </c>
      <c r="I1686" s="8">
        <f t="shared" ref="I1686:J1686" si="1687">len(B1686)</f>
        <v>20</v>
      </c>
      <c r="J1686" s="8">
        <f t="shared" si="1687"/>
        <v>46</v>
      </c>
      <c r="K1686" s="8" t="s">
        <v>6703</v>
      </c>
    </row>
    <row r="1687">
      <c r="A1687" s="7" t="b">
        <v>0</v>
      </c>
      <c r="B1687" s="8" t="s">
        <v>6704</v>
      </c>
      <c r="C1687" s="7" t="s">
        <v>6705</v>
      </c>
      <c r="D1687" s="8" t="str">
        <f>Q&amp;$K1687&amp;Q&amp;":{"&amp;Q&amp;$B$2&amp;Q&amp;":"&amp;Q&amp;$B1687&amp;Q&amp;","&amp;Q&amp;$C$2&amp;Q&amp;":"&amp;Q&amp;$C1687&amp;Q&amp;","&amp;Q&amp;"sets"&amp;Q&amp;":"&amp;Q&amp;substitute(SUBSTITUTE($H1687,"[",""),"]","")&amp;Q&amp;"},"</f>
        <v>"kigh":{"label":"Toasters","extra":"Wait don’t stick that fork in there!","sets":"Expansion Set 1, Party Set"},</v>
      </c>
      <c r="E1687" s="9" t="str">
        <f t="shared" si="2"/>
        <v>data:image/svg+xml,%3csvg xmlns='http://www.w3.org/2000/svg' viewBox='0 0 24 216'%3e%3ctext fill='%23fff' style='font: 900 16px sans-serif' text-anchor='end' transform='matrix(0 -1 1 0 18 5)'%3eToasters%3c/text%3e%3c/svg%3e</v>
      </c>
      <c r="F1687" s="14" t="str">
        <f t="shared" si="3"/>
        <v>https://svgtext.heliohost.us/cgi-bin/gen.perl?text=Toasters</v>
      </c>
      <c r="G1687" s="11" t="str">
        <f t="shared" si="4"/>
        <v>data:image/svg+xml,%3csvg xmlns='http://www.w3.org/2000/svg' viewBox='0 0 24 216'%3e%3ctext fill='%23fff' style='font: 900 16px sans-serif' text-anchor='end' transform='matrix(0 -1 1 0 18 5)'%3eToasters%3c/text%3e%3c/svg%3e</v>
      </c>
      <c r="H1687" s="8" t="s">
        <v>25</v>
      </c>
      <c r="I1687" s="8">
        <f t="shared" ref="I1687:J1687" si="1688">len(B1687)</f>
        <v>8</v>
      </c>
      <c r="J1687" s="8">
        <f t="shared" si="1688"/>
        <v>36</v>
      </c>
      <c r="K1687" s="8" t="s">
        <v>6706</v>
      </c>
    </row>
    <row r="1688">
      <c r="A1688" s="7" t="b">
        <v>0</v>
      </c>
      <c r="B1688" s="8" t="s">
        <v>6707</v>
      </c>
      <c r="C1688" s="7" t="s">
        <v>6708</v>
      </c>
      <c r="D1688" s="8" t="str">
        <f>Q&amp;$K1688&amp;Q&amp;":{"&amp;Q&amp;$B$2&amp;Q&amp;":"&amp;Q&amp;$B1688&amp;Q&amp;","&amp;Q&amp;$C$2&amp;Q&amp;":"&amp;Q&amp;$C1688&amp;Q&amp;","&amp;Q&amp;"sets"&amp;Q&amp;":"&amp;Q&amp;substitute(SUBSTITUTE($H1688,"[",""),"]","")&amp;Q&amp;"},"</f>
        <v>"vwum":{"label":"Tobacco Companies","extra":"Who says tobacco's not addictive? THEY can’t give it up…","sets":"Expansion Set 2, Party Set"},</v>
      </c>
      <c r="E1688" s="9" t="str">
        <f t="shared" si="2"/>
        <v>data:image/svg+xml,%3csvg xmlns='http://www.w3.org/2000/svg' viewBox='0 0 24 216'%3e%3ctext fill='%23fff' style='font: 900 16px sans-serif' text-anchor='end' transform='matrix(0 -1 1 0 18 5)'%3eTobacco Companies%3c/text%3e%3c/svg%3e</v>
      </c>
      <c r="F1688" s="14" t="str">
        <f t="shared" si="3"/>
        <v>https://svgtext.heliohost.us/cgi-bin/gen.perl?text=Tobacco%20Companies</v>
      </c>
      <c r="G1688" s="11" t="str">
        <f t="shared" si="4"/>
        <v>data:image/svg+xml,%3csvg xmlns='http://www.w3.org/2000/svg' viewBox='0 0 24 216'%3e%3ctext fill='%23fff' style='font: 900 16px sans-serif' text-anchor='end' transform='matrix(0 -1 1 0 18 5)'%3eTobacco Companies%3c/text%3e%3c/svg%3e</v>
      </c>
      <c r="H1688" s="8" t="s">
        <v>17</v>
      </c>
      <c r="I1688" s="8">
        <f t="shared" ref="I1688:J1688" si="1689">len(B1688)</f>
        <v>17</v>
      </c>
      <c r="J1688" s="8">
        <f t="shared" si="1689"/>
        <v>56</v>
      </c>
      <c r="K1688" s="8" t="s">
        <v>6709</v>
      </c>
    </row>
    <row r="1689">
      <c r="A1689" s="7" t="b">
        <v>1</v>
      </c>
      <c r="B1689" s="8" t="s">
        <v>6710</v>
      </c>
      <c r="C1689" s="7" t="s">
        <v>6711</v>
      </c>
      <c r="D1689" s="8" t="str">
        <f>Q&amp;$K1689&amp;Q&amp;":{"&amp;Q&amp;$B$2&amp;Q&amp;":"&amp;Q&amp;$B1689&amp;Q&amp;","&amp;Q&amp;$C$2&amp;Q&amp;":"&amp;Q&amp;$C1689&amp;Q&amp;","&amp;Q&amp;"sets"&amp;Q&amp;":"&amp;Q&amp;substitute(SUBSTITUTE($H1689,"[",""),"]","")&amp;Q&amp;"},"</f>
        <v>"ogzq":{"label":"Toenails","extra":"A horse’s foot is actually a toe. The hoof is a toenail.","sets":"Junior 9+ (1st) &amp; (2nd)"},</v>
      </c>
      <c r="E1689" s="9" t="str">
        <f t="shared" si="2"/>
        <v>data:image/svg+xml,%3csvg xmlns='http://www.w3.org/2000/svg' viewBox='0 0 24 216'%3e%3ctext fill='%23fff' style='font: 900 16px sans-serif' text-anchor='end' transform='matrix(0 -1 1 0 18 5)'%3eToenails%3c/text%3e%3c/svg%3e</v>
      </c>
      <c r="F1689" s="14" t="str">
        <f t="shared" si="3"/>
        <v>https://svgtext.heliohost.us/cgi-bin/gen.perl?text=Toenails</v>
      </c>
      <c r="G1689" s="11" t="str">
        <f t="shared" si="4"/>
        <v>data:image/svg+xml,%3csvg xmlns='http://www.w3.org/2000/svg' viewBox='0 0 24 216'%3e%3ctext fill='%23fff' style='font: 900 16px sans-serif' text-anchor='end' transform='matrix(0 -1 1 0 18 5)'%3eToenails%3c/text%3e%3c/svg%3e</v>
      </c>
      <c r="H1689" s="8" t="s">
        <v>42</v>
      </c>
      <c r="I1689" s="8">
        <f t="shared" ref="I1689:J1689" si="1690">len(B1689)</f>
        <v>8</v>
      </c>
      <c r="J1689" s="8">
        <f t="shared" si="1690"/>
        <v>56</v>
      </c>
      <c r="K1689" s="8" t="s">
        <v>6712</v>
      </c>
    </row>
    <row r="1690">
      <c r="A1690" s="7" t="b">
        <v>0</v>
      </c>
      <c r="B1690" s="8" t="s">
        <v>6713</v>
      </c>
      <c r="C1690" s="7" t="s">
        <v>6714</v>
      </c>
      <c r="D1690" s="8" t="str">
        <f>Q&amp;$K1690&amp;Q&amp;":{"&amp;Q&amp;$B$2&amp;Q&amp;":"&amp;Q&amp;$B1690&amp;Q&amp;","&amp;Q&amp;$C$2&amp;Q&amp;":"&amp;Q&amp;$C1690&amp;Q&amp;","&amp;Q&amp;"sets"&amp;Q&amp;":"&amp;Q&amp;substitute(SUBSTITUTE($H1690,"[",""),"]","")&amp;Q&amp;"},"</f>
        <v>"bhwp":{"label":"Toes","extra":"“This little piggy went to market…”","sets":"Expansion Set 1, Party Set"},</v>
      </c>
      <c r="E1690" s="9" t="str">
        <f t="shared" si="2"/>
        <v>data:image/svg+xml,%3csvg xmlns='http://www.w3.org/2000/svg' viewBox='0 0 24 216'%3e%3ctext fill='%23fff' style='font: 900 16px sans-serif' text-anchor='end' transform='matrix(0 -1 1 0 18 5)'%3eToes%3c/text%3e%3c/svg%3e</v>
      </c>
      <c r="F1690" s="14" t="str">
        <f t="shared" si="3"/>
        <v>https://svgtext.heliohost.us/cgi-bin/gen.perl?text=Toes</v>
      </c>
      <c r="G1690" s="11" t="str">
        <f t="shared" si="4"/>
        <v>data:image/svg+xml,%3csvg xmlns='http://www.w3.org/2000/svg' viewBox='0 0 24 216'%3e%3ctext fill='%23fff' style='font: 900 16px sans-serif' text-anchor='end' transform='matrix(0 -1 1 0 18 5)'%3eToes%3c/text%3e%3c/svg%3e</v>
      </c>
      <c r="H1690" s="8" t="s">
        <v>25</v>
      </c>
      <c r="I1690" s="8">
        <f t="shared" ref="I1690:J1690" si="1691">len(B1690)</f>
        <v>4</v>
      </c>
      <c r="J1690" s="8">
        <f t="shared" si="1691"/>
        <v>35</v>
      </c>
      <c r="K1690" s="8" t="s">
        <v>6715</v>
      </c>
    </row>
    <row r="1691">
      <c r="A1691" s="7" t="b">
        <v>1</v>
      </c>
      <c r="B1691" s="8" t="s">
        <v>6716</v>
      </c>
      <c r="C1691" s="7" t="s">
        <v>6717</v>
      </c>
      <c r="D1691" s="8" t="str">
        <f>Q&amp;$K1691&amp;Q&amp;":{"&amp;Q&amp;$B$2&amp;Q&amp;":"&amp;Q&amp;$B1691&amp;Q&amp;","&amp;Q&amp;$C$2&amp;Q&amp;":"&amp;Q&amp;$C1691&amp;Q&amp;","&amp;Q&amp;"sets"&amp;Q&amp;":"&amp;Q&amp;substitute(SUBSTITUTE($H1691,"[",""),"]","")&amp;Q&amp;"},"</f>
        <v>"h{gs":{"label":"Tom &amp; Jerry","extra":"A good chaser.","sets":"Expansion Set 4, Party Expansion 1"},</v>
      </c>
      <c r="E1691" s="9" t="str">
        <f t="shared" si="2"/>
        <v>data:image/svg+xml,%3csvg xmlns='http://www.w3.org/2000/svg' viewBox='0 0 24 216'%3e%3ctext fill='%23fff' style='font: 900 16px sans-serif' text-anchor='end' transform='matrix(0 -1 1 0 18 5)'%3eTom %26amp%3B Jerry%3c/text%3e%3c/svg%3e</v>
      </c>
      <c r="F1691" s="14" t="str">
        <f t="shared" si="3"/>
        <v>https://svgtext.heliohost.us/cgi-bin/gen.perl?text=Tom%20%26%20Jerry</v>
      </c>
      <c r="G1691" s="11" t="str">
        <f t="shared" si="4"/>
        <v>data:image/svg+xml,%3csvg xmlns='http://www.w3.org/2000/svg' viewBox='0 0 24 216'%3e%3ctext fill='%23fff' style='font: 900 16px sans-serif' text-anchor='end' transform='matrix(0 -1 1 0 18 5)'%3eTom %26amp%3B Jerry%3c/text%3e%3c/svg%3e</v>
      </c>
      <c r="H1691" s="8" t="s">
        <v>63</v>
      </c>
      <c r="I1691" s="8">
        <f t="shared" ref="I1691:J1691" si="1692">len(B1691)</f>
        <v>11</v>
      </c>
      <c r="J1691" s="8">
        <f t="shared" si="1692"/>
        <v>14</v>
      </c>
      <c r="K1691" s="8" t="s">
        <v>6718</v>
      </c>
    </row>
    <row r="1692">
      <c r="A1692" s="7" t="b">
        <v>0</v>
      </c>
      <c r="B1692" s="8" t="s">
        <v>6719</v>
      </c>
      <c r="C1692" s="7" t="s">
        <v>6720</v>
      </c>
      <c r="D1692" s="8" t="str">
        <f>Q&amp;$K1692&amp;Q&amp;":{"&amp;Q&amp;$B$2&amp;Q&amp;":"&amp;Q&amp;$B1692&amp;Q&amp;","&amp;Q&amp;$C$2&amp;Q&amp;":"&amp;Q&amp;$C1692&amp;Q&amp;","&amp;Q&amp;"sets"&amp;Q&amp;":"&amp;Q&amp;substitute(SUBSTITUTE($H1692,"[",""),"]","")&amp;Q&amp;"},"</f>
        <v>"fbkc":{"label":"Tom Cruise","extra":"1962-, American actor. It looked like “Risky Business” early on, but by 1986 he was “Top Gun.” No “Mission Impossible” for him.","sets":"Expansion Set 2, Party Set"},</v>
      </c>
      <c r="E1692" s="9" t="str">
        <f t="shared" si="2"/>
        <v>data:image/svg+xml,%3csvg xmlns='http://www.w3.org/2000/svg' viewBox='0 0 24 216'%3e%3ctext fill='%23fff' style='font: 900 16px sans-serif' text-anchor='end' transform='matrix(0 -1 1 0 18 5)'%3eTom Cruise%3c/text%3e%3c/svg%3e</v>
      </c>
      <c r="F1692" s="14" t="str">
        <f t="shared" si="3"/>
        <v>https://svgtext.heliohost.us/cgi-bin/gen.perl?text=Tom%20Cruise</v>
      </c>
      <c r="G1692" s="11" t="str">
        <f t="shared" si="4"/>
        <v>data:image/svg+xml,%3csvg xmlns='http://www.w3.org/2000/svg' viewBox='0 0 24 216'%3e%3ctext fill='%23fff' style='font: 900 16px sans-serif' text-anchor='end' transform='matrix(0 -1 1 0 18 5)'%3eTom Cruise%3c/text%3e%3c/svg%3e</v>
      </c>
      <c r="H1692" s="8" t="s">
        <v>17</v>
      </c>
      <c r="I1692" s="8">
        <f t="shared" ref="I1692:J1692" si="1693">len(B1692)</f>
        <v>10</v>
      </c>
      <c r="J1692" s="8">
        <f t="shared" si="1693"/>
        <v>127</v>
      </c>
      <c r="K1692" s="8" t="s">
        <v>6721</v>
      </c>
    </row>
    <row r="1693">
      <c r="A1693" s="7" t="b">
        <v>0</v>
      </c>
      <c r="B1693" s="8" t="s">
        <v>6722</v>
      </c>
      <c r="C1693" s="7" t="s">
        <v>6723</v>
      </c>
      <c r="D1693" s="8" t="str">
        <f>Q&amp;$K1693&amp;Q&amp;":{"&amp;Q&amp;$B$2&amp;Q&amp;":"&amp;Q&amp;$B1693&amp;Q&amp;","&amp;Q&amp;$C$2&amp;Q&amp;":"&amp;Q&amp;$C1693&amp;Q&amp;","&amp;Q&amp;"sets"&amp;Q&amp;":"&amp;Q&amp;substitute(SUBSTITUTE($H1693,"[",""),"]","")&amp;Q&amp;"},"</f>
        <v>"hcch":{"label":"Tom Hanks","extra":"1956-, American actor and star of such varied films as “Big,” “Philadelphia,” “Forrest Gump,” “Saving Private Ryan” and “Cast Away.”","sets":"Expansion Set 2, Party Set"},</v>
      </c>
      <c r="E1693" s="9" t="str">
        <f t="shared" si="2"/>
        <v>data:image/svg+xml,%3csvg xmlns='http://www.w3.org/2000/svg' viewBox='0 0 24 216'%3e%3ctext fill='%23fff' style='font: 900 16px sans-serif' text-anchor='end' transform='matrix(0 -1 1 0 18 5)'%3eTom Hanks%3c/text%3e%3c/svg%3e</v>
      </c>
      <c r="F1693" s="14" t="str">
        <f t="shared" si="3"/>
        <v>https://svgtext.heliohost.us/cgi-bin/gen.perl?text=Tom%20Hanks</v>
      </c>
      <c r="G1693" s="11" t="str">
        <f t="shared" si="4"/>
        <v>data:image/svg+xml,%3csvg xmlns='http://www.w3.org/2000/svg' viewBox='0 0 24 216'%3e%3ctext fill='%23fff' style='font: 900 16px sans-serif' text-anchor='end' transform='matrix(0 -1 1 0 18 5)'%3eTom Hanks%3c/text%3e%3c/svg%3e</v>
      </c>
      <c r="H1693" s="8" t="s">
        <v>17</v>
      </c>
      <c r="I1693" s="8">
        <f t="shared" ref="I1693:J1693" si="1694">len(B1693)</f>
        <v>9</v>
      </c>
      <c r="J1693" s="8">
        <f t="shared" si="1694"/>
        <v>132</v>
      </c>
      <c r="K1693" s="8" t="s">
        <v>6724</v>
      </c>
    </row>
    <row r="1694">
      <c r="A1694" s="7" t="b">
        <v>1</v>
      </c>
      <c r="B1694" s="8" t="s">
        <v>6725</v>
      </c>
      <c r="C1694" s="8" t="s">
        <v>6726</v>
      </c>
      <c r="D1694" s="8" t="str">
        <f>Q&amp;$K1694&amp;Q&amp;":{"&amp;Q&amp;$B$2&amp;Q&amp;":"&amp;Q&amp;$B1694&amp;Q&amp;","&amp;Q&amp;$C$2&amp;Q&amp;":"&amp;Q&amp;$C1694&amp;Q&amp;","&amp;Q&amp;"sets"&amp;Q&amp;":"&amp;Q&amp;substitute(SUBSTITUTE($H1694,"[",""),"]","")&amp;Q&amp;"},"</f>
        <v>"klzc":{"label":"Tomato Soup","extra":"Good with cheese sandwiches.","sets":"Junior 9+ (1st) &amp; (2nd)"},</v>
      </c>
      <c r="E1694" s="9" t="str">
        <f t="shared" si="2"/>
        <v>data:image/svg+xml,%3csvg xmlns='http://www.w3.org/2000/svg' viewBox='0 0 24 216'%3e%3ctext fill='%23fff' style='font: 900 16px sans-serif' text-anchor='end' transform='matrix(0 -1 1 0 18 5)'%3eTomato Soup%3c/text%3e%3c/svg%3e</v>
      </c>
      <c r="F1694" s="14" t="str">
        <f t="shared" si="3"/>
        <v>https://svgtext.heliohost.us/cgi-bin/gen.perl?text=Tomato%20Soup</v>
      </c>
      <c r="G1694" s="11" t="str">
        <f t="shared" si="4"/>
        <v>data:image/svg+xml,%3csvg xmlns='http://www.w3.org/2000/svg' viewBox='0 0 24 216'%3e%3ctext fill='%23fff' style='font: 900 16px sans-serif' text-anchor='end' transform='matrix(0 -1 1 0 18 5)'%3eTomato Soup%3c/text%3e%3c/svg%3e</v>
      </c>
      <c r="H1694" s="8" t="s">
        <v>42</v>
      </c>
      <c r="I1694" s="8">
        <f t="shared" ref="I1694:J1694" si="1695">len(B1694)</f>
        <v>11</v>
      </c>
      <c r="J1694" s="8">
        <f t="shared" si="1695"/>
        <v>28</v>
      </c>
      <c r="K1694" s="8" t="s">
        <v>6727</v>
      </c>
    </row>
    <row r="1695">
      <c r="A1695" s="7" t="b">
        <v>1</v>
      </c>
      <c r="B1695" s="8" t="s">
        <v>6728</v>
      </c>
      <c r="C1695" s="8" t="s">
        <v>6729</v>
      </c>
      <c r="D1695" s="8" t="str">
        <f>Q&amp;$K1695&amp;Q&amp;":{"&amp;Q&amp;$B$2&amp;Q&amp;":"&amp;Q&amp;$B1695&amp;Q&amp;","&amp;Q&amp;$C$2&amp;Q&amp;":"&amp;Q&amp;$C1695&amp;Q&amp;","&amp;Q&amp;"sets"&amp;Q&amp;":"&amp;Q&amp;substitute(SUBSTITUTE($H1695,"[",""),"]","")&amp;Q&amp;"},"</f>
        <v>"dtrx":{"label":"Tomatoes","extra":"Most people don't know that a tomato is a fruit.","sets":"Junior"},</v>
      </c>
      <c r="E1695" s="9" t="str">
        <f t="shared" si="2"/>
        <v>data:image/svg+xml,%3csvg xmlns='http://www.w3.org/2000/svg' viewBox='0 0 24 216'%3e%3ctext fill='%23fff' style='font: 900 16px sans-serif' text-anchor='end' transform='matrix(0 -1 1 0 18 5)'%3eTomatoes%3c/text%3e%3c/svg%3e</v>
      </c>
      <c r="F1695" s="14" t="str">
        <f t="shared" si="3"/>
        <v>https://svgtext.heliohost.us/cgi-bin/gen.perl?text=Tomatoes</v>
      </c>
      <c r="G1695" s="11" t="str">
        <f t="shared" si="4"/>
        <v>data:image/svg+xml,%3csvg xmlns='http://www.w3.org/2000/svg' viewBox='0 0 24 216'%3e%3ctext fill='%23fff' style='font: 900 16px sans-serif' text-anchor='end' transform='matrix(0 -1 1 0 18 5)'%3eTomatoes%3c/text%3e%3c/svg%3e</v>
      </c>
      <c r="H1695" s="8" t="s">
        <v>84</v>
      </c>
      <c r="I1695" s="8">
        <f t="shared" ref="I1695:J1695" si="1696">len(B1695)</f>
        <v>8</v>
      </c>
      <c r="J1695" s="8">
        <f t="shared" si="1696"/>
        <v>48</v>
      </c>
      <c r="K1695" s="8" t="s">
        <v>6730</v>
      </c>
    </row>
    <row r="1696">
      <c r="A1696" s="7" t="b">
        <v>0</v>
      </c>
      <c r="B1696" s="8" t="s">
        <v>6731</v>
      </c>
      <c r="C1696" s="7" t="s">
        <v>6732</v>
      </c>
      <c r="D1696" s="8" t="str">
        <f>Q&amp;$K1696&amp;Q&amp;":{"&amp;Q&amp;$B$2&amp;Q&amp;":"&amp;Q&amp;$B1696&amp;Q&amp;","&amp;Q&amp;$C$2&amp;Q&amp;":"&amp;Q&amp;$C1696&amp;Q&amp;","&amp;Q&amp;"sets"&amp;Q&amp;":"&amp;Q&amp;substitute(SUBSTITUTE($H1696,"[",""),"]","")&amp;Q&amp;"},"</f>
        <v>"rosx":{"label":"Tony Blair","extra":"1951-, British Prime Minister, “We will not rest until this evil is driven from our world.” Sept. 11, 2001.","sets":"Expansion Set 3, Party Expansion 1"},</v>
      </c>
      <c r="E1696" s="9" t="str">
        <f t="shared" si="2"/>
        <v>data:image/svg+xml,%3csvg xmlns='http://www.w3.org/2000/svg' viewBox='0 0 24 216'%3e%3ctext fill='%23fff' style='font: 900 16px sans-serif' text-anchor='end' transform='matrix(0 -1 1 0 18 5)'%3eTony Blair%3c/text%3e%3c/svg%3e</v>
      </c>
      <c r="F1696" s="14" t="str">
        <f t="shared" si="3"/>
        <v>https://svgtext.heliohost.us/cgi-bin/gen.perl?text=Tony%20Blair</v>
      </c>
      <c r="G1696" s="11" t="str">
        <f t="shared" si="4"/>
        <v>data:image/svg+xml,%3csvg xmlns='http://www.w3.org/2000/svg' viewBox='0 0 24 216'%3e%3ctext fill='%23fff' style='font: 900 16px sans-serif' text-anchor='end' transform='matrix(0 -1 1 0 18 5)'%3eTony Blair%3c/text%3e%3c/svg%3e</v>
      </c>
      <c r="H1696" s="8" t="s">
        <v>39</v>
      </c>
      <c r="I1696" s="8">
        <f t="shared" ref="I1696:J1696" si="1697">len(B1696)</f>
        <v>10</v>
      </c>
      <c r="J1696" s="8">
        <f t="shared" si="1697"/>
        <v>107</v>
      </c>
      <c r="K1696" s="8" t="s">
        <v>6733</v>
      </c>
    </row>
    <row r="1697">
      <c r="A1697" s="7" t="b">
        <v>1</v>
      </c>
      <c r="B1697" s="8" t="s">
        <v>6734</v>
      </c>
      <c r="C1697" s="8" t="s">
        <v>6735</v>
      </c>
      <c r="D1697" s="8" t="str">
        <f>Q&amp;$K1697&amp;Q&amp;":{"&amp;Q&amp;$B$2&amp;Q&amp;":"&amp;Q&amp;$B1697&amp;Q&amp;","&amp;Q&amp;$C$2&amp;Q&amp;":"&amp;Q&amp;$C1697&amp;Q&amp;","&amp;Q&amp;"sets"&amp;Q&amp;":"&amp;Q&amp;substitute(SUBSTITUTE($H1697,"[",""),"]","")&amp;Q&amp;"},"</f>
        <v>"esvb":{"label":"Tooth Fairy","extra":"Who knows what they do with all those baby teeth.","sets":"Junior 9+ (1st) &amp; (2nd)"},</v>
      </c>
      <c r="E1697" s="9" t="str">
        <f t="shared" si="2"/>
        <v>data:image/svg+xml,%3csvg xmlns='http://www.w3.org/2000/svg' viewBox='0 0 24 216'%3e%3ctext fill='%23fff' style='font: 900 16px sans-serif' text-anchor='end' transform='matrix(0 -1 1 0 18 5)'%3eTooth Fairy%3c/text%3e%3c/svg%3e</v>
      </c>
      <c r="F1697" s="14" t="str">
        <f t="shared" si="3"/>
        <v>https://svgtext.heliohost.us/cgi-bin/gen.perl?text=Tooth%20Fairy</v>
      </c>
      <c r="G1697" s="11" t="str">
        <f t="shared" si="4"/>
        <v>data:image/svg+xml,%3csvg xmlns='http://www.w3.org/2000/svg' viewBox='0 0 24 216'%3e%3ctext fill='%23fff' style='font: 900 16px sans-serif' text-anchor='end' transform='matrix(0 -1 1 0 18 5)'%3eTooth Fairy%3c/text%3e%3c/svg%3e</v>
      </c>
      <c r="H1697" s="8" t="s">
        <v>42</v>
      </c>
      <c r="I1697" s="8">
        <f t="shared" ref="I1697:J1697" si="1698">len(B1697)</f>
        <v>11</v>
      </c>
      <c r="J1697" s="8">
        <f t="shared" si="1698"/>
        <v>49</v>
      </c>
      <c r="K1697" s="8" t="s">
        <v>6736</v>
      </c>
    </row>
    <row r="1698">
      <c r="A1698" s="7" t="b">
        <v>1</v>
      </c>
      <c r="B1698" s="8" t="s">
        <v>6737</v>
      </c>
      <c r="C1698" s="8" t="s">
        <v>6738</v>
      </c>
      <c r="D1698" s="8" t="str">
        <f>Q&amp;$K1698&amp;Q&amp;":{"&amp;Q&amp;$B$2&amp;Q&amp;":"&amp;Q&amp;$B1698&amp;Q&amp;","&amp;Q&amp;$C$2&amp;Q&amp;":"&amp;Q&amp;$C1698&amp;Q&amp;","&amp;Q&amp;"sets"&amp;Q&amp;":"&amp;Q&amp;substitute(SUBSTITUTE($H1698,"[",""),"]","")&amp;Q&amp;"},"</f>
        <v>"qglu":{"label":"Toothpaste","extra":"Brush and spit!","sets":"Junior 9+ (2nd)"},</v>
      </c>
      <c r="E1698" s="9" t="str">
        <f t="shared" si="2"/>
        <v>data:image/svg+xml,%3csvg xmlns='http://www.w3.org/2000/svg' viewBox='0 0 24 216'%3e%3ctext fill='%23fff' style='font: 900 16px sans-serif' text-anchor='end' transform='matrix(0 -1 1 0 18 5)'%3eToothpaste%3c/text%3e%3c/svg%3e</v>
      </c>
      <c r="F1698" s="14" t="str">
        <f t="shared" si="3"/>
        <v>https://svgtext.heliohost.us/cgi-bin/gen.perl?text=Toothpaste</v>
      </c>
      <c r="G1698" s="11" t="str">
        <f t="shared" si="4"/>
        <v>data:image/svg+xml,%3csvg xmlns='http://www.w3.org/2000/svg' viewBox='0 0 24 216'%3e%3ctext fill='%23fff' style='font: 900 16px sans-serif' text-anchor='end' transform='matrix(0 -1 1 0 18 5)'%3eToothpaste%3c/text%3e%3c/svg%3e</v>
      </c>
      <c r="H1698" s="8" t="s">
        <v>32</v>
      </c>
      <c r="I1698" s="8">
        <f t="shared" ref="I1698:J1698" si="1699">len(B1698)</f>
        <v>10</v>
      </c>
      <c r="J1698" s="8">
        <f t="shared" si="1699"/>
        <v>15</v>
      </c>
      <c r="K1698" s="8" t="s">
        <v>6739</v>
      </c>
    </row>
    <row r="1699">
      <c r="A1699" s="7" t="b">
        <v>0</v>
      </c>
      <c r="B1699" s="8" t="s">
        <v>6740</v>
      </c>
      <c r="C1699" s="7" t="s">
        <v>6741</v>
      </c>
      <c r="D1699" s="8" t="str">
        <f>Q&amp;$K1699&amp;Q&amp;":{"&amp;Q&amp;$B$2&amp;Q&amp;":"&amp;Q&amp;$B1699&amp;Q&amp;","&amp;Q&amp;$C$2&amp;Q&amp;":"&amp;Q&amp;$C1699&amp;Q&amp;","&amp;Q&amp;"sets"&amp;Q&amp;":"&amp;Q&amp;substitute(SUBSTITUTE($H1699,"[",""),"]","")&amp;Q&amp;"},"</f>
        <v>"qhzt":{"label":"Top Of A Rollercoaster","extra":"Just remember: what goes UP…","sets":"Basic Set, Party Set"},</v>
      </c>
      <c r="E1699" s="9" t="str">
        <f t="shared" si="2"/>
        <v>data:image/svg+xml,%3csvg xmlns='http://www.w3.org/2000/svg' viewBox='0 0 24 216'%3e%3ctext fill='%23fff' style='font: 900 16px sans-serif' text-anchor='end' transform='matrix(0 -1 1 0 18 5)'%3eTop Of A Rollercoaster%3c/text%3e%3c/svg%3e</v>
      </c>
      <c r="F1699" s="14" t="str">
        <f t="shared" si="3"/>
        <v>https://svgtext.heliohost.us/cgi-bin/gen.perl?text=Top%20Of%20A%20Rollercoaster</v>
      </c>
      <c r="G1699" s="11" t="str">
        <f t="shared" si="4"/>
        <v>data:image/svg+xml,%3csvg xmlns='http://www.w3.org/2000/svg' viewBox='0 0 24 216'%3e%3ctext fill='%23fff' style='font: 900 16px sans-serif' text-anchor='end' transform='matrix(0 -1 1 0 18 5)'%3eTop Of A Rollercoaster%3c/text%3e%3c/svg%3e</v>
      </c>
      <c r="H1699" s="8" t="s">
        <v>29</v>
      </c>
      <c r="I1699" s="8">
        <f t="shared" ref="I1699:J1699" si="1700">len(B1699)</f>
        <v>22</v>
      </c>
      <c r="J1699" s="8">
        <f t="shared" si="1700"/>
        <v>28</v>
      </c>
      <c r="K1699" s="8" t="s">
        <v>6742</v>
      </c>
    </row>
    <row r="1700">
      <c r="A1700" s="7" t="b">
        <v>0</v>
      </c>
      <c r="B1700" s="8" t="s">
        <v>6743</v>
      </c>
      <c r="C1700" s="7" t="s">
        <v>6744</v>
      </c>
      <c r="D1700" s="8" t="str">
        <f>Q&amp;$K1700&amp;Q&amp;":{"&amp;Q&amp;$B$2&amp;Q&amp;":"&amp;Q&amp;$B1700&amp;Q&amp;","&amp;Q&amp;$C$2&amp;Q&amp;":"&amp;Q&amp;$C1700&amp;Q&amp;","&amp;Q&amp;"sets"&amp;Q&amp;":"&amp;Q&amp;substitute(SUBSTITUTE($H1700,"[",""),"]","")&amp;Q&amp;"},"</f>
        <v>"lx{g":{"label":"Tornadoes","extra":"Funnel-shaped cloud whirling destructively at speeds up to 300 mph. “Honey, do you hear a freight train… Honey?”","sets":"Basic Set, Party Set"},</v>
      </c>
      <c r="E1700" s="9" t="str">
        <f t="shared" si="2"/>
        <v>data:image/svg+xml,%3csvg xmlns='http://www.w3.org/2000/svg' viewBox='0 0 24 216'%3e%3ctext fill='%23fff' style='font: 900 16px sans-serif' text-anchor='end' transform='matrix(0 -1 1 0 18 5)'%3eTornadoes%3c/text%3e%3c/svg%3e</v>
      </c>
      <c r="F1700" s="14" t="str">
        <f t="shared" si="3"/>
        <v>https://svgtext.heliohost.us/cgi-bin/gen.perl?text=Tornadoes</v>
      </c>
      <c r="G1700" s="11" t="str">
        <f t="shared" si="4"/>
        <v>data:image/svg+xml,%3csvg xmlns='http://www.w3.org/2000/svg' viewBox='0 0 24 216'%3e%3ctext fill='%23fff' style='font: 900 16px sans-serif' text-anchor='end' transform='matrix(0 -1 1 0 18 5)'%3eTornadoes%3c/text%3e%3c/svg%3e</v>
      </c>
      <c r="H1700" s="8" t="s">
        <v>29</v>
      </c>
      <c r="I1700" s="8">
        <f t="shared" ref="I1700:J1700" si="1701">len(B1700)</f>
        <v>9</v>
      </c>
      <c r="J1700" s="8">
        <f t="shared" si="1701"/>
        <v>112</v>
      </c>
      <c r="K1700" s="8" t="s">
        <v>6745</v>
      </c>
    </row>
    <row r="1701">
      <c r="A1701" s="7" t="b">
        <v>1</v>
      </c>
      <c r="B1701" s="8" t="s">
        <v>6746</v>
      </c>
      <c r="C1701" s="8" t="s">
        <v>6747</v>
      </c>
      <c r="D1701" s="8" t="str">
        <f>Q&amp;$K1701&amp;Q&amp;":{"&amp;Q&amp;$B$2&amp;Q&amp;":"&amp;Q&amp;$B1701&amp;Q&amp;","&amp;Q&amp;$C$2&amp;Q&amp;":"&amp;Q&amp;$C1701&amp;Q&amp;","&amp;Q&amp;"sets"&amp;Q&amp;":"&amp;Q&amp;substitute(SUBSTITUTE($H1701,"[",""),"]","")&amp;Q&amp;"},"</f>
        <v>"epvv":{"label":"Toy Poodles","extra":"They are less than ten inches tall, from their shoulders to the floor.","sets":"Junior 9+ (2nd)"},</v>
      </c>
      <c r="E1701" s="9" t="str">
        <f t="shared" si="2"/>
        <v>data:image/svg+xml,%3csvg xmlns='http://www.w3.org/2000/svg' viewBox='0 0 24 216'%3e%3ctext fill='%23fff' style='font: 900 16px sans-serif' text-anchor='end' transform='matrix(0 -1 1 0 18 5)'%3eToy Poodles%3c/text%3e%3c/svg%3e</v>
      </c>
      <c r="F1701" s="14" t="str">
        <f t="shared" si="3"/>
        <v>https://svgtext.heliohost.us/cgi-bin/gen.perl?text=Toy%20Poodles</v>
      </c>
      <c r="G1701" s="11" t="str">
        <f t="shared" si="4"/>
        <v>data:image/svg+xml,%3csvg xmlns='http://www.w3.org/2000/svg' viewBox='0 0 24 216'%3e%3ctext fill='%23fff' style='font: 900 16px sans-serif' text-anchor='end' transform='matrix(0 -1 1 0 18 5)'%3eToy Poodles%3c/text%3e%3c/svg%3e</v>
      </c>
      <c r="H1701" s="8" t="s">
        <v>32</v>
      </c>
      <c r="I1701" s="8">
        <f t="shared" ref="I1701:J1701" si="1702">len(B1701)</f>
        <v>11</v>
      </c>
      <c r="J1701" s="8">
        <f t="shared" si="1702"/>
        <v>70</v>
      </c>
      <c r="K1701" s="8" t="s">
        <v>6748</v>
      </c>
    </row>
    <row r="1702">
      <c r="A1702" s="7" t="b">
        <v>1</v>
      </c>
      <c r="B1702" s="8" t="s">
        <v>6749</v>
      </c>
      <c r="C1702" s="8" t="s">
        <v>6750</v>
      </c>
      <c r="D1702" s="8" t="str">
        <f>Q&amp;$K1702&amp;Q&amp;":{"&amp;Q&amp;$B$2&amp;Q&amp;":"&amp;Q&amp;$B1702&amp;Q&amp;","&amp;Q&amp;$C$2&amp;Q&amp;":"&amp;Q&amp;$C1702&amp;Q&amp;","&amp;Q&amp;"sets"&amp;Q&amp;":"&amp;Q&amp;substitute(SUBSTITUTE($H1702,"[",""),"]","")&amp;Q&amp;"},"</f>
        <v>"vxsb":{"label":"Toys","extra":"Stuffed animals, action figures, dolls, balls, and lots more. Everyone loves toys!","sets":"Junior"},</v>
      </c>
      <c r="E1702" s="9" t="str">
        <f t="shared" si="2"/>
        <v>data:image/svg+xml,%3csvg xmlns='http://www.w3.org/2000/svg' viewBox='0 0 24 216'%3e%3ctext fill='%23fff' style='font: 900 16px sans-serif' text-anchor='end' transform='matrix(0 -1 1 0 18 5)'%3eToys%3c/text%3e%3c/svg%3e</v>
      </c>
      <c r="F1702" s="14" t="str">
        <f t="shared" si="3"/>
        <v>https://svgtext.heliohost.us/cgi-bin/gen.perl?text=Toys</v>
      </c>
      <c r="G1702" s="11" t="str">
        <f t="shared" si="4"/>
        <v>data:image/svg+xml,%3csvg xmlns='http://www.w3.org/2000/svg' viewBox='0 0 24 216'%3e%3ctext fill='%23fff' style='font: 900 16px sans-serif' text-anchor='end' transform='matrix(0 -1 1 0 18 5)'%3eToys%3c/text%3e%3c/svg%3e</v>
      </c>
      <c r="H1702" s="8" t="s">
        <v>84</v>
      </c>
      <c r="I1702" s="8">
        <f t="shared" ref="I1702:J1702" si="1703">len(B1702)</f>
        <v>4</v>
      </c>
      <c r="J1702" s="8">
        <f t="shared" si="1703"/>
        <v>82</v>
      </c>
      <c r="K1702" s="8" t="s">
        <v>6751</v>
      </c>
    </row>
    <row r="1703">
      <c r="A1703" s="7" t="b">
        <v>0</v>
      </c>
      <c r="B1703" s="8" t="s">
        <v>6749</v>
      </c>
      <c r="C1703" s="7" t="s">
        <v>6752</v>
      </c>
      <c r="D1703" s="8" t="str">
        <f>Q&amp;$K1703&amp;Q&amp;":{"&amp;Q&amp;$B$2&amp;Q&amp;":"&amp;Q&amp;$B1703&amp;Q&amp;","&amp;Q&amp;$C$2&amp;Q&amp;":"&amp;Q&amp;$C1703&amp;Q&amp;","&amp;Q&amp;"sets"&amp;Q&amp;":"&amp;Q&amp;substitute(SUBSTITUTE($H1703,"[",""),"]","")&amp;Q&amp;"},"</f>
        <v>"xdda":{"label":"Toys","extra":"They’re not just for kids, anymore…","sets":"Basic Set, Party Set"},</v>
      </c>
      <c r="E1703" s="9" t="str">
        <f t="shared" si="2"/>
        <v>data:image/svg+xml,%3csvg xmlns='http://www.w3.org/2000/svg' viewBox='0 0 24 216'%3e%3ctext fill='%23fff' style='font: 900 16px sans-serif' text-anchor='end' transform='matrix(0 -1 1 0 18 5)'%3eToys%3c/text%3e%3c/svg%3e</v>
      </c>
      <c r="F1703" s="14" t="str">
        <f t="shared" si="3"/>
        <v>https://svgtext.heliohost.us/cgi-bin/gen.perl?text=Toys</v>
      </c>
      <c r="G1703" s="11" t="str">
        <f t="shared" si="4"/>
        <v>data:image/svg+xml,%3csvg xmlns='http://www.w3.org/2000/svg' viewBox='0 0 24 216'%3e%3ctext fill='%23fff' style='font: 900 16px sans-serif' text-anchor='end' transform='matrix(0 -1 1 0 18 5)'%3eToys%3c/text%3e%3c/svg%3e</v>
      </c>
      <c r="H1703" s="8" t="s">
        <v>29</v>
      </c>
      <c r="I1703" s="8">
        <f t="shared" ref="I1703:J1703" si="1704">len(B1703)</f>
        <v>4</v>
      </c>
      <c r="J1703" s="8">
        <f t="shared" si="1704"/>
        <v>35</v>
      </c>
      <c r="K1703" s="8" t="s">
        <v>6753</v>
      </c>
    </row>
    <row r="1704">
      <c r="A1704" s="7" t="b">
        <v>1</v>
      </c>
      <c r="B1704" s="8" t="s">
        <v>6754</v>
      </c>
      <c r="C1704" s="7" t="s">
        <v>6755</v>
      </c>
      <c r="D1704" s="8" t="str">
        <f>Q&amp;$K1704&amp;Q&amp;":{"&amp;Q&amp;$B$2&amp;Q&amp;":"&amp;Q&amp;$B1704&amp;Q&amp;","&amp;Q&amp;$C$2&amp;Q&amp;":"&amp;Q&amp;$C1704&amp;Q&amp;","&amp;Q&amp;"sets"&amp;Q&amp;":"&amp;Q&amp;substitute(SUBSTITUTE($H1704,"[",""),"]","")&amp;Q&amp;"},"</f>
        <v>"zgtb":{"label":"Track &amp; Field","extra":"It’s eventful.","sets":"Expansion Set 4, Party Expansion 1"},</v>
      </c>
      <c r="E1704" s="9" t="str">
        <f t="shared" si="2"/>
        <v>data:image/svg+xml,%3csvg xmlns='http://www.w3.org/2000/svg' viewBox='0 0 24 216'%3e%3ctext fill='%23fff' style='font: 900 16px sans-serif' text-anchor='end' transform='matrix(0 -1 1 0 18 5)'%3eTrack %26amp%3B Field%3c/text%3e%3c/svg%3e</v>
      </c>
      <c r="F1704" s="14" t="str">
        <f t="shared" si="3"/>
        <v>https://svgtext.heliohost.us/cgi-bin/gen.perl?text=Track%20%26%20Field</v>
      </c>
      <c r="G1704" s="11" t="str">
        <f t="shared" si="4"/>
        <v>data:image/svg+xml,%3csvg xmlns='http://www.w3.org/2000/svg' viewBox='0 0 24 216'%3e%3ctext fill='%23fff' style='font: 900 16px sans-serif' text-anchor='end' transform='matrix(0 -1 1 0 18 5)'%3eTrack %26amp%3B Field%3c/text%3e%3c/svg%3e</v>
      </c>
      <c r="H1704" s="8" t="s">
        <v>63</v>
      </c>
      <c r="I1704" s="8">
        <f t="shared" ref="I1704:J1704" si="1705">len(B1704)</f>
        <v>13</v>
      </c>
      <c r="J1704" s="8">
        <f t="shared" si="1705"/>
        <v>14</v>
      </c>
      <c r="K1704" s="8" t="s">
        <v>6756</v>
      </c>
    </row>
    <row r="1705">
      <c r="A1705" s="7" t="b">
        <v>1</v>
      </c>
      <c r="B1705" s="8" t="s">
        <v>6757</v>
      </c>
      <c r="C1705" s="7" t="s">
        <v>6758</v>
      </c>
      <c r="D1705" s="8" t="str">
        <f>Q&amp;$K1705&amp;Q&amp;":{"&amp;Q&amp;$B$2&amp;Q&amp;":"&amp;Q&amp;$B1705&amp;Q&amp;","&amp;Q&amp;$C$2&amp;Q&amp;":"&amp;Q&amp;$C1705&amp;Q&amp;","&amp;Q&amp;"sets"&amp;Q&amp;":"&amp;Q&amp;substitute(SUBSTITUTE($H1705,"[",""),"]","")&amp;Q&amp;"},"</f>
        <v>"hapm":{"label":"Tractors","extra":"“She thinks My Tractor’s Sexy.” —Kenny Chesney","sets":"Expansion Set 3, Party Expansion 1"},</v>
      </c>
      <c r="E1705" s="9" t="str">
        <f t="shared" si="2"/>
        <v>data:image/svg+xml,%3csvg xmlns='http://www.w3.org/2000/svg' viewBox='0 0 24 216'%3e%3ctext fill='%23fff' style='font: 900 16px sans-serif' text-anchor='end' transform='matrix(0 -1 1 0 18 5)'%3eTractors%3c/text%3e%3c/svg%3e</v>
      </c>
      <c r="F1705" s="14" t="str">
        <f t="shared" si="3"/>
        <v>https://svgtext.heliohost.us/cgi-bin/gen.perl?text=Tractors</v>
      </c>
      <c r="G1705" s="11" t="str">
        <f t="shared" si="4"/>
        <v>data:image/svg+xml,%3csvg xmlns='http://www.w3.org/2000/svg' viewBox='0 0 24 216'%3e%3ctext fill='%23fff' style='font: 900 16px sans-serif' text-anchor='end' transform='matrix(0 -1 1 0 18 5)'%3eTractors%3c/text%3e%3c/svg%3e</v>
      </c>
      <c r="H1705" s="8" t="s">
        <v>39</v>
      </c>
      <c r="I1705" s="8">
        <f t="shared" ref="I1705:J1705" si="1706">len(B1705)</f>
        <v>8</v>
      </c>
      <c r="J1705" s="8">
        <f t="shared" si="1706"/>
        <v>46</v>
      </c>
      <c r="K1705" s="8" t="s">
        <v>6759</v>
      </c>
    </row>
    <row r="1706">
      <c r="A1706" s="7" t="b">
        <v>0</v>
      </c>
      <c r="B1706" s="8" t="s">
        <v>6760</v>
      </c>
      <c r="C1706" s="7" t="s">
        <v>6761</v>
      </c>
      <c r="D1706" s="8" t="str">
        <f>Q&amp;$K1706&amp;Q&amp;":{"&amp;Q&amp;$B$2&amp;Q&amp;":"&amp;Q&amp;$B1706&amp;Q&amp;","&amp;Q&amp;$C$2&amp;Q&amp;":"&amp;Q&amp;$C1706&amp;Q&amp;","&amp;Q&amp;"sets"&amp;Q&amp;":"&amp;Q&amp;substitute(SUBSTITUTE($H1706,"[",""),"]","")&amp;Q&amp;"},"</f>
        <v>"kddg":{"label":"Trailer Parks","extra":"Also known as tornado magnets.","sets":"Expansion Set 2, Party Set"},</v>
      </c>
      <c r="E1706" s="9" t="str">
        <f t="shared" si="2"/>
        <v>data:image/svg+xml,%3csvg xmlns='http://www.w3.org/2000/svg' viewBox='0 0 24 216'%3e%3ctext fill='%23fff' style='font: 900 16px sans-serif' text-anchor='end' transform='matrix(0 -1 1 0 18 5)'%3eTrailer Parks%3c/text%3e%3c/svg%3e</v>
      </c>
      <c r="F1706" s="14" t="str">
        <f t="shared" si="3"/>
        <v>https://svgtext.heliohost.us/cgi-bin/gen.perl?text=Trailer%20Parks</v>
      </c>
      <c r="G1706" s="11" t="str">
        <f t="shared" si="4"/>
        <v>data:image/svg+xml,%3csvg xmlns='http://www.w3.org/2000/svg' viewBox='0 0 24 216'%3e%3ctext fill='%23fff' style='font: 900 16px sans-serif' text-anchor='end' transform='matrix(0 -1 1 0 18 5)'%3eTrailer Parks%3c/text%3e%3c/svg%3e</v>
      </c>
      <c r="H1706" s="8" t="s">
        <v>17</v>
      </c>
      <c r="I1706" s="8">
        <f t="shared" ref="I1706:J1706" si="1707">len(B1706)</f>
        <v>13</v>
      </c>
      <c r="J1706" s="8">
        <f t="shared" si="1707"/>
        <v>30</v>
      </c>
      <c r="K1706" s="8" t="s">
        <v>6762</v>
      </c>
    </row>
    <row r="1707">
      <c r="A1707" s="7" t="b">
        <v>1</v>
      </c>
      <c r="B1707" s="8" t="s">
        <v>6763</v>
      </c>
      <c r="C1707" s="7" t="s">
        <v>6764</v>
      </c>
      <c r="D1707" s="8" t="str">
        <f>Q&amp;$K1707&amp;Q&amp;":{"&amp;Q&amp;$B$2&amp;Q&amp;":"&amp;Q&amp;$B1707&amp;Q&amp;","&amp;Q&amp;$C$2&amp;Q&amp;":"&amp;Q&amp;$C1707&amp;Q&amp;","&amp;Q&amp;"sets"&amp;Q&amp;":"&amp;Q&amp;substitute(SUBSTITUTE($H1707,"[",""),"]","")&amp;Q&amp;"},"</f>
        <v>"twfw":{"label":"Training Wheels","extra":"It’s a four-wheeler.","sets":"Junior 9+ (2nd)"},</v>
      </c>
      <c r="E1707" s="9" t="str">
        <f t="shared" si="2"/>
        <v>data:image/svg+xml,%3csvg xmlns='http://www.w3.org/2000/svg' viewBox='0 0 24 216'%3e%3ctext fill='%23fff' style='font: 900 16px sans-serif' text-anchor='end' transform='matrix(0 -1 1 0 18 5)'%3eTraining Wheels%3c/text%3e%3c/svg%3e</v>
      </c>
      <c r="F1707" s="14" t="str">
        <f t="shared" si="3"/>
        <v>https://svgtext.heliohost.us/cgi-bin/gen.perl?text=Training%20Wheels</v>
      </c>
      <c r="G1707" s="11" t="str">
        <f t="shared" si="4"/>
        <v>data:image/svg+xml,%3csvg xmlns='http://www.w3.org/2000/svg' viewBox='0 0 24 216'%3e%3ctext fill='%23fff' style='font: 900 16px sans-serif' text-anchor='end' transform='matrix(0 -1 1 0 18 5)'%3eTraining Wheels%3c/text%3e%3c/svg%3e</v>
      </c>
      <c r="H1707" s="8" t="s">
        <v>32</v>
      </c>
      <c r="I1707" s="8">
        <f t="shared" ref="I1707:J1707" si="1708">len(B1707)</f>
        <v>15</v>
      </c>
      <c r="J1707" s="8">
        <f t="shared" si="1708"/>
        <v>20</v>
      </c>
      <c r="K1707" s="8" t="s">
        <v>6765</v>
      </c>
    </row>
    <row r="1708">
      <c r="A1708" s="7" t="b">
        <v>1</v>
      </c>
      <c r="B1708" s="8" t="s">
        <v>6766</v>
      </c>
      <c r="C1708" s="7" t="s">
        <v>6767</v>
      </c>
      <c r="D1708" s="8" t="str">
        <f>Q&amp;$K1708&amp;Q&amp;":{"&amp;Q&amp;$B$2&amp;Q&amp;":"&amp;Q&amp;$B1708&amp;Q&amp;","&amp;Q&amp;$C$2&amp;Q&amp;":"&amp;Q&amp;$C1708&amp;Q&amp;","&amp;Q&amp;"sets"&amp;Q&amp;":"&amp;Q&amp;substitute(SUBSTITUTE($H1708,"[",""),"]","")&amp;Q&amp;"},"</f>
        <v>"gnvj":{"label":"Trains","extra":"“The Little Engine That Could” is a story about a train that climbs over a mountain.","sets":"Junior"},</v>
      </c>
      <c r="E1708" s="9" t="str">
        <f t="shared" si="2"/>
        <v>data:image/svg+xml,%3csvg xmlns='http://www.w3.org/2000/svg' viewBox='0 0 24 216'%3e%3ctext fill='%23fff' style='font: 900 16px sans-serif' text-anchor='end' transform='matrix(0 -1 1 0 18 5)'%3eTrains%3c/text%3e%3c/svg%3e</v>
      </c>
      <c r="F1708" s="14" t="str">
        <f t="shared" si="3"/>
        <v>https://svgtext.heliohost.us/cgi-bin/gen.perl?text=Trains</v>
      </c>
      <c r="G1708" s="11" t="str">
        <f t="shared" si="4"/>
        <v>data:image/svg+xml,%3csvg xmlns='http://www.w3.org/2000/svg' viewBox='0 0 24 216'%3e%3ctext fill='%23fff' style='font: 900 16px sans-serif' text-anchor='end' transform='matrix(0 -1 1 0 18 5)'%3eTrains%3c/text%3e%3c/svg%3e</v>
      </c>
      <c r="H1708" s="8" t="s">
        <v>84</v>
      </c>
      <c r="I1708" s="8">
        <f t="shared" ref="I1708:J1708" si="1709">len(B1708)</f>
        <v>6</v>
      </c>
      <c r="J1708" s="8">
        <f t="shared" si="1709"/>
        <v>84</v>
      </c>
      <c r="K1708" s="8" t="s">
        <v>6768</v>
      </c>
    </row>
    <row r="1709">
      <c r="A1709" s="7" t="b">
        <v>0</v>
      </c>
      <c r="B1709" s="8" t="s">
        <v>6769</v>
      </c>
      <c r="C1709" s="8" t="s">
        <v>6770</v>
      </c>
      <c r="D1709" s="8" t="str">
        <f>Q&amp;$K1709&amp;Q&amp;":{"&amp;Q&amp;$B$2&amp;Q&amp;":"&amp;Q&amp;$B1709&amp;Q&amp;","&amp;Q&amp;$C$2&amp;Q&amp;":"&amp;Q&amp;$C1709&amp;Q&amp;","&amp;Q&amp;"sets"&amp;Q&amp;":"&amp;Q&amp;substitute(SUBSTITUTE($H1709,"[",""),"]","")&amp;Q&amp;"},"</f>
        <v>"mszk":{"label":"Trampolines","extra":"Trampolines have been used in circuses wince the 18th century. Despite slumps in popularity, they always seem to bounce back!","sets":"Expansion Set 2, Party Set"},</v>
      </c>
      <c r="E1709" s="9" t="str">
        <f t="shared" si="2"/>
        <v>data:image/svg+xml,%3csvg xmlns='http://www.w3.org/2000/svg' viewBox='0 0 24 216'%3e%3ctext fill='%23fff' style='font: 900 16px sans-serif' text-anchor='end' transform='matrix(0 -1 1 0 18 5)'%3eTrampolines%3c/text%3e%3c/svg%3e</v>
      </c>
      <c r="F1709" s="14" t="str">
        <f t="shared" si="3"/>
        <v>https://svgtext.heliohost.us/cgi-bin/gen.perl?text=Trampolines</v>
      </c>
      <c r="G1709" s="11" t="str">
        <f t="shared" si="4"/>
        <v>data:image/svg+xml,%3csvg xmlns='http://www.w3.org/2000/svg' viewBox='0 0 24 216'%3e%3ctext fill='%23fff' style='font: 900 16px sans-serif' text-anchor='end' transform='matrix(0 -1 1 0 18 5)'%3eTrampolines%3c/text%3e%3c/svg%3e</v>
      </c>
      <c r="H1709" s="8" t="s">
        <v>17</v>
      </c>
      <c r="I1709" s="8">
        <f t="shared" ref="I1709:J1709" si="1710">len(B1709)</f>
        <v>11</v>
      </c>
      <c r="J1709" s="8">
        <f t="shared" si="1710"/>
        <v>125</v>
      </c>
      <c r="K1709" s="8" t="s">
        <v>6771</v>
      </c>
    </row>
    <row r="1710">
      <c r="A1710" s="7" t="b">
        <v>1</v>
      </c>
      <c r="B1710" s="8" t="s">
        <v>6772</v>
      </c>
      <c r="C1710" s="8" t="s">
        <v>6773</v>
      </c>
      <c r="D1710" s="8" t="str">
        <f>Q&amp;$K1710&amp;Q&amp;":{"&amp;Q&amp;$B$2&amp;Q&amp;":"&amp;Q&amp;$B1710&amp;Q&amp;","&amp;Q&amp;$C$2&amp;Q&amp;":"&amp;Q&amp;$C1710&amp;Q&amp;","&amp;Q&amp;"sets"&amp;Q&amp;":"&amp;Q&amp;substitute(SUBSTITUTE($H1710,"[",""),"]","")&amp;Q&amp;"},"</f>
        <v>"gwjh":{"label":"Treasure Hunting","extra":"Gold Doubloons! Gold Doubloons! AT A YARD SALE?","sets":"Expansion Set 3, Party Expansion 1"},</v>
      </c>
      <c r="E1710" s="9" t="str">
        <f t="shared" si="2"/>
        <v>data:image/svg+xml,%3csvg xmlns='http://www.w3.org/2000/svg' viewBox='0 0 24 216'%3e%3ctext fill='%23fff' style='font: 900 16px sans-serif' text-anchor='end' transform='matrix(0 -1 1 0 18 5)'%3eTreasure Hunting%3c/text%3e%3c/svg%3e</v>
      </c>
      <c r="F1710" s="14" t="str">
        <f t="shared" si="3"/>
        <v>https://svgtext.heliohost.us/cgi-bin/gen.perl?text=Treasure%20Hunting</v>
      </c>
      <c r="G1710" s="11" t="str">
        <f t="shared" si="4"/>
        <v>data:image/svg+xml,%3csvg xmlns='http://www.w3.org/2000/svg' viewBox='0 0 24 216'%3e%3ctext fill='%23fff' style='font: 900 16px sans-serif' text-anchor='end' transform='matrix(0 -1 1 0 18 5)'%3eTreasure Hunting%3c/text%3e%3c/svg%3e</v>
      </c>
      <c r="H1710" s="8" t="s">
        <v>39</v>
      </c>
      <c r="I1710" s="8">
        <f t="shared" ref="I1710:J1710" si="1711">len(B1710)</f>
        <v>16</v>
      </c>
      <c r="J1710" s="8">
        <f t="shared" si="1711"/>
        <v>47</v>
      </c>
      <c r="K1710" s="8" t="s">
        <v>6774</v>
      </c>
    </row>
    <row r="1711">
      <c r="A1711" s="7" t="b">
        <v>0</v>
      </c>
      <c r="B1711" s="8" t="s">
        <v>6775</v>
      </c>
      <c r="C1711" s="7" t="s">
        <v>6776</v>
      </c>
      <c r="D1711" s="8" t="str">
        <f>Q&amp;$K1711&amp;Q&amp;":{"&amp;Q&amp;$B$2&amp;Q&amp;":"&amp;Q&amp;$B1711&amp;Q&amp;","&amp;Q&amp;$C$2&amp;Q&amp;":"&amp;Q&amp;$C1711&amp;Q&amp;","&amp;Q&amp;"sets"&amp;Q&amp;":"&amp;Q&amp;substitute(SUBSTITUTE($H1711,"[",""),"]","")&amp;Q&amp;"},"</f>
        <v>"{xcy":{"label":"Tree Huggers","extra":"“Environmentalists” to the left. “Wackos” to the right.","sets":"Basic Set, Party Set"},</v>
      </c>
      <c r="E1711" s="9" t="str">
        <f t="shared" si="2"/>
        <v>data:image/svg+xml,%3csvg xmlns='http://www.w3.org/2000/svg' viewBox='0 0 24 216'%3e%3ctext fill='%23fff' style='font: 900 16px sans-serif' text-anchor='end' transform='matrix(0 -1 1 0 18 5)'%3eTree Huggers%3c/text%3e%3c/svg%3e</v>
      </c>
      <c r="F1711" s="14" t="str">
        <f t="shared" si="3"/>
        <v>https://svgtext.heliohost.us/cgi-bin/gen.perl?text=Tree%20Huggers</v>
      </c>
      <c r="G1711" s="11" t="str">
        <f t="shared" si="4"/>
        <v>data:image/svg+xml,%3csvg xmlns='http://www.w3.org/2000/svg' viewBox='0 0 24 216'%3e%3ctext fill='%23fff' style='font: 900 16px sans-serif' text-anchor='end' transform='matrix(0 -1 1 0 18 5)'%3eTree Huggers%3c/text%3e%3c/svg%3e</v>
      </c>
      <c r="H1711" s="8" t="s">
        <v>29</v>
      </c>
      <c r="I1711" s="8">
        <f t="shared" ref="I1711:J1711" si="1712">len(B1711)</f>
        <v>12</v>
      </c>
      <c r="J1711" s="8">
        <f t="shared" si="1712"/>
        <v>55</v>
      </c>
      <c r="K1711" s="8" t="s">
        <v>6777</v>
      </c>
    </row>
    <row r="1712">
      <c r="A1712" s="7" t="b">
        <v>1</v>
      </c>
      <c r="B1712" s="8" t="s">
        <v>6778</v>
      </c>
      <c r="C1712" s="8" t="s">
        <v>6779</v>
      </c>
      <c r="D1712" s="8" t="str">
        <f>Q&amp;$K1712&amp;Q&amp;":{"&amp;Q&amp;$B$2&amp;Q&amp;":"&amp;Q&amp;$B1712&amp;Q&amp;","&amp;Q&amp;$C$2&amp;Q&amp;":"&amp;Q&amp;$C1712&amp;Q&amp;","&amp;Q&amp;"sets"&amp;Q&amp;":"&amp;Q&amp;substitute(SUBSTITUTE($H1712,"[",""),"]","")&amp;Q&amp;"},"</f>
        <v>"zyve":{"label":"Treehouse","extra":"A playhouse built in a tree. The Swiss Family Robinson lived in a treehouse on an island","sets":"Junior"},</v>
      </c>
      <c r="E1712" s="9" t="str">
        <f t="shared" si="2"/>
        <v>data:image/svg+xml,%3csvg xmlns='http://www.w3.org/2000/svg' viewBox='0 0 24 216'%3e%3ctext fill='%23fff' style='font: 900 16px sans-serif' text-anchor='end' transform='matrix(0 -1 1 0 18 5)'%3eTreehouse%3c/text%3e%3c/svg%3e</v>
      </c>
      <c r="F1712" s="14" t="str">
        <f t="shared" si="3"/>
        <v>https://svgtext.heliohost.us/cgi-bin/gen.perl?text=Treehouse</v>
      </c>
      <c r="G1712" s="11" t="str">
        <f t="shared" si="4"/>
        <v>data:image/svg+xml,%3csvg xmlns='http://www.w3.org/2000/svg' viewBox='0 0 24 216'%3e%3ctext fill='%23fff' style='font: 900 16px sans-serif' text-anchor='end' transform='matrix(0 -1 1 0 18 5)'%3eTreehouse%3c/text%3e%3c/svg%3e</v>
      </c>
      <c r="H1712" s="8" t="s">
        <v>84</v>
      </c>
      <c r="I1712" s="8">
        <f t="shared" ref="I1712:J1712" si="1713">len(B1712)</f>
        <v>9</v>
      </c>
      <c r="J1712" s="8">
        <f t="shared" si="1713"/>
        <v>88</v>
      </c>
      <c r="K1712" s="8" t="s">
        <v>6780</v>
      </c>
    </row>
    <row r="1713">
      <c r="A1713" s="7" t="b">
        <v>1</v>
      </c>
      <c r="B1713" s="8" t="s">
        <v>6781</v>
      </c>
      <c r="C1713" s="8" t="s">
        <v>6782</v>
      </c>
      <c r="D1713" s="8" t="str">
        <f>Q&amp;$K1713&amp;Q&amp;":{"&amp;Q&amp;$B$2&amp;Q&amp;":"&amp;Q&amp;$B1713&amp;Q&amp;","&amp;Q&amp;$C$2&amp;Q&amp;":"&amp;Q&amp;$C1713&amp;Q&amp;","&amp;Q&amp;"sets"&amp;Q&amp;":"&amp;Q&amp;substitute(SUBSTITUTE($H1713,"[",""),"]","")&amp;Q&amp;"},"</f>
        <v>"skgg":{"label":"Trees","extra":"Some redwood trees in California are over 300 feet tall and thousands of years old.","sets":"Junior 9+ (1st) &amp; (2nd)"},</v>
      </c>
      <c r="E1713" s="9" t="str">
        <f t="shared" si="2"/>
        <v>data:image/svg+xml,%3csvg xmlns='http://www.w3.org/2000/svg' viewBox='0 0 24 216'%3e%3ctext fill='%23fff' style='font: 900 16px sans-serif' text-anchor='end' transform='matrix(0 -1 1 0 18 5)'%3eTrees%3c/text%3e%3c/svg%3e</v>
      </c>
      <c r="F1713" s="14" t="str">
        <f t="shared" si="3"/>
        <v>https://svgtext.heliohost.us/cgi-bin/gen.perl?text=Trees</v>
      </c>
      <c r="G1713" s="11" t="str">
        <f t="shared" si="4"/>
        <v>data:image/svg+xml,%3csvg xmlns='http://www.w3.org/2000/svg' viewBox='0 0 24 216'%3e%3ctext fill='%23fff' style='font: 900 16px sans-serif' text-anchor='end' transform='matrix(0 -1 1 0 18 5)'%3eTrees%3c/text%3e%3c/svg%3e</v>
      </c>
      <c r="H1713" s="8" t="s">
        <v>42</v>
      </c>
      <c r="I1713" s="8">
        <f t="shared" ref="I1713:J1713" si="1714">len(B1713)</f>
        <v>5</v>
      </c>
      <c r="J1713" s="8">
        <f t="shared" si="1714"/>
        <v>83</v>
      </c>
      <c r="K1713" s="8" t="s">
        <v>6783</v>
      </c>
    </row>
    <row r="1714">
      <c r="A1714" s="7" t="b">
        <v>1</v>
      </c>
      <c r="B1714" s="8" t="s">
        <v>6784</v>
      </c>
      <c r="C1714" s="8" t="s">
        <v>6785</v>
      </c>
      <c r="D1714" s="8" t="str">
        <f>Q&amp;$K1714&amp;Q&amp;":{"&amp;Q&amp;$B$2&amp;Q&amp;":"&amp;Q&amp;$B1714&amp;Q&amp;","&amp;Q&amp;$C$2&amp;Q&amp;":"&amp;Q&amp;$C1714&amp;Q&amp;","&amp;Q&amp;"sets"&amp;Q&amp;":"&amp;Q&amp;substitute(SUBSTITUTE($H1714,"[",""),"]","")&amp;Q&amp;"},"</f>
        <v>"kyyo":{"label":"Trekkies","extra":"Beam them up, PLEASE!","sets":"Expansion Set 3, Party Expansion 1"},</v>
      </c>
      <c r="E1714" s="9" t="str">
        <f t="shared" si="2"/>
        <v>data:image/svg+xml,%3csvg xmlns='http://www.w3.org/2000/svg' viewBox='0 0 24 216'%3e%3ctext fill='%23fff' style='font: 900 16px sans-serif' text-anchor='end' transform='matrix(0 -1 1 0 18 5)'%3eTrekkies%3c/text%3e%3c/svg%3e</v>
      </c>
      <c r="F1714" s="14" t="str">
        <f t="shared" si="3"/>
        <v>https://svgtext.heliohost.us/cgi-bin/gen.perl?text=Trekkies</v>
      </c>
      <c r="G1714" s="11" t="str">
        <f t="shared" si="4"/>
        <v>data:image/svg+xml,%3csvg xmlns='http://www.w3.org/2000/svg' viewBox='0 0 24 216'%3e%3ctext fill='%23fff' style='font: 900 16px sans-serif' text-anchor='end' transform='matrix(0 -1 1 0 18 5)'%3eTrekkies%3c/text%3e%3c/svg%3e</v>
      </c>
      <c r="H1714" s="8" t="s">
        <v>39</v>
      </c>
      <c r="I1714" s="8">
        <f t="shared" ref="I1714:J1714" si="1715">len(B1714)</f>
        <v>8</v>
      </c>
      <c r="J1714" s="8">
        <f t="shared" si="1715"/>
        <v>21</v>
      </c>
      <c r="K1714" s="8" t="s">
        <v>6786</v>
      </c>
    </row>
    <row r="1715">
      <c r="A1715" s="7" t="b">
        <v>0</v>
      </c>
      <c r="B1715" s="8" t="s">
        <v>6787</v>
      </c>
      <c r="C1715" s="8" t="s">
        <v>6788</v>
      </c>
      <c r="D1715" s="8" t="str">
        <f>Q&amp;$K1715&amp;Q&amp;":{"&amp;Q&amp;$B$2&amp;Q&amp;":"&amp;Q&amp;$B1715&amp;Q&amp;","&amp;Q&amp;$C$2&amp;Q&amp;":"&amp;Q&amp;$C1715&amp;Q&amp;","&amp;Q&amp;"sets"&amp;Q&amp;":"&amp;Q&amp;substitute(SUBSTITUTE($H1715,"[",""),"]","")&amp;Q&amp;"},"</f>
        <v>"wjzd":{"label":"Trinidad &amp; Tobago","extra":"Tiny, lush Caribbean republic. One of the most prosperous countries in the area due to petroleum and natural gas production.","sets":"Expansion Set 4, Party Expansion 1"},</v>
      </c>
      <c r="E1715" s="9" t="str">
        <f t="shared" si="2"/>
        <v>data:image/svg+xml,%3csvg xmlns='http://www.w3.org/2000/svg' viewBox='0 0 24 216'%3e%3ctext fill='%23fff' style='font: 900 16px sans-serif' text-anchor='end' transform='matrix(0 -1 1 0 18 5)'%3eTrinidad %26amp%3B Tobago%3c/text%3e%3c/svg%3e</v>
      </c>
      <c r="F1715" s="14" t="str">
        <f t="shared" si="3"/>
        <v>https://svgtext.heliohost.us/cgi-bin/gen.perl?text=Trinidad%20%26%20Tobago</v>
      </c>
      <c r="G1715" s="11" t="str">
        <f t="shared" si="4"/>
        <v>data:image/svg+xml,%3csvg xmlns='http://www.w3.org/2000/svg' viewBox='0 0 24 216'%3e%3ctext fill='%23fff' style='font: 900 16px sans-serif' text-anchor='end' transform='matrix(0 -1 1 0 18 5)'%3eTrinidad %26amp%3B Tobago%3c/text%3e%3c/svg%3e</v>
      </c>
      <c r="H1715" s="8" t="s">
        <v>63</v>
      </c>
      <c r="I1715" s="8">
        <f t="shared" ref="I1715:J1715" si="1716">len(B1715)</f>
        <v>17</v>
      </c>
      <c r="J1715" s="8">
        <f t="shared" si="1716"/>
        <v>124</v>
      </c>
      <c r="K1715" s="8" t="s">
        <v>6789</v>
      </c>
    </row>
    <row r="1716">
      <c r="A1716" s="7" t="b">
        <v>1</v>
      </c>
      <c r="B1716" s="8" t="s">
        <v>6790</v>
      </c>
      <c r="C1716" s="8" t="s">
        <v>6791</v>
      </c>
      <c r="D1716" s="8" t="str">
        <f>Q&amp;$K1716&amp;Q&amp;":{"&amp;Q&amp;$B$2&amp;Q&amp;":"&amp;Q&amp;$B1716&amp;Q&amp;","&amp;Q&amp;$C$2&amp;Q&amp;":"&amp;Q&amp;$C1716&amp;Q&amp;","&amp;Q&amp;"sets"&amp;Q&amp;":"&amp;Q&amp;substitute(SUBSTITUTE($H1716,"[",""),"]","")&amp;Q&amp;"},"</f>
        <v>"izyl":{"label":"Truck Drivers","extra":"See the country- or at least see the highways.","sets":"Junior 9+ (2nd)"},</v>
      </c>
      <c r="E1716" s="9" t="str">
        <f t="shared" si="2"/>
        <v>data:image/svg+xml,%3csvg xmlns='http://www.w3.org/2000/svg' viewBox='0 0 24 216'%3e%3ctext fill='%23fff' style='font: 900 16px sans-serif' text-anchor='end' transform='matrix(0 -1 1 0 18 5)'%3eTruck Drivers%3c/text%3e%3c/svg%3e</v>
      </c>
      <c r="F1716" s="14" t="str">
        <f t="shared" si="3"/>
        <v>https://svgtext.heliohost.us/cgi-bin/gen.perl?text=Truck%20Drivers</v>
      </c>
      <c r="G1716" s="11" t="str">
        <f t="shared" si="4"/>
        <v>data:image/svg+xml,%3csvg xmlns='http://www.w3.org/2000/svg' viewBox='0 0 24 216'%3e%3ctext fill='%23fff' style='font: 900 16px sans-serif' text-anchor='end' transform='matrix(0 -1 1 0 18 5)'%3eTruck Drivers%3c/text%3e%3c/svg%3e</v>
      </c>
      <c r="H1716" s="8" t="s">
        <v>32</v>
      </c>
      <c r="I1716" s="8">
        <f t="shared" ref="I1716:J1716" si="1717">len(B1716)</f>
        <v>13</v>
      </c>
      <c r="J1716" s="8">
        <f t="shared" si="1717"/>
        <v>46</v>
      </c>
      <c r="K1716" s="8" t="s">
        <v>6792</v>
      </c>
    </row>
    <row r="1717">
      <c r="A1717" s="7" t="b">
        <v>0</v>
      </c>
      <c r="B1717" s="8" t="s">
        <v>6793</v>
      </c>
      <c r="C1717" s="7" t="s">
        <v>6794</v>
      </c>
      <c r="D1717" s="8" t="str">
        <f>Q&amp;$K1717&amp;Q&amp;":{"&amp;Q&amp;$B$2&amp;Q&amp;":"&amp;Q&amp;$B1717&amp;Q&amp;","&amp;Q&amp;$C$2&amp;Q&amp;":"&amp;Q&amp;$C1717&amp;Q&amp;","&amp;Q&amp;"sets"&amp;Q&amp;":"&amp;Q&amp;substitute(SUBSTITUTE($H1717,"[",""),"]","")&amp;Q&amp;"},"</f>
        <v>"koua":{"label":"Truck Stops","extra":"Breakfast 24 hours a day and you’re on your way.","sets":"Expansion Set 1, Party Set"},</v>
      </c>
      <c r="E1717" s="9" t="str">
        <f t="shared" si="2"/>
        <v>data:image/svg+xml,%3csvg xmlns='http://www.w3.org/2000/svg' viewBox='0 0 24 216'%3e%3ctext fill='%23fff' style='font: 900 16px sans-serif' text-anchor='end' transform='matrix(0 -1 1 0 18 5)'%3eTruck Stops%3c/text%3e%3c/svg%3e</v>
      </c>
      <c r="F1717" s="14" t="str">
        <f t="shared" si="3"/>
        <v>https://svgtext.heliohost.us/cgi-bin/gen.perl?text=Truck%20Stops</v>
      </c>
      <c r="G1717" s="11" t="str">
        <f t="shared" si="4"/>
        <v>data:image/svg+xml,%3csvg xmlns='http://www.w3.org/2000/svg' viewBox='0 0 24 216'%3e%3ctext fill='%23fff' style='font: 900 16px sans-serif' text-anchor='end' transform='matrix(0 -1 1 0 18 5)'%3eTruck Stops%3c/text%3e%3c/svg%3e</v>
      </c>
      <c r="H1717" s="8" t="s">
        <v>25</v>
      </c>
      <c r="I1717" s="8">
        <f t="shared" ref="I1717:J1717" si="1718">len(B1717)</f>
        <v>11</v>
      </c>
      <c r="J1717" s="8">
        <f t="shared" si="1718"/>
        <v>48</v>
      </c>
      <c r="K1717" s="8" t="s">
        <v>6795</v>
      </c>
    </row>
    <row r="1718">
      <c r="A1718" s="7" t="b">
        <v>1</v>
      </c>
      <c r="B1718" s="8" t="s">
        <v>6796</v>
      </c>
      <c r="C1718" s="7" t="s">
        <v>6797</v>
      </c>
      <c r="D1718" s="8" t="str">
        <f>Q&amp;$K1718&amp;Q&amp;":{"&amp;Q&amp;$B$2&amp;Q&amp;":"&amp;Q&amp;$B1718&amp;Q&amp;","&amp;Q&amp;$C$2&amp;Q&amp;":"&amp;Q&amp;$C1718&amp;Q&amp;","&amp;Q&amp;"sets"&amp;Q&amp;":"&amp;Q&amp;substitute(SUBSTITUTE($H1718,"[",""),"]","")&amp;Q&amp;"},"</f>
        <v>"sgin":{"label":"Truth &amp; Justice","extra":"Sounds good on paper.","sets":"Expansion Set 4, Party Expansion 1"},</v>
      </c>
      <c r="E1718" s="9" t="str">
        <f t="shared" si="2"/>
        <v>data:image/svg+xml,%3csvg xmlns='http://www.w3.org/2000/svg' viewBox='0 0 24 216'%3e%3ctext fill='%23fff' style='font: 900 16px sans-serif' text-anchor='end' transform='matrix(0 -1 1 0 18 5)'%3eTruth %26amp%3B Justice%3c/text%3e%3c/svg%3e</v>
      </c>
      <c r="F1718" s="14" t="str">
        <f t="shared" si="3"/>
        <v>https://svgtext.heliohost.us/cgi-bin/gen.perl?text=Truth%20%26%20Justice</v>
      </c>
      <c r="G1718" s="11" t="str">
        <f t="shared" si="4"/>
        <v>data:image/svg+xml,%3csvg xmlns='http://www.w3.org/2000/svg' viewBox='0 0 24 216'%3e%3ctext fill='%23fff' style='font: 900 16px sans-serif' text-anchor='end' transform='matrix(0 -1 1 0 18 5)'%3eTruth %26amp%3B Justice%3c/text%3e%3c/svg%3e</v>
      </c>
      <c r="H1718" s="8" t="s">
        <v>63</v>
      </c>
      <c r="I1718" s="8">
        <f t="shared" ref="I1718:J1718" si="1719">len(B1718)</f>
        <v>15</v>
      </c>
      <c r="J1718" s="8">
        <f t="shared" si="1719"/>
        <v>21</v>
      </c>
      <c r="K1718" s="8" t="s">
        <v>6798</v>
      </c>
    </row>
    <row r="1719">
      <c r="A1719" s="7" t="b">
        <v>1</v>
      </c>
      <c r="B1719" s="8" t="s">
        <v>6799</v>
      </c>
      <c r="C1719" s="8" t="s">
        <v>6800</v>
      </c>
      <c r="D1719" s="8" t="str">
        <f>Q&amp;$K1719&amp;Q&amp;":{"&amp;Q&amp;$B$2&amp;Q&amp;":"&amp;Q&amp;$B1719&amp;Q&amp;","&amp;Q&amp;$C$2&amp;Q&amp;":"&amp;Q&amp;$C1719&amp;Q&amp;","&amp;Q&amp;"sets"&amp;Q&amp;":"&amp;Q&amp;substitute(SUBSTITUTE($H1719,"[",""),"]","")&amp;Q&amp;"},"</f>
        <v>"bipy":{"label":"Tulips","extra":"A sign of spring!","sets":"Junior 9+ (2nd)"},</v>
      </c>
      <c r="E1719" s="9" t="str">
        <f t="shared" si="2"/>
        <v>data:image/svg+xml,%3csvg xmlns='http://www.w3.org/2000/svg' viewBox='0 0 24 216'%3e%3ctext fill='%23fff' style='font: 900 16px sans-serif' text-anchor='end' transform='matrix(0 -1 1 0 18 5)'%3eTulips%3c/text%3e%3c/svg%3e</v>
      </c>
      <c r="F1719" s="14" t="str">
        <f t="shared" si="3"/>
        <v>https://svgtext.heliohost.us/cgi-bin/gen.perl?text=Tulips</v>
      </c>
      <c r="G1719" s="11" t="str">
        <f t="shared" si="4"/>
        <v>data:image/svg+xml,%3csvg xmlns='http://www.w3.org/2000/svg' viewBox='0 0 24 216'%3e%3ctext fill='%23fff' style='font: 900 16px sans-serif' text-anchor='end' transform='matrix(0 -1 1 0 18 5)'%3eTulips%3c/text%3e%3c/svg%3e</v>
      </c>
      <c r="H1719" s="8" t="s">
        <v>32</v>
      </c>
      <c r="I1719" s="8">
        <f t="shared" ref="I1719:J1719" si="1720">len(B1719)</f>
        <v>6</v>
      </c>
      <c r="J1719" s="8">
        <f t="shared" si="1720"/>
        <v>17</v>
      </c>
      <c r="K1719" s="8" t="s">
        <v>6801</v>
      </c>
    </row>
    <row r="1720">
      <c r="A1720" s="7" t="b">
        <v>1</v>
      </c>
      <c r="B1720" s="8" t="s">
        <v>6802</v>
      </c>
      <c r="C1720" s="7" t="s">
        <v>6803</v>
      </c>
      <c r="D1720" s="8" t="str">
        <f>Q&amp;$K1720&amp;Q&amp;":{"&amp;Q&amp;$B$2&amp;Q&amp;":"&amp;Q&amp;$B1720&amp;Q&amp;","&amp;Q&amp;$C$2&amp;Q&amp;":"&amp;Q&amp;$C1720&amp;Q&amp;","&amp;Q&amp;"sets"&amp;Q&amp;":"&amp;Q&amp;substitute(SUBSTITUTE($H1720,"[",""),"]","")&amp;Q&amp;"},"</f>
        <v>"krfo":{"label":"Turkey &amp; Stuffing","extra":"Get stuffed.","sets":"Expansion Set 4, Party Expansion 1"},</v>
      </c>
      <c r="E1720" s="9" t="str">
        <f t="shared" si="2"/>
        <v>data:image/svg+xml,%3csvg xmlns='http://www.w3.org/2000/svg' viewBox='0 0 24 216'%3e%3ctext fill='%23fff' style='font: 900 16px sans-serif' text-anchor='end' transform='matrix(0 -1 1 0 18 5)'%3eTurkey %26amp%3B Stuffing%3c/text%3e%3c/svg%3e</v>
      </c>
      <c r="F1720" s="14" t="str">
        <f t="shared" si="3"/>
        <v>https://svgtext.heliohost.us/cgi-bin/gen.perl?text=Turkey%20%26%20Stuffing</v>
      </c>
      <c r="G1720" s="11" t="str">
        <f t="shared" si="4"/>
        <v>data:image/svg+xml,%3csvg xmlns='http://www.w3.org/2000/svg' viewBox='0 0 24 216'%3e%3ctext fill='%23fff' style='font: 900 16px sans-serif' text-anchor='end' transform='matrix(0 -1 1 0 18 5)'%3eTurkey %26amp%3B Stuffing%3c/text%3e%3c/svg%3e</v>
      </c>
      <c r="H1720" s="8" t="s">
        <v>63</v>
      </c>
      <c r="I1720" s="8">
        <f t="shared" ref="I1720:J1720" si="1721">len(B1720)</f>
        <v>17</v>
      </c>
      <c r="J1720" s="8">
        <f t="shared" si="1721"/>
        <v>12</v>
      </c>
      <c r="K1720" s="8" t="s">
        <v>6804</v>
      </c>
    </row>
    <row r="1721">
      <c r="A1721" s="7" t="b">
        <v>1</v>
      </c>
      <c r="B1721" s="8" t="s">
        <v>6805</v>
      </c>
      <c r="C1721" s="8" t="s">
        <v>6806</v>
      </c>
      <c r="D1721" s="8" t="str">
        <f>Q&amp;$K1721&amp;Q&amp;":{"&amp;Q&amp;$B$2&amp;Q&amp;":"&amp;Q&amp;$B1721&amp;Q&amp;","&amp;Q&amp;$C$2&amp;Q&amp;":"&amp;Q&amp;$C1721&amp;Q&amp;","&amp;Q&amp;"sets"&amp;Q&amp;":"&amp;Q&amp;substitute(SUBSTITUTE($H1721,"[",""),"]","")&amp;Q&amp;"},"</f>
        <v>"xxhj":{"label":"Turkeys","extra":"Large birds raised for food. Popular at Thanksgiving.","sets":"Junior 9+ (1st) &amp; (2nd)"},</v>
      </c>
      <c r="E1721" s="9" t="str">
        <f t="shared" si="2"/>
        <v>data:image/svg+xml,%3csvg xmlns='http://www.w3.org/2000/svg' viewBox='0 0 24 216'%3e%3ctext fill='%23fff' style='font: 900 16px sans-serif' text-anchor='end' transform='matrix(0 -1 1 0 18 5)'%3eTurkeys%3c/text%3e%3c/svg%3e</v>
      </c>
      <c r="F1721" s="14" t="str">
        <f t="shared" si="3"/>
        <v>https://svgtext.heliohost.us/cgi-bin/gen.perl?text=Turkeys</v>
      </c>
      <c r="G1721" s="11" t="str">
        <f t="shared" si="4"/>
        <v>data:image/svg+xml,%3csvg xmlns='http://www.w3.org/2000/svg' viewBox='0 0 24 216'%3e%3ctext fill='%23fff' style='font: 900 16px sans-serif' text-anchor='end' transform='matrix(0 -1 1 0 18 5)'%3eTurkeys%3c/text%3e%3c/svg%3e</v>
      </c>
      <c r="H1721" s="8" t="s">
        <v>42</v>
      </c>
      <c r="I1721" s="8">
        <f t="shared" ref="I1721:J1721" si="1722">len(B1721)</f>
        <v>7</v>
      </c>
      <c r="J1721" s="8">
        <f t="shared" si="1722"/>
        <v>53</v>
      </c>
      <c r="K1721" s="8" t="s">
        <v>6807</v>
      </c>
    </row>
    <row r="1722">
      <c r="A1722" s="7" t="b">
        <v>1</v>
      </c>
      <c r="B1722" s="8" t="s">
        <v>6808</v>
      </c>
      <c r="C1722" s="8" t="s">
        <v>6809</v>
      </c>
      <c r="D1722" s="8" t="str">
        <f>Q&amp;$K1722&amp;Q&amp;":{"&amp;Q&amp;$B$2&amp;Q&amp;":"&amp;Q&amp;$B1722&amp;Q&amp;","&amp;Q&amp;$C$2&amp;Q&amp;":"&amp;Q&amp;$C1722&amp;Q&amp;","&amp;Q&amp;"sets"&amp;Q&amp;":"&amp;Q&amp;substitute(SUBSTITUTE($H1722,"[",""),"]","")&amp;Q&amp;"},"</f>
        <v>"fqyo":{"label":"Turtles","extra":"They pull their legs and heads inside their shells for safety.","sets":"Junior"},</v>
      </c>
      <c r="E1722" s="9" t="str">
        <f t="shared" si="2"/>
        <v>data:image/svg+xml,%3csvg xmlns='http://www.w3.org/2000/svg' viewBox='0 0 24 216'%3e%3ctext fill='%23fff' style='font: 900 16px sans-serif' text-anchor='end' transform='matrix(0 -1 1 0 18 5)'%3eTurtles%3c/text%3e%3c/svg%3e</v>
      </c>
      <c r="F1722" s="14" t="str">
        <f t="shared" si="3"/>
        <v>https://svgtext.heliohost.us/cgi-bin/gen.perl?text=Turtles</v>
      </c>
      <c r="G1722" s="11" t="str">
        <f t="shared" si="4"/>
        <v>data:image/svg+xml,%3csvg xmlns='http://www.w3.org/2000/svg' viewBox='0 0 24 216'%3e%3ctext fill='%23fff' style='font: 900 16px sans-serif' text-anchor='end' transform='matrix(0 -1 1 0 18 5)'%3eTurtles%3c/text%3e%3c/svg%3e</v>
      </c>
      <c r="H1722" s="8" t="s">
        <v>84</v>
      </c>
      <c r="I1722" s="8">
        <f t="shared" ref="I1722:J1722" si="1723">len(B1722)</f>
        <v>7</v>
      </c>
      <c r="J1722" s="8">
        <f t="shared" si="1723"/>
        <v>62</v>
      </c>
      <c r="K1722" s="8" t="s">
        <v>6810</v>
      </c>
    </row>
    <row r="1723">
      <c r="A1723" s="7" t="b">
        <v>0</v>
      </c>
      <c r="B1723" s="8" t="s">
        <v>6811</v>
      </c>
      <c r="C1723" s="7" t="s">
        <v>6812</v>
      </c>
      <c r="D1723" s="8" t="str">
        <f>Q&amp;$K1723&amp;Q&amp;":{"&amp;Q&amp;$B$2&amp;Q&amp;":"&amp;Q&amp;$B1723&amp;Q&amp;","&amp;Q&amp;$C$2&amp;Q&amp;":"&amp;Q&amp;$C1723&amp;Q&amp;","&amp;Q&amp;"sets"&amp;Q&amp;":"&amp;Q&amp;substitute(SUBSTITUTE($H1723,"[",""),"]","")&amp;Q&amp;"},"</f>
        <v>"hhdd":{"label":"Tyra Banks","extra":"1973-, American model, starred in “Coyote Ugly.” Probably the only time you'll see the words “ugly” and “Tyra Banks” in the same sentence.","sets":"Expansion Set 3, Party Expansion 1"},</v>
      </c>
      <c r="E1723" s="9" t="str">
        <f t="shared" si="2"/>
        <v>data:image/svg+xml,%3csvg xmlns='http://www.w3.org/2000/svg' viewBox='0 0 24 216'%3e%3ctext fill='%23fff' style='font: 900 16px sans-serif' text-anchor='end' transform='matrix(0 -1 1 0 18 5)'%3eTyra Banks%3c/text%3e%3c/svg%3e</v>
      </c>
      <c r="F1723" s="14" t="str">
        <f t="shared" si="3"/>
        <v>https://svgtext.heliohost.us/cgi-bin/gen.perl?text=Tyra%20Banks</v>
      </c>
      <c r="G1723" s="11" t="str">
        <f t="shared" si="4"/>
        <v>data:image/svg+xml,%3csvg xmlns='http://www.w3.org/2000/svg' viewBox='0 0 24 216'%3e%3ctext fill='%23fff' style='font: 900 16px sans-serif' text-anchor='end' transform='matrix(0 -1 1 0 18 5)'%3eTyra Banks%3c/text%3e%3c/svg%3e</v>
      </c>
      <c r="H1723" s="8" t="s">
        <v>39</v>
      </c>
      <c r="I1723" s="8">
        <f t="shared" ref="I1723:J1723" si="1724">len(B1723)</f>
        <v>10</v>
      </c>
      <c r="J1723" s="8">
        <f t="shared" si="1724"/>
        <v>138</v>
      </c>
      <c r="K1723" s="8" t="s">
        <v>6813</v>
      </c>
    </row>
    <row r="1724">
      <c r="A1724" s="7" t="b">
        <v>0</v>
      </c>
      <c r="B1724" s="8" t="s">
        <v>6814</v>
      </c>
      <c r="C1724" s="8" t="s">
        <v>6815</v>
      </c>
      <c r="D1724" s="8" t="str">
        <f>Q&amp;$K1724&amp;Q&amp;":{"&amp;Q&amp;$B$2&amp;Q&amp;":"&amp;Q&amp;$B1724&amp;Q&amp;","&amp;Q&amp;$C$2&amp;Q&amp;":"&amp;Q&amp;$C1724&amp;Q&amp;","&amp;Q&amp;"sets"&amp;Q&amp;":"&amp;Q&amp;substitute(SUBSTITUTE($H1724,"[",""),"]","")&amp;Q&amp;"},"</f>
        <v>"znhp":{"label":"Tyrannosaurus Rex","extra":"Large carnivorous dinosaur of the latter part of the Mesozoic era. My, what big teeth you have!","sets":"Basic Set, Party Set"},</v>
      </c>
      <c r="E1724" s="9" t="str">
        <f t="shared" si="2"/>
        <v>data:image/svg+xml,%3csvg xmlns='http://www.w3.org/2000/svg' viewBox='0 0 24 216'%3e%3ctext fill='%23fff' style='font: 900 16px sans-serif' text-anchor='end' transform='matrix(0 -1 1 0 18 5)'%3eTyrannosaurus Rex%3c/text%3e%3c/svg%3e</v>
      </c>
      <c r="F1724" s="14" t="str">
        <f t="shared" si="3"/>
        <v>https://svgtext.heliohost.us/cgi-bin/gen.perl?text=Tyrannosaurus%20Rex</v>
      </c>
      <c r="G1724" s="11" t="str">
        <f t="shared" si="4"/>
        <v>data:image/svg+xml,%3csvg xmlns='http://www.w3.org/2000/svg' viewBox='0 0 24 216'%3e%3ctext fill='%23fff' style='font: 900 16px sans-serif' text-anchor='end' transform='matrix(0 -1 1 0 18 5)'%3eTyrannosaurus Rex%3c/text%3e%3c/svg%3e</v>
      </c>
      <c r="H1724" s="8" t="s">
        <v>29</v>
      </c>
      <c r="I1724" s="8">
        <f t="shared" ref="I1724:J1724" si="1725">len(B1724)</f>
        <v>17</v>
      </c>
      <c r="J1724" s="8">
        <f t="shared" si="1725"/>
        <v>95</v>
      </c>
      <c r="K1724" s="8" t="s">
        <v>6816</v>
      </c>
    </row>
    <row r="1725">
      <c r="A1725" s="7" t="b">
        <v>1</v>
      </c>
      <c r="B1725" s="8" t="s">
        <v>6817</v>
      </c>
      <c r="C1725" s="8" t="s">
        <v>6818</v>
      </c>
      <c r="D1725" s="8" t="str">
        <f>Q&amp;$K1725&amp;Q&amp;":{"&amp;Q&amp;$B$2&amp;Q&amp;":"&amp;Q&amp;$B1725&amp;Q&amp;","&amp;Q&amp;$C$2&amp;Q&amp;":"&amp;Q&amp;$C1725&amp;Q&amp;","&amp;Q&amp;"sets"&amp;Q&amp;":"&amp;Q&amp;substitute(SUBSTITUTE($H1725,"[",""),"]","")&amp;Q&amp;"},"</f>
        <v>"ogmj":{"label":"Umbrella Drinks","extra":"Extra fruit, please!","sets":"Expansion Set 3, Party Expansion 1"},</v>
      </c>
      <c r="E1725" s="9" t="str">
        <f t="shared" si="2"/>
        <v>data:image/svg+xml,%3csvg xmlns='http://www.w3.org/2000/svg' viewBox='0 0 24 216'%3e%3ctext fill='%23fff' style='font: 900 16px sans-serif' text-anchor='end' transform='matrix(0 -1 1 0 18 5)'%3eUmbrella Drinks%3c/text%3e%3c/svg%3e</v>
      </c>
      <c r="F1725" s="14" t="str">
        <f t="shared" si="3"/>
        <v>https://svgtext.heliohost.us/cgi-bin/gen.perl?text=Umbrella%20Drinks</v>
      </c>
      <c r="G1725" s="11" t="str">
        <f t="shared" si="4"/>
        <v>data:image/svg+xml,%3csvg xmlns='http://www.w3.org/2000/svg' viewBox='0 0 24 216'%3e%3ctext fill='%23fff' style='font: 900 16px sans-serif' text-anchor='end' transform='matrix(0 -1 1 0 18 5)'%3eUmbrella Drinks%3c/text%3e%3c/svg%3e</v>
      </c>
      <c r="H1725" s="8" t="s">
        <v>39</v>
      </c>
      <c r="I1725" s="8">
        <f t="shared" ref="I1725:J1725" si="1726">len(B1725)</f>
        <v>15</v>
      </c>
      <c r="J1725" s="8">
        <f t="shared" si="1726"/>
        <v>20</v>
      </c>
      <c r="K1725" s="8" t="s">
        <v>6819</v>
      </c>
    </row>
    <row r="1726">
      <c r="A1726" s="7" t="b">
        <v>1</v>
      </c>
      <c r="B1726" s="8" t="s">
        <v>6820</v>
      </c>
      <c r="C1726" s="7" t="s">
        <v>5516</v>
      </c>
      <c r="D1726" s="8" t="str">
        <f>Q&amp;$K1726&amp;Q&amp;":{"&amp;Q&amp;$B$2&amp;Q&amp;":"&amp;Q&amp;$B1726&amp;Q&amp;","&amp;Q&amp;$C$2&amp;Q&amp;":"&amp;Q&amp;$C1726&amp;Q&amp;","&amp;Q&amp;"sets"&amp;Q&amp;":"&amp;Q&amp;substitute(SUBSTITUTE($H1726,"[",""),"]","")&amp;Q&amp;"},"</f>
        <v>"pjfi":{"label":"Umbrellas","extra":"“Rain, rain, go away, come again another day.”","sets":"Junior 9+ (2nd)"},</v>
      </c>
      <c r="E1726" s="9" t="str">
        <f t="shared" si="2"/>
        <v>data:image/svg+xml,%3csvg xmlns='http://www.w3.org/2000/svg' viewBox='0 0 24 216'%3e%3ctext fill='%23fff' style='font: 900 16px sans-serif' text-anchor='end' transform='matrix(0 -1 1 0 18 5)'%3eUmbrellas%3c/text%3e%3c/svg%3e</v>
      </c>
      <c r="F1726" s="14" t="str">
        <f t="shared" si="3"/>
        <v>https://svgtext.heliohost.us/cgi-bin/gen.perl?text=Umbrellas</v>
      </c>
      <c r="G1726" s="11" t="str">
        <f t="shared" si="4"/>
        <v>data:image/svg+xml,%3csvg xmlns='http://www.w3.org/2000/svg' viewBox='0 0 24 216'%3e%3ctext fill='%23fff' style='font: 900 16px sans-serif' text-anchor='end' transform='matrix(0 -1 1 0 18 5)'%3eUmbrellas%3c/text%3e%3c/svg%3e</v>
      </c>
      <c r="H1726" s="8" t="s">
        <v>32</v>
      </c>
      <c r="I1726" s="8">
        <f t="shared" ref="I1726:J1726" si="1727">len(B1726)</f>
        <v>9</v>
      </c>
      <c r="J1726" s="8">
        <f t="shared" si="1727"/>
        <v>46</v>
      </c>
      <c r="K1726" s="8" t="s">
        <v>6821</v>
      </c>
    </row>
    <row r="1727">
      <c r="A1727" s="7" t="b">
        <v>1</v>
      </c>
      <c r="B1727" s="8" t="s">
        <v>6822</v>
      </c>
      <c r="C1727" s="7" t="s">
        <v>6823</v>
      </c>
      <c r="D1727" s="8" t="str">
        <f>Q&amp;$K1727&amp;Q&amp;":{"&amp;Q&amp;$B$2&amp;Q&amp;":"&amp;Q&amp;$B1727&amp;Q&amp;","&amp;Q&amp;$C$2&amp;Q&amp;":"&amp;Q&amp;$C1727&amp;Q&amp;","&amp;Q&amp;"sets"&amp;Q&amp;":"&amp;Q&amp;substitute(SUBSTITUTE($H1727,"[",""),"]","")&amp;Q&amp;"},"</f>
        <v>"jygj":{"label":"Under My Bed","extra":"A good place to hide, if it’s not too messy.","sets":"Junior"},</v>
      </c>
      <c r="E1727" s="9" t="str">
        <f t="shared" si="2"/>
        <v>data:image/svg+xml,%3csvg xmlns='http://www.w3.org/2000/svg' viewBox='0 0 24 216'%3e%3ctext fill='%23fff' style='font: 900 16px sans-serif' text-anchor='end' transform='matrix(0 -1 1 0 18 5)'%3eUnder My Bed%3c/text%3e%3c/svg%3e</v>
      </c>
      <c r="F1727" s="14" t="str">
        <f t="shared" si="3"/>
        <v>https://svgtext.heliohost.us/cgi-bin/gen.perl?text=Under%20My%20Bed</v>
      </c>
      <c r="G1727" s="11" t="str">
        <f t="shared" si="4"/>
        <v>data:image/svg+xml,%3csvg xmlns='http://www.w3.org/2000/svg' viewBox='0 0 24 216'%3e%3ctext fill='%23fff' style='font: 900 16px sans-serif' text-anchor='end' transform='matrix(0 -1 1 0 18 5)'%3eUnder My Bed%3c/text%3e%3c/svg%3e</v>
      </c>
      <c r="H1727" s="8" t="s">
        <v>84</v>
      </c>
      <c r="I1727" s="8">
        <f t="shared" ref="I1727:J1727" si="1728">len(B1727)</f>
        <v>12</v>
      </c>
      <c r="J1727" s="8">
        <f t="shared" si="1728"/>
        <v>44</v>
      </c>
      <c r="K1727" s="8" t="s">
        <v>6824</v>
      </c>
    </row>
    <row r="1728">
      <c r="A1728" s="7" t="b">
        <v>0</v>
      </c>
      <c r="B1728" s="8" t="s">
        <v>6825</v>
      </c>
      <c r="C1728" s="7" t="s">
        <v>6826</v>
      </c>
      <c r="D1728" s="8" t="str">
        <f>Q&amp;$K1728&amp;Q&amp;":{"&amp;Q&amp;$B$2&amp;Q&amp;":"&amp;Q&amp;$B1728&amp;Q&amp;","&amp;Q&amp;$C$2&amp;Q&amp;":"&amp;Q&amp;$C1728&amp;Q&amp;","&amp;Q&amp;"sets"&amp;Q&amp;":"&amp;Q&amp;substitute(SUBSTITUTE($H1728,"[",""),"]","")&amp;Q&amp;"},"</f>
        <v>"kmic":{"label":"Underwear","extra":"“Let's keep this brief.”","sets":"Basic Set, Party Set"},</v>
      </c>
      <c r="E1728" s="9" t="str">
        <f t="shared" si="2"/>
        <v>data:image/svg+xml,%3csvg xmlns='http://www.w3.org/2000/svg' viewBox='0 0 24 216'%3e%3ctext fill='%23fff' style='font: 900 16px sans-serif' text-anchor='end' transform='matrix(0 -1 1 0 18 5)'%3eUnderwear%3c/text%3e%3c/svg%3e</v>
      </c>
      <c r="F1728" s="14" t="str">
        <f t="shared" si="3"/>
        <v>https://svgtext.heliohost.us/cgi-bin/gen.perl?text=Underwear</v>
      </c>
      <c r="G1728" s="11" t="str">
        <f t="shared" si="4"/>
        <v>data:image/svg+xml,%3csvg xmlns='http://www.w3.org/2000/svg' viewBox='0 0 24 216'%3e%3ctext fill='%23fff' style='font: 900 16px sans-serif' text-anchor='end' transform='matrix(0 -1 1 0 18 5)'%3eUnderwear%3c/text%3e%3c/svg%3e</v>
      </c>
      <c r="H1728" s="8" t="s">
        <v>29</v>
      </c>
      <c r="I1728" s="8">
        <f t="shared" ref="I1728:J1728" si="1729">len(B1728)</f>
        <v>9</v>
      </c>
      <c r="J1728" s="8">
        <f t="shared" si="1729"/>
        <v>24</v>
      </c>
      <c r="K1728" s="8" t="s">
        <v>6827</v>
      </c>
    </row>
    <row r="1729">
      <c r="A1729" s="7" t="b">
        <v>1</v>
      </c>
      <c r="B1729" s="8" t="s">
        <v>6825</v>
      </c>
      <c r="C1729" s="8" t="s">
        <v>6828</v>
      </c>
      <c r="D1729" s="8" t="str">
        <f>Q&amp;$K1729&amp;Q&amp;":{"&amp;Q&amp;$B$2&amp;Q&amp;":"&amp;Q&amp;$B1729&amp;Q&amp;","&amp;Q&amp;$C$2&amp;Q&amp;":"&amp;Q&amp;$C1729&amp;Q&amp;","&amp;Q&amp;"sets"&amp;Q&amp;":"&amp;Q&amp;substitute(SUBSTITUTE($H1729,"[",""),"]","")&amp;Q&amp;"},"</f>
        <v>"kbnp":{"label":"Underwear","extra":"Keep it clean!","sets":"Junior 9+ (2nd)"},</v>
      </c>
      <c r="E1729" s="9" t="str">
        <f t="shared" si="2"/>
        <v>data:image/svg+xml,%3csvg xmlns='http://www.w3.org/2000/svg' viewBox='0 0 24 216'%3e%3ctext fill='%23fff' style='font: 900 16px sans-serif' text-anchor='end' transform='matrix(0 -1 1 0 18 5)'%3eUnderwear%3c/text%3e%3c/svg%3e</v>
      </c>
      <c r="F1729" s="14" t="str">
        <f t="shared" si="3"/>
        <v>https://svgtext.heliohost.us/cgi-bin/gen.perl?text=Underwear</v>
      </c>
      <c r="G1729" s="11" t="str">
        <f t="shared" si="4"/>
        <v>data:image/svg+xml,%3csvg xmlns='http://www.w3.org/2000/svg' viewBox='0 0 24 216'%3e%3ctext fill='%23fff' style='font: 900 16px sans-serif' text-anchor='end' transform='matrix(0 -1 1 0 18 5)'%3eUnderwear%3c/text%3e%3c/svg%3e</v>
      </c>
      <c r="H1729" s="8" t="s">
        <v>32</v>
      </c>
      <c r="I1729" s="8">
        <f t="shared" ref="I1729:J1729" si="1730">len(B1729)</f>
        <v>9</v>
      </c>
      <c r="J1729" s="8">
        <f t="shared" si="1730"/>
        <v>14</v>
      </c>
      <c r="K1729" s="8" t="s">
        <v>6829</v>
      </c>
    </row>
    <row r="1730">
      <c r="A1730" s="7" t="b">
        <v>1</v>
      </c>
      <c r="B1730" s="8" t="s">
        <v>6830</v>
      </c>
      <c r="C1730" s="8" t="s">
        <v>6831</v>
      </c>
      <c r="D1730" s="8" t="str">
        <f>Q&amp;$K1730&amp;Q&amp;":{"&amp;Q&amp;$B$2&amp;Q&amp;":"&amp;Q&amp;$B1730&amp;Q&amp;","&amp;Q&amp;$C$2&amp;Q&amp;":"&amp;Q&amp;$C1730&amp;Q&amp;","&amp;Q&amp;"sets"&amp;Q&amp;":"&amp;Q&amp;substitute(SUBSTITUTE($H1730,"[",""),"]","")&amp;Q&amp;"},"</f>
        <v>"ijev":{"label":"Unicorns","extra":"Imaginary horse-like animals. A long, pointed horn grown from the middle of their foreheads.","sets":"Junior 9+ (1st) &amp; (2nd)"},</v>
      </c>
      <c r="E1730" s="9" t="str">
        <f t="shared" si="2"/>
        <v>data:image/svg+xml,%3csvg xmlns='http://www.w3.org/2000/svg' viewBox='0 0 24 216'%3e%3ctext fill='%23fff' style='font: 900 16px sans-serif' text-anchor='end' transform='matrix(0 -1 1 0 18 5)'%3eUnicorns%3c/text%3e%3c/svg%3e</v>
      </c>
      <c r="F1730" s="14" t="str">
        <f t="shared" si="3"/>
        <v>https://svgtext.heliohost.us/cgi-bin/gen.perl?text=Unicorns</v>
      </c>
      <c r="G1730" s="11" t="str">
        <f t="shared" si="4"/>
        <v>data:image/svg+xml,%3csvg xmlns='http://www.w3.org/2000/svg' viewBox='0 0 24 216'%3e%3ctext fill='%23fff' style='font: 900 16px sans-serif' text-anchor='end' transform='matrix(0 -1 1 0 18 5)'%3eUnicorns%3c/text%3e%3c/svg%3e</v>
      </c>
      <c r="H1730" s="8" t="s">
        <v>42</v>
      </c>
      <c r="I1730" s="8">
        <f t="shared" ref="I1730:J1730" si="1731">len(B1730)</f>
        <v>8</v>
      </c>
      <c r="J1730" s="8">
        <f t="shared" si="1731"/>
        <v>92</v>
      </c>
      <c r="K1730" s="8" t="s">
        <v>6832</v>
      </c>
    </row>
    <row r="1731">
      <c r="A1731" s="7" t="b">
        <v>0</v>
      </c>
      <c r="B1731" s="8" t="s">
        <v>6833</v>
      </c>
      <c r="C1731" s="7" t="s">
        <v>6834</v>
      </c>
      <c r="D1731" s="8" t="str">
        <f>Q&amp;$K1731&amp;Q&amp;":{"&amp;Q&amp;$B$2&amp;Q&amp;":"&amp;Q&amp;$B1731&amp;Q&amp;","&amp;Q&amp;$C$2&amp;Q&amp;":"&amp;Q&amp;$C1731&amp;Q&amp;","&amp;Q&amp;"sets"&amp;Q&amp;":"&amp;Q&amp;substitute(SUBSTITUTE($H1731,"[",""),"]","")&amp;Q&amp;"},"</f>
        <v>"obrf":{"label":"United Nations","extra":"The U.N. was founded in 1945, after World War II ended. Its mission is to maintain world peace. If we ever achieve it, that is…","sets":"Expansion Set 2, Party Set"},</v>
      </c>
      <c r="E1731" s="9" t="str">
        <f t="shared" si="2"/>
        <v>data:image/svg+xml,%3csvg xmlns='http://www.w3.org/2000/svg' viewBox='0 0 24 216'%3e%3ctext fill='%23fff' style='font: 900 16px sans-serif' text-anchor='end' transform='matrix(0 -1 1 0 18 5)'%3eUnited Nations%3c/text%3e%3c/svg%3e</v>
      </c>
      <c r="F1731" s="14" t="str">
        <f t="shared" si="3"/>
        <v>https://svgtext.heliohost.us/cgi-bin/gen.perl?text=United%20Nations</v>
      </c>
      <c r="G1731" s="11" t="str">
        <f t="shared" si="4"/>
        <v>data:image/svg+xml,%3csvg xmlns='http://www.w3.org/2000/svg' viewBox='0 0 24 216'%3e%3ctext fill='%23fff' style='font: 900 16px sans-serif' text-anchor='end' transform='matrix(0 -1 1 0 18 5)'%3eUnited Nations%3c/text%3e%3c/svg%3e</v>
      </c>
      <c r="H1731" s="8" t="s">
        <v>17</v>
      </c>
      <c r="I1731" s="8">
        <f t="shared" ref="I1731:J1731" si="1732">len(B1731)</f>
        <v>14</v>
      </c>
      <c r="J1731" s="8">
        <f t="shared" si="1732"/>
        <v>127</v>
      </c>
      <c r="K1731" s="8" t="s">
        <v>6835</v>
      </c>
    </row>
    <row r="1732">
      <c r="A1732" s="7" t="b">
        <v>1</v>
      </c>
      <c r="B1732" s="8" t="s">
        <v>6836</v>
      </c>
      <c r="C1732" s="8" t="s">
        <v>6837</v>
      </c>
      <c r="D1732" s="8" t="str">
        <f>Q&amp;$K1732&amp;Q&amp;":{"&amp;Q&amp;$B$2&amp;Q&amp;":"&amp;Q&amp;$B1732&amp;Q&amp;","&amp;Q&amp;$C$2&amp;Q&amp;":"&amp;Q&amp;$C1732&amp;Q&amp;","&amp;Q&amp;"sets"&amp;Q&amp;":"&amp;Q&amp;substitute(SUBSTITUTE($H1732,"[",""),"]","")&amp;Q&amp;"},"</f>
        <v>"mpyy":{"label":"United States","extra":"It's about 2,500 miles, from sea to shining sea.","sets":"Junior 9+ (2nd)"},</v>
      </c>
      <c r="E1732" s="9" t="str">
        <f t="shared" si="2"/>
        <v>data:image/svg+xml,%3csvg xmlns='http://www.w3.org/2000/svg' viewBox='0 0 24 216'%3e%3ctext fill='%23fff' style='font: 900 16px sans-serif' text-anchor='end' transform='matrix(0 -1 1 0 18 5)'%3eUnited States%3c/text%3e%3c/svg%3e</v>
      </c>
      <c r="F1732" s="14" t="str">
        <f t="shared" si="3"/>
        <v>https://svgtext.heliohost.us/cgi-bin/gen.perl?text=United%20States</v>
      </c>
      <c r="G1732" s="11" t="str">
        <f t="shared" si="4"/>
        <v>data:image/svg+xml,%3csvg xmlns='http://www.w3.org/2000/svg' viewBox='0 0 24 216'%3e%3ctext fill='%23fff' style='font: 900 16px sans-serif' text-anchor='end' transform='matrix(0 -1 1 0 18 5)'%3eUnited States%3c/text%3e%3c/svg%3e</v>
      </c>
      <c r="H1732" s="8" t="s">
        <v>32</v>
      </c>
      <c r="I1732" s="8">
        <f t="shared" ref="I1732:J1732" si="1733">len(B1732)</f>
        <v>13</v>
      </c>
      <c r="J1732" s="8">
        <f t="shared" si="1733"/>
        <v>48</v>
      </c>
      <c r="K1732" s="8" t="s">
        <v>6838</v>
      </c>
    </row>
    <row r="1733">
      <c r="A1733" s="7" t="b">
        <v>1</v>
      </c>
      <c r="B1733" s="8" t="s">
        <v>6839</v>
      </c>
      <c r="C1733" s="7" t="s">
        <v>6840</v>
      </c>
      <c r="D1733" s="8" t="str">
        <f>Q&amp;$K1733&amp;Q&amp;":{"&amp;Q&amp;$B$2&amp;Q&amp;":"&amp;Q&amp;$B1733&amp;Q&amp;","&amp;Q&amp;$C$2&amp;Q&amp;":"&amp;Q&amp;$C1733&amp;Q&amp;","&amp;Q&amp;"sets"&amp;Q&amp;":"&amp;Q&amp;substitute(SUBSTITUTE($H1733,"[",""),"]","")&amp;Q&amp;"},"</f>
        <v>"ygul":{"label":"Urban Sprawl","extra":"Oh give me a home where the edge of town roams…","sets":"Expansion Set 3, Party Expansion 1"},</v>
      </c>
      <c r="E1733" s="9" t="str">
        <f t="shared" si="2"/>
        <v>data:image/svg+xml,%3csvg xmlns='http://www.w3.org/2000/svg' viewBox='0 0 24 216'%3e%3ctext fill='%23fff' style='font: 900 16px sans-serif' text-anchor='end' transform='matrix(0 -1 1 0 18 5)'%3eUrban Sprawl%3c/text%3e%3c/svg%3e</v>
      </c>
      <c r="F1733" s="14" t="str">
        <f t="shared" si="3"/>
        <v>https://svgtext.heliohost.us/cgi-bin/gen.perl?text=Urban%20Sprawl</v>
      </c>
      <c r="G1733" s="11" t="str">
        <f t="shared" si="4"/>
        <v>data:image/svg+xml,%3csvg xmlns='http://www.w3.org/2000/svg' viewBox='0 0 24 216'%3e%3ctext fill='%23fff' style='font: 900 16px sans-serif' text-anchor='end' transform='matrix(0 -1 1 0 18 5)'%3eUrban Sprawl%3c/text%3e%3c/svg%3e</v>
      </c>
      <c r="H1733" s="8" t="s">
        <v>39</v>
      </c>
      <c r="I1733" s="8">
        <f t="shared" ref="I1733:J1733" si="1734">len(B1733)</f>
        <v>12</v>
      </c>
      <c r="J1733" s="8">
        <f t="shared" si="1734"/>
        <v>47</v>
      </c>
      <c r="K1733" s="8" t="s">
        <v>6841</v>
      </c>
    </row>
    <row r="1734">
      <c r="A1734" s="7" t="b">
        <v>0</v>
      </c>
      <c r="B1734" s="8" t="s">
        <v>6842</v>
      </c>
      <c r="C1734" s="7" t="s">
        <v>6843</v>
      </c>
      <c r="D1734" s="8" t="str">
        <f>Q&amp;$K1734&amp;Q&amp;":{"&amp;Q&amp;$B$2&amp;Q&amp;":"&amp;Q&amp;$B1734&amp;Q&amp;","&amp;Q&amp;$C$2&amp;Q&amp;":"&amp;Q&amp;$C1734&amp;Q&amp;","&amp;Q&amp;"sets"&amp;Q&amp;":"&amp;Q&amp;substitute(SUBSTITUTE($H1734,"[",""),"]","")&amp;Q&amp;"},"</f>
        <v>"twxi":{"label":"Vacations","extra":"“Vacation, all I ever wanted, Vacation, had to get away…” —Go-Go’s","sets":"Expansion Set 2, Party Set"},</v>
      </c>
      <c r="E1734" s="9" t="str">
        <f t="shared" si="2"/>
        <v>data:image/svg+xml,%3csvg xmlns='http://www.w3.org/2000/svg' viewBox='0 0 24 216'%3e%3ctext fill='%23fff' style='font: 900 16px sans-serif' text-anchor='end' transform='matrix(0 -1 1 0 18 5)'%3eVacations%3c/text%3e%3c/svg%3e</v>
      </c>
      <c r="F1734" s="14" t="str">
        <f t="shared" si="3"/>
        <v>https://svgtext.heliohost.us/cgi-bin/gen.perl?text=Vacations</v>
      </c>
      <c r="G1734" s="11" t="str">
        <f t="shared" si="4"/>
        <v>data:image/svg+xml,%3csvg xmlns='http://www.w3.org/2000/svg' viewBox='0 0 24 216'%3e%3ctext fill='%23fff' style='font: 900 16px sans-serif' text-anchor='end' transform='matrix(0 -1 1 0 18 5)'%3eVacations%3c/text%3e%3c/svg%3e</v>
      </c>
      <c r="H1734" s="8" t="s">
        <v>17</v>
      </c>
      <c r="I1734" s="8">
        <f t="shared" ref="I1734:J1734" si="1735">len(B1734)</f>
        <v>9</v>
      </c>
      <c r="J1734" s="8">
        <f t="shared" si="1735"/>
        <v>66</v>
      </c>
      <c r="K1734" s="8" t="s">
        <v>6844</v>
      </c>
    </row>
    <row r="1735">
      <c r="A1735" s="7" t="b">
        <v>1</v>
      </c>
      <c r="B1735" s="8" t="s">
        <v>6845</v>
      </c>
      <c r="C1735" s="7" t="s">
        <v>6846</v>
      </c>
      <c r="D1735" s="8" t="str">
        <f>Q&amp;$K1735&amp;Q&amp;":{"&amp;Q&amp;$B$2&amp;Q&amp;":"&amp;Q&amp;$B1735&amp;Q&amp;","&amp;Q&amp;$C$2&amp;Q&amp;":"&amp;Q&amp;$C1735&amp;Q&amp;","&amp;Q&amp;"sets"&amp;Q&amp;":"&amp;Q&amp;substitute(SUBSTITUTE($H1735,"[",""),"]","")&amp;Q&amp;"},"</f>
        <v>"szpt":{"label":"Vacuum Cleaners","extra":"It’s a dirty job!","sets":"Junior 9+ (2nd)"},</v>
      </c>
      <c r="E1735" s="9" t="str">
        <f t="shared" si="2"/>
        <v>data:image/svg+xml,%3csvg xmlns='http://www.w3.org/2000/svg' viewBox='0 0 24 216'%3e%3ctext fill='%23fff' style='font: 900 16px sans-serif' text-anchor='end' transform='matrix(0 -1 1 0 18 5)'%3eVacuum Cleaners%3c/text%3e%3c/svg%3e</v>
      </c>
      <c r="F1735" s="14" t="str">
        <f t="shared" si="3"/>
        <v>https://svgtext.heliohost.us/cgi-bin/gen.perl?text=Vacuum%20Cleaners</v>
      </c>
      <c r="G1735" s="11" t="str">
        <f t="shared" si="4"/>
        <v>data:image/svg+xml,%3csvg xmlns='http://www.w3.org/2000/svg' viewBox='0 0 24 216'%3e%3ctext fill='%23fff' style='font: 900 16px sans-serif' text-anchor='end' transform='matrix(0 -1 1 0 18 5)'%3eVacuum Cleaners%3c/text%3e%3c/svg%3e</v>
      </c>
      <c r="H1735" s="8" t="s">
        <v>32</v>
      </c>
      <c r="I1735" s="8">
        <f t="shared" ref="I1735:J1735" si="1736">len(B1735)</f>
        <v>15</v>
      </c>
      <c r="J1735" s="8">
        <f t="shared" si="1736"/>
        <v>17</v>
      </c>
      <c r="K1735" s="8" t="s">
        <v>6847</v>
      </c>
    </row>
    <row r="1736">
      <c r="A1736" s="7" t="b">
        <v>1</v>
      </c>
      <c r="B1736" s="8" t="s">
        <v>6848</v>
      </c>
      <c r="C1736" s="8" t="s">
        <v>6849</v>
      </c>
      <c r="D1736" s="8" t="str">
        <f>Q&amp;$K1736&amp;Q&amp;":{"&amp;Q&amp;$B$2&amp;Q&amp;":"&amp;Q&amp;$B1736&amp;Q&amp;","&amp;Q&amp;$C$2&amp;Q&amp;":"&amp;Q&amp;$C1736&amp;Q&amp;","&amp;Q&amp;"sets"&amp;Q&amp;":"&amp;Q&amp;substitute(SUBSTITUTE($H1736,"[",""),"]","")&amp;Q&amp;"},"</f>
        <v>"rtvk":{"label":"Valentine's Day","extra":"Will you be my Valentine?","sets":"Junior 9+ (1st) &amp; (2nd)"},</v>
      </c>
      <c r="E1736" s="9" t="str">
        <f t="shared" si="2"/>
        <v>data:image/svg+xml,%3csvg xmlns='http://www.w3.org/2000/svg' viewBox='0 0 24 216'%3e%3ctext fill='%23fff' style='font: 900 16px sans-serif' text-anchor='end' transform='matrix(0 -1 1 0 18 5)'%3eValentine%27s Day%3c/text%3e%3c/svg%3e</v>
      </c>
      <c r="F1736" s="14" t="str">
        <f t="shared" si="3"/>
        <v>https://svgtext.heliohost.us/cgi-bin/gen.perl?text=Valentine%27s%20Day</v>
      </c>
      <c r="G1736" s="11" t="str">
        <f t="shared" si="4"/>
        <v>data:image/svg+xml,%3csvg xmlns='http://www.w3.org/2000/svg' viewBox='0 0 24 216'%3e%3ctext fill='%23fff' style='font: 900 16px sans-serif' text-anchor='end' transform='matrix(0 -1 1 0 18 5)'%3eValentine%27s Day%3c/text%3e%3c/svg%3e</v>
      </c>
      <c r="H1736" s="8" t="s">
        <v>42</v>
      </c>
      <c r="I1736" s="8">
        <f t="shared" ref="I1736:J1736" si="1737">len(B1736)</f>
        <v>15</v>
      </c>
      <c r="J1736" s="8">
        <f t="shared" si="1737"/>
        <v>25</v>
      </c>
      <c r="K1736" s="8" t="s">
        <v>6850</v>
      </c>
    </row>
    <row r="1737">
      <c r="A1737" s="7" t="b">
        <v>0</v>
      </c>
      <c r="B1737" s="8" t="s">
        <v>6851</v>
      </c>
      <c r="C1737" s="8" t="s">
        <v>6852</v>
      </c>
      <c r="D1737" s="8" t="str">
        <f>Q&amp;$K1737&amp;Q&amp;":{"&amp;Q&amp;$B$2&amp;Q&amp;":"&amp;Q&amp;$B1737&amp;Q&amp;","&amp;Q&amp;$C$2&amp;Q&amp;":"&amp;Q&amp;$C1737&amp;Q&amp;","&amp;Q&amp;"sets"&amp;Q&amp;":"&amp;Q&amp;substitute(SUBSTITUTE($H1737,"[",""),"]","")&amp;Q&amp;"},"</f>
        <v>"euh{":{"label":"Vampires","extra":"Legendary bloodsucking monsters.","sets":"Expansion Set 2, Party Set"},</v>
      </c>
      <c r="E1737" s="9" t="str">
        <f t="shared" si="2"/>
        <v>data:image/svg+xml,%3csvg xmlns='http://www.w3.org/2000/svg' viewBox='0 0 24 216'%3e%3ctext fill='%23fff' style='font: 900 16px sans-serif' text-anchor='end' transform='matrix(0 -1 1 0 18 5)'%3eVampires%3c/text%3e%3c/svg%3e</v>
      </c>
      <c r="F1737" s="14" t="str">
        <f t="shared" si="3"/>
        <v>https://svgtext.heliohost.us/cgi-bin/gen.perl?text=Vampires</v>
      </c>
      <c r="G1737" s="11" t="str">
        <f t="shared" si="4"/>
        <v>data:image/svg+xml,%3csvg xmlns='http://www.w3.org/2000/svg' viewBox='0 0 24 216'%3e%3ctext fill='%23fff' style='font: 900 16px sans-serif' text-anchor='end' transform='matrix(0 -1 1 0 18 5)'%3eVampires%3c/text%3e%3c/svg%3e</v>
      </c>
      <c r="H1737" s="8" t="s">
        <v>17</v>
      </c>
      <c r="I1737" s="8">
        <f t="shared" ref="I1737:J1737" si="1738">len(B1737)</f>
        <v>8</v>
      </c>
      <c r="J1737" s="8">
        <f t="shared" si="1738"/>
        <v>32</v>
      </c>
      <c r="K1737" s="8" t="s">
        <v>6853</v>
      </c>
    </row>
    <row r="1738">
      <c r="A1738" s="7" t="b">
        <v>1</v>
      </c>
      <c r="B1738" s="8" t="s">
        <v>6854</v>
      </c>
      <c r="C1738" s="8" t="s">
        <v>6855</v>
      </c>
      <c r="D1738" s="8" t="str">
        <f>Q&amp;$K1738&amp;Q&amp;":{"&amp;Q&amp;$B$2&amp;Q&amp;":"&amp;Q&amp;$B1738&amp;Q&amp;","&amp;Q&amp;$C$2&amp;Q&amp;":"&amp;Q&amp;$C1738&amp;Q&amp;","&amp;Q&amp;"sets"&amp;Q&amp;":"&amp;Q&amp;substitute(SUBSTITUTE($H1738,"[",""),"]","")&amp;Q&amp;"},"</f>
        <v>"cblo":{"label":"Vanilla Pudding","extra":"Now available frozen, on a stick.","sets":"Junior 9+ (1st) &amp; (2nd)"},</v>
      </c>
      <c r="E1738" s="9" t="str">
        <f t="shared" si="2"/>
        <v>data:image/svg+xml,%3csvg xmlns='http://www.w3.org/2000/svg' viewBox='0 0 24 216'%3e%3ctext fill='%23fff' style='font: 900 16px sans-serif' text-anchor='end' transform='matrix(0 -1 1 0 18 5)'%3eVanilla Pudding%3c/text%3e%3c/svg%3e</v>
      </c>
      <c r="F1738" s="14" t="str">
        <f t="shared" si="3"/>
        <v>https://svgtext.heliohost.us/cgi-bin/gen.perl?text=Vanilla%20Pudding</v>
      </c>
      <c r="G1738" s="11" t="str">
        <f t="shared" si="4"/>
        <v>data:image/svg+xml,%3csvg xmlns='http://www.w3.org/2000/svg' viewBox='0 0 24 216'%3e%3ctext fill='%23fff' style='font: 900 16px sans-serif' text-anchor='end' transform='matrix(0 -1 1 0 18 5)'%3eVanilla Pudding%3c/text%3e%3c/svg%3e</v>
      </c>
      <c r="H1738" s="8" t="s">
        <v>42</v>
      </c>
      <c r="I1738" s="8">
        <f t="shared" ref="I1738:J1738" si="1739">len(B1738)</f>
        <v>15</v>
      </c>
      <c r="J1738" s="8">
        <f t="shared" si="1739"/>
        <v>33</v>
      </c>
      <c r="K1738" s="8" t="s">
        <v>6856</v>
      </c>
    </row>
    <row r="1739">
      <c r="A1739" s="7" t="b">
        <v>1</v>
      </c>
      <c r="B1739" s="8" t="s">
        <v>6857</v>
      </c>
      <c r="C1739" s="7" t="s">
        <v>6858</v>
      </c>
      <c r="D1739" s="8" t="str">
        <f>Q&amp;$K1739&amp;Q&amp;":{"&amp;Q&amp;$B$2&amp;Q&amp;":"&amp;Q&amp;$B1739&amp;Q&amp;","&amp;Q&amp;$C$2&amp;Q&amp;":"&amp;Q&amp;$C1739&amp;Q&amp;","&amp;Q&amp;"sets"&amp;Q&amp;":"&amp;Q&amp;substitute(SUBSTITUTE($H1739,"[",""),"]","")&amp;Q&amp;"},"</f>
        <v>"qaxs":{"label":"Velcro","extra":"A hook-and-loop fastener that can really grab you.","sets":"Expansion Set 3, Party Expansion 1"},</v>
      </c>
      <c r="E1739" s="9" t="str">
        <f t="shared" si="2"/>
        <v>data:image/svg+xml,%3csvg xmlns='http://www.w3.org/2000/svg' viewBox='0 0 24 216'%3e%3ctext fill='%23fff' style='font: 900 16px sans-serif' text-anchor='end' transform='matrix(0 -1 1 0 18 5)'%3eVelcro%3c/text%3e%3c/svg%3e</v>
      </c>
      <c r="F1739" s="14" t="str">
        <f t="shared" si="3"/>
        <v>https://svgtext.heliohost.us/cgi-bin/gen.perl?text=Velcro</v>
      </c>
      <c r="G1739" s="11" t="str">
        <f t="shared" si="4"/>
        <v>data:image/svg+xml,%3csvg xmlns='http://www.w3.org/2000/svg' viewBox='0 0 24 216'%3e%3ctext fill='%23fff' style='font: 900 16px sans-serif' text-anchor='end' transform='matrix(0 -1 1 0 18 5)'%3eVelcro%3c/text%3e%3c/svg%3e</v>
      </c>
      <c r="H1739" s="8" t="s">
        <v>39</v>
      </c>
      <c r="I1739" s="8">
        <f t="shared" ref="I1739:J1739" si="1740">len(B1739)</f>
        <v>6</v>
      </c>
      <c r="J1739" s="8">
        <f t="shared" si="1740"/>
        <v>50</v>
      </c>
      <c r="K1739" s="8" t="s">
        <v>6859</v>
      </c>
    </row>
    <row r="1740">
      <c r="A1740" s="7" t="b">
        <v>1</v>
      </c>
      <c r="B1740" s="8" t="s">
        <v>6860</v>
      </c>
      <c r="C1740" s="8" t="s">
        <v>6861</v>
      </c>
      <c r="D1740" s="8" t="str">
        <f>Q&amp;$K1740&amp;Q&amp;":{"&amp;Q&amp;$B$2&amp;Q&amp;":"&amp;Q&amp;$B1740&amp;Q&amp;","&amp;Q&amp;$C$2&amp;Q&amp;":"&amp;Q&amp;$C1740&amp;Q&amp;","&amp;Q&amp;"sets"&amp;Q&amp;":"&amp;Q&amp;substitute(SUBSTITUTE($H1740,"[",""),"]","")&amp;Q&amp;"},"</f>
        <v>"zhho":{"label":"Venus &amp; Mars","extra":"As different as men &amp; women.","sets":"Expansion Set 4, Party Expansion 1"},</v>
      </c>
      <c r="E1740" s="9" t="str">
        <f t="shared" si="2"/>
        <v>data:image/svg+xml,%3csvg xmlns='http://www.w3.org/2000/svg' viewBox='0 0 24 216'%3e%3ctext fill='%23fff' style='font: 900 16px sans-serif' text-anchor='end' transform='matrix(0 -1 1 0 18 5)'%3eVenus %26amp%3B Mars%3c/text%3e%3c/svg%3e</v>
      </c>
      <c r="F1740" s="14" t="str">
        <f t="shared" si="3"/>
        <v>https://svgtext.heliohost.us/cgi-bin/gen.perl?text=Venus%20%26%20Mars</v>
      </c>
      <c r="G1740" s="11" t="str">
        <f t="shared" si="4"/>
        <v>data:image/svg+xml,%3csvg xmlns='http://www.w3.org/2000/svg' viewBox='0 0 24 216'%3e%3ctext fill='%23fff' style='font: 900 16px sans-serif' text-anchor='end' transform='matrix(0 -1 1 0 18 5)'%3eVenus %26amp%3B Mars%3c/text%3e%3c/svg%3e</v>
      </c>
      <c r="H1740" s="8" t="s">
        <v>63</v>
      </c>
      <c r="I1740" s="8">
        <f t="shared" ref="I1740:J1740" si="1741">len(B1740)</f>
        <v>12</v>
      </c>
      <c r="J1740" s="8">
        <f t="shared" si="1741"/>
        <v>28</v>
      </c>
      <c r="K1740" s="8" t="s">
        <v>6862</v>
      </c>
    </row>
    <row r="1741">
      <c r="A1741" s="7" t="b">
        <v>0</v>
      </c>
      <c r="B1741" s="8" t="s">
        <v>6863</v>
      </c>
      <c r="C1741" s="7" t="s">
        <v>6864</v>
      </c>
      <c r="D1741" s="8" t="str">
        <f>Q&amp;$K1741&amp;Q&amp;":{"&amp;Q&amp;$B$2&amp;Q&amp;":"&amp;Q&amp;$B1741&amp;Q&amp;","&amp;Q&amp;$C$2&amp;Q&amp;":"&amp;Q&amp;$C1741&amp;Q&amp;","&amp;Q&amp;"sets"&amp;Q&amp;":"&amp;Q&amp;substitute(SUBSTITUTE($H1741,"[",""),"]","")&amp;Q&amp;"},"</f>
        <v>"xqrz":{"label":"Viagra","extra":"It works for Bob Dole, it'll work for you.","sets":"Expansion Set 3, Party Expansion 1"},</v>
      </c>
      <c r="E1741" s="9" t="str">
        <f t="shared" si="2"/>
        <v>data:image/svg+xml,%3csvg xmlns='http://www.w3.org/2000/svg' viewBox='0 0 24 216'%3e%3ctext fill='%23fff' style='font: 900 16px sans-serif' text-anchor='end' transform='matrix(0 -1 1 0 18 5)'%3eViagra%3c/text%3e%3c/svg%3e</v>
      </c>
      <c r="F1741" s="14" t="str">
        <f t="shared" si="3"/>
        <v>https://svgtext.heliohost.us/cgi-bin/gen.perl?text=Viagra</v>
      </c>
      <c r="G1741" s="11" t="str">
        <f t="shared" si="4"/>
        <v>data:image/svg+xml,%3csvg xmlns='http://www.w3.org/2000/svg' viewBox='0 0 24 216'%3e%3ctext fill='%23fff' style='font: 900 16px sans-serif' text-anchor='end' transform='matrix(0 -1 1 0 18 5)'%3eViagra%3c/text%3e%3c/svg%3e</v>
      </c>
      <c r="H1741" s="8" t="s">
        <v>39</v>
      </c>
      <c r="I1741" s="8">
        <f t="shared" ref="I1741:J1741" si="1742">len(B1741)</f>
        <v>6</v>
      </c>
      <c r="J1741" s="8">
        <f t="shared" si="1742"/>
        <v>42</v>
      </c>
      <c r="K1741" s="8" t="s">
        <v>6865</v>
      </c>
    </row>
    <row r="1742">
      <c r="A1742" s="7" t="b">
        <v>0</v>
      </c>
      <c r="B1742" s="8" t="s">
        <v>6866</v>
      </c>
      <c r="C1742" s="8" t="s">
        <v>6867</v>
      </c>
      <c r="D1742" s="8" t="str">
        <f>Q&amp;$K1742&amp;Q&amp;":{"&amp;Q&amp;$B$2&amp;Q&amp;":"&amp;Q&amp;$B1742&amp;Q&amp;","&amp;Q&amp;$C$2&amp;Q&amp;":"&amp;Q&amp;$C1742&amp;Q&amp;","&amp;Q&amp;"sets"&amp;Q&amp;":"&amp;Q&amp;substitute(SUBSTITUTE($H1742,"[",""),"]","")&amp;Q&amp;"},"</f>
        <v>"fwnm":{"label":"Victorian England","extra":"An era characterized by moral severity and pompous conservatism.","sets":"Expansion Set 2, Party Set"},</v>
      </c>
      <c r="E1742" s="9" t="str">
        <f t="shared" si="2"/>
        <v>data:image/svg+xml,%3csvg xmlns='http://www.w3.org/2000/svg' viewBox='0 0 24 216'%3e%3ctext fill='%23fff' style='font: 900 16px sans-serif' text-anchor='end' transform='matrix(0 -1 1 0 18 5)'%3eVictorian England%3c/text%3e%3c/svg%3e</v>
      </c>
      <c r="F1742" s="14" t="str">
        <f t="shared" si="3"/>
        <v>https://svgtext.heliohost.us/cgi-bin/gen.perl?text=Victorian%20England</v>
      </c>
      <c r="G1742" s="11" t="str">
        <f t="shared" si="4"/>
        <v>data:image/svg+xml,%3csvg xmlns='http://www.w3.org/2000/svg' viewBox='0 0 24 216'%3e%3ctext fill='%23fff' style='font: 900 16px sans-serif' text-anchor='end' transform='matrix(0 -1 1 0 18 5)'%3eVictorian England%3c/text%3e%3c/svg%3e</v>
      </c>
      <c r="H1742" s="8" t="s">
        <v>17</v>
      </c>
      <c r="I1742" s="8">
        <f t="shared" ref="I1742:J1742" si="1743">len(B1742)</f>
        <v>17</v>
      </c>
      <c r="J1742" s="8">
        <f t="shared" si="1743"/>
        <v>64</v>
      </c>
      <c r="K1742" s="8" t="s">
        <v>6868</v>
      </c>
    </row>
    <row r="1743">
      <c r="A1743" s="7" t="b">
        <v>0</v>
      </c>
      <c r="B1743" s="8" t="s">
        <v>6869</v>
      </c>
      <c r="C1743" s="7" t="s">
        <v>6870</v>
      </c>
      <c r="D1743" s="8" t="str">
        <f>Q&amp;$K1743&amp;Q&amp;":{"&amp;Q&amp;$B$2&amp;Q&amp;":"&amp;Q&amp;$B1743&amp;Q&amp;","&amp;Q&amp;$C$2&amp;Q&amp;":"&amp;Q&amp;$C1743&amp;Q&amp;","&amp;Q&amp;"sets"&amp;Q&amp;":"&amp;Q&amp;substitute(SUBSTITUTE($H1743,"[",""),"]","")&amp;Q&amp;"},"</f>
        <v>"djlk":{"label":"Video Games","extra":"Just how DO you get to the thirteenth level of “Doom”?","sets":"Expansion Set 1, Party Set"},</v>
      </c>
      <c r="E1743" s="9" t="str">
        <f t="shared" si="2"/>
        <v>data:image/svg+xml,%3csvg xmlns='http://www.w3.org/2000/svg' viewBox='0 0 24 216'%3e%3ctext fill='%23fff' style='font: 900 16px sans-serif' text-anchor='end' transform='matrix(0 -1 1 0 18 5)'%3eVideo Games%3c/text%3e%3c/svg%3e</v>
      </c>
      <c r="F1743" s="14" t="str">
        <f t="shared" si="3"/>
        <v>https://svgtext.heliohost.us/cgi-bin/gen.perl?text=Video%20Games</v>
      </c>
      <c r="G1743" s="11" t="str">
        <f t="shared" si="4"/>
        <v>data:image/svg+xml,%3csvg xmlns='http://www.w3.org/2000/svg' viewBox='0 0 24 216'%3e%3ctext fill='%23fff' style='font: 900 16px sans-serif' text-anchor='end' transform='matrix(0 -1 1 0 18 5)'%3eVideo Games%3c/text%3e%3c/svg%3e</v>
      </c>
      <c r="H1743" s="8" t="s">
        <v>25</v>
      </c>
      <c r="I1743" s="8">
        <f t="shared" ref="I1743:J1743" si="1744">len(B1743)</f>
        <v>11</v>
      </c>
      <c r="J1743" s="8">
        <f t="shared" si="1744"/>
        <v>54</v>
      </c>
      <c r="K1743" s="8" t="s">
        <v>6871</v>
      </c>
    </row>
    <row r="1744">
      <c r="A1744" s="7" t="b">
        <v>1</v>
      </c>
      <c r="B1744" s="8" t="s">
        <v>6869</v>
      </c>
      <c r="C1744" s="8" t="s">
        <v>6872</v>
      </c>
      <c r="D1744" s="8" t="str">
        <f>Q&amp;$K1744&amp;Q&amp;":{"&amp;Q&amp;$B$2&amp;Q&amp;":"&amp;Q&amp;$B1744&amp;Q&amp;","&amp;Q&amp;$C$2&amp;Q&amp;":"&amp;Q&amp;$C1744&amp;Q&amp;","&amp;Q&amp;"sets"&amp;Q&amp;":"&amp;Q&amp;substitute(SUBSTITUTE($H1744,"[",""),"]","")&amp;Q&amp;"},"</f>
        <v>"smcr":{"label":"Video Games","extra":"I told you ten hours a day was too much!","sets":"Junior 9+ (1st) &amp; (2nd)"},</v>
      </c>
      <c r="E1744" s="9" t="str">
        <f t="shared" si="2"/>
        <v>data:image/svg+xml,%3csvg xmlns='http://www.w3.org/2000/svg' viewBox='0 0 24 216'%3e%3ctext fill='%23fff' style='font: 900 16px sans-serif' text-anchor='end' transform='matrix(0 -1 1 0 18 5)'%3eVideo Games%3c/text%3e%3c/svg%3e</v>
      </c>
      <c r="F1744" s="14" t="str">
        <f t="shared" si="3"/>
        <v>https://svgtext.heliohost.us/cgi-bin/gen.perl?text=Video%20Games</v>
      </c>
      <c r="G1744" s="11" t="str">
        <f t="shared" si="4"/>
        <v>data:image/svg+xml,%3csvg xmlns='http://www.w3.org/2000/svg' viewBox='0 0 24 216'%3e%3ctext fill='%23fff' style='font: 900 16px sans-serif' text-anchor='end' transform='matrix(0 -1 1 0 18 5)'%3eVideo Games%3c/text%3e%3c/svg%3e</v>
      </c>
      <c r="H1744" s="8" t="s">
        <v>42</v>
      </c>
      <c r="I1744" s="8">
        <f t="shared" ref="I1744:J1744" si="1745">len(B1744)</f>
        <v>11</v>
      </c>
      <c r="J1744" s="8">
        <f t="shared" si="1745"/>
        <v>40</v>
      </c>
      <c r="K1744" s="8" t="s">
        <v>6873</v>
      </c>
    </row>
    <row r="1745">
      <c r="A1745" s="7" t="b">
        <v>0</v>
      </c>
      <c r="B1745" s="8" t="s">
        <v>6874</v>
      </c>
      <c r="C1745" s="8" t="s">
        <v>6875</v>
      </c>
      <c r="D1745" s="8" t="str">
        <f>Q&amp;$K1745&amp;Q&amp;":{"&amp;Q&amp;$B$2&amp;Q&amp;":"&amp;Q&amp;$B1745&amp;Q&amp;","&amp;Q&amp;$C$2&amp;Q&amp;":"&amp;Q&amp;$C1745&amp;Q&amp;","&amp;Q&amp;"sets"&amp;Q&amp;":"&amp;Q&amp;substitute(SUBSTITUTE($H1745,"[",""),"]","")&amp;Q&amp;"},"</f>
        <v>"jlqa":{"label":"Vietnam, 1968","extra":"More than 30,000 Americans had been killed in the Vietnam War by the end of 1968.","sets":"Expansion Set 2, Party Set"},</v>
      </c>
      <c r="E1745" s="9" t="str">
        <f t="shared" si="2"/>
        <v>data:image/svg+xml,%3csvg xmlns='http://www.w3.org/2000/svg' viewBox='0 0 24 216'%3e%3ctext fill='%23fff' style='font: 900 16px sans-serif' text-anchor='end' transform='matrix(0 -1 1 0 18 5)'%3eVietnam%2C 1968%3c/text%3e%3c/svg%3e</v>
      </c>
      <c r="F1745" s="14" t="str">
        <f t="shared" si="3"/>
        <v>https://svgtext.heliohost.us/cgi-bin/gen.perl?text=Vietnam%2C%201968</v>
      </c>
      <c r="G1745" s="11" t="str">
        <f t="shared" si="4"/>
        <v>data:image/svg+xml,%3csvg xmlns='http://www.w3.org/2000/svg' viewBox='0 0 24 216'%3e%3ctext fill='%23fff' style='font: 900 16px sans-serif' text-anchor='end' transform='matrix(0 -1 1 0 18 5)'%3eVietnam%2C 1968%3c/text%3e%3c/svg%3e</v>
      </c>
      <c r="H1745" s="8" t="s">
        <v>17</v>
      </c>
      <c r="I1745" s="8">
        <f t="shared" ref="I1745:J1745" si="1746">len(B1745)</f>
        <v>13</v>
      </c>
      <c r="J1745" s="8">
        <f t="shared" si="1746"/>
        <v>81</v>
      </c>
      <c r="K1745" s="8" t="s">
        <v>6876</v>
      </c>
    </row>
    <row r="1746">
      <c r="A1746" s="7" t="b">
        <v>0</v>
      </c>
      <c r="B1746" s="8" t="s">
        <v>6877</v>
      </c>
      <c r="C1746" s="8" t="s">
        <v>6878</v>
      </c>
      <c r="D1746" s="8" t="str">
        <f>Q&amp;$K1746&amp;Q&amp;":{"&amp;Q&amp;$B$2&amp;Q&amp;":"&amp;Q&amp;$B1746&amp;Q&amp;","&amp;Q&amp;$C$2&amp;Q&amp;":"&amp;Q&amp;$C1746&amp;Q&amp;","&amp;Q&amp;"sets"&amp;Q&amp;":"&amp;Q&amp;substitute(SUBSTITUTE($H1746,"[",""),"]","")&amp;Q&amp;"},"</f>
        <v>"ccti":{"label":"Vincent Van Gogh","extra":"1853-90, Dutch post-impressionist painter known for dramatic sunflowers and self-portraits. Only one of his paintings sold during his lifetime.","sets":"Expansion Set 2, Party Set"},</v>
      </c>
      <c r="E1746" s="9" t="str">
        <f t="shared" si="2"/>
        <v>data:image/svg+xml,%3csvg xmlns='http://www.w3.org/2000/svg' viewBox='0 0 24 216'%3e%3ctext fill='%23fff' style='font: 900 16px sans-serif' text-anchor='end' transform='matrix(0 -1 1 0 18 5)'%3eVincent Van Gogh%3c/text%3e%3c/svg%3e</v>
      </c>
      <c r="F1746" s="14" t="str">
        <f t="shared" si="3"/>
        <v>https://svgtext.heliohost.us/cgi-bin/gen.perl?text=Vincent%20Van%20Gogh</v>
      </c>
      <c r="G1746" s="11" t="str">
        <f t="shared" si="4"/>
        <v>data:image/svg+xml,%3csvg xmlns='http://www.w3.org/2000/svg' viewBox='0 0 24 216'%3e%3ctext fill='%23fff' style='font: 900 16px sans-serif' text-anchor='end' transform='matrix(0 -1 1 0 18 5)'%3eVincent Van Gogh%3c/text%3e%3c/svg%3e</v>
      </c>
      <c r="H1746" s="8" t="s">
        <v>17</v>
      </c>
      <c r="I1746" s="8">
        <f t="shared" ref="I1746:J1746" si="1747">len(B1746)</f>
        <v>16</v>
      </c>
      <c r="J1746" s="8">
        <f t="shared" si="1747"/>
        <v>143</v>
      </c>
      <c r="K1746" s="8" t="s">
        <v>6879</v>
      </c>
    </row>
    <row r="1747">
      <c r="A1747" s="7" t="b">
        <v>0</v>
      </c>
      <c r="B1747" s="8" t="s">
        <v>6880</v>
      </c>
      <c r="C1747" s="8" t="s">
        <v>6881</v>
      </c>
      <c r="D1747" s="8" t="str">
        <f>Q&amp;$K1747&amp;Q&amp;":{"&amp;Q&amp;$B$2&amp;Q&amp;":"&amp;Q&amp;$B1747&amp;Q&amp;","&amp;Q&amp;$C$2&amp;Q&amp;":"&amp;Q&amp;$C1747&amp;Q&amp;","&amp;Q&amp;"sets"&amp;Q&amp;":"&amp;Q&amp;substitute(SUBSTITUTE($H1747,"[",""),"]","")&amp;Q&amp;"},"</f>
        <v>"mcmw":{"label":"Violins","extra":"It's a pain in the neck, but keep practicing.","sets":"Expansion Set 2, Party Set"},</v>
      </c>
      <c r="E1747" s="9" t="str">
        <f t="shared" si="2"/>
        <v>data:image/svg+xml,%3csvg xmlns='http://www.w3.org/2000/svg' viewBox='0 0 24 216'%3e%3ctext fill='%23fff' style='font: 900 16px sans-serif' text-anchor='end' transform='matrix(0 -1 1 0 18 5)'%3eViolins%3c/text%3e%3c/svg%3e</v>
      </c>
      <c r="F1747" s="14" t="str">
        <f t="shared" si="3"/>
        <v>https://svgtext.heliohost.us/cgi-bin/gen.perl?text=Violins</v>
      </c>
      <c r="G1747" s="11" t="str">
        <f t="shared" si="4"/>
        <v>data:image/svg+xml,%3csvg xmlns='http://www.w3.org/2000/svg' viewBox='0 0 24 216'%3e%3ctext fill='%23fff' style='font: 900 16px sans-serif' text-anchor='end' transform='matrix(0 -1 1 0 18 5)'%3eViolins%3c/text%3e%3c/svg%3e</v>
      </c>
      <c r="H1747" s="8" t="s">
        <v>17</v>
      </c>
      <c r="I1747" s="8">
        <f t="shared" ref="I1747:J1747" si="1748">len(B1747)</f>
        <v>7</v>
      </c>
      <c r="J1747" s="8">
        <f t="shared" si="1748"/>
        <v>45</v>
      </c>
      <c r="K1747" s="8" t="s">
        <v>6882</v>
      </c>
    </row>
    <row r="1748">
      <c r="A1748" s="7" t="b">
        <v>1</v>
      </c>
      <c r="B1748" s="8" t="s">
        <v>6883</v>
      </c>
      <c r="C1748" s="7" t="s">
        <v>6884</v>
      </c>
      <c r="D1748" s="8" t="str">
        <f>Q&amp;$K1748&amp;Q&amp;":{"&amp;Q&amp;$B$2&amp;Q&amp;":"&amp;Q&amp;$B1748&amp;Q&amp;","&amp;Q&amp;$C$2&amp;Q&amp;":"&amp;Q&amp;$C1748&amp;Q&amp;","&amp;Q&amp;"sets"&amp;Q&amp;":"&amp;Q&amp;substitute(SUBSTITUTE($H1748,"[",""),"]","")&amp;Q&amp;"},"</f>
        <v>"ittz":{"label":"Volcanoes","extra":"Vents in the crust of the earth from which steam, debris and molten rock spew, with explosive results.","sets":"Expansion Set 3, Party Expansion 1"},</v>
      </c>
      <c r="E1748" s="9" t="str">
        <f t="shared" si="2"/>
        <v>data:image/svg+xml,%3csvg xmlns='http://www.w3.org/2000/svg' viewBox='0 0 24 216'%3e%3ctext fill='%23fff' style='font: 900 16px sans-serif' text-anchor='end' transform='matrix(0 -1 1 0 18 5)'%3eVolcanoes%3c/text%3e%3c/svg%3e</v>
      </c>
      <c r="F1748" s="14" t="str">
        <f t="shared" si="3"/>
        <v>https://svgtext.heliohost.us/cgi-bin/gen.perl?text=Volcanoes</v>
      </c>
      <c r="G1748" s="11" t="str">
        <f t="shared" si="4"/>
        <v>data:image/svg+xml,%3csvg xmlns='http://www.w3.org/2000/svg' viewBox='0 0 24 216'%3e%3ctext fill='%23fff' style='font: 900 16px sans-serif' text-anchor='end' transform='matrix(0 -1 1 0 18 5)'%3eVolcanoes%3c/text%3e%3c/svg%3e</v>
      </c>
      <c r="H1748" s="8" t="s">
        <v>39</v>
      </c>
      <c r="I1748" s="8">
        <f t="shared" ref="I1748:J1748" si="1749">len(B1748)</f>
        <v>9</v>
      </c>
      <c r="J1748" s="8">
        <f t="shared" si="1749"/>
        <v>102</v>
      </c>
      <c r="K1748" s="8" t="s">
        <v>6885</v>
      </c>
    </row>
    <row r="1749">
      <c r="A1749" s="7" t="b">
        <v>1</v>
      </c>
      <c r="B1749" s="8" t="s">
        <v>6886</v>
      </c>
      <c r="C1749" s="8" t="s">
        <v>6887</v>
      </c>
      <c r="D1749" s="8" t="str">
        <f>Q&amp;$K1749&amp;Q&amp;":{"&amp;Q&amp;$B$2&amp;Q&amp;":"&amp;Q&amp;$B1749&amp;Q&amp;","&amp;Q&amp;$C$2&amp;Q&amp;":"&amp;Q&amp;$C1749&amp;Q&amp;","&amp;Q&amp;"sets"&amp;Q&amp;":"&amp;Q&amp;substitute(SUBSTITUTE($H1749,"[",""),"]","")&amp;Q&amp;"},"</f>
        <v>"rfds":{"label":"Volleyball","extra":"Spike it!","sets":"Junior 9+ (1st) &amp; (2nd)"},</v>
      </c>
      <c r="E1749" s="9" t="str">
        <f t="shared" si="2"/>
        <v>data:image/svg+xml,%3csvg xmlns='http://www.w3.org/2000/svg' viewBox='0 0 24 216'%3e%3ctext fill='%23fff' style='font: 900 16px sans-serif' text-anchor='end' transform='matrix(0 -1 1 0 18 5)'%3eVolleyball%3c/text%3e%3c/svg%3e</v>
      </c>
      <c r="F1749" s="14" t="str">
        <f t="shared" si="3"/>
        <v>https://svgtext.heliohost.us/cgi-bin/gen.perl?text=Volleyball</v>
      </c>
      <c r="G1749" s="11" t="str">
        <f t="shared" si="4"/>
        <v>data:image/svg+xml,%3csvg xmlns='http://www.w3.org/2000/svg' viewBox='0 0 24 216'%3e%3ctext fill='%23fff' style='font: 900 16px sans-serif' text-anchor='end' transform='matrix(0 -1 1 0 18 5)'%3eVolleyball%3c/text%3e%3c/svg%3e</v>
      </c>
      <c r="H1749" s="8" t="s">
        <v>42</v>
      </c>
      <c r="I1749" s="8">
        <f t="shared" ref="I1749:J1749" si="1750">len(B1749)</f>
        <v>10</v>
      </c>
      <c r="J1749" s="8">
        <f t="shared" si="1750"/>
        <v>9</v>
      </c>
      <c r="K1749" s="8" t="s">
        <v>6888</v>
      </c>
    </row>
    <row r="1750">
      <c r="A1750" s="7" t="b">
        <v>0</v>
      </c>
      <c r="B1750" s="8" t="s">
        <v>6889</v>
      </c>
      <c r="C1750" s="7" t="s">
        <v>6890</v>
      </c>
      <c r="D1750" s="8" t="str">
        <f>Q&amp;$K1750&amp;Q&amp;":{"&amp;Q&amp;$B$2&amp;Q&amp;":"&amp;Q&amp;$B1750&amp;Q&amp;","&amp;Q&amp;$C$2&amp;Q&amp;":"&amp;Q&amp;$C1750&amp;Q&amp;","&amp;Q&amp;"sets"&amp;Q&amp;":"&amp;Q&amp;substitute(SUBSTITUTE($H1750,"[",""),"]","")&amp;Q&amp;"},"</f>
        <v>"sjyp":{"label":"VW Beetles","extra":"The prototype for the original VW Beetle was developed in 1934, and production begin in 1945. Functional, yet so fashionable.","sets":"Expansion Set 2, Party Set"},</v>
      </c>
      <c r="E1750" s="9" t="str">
        <f t="shared" si="2"/>
        <v>data:image/svg+xml,%3csvg xmlns='http://www.w3.org/2000/svg' viewBox='0 0 24 216'%3e%3ctext fill='%23fff' style='font: 900 16px sans-serif' text-anchor='end' transform='matrix(0 -1 1 0 18 5)'%3eVW Beetles%3c/text%3e%3c/svg%3e</v>
      </c>
      <c r="F1750" s="14" t="str">
        <f t="shared" si="3"/>
        <v>https://svgtext.heliohost.us/cgi-bin/gen.perl?text=VW%20Beetles</v>
      </c>
      <c r="G1750" s="11" t="str">
        <f t="shared" si="4"/>
        <v>data:image/svg+xml,%3csvg xmlns='http://www.w3.org/2000/svg' viewBox='0 0 24 216'%3e%3ctext fill='%23fff' style='font: 900 16px sans-serif' text-anchor='end' transform='matrix(0 -1 1 0 18 5)'%3eVW Beetles%3c/text%3e%3c/svg%3e</v>
      </c>
      <c r="H1750" s="8" t="s">
        <v>17</v>
      </c>
      <c r="I1750" s="8">
        <f t="shared" ref="I1750:J1750" si="1751">len(B1750)</f>
        <v>10</v>
      </c>
      <c r="J1750" s="8">
        <f t="shared" si="1751"/>
        <v>125</v>
      </c>
      <c r="K1750" s="8" t="s">
        <v>6891</v>
      </c>
    </row>
    <row r="1751">
      <c r="A1751" s="7" t="b">
        <v>0</v>
      </c>
      <c r="B1751" s="8" t="s">
        <v>6892</v>
      </c>
      <c r="C1751" s="8" t="s">
        <v>6893</v>
      </c>
      <c r="D1751" s="8" t="str">
        <f>Q&amp;$K1751&amp;Q&amp;":{"&amp;Q&amp;$B$2&amp;Q&amp;":"&amp;Q&amp;$B1751&amp;Q&amp;","&amp;Q&amp;$C$2&amp;Q&amp;":"&amp;Q&amp;$C1751&amp;Q&amp;","&amp;Q&amp;"sets"&amp;Q&amp;":"&amp;Q&amp;substitute(SUBSTITUTE($H1751,"[",""),"]","")&amp;Q&amp;"},"</f>
        <v>"gqud":{"label":"Waco, Texas","extra":"Texas city near where a 51-day standoff between law-enforcement officials and members of the Branch Davidians occurred in 1993.","sets":"Expansion Set 2, Party Set"},</v>
      </c>
      <c r="E1751" s="9" t="str">
        <f t="shared" si="2"/>
        <v>data:image/svg+xml,%3csvg xmlns='http://www.w3.org/2000/svg' viewBox='0 0 24 216'%3e%3ctext fill='%23fff' style='font: 900 16px sans-serif' text-anchor='end' transform='matrix(0 -1 1 0 18 5)'%3eWaco%2C Texas%3c/text%3e%3c/svg%3e</v>
      </c>
      <c r="F1751" s="14" t="str">
        <f t="shared" si="3"/>
        <v>https://svgtext.heliohost.us/cgi-bin/gen.perl?text=Waco%2C%20Texas</v>
      </c>
      <c r="G1751" s="11" t="str">
        <f t="shared" si="4"/>
        <v>data:image/svg+xml,%3csvg xmlns='http://www.w3.org/2000/svg' viewBox='0 0 24 216'%3e%3ctext fill='%23fff' style='font: 900 16px sans-serif' text-anchor='end' transform='matrix(0 -1 1 0 18 5)'%3eWaco%2C Texas%3c/text%3e%3c/svg%3e</v>
      </c>
      <c r="H1751" s="8" t="s">
        <v>17</v>
      </c>
      <c r="I1751" s="8">
        <f t="shared" ref="I1751:J1751" si="1752">len(B1751)</f>
        <v>11</v>
      </c>
      <c r="J1751" s="8">
        <f t="shared" si="1752"/>
        <v>127</v>
      </c>
      <c r="K1751" s="8" t="s">
        <v>6894</v>
      </c>
    </row>
    <row r="1752">
      <c r="A1752" s="7" t="b">
        <v>1</v>
      </c>
      <c r="B1752" s="8" t="s">
        <v>6895</v>
      </c>
      <c r="C1752" s="8" t="s">
        <v>6896</v>
      </c>
      <c r="D1752" s="8" t="str">
        <f>Q&amp;$K1752&amp;Q&amp;":{"&amp;Q&amp;$B$2&amp;Q&amp;":"&amp;Q&amp;$B1752&amp;Q&amp;","&amp;Q&amp;$C$2&amp;Q&amp;":"&amp;Q&amp;$C1752&amp;Q&amp;","&amp;Q&amp;"sets"&amp;Q&amp;":"&amp;Q&amp;substitute(SUBSTITUTE($H1752,"[",""),"]","")&amp;Q&amp;"},"</f>
        <v>"mdzn":{"label":"Waffles","extra":"Like pancakes with built-in syrup cups.","sets":"Junior 9+ (2nd)"},</v>
      </c>
      <c r="E1752" s="9" t="str">
        <f t="shared" si="2"/>
        <v>data:image/svg+xml,%3csvg xmlns='http://www.w3.org/2000/svg' viewBox='0 0 24 216'%3e%3ctext fill='%23fff' style='font: 900 16px sans-serif' text-anchor='end' transform='matrix(0 -1 1 0 18 5)'%3eWaffles%3c/text%3e%3c/svg%3e</v>
      </c>
      <c r="F1752" s="14" t="str">
        <f t="shared" si="3"/>
        <v>https://svgtext.heliohost.us/cgi-bin/gen.perl?text=Waffles</v>
      </c>
      <c r="G1752" s="11" t="str">
        <f t="shared" si="4"/>
        <v>data:image/svg+xml,%3csvg xmlns='http://www.w3.org/2000/svg' viewBox='0 0 24 216'%3e%3ctext fill='%23fff' style='font: 900 16px sans-serif' text-anchor='end' transform='matrix(0 -1 1 0 18 5)'%3eWaffles%3c/text%3e%3c/svg%3e</v>
      </c>
      <c r="H1752" s="8" t="s">
        <v>32</v>
      </c>
      <c r="I1752" s="8">
        <f t="shared" ref="I1752:J1752" si="1753">len(B1752)</f>
        <v>7</v>
      </c>
      <c r="J1752" s="8">
        <f t="shared" si="1753"/>
        <v>39</v>
      </c>
      <c r="K1752" s="8" t="s">
        <v>6897</v>
      </c>
    </row>
    <row r="1753">
      <c r="A1753" s="7" t="b">
        <v>1</v>
      </c>
      <c r="B1753" s="8" t="s">
        <v>6898</v>
      </c>
      <c r="C1753" s="8" t="s">
        <v>6899</v>
      </c>
      <c r="D1753" s="8" t="str">
        <f>Q&amp;$K1753&amp;Q&amp;":{"&amp;Q&amp;$B$2&amp;Q&amp;":"&amp;Q&amp;$B1753&amp;Q&amp;","&amp;Q&amp;$C$2&amp;Q&amp;":"&amp;Q&amp;$C1753&amp;Q&amp;","&amp;Q&amp;"sets"&amp;Q&amp;":"&amp;Q&amp;substitute(SUBSTITUTE($H1753,"[",""),"]","")&amp;Q&amp;"},"</f>
        <v>"ihwh":{"label":"Walking The Dog","extra":"It's good exercise.","sets":"Junior 9+ (1st) &amp; (2nd)"},</v>
      </c>
      <c r="E1753" s="9" t="str">
        <f t="shared" si="2"/>
        <v>data:image/svg+xml,%3csvg xmlns='http://www.w3.org/2000/svg' viewBox='0 0 24 216'%3e%3ctext fill='%23fff' style='font: 900 16px sans-serif' text-anchor='end' transform='matrix(0 -1 1 0 18 5)'%3eWalking The Dog%3c/text%3e%3c/svg%3e</v>
      </c>
      <c r="F1753" s="14" t="str">
        <f t="shared" si="3"/>
        <v>https://svgtext.heliohost.us/cgi-bin/gen.perl?text=Walking%20The%20Dog</v>
      </c>
      <c r="G1753" s="11" t="str">
        <f t="shared" si="4"/>
        <v>data:image/svg+xml,%3csvg xmlns='http://www.w3.org/2000/svg' viewBox='0 0 24 216'%3e%3ctext fill='%23fff' style='font: 900 16px sans-serif' text-anchor='end' transform='matrix(0 -1 1 0 18 5)'%3eWalking The Dog%3c/text%3e%3c/svg%3e</v>
      </c>
      <c r="H1753" s="8" t="s">
        <v>42</v>
      </c>
      <c r="I1753" s="8">
        <f t="shared" ref="I1753:J1753" si="1754">len(B1753)</f>
        <v>15</v>
      </c>
      <c r="J1753" s="8">
        <f t="shared" si="1754"/>
        <v>19</v>
      </c>
      <c r="K1753" s="8" t="s">
        <v>6900</v>
      </c>
    </row>
    <row r="1754">
      <c r="A1754" s="7" t="b">
        <v>0</v>
      </c>
      <c r="B1754" s="8" t="s">
        <v>6901</v>
      </c>
      <c r="C1754" s="8" t="s">
        <v>6902</v>
      </c>
      <c r="D1754" s="8" t="str">
        <f>Q&amp;$K1754&amp;Q&amp;":{"&amp;Q&amp;$B$2&amp;Q&amp;":"&amp;Q&amp;$B1754&amp;Q&amp;","&amp;Q&amp;$C$2&amp;Q&amp;":"&amp;Q&amp;$C1754&amp;Q&amp;","&amp;Q&amp;"sets"&amp;Q&amp;":"&amp;Q&amp;substitute(SUBSTITUTE($H1754,"[",""),"]","")&amp;Q&amp;"},"</f>
        <v>"enop":{"label":"Wall Street","extra":"The financial center of the United States. See also: roller coaster.","sets":"Basic Set, Party Set"},</v>
      </c>
      <c r="E1754" s="9" t="str">
        <f t="shared" si="2"/>
        <v>data:image/svg+xml,%3csvg xmlns='http://www.w3.org/2000/svg' viewBox='0 0 24 216'%3e%3ctext fill='%23fff' style='font: 900 16px sans-serif' text-anchor='end' transform='matrix(0 -1 1 0 18 5)'%3eWall Street%3c/text%3e%3c/svg%3e</v>
      </c>
      <c r="F1754" s="14" t="str">
        <f t="shared" si="3"/>
        <v>https://svgtext.heliohost.us/cgi-bin/gen.perl?text=Wall%20Street</v>
      </c>
      <c r="G1754" s="11" t="str">
        <f t="shared" si="4"/>
        <v>data:image/svg+xml,%3csvg xmlns='http://www.w3.org/2000/svg' viewBox='0 0 24 216'%3e%3ctext fill='%23fff' style='font: 900 16px sans-serif' text-anchor='end' transform='matrix(0 -1 1 0 18 5)'%3eWall Street%3c/text%3e%3c/svg%3e</v>
      </c>
      <c r="H1754" s="8" t="s">
        <v>29</v>
      </c>
      <c r="I1754" s="8">
        <f t="shared" ref="I1754:J1754" si="1755">len(B1754)</f>
        <v>11</v>
      </c>
      <c r="J1754" s="8">
        <f t="shared" si="1755"/>
        <v>68</v>
      </c>
      <c r="K1754" s="8" t="s">
        <v>6903</v>
      </c>
    </row>
    <row r="1755">
      <c r="A1755" s="7" t="b">
        <v>0</v>
      </c>
      <c r="B1755" s="8" t="s">
        <v>6904</v>
      </c>
      <c r="C1755" s="8" t="s">
        <v>6905</v>
      </c>
      <c r="D1755" s="8" t="str">
        <f>Q&amp;$K1755&amp;Q&amp;":{"&amp;Q&amp;$B$2&amp;Q&amp;":"&amp;Q&amp;$B1755&amp;Q&amp;","&amp;Q&amp;$C$2&amp;Q&amp;":"&amp;Q&amp;$C1755&amp;Q&amp;","&amp;Q&amp;"sets"&amp;Q&amp;":"&amp;Q&amp;substitute(SUBSTITUTE($H1755,"[",""),"]","")&amp;Q&amp;"},"</f>
        <v>"xhsj":{"label":"Walt Disney","extra":"1901-1966, the head of some Mickey Mouse company.","sets":"Basic Set, Party Set"},</v>
      </c>
      <c r="E1755" s="9" t="str">
        <f t="shared" si="2"/>
        <v>data:image/svg+xml,%3csvg xmlns='http://www.w3.org/2000/svg' viewBox='0 0 24 216'%3e%3ctext fill='%23fff' style='font: 900 16px sans-serif' text-anchor='end' transform='matrix(0 -1 1 0 18 5)'%3eWalt Disney%3c/text%3e%3c/svg%3e</v>
      </c>
      <c r="F1755" s="14" t="str">
        <f t="shared" si="3"/>
        <v>https://svgtext.heliohost.us/cgi-bin/gen.perl?text=Walt%20Disney</v>
      </c>
      <c r="G1755" s="11" t="str">
        <f t="shared" si="4"/>
        <v>data:image/svg+xml,%3csvg xmlns='http://www.w3.org/2000/svg' viewBox='0 0 24 216'%3e%3ctext fill='%23fff' style='font: 900 16px sans-serif' text-anchor='end' transform='matrix(0 -1 1 0 18 5)'%3eWalt Disney%3c/text%3e%3c/svg%3e</v>
      </c>
      <c r="H1755" s="8" t="s">
        <v>29</v>
      </c>
      <c r="I1755" s="8">
        <f t="shared" ref="I1755:J1755" si="1756">len(B1755)</f>
        <v>11</v>
      </c>
      <c r="J1755" s="8">
        <f t="shared" si="1756"/>
        <v>49</v>
      </c>
      <c r="K1755" s="8" t="s">
        <v>6906</v>
      </c>
    </row>
    <row r="1756">
      <c r="A1756" s="7" t="b">
        <v>0</v>
      </c>
      <c r="B1756" s="8" t="s">
        <v>6907</v>
      </c>
      <c r="C1756" s="8" t="s">
        <v>6908</v>
      </c>
      <c r="D1756" s="8" t="str">
        <f>Q&amp;$K1756&amp;Q&amp;":{"&amp;Q&amp;$B$2&amp;Q&amp;":"&amp;Q&amp;$B1756&amp;Q&amp;","&amp;Q&amp;$C$2&amp;Q&amp;":"&amp;Q&amp;$C1756&amp;Q&amp;","&amp;Q&amp;"sets"&amp;Q&amp;":"&amp;Q&amp;substitute(SUBSTITUTE($H1756,"[",""),"]","")&amp;Q&amp;"},"</f>
        <v>"ggdl":{"label":"War &amp; Peace","extra":"Tolstoy's 1805 epic novel of the Napoleonic wars, a celebration of Russian spirit.","sets":"Expansion Set 4, Party Expansion 1"},</v>
      </c>
      <c r="E1756" s="9" t="str">
        <f t="shared" si="2"/>
        <v>data:image/svg+xml,%3csvg xmlns='http://www.w3.org/2000/svg' viewBox='0 0 24 216'%3e%3ctext fill='%23fff' style='font: 900 16px sans-serif' text-anchor='end' transform='matrix(0 -1 1 0 18 5)'%3eWar %26amp%3B Peace%3c/text%3e%3c/svg%3e</v>
      </c>
      <c r="F1756" s="14" t="str">
        <f t="shared" si="3"/>
        <v>https://svgtext.heliohost.us/cgi-bin/gen.perl?text=War%20%26%20Peace</v>
      </c>
      <c r="G1756" s="11" t="str">
        <f t="shared" si="4"/>
        <v>data:image/svg+xml,%3csvg xmlns='http://www.w3.org/2000/svg' viewBox='0 0 24 216'%3e%3ctext fill='%23fff' style='font: 900 16px sans-serif' text-anchor='end' transform='matrix(0 -1 1 0 18 5)'%3eWar %26amp%3B Peace%3c/text%3e%3c/svg%3e</v>
      </c>
      <c r="H1756" s="8" t="s">
        <v>63</v>
      </c>
      <c r="I1756" s="8">
        <f t="shared" ref="I1756:J1756" si="1757">len(B1756)</f>
        <v>11</v>
      </c>
      <c r="J1756" s="8">
        <f t="shared" si="1757"/>
        <v>82</v>
      </c>
      <c r="K1756" s="8" t="s">
        <v>6909</v>
      </c>
    </row>
    <row r="1757">
      <c r="A1757" s="7" t="b">
        <v>0</v>
      </c>
      <c r="B1757" s="8" t="s">
        <v>6910</v>
      </c>
      <c r="C1757" s="8" t="s">
        <v>6911</v>
      </c>
      <c r="D1757" s="8" t="str">
        <f>Q&amp;$K1757&amp;Q&amp;":{"&amp;Q&amp;$B$2&amp;Q&amp;":"&amp;Q&amp;$B1757&amp;Q&amp;","&amp;Q&amp;$C$2&amp;Q&amp;":"&amp;Q&amp;$C1757&amp;Q&amp;","&amp;Q&amp;"sets"&amp;Q&amp;":"&amp;Q&amp;substitute(SUBSTITUTE($H1757,"[",""),"]","")&amp;Q&amp;"},"</f>
        <v>"vdog":{"label":"Warts","extra":"Small, benign, circumscribed tumors of the outer layer of the skin. Warts and all!","sets":"Expansion Set 2, Party Set"},</v>
      </c>
      <c r="E1757" s="9" t="str">
        <f t="shared" si="2"/>
        <v>data:image/svg+xml,%3csvg xmlns='http://www.w3.org/2000/svg' viewBox='0 0 24 216'%3e%3ctext fill='%23fff' style='font: 900 16px sans-serif' text-anchor='end' transform='matrix(0 -1 1 0 18 5)'%3eWarts%3c/text%3e%3c/svg%3e</v>
      </c>
      <c r="F1757" s="14" t="str">
        <f t="shared" si="3"/>
        <v>https://svgtext.heliohost.us/cgi-bin/gen.perl?text=Warts</v>
      </c>
      <c r="G1757" s="11" t="str">
        <f t="shared" si="4"/>
        <v>data:image/svg+xml,%3csvg xmlns='http://www.w3.org/2000/svg' viewBox='0 0 24 216'%3e%3ctext fill='%23fff' style='font: 900 16px sans-serif' text-anchor='end' transform='matrix(0 -1 1 0 18 5)'%3eWarts%3c/text%3e%3c/svg%3e</v>
      </c>
      <c r="H1757" s="8" t="s">
        <v>17</v>
      </c>
      <c r="I1757" s="8">
        <f t="shared" ref="I1757:J1757" si="1758">len(B1757)</f>
        <v>5</v>
      </c>
      <c r="J1757" s="8">
        <f t="shared" si="1758"/>
        <v>82</v>
      </c>
      <c r="K1757" s="8" t="s">
        <v>6912</v>
      </c>
    </row>
    <row r="1758">
      <c r="A1758" s="7" t="b">
        <v>1</v>
      </c>
      <c r="B1758" s="8" t="s">
        <v>6910</v>
      </c>
      <c r="C1758" s="8" t="s">
        <v>6913</v>
      </c>
      <c r="D1758" s="8" t="str">
        <f>Q&amp;$K1758&amp;Q&amp;":{"&amp;Q&amp;$B$2&amp;Q&amp;":"&amp;Q&amp;$B1758&amp;Q&amp;","&amp;Q&amp;$C$2&amp;Q&amp;":"&amp;Q&amp;$C1758&amp;Q&amp;","&amp;Q&amp;"sets"&amp;Q&amp;":"&amp;Q&amp;substitute(SUBSTITUTE($H1758,"[",""),"]","")&amp;Q&amp;"},"</f>
        <v>"{xfm":{"label":"Warts","extra":"Small, hard lumps that grow on the skin. Anyone can get them, not just witches.","sets":"Junior 9+ (1st) &amp; (2nd)"},</v>
      </c>
      <c r="E1758" s="9" t="str">
        <f t="shared" si="2"/>
        <v>data:image/svg+xml,%3csvg xmlns='http://www.w3.org/2000/svg' viewBox='0 0 24 216'%3e%3ctext fill='%23fff' style='font: 900 16px sans-serif' text-anchor='end' transform='matrix(0 -1 1 0 18 5)'%3eWarts%3c/text%3e%3c/svg%3e</v>
      </c>
      <c r="F1758" s="14" t="str">
        <f t="shared" si="3"/>
        <v>https://svgtext.heliohost.us/cgi-bin/gen.perl?text=Warts</v>
      </c>
      <c r="G1758" s="11" t="str">
        <f t="shared" si="4"/>
        <v>data:image/svg+xml,%3csvg xmlns='http://www.w3.org/2000/svg' viewBox='0 0 24 216'%3e%3ctext fill='%23fff' style='font: 900 16px sans-serif' text-anchor='end' transform='matrix(0 -1 1 0 18 5)'%3eWarts%3c/text%3e%3c/svg%3e</v>
      </c>
      <c r="H1758" s="8" t="s">
        <v>42</v>
      </c>
      <c r="I1758" s="8">
        <f t="shared" ref="I1758:J1758" si="1759">len(B1758)</f>
        <v>5</v>
      </c>
      <c r="J1758" s="8">
        <f t="shared" si="1759"/>
        <v>79</v>
      </c>
      <c r="K1758" s="8" t="s">
        <v>6914</v>
      </c>
    </row>
    <row r="1759">
      <c r="A1759" s="7" t="b">
        <v>1</v>
      </c>
      <c r="B1759" s="8" t="s">
        <v>6915</v>
      </c>
      <c r="C1759" s="7" t="s">
        <v>6916</v>
      </c>
      <c r="D1759" s="8" t="str">
        <f>Q&amp;$K1759&amp;Q&amp;":{"&amp;Q&amp;$B$2&amp;Q&amp;":"&amp;Q&amp;$B1759&amp;Q&amp;","&amp;Q&amp;$C$2&amp;Q&amp;":"&amp;Q&amp;$C1759&amp;Q&amp;","&amp;Q&amp;"sets"&amp;Q&amp;":"&amp;Q&amp;substitute(SUBSTITUTE($H1759,"[",""),"]","")&amp;Q&amp;"},"</f>
        <v>"qftj":{"label":"Washer &amp; Dryer","extra":"Take them out for a spin.","sets":"Expansion Set 4, Party Expansion 1"},</v>
      </c>
      <c r="E1759" s="9" t="str">
        <f t="shared" si="2"/>
        <v>data:image/svg+xml,%3csvg xmlns='http://www.w3.org/2000/svg' viewBox='0 0 24 216'%3e%3ctext fill='%23fff' style='font: 900 16px sans-serif' text-anchor='end' transform='matrix(0 -1 1 0 18 5)'%3eWasher %26amp%3B Dryer%3c/text%3e%3c/svg%3e</v>
      </c>
      <c r="F1759" s="14" t="str">
        <f t="shared" si="3"/>
        <v>https://svgtext.heliohost.us/cgi-bin/gen.perl?text=Washer%20%26%20Dryer</v>
      </c>
      <c r="G1759" s="11" t="str">
        <f t="shared" si="4"/>
        <v>data:image/svg+xml,%3csvg xmlns='http://www.w3.org/2000/svg' viewBox='0 0 24 216'%3e%3ctext fill='%23fff' style='font: 900 16px sans-serif' text-anchor='end' transform='matrix(0 -1 1 0 18 5)'%3eWasher %26amp%3B Dryer%3c/text%3e%3c/svg%3e</v>
      </c>
      <c r="H1759" s="8" t="s">
        <v>63</v>
      </c>
      <c r="I1759" s="8">
        <f t="shared" ref="I1759:J1759" si="1760">len(B1759)</f>
        <v>14</v>
      </c>
      <c r="J1759" s="8">
        <f t="shared" si="1760"/>
        <v>25</v>
      </c>
      <c r="K1759" s="8" t="s">
        <v>6917</v>
      </c>
    </row>
    <row r="1760">
      <c r="A1760" s="7" t="b">
        <v>1</v>
      </c>
      <c r="B1760" s="8" t="s">
        <v>6918</v>
      </c>
      <c r="C1760" s="8" t="s">
        <v>6919</v>
      </c>
      <c r="D1760" s="8" t="str">
        <f>Q&amp;$K1760&amp;Q&amp;":{"&amp;Q&amp;$B$2&amp;Q&amp;":"&amp;Q&amp;$B1760&amp;Q&amp;","&amp;Q&amp;$C$2&amp;Q&amp;":"&amp;Q&amp;$C1760&amp;Q&amp;","&amp;Q&amp;"sets"&amp;Q&amp;":"&amp;Q&amp;substitute(SUBSTITUTE($H1760,"[",""),"]","")&amp;Q&amp;"},"</f>
        <v>"domd":{"label":"Washington, DC","extra":"City named after George Washington, it's the capital of the United States.","sets":"Junior 9+ (2nd)"},</v>
      </c>
      <c r="E1760" s="9" t="str">
        <f t="shared" si="2"/>
        <v>data:image/svg+xml,%3csvg xmlns='http://www.w3.org/2000/svg' viewBox='0 0 24 216'%3e%3ctext fill='%23fff' style='font: 900 16px sans-serif' text-anchor='end' transform='matrix(0 -1 1 0 18 5)'%3eWashington%2C DC%3c/text%3e%3c/svg%3e</v>
      </c>
      <c r="F1760" s="14" t="str">
        <f t="shared" si="3"/>
        <v>https://svgtext.heliohost.us/cgi-bin/gen.perl?text=Washington%2C%20DC</v>
      </c>
      <c r="G1760" s="11" t="str">
        <f t="shared" si="4"/>
        <v>data:image/svg+xml,%3csvg xmlns='http://www.w3.org/2000/svg' viewBox='0 0 24 216'%3e%3ctext fill='%23fff' style='font: 900 16px sans-serif' text-anchor='end' transform='matrix(0 -1 1 0 18 5)'%3eWashington%2C DC%3c/text%3e%3c/svg%3e</v>
      </c>
      <c r="H1760" s="8" t="s">
        <v>32</v>
      </c>
      <c r="I1760" s="8">
        <f t="shared" ref="I1760:J1760" si="1761">len(B1760)</f>
        <v>14</v>
      </c>
      <c r="J1760" s="8">
        <f t="shared" si="1761"/>
        <v>74</v>
      </c>
      <c r="K1760" s="8" t="s">
        <v>6920</v>
      </c>
    </row>
    <row r="1761">
      <c r="A1761" s="7" t="b">
        <v>1</v>
      </c>
      <c r="B1761" s="8" t="s">
        <v>6921</v>
      </c>
      <c r="C1761" s="8" t="s">
        <v>6922</v>
      </c>
      <c r="D1761" s="8" t="str">
        <f>Q&amp;$K1761&amp;Q&amp;":{"&amp;Q&amp;$B$2&amp;Q&amp;":"&amp;Q&amp;$B1761&amp;Q&amp;","&amp;Q&amp;$C$2&amp;Q&amp;":"&amp;Q&amp;$C1761&amp;Q&amp;","&amp;Q&amp;"sets"&amp;Q&amp;":"&amp;Q&amp;substitute(SUBSTITUTE($H1761,"[",""),"]","")&amp;Q&amp;"},"</f>
        <v>"vbnz":{"label":"Watching Cartoons","extra":"Not just for kids.","sets":"Junior 9+ (2nd)"},</v>
      </c>
      <c r="E1761" s="9" t="str">
        <f t="shared" si="2"/>
        <v>data:image/svg+xml,%3csvg xmlns='http://www.w3.org/2000/svg' viewBox='0 0 24 216'%3e%3ctext fill='%23fff' style='font: 900 16px sans-serif' text-anchor='end' transform='matrix(0 -1 1 0 18 5)'%3eWatching Cartoons%3c/text%3e%3c/svg%3e</v>
      </c>
      <c r="F1761" s="14" t="str">
        <f t="shared" si="3"/>
        <v>https://svgtext.heliohost.us/cgi-bin/gen.perl?text=Watching%20Cartoons</v>
      </c>
      <c r="G1761" s="11" t="str">
        <f t="shared" si="4"/>
        <v>data:image/svg+xml,%3csvg xmlns='http://www.w3.org/2000/svg' viewBox='0 0 24 216'%3e%3ctext fill='%23fff' style='font: 900 16px sans-serif' text-anchor='end' transform='matrix(0 -1 1 0 18 5)'%3eWatching Cartoons%3c/text%3e%3c/svg%3e</v>
      </c>
      <c r="H1761" s="8" t="s">
        <v>32</v>
      </c>
      <c r="I1761" s="8">
        <f t="shared" ref="I1761:J1761" si="1762">len(B1761)</f>
        <v>17</v>
      </c>
      <c r="J1761" s="8">
        <f t="shared" si="1762"/>
        <v>18</v>
      </c>
      <c r="K1761" s="8" t="s">
        <v>6923</v>
      </c>
    </row>
    <row r="1762">
      <c r="A1762" s="7" t="b">
        <v>0</v>
      </c>
      <c r="B1762" s="8" t="s">
        <v>6924</v>
      </c>
      <c r="C1762" s="8" t="s">
        <v>6925</v>
      </c>
      <c r="D1762" s="8" t="str">
        <f>Q&amp;$K1762&amp;Q&amp;":{"&amp;Q&amp;$B$2&amp;Q&amp;":"&amp;Q&amp;$B1762&amp;Q&amp;","&amp;Q&amp;$C$2&amp;Q&amp;":"&amp;Q&amp;$C1762&amp;Q&amp;","&amp;Q&amp;"sets"&amp;Q&amp;":"&amp;Q&amp;substitute(SUBSTITUTE($H1762,"[",""),"]","")&amp;Q&amp;"},"</f>
        <v>"jdqx":{"label":"Watching Football","extra":"Sheer athletic prowess by players in peak physical condition is a glorious thing to behold. Pass the chips and beer.","sets":"Basic Set, Party Set"},</v>
      </c>
      <c r="E1762" s="9" t="str">
        <f t="shared" si="2"/>
        <v>data:image/svg+xml,%3csvg xmlns='http://www.w3.org/2000/svg' viewBox='0 0 24 216'%3e%3ctext fill='%23fff' style='font: 900 16px sans-serif' text-anchor='end' transform='matrix(0 -1 1 0 18 5)'%3eWatching Football%3c/text%3e%3c/svg%3e</v>
      </c>
      <c r="F1762" s="14" t="str">
        <f t="shared" si="3"/>
        <v>https://svgtext.heliohost.us/cgi-bin/gen.perl?text=Watching%20Football</v>
      </c>
      <c r="G1762" s="11" t="str">
        <f t="shared" si="4"/>
        <v>data:image/svg+xml,%3csvg xmlns='http://www.w3.org/2000/svg' viewBox='0 0 24 216'%3e%3ctext fill='%23fff' style='font: 900 16px sans-serif' text-anchor='end' transform='matrix(0 -1 1 0 18 5)'%3eWatching Football%3c/text%3e%3c/svg%3e</v>
      </c>
      <c r="H1762" s="8" t="s">
        <v>29</v>
      </c>
      <c r="I1762" s="8">
        <f t="shared" ref="I1762:J1762" si="1763">len(B1762)</f>
        <v>17</v>
      </c>
      <c r="J1762" s="8">
        <f t="shared" si="1763"/>
        <v>116</v>
      </c>
      <c r="K1762" s="8" t="s">
        <v>6926</v>
      </c>
    </row>
    <row r="1763">
      <c r="A1763" s="7" t="b">
        <v>0</v>
      </c>
      <c r="B1763" s="8" t="s">
        <v>6924</v>
      </c>
      <c r="C1763" s="8" t="s">
        <v>6927</v>
      </c>
      <c r="D1763" s="8" t="str">
        <f>Q&amp;$K1763&amp;Q&amp;":{"&amp;Q&amp;$B$2&amp;Q&amp;":"&amp;Q&amp;$B1763&amp;Q&amp;","&amp;Q&amp;$C$2&amp;Q&amp;":"&amp;Q&amp;$C1763&amp;Q&amp;","&amp;Q&amp;"sets"&amp;Q&amp;":"&amp;Q&amp;substitute(SUBSTITUTE($H1763,"[",""),"]","")&amp;Q&amp;"},"</f>
        <v>"qqhw":{"label":"Watching Football","extra":"Isn't it more fun to PLAY football?","sets":"Junior 9+ (1st) &amp; (2nd)"},</v>
      </c>
      <c r="E1763" s="9" t="str">
        <f t="shared" si="2"/>
        <v>data:image/svg+xml,%3csvg xmlns='http://www.w3.org/2000/svg' viewBox='0 0 24 216'%3e%3ctext fill='%23fff' style='font: 900 16px sans-serif' text-anchor='end' transform='matrix(0 -1 1 0 18 5)'%3eWatching Football%3c/text%3e%3c/svg%3e</v>
      </c>
      <c r="F1763" s="14" t="str">
        <f t="shared" si="3"/>
        <v>https://svgtext.heliohost.us/cgi-bin/gen.perl?text=Watching%20Football</v>
      </c>
      <c r="G1763" s="11" t="str">
        <f t="shared" si="4"/>
        <v>data:image/svg+xml,%3csvg xmlns='http://www.w3.org/2000/svg' viewBox='0 0 24 216'%3e%3ctext fill='%23fff' style='font: 900 16px sans-serif' text-anchor='end' transform='matrix(0 -1 1 0 18 5)'%3eWatching Football%3c/text%3e%3c/svg%3e</v>
      </c>
      <c r="H1763" s="8" t="s">
        <v>42</v>
      </c>
      <c r="I1763" s="8">
        <f t="shared" ref="I1763:J1763" si="1764">len(B1763)</f>
        <v>17</v>
      </c>
      <c r="J1763" s="8">
        <f t="shared" si="1764"/>
        <v>35</v>
      </c>
      <c r="K1763" s="8" t="s">
        <v>6928</v>
      </c>
    </row>
    <row r="1764">
      <c r="A1764" s="7" t="b">
        <v>1</v>
      </c>
      <c r="B1764" s="8" t="s">
        <v>6929</v>
      </c>
      <c r="C1764" s="8" t="s">
        <v>6930</v>
      </c>
      <c r="D1764" s="8" t="str">
        <f>Q&amp;$K1764&amp;Q&amp;":{"&amp;Q&amp;$B$2&amp;Q&amp;":"&amp;Q&amp;$B1764&amp;Q&amp;","&amp;Q&amp;$C$2&amp;Q&amp;":"&amp;Q&amp;$C1764&amp;Q&amp;","&amp;Q&amp;"sets"&amp;Q&amp;":"&amp;Q&amp;substitute(SUBSTITUTE($H1764,"[",""),"]","")&amp;Q&amp;"},"</f>
        <v>"waix":{"label":"Watching TV","extra":"Cartoons and commercials, movies, commercials, shows, commercials, sports, and commercials.","sets":"Junior"},</v>
      </c>
      <c r="E1764" s="9" t="str">
        <f t="shared" si="2"/>
        <v>data:image/svg+xml,%3csvg xmlns='http://www.w3.org/2000/svg' viewBox='0 0 24 216'%3e%3ctext fill='%23fff' style='font: 900 16px sans-serif' text-anchor='end' transform='matrix(0 -1 1 0 18 5)'%3eWatching TV%3c/text%3e%3c/svg%3e</v>
      </c>
      <c r="F1764" s="14" t="str">
        <f t="shared" si="3"/>
        <v>https://svgtext.heliohost.us/cgi-bin/gen.perl?text=Watching%20TV</v>
      </c>
      <c r="G1764" s="11" t="str">
        <f t="shared" si="4"/>
        <v>data:image/svg+xml,%3csvg xmlns='http://www.w3.org/2000/svg' viewBox='0 0 24 216'%3e%3ctext fill='%23fff' style='font: 900 16px sans-serif' text-anchor='end' transform='matrix(0 -1 1 0 18 5)'%3eWatching TV%3c/text%3e%3c/svg%3e</v>
      </c>
      <c r="H1764" s="8" t="s">
        <v>84</v>
      </c>
      <c r="I1764" s="8">
        <f t="shared" ref="I1764:J1764" si="1765">len(B1764)</f>
        <v>11</v>
      </c>
      <c r="J1764" s="8">
        <f t="shared" si="1765"/>
        <v>91</v>
      </c>
      <c r="K1764" s="8" t="s">
        <v>6931</v>
      </c>
    </row>
    <row r="1765">
      <c r="A1765" s="7" t="b">
        <v>1</v>
      </c>
      <c r="B1765" s="8" t="s">
        <v>6932</v>
      </c>
      <c r="C1765" s="8" t="s">
        <v>6933</v>
      </c>
      <c r="D1765" s="8" t="str">
        <f>Q&amp;$K1765&amp;Q&amp;":{"&amp;Q&amp;$B$2&amp;Q&amp;":"&amp;Q&amp;$B1765&amp;Q&amp;","&amp;Q&amp;$C$2&amp;Q&amp;":"&amp;Q&amp;$C1765&amp;Q&amp;","&amp;Q&amp;"sets"&amp;Q&amp;":"&amp;Q&amp;substitute(SUBSTITUTE($H1765,"[",""),"]","")&amp;Q&amp;"},"</f>
        <v>"fiax":{"label":"Water","extra":"Pure water has no color, taste or smell. So, if it smells funny, don't drink it.","sets":"Junior 9+ (1st) &amp; (2nd)"},</v>
      </c>
      <c r="E1765" s="9" t="str">
        <f t="shared" si="2"/>
        <v>data:image/svg+xml,%3csvg xmlns='http://www.w3.org/2000/svg' viewBox='0 0 24 216'%3e%3ctext fill='%23fff' style='font: 900 16px sans-serif' text-anchor='end' transform='matrix(0 -1 1 0 18 5)'%3eWater%3c/text%3e%3c/svg%3e</v>
      </c>
      <c r="F1765" s="14" t="str">
        <f t="shared" si="3"/>
        <v>https://svgtext.heliohost.us/cgi-bin/gen.perl?text=Water</v>
      </c>
      <c r="G1765" s="11" t="str">
        <f t="shared" si="4"/>
        <v>data:image/svg+xml,%3csvg xmlns='http://www.w3.org/2000/svg' viewBox='0 0 24 216'%3e%3ctext fill='%23fff' style='font: 900 16px sans-serif' text-anchor='end' transform='matrix(0 -1 1 0 18 5)'%3eWater%3c/text%3e%3c/svg%3e</v>
      </c>
      <c r="H1765" s="8" t="s">
        <v>42</v>
      </c>
      <c r="I1765" s="8">
        <f t="shared" ref="I1765:J1765" si="1766">len(B1765)</f>
        <v>5</v>
      </c>
      <c r="J1765" s="8">
        <f t="shared" si="1766"/>
        <v>80</v>
      </c>
      <c r="K1765" s="8" t="s">
        <v>6934</v>
      </c>
    </row>
    <row r="1766">
      <c r="A1766" s="7" t="b">
        <v>1</v>
      </c>
      <c r="B1766" s="8" t="s">
        <v>6935</v>
      </c>
      <c r="C1766" s="8" t="s">
        <v>6936</v>
      </c>
      <c r="D1766" s="8" t="str">
        <f>Q&amp;$K1766&amp;Q&amp;":{"&amp;Q&amp;$B$2&amp;Q&amp;":"&amp;Q&amp;$B1766&amp;Q&amp;","&amp;Q&amp;$C$2&amp;Q&amp;":"&amp;Q&amp;$C1766&amp;Q&amp;","&amp;Q&amp;"sets"&amp;Q&amp;":"&amp;Q&amp;substitute(SUBSTITUTE($H1766,"[",""),"]","")&amp;Q&amp;"},"</f>
        <v>"xmot":{"label":"Water Baloons","extra":"I'll fill them and you tie them.","sets":"Junior 9+ (2nd)"},</v>
      </c>
      <c r="E1766" s="9" t="str">
        <f t="shared" si="2"/>
        <v>data:image/svg+xml,%3csvg xmlns='http://www.w3.org/2000/svg' viewBox='0 0 24 216'%3e%3ctext fill='%23fff' style='font: 900 16px sans-serif' text-anchor='end' transform='matrix(0 -1 1 0 18 5)'%3eWater Baloons%3c/text%3e%3c/svg%3e</v>
      </c>
      <c r="F1766" s="14" t="str">
        <f t="shared" si="3"/>
        <v>https://svgtext.heliohost.us/cgi-bin/gen.perl?text=Water%20Baloons</v>
      </c>
      <c r="G1766" s="11" t="str">
        <f t="shared" si="4"/>
        <v>data:image/svg+xml,%3csvg xmlns='http://www.w3.org/2000/svg' viewBox='0 0 24 216'%3e%3ctext fill='%23fff' style='font: 900 16px sans-serif' text-anchor='end' transform='matrix(0 -1 1 0 18 5)'%3eWater Baloons%3c/text%3e%3c/svg%3e</v>
      </c>
      <c r="H1766" s="8" t="s">
        <v>32</v>
      </c>
      <c r="I1766" s="8">
        <f t="shared" ref="I1766:J1766" si="1767">len(B1766)</f>
        <v>13</v>
      </c>
      <c r="J1766" s="8">
        <f t="shared" si="1767"/>
        <v>32</v>
      </c>
      <c r="K1766" s="8" t="s">
        <v>6937</v>
      </c>
    </row>
    <row r="1767">
      <c r="A1767" s="7" t="b">
        <v>1</v>
      </c>
      <c r="B1767" s="8" t="s">
        <v>6938</v>
      </c>
      <c r="C1767" s="8" t="s">
        <v>6939</v>
      </c>
      <c r="D1767" s="8" t="str">
        <f>Q&amp;$K1767&amp;Q&amp;":{"&amp;Q&amp;$B$2&amp;Q&amp;":"&amp;Q&amp;$B1767&amp;Q&amp;","&amp;Q&amp;$C$2&amp;Q&amp;":"&amp;Q&amp;$C1767&amp;Q&amp;","&amp;Q&amp;"sets"&amp;Q&amp;":"&amp;Q&amp;substitute(SUBSTITUTE($H1767,"[",""),"]","")&amp;Q&amp;"},"</f>
        <v>"jduf":{"label":"Water Guns","extra":"Don't take them to school!","sets":"Junior 9+ (1st) &amp; (2nd)"},</v>
      </c>
      <c r="E1767" s="9" t="str">
        <f t="shared" si="2"/>
        <v>data:image/svg+xml,%3csvg xmlns='http://www.w3.org/2000/svg' viewBox='0 0 24 216'%3e%3ctext fill='%23fff' style='font: 900 16px sans-serif' text-anchor='end' transform='matrix(0 -1 1 0 18 5)'%3eWater Guns%3c/text%3e%3c/svg%3e</v>
      </c>
      <c r="F1767" s="14" t="str">
        <f t="shared" si="3"/>
        <v>https://svgtext.heliohost.us/cgi-bin/gen.perl?text=Water%20Guns</v>
      </c>
      <c r="G1767" s="11" t="str">
        <f t="shared" si="4"/>
        <v>data:image/svg+xml,%3csvg xmlns='http://www.w3.org/2000/svg' viewBox='0 0 24 216'%3e%3ctext fill='%23fff' style='font: 900 16px sans-serif' text-anchor='end' transform='matrix(0 -1 1 0 18 5)'%3eWater Guns%3c/text%3e%3c/svg%3e</v>
      </c>
      <c r="H1767" s="8" t="s">
        <v>42</v>
      </c>
      <c r="I1767" s="8">
        <f t="shared" ref="I1767:J1767" si="1768">len(B1767)</f>
        <v>10</v>
      </c>
      <c r="J1767" s="8">
        <f t="shared" si="1768"/>
        <v>26</v>
      </c>
      <c r="K1767" s="8" t="s">
        <v>6940</v>
      </c>
    </row>
    <row r="1768">
      <c r="A1768" s="7" t="b">
        <v>0</v>
      </c>
      <c r="B1768" s="8" t="s">
        <v>6941</v>
      </c>
      <c r="C1768" s="8" t="s">
        <v>6942</v>
      </c>
      <c r="D1768" s="8" t="str">
        <f>Q&amp;$K1768&amp;Q&amp;":{"&amp;Q&amp;$B$2&amp;Q&amp;":"&amp;Q&amp;$B1768&amp;Q&amp;","&amp;Q&amp;$C$2&amp;Q&amp;":"&amp;Q&amp;$C1768&amp;Q&amp;","&amp;Q&amp;"sets"&amp;Q&amp;":"&amp;Q&amp;substitute(SUBSTITUTE($H1768,"[",""),"]","")&amp;Q&amp;"},"</f>
        <v>"hger":{"label":"Water Parks","extra":"You can go down Dead Man's Drop and I'll take the Lazy River.","sets":"Expansion Set 2, Party Set"},</v>
      </c>
      <c r="E1768" s="9" t="str">
        <f t="shared" si="2"/>
        <v>data:image/svg+xml,%3csvg xmlns='http://www.w3.org/2000/svg' viewBox='0 0 24 216'%3e%3ctext fill='%23fff' style='font: 900 16px sans-serif' text-anchor='end' transform='matrix(0 -1 1 0 18 5)'%3eWater Parks%3c/text%3e%3c/svg%3e</v>
      </c>
      <c r="F1768" s="14" t="str">
        <f t="shared" si="3"/>
        <v>https://svgtext.heliohost.us/cgi-bin/gen.perl?text=Water%20Parks</v>
      </c>
      <c r="G1768" s="11" t="str">
        <f t="shared" si="4"/>
        <v>data:image/svg+xml,%3csvg xmlns='http://www.w3.org/2000/svg' viewBox='0 0 24 216'%3e%3ctext fill='%23fff' style='font: 900 16px sans-serif' text-anchor='end' transform='matrix(0 -1 1 0 18 5)'%3eWater Parks%3c/text%3e%3c/svg%3e</v>
      </c>
      <c r="H1768" s="8" t="s">
        <v>17</v>
      </c>
      <c r="I1768" s="8">
        <f t="shared" ref="I1768:J1768" si="1769">len(B1768)</f>
        <v>11</v>
      </c>
      <c r="J1768" s="8">
        <f t="shared" si="1769"/>
        <v>61</v>
      </c>
      <c r="K1768" s="8" t="s">
        <v>6943</v>
      </c>
    </row>
    <row r="1769">
      <c r="A1769" s="7" t="b">
        <v>1</v>
      </c>
      <c r="B1769" s="8" t="s">
        <v>6944</v>
      </c>
      <c r="C1769" s="8" t="s">
        <v>6945</v>
      </c>
      <c r="D1769" s="8" t="str">
        <f>Q&amp;$K1769&amp;Q&amp;":{"&amp;Q&amp;$B$2&amp;Q&amp;":"&amp;Q&amp;$B1769&amp;Q&amp;","&amp;Q&amp;$C$2&amp;Q&amp;":"&amp;Q&amp;$C1769&amp;Q&amp;","&amp;Q&amp;"sets"&amp;Q&amp;":"&amp;Q&amp;substitute(SUBSTITUTE($H1769,"[",""),"]","")&amp;Q&amp;"},"</f>
        <v>"qvfq":{"label":"Water Skiing","extra":"Try it on one ski.","sets":"Junior 9+ (1st) &amp; (2nd)"},</v>
      </c>
      <c r="E1769" s="9" t="str">
        <f t="shared" si="2"/>
        <v>data:image/svg+xml,%3csvg xmlns='http://www.w3.org/2000/svg' viewBox='0 0 24 216'%3e%3ctext fill='%23fff' style='font: 900 16px sans-serif' text-anchor='end' transform='matrix(0 -1 1 0 18 5)'%3eWater Skiing%3c/text%3e%3c/svg%3e</v>
      </c>
      <c r="F1769" s="14" t="str">
        <f t="shared" si="3"/>
        <v>https://svgtext.heliohost.us/cgi-bin/gen.perl?text=Water%20Skiing</v>
      </c>
      <c r="G1769" s="11" t="str">
        <f t="shared" si="4"/>
        <v>data:image/svg+xml,%3csvg xmlns='http://www.w3.org/2000/svg' viewBox='0 0 24 216'%3e%3ctext fill='%23fff' style='font: 900 16px sans-serif' text-anchor='end' transform='matrix(0 -1 1 0 18 5)'%3eWater Skiing%3c/text%3e%3c/svg%3e</v>
      </c>
      <c r="H1769" s="8" t="s">
        <v>42</v>
      </c>
      <c r="I1769" s="8">
        <f t="shared" ref="I1769:J1769" si="1770">len(B1769)</f>
        <v>12</v>
      </c>
      <c r="J1769" s="8">
        <f t="shared" si="1770"/>
        <v>18</v>
      </c>
      <c r="K1769" s="8" t="s">
        <v>6946</v>
      </c>
    </row>
    <row r="1770">
      <c r="A1770" s="7" t="b">
        <v>0</v>
      </c>
      <c r="B1770" s="8" t="s">
        <v>6947</v>
      </c>
      <c r="C1770" s="8" t="s">
        <v>6948</v>
      </c>
      <c r="D1770" s="8" t="str">
        <f>Q&amp;$K1770&amp;Q&amp;":{"&amp;Q&amp;$B$2&amp;Q&amp;":"&amp;Q&amp;$B1770&amp;Q&amp;","&amp;Q&amp;$C$2&amp;Q&amp;":"&amp;Q&amp;$C1770&amp;Q&amp;","&amp;Q&amp;"sets"&amp;Q&amp;":"&amp;Q&amp;substitute(SUBSTITUTE($H1770,"[",""),"]","")&amp;Q&amp;"},"</f>
        <v>"sbyu":{"label":"Waterbeds","extra":"Could serve as a safety precaution for those who smoke in bed.","sets":"Expansion Set 1, Party Set"},</v>
      </c>
      <c r="E1770" s="9" t="str">
        <f t="shared" si="2"/>
        <v>data:image/svg+xml,%3csvg xmlns='http://www.w3.org/2000/svg' viewBox='0 0 24 216'%3e%3ctext fill='%23fff' style='font: 900 16px sans-serif' text-anchor='end' transform='matrix(0 -1 1 0 18 5)'%3eWaterbeds%3c/text%3e%3c/svg%3e</v>
      </c>
      <c r="F1770" s="14" t="str">
        <f t="shared" si="3"/>
        <v>https://svgtext.heliohost.us/cgi-bin/gen.perl?text=Waterbeds</v>
      </c>
      <c r="G1770" s="11" t="str">
        <f t="shared" si="4"/>
        <v>data:image/svg+xml,%3csvg xmlns='http://www.w3.org/2000/svg' viewBox='0 0 24 216'%3e%3ctext fill='%23fff' style='font: 900 16px sans-serif' text-anchor='end' transform='matrix(0 -1 1 0 18 5)'%3eWaterbeds%3c/text%3e%3c/svg%3e</v>
      </c>
      <c r="H1770" s="8" t="s">
        <v>25</v>
      </c>
      <c r="I1770" s="8">
        <f t="shared" ref="I1770:J1770" si="1771">len(B1770)</f>
        <v>9</v>
      </c>
      <c r="J1770" s="8">
        <f t="shared" si="1771"/>
        <v>62</v>
      </c>
      <c r="K1770" s="8" t="s">
        <v>6949</v>
      </c>
    </row>
    <row r="1771">
      <c r="A1771" s="7" t="b">
        <v>0</v>
      </c>
      <c r="B1771" s="8" t="s">
        <v>6950</v>
      </c>
      <c r="C1771" s="8" t="s">
        <v>6951</v>
      </c>
      <c r="D1771" s="8" t="str">
        <f>Q&amp;$K1771&amp;Q&amp;":{"&amp;Q&amp;$B$2&amp;Q&amp;":"&amp;Q&amp;$B1771&amp;Q&amp;","&amp;Q&amp;$C$2&amp;Q&amp;":"&amp;Q&amp;$C1771&amp;Q&amp;","&amp;Q&amp;"sets"&amp;Q&amp;":"&amp;Q&amp;substitute(SUBSTITUTE($H1771,"[",""),"]","")&amp;Q&amp;"},"</f>
        <v>"nndy":{"label":"Waterfalls","extra":"Water flowing from a cliff or other high place. Niagara Falls is over 160 feet high!","sets":"Junior"},</v>
      </c>
      <c r="E1771" s="9" t="str">
        <f t="shared" si="2"/>
        <v>data:image/svg+xml,%3csvg xmlns='http://www.w3.org/2000/svg' viewBox='0 0 24 216'%3e%3ctext fill='%23fff' style='font: 900 16px sans-serif' text-anchor='end' transform='matrix(0 -1 1 0 18 5)'%3eWaterfalls%3c/text%3e%3c/svg%3e</v>
      </c>
      <c r="F1771" s="14" t="str">
        <f t="shared" si="3"/>
        <v>https://svgtext.heliohost.us/cgi-bin/gen.perl?text=Waterfalls</v>
      </c>
      <c r="G1771" s="11" t="str">
        <f t="shared" si="4"/>
        <v>data:image/svg+xml,%3csvg xmlns='http://www.w3.org/2000/svg' viewBox='0 0 24 216'%3e%3ctext fill='%23fff' style='font: 900 16px sans-serif' text-anchor='end' transform='matrix(0 -1 1 0 18 5)'%3eWaterfalls%3c/text%3e%3c/svg%3e</v>
      </c>
      <c r="H1771" s="8" t="s">
        <v>84</v>
      </c>
      <c r="I1771" s="8">
        <f t="shared" ref="I1771:J1771" si="1772">len(B1771)</f>
        <v>10</v>
      </c>
      <c r="J1771" s="8">
        <f t="shared" si="1772"/>
        <v>84</v>
      </c>
      <c r="K1771" s="8" t="s">
        <v>6952</v>
      </c>
    </row>
    <row r="1772">
      <c r="A1772" s="7" t="b">
        <v>1</v>
      </c>
      <c r="B1772" s="8" t="s">
        <v>6950</v>
      </c>
      <c r="C1772" s="7" t="s">
        <v>6953</v>
      </c>
      <c r="D1772" s="8" t="str">
        <f>Q&amp;$K1772&amp;Q&amp;":{"&amp;Q&amp;$B$2&amp;Q&amp;":"&amp;Q&amp;$B1772&amp;Q&amp;","&amp;Q&amp;$C$2&amp;Q&amp;":"&amp;Q&amp;$C1772&amp;Q&amp;","&amp;Q&amp;"sets"&amp;Q&amp;":"&amp;Q&amp;substitute(SUBSTITUTE($H1772,"[",""),"]","")&amp;Q&amp;"},"</f>
        <v>"myw{":{"label":"Waterfalls","extra":"“Don't go chasing waterfalls…” —TLC","sets":"Expansion Set 2, Party Set"},</v>
      </c>
      <c r="E1772" s="9" t="str">
        <f t="shared" si="2"/>
        <v>data:image/svg+xml,%3csvg xmlns='http://www.w3.org/2000/svg' viewBox='0 0 24 216'%3e%3ctext fill='%23fff' style='font: 900 16px sans-serif' text-anchor='end' transform='matrix(0 -1 1 0 18 5)'%3eWaterfalls%3c/text%3e%3c/svg%3e</v>
      </c>
      <c r="F1772" s="14" t="str">
        <f t="shared" si="3"/>
        <v>https://svgtext.heliohost.us/cgi-bin/gen.perl?text=Waterfalls</v>
      </c>
      <c r="G1772" s="11" t="str">
        <f t="shared" si="4"/>
        <v>data:image/svg+xml,%3csvg xmlns='http://www.w3.org/2000/svg' viewBox='0 0 24 216'%3e%3ctext fill='%23fff' style='font: 900 16px sans-serif' text-anchor='end' transform='matrix(0 -1 1 0 18 5)'%3eWaterfalls%3c/text%3e%3c/svg%3e</v>
      </c>
      <c r="H1772" s="8" t="s">
        <v>17</v>
      </c>
      <c r="I1772" s="8">
        <f t="shared" ref="I1772:J1772" si="1773">len(B1772)</f>
        <v>10</v>
      </c>
      <c r="J1772" s="8">
        <f t="shared" si="1773"/>
        <v>35</v>
      </c>
      <c r="K1772" s="8" t="s">
        <v>6954</v>
      </c>
    </row>
    <row r="1773">
      <c r="A1773" s="7" t="b">
        <v>1</v>
      </c>
      <c r="B1773" s="8" t="s">
        <v>6955</v>
      </c>
      <c r="C1773" s="8" t="s">
        <v>6956</v>
      </c>
      <c r="D1773" s="8" t="str">
        <f>Q&amp;$K1773&amp;Q&amp;":{"&amp;Q&amp;$B$2&amp;Q&amp;":"&amp;Q&amp;$B1773&amp;Q&amp;","&amp;Q&amp;$C$2&amp;Q&amp;":"&amp;Q&amp;$C1773&amp;Q&amp;","&amp;Q&amp;"sets"&amp;Q&amp;":"&amp;Q&amp;substitute(SUBSTITUTE($H1773,"[",""),"]","")&amp;Q&amp;"},"</f>
        <v>"cbey":{"label":"Watermelon","extra":"How far can you spit the seeds?","sets":"Junior"},</v>
      </c>
      <c r="E1773" s="9" t="str">
        <f t="shared" si="2"/>
        <v>data:image/svg+xml,%3csvg xmlns='http://www.w3.org/2000/svg' viewBox='0 0 24 216'%3e%3ctext fill='%23fff' style='font: 900 16px sans-serif' text-anchor='end' transform='matrix(0 -1 1 0 18 5)'%3eWatermelon%3c/text%3e%3c/svg%3e</v>
      </c>
      <c r="F1773" s="14" t="str">
        <f t="shared" si="3"/>
        <v>https://svgtext.heliohost.us/cgi-bin/gen.perl?text=Watermelon</v>
      </c>
      <c r="G1773" s="11" t="str">
        <f t="shared" si="4"/>
        <v>data:image/svg+xml,%3csvg xmlns='http://www.w3.org/2000/svg' viewBox='0 0 24 216'%3e%3ctext fill='%23fff' style='font: 900 16px sans-serif' text-anchor='end' transform='matrix(0 -1 1 0 18 5)'%3eWatermelon%3c/text%3e%3c/svg%3e</v>
      </c>
      <c r="H1773" s="8" t="s">
        <v>84</v>
      </c>
      <c r="I1773" s="8">
        <f t="shared" ref="I1773:J1773" si="1774">len(B1773)</f>
        <v>10</v>
      </c>
      <c r="J1773" s="8">
        <f t="shared" si="1774"/>
        <v>31</v>
      </c>
      <c r="K1773" s="8" t="s">
        <v>6957</v>
      </c>
    </row>
    <row r="1774">
      <c r="A1774" s="7" t="b">
        <v>0</v>
      </c>
      <c r="B1774" s="8" t="s">
        <v>6958</v>
      </c>
      <c r="C1774" s="7" t="s">
        <v>6959</v>
      </c>
      <c r="D1774" s="8" t="str">
        <f>Q&amp;$K1774&amp;Q&amp;":{"&amp;Q&amp;$B$2&amp;Q&amp;":"&amp;Q&amp;$B1774&amp;Q&amp;","&amp;Q&amp;$C$2&amp;Q&amp;":"&amp;Q&amp;$C1774&amp;Q&amp;","&amp;Q&amp;"sets"&amp;Q&amp;":"&amp;Q&amp;substitute(SUBSTITUTE($H1774,"[",""),"]","")&amp;Q&amp;"},"</f>
        <v>"xqhh":{"label":"Watermelons","extra":"Pardeeville, WI—home of the Watermelon Seed-Spitting &amp; Speed-Eating Championship. The record is 2.5 lbs. of melon eaten in 3.5 seconds.","sets":"Expansion Set 2, Party Set"},</v>
      </c>
      <c r="E1774" s="9" t="str">
        <f t="shared" si="2"/>
        <v>data:image/svg+xml,%3csvg xmlns='http://www.w3.org/2000/svg' viewBox='0 0 24 216'%3e%3ctext fill='%23fff' style='font: 900 16px sans-serif' text-anchor='end' transform='matrix(0 -1 1 0 18 5)'%3eWatermelons%3c/text%3e%3c/svg%3e</v>
      </c>
      <c r="F1774" s="14" t="str">
        <f t="shared" si="3"/>
        <v>https://svgtext.heliohost.us/cgi-bin/gen.perl?text=Watermelons</v>
      </c>
      <c r="G1774" s="11" t="str">
        <f t="shared" si="4"/>
        <v>data:image/svg+xml,%3csvg xmlns='http://www.w3.org/2000/svg' viewBox='0 0 24 216'%3e%3ctext fill='%23fff' style='font: 900 16px sans-serif' text-anchor='end' transform='matrix(0 -1 1 0 18 5)'%3eWatermelons%3c/text%3e%3c/svg%3e</v>
      </c>
      <c r="H1774" s="8" t="s">
        <v>17</v>
      </c>
      <c r="I1774" s="8">
        <f t="shared" ref="I1774:J1774" si="1775">len(B1774)</f>
        <v>11</v>
      </c>
      <c r="J1774" s="8">
        <f t="shared" si="1775"/>
        <v>135</v>
      </c>
      <c r="K1774" s="8" t="s">
        <v>6960</v>
      </c>
    </row>
    <row r="1775">
      <c r="A1775" s="7" t="b">
        <v>1</v>
      </c>
      <c r="B1775" s="8" t="s">
        <v>6961</v>
      </c>
      <c r="C1775" s="8" t="s">
        <v>6962</v>
      </c>
      <c r="D1775" s="8" t="str">
        <f>Q&amp;$K1775&amp;Q&amp;":{"&amp;Q&amp;$B$2&amp;Q&amp;":"&amp;Q&amp;$B1775&amp;Q&amp;","&amp;Q&amp;$C$2&amp;Q&amp;":"&amp;Q&amp;$C1775&amp;Q&amp;","&amp;Q&amp;"sets"&amp;Q&amp;":"&amp;Q&amp;substitute(SUBSTITUTE($H1775,"[",""),"]","")&amp;Q&amp;"},"</f>
        <v>"fshg":{"label":"Waterparks","extra":"Wet and wild!","sets":"Junior 9+ (1st) &amp; (2nd)"},</v>
      </c>
      <c r="E1775" s="9" t="str">
        <f t="shared" si="2"/>
        <v>data:image/svg+xml,%3csvg xmlns='http://www.w3.org/2000/svg' viewBox='0 0 24 216'%3e%3ctext fill='%23fff' style='font: 900 16px sans-serif' text-anchor='end' transform='matrix(0 -1 1 0 18 5)'%3eWaterparks%3c/text%3e%3c/svg%3e</v>
      </c>
      <c r="F1775" s="14" t="str">
        <f t="shared" si="3"/>
        <v>https://svgtext.heliohost.us/cgi-bin/gen.perl?text=Waterparks</v>
      </c>
      <c r="G1775" s="11" t="str">
        <f t="shared" si="4"/>
        <v>data:image/svg+xml,%3csvg xmlns='http://www.w3.org/2000/svg' viewBox='0 0 24 216'%3e%3ctext fill='%23fff' style='font: 900 16px sans-serif' text-anchor='end' transform='matrix(0 -1 1 0 18 5)'%3eWaterparks%3c/text%3e%3c/svg%3e</v>
      </c>
      <c r="H1775" s="8" t="s">
        <v>42</v>
      </c>
      <c r="I1775" s="8">
        <f t="shared" ref="I1775:J1775" si="1776">len(B1775)</f>
        <v>10</v>
      </c>
      <c r="J1775" s="8">
        <f t="shared" si="1776"/>
        <v>13</v>
      </c>
      <c r="K1775" s="8" t="s">
        <v>6963</v>
      </c>
    </row>
    <row r="1776">
      <c r="A1776" s="7" t="b">
        <v>1</v>
      </c>
      <c r="B1776" s="8" t="s">
        <v>6964</v>
      </c>
      <c r="C1776" s="7" t="s">
        <v>6965</v>
      </c>
      <c r="D1776" s="8" t="str">
        <f>Q&amp;$K1776&amp;Q&amp;":{"&amp;Q&amp;$B$2&amp;Q&amp;":"&amp;Q&amp;$B1776&amp;Q&amp;","&amp;Q&amp;$C$2&amp;Q&amp;":"&amp;Q&amp;$C1776&amp;Q&amp;","&amp;Q&amp;"sets"&amp;Q&amp;":"&amp;Q&amp;substitute(SUBSTITUTE($H1776,"[",""),"]","")&amp;Q&amp;"},"</f>
        <v>"bsld":{"label":"Waxing The Floor","extra":"It's a pain in the neck, and back, and knees…","sets":"Expansion Set 3, Party Expansion 1"},</v>
      </c>
      <c r="E1776" s="9" t="str">
        <f t="shared" si="2"/>
        <v>data:image/svg+xml,%3csvg xmlns='http://www.w3.org/2000/svg' viewBox='0 0 24 216'%3e%3ctext fill='%23fff' style='font: 900 16px sans-serif' text-anchor='end' transform='matrix(0 -1 1 0 18 5)'%3eWaxing The Floor%3c/text%3e%3c/svg%3e</v>
      </c>
      <c r="F1776" s="14" t="str">
        <f t="shared" si="3"/>
        <v>https://svgtext.heliohost.us/cgi-bin/gen.perl?text=Waxing%20The%20Floor</v>
      </c>
      <c r="G1776" s="11" t="str">
        <f t="shared" si="4"/>
        <v>data:image/svg+xml,%3csvg xmlns='http://www.w3.org/2000/svg' viewBox='0 0 24 216'%3e%3ctext fill='%23fff' style='font: 900 16px sans-serif' text-anchor='end' transform='matrix(0 -1 1 0 18 5)'%3eWaxing The Floor%3c/text%3e%3c/svg%3e</v>
      </c>
      <c r="H1776" s="8" t="s">
        <v>39</v>
      </c>
      <c r="I1776" s="8">
        <f t="shared" ref="I1776:J1776" si="1777">len(B1776)</f>
        <v>16</v>
      </c>
      <c r="J1776" s="8">
        <f t="shared" si="1777"/>
        <v>45</v>
      </c>
      <c r="K1776" s="8" t="s">
        <v>6966</v>
      </c>
    </row>
    <row r="1777">
      <c r="A1777" s="7" t="b">
        <v>0</v>
      </c>
      <c r="B1777" s="8" t="s">
        <v>6967</v>
      </c>
      <c r="C1777" s="7" t="s">
        <v>6968</v>
      </c>
      <c r="D1777" s="8" t="str">
        <f>Q&amp;$K1777&amp;Q&amp;":{"&amp;Q&amp;$B$2&amp;Q&amp;":"&amp;Q&amp;$B1777&amp;Q&amp;","&amp;Q&amp;$C$2&amp;Q&amp;":"&amp;Q&amp;$C1777&amp;Q&amp;","&amp;Q&amp;"sets"&amp;Q&amp;":"&amp;Q&amp;substitute(SUBSTITUTE($H1777,"[",""),"]","")&amp;Q&amp;"},"</f>
        <v>"acer":{"label":"Weapons Dealers","extra":"OK, what kind you need? Assault, Automatic, Atomic…?","sets":"Expansion Set 1, Party Set"},</v>
      </c>
      <c r="E1777" s="9" t="str">
        <f t="shared" si="2"/>
        <v>data:image/svg+xml,%3csvg xmlns='http://www.w3.org/2000/svg' viewBox='0 0 24 216'%3e%3ctext fill='%23fff' style='font: 900 16px sans-serif' text-anchor='end' transform='matrix(0 -1 1 0 18 5)'%3eWeapons Dealers%3c/text%3e%3c/svg%3e</v>
      </c>
      <c r="F1777" s="14" t="str">
        <f t="shared" si="3"/>
        <v>https://svgtext.heliohost.us/cgi-bin/gen.perl?text=Weapons%20Dealers</v>
      </c>
      <c r="G1777" s="11" t="str">
        <f t="shared" si="4"/>
        <v>data:image/svg+xml,%3csvg xmlns='http://www.w3.org/2000/svg' viewBox='0 0 24 216'%3e%3ctext fill='%23fff' style='font: 900 16px sans-serif' text-anchor='end' transform='matrix(0 -1 1 0 18 5)'%3eWeapons Dealers%3c/text%3e%3c/svg%3e</v>
      </c>
      <c r="H1777" s="8" t="s">
        <v>25</v>
      </c>
      <c r="I1777" s="8">
        <f t="shared" ref="I1777:J1777" si="1778">len(B1777)</f>
        <v>15</v>
      </c>
      <c r="J1777" s="8">
        <f t="shared" si="1778"/>
        <v>52</v>
      </c>
      <c r="K1777" s="8" t="s">
        <v>6969</v>
      </c>
    </row>
    <row r="1778">
      <c r="A1778" s="7" t="b">
        <v>0</v>
      </c>
      <c r="B1778" s="8" t="s">
        <v>6970</v>
      </c>
      <c r="C1778" s="7" t="s">
        <v>6971</v>
      </c>
      <c r="D1778" s="8" t="str">
        <f>Q&amp;$K1778&amp;Q&amp;":{"&amp;Q&amp;$B$2&amp;Q&amp;":"&amp;Q&amp;$B1778&amp;Q&amp;","&amp;Q&amp;$C$2&amp;Q&amp;":"&amp;Q&amp;$C1778&amp;Q&amp;","&amp;Q&amp;"sets"&amp;Q&amp;":"&amp;Q&amp;substitute(SUBSTITUTE($H1778,"[",""),"]","")&amp;Q&amp;"},"</f>
        <v>"isbr":{"label":"Weddings","extra":"“Ding, dong, the bells are gonna chime…” —My Fair Lady","sets":"Basic Set, Party Set"},</v>
      </c>
      <c r="E1778" s="9" t="str">
        <f t="shared" si="2"/>
        <v>data:image/svg+xml,%3csvg xmlns='http://www.w3.org/2000/svg' viewBox='0 0 24 216'%3e%3ctext fill='%23fff' style='font: 900 16px sans-serif' text-anchor='end' transform='matrix(0 -1 1 0 18 5)'%3eWeddings%3c/text%3e%3c/svg%3e</v>
      </c>
      <c r="F1778" s="14" t="str">
        <f t="shared" si="3"/>
        <v>https://svgtext.heliohost.us/cgi-bin/gen.perl?text=Weddings</v>
      </c>
      <c r="G1778" s="11" t="str">
        <f t="shared" si="4"/>
        <v>data:image/svg+xml,%3csvg xmlns='http://www.w3.org/2000/svg' viewBox='0 0 24 216'%3e%3ctext fill='%23fff' style='font: 900 16px sans-serif' text-anchor='end' transform='matrix(0 -1 1 0 18 5)'%3eWeddings%3c/text%3e%3c/svg%3e</v>
      </c>
      <c r="H1778" s="8" t="s">
        <v>29</v>
      </c>
      <c r="I1778" s="8">
        <f t="shared" ref="I1778:J1778" si="1779">len(B1778)</f>
        <v>8</v>
      </c>
      <c r="J1778" s="8">
        <f t="shared" si="1779"/>
        <v>54</v>
      </c>
      <c r="K1778" s="8" t="s">
        <v>6972</v>
      </c>
    </row>
    <row r="1779">
      <c r="A1779" s="7" t="b">
        <v>1</v>
      </c>
      <c r="B1779" s="8" t="s">
        <v>6970</v>
      </c>
      <c r="C1779" s="8" t="s">
        <v>6973</v>
      </c>
      <c r="D1779" s="8" t="str">
        <f>Q&amp;$K1779&amp;Q&amp;":{"&amp;Q&amp;$B$2&amp;Q&amp;":"&amp;Q&amp;$B1779&amp;Q&amp;","&amp;Q&amp;$C$2&amp;Q&amp;":"&amp;Q&amp;$C1779&amp;Q&amp;","&amp;Q&amp;"sets"&amp;Q&amp;":"&amp;Q&amp;substitute(SUBSTITUTE($H1779,"[",""),"]","")&amp;Q&amp;"},"</f>
        <v>"dzme":{"label":"Weddings","extra":"Here comes the bride!","sets":"Junior"},</v>
      </c>
      <c r="E1779" s="9" t="str">
        <f t="shared" si="2"/>
        <v>data:image/svg+xml,%3csvg xmlns='http://www.w3.org/2000/svg' viewBox='0 0 24 216'%3e%3ctext fill='%23fff' style='font: 900 16px sans-serif' text-anchor='end' transform='matrix(0 -1 1 0 18 5)'%3eWeddings%3c/text%3e%3c/svg%3e</v>
      </c>
      <c r="F1779" s="14" t="str">
        <f t="shared" si="3"/>
        <v>https://svgtext.heliohost.us/cgi-bin/gen.perl?text=Weddings</v>
      </c>
      <c r="G1779" s="11" t="str">
        <f t="shared" si="4"/>
        <v>data:image/svg+xml,%3csvg xmlns='http://www.w3.org/2000/svg' viewBox='0 0 24 216'%3e%3ctext fill='%23fff' style='font: 900 16px sans-serif' text-anchor='end' transform='matrix(0 -1 1 0 18 5)'%3eWeddings%3c/text%3e%3c/svg%3e</v>
      </c>
      <c r="H1779" s="8" t="s">
        <v>84</v>
      </c>
      <c r="I1779" s="8">
        <f t="shared" ref="I1779:J1779" si="1780">len(B1779)</f>
        <v>8</v>
      </c>
      <c r="J1779" s="8">
        <f t="shared" si="1780"/>
        <v>21</v>
      </c>
      <c r="K1779" s="8" t="s">
        <v>6974</v>
      </c>
    </row>
    <row r="1780">
      <c r="A1780" s="7" t="b">
        <v>1</v>
      </c>
      <c r="B1780" s="8" t="s">
        <v>6975</v>
      </c>
      <c r="C1780" s="7" t="s">
        <v>6976</v>
      </c>
      <c r="D1780" s="8" t="str">
        <f>Q&amp;$K1780&amp;Q&amp;":{"&amp;Q&amp;$B$2&amp;Q&amp;":"&amp;Q&amp;$B1780&amp;Q&amp;","&amp;Q&amp;$C$2&amp;Q&amp;":"&amp;Q&amp;$C1780&amp;Q&amp;","&amp;Q&amp;"sets"&amp;Q&amp;":"&amp;Q&amp;substitute(SUBSTITUTE($H1780,"[",""),"]","")&amp;Q&amp;"},"</f>
        <v>"jpdk":{"label":"Weed &amp; Feed","extra":"Make sure the grass is greener on YOUR side of the fence.","sets":"Expansion Set 4, Party Expansion 1"},</v>
      </c>
      <c r="E1780" s="9" t="str">
        <f t="shared" si="2"/>
        <v>data:image/svg+xml,%3csvg xmlns='http://www.w3.org/2000/svg' viewBox='0 0 24 216'%3e%3ctext fill='%23fff' style='font: 900 16px sans-serif' text-anchor='end' transform='matrix(0 -1 1 0 18 5)'%3eWeed %26amp%3B Feed%3c/text%3e%3c/svg%3e</v>
      </c>
      <c r="F1780" s="14" t="str">
        <f t="shared" si="3"/>
        <v>https://svgtext.heliohost.us/cgi-bin/gen.perl?text=Weed%20%26%20Feed</v>
      </c>
      <c r="G1780" s="11" t="str">
        <f t="shared" si="4"/>
        <v>data:image/svg+xml,%3csvg xmlns='http://www.w3.org/2000/svg' viewBox='0 0 24 216'%3e%3ctext fill='%23fff' style='font: 900 16px sans-serif' text-anchor='end' transform='matrix(0 -1 1 0 18 5)'%3eWeed %26amp%3B Feed%3c/text%3e%3c/svg%3e</v>
      </c>
      <c r="H1780" s="8" t="s">
        <v>63</v>
      </c>
      <c r="I1780" s="8">
        <f t="shared" ref="I1780:J1780" si="1781">len(B1780)</f>
        <v>11</v>
      </c>
      <c r="J1780" s="8">
        <f t="shared" si="1781"/>
        <v>57</v>
      </c>
      <c r="K1780" s="8" t="s">
        <v>6977</v>
      </c>
    </row>
    <row r="1781">
      <c r="A1781" s="7" t="b">
        <v>1</v>
      </c>
      <c r="B1781" s="8" t="s">
        <v>6978</v>
      </c>
      <c r="C1781" s="7" t="s">
        <v>6979</v>
      </c>
      <c r="D1781" s="8" t="str">
        <f>Q&amp;$K1781&amp;Q&amp;":{"&amp;Q&amp;$B$2&amp;Q&amp;":"&amp;Q&amp;$B1781&amp;Q&amp;","&amp;Q&amp;$C$2&amp;Q&amp;":"&amp;Q&amp;$C1781&amp;Q&amp;","&amp;Q&amp;"sets"&amp;Q&amp;":"&amp;Q&amp;substitute(SUBSTITUTE($H1781,"[",""),"]","")&amp;Q&amp;"},"</f>
        <v>"koyb":{"label":"Weird Al Yankovic","extra":"1959-, American musical humorist, born Alfred Matthew Yankovic, which is nothing to laugh about…","sets":"Expansion Set 3, Party Expansion 1"},</v>
      </c>
      <c r="E1781" s="9" t="str">
        <f t="shared" si="2"/>
        <v>data:image/svg+xml,%3csvg xmlns='http://www.w3.org/2000/svg' viewBox='0 0 24 216'%3e%3ctext fill='%23fff' style='font: 900 16px sans-serif' text-anchor='end' transform='matrix(0 -1 1 0 18 5)'%3eWeird Al Yankovic%3c/text%3e%3c/svg%3e</v>
      </c>
      <c r="F1781" s="14" t="str">
        <f t="shared" si="3"/>
        <v>https://svgtext.heliohost.us/cgi-bin/gen.perl?text=Weird%20Al%20Yankovic</v>
      </c>
      <c r="G1781" s="11" t="str">
        <f t="shared" si="4"/>
        <v>data:image/svg+xml,%3csvg xmlns='http://www.w3.org/2000/svg' viewBox='0 0 24 216'%3e%3ctext fill='%23fff' style='font: 900 16px sans-serif' text-anchor='end' transform='matrix(0 -1 1 0 18 5)'%3eWeird Al Yankovic%3c/text%3e%3c/svg%3e</v>
      </c>
      <c r="H1781" s="8" t="s">
        <v>39</v>
      </c>
      <c r="I1781" s="8">
        <f t="shared" ref="I1781:J1781" si="1782">len(B1781)</f>
        <v>17</v>
      </c>
      <c r="J1781" s="8">
        <f t="shared" si="1782"/>
        <v>96</v>
      </c>
      <c r="K1781" s="8" t="s">
        <v>6980</v>
      </c>
    </row>
    <row r="1782">
      <c r="A1782" s="7" t="b">
        <v>1</v>
      </c>
      <c r="B1782" s="8" t="s">
        <v>6981</v>
      </c>
      <c r="C1782" s="8" t="s">
        <v>6982</v>
      </c>
      <c r="D1782" s="8" t="str">
        <f>Q&amp;$K1782&amp;Q&amp;":{"&amp;Q&amp;$B$2&amp;Q&amp;":"&amp;Q&amp;$B1782&amp;Q&amp;","&amp;Q&amp;$C$2&amp;Q&amp;":"&amp;Q&amp;$C1782&amp;Q&amp;","&amp;Q&amp;"sets"&amp;Q&amp;":"&amp;Q&amp;substitute(SUBSTITUTE($H1782,"[",""),"]","")&amp;Q&amp;"},"</f>
        <v>"wymx":{"label":"Whales","extra":"Very large animals that live in oceans. They squirt water from a blowhole.","sets":"Junior"},</v>
      </c>
      <c r="E1782" s="9" t="str">
        <f t="shared" si="2"/>
        <v>data:image/svg+xml,%3csvg xmlns='http://www.w3.org/2000/svg' viewBox='0 0 24 216'%3e%3ctext fill='%23fff' style='font: 900 16px sans-serif' text-anchor='end' transform='matrix(0 -1 1 0 18 5)'%3eWhales%3c/text%3e%3c/svg%3e</v>
      </c>
      <c r="F1782" s="14" t="str">
        <f t="shared" si="3"/>
        <v>https://svgtext.heliohost.us/cgi-bin/gen.perl?text=Whales</v>
      </c>
      <c r="G1782" s="11" t="str">
        <f t="shared" si="4"/>
        <v>data:image/svg+xml,%3csvg xmlns='http://www.w3.org/2000/svg' viewBox='0 0 24 216'%3e%3ctext fill='%23fff' style='font: 900 16px sans-serif' text-anchor='end' transform='matrix(0 -1 1 0 18 5)'%3eWhales%3c/text%3e%3c/svg%3e</v>
      </c>
      <c r="H1782" s="8" t="s">
        <v>84</v>
      </c>
      <c r="I1782" s="8">
        <f t="shared" ref="I1782:J1782" si="1783">len(B1782)</f>
        <v>6</v>
      </c>
      <c r="J1782" s="8">
        <f t="shared" si="1783"/>
        <v>74</v>
      </c>
      <c r="K1782" s="8" t="s">
        <v>6983</v>
      </c>
    </row>
    <row r="1783">
      <c r="A1783" s="7" t="b">
        <v>0</v>
      </c>
      <c r="B1783" s="8" t="s">
        <v>6984</v>
      </c>
      <c r="C1783" s="7" t="s">
        <v>6985</v>
      </c>
      <c r="D1783" s="8" t="str">
        <f>Q&amp;$K1783&amp;Q&amp;":{"&amp;Q&amp;$B$2&amp;Q&amp;":"&amp;Q&amp;$B1783&amp;Q&amp;","&amp;Q&amp;$C$2&amp;Q&amp;":"&amp;Q&amp;$C1783&amp;Q&amp;","&amp;Q&amp;"sets"&amp;Q&amp;":"&amp;Q&amp;substitute(SUBSTITUTE($H1783,"[",""),"]","")&amp;Q&amp;"},"</f>
        <v>"pqg{":{"label":"Wheat","extra":"Mainly used in flour. World output of wheat is more than 600 million metric tons a year… so someone's making a lot of dough.","sets":"Basic Set, Party Set"},</v>
      </c>
      <c r="E1783" s="9" t="str">
        <f t="shared" si="2"/>
        <v>data:image/svg+xml,%3csvg xmlns='http://www.w3.org/2000/svg' viewBox='0 0 24 216'%3e%3ctext fill='%23fff' style='font: 900 16px sans-serif' text-anchor='end' transform='matrix(0 -1 1 0 18 5)'%3eWheat%3c/text%3e%3c/svg%3e</v>
      </c>
      <c r="F1783" s="14" t="str">
        <f t="shared" si="3"/>
        <v>https://svgtext.heliohost.us/cgi-bin/gen.perl?text=Wheat</v>
      </c>
      <c r="G1783" s="11" t="str">
        <f t="shared" si="4"/>
        <v>data:image/svg+xml,%3csvg xmlns='http://www.w3.org/2000/svg' viewBox='0 0 24 216'%3e%3ctext fill='%23fff' style='font: 900 16px sans-serif' text-anchor='end' transform='matrix(0 -1 1 0 18 5)'%3eWheat%3c/text%3e%3c/svg%3e</v>
      </c>
      <c r="H1783" s="8" t="s">
        <v>29</v>
      </c>
      <c r="I1783" s="8">
        <f t="shared" ref="I1783:J1783" si="1784">len(B1783)</f>
        <v>5</v>
      </c>
      <c r="J1783" s="8">
        <f t="shared" si="1784"/>
        <v>124</v>
      </c>
      <c r="K1783" s="8" t="s">
        <v>6986</v>
      </c>
    </row>
    <row r="1784">
      <c r="A1784" s="7" t="b">
        <v>0</v>
      </c>
      <c r="B1784" s="8" t="s">
        <v>6987</v>
      </c>
      <c r="C1784" s="7" t="s">
        <v>6988</v>
      </c>
      <c r="D1784" s="8" t="str">
        <f>Q&amp;$K1784&amp;Q&amp;":{"&amp;Q&amp;$B$2&amp;Q&amp;":"&amp;Q&amp;$B1784&amp;Q&amp;","&amp;Q&amp;$C$2&amp;Q&amp;":"&amp;Q&amp;$C1784&amp;Q&amp;","&amp;Q&amp;"sets"&amp;Q&amp;":"&amp;Q&amp;substitute(SUBSTITUTE($H1784,"[",""),"]","")&amp;Q&amp;"},"</f>
        <v>"zjfy":{"label":"Wheel Of Fortune","extra":"American TV game show, BIG MONEY! BIG MONEY!.","sets":"Expansion Set 2, Party Set"},</v>
      </c>
      <c r="E1784" s="9" t="str">
        <f t="shared" si="2"/>
        <v>data:image/svg+xml,%3csvg xmlns='http://www.w3.org/2000/svg' viewBox='0 0 24 216'%3e%3ctext fill='%23fff' style='font: 900 16px sans-serif' text-anchor='end' transform='matrix(0 -1 1 0 18 5)'%3eWheel Of Fortune%3c/text%3e%3c/svg%3e</v>
      </c>
      <c r="F1784" s="14" t="str">
        <f t="shared" si="3"/>
        <v>https://svgtext.heliohost.us/cgi-bin/gen.perl?text=Wheel%20Of%20Fortune</v>
      </c>
      <c r="G1784" s="11" t="str">
        <f t="shared" si="4"/>
        <v>data:image/svg+xml,%3csvg xmlns='http://www.w3.org/2000/svg' viewBox='0 0 24 216'%3e%3ctext fill='%23fff' style='font: 900 16px sans-serif' text-anchor='end' transform='matrix(0 -1 1 0 18 5)'%3eWheel Of Fortune%3c/text%3e%3c/svg%3e</v>
      </c>
      <c r="H1784" s="8" t="s">
        <v>17</v>
      </c>
      <c r="I1784" s="8">
        <f t="shared" ref="I1784:J1784" si="1785">len(B1784)</f>
        <v>16</v>
      </c>
      <c r="J1784" s="8">
        <f t="shared" si="1785"/>
        <v>45</v>
      </c>
      <c r="K1784" s="8" t="s">
        <v>6989</v>
      </c>
    </row>
    <row r="1785">
      <c r="A1785" s="7" t="b">
        <v>1</v>
      </c>
      <c r="B1785" s="8" t="s">
        <v>6990</v>
      </c>
      <c r="C1785" s="7" t="s">
        <v>6991</v>
      </c>
      <c r="D1785" s="8" t="str">
        <f>Q&amp;$K1785&amp;Q&amp;":{"&amp;Q&amp;$B$2&amp;Q&amp;":"&amp;Q&amp;$B1785&amp;Q&amp;","&amp;Q&amp;$C$2&amp;Q&amp;":"&amp;Q&amp;$C1785&amp;Q&amp;","&amp;Q&amp;"sets"&amp;Q&amp;":"&amp;Q&amp;substitute(SUBSTITUTE($H1785,"[",""),"]","")&amp;Q&amp;"},"</f>
        <v>"bisp":{"label":"Whipped Cream","extra":"Great on strawberry shortcake, banana splits, chocolate pudding…","sets":"Expansion Set 1, Party Set"},</v>
      </c>
      <c r="E1785" s="9" t="str">
        <f t="shared" si="2"/>
        <v>data:image/svg+xml,%3csvg xmlns='http://www.w3.org/2000/svg' viewBox='0 0 24 216'%3e%3ctext fill='%23fff' style='font: 900 16px sans-serif' text-anchor='end' transform='matrix(0 -1 1 0 18 5)'%3eWhipped Cream%3c/text%3e%3c/svg%3e</v>
      </c>
      <c r="F1785" s="14" t="str">
        <f t="shared" si="3"/>
        <v>https://svgtext.heliohost.us/cgi-bin/gen.perl?text=Whipped%20Cream</v>
      </c>
      <c r="G1785" s="11" t="str">
        <f t="shared" si="4"/>
        <v>data:image/svg+xml,%3csvg xmlns='http://www.w3.org/2000/svg' viewBox='0 0 24 216'%3e%3ctext fill='%23fff' style='font: 900 16px sans-serif' text-anchor='end' transform='matrix(0 -1 1 0 18 5)'%3eWhipped Cream%3c/text%3e%3c/svg%3e</v>
      </c>
      <c r="H1785" s="8" t="s">
        <v>25</v>
      </c>
      <c r="I1785" s="8">
        <f t="shared" ref="I1785:J1785" si="1786">len(B1785)</f>
        <v>13</v>
      </c>
      <c r="J1785" s="8">
        <f t="shared" si="1786"/>
        <v>64</v>
      </c>
      <c r="K1785" s="8" t="s">
        <v>6992</v>
      </c>
    </row>
    <row r="1786">
      <c r="A1786" s="7" t="b">
        <v>0</v>
      </c>
      <c r="B1786" s="8" t="s">
        <v>6990</v>
      </c>
      <c r="C1786" s="8" t="s">
        <v>6993</v>
      </c>
      <c r="D1786" s="8" t="str">
        <f>Q&amp;$K1786&amp;Q&amp;":{"&amp;Q&amp;$B$2&amp;Q&amp;":"&amp;Q&amp;$B1786&amp;Q&amp;","&amp;Q&amp;$C$2&amp;Q&amp;":"&amp;Q&amp;$C1786&amp;Q&amp;","&amp;Q&amp;"sets"&amp;Q&amp;":"&amp;Q&amp;substitute(SUBSTITUTE($H1786,"[",""),"]","")&amp;Q&amp;"},"</f>
        <v>"xmje":{"label":"Whipped Cream","extra":"Sweet and fluffy!","sets":"Junior 9+ (1st) &amp; (2nd)"},</v>
      </c>
      <c r="E1786" s="9" t="str">
        <f t="shared" si="2"/>
        <v>data:image/svg+xml,%3csvg xmlns='http://www.w3.org/2000/svg' viewBox='0 0 24 216'%3e%3ctext fill='%23fff' style='font: 900 16px sans-serif' text-anchor='end' transform='matrix(0 -1 1 0 18 5)'%3eWhipped Cream%3c/text%3e%3c/svg%3e</v>
      </c>
      <c r="F1786" s="14" t="str">
        <f t="shared" si="3"/>
        <v>https://svgtext.heliohost.us/cgi-bin/gen.perl?text=Whipped%20Cream</v>
      </c>
      <c r="G1786" s="11" t="str">
        <f t="shared" si="4"/>
        <v>data:image/svg+xml,%3csvg xmlns='http://www.w3.org/2000/svg' viewBox='0 0 24 216'%3e%3ctext fill='%23fff' style='font: 900 16px sans-serif' text-anchor='end' transform='matrix(0 -1 1 0 18 5)'%3eWhipped Cream%3c/text%3e%3c/svg%3e</v>
      </c>
      <c r="H1786" s="8" t="s">
        <v>42</v>
      </c>
      <c r="I1786" s="8">
        <f t="shared" ref="I1786:J1786" si="1787">len(B1786)</f>
        <v>13</v>
      </c>
      <c r="J1786" s="8">
        <f t="shared" si="1787"/>
        <v>17</v>
      </c>
      <c r="K1786" s="8" t="s">
        <v>6994</v>
      </c>
    </row>
    <row r="1787">
      <c r="A1787" s="7" t="b">
        <v>0</v>
      </c>
      <c r="B1787" s="8" t="s">
        <v>6995</v>
      </c>
      <c r="C1787" s="7" t="s">
        <v>6996</v>
      </c>
      <c r="D1787" s="8" t="str">
        <f>Q&amp;$K1787&amp;Q&amp;":{"&amp;Q&amp;$B$2&amp;Q&amp;":"&amp;Q&amp;$B1787&amp;Q&amp;","&amp;Q&amp;$C$2&amp;Q&amp;":"&amp;Q&amp;$C1787&amp;Q&amp;","&amp;Q&amp;"sets"&amp;Q&amp;":"&amp;Q&amp;substitute(SUBSTITUTE($H1787,"[",""),"]","")&amp;Q&amp;"},"</f>
        <v>"qmiq":{"label":"Whips","extra":"“Crack that whip… whip it, whip it good.” —Devo","sets":"Basic Set, Party Set"},</v>
      </c>
      <c r="E1787" s="9" t="str">
        <f t="shared" si="2"/>
        <v>data:image/svg+xml,%3csvg xmlns='http://www.w3.org/2000/svg' viewBox='0 0 24 216'%3e%3ctext fill='%23fff' style='font: 900 16px sans-serif' text-anchor='end' transform='matrix(0 -1 1 0 18 5)'%3eWhips%3c/text%3e%3c/svg%3e</v>
      </c>
      <c r="F1787" s="14" t="str">
        <f t="shared" si="3"/>
        <v>https://svgtext.heliohost.us/cgi-bin/gen.perl?text=Whips</v>
      </c>
      <c r="G1787" s="11" t="str">
        <f t="shared" si="4"/>
        <v>data:image/svg+xml,%3csvg xmlns='http://www.w3.org/2000/svg' viewBox='0 0 24 216'%3e%3ctext fill='%23fff' style='font: 900 16px sans-serif' text-anchor='end' transform='matrix(0 -1 1 0 18 5)'%3eWhips%3c/text%3e%3c/svg%3e</v>
      </c>
      <c r="H1787" s="8" t="s">
        <v>29</v>
      </c>
      <c r="I1787" s="8">
        <f t="shared" ref="I1787:J1787" si="1788">len(B1787)</f>
        <v>5</v>
      </c>
      <c r="J1787" s="8">
        <f t="shared" si="1788"/>
        <v>47</v>
      </c>
      <c r="K1787" s="8" t="s">
        <v>6997</v>
      </c>
    </row>
    <row r="1788">
      <c r="A1788" s="7" t="b">
        <v>0</v>
      </c>
      <c r="B1788" s="8" t="s">
        <v>6998</v>
      </c>
      <c r="C1788" s="7" t="s">
        <v>6999</v>
      </c>
      <c r="D1788" s="8" t="str">
        <f>Q&amp;$K1788&amp;Q&amp;":{"&amp;Q&amp;$B$2&amp;Q&amp;":"&amp;Q&amp;$B1788&amp;Q&amp;","&amp;Q&amp;$C$2&amp;Q&amp;":"&amp;Q&amp;$C1788&amp;Q&amp;","&amp;Q&amp;"sets"&amp;Q&amp;":"&amp;Q&amp;substitute(SUBSTITUTE($H1788,"[",""),"]","")&amp;Q&amp;"},"</f>
        <v>"cvph":{"label":"Whips &amp; Chains","extra":"Popular before prison reform the good old days.","sets":"Expansion Set 4, Party Expansion 1"},</v>
      </c>
      <c r="E1788" s="9" t="str">
        <f t="shared" si="2"/>
        <v>data:image/svg+xml,%3csvg xmlns='http://www.w3.org/2000/svg' viewBox='0 0 24 216'%3e%3ctext fill='%23fff' style='font: 900 16px sans-serif' text-anchor='end' transform='matrix(0 -1 1 0 18 5)'%3eWhips %26amp%3B Chains%3c/text%3e%3c/svg%3e</v>
      </c>
      <c r="F1788" s="14" t="str">
        <f t="shared" si="3"/>
        <v>https://svgtext.heliohost.us/cgi-bin/gen.perl?text=Whips%20%26%20Chains</v>
      </c>
      <c r="G1788" s="11" t="str">
        <f t="shared" si="4"/>
        <v>data:image/svg+xml,%3csvg xmlns='http://www.w3.org/2000/svg' viewBox='0 0 24 216'%3e%3ctext fill='%23fff' style='font: 900 16px sans-serif' text-anchor='end' transform='matrix(0 -1 1 0 18 5)'%3eWhips %26amp%3B Chains%3c/text%3e%3c/svg%3e</v>
      </c>
      <c r="H1788" s="8" t="s">
        <v>63</v>
      </c>
      <c r="I1788" s="8">
        <f t="shared" ref="I1788:J1788" si="1789">len(B1788)</f>
        <v>14</v>
      </c>
      <c r="J1788" s="8">
        <f t="shared" si="1789"/>
        <v>47</v>
      </c>
      <c r="K1788" s="8" t="s">
        <v>7000</v>
      </c>
    </row>
    <row r="1789">
      <c r="A1789" s="7" t="b">
        <v>1</v>
      </c>
      <c r="B1789" s="8" t="s">
        <v>7001</v>
      </c>
      <c r="C1789" s="8" t="s">
        <v>7002</v>
      </c>
      <c r="D1789" s="8" t="str">
        <f>Q&amp;$K1789&amp;Q&amp;":{"&amp;Q&amp;$B$2&amp;Q&amp;":"&amp;Q&amp;$B1789&amp;Q&amp;","&amp;Q&amp;$C$2&amp;Q&amp;":"&amp;Q&amp;$C1789&amp;Q&amp;","&amp;Q&amp;"sets"&amp;Q&amp;":"&amp;Q&amp;substitute(SUBSTITUTE($H1789,"[",""),"]","")&amp;Q&amp;"},"</f>
        <v>"nzwz":{"label":"White Bread","extra":"Plain and simple.","sets":"Junior 9+ (2nd)"},</v>
      </c>
      <c r="E1789" s="9" t="str">
        <f t="shared" si="2"/>
        <v>data:image/svg+xml,%3csvg xmlns='http://www.w3.org/2000/svg' viewBox='0 0 24 216'%3e%3ctext fill='%23fff' style='font: 900 16px sans-serif' text-anchor='end' transform='matrix(0 -1 1 0 18 5)'%3eWhite Bread%3c/text%3e%3c/svg%3e</v>
      </c>
      <c r="F1789" s="14" t="str">
        <f t="shared" si="3"/>
        <v>https://svgtext.heliohost.us/cgi-bin/gen.perl?text=White%20Bread</v>
      </c>
      <c r="G1789" s="11" t="str">
        <f t="shared" si="4"/>
        <v>data:image/svg+xml,%3csvg xmlns='http://www.w3.org/2000/svg' viewBox='0 0 24 216'%3e%3ctext fill='%23fff' style='font: 900 16px sans-serif' text-anchor='end' transform='matrix(0 -1 1 0 18 5)'%3eWhite Bread%3c/text%3e%3c/svg%3e</v>
      </c>
      <c r="H1789" s="8" t="s">
        <v>32</v>
      </c>
      <c r="I1789" s="8">
        <f t="shared" ref="I1789:J1789" si="1790">len(B1789)</f>
        <v>11</v>
      </c>
      <c r="J1789" s="8">
        <f t="shared" si="1790"/>
        <v>17</v>
      </c>
      <c r="K1789" s="8" t="s">
        <v>7003</v>
      </c>
    </row>
    <row r="1790">
      <c r="A1790" s="7" t="b">
        <v>1</v>
      </c>
      <c r="B1790" s="8" t="s">
        <v>7004</v>
      </c>
      <c r="C1790" s="7" t="s">
        <v>7005</v>
      </c>
      <c r="D1790" s="8" t="str">
        <f>Q&amp;$K1790&amp;Q&amp;":{"&amp;Q&amp;$B$2&amp;Q&amp;":"&amp;Q&amp;$B1790&amp;Q&amp;","&amp;Q&amp;$C$2&amp;Q&amp;":"&amp;Q&amp;$C1790&amp;Q&amp;","&amp;Q&amp;"sets"&amp;Q&amp;":"&amp;Q&amp;substitute(SUBSTITUTE($H1790,"[",""),"]","")&amp;Q&amp;"},"</f>
        <v>"fpce":{"label":"White Collar Crime","extra":"Three strikes and you're OUT… to a cozy little low-level detention facility with a pool and tennis court.","sets":"Expansion Set 3, Party Expansion 1"},</v>
      </c>
      <c r="E1790" s="9" t="str">
        <f t="shared" si="2"/>
        <v>data:image/svg+xml,%3csvg xmlns='http://www.w3.org/2000/svg' viewBox='0 0 24 216'%3e%3ctext fill='%23fff' style='font: 900 16px sans-serif' text-anchor='end' transform='matrix(0 -1 1 0 18 5)'%3eWhite Collar Crime%3c/text%3e%3c/svg%3e</v>
      </c>
      <c r="F1790" s="14" t="str">
        <f t="shared" si="3"/>
        <v>https://svgtext.heliohost.us/cgi-bin/gen.perl?text=White%20Collar%20Crime</v>
      </c>
      <c r="G1790" s="11" t="str">
        <f t="shared" si="4"/>
        <v>data:image/svg+xml,%3csvg xmlns='http://www.w3.org/2000/svg' viewBox='0 0 24 216'%3e%3ctext fill='%23fff' style='font: 900 16px sans-serif' text-anchor='end' transform='matrix(0 -1 1 0 18 5)'%3eWhite Collar Crime%3c/text%3e%3c/svg%3e</v>
      </c>
      <c r="H1790" s="8" t="s">
        <v>39</v>
      </c>
      <c r="I1790" s="8">
        <f t="shared" ref="I1790:J1790" si="1791">len(B1790)</f>
        <v>18</v>
      </c>
      <c r="J1790" s="8">
        <f t="shared" si="1791"/>
        <v>105</v>
      </c>
      <c r="K1790" s="8" t="s">
        <v>7006</v>
      </c>
    </row>
    <row r="1791">
      <c r="A1791" s="7" t="b">
        <v>0</v>
      </c>
      <c r="B1791" s="8" t="s">
        <v>7007</v>
      </c>
      <c r="C1791" s="8" t="s">
        <v>7008</v>
      </c>
      <c r="D1791" s="8" t="str">
        <f>Q&amp;$K1791&amp;Q&amp;":{"&amp;Q&amp;$B$2&amp;Q&amp;":"&amp;Q&amp;$B1791&amp;Q&amp;","&amp;Q&amp;$C$2&amp;Q&amp;":"&amp;Q&amp;$C1791&amp;Q&amp;","&amp;Q&amp;"sets"&amp;Q&amp;":"&amp;Q&amp;substitute(SUBSTITUTE($H1791,"[",""),"]","")&amp;Q&amp;"},"</f>
        <v>"bhhe":{"label":"Whoopie Goldberg","extra":"1950-, American actor and comedian. Starred in such movies as Ghost, which earned her an Academy Award. Whoopee!","sets":"Basic Set, Party Set"},</v>
      </c>
      <c r="E1791" s="9" t="str">
        <f t="shared" si="2"/>
        <v>data:image/svg+xml,%3csvg xmlns='http://www.w3.org/2000/svg' viewBox='0 0 24 216'%3e%3ctext fill='%23fff' style='font: 900 16px sans-serif' text-anchor='end' transform='matrix(0 -1 1 0 18 5)'%3eWhoopie Goldberg%3c/text%3e%3c/svg%3e</v>
      </c>
      <c r="F1791" s="14" t="str">
        <f t="shared" si="3"/>
        <v>https://svgtext.heliohost.us/cgi-bin/gen.perl?text=Whoopie%20Goldberg</v>
      </c>
      <c r="G1791" s="11" t="str">
        <f t="shared" si="4"/>
        <v>data:image/svg+xml,%3csvg xmlns='http://www.w3.org/2000/svg' viewBox='0 0 24 216'%3e%3ctext fill='%23fff' style='font: 900 16px sans-serif' text-anchor='end' transform='matrix(0 -1 1 0 18 5)'%3eWhoopie Goldberg%3c/text%3e%3c/svg%3e</v>
      </c>
      <c r="H1791" s="8" t="s">
        <v>29</v>
      </c>
      <c r="I1791" s="8">
        <f t="shared" ref="I1791:J1791" si="1792">len(B1791)</f>
        <v>16</v>
      </c>
      <c r="J1791" s="8">
        <f t="shared" si="1792"/>
        <v>112</v>
      </c>
      <c r="K1791" s="8" t="s">
        <v>7009</v>
      </c>
    </row>
    <row r="1792">
      <c r="A1792" s="7" t="b">
        <v>0</v>
      </c>
      <c r="B1792" s="8" t="s">
        <v>7010</v>
      </c>
      <c r="C1792" s="7" t="s">
        <v>7011</v>
      </c>
      <c r="D1792" s="8" t="str">
        <f>Q&amp;$K1792&amp;Q&amp;":{"&amp;Q&amp;$B$2&amp;Q&amp;":"&amp;Q&amp;$B1792&amp;Q&amp;","&amp;Q&amp;$C$2&amp;Q&amp;":"&amp;Q&amp;$C1792&amp;Q&amp;","&amp;Q&amp;"sets"&amp;Q&amp;":"&amp;Q&amp;substitute(SUBSTITUTE($H1792,"[",""),"]","")&amp;Q&amp;"},"</f>
        <v>"nftl":{"label":"Will &amp; Grace","extra":"Popular sitcom debuted in 1998. Not your average next door neighbors.","sets":"Expansion Set 4, Party Expansion 1"},</v>
      </c>
      <c r="E1792" s="9" t="str">
        <f t="shared" si="2"/>
        <v>data:image/svg+xml,%3csvg xmlns='http://www.w3.org/2000/svg' viewBox='0 0 24 216'%3e%3ctext fill='%23fff' style='font: 900 16px sans-serif' text-anchor='end' transform='matrix(0 -1 1 0 18 5)'%3eWill %26amp%3B Grace%3c/text%3e%3c/svg%3e</v>
      </c>
      <c r="F1792" s="14" t="str">
        <f t="shared" si="3"/>
        <v>https://svgtext.heliohost.us/cgi-bin/gen.perl?text=Will%20%26%20Grace</v>
      </c>
      <c r="G1792" s="11" t="str">
        <f t="shared" si="4"/>
        <v>data:image/svg+xml,%3csvg xmlns='http://www.w3.org/2000/svg' viewBox='0 0 24 216'%3e%3ctext fill='%23fff' style='font: 900 16px sans-serif' text-anchor='end' transform='matrix(0 -1 1 0 18 5)'%3eWill %26amp%3B Grace%3c/text%3e%3c/svg%3e</v>
      </c>
      <c r="H1792" s="8" t="s">
        <v>63</v>
      </c>
      <c r="I1792" s="8">
        <f t="shared" ref="I1792:J1792" si="1793">len(B1792)</f>
        <v>12</v>
      </c>
      <c r="J1792" s="8">
        <f t="shared" si="1793"/>
        <v>69</v>
      </c>
      <c r="K1792" s="8" t="s">
        <v>7012</v>
      </c>
    </row>
    <row r="1793">
      <c r="A1793" s="7" t="b">
        <v>0</v>
      </c>
      <c r="B1793" s="8" t="s">
        <v>7013</v>
      </c>
      <c r="C1793" s="8" t="s">
        <v>7014</v>
      </c>
      <c r="D1793" s="8" t="str">
        <f>Q&amp;$K1793&amp;Q&amp;":{"&amp;Q&amp;$B$2&amp;Q&amp;":"&amp;Q&amp;$B1793&amp;Q&amp;","&amp;Q&amp;$C$2&amp;Q&amp;":"&amp;Q&amp;$C1793&amp;Q&amp;","&amp;Q&amp;"sets"&amp;Q&amp;":"&amp;Q&amp;substitute(SUBSTITUTE($H1793,"[",""),"]","")&amp;Q&amp;"},"</f>
        <v>"rj{l":{"label":"Will Smith","extra":"1968-, Successful American rap star, TV star and wildly successful motion picture star. He's got it all. We hate him.","sets":"Basic Set, Party Set"},</v>
      </c>
      <c r="E1793" s="9" t="str">
        <f t="shared" si="2"/>
        <v>data:image/svg+xml,%3csvg xmlns='http://www.w3.org/2000/svg' viewBox='0 0 24 216'%3e%3ctext fill='%23fff' style='font: 900 16px sans-serif' text-anchor='end' transform='matrix(0 -1 1 0 18 5)'%3eWill Smith%3c/text%3e%3c/svg%3e</v>
      </c>
      <c r="F1793" s="14" t="str">
        <f t="shared" si="3"/>
        <v>https://svgtext.heliohost.us/cgi-bin/gen.perl?text=Will%20Smith</v>
      </c>
      <c r="G1793" s="11" t="str">
        <f t="shared" si="4"/>
        <v>data:image/svg+xml,%3csvg xmlns='http://www.w3.org/2000/svg' viewBox='0 0 24 216'%3e%3ctext fill='%23fff' style='font: 900 16px sans-serif' text-anchor='end' transform='matrix(0 -1 1 0 18 5)'%3eWill Smith%3c/text%3e%3c/svg%3e</v>
      </c>
      <c r="H1793" s="8" t="s">
        <v>29</v>
      </c>
      <c r="I1793" s="8">
        <f t="shared" ref="I1793:J1793" si="1794">len(B1793)</f>
        <v>10</v>
      </c>
      <c r="J1793" s="8">
        <f t="shared" si="1794"/>
        <v>117</v>
      </c>
      <c r="K1793" s="8" t="s">
        <v>7015</v>
      </c>
    </row>
    <row r="1794">
      <c r="A1794" s="7" t="b">
        <v>0</v>
      </c>
      <c r="B1794" s="8" t="s">
        <v>7016</v>
      </c>
      <c r="C1794" s="7" t="s">
        <v>7017</v>
      </c>
      <c r="D1794" s="8" t="str">
        <f>Q&amp;$K1794&amp;Q&amp;":{"&amp;Q&amp;$B$2&amp;Q&amp;":"&amp;Q&amp;$B1794&amp;Q&amp;","&amp;Q&amp;$C$2&amp;Q&amp;":"&amp;Q&amp;$C1794&amp;Q&amp;","&amp;Q&amp;"sets"&amp;Q&amp;":"&amp;Q&amp;substitute(SUBSTITUTE($H1794,"[",""),"]","")&amp;Q&amp;"},"</f>
        <v>"hiyo":{"label":"William Shakespeare","extra":"1564-1616, The English poet and playwright. And all the world IS a stage…","sets":"Basic Set, Party Set"},</v>
      </c>
      <c r="E1794" s="9" t="str">
        <f t="shared" si="2"/>
        <v>data:image/svg+xml,%3csvg xmlns='http://www.w3.org/2000/svg' viewBox='0 0 24 216'%3e%3ctext fill='%23fff' style='font: 900 16px sans-serif' text-anchor='end' transform='matrix(0 -1 1 0 18 5)'%3eWilliam Shakespeare%3c/text%3e%3c/svg%3e</v>
      </c>
      <c r="F1794" s="14" t="str">
        <f t="shared" si="3"/>
        <v>https://svgtext.heliohost.us/cgi-bin/gen.perl?text=William%20Shakespeare</v>
      </c>
      <c r="G1794" s="11" t="str">
        <f t="shared" si="4"/>
        <v>data:image/svg+xml,%3csvg xmlns='http://www.w3.org/2000/svg' viewBox='0 0 24 216'%3e%3ctext fill='%23fff' style='font: 900 16px sans-serif' text-anchor='end' transform='matrix(0 -1 1 0 18 5)'%3eWilliam Shakespeare%3c/text%3e%3c/svg%3e</v>
      </c>
      <c r="H1794" s="8" t="s">
        <v>29</v>
      </c>
      <c r="I1794" s="8">
        <f t="shared" ref="I1794:J1794" si="1795">len(B1794)</f>
        <v>19</v>
      </c>
      <c r="J1794" s="8">
        <f t="shared" si="1795"/>
        <v>73</v>
      </c>
      <c r="K1794" s="8" t="s">
        <v>7018</v>
      </c>
    </row>
    <row r="1795">
      <c r="A1795" s="7" t="b">
        <v>0</v>
      </c>
      <c r="B1795" s="8" t="s">
        <v>7019</v>
      </c>
      <c r="C1795" s="7" t="s">
        <v>7020</v>
      </c>
      <c r="D1795" s="8" t="str">
        <f>Q&amp;$K1795&amp;Q&amp;":{"&amp;Q&amp;$B$2&amp;Q&amp;":"&amp;Q&amp;$B1795&amp;Q&amp;","&amp;Q&amp;$C$2&amp;Q&amp;":"&amp;Q&amp;$C1795&amp;Q&amp;","&amp;Q&amp;"sets"&amp;Q&amp;":"&amp;Q&amp;substitute(SUBSTITUTE($H1795,"[",""),"]","")&amp;Q&amp;"},"</f>
        <v>"rt{k":{"label":"Wimbledon","extra":"Strawberries… cream… temper tantrums…","sets":"Basic Set, Party Set"},</v>
      </c>
      <c r="E1795" s="9" t="str">
        <f t="shared" si="2"/>
        <v>data:image/svg+xml,%3csvg xmlns='http://www.w3.org/2000/svg' viewBox='0 0 24 216'%3e%3ctext fill='%23fff' style='font: 900 16px sans-serif' text-anchor='end' transform='matrix(0 -1 1 0 18 5)'%3eWimbledon%3c/text%3e%3c/svg%3e</v>
      </c>
      <c r="F1795" s="14" t="str">
        <f t="shared" si="3"/>
        <v>https://svgtext.heliohost.us/cgi-bin/gen.perl?text=Wimbledon</v>
      </c>
      <c r="G1795" s="11" t="str">
        <f t="shared" si="4"/>
        <v>data:image/svg+xml,%3csvg xmlns='http://www.w3.org/2000/svg' viewBox='0 0 24 216'%3e%3ctext fill='%23fff' style='font: 900 16px sans-serif' text-anchor='end' transform='matrix(0 -1 1 0 18 5)'%3eWimbledon%3c/text%3e%3c/svg%3e</v>
      </c>
      <c r="H1795" s="8" t="s">
        <v>29</v>
      </c>
      <c r="I1795" s="8">
        <f t="shared" ref="I1795:J1795" si="1796">len(B1795)</f>
        <v>9</v>
      </c>
      <c r="J1795" s="8">
        <f t="shared" si="1796"/>
        <v>37</v>
      </c>
      <c r="K1795" s="8" t="s">
        <v>7021</v>
      </c>
    </row>
    <row r="1796">
      <c r="A1796" s="7" t="b">
        <v>0</v>
      </c>
      <c r="B1796" s="8" t="s">
        <v>7022</v>
      </c>
      <c r="C1796" s="8" t="s">
        <v>7023</v>
      </c>
      <c r="D1796" s="8" t="str">
        <f>Q&amp;$K1796&amp;Q&amp;":{"&amp;Q&amp;$B$2&amp;Q&amp;":"&amp;Q&amp;$B1796&amp;Q&amp;","&amp;Q&amp;$C$2&amp;Q&amp;":"&amp;Q&amp;$C1796&amp;Q&amp;","&amp;Q&amp;"sets"&amp;Q&amp;":"&amp;Q&amp;substitute(SUBSTITUTE($H1796,"[",""),"]","")&amp;Q&amp;"},"</f>
        <v>"zbfc":{"label":"Windsurfing","extra":"Really just surfing for lazy people.","sets":"Basic Set, Party Set"},</v>
      </c>
      <c r="E1796" s="9" t="str">
        <f t="shared" si="2"/>
        <v>data:image/svg+xml,%3csvg xmlns='http://www.w3.org/2000/svg' viewBox='0 0 24 216'%3e%3ctext fill='%23fff' style='font: 900 16px sans-serif' text-anchor='end' transform='matrix(0 -1 1 0 18 5)'%3eWindsurfing%3c/text%3e%3c/svg%3e</v>
      </c>
      <c r="F1796" s="14" t="str">
        <f t="shared" si="3"/>
        <v>https://svgtext.heliohost.us/cgi-bin/gen.perl?text=Windsurfing</v>
      </c>
      <c r="G1796" s="11" t="str">
        <f t="shared" si="4"/>
        <v>data:image/svg+xml,%3csvg xmlns='http://www.w3.org/2000/svg' viewBox='0 0 24 216'%3e%3ctext fill='%23fff' style='font: 900 16px sans-serif' text-anchor='end' transform='matrix(0 -1 1 0 18 5)'%3eWindsurfing%3c/text%3e%3c/svg%3e</v>
      </c>
      <c r="H1796" s="8" t="s">
        <v>29</v>
      </c>
      <c r="I1796" s="8">
        <f t="shared" ref="I1796:J1796" si="1797">len(B1796)</f>
        <v>11</v>
      </c>
      <c r="J1796" s="8">
        <f t="shared" si="1797"/>
        <v>36</v>
      </c>
      <c r="K1796" s="8" t="s">
        <v>7024</v>
      </c>
    </row>
    <row r="1797">
      <c r="A1797" s="7" t="b">
        <v>0</v>
      </c>
      <c r="B1797" s="8" t="s">
        <v>7025</v>
      </c>
      <c r="C1797" s="8" t="s">
        <v>7026</v>
      </c>
      <c r="D1797" s="8" t="str">
        <f>Q&amp;$K1797&amp;Q&amp;":{"&amp;Q&amp;$B$2&amp;Q&amp;":"&amp;Q&amp;$B1797&amp;Q&amp;","&amp;Q&amp;$C$2&amp;Q&amp;":"&amp;Q&amp;$C1797&amp;Q&amp;","&amp;Q&amp;"sets"&amp;Q&amp;":"&amp;Q&amp;substitute(SUBSTITUTE($H1797,"[",""),"]","")&amp;Q&amp;"},"</f>
        <v>"bwoo":{"label":"Wine Tasting","extra":"Spit or swallow?","sets":"Expansion Set 2, Party Set"},</v>
      </c>
      <c r="E1797" s="9" t="str">
        <f t="shared" si="2"/>
        <v>data:image/svg+xml,%3csvg xmlns='http://www.w3.org/2000/svg' viewBox='0 0 24 216'%3e%3ctext fill='%23fff' style='font: 900 16px sans-serif' text-anchor='end' transform='matrix(0 -1 1 0 18 5)'%3eWine Tasting%3c/text%3e%3c/svg%3e</v>
      </c>
      <c r="F1797" s="14" t="str">
        <f t="shared" si="3"/>
        <v>https://svgtext.heliohost.us/cgi-bin/gen.perl?text=Wine%20Tasting</v>
      </c>
      <c r="G1797" s="11" t="str">
        <f t="shared" si="4"/>
        <v>data:image/svg+xml,%3csvg xmlns='http://www.w3.org/2000/svg' viewBox='0 0 24 216'%3e%3ctext fill='%23fff' style='font: 900 16px sans-serif' text-anchor='end' transform='matrix(0 -1 1 0 18 5)'%3eWine Tasting%3c/text%3e%3c/svg%3e</v>
      </c>
      <c r="H1797" s="8" t="s">
        <v>17</v>
      </c>
      <c r="I1797" s="8">
        <f t="shared" ref="I1797:J1797" si="1798">len(B1797)</f>
        <v>12</v>
      </c>
      <c r="J1797" s="8">
        <f t="shared" si="1798"/>
        <v>16</v>
      </c>
      <c r="K1797" s="8" t="s">
        <v>7027</v>
      </c>
    </row>
    <row r="1798">
      <c r="A1798" s="7" t="b">
        <v>1</v>
      </c>
      <c r="B1798" s="8" t="s">
        <v>7028</v>
      </c>
      <c r="C1798" s="8" t="s">
        <v>7029</v>
      </c>
      <c r="D1798" s="8" t="str">
        <f>Q&amp;$K1798&amp;Q&amp;":{"&amp;Q&amp;$B$2&amp;Q&amp;":"&amp;Q&amp;$B1798&amp;Q&amp;","&amp;Q&amp;$C$2&amp;Q&amp;":"&amp;Q&amp;$C1798&amp;Q&amp;","&amp;Q&amp;"sets"&amp;Q&amp;":"&amp;Q&amp;substitute(SUBSTITUTE($H1798,"[",""),"]","")&amp;Q&amp;"},"</f>
        <v>"{kjk":{"label":"Winnie The Pooh","extra":"There's never enough honey for Pooh Bear!","sets":"Junior"},</v>
      </c>
      <c r="E1798" s="9" t="str">
        <f t="shared" si="2"/>
        <v>data:image/svg+xml,%3csvg xmlns='http://www.w3.org/2000/svg' viewBox='0 0 24 216'%3e%3ctext fill='%23fff' style='font: 900 16px sans-serif' text-anchor='end' transform='matrix(0 -1 1 0 18 5)'%3eWinnie The Pooh%3c/text%3e%3c/svg%3e</v>
      </c>
      <c r="F1798" s="14" t="str">
        <f t="shared" si="3"/>
        <v>https://svgtext.heliohost.us/cgi-bin/gen.perl?text=Winnie%20The%20Pooh</v>
      </c>
      <c r="G1798" s="11" t="str">
        <f t="shared" si="4"/>
        <v>data:image/svg+xml,%3csvg xmlns='http://www.w3.org/2000/svg' viewBox='0 0 24 216'%3e%3ctext fill='%23fff' style='font: 900 16px sans-serif' text-anchor='end' transform='matrix(0 -1 1 0 18 5)'%3eWinnie The Pooh%3c/text%3e%3c/svg%3e</v>
      </c>
      <c r="H1798" s="8" t="s">
        <v>84</v>
      </c>
      <c r="I1798" s="8">
        <f t="shared" ref="I1798:J1798" si="1799">len(B1798)</f>
        <v>15</v>
      </c>
      <c r="J1798" s="8">
        <f t="shared" si="1799"/>
        <v>41</v>
      </c>
      <c r="K1798" s="8" t="s">
        <v>7030</v>
      </c>
    </row>
    <row r="1799">
      <c r="A1799" s="7" t="b">
        <v>1</v>
      </c>
      <c r="B1799" s="8" t="s">
        <v>7031</v>
      </c>
      <c r="C1799" s="8" t="s">
        <v>7032</v>
      </c>
      <c r="D1799" s="8" t="str">
        <f>Q&amp;$K1799&amp;Q&amp;":{"&amp;Q&amp;$B$2&amp;Q&amp;":"&amp;Q&amp;$B1799&amp;Q&amp;","&amp;Q&amp;$C$2&amp;Q&amp;":"&amp;Q&amp;$C1799&amp;Q&amp;","&amp;Q&amp;"sets"&amp;Q&amp;":"&amp;Q&amp;substitute(SUBSTITUTE($H1799,"[",""),"]","")&amp;Q&amp;"},"</f>
        <v>"aizt":{"label":"Winning A Trophy","extra":"Congratulations!","sets":"Junior 9+ (1st) &amp; (2nd)"},</v>
      </c>
      <c r="E1799" s="9" t="str">
        <f t="shared" si="2"/>
        <v>data:image/svg+xml,%3csvg xmlns='http://www.w3.org/2000/svg' viewBox='0 0 24 216'%3e%3ctext fill='%23fff' style='font: 900 16px sans-serif' text-anchor='end' transform='matrix(0 -1 1 0 18 5)'%3eWinning A Trophy%3c/text%3e%3c/svg%3e</v>
      </c>
      <c r="F1799" s="14" t="str">
        <f t="shared" si="3"/>
        <v>https://svgtext.heliohost.us/cgi-bin/gen.perl?text=Winning%20A%20Trophy</v>
      </c>
      <c r="G1799" s="11" t="str">
        <f t="shared" si="4"/>
        <v>data:image/svg+xml,%3csvg xmlns='http://www.w3.org/2000/svg' viewBox='0 0 24 216'%3e%3ctext fill='%23fff' style='font: 900 16px sans-serif' text-anchor='end' transform='matrix(0 -1 1 0 18 5)'%3eWinning A Trophy%3c/text%3e%3c/svg%3e</v>
      </c>
      <c r="H1799" s="8" t="s">
        <v>42</v>
      </c>
      <c r="I1799" s="8">
        <f t="shared" ref="I1799:J1799" si="1800">len(B1799)</f>
        <v>16</v>
      </c>
      <c r="J1799" s="8">
        <f t="shared" si="1800"/>
        <v>16</v>
      </c>
      <c r="K1799" s="8" t="s">
        <v>7033</v>
      </c>
    </row>
    <row r="1800">
      <c r="A1800" s="7" t="b">
        <v>0</v>
      </c>
      <c r="B1800" s="8" t="s">
        <v>7034</v>
      </c>
      <c r="C1800" s="8" t="s">
        <v>7035</v>
      </c>
      <c r="D1800" s="8" t="str">
        <f>Q&amp;$K1800&amp;Q&amp;":{"&amp;Q&amp;$B$2&amp;Q&amp;":"&amp;Q&amp;$B1800&amp;Q&amp;","&amp;Q&amp;$C$2&amp;Q&amp;":"&amp;Q&amp;$C1800&amp;Q&amp;","&amp;Q&amp;"sets"&amp;Q&amp;":"&amp;Q&amp;substitute(SUBSTITUTE($H1800,"[",""),"]","")&amp;Q&amp;"},"</f>
        <v>"ljcb":{"label":"Winning The Lottery","extra":"The more you play, the more THEY win.","sets":"Expansion Set 1, Party Set"},</v>
      </c>
      <c r="E1800" s="9" t="str">
        <f t="shared" si="2"/>
        <v>data:image/svg+xml,%3csvg xmlns='http://www.w3.org/2000/svg' viewBox='0 0 24 216'%3e%3ctext fill='%23fff' style='font: 900 16px sans-serif' text-anchor='end' transform='matrix(0 -1 1 0 18 5)'%3eWinning The Lottery%3c/text%3e%3c/svg%3e</v>
      </c>
      <c r="F1800" s="14" t="str">
        <f t="shared" si="3"/>
        <v>https://svgtext.heliohost.us/cgi-bin/gen.perl?text=Winning%20The%20Lottery</v>
      </c>
      <c r="G1800" s="11" t="str">
        <f t="shared" si="4"/>
        <v>data:image/svg+xml,%3csvg xmlns='http://www.w3.org/2000/svg' viewBox='0 0 24 216'%3e%3ctext fill='%23fff' style='font: 900 16px sans-serif' text-anchor='end' transform='matrix(0 -1 1 0 18 5)'%3eWinning The Lottery%3c/text%3e%3c/svg%3e</v>
      </c>
      <c r="H1800" s="8" t="s">
        <v>25</v>
      </c>
      <c r="I1800" s="8">
        <f t="shared" ref="I1800:J1800" si="1801">len(B1800)</f>
        <v>19</v>
      </c>
      <c r="J1800" s="8">
        <f t="shared" si="1801"/>
        <v>37</v>
      </c>
      <c r="K1800" s="8" t="s">
        <v>7036</v>
      </c>
    </row>
    <row r="1801">
      <c r="A1801" s="7" t="b">
        <v>1</v>
      </c>
      <c r="B1801" s="8" t="s">
        <v>7037</v>
      </c>
      <c r="C1801" s="8" t="s">
        <v>7038</v>
      </c>
      <c r="D1801" s="8" t="str">
        <f>Q&amp;$K1801&amp;Q&amp;":{"&amp;Q&amp;$B$2&amp;Q&amp;":"&amp;Q&amp;$B1801&amp;Q&amp;","&amp;Q&amp;$C$2&amp;Q&amp;":"&amp;Q&amp;$C1801&amp;Q&amp;","&amp;Q&amp;"sets"&amp;Q&amp;":"&amp;Q&amp;substitute(SUBSTITUTE($H1801,"[",""),"]","")&amp;Q&amp;"},"</f>
        <v>"cjed":{"label":"Winter","extra":"The coldest season of the year.","sets":"Junior 9+ (1st) &amp; (2nd)"},</v>
      </c>
      <c r="E1801" s="9" t="str">
        <f t="shared" si="2"/>
        <v>data:image/svg+xml,%3csvg xmlns='http://www.w3.org/2000/svg' viewBox='0 0 24 216'%3e%3ctext fill='%23fff' style='font: 900 16px sans-serif' text-anchor='end' transform='matrix(0 -1 1 0 18 5)'%3eWinter%3c/text%3e%3c/svg%3e</v>
      </c>
      <c r="F1801" s="14" t="str">
        <f t="shared" si="3"/>
        <v>https://svgtext.heliohost.us/cgi-bin/gen.perl?text=Winter</v>
      </c>
      <c r="G1801" s="11" t="str">
        <f t="shared" si="4"/>
        <v>data:image/svg+xml,%3csvg xmlns='http://www.w3.org/2000/svg' viewBox='0 0 24 216'%3e%3ctext fill='%23fff' style='font: 900 16px sans-serif' text-anchor='end' transform='matrix(0 -1 1 0 18 5)'%3eWinter%3c/text%3e%3c/svg%3e</v>
      </c>
      <c r="H1801" s="8" t="s">
        <v>42</v>
      </c>
      <c r="I1801" s="8">
        <f t="shared" ref="I1801:J1801" si="1802">len(B1801)</f>
        <v>6</v>
      </c>
      <c r="J1801" s="8">
        <f t="shared" si="1802"/>
        <v>31</v>
      </c>
      <c r="K1801" s="8" t="s">
        <v>7039</v>
      </c>
    </row>
    <row r="1802">
      <c r="A1802" s="7" t="b">
        <v>1</v>
      </c>
      <c r="B1802" s="8" t="s">
        <v>7040</v>
      </c>
      <c r="C1802" s="8" t="s">
        <v>7041</v>
      </c>
      <c r="D1802" s="8" t="str">
        <f>Q&amp;$K1802&amp;Q&amp;":{"&amp;Q&amp;$B$2&amp;Q&amp;":"&amp;Q&amp;$B1802&amp;Q&amp;","&amp;Q&amp;$C$2&amp;Q&amp;":"&amp;Q&amp;$C1802&amp;Q&amp;","&amp;Q&amp;"sets"&amp;Q&amp;":"&amp;Q&amp;substitute(SUBSTITUTE($H1802,"[",""),"]","")&amp;Q&amp;"},"</f>
        <v>"lepk":{"label":"Wishbone","extra":"Star of television and over 50 books. Wishbone is a Jack Russell terrier.","sets":"Junior 9+ (1st) &amp; (2nd)"},</v>
      </c>
      <c r="E1802" s="9" t="str">
        <f t="shared" si="2"/>
        <v>data:image/svg+xml,%3csvg xmlns='http://www.w3.org/2000/svg' viewBox='0 0 24 216'%3e%3ctext fill='%23fff' style='font: 900 16px sans-serif' text-anchor='end' transform='matrix(0 -1 1 0 18 5)'%3eWishbone%3c/text%3e%3c/svg%3e</v>
      </c>
      <c r="F1802" s="14" t="str">
        <f t="shared" si="3"/>
        <v>https://svgtext.heliohost.us/cgi-bin/gen.perl?text=Wishbone</v>
      </c>
      <c r="G1802" s="11" t="str">
        <f t="shared" si="4"/>
        <v>data:image/svg+xml,%3csvg xmlns='http://www.w3.org/2000/svg' viewBox='0 0 24 216'%3e%3ctext fill='%23fff' style='font: 900 16px sans-serif' text-anchor='end' transform='matrix(0 -1 1 0 18 5)'%3eWishbone%3c/text%3e%3c/svg%3e</v>
      </c>
      <c r="H1802" s="8" t="s">
        <v>42</v>
      </c>
      <c r="I1802" s="8">
        <f t="shared" ref="I1802:J1802" si="1803">len(B1802)</f>
        <v>8</v>
      </c>
      <c r="J1802" s="8">
        <f t="shared" si="1803"/>
        <v>73</v>
      </c>
      <c r="K1802" s="8" t="s">
        <v>7042</v>
      </c>
    </row>
    <row r="1803">
      <c r="A1803" s="7" t="b">
        <v>0</v>
      </c>
      <c r="B1803" s="8" t="s">
        <v>7043</v>
      </c>
      <c r="C1803" s="8" t="s">
        <v>7044</v>
      </c>
      <c r="D1803" s="8" t="str">
        <f>Q&amp;$K1803&amp;Q&amp;":{"&amp;Q&amp;$B$2&amp;Q&amp;":"&amp;Q&amp;$B1803&amp;Q&amp;","&amp;Q&amp;$C$2&amp;Q&amp;":"&amp;Q&amp;$C1803&amp;Q&amp;","&amp;Q&amp;"sets"&amp;Q&amp;":"&amp;Q&amp;substitute(SUBSTITUTE($H1803,"[",""),"]","")&amp;Q&amp;"},"</f>
        <v>"vaep":{"label":"Witch Hunts","extra":"Popular locations: Salem, Massachusetts and Washington, D.C.","sets":"Expansion Set 1, Party Set"},</v>
      </c>
      <c r="E1803" s="9" t="str">
        <f t="shared" si="2"/>
        <v>data:image/svg+xml,%3csvg xmlns='http://www.w3.org/2000/svg' viewBox='0 0 24 216'%3e%3ctext fill='%23fff' style='font: 900 16px sans-serif' text-anchor='end' transform='matrix(0 -1 1 0 18 5)'%3eWitch Hunts%3c/text%3e%3c/svg%3e</v>
      </c>
      <c r="F1803" s="14" t="str">
        <f t="shared" si="3"/>
        <v>https://svgtext.heliohost.us/cgi-bin/gen.perl?text=Witch%20Hunts</v>
      </c>
      <c r="G1803" s="11" t="str">
        <f t="shared" si="4"/>
        <v>data:image/svg+xml,%3csvg xmlns='http://www.w3.org/2000/svg' viewBox='0 0 24 216'%3e%3ctext fill='%23fff' style='font: 900 16px sans-serif' text-anchor='end' transform='matrix(0 -1 1 0 18 5)'%3eWitch Hunts%3c/text%3e%3c/svg%3e</v>
      </c>
      <c r="H1803" s="8" t="s">
        <v>25</v>
      </c>
      <c r="I1803" s="8">
        <f t="shared" ref="I1803:J1803" si="1804">len(B1803)</f>
        <v>11</v>
      </c>
      <c r="J1803" s="8">
        <f t="shared" si="1804"/>
        <v>60</v>
      </c>
      <c r="K1803" s="8" t="s">
        <v>7045</v>
      </c>
    </row>
    <row r="1804">
      <c r="A1804" s="7" t="b">
        <v>1</v>
      </c>
      <c r="B1804" s="8" t="s">
        <v>7046</v>
      </c>
      <c r="C1804" s="8" t="s">
        <v>7047</v>
      </c>
      <c r="D1804" s="8" t="str">
        <f>Q&amp;$K1804&amp;Q&amp;":{"&amp;Q&amp;$B$2&amp;Q&amp;":"&amp;Q&amp;$B1804&amp;Q&amp;","&amp;Q&amp;$C$2&amp;Q&amp;":"&amp;Q&amp;$C1804&amp;Q&amp;","&amp;Q&amp;"sets"&amp;Q&amp;":"&amp;Q&amp;substitute(SUBSTITUTE($H1804,"[",""),"]","")&amp;Q&amp;"},"</f>
        <v>"tjnt":{"label":"Witches","extra":"They are famous for their pointy noses, black hats and broomsticks.","sets":"Junior"},</v>
      </c>
      <c r="E1804" s="9" t="str">
        <f t="shared" si="2"/>
        <v>data:image/svg+xml,%3csvg xmlns='http://www.w3.org/2000/svg' viewBox='0 0 24 216'%3e%3ctext fill='%23fff' style='font: 900 16px sans-serif' text-anchor='end' transform='matrix(0 -1 1 0 18 5)'%3eWitches%3c/text%3e%3c/svg%3e</v>
      </c>
      <c r="F1804" s="14" t="str">
        <f t="shared" si="3"/>
        <v>https://svgtext.heliohost.us/cgi-bin/gen.perl?text=Witches</v>
      </c>
      <c r="G1804" s="11" t="str">
        <f t="shared" si="4"/>
        <v>data:image/svg+xml,%3csvg xmlns='http://www.w3.org/2000/svg' viewBox='0 0 24 216'%3e%3ctext fill='%23fff' style='font: 900 16px sans-serif' text-anchor='end' transform='matrix(0 -1 1 0 18 5)'%3eWitches%3c/text%3e%3c/svg%3e</v>
      </c>
      <c r="H1804" s="8" t="s">
        <v>84</v>
      </c>
      <c r="I1804" s="8">
        <f t="shared" ref="I1804:J1804" si="1805">len(B1804)</f>
        <v>7</v>
      </c>
      <c r="J1804" s="8">
        <f t="shared" si="1805"/>
        <v>67</v>
      </c>
      <c r="K1804" s="8" t="s">
        <v>7048</v>
      </c>
    </row>
    <row r="1805">
      <c r="A1805" s="7" t="b">
        <v>0</v>
      </c>
      <c r="B1805" s="8" t="s">
        <v>7049</v>
      </c>
      <c r="C1805" s="7" t="s">
        <v>7050</v>
      </c>
      <c r="D1805" s="8" t="str">
        <f>Q&amp;$K1805&amp;Q&amp;":{"&amp;Q&amp;$B$2&amp;Q&amp;":"&amp;Q&amp;$B1805&amp;Q&amp;","&amp;Q&amp;$C$2&amp;Q&amp;":"&amp;Q&amp;$C1805&amp;Q&amp;","&amp;Q&amp;"sets"&amp;Q&amp;":"&amp;Q&amp;substitute(SUBSTITUTE($H1805,"[",""),"]","")&amp;Q&amp;"},"</f>
        <v>"wjiu":{"label":"Women","extra":"REAL Women.","sets":"Expansion Set 2, Party Set"},</v>
      </c>
      <c r="E1805" s="9" t="str">
        <f t="shared" si="2"/>
        <v>data:image/svg+xml,%3csvg xmlns='http://www.w3.org/2000/svg' viewBox='0 0 24 216'%3e%3ctext fill='%23fff' style='font: 900 16px sans-serif' text-anchor='end' transform='matrix(0 -1 1 0 18 5)'%3eWomen%3c/text%3e%3c/svg%3e</v>
      </c>
      <c r="F1805" s="14" t="str">
        <f t="shared" si="3"/>
        <v>https://svgtext.heliohost.us/cgi-bin/gen.perl?text=Women</v>
      </c>
      <c r="G1805" s="11" t="str">
        <f t="shared" si="4"/>
        <v>data:image/svg+xml,%3csvg xmlns='http://www.w3.org/2000/svg' viewBox='0 0 24 216'%3e%3ctext fill='%23fff' style='font: 900 16px sans-serif' text-anchor='end' transform='matrix(0 -1 1 0 18 5)'%3eWomen%3c/text%3e%3c/svg%3e</v>
      </c>
      <c r="H1805" s="8" t="s">
        <v>17</v>
      </c>
      <c r="I1805" s="8">
        <f t="shared" ref="I1805:J1805" si="1806">len(B1805)</f>
        <v>5</v>
      </c>
      <c r="J1805" s="8">
        <f t="shared" si="1806"/>
        <v>11</v>
      </c>
      <c r="K1805" s="8" t="s">
        <v>7051</v>
      </c>
    </row>
    <row r="1806">
      <c r="A1806" s="7" t="b">
        <v>0</v>
      </c>
      <c r="B1806" s="8" t="s">
        <v>7052</v>
      </c>
      <c r="C1806" s="8" t="s">
        <v>7053</v>
      </c>
      <c r="D1806" s="8" t="str">
        <f>Q&amp;$K1806&amp;Q&amp;":{"&amp;Q&amp;$B$2&amp;Q&amp;":"&amp;Q&amp;$B1806&amp;Q&amp;","&amp;Q&amp;$C$2&amp;Q&amp;":"&amp;Q&amp;$C1806&amp;Q&amp;","&amp;Q&amp;"sets"&amp;Q&amp;":"&amp;Q&amp;substitute(SUBSTITUTE($H1806,"[",""),"]","")&amp;Q&amp;"},"</f>
        <v>"ovjf":{"label":"Women's Soccer","extra":"The 1999 World Cup finals was the most-watched women's sporting event in history.","sets":"Expansion Set 1, Party Set"},</v>
      </c>
      <c r="E1806" s="9" t="str">
        <f t="shared" si="2"/>
        <v>data:image/svg+xml,%3csvg xmlns='http://www.w3.org/2000/svg' viewBox='0 0 24 216'%3e%3ctext fill='%23fff' style='font: 900 16px sans-serif' text-anchor='end' transform='matrix(0 -1 1 0 18 5)'%3eWomen%27s Soccer%3c/text%3e%3c/svg%3e</v>
      </c>
      <c r="F1806" s="14" t="str">
        <f t="shared" si="3"/>
        <v>https://svgtext.heliohost.us/cgi-bin/gen.perl?text=Women%27s%20Soccer</v>
      </c>
      <c r="G1806" s="11" t="str">
        <f t="shared" si="4"/>
        <v>data:image/svg+xml,%3csvg xmlns='http://www.w3.org/2000/svg' viewBox='0 0 24 216'%3e%3ctext fill='%23fff' style='font: 900 16px sans-serif' text-anchor='end' transform='matrix(0 -1 1 0 18 5)'%3eWomen%27s Soccer%3c/text%3e%3c/svg%3e</v>
      </c>
      <c r="H1806" s="8" t="s">
        <v>25</v>
      </c>
      <c r="I1806" s="8">
        <f t="shared" ref="I1806:J1806" si="1807">len(B1806)</f>
        <v>14</v>
      </c>
      <c r="J1806" s="8">
        <f t="shared" si="1807"/>
        <v>81</v>
      </c>
      <c r="K1806" s="8" t="s">
        <v>7054</v>
      </c>
    </row>
    <row r="1807">
      <c r="A1807" s="7" t="b">
        <v>0</v>
      </c>
      <c r="B1807" s="8" t="s">
        <v>7055</v>
      </c>
      <c r="C1807" s="7" t="s">
        <v>7056</v>
      </c>
      <c r="D1807" s="8" t="str">
        <f>Q&amp;$K1807&amp;Q&amp;":{"&amp;Q&amp;$B$2&amp;Q&amp;":"&amp;Q&amp;$B1807&amp;Q&amp;","&amp;Q&amp;$C$2&amp;Q&amp;":"&amp;Q&amp;$C1807&amp;Q&amp;","&amp;Q&amp;"sets"&amp;Q&amp;":"&amp;Q&amp;substitute(SUBSTITUTE($H1807,"[",""),"]","")&amp;Q&amp;"},"</f>
        <v>"qmgq":{"label":"Wood Chippers","extra":"“I guess that was your accomplice in the wood chipper.” —Marge Gunderson, Fargo","sets":"Expansion Set 1, Party Set"},</v>
      </c>
      <c r="E1807" s="9" t="str">
        <f t="shared" si="2"/>
        <v>data:image/svg+xml,%3csvg xmlns='http://www.w3.org/2000/svg' viewBox='0 0 24 216'%3e%3ctext fill='%23fff' style='font: 900 16px sans-serif' text-anchor='end' transform='matrix(0 -1 1 0 18 5)'%3eWood Chippers%3c/text%3e%3c/svg%3e</v>
      </c>
      <c r="F1807" s="14" t="str">
        <f t="shared" si="3"/>
        <v>https://svgtext.heliohost.us/cgi-bin/gen.perl?text=Wood%20Chippers</v>
      </c>
      <c r="G1807" s="11" t="str">
        <f t="shared" si="4"/>
        <v>data:image/svg+xml,%3csvg xmlns='http://www.w3.org/2000/svg' viewBox='0 0 24 216'%3e%3ctext fill='%23fff' style='font: 900 16px sans-serif' text-anchor='end' transform='matrix(0 -1 1 0 18 5)'%3eWood Chippers%3c/text%3e%3c/svg%3e</v>
      </c>
      <c r="H1807" s="8" t="s">
        <v>25</v>
      </c>
      <c r="I1807" s="8">
        <f t="shared" ref="I1807:J1807" si="1808">len(B1807)</f>
        <v>13</v>
      </c>
      <c r="J1807" s="8">
        <f t="shared" si="1808"/>
        <v>79</v>
      </c>
      <c r="K1807" s="8" t="s">
        <v>7057</v>
      </c>
    </row>
    <row r="1808">
      <c r="A1808" s="7" t="b">
        <v>1</v>
      </c>
      <c r="B1808" s="8" t="s">
        <v>7058</v>
      </c>
      <c r="C1808" s="8" t="s">
        <v>7059</v>
      </c>
      <c r="D1808" s="8" t="str">
        <f>Q&amp;$K1808&amp;Q&amp;":{"&amp;Q&amp;$B$2&amp;Q&amp;":"&amp;Q&amp;$B1808&amp;Q&amp;","&amp;Q&amp;$C$2&amp;Q&amp;":"&amp;Q&amp;$C1808&amp;Q&amp;","&amp;Q&amp;"sets"&amp;Q&amp;":"&amp;Q&amp;substitute(SUBSTITUTE($H1808,"[",""),"]","")&amp;Q&amp;"},"</f>
        <v>"zide":{"label":"Woodpeckers","extra":"They find insects to eat by pecking holes in wood with their beaks.","sets":"Junior 9+ (2nd)"},</v>
      </c>
      <c r="E1808" s="9" t="str">
        <f t="shared" si="2"/>
        <v>data:image/svg+xml,%3csvg xmlns='http://www.w3.org/2000/svg' viewBox='0 0 24 216'%3e%3ctext fill='%23fff' style='font: 900 16px sans-serif' text-anchor='end' transform='matrix(0 -1 1 0 18 5)'%3eWoodpeckers%3c/text%3e%3c/svg%3e</v>
      </c>
      <c r="F1808" s="14" t="str">
        <f t="shared" si="3"/>
        <v>https://svgtext.heliohost.us/cgi-bin/gen.perl?text=Woodpeckers</v>
      </c>
      <c r="G1808" s="11" t="str">
        <f t="shared" si="4"/>
        <v>data:image/svg+xml,%3csvg xmlns='http://www.w3.org/2000/svg' viewBox='0 0 24 216'%3e%3ctext fill='%23fff' style='font: 900 16px sans-serif' text-anchor='end' transform='matrix(0 -1 1 0 18 5)'%3eWoodpeckers%3c/text%3e%3c/svg%3e</v>
      </c>
      <c r="H1808" s="8" t="s">
        <v>32</v>
      </c>
      <c r="I1808" s="8">
        <f t="shared" ref="I1808:J1808" si="1809">len(B1808)</f>
        <v>11</v>
      </c>
      <c r="J1808" s="8">
        <f t="shared" si="1809"/>
        <v>67</v>
      </c>
      <c r="K1808" s="8" t="s">
        <v>7060</v>
      </c>
    </row>
    <row r="1809">
      <c r="A1809" s="7" t="b">
        <v>0</v>
      </c>
      <c r="B1809" s="8" t="s">
        <v>7061</v>
      </c>
      <c r="C1809" s="8" t="s">
        <v>7062</v>
      </c>
      <c r="D1809" s="8" t="str">
        <f>Q&amp;$K1809&amp;Q&amp;":{"&amp;Q&amp;$B$2&amp;Q&amp;":"&amp;Q&amp;$B1809&amp;Q&amp;","&amp;Q&amp;$C$2&amp;Q&amp;":"&amp;Q&amp;$C1809&amp;Q&amp;","&amp;Q&amp;"sets"&amp;Q&amp;":"&amp;Q&amp;substitute(SUBSTITUTE($H1809,"[",""),"]","")&amp;Q&amp;"},"</f>
        <v>"tzsl":{"label":"Woodstock","extra":"The 1969 love, music and mud festival attended by 400,000. Or, the little yellow bird.","sets":"Expansion Set 1, Party Set"},</v>
      </c>
      <c r="E1809" s="9" t="str">
        <f t="shared" si="2"/>
        <v>data:image/svg+xml,%3csvg xmlns='http://www.w3.org/2000/svg' viewBox='0 0 24 216'%3e%3ctext fill='%23fff' style='font: 900 16px sans-serif' text-anchor='end' transform='matrix(0 -1 1 0 18 5)'%3eWoodstock%3c/text%3e%3c/svg%3e</v>
      </c>
      <c r="F1809" s="14" t="str">
        <f t="shared" si="3"/>
        <v>https://svgtext.heliohost.us/cgi-bin/gen.perl?text=Woodstock</v>
      </c>
      <c r="G1809" s="11" t="str">
        <f t="shared" si="4"/>
        <v>data:image/svg+xml,%3csvg xmlns='http://www.w3.org/2000/svg' viewBox='0 0 24 216'%3e%3ctext fill='%23fff' style='font: 900 16px sans-serif' text-anchor='end' transform='matrix(0 -1 1 0 18 5)'%3eWoodstock%3c/text%3e%3c/svg%3e</v>
      </c>
      <c r="H1809" s="8" t="s">
        <v>25</v>
      </c>
      <c r="I1809" s="8">
        <f t="shared" ref="I1809:J1809" si="1810">len(B1809)</f>
        <v>9</v>
      </c>
      <c r="J1809" s="8">
        <f t="shared" si="1810"/>
        <v>86</v>
      </c>
      <c r="K1809" s="8" t="s">
        <v>7063</v>
      </c>
    </row>
    <row r="1810">
      <c r="A1810" s="7" t="b">
        <v>0</v>
      </c>
      <c r="B1810" s="8" t="s">
        <v>7064</v>
      </c>
      <c r="C1810" s="7" t="s">
        <v>7065</v>
      </c>
      <c r="D1810" s="8" t="str">
        <f>Q&amp;$K1810&amp;Q&amp;":{"&amp;Q&amp;$B$2&amp;Q&amp;":"&amp;Q&amp;$B1810&amp;Q&amp;","&amp;Q&amp;$C$2&amp;Q&amp;":"&amp;Q&amp;$C1810&amp;Q&amp;","&amp;Q&amp;"sets"&amp;Q&amp;":"&amp;Q&amp;substitute(SUBSTITUTE($H1810,"[",""),"]","")&amp;Q&amp;"},"</f>
        <v>"mrwr":{"label":"Woody Allen","extra":"1935-, American comedian, actor and director, of Bananas, Annie Hall, Hannah and Her Sisters, and lots of New York Stories.","sets":"Expansion Set 2, Party Set"},</v>
      </c>
      <c r="E1810" s="9" t="str">
        <f t="shared" si="2"/>
        <v>data:image/svg+xml,%3csvg xmlns='http://www.w3.org/2000/svg' viewBox='0 0 24 216'%3e%3ctext fill='%23fff' style='font: 900 16px sans-serif' text-anchor='end' transform='matrix(0 -1 1 0 18 5)'%3eWoody Allen%3c/text%3e%3c/svg%3e</v>
      </c>
      <c r="F1810" s="14" t="str">
        <f t="shared" si="3"/>
        <v>https://svgtext.heliohost.us/cgi-bin/gen.perl?text=Woody%20Allen</v>
      </c>
      <c r="G1810" s="11" t="str">
        <f t="shared" si="4"/>
        <v>data:image/svg+xml,%3csvg xmlns='http://www.w3.org/2000/svg' viewBox='0 0 24 216'%3e%3ctext fill='%23fff' style='font: 900 16px sans-serif' text-anchor='end' transform='matrix(0 -1 1 0 18 5)'%3eWoody Allen%3c/text%3e%3c/svg%3e</v>
      </c>
      <c r="H1810" s="8" t="s">
        <v>17</v>
      </c>
      <c r="I1810" s="8">
        <f t="shared" ref="I1810:J1810" si="1811">len(B1810)</f>
        <v>11</v>
      </c>
      <c r="J1810" s="8">
        <f t="shared" si="1811"/>
        <v>123</v>
      </c>
      <c r="K1810" s="8" t="s">
        <v>7066</v>
      </c>
    </row>
    <row r="1811">
      <c r="A1811" s="7" t="b">
        <v>1</v>
      </c>
      <c r="B1811" s="8" t="s">
        <v>7067</v>
      </c>
      <c r="C1811" s="8" t="s">
        <v>7068</v>
      </c>
      <c r="D1811" s="8" t="str">
        <f>Q&amp;$K1811&amp;Q&amp;":{"&amp;Q&amp;$B$2&amp;Q&amp;":"&amp;Q&amp;$B1811&amp;Q&amp;","&amp;Q&amp;$C$2&amp;Q&amp;":"&amp;Q&amp;$C1811&amp;Q&amp;","&amp;Q&amp;"sets"&amp;Q&amp;":"&amp;Q&amp;substitute(SUBSTITUTE($H1811,"[",""),"]","")&amp;Q&amp;"},"</f>
        <v>"dnui":{"label":"Woolly Mammoth","extra":"These large hairy elephants are now extinct.","sets":"Junior 9+ (2nd)"},</v>
      </c>
      <c r="E1811" s="9" t="str">
        <f t="shared" si="2"/>
        <v>data:image/svg+xml,%3csvg xmlns='http://www.w3.org/2000/svg' viewBox='0 0 24 216'%3e%3ctext fill='%23fff' style='font: 900 16px sans-serif' text-anchor='end' transform='matrix(0 -1 1 0 18 5)'%3eWoolly Mammoth%3c/text%3e%3c/svg%3e</v>
      </c>
      <c r="F1811" s="14" t="str">
        <f t="shared" si="3"/>
        <v>https://svgtext.heliohost.us/cgi-bin/gen.perl?text=Woolly%20Mammoth</v>
      </c>
      <c r="G1811" s="11" t="str">
        <f t="shared" si="4"/>
        <v>data:image/svg+xml,%3csvg xmlns='http://www.w3.org/2000/svg' viewBox='0 0 24 216'%3e%3ctext fill='%23fff' style='font: 900 16px sans-serif' text-anchor='end' transform='matrix(0 -1 1 0 18 5)'%3eWoolly Mammoth%3c/text%3e%3c/svg%3e</v>
      </c>
      <c r="H1811" s="8" t="s">
        <v>32</v>
      </c>
      <c r="I1811" s="8">
        <f t="shared" ref="I1811:J1811" si="1812">len(B1811)</f>
        <v>14</v>
      </c>
      <c r="J1811" s="8">
        <f t="shared" si="1812"/>
        <v>44</v>
      </c>
      <c r="K1811" s="8" t="s">
        <v>7069</v>
      </c>
    </row>
    <row r="1812">
      <c r="A1812" s="7" t="b">
        <v>1</v>
      </c>
      <c r="B1812" s="8" t="s">
        <v>7070</v>
      </c>
      <c r="C1812" s="7" t="s">
        <v>3839</v>
      </c>
      <c r="D1812" s="8" t="str">
        <f>Q&amp;$K1812&amp;Q&amp;":{"&amp;Q&amp;$B$2&amp;Q&amp;":"&amp;Q&amp;$B1812&amp;Q&amp;","&amp;Q&amp;$C$2&amp;Q&amp;":"&amp;Q&amp;$C1812&amp;Q&amp;","&amp;Q&amp;"sets"&amp;Q&amp;":"&amp;Q&amp;substitute(SUBSTITUTE($H1812,"[",""),"]","")&amp;Q&amp;"},"</f>
        <v>"mjiu":{"label":"Working Out","extra":"No pain, no gain.","sets":"Expansion Set 3, Party Expansion 1"},</v>
      </c>
      <c r="E1812" s="9" t="str">
        <f t="shared" si="2"/>
        <v>data:image/svg+xml,%3csvg xmlns='http://www.w3.org/2000/svg' viewBox='0 0 24 216'%3e%3ctext fill='%23fff' style='font: 900 16px sans-serif' text-anchor='end' transform='matrix(0 -1 1 0 18 5)'%3eWorking Out%3c/text%3e%3c/svg%3e</v>
      </c>
      <c r="F1812" s="14" t="str">
        <f t="shared" si="3"/>
        <v>https://svgtext.heliohost.us/cgi-bin/gen.perl?text=Working%20Out</v>
      </c>
      <c r="G1812" s="11" t="str">
        <f t="shared" si="4"/>
        <v>data:image/svg+xml,%3csvg xmlns='http://www.w3.org/2000/svg' viewBox='0 0 24 216'%3e%3ctext fill='%23fff' style='font: 900 16px sans-serif' text-anchor='end' transform='matrix(0 -1 1 0 18 5)'%3eWorking Out%3c/text%3e%3c/svg%3e</v>
      </c>
      <c r="H1812" s="8" t="s">
        <v>39</v>
      </c>
      <c r="I1812" s="8">
        <f t="shared" ref="I1812:J1812" si="1813">len(B1812)</f>
        <v>11</v>
      </c>
      <c r="J1812" s="8">
        <f t="shared" si="1813"/>
        <v>17</v>
      </c>
      <c r="K1812" s="8" t="s">
        <v>7071</v>
      </c>
    </row>
    <row r="1813">
      <c r="A1813" s="7" t="b">
        <v>0</v>
      </c>
      <c r="B1813" s="8" t="s">
        <v>7072</v>
      </c>
      <c r="C1813" s="7" t="s">
        <v>7073</v>
      </c>
      <c r="D1813" s="8" t="str">
        <f>Q&amp;$K1813&amp;Q&amp;":{"&amp;Q&amp;$B$2&amp;Q&amp;":"&amp;Q&amp;$B1813&amp;Q&amp;","&amp;Q&amp;$C$2&amp;Q&amp;":"&amp;Q&amp;$C1813&amp;Q&amp;","&amp;Q&amp;"sets"&amp;Q&amp;":"&amp;Q&amp;substitute(SUBSTITUTE($H1813,"[",""),"]","")&amp;Q&amp;"},"</f>
        <v>"qedl":{"label":"Worms","extra":"“A man may fish with the worm that hath eat of a king, and eat of the fish that has fed of that worm.” —“Hamlet” Shakespeare","sets":"Basic Set, Party Set"},</v>
      </c>
      <c r="E1813" s="9" t="str">
        <f t="shared" si="2"/>
        <v>data:image/svg+xml,%3csvg xmlns='http://www.w3.org/2000/svg' viewBox='0 0 24 216'%3e%3ctext fill='%23fff' style='font: 900 16px sans-serif' text-anchor='end' transform='matrix(0 -1 1 0 18 5)'%3eWorms%3c/text%3e%3c/svg%3e</v>
      </c>
      <c r="F1813" s="14" t="str">
        <f t="shared" si="3"/>
        <v>https://svgtext.heliohost.us/cgi-bin/gen.perl?text=Worms</v>
      </c>
      <c r="G1813" s="11" t="str">
        <f t="shared" si="4"/>
        <v>data:image/svg+xml,%3csvg xmlns='http://www.w3.org/2000/svg' viewBox='0 0 24 216'%3e%3ctext fill='%23fff' style='font: 900 16px sans-serif' text-anchor='end' transform='matrix(0 -1 1 0 18 5)'%3eWorms%3c/text%3e%3c/svg%3e</v>
      </c>
      <c r="H1813" s="8" t="s">
        <v>29</v>
      </c>
      <c r="I1813" s="8">
        <f t="shared" ref="I1813:J1813" si="1814">len(B1813)</f>
        <v>5</v>
      </c>
      <c r="J1813" s="8">
        <f t="shared" si="1814"/>
        <v>124</v>
      </c>
      <c r="K1813" s="8" t="s">
        <v>7074</v>
      </c>
    </row>
    <row r="1814">
      <c r="A1814" s="7" t="b">
        <v>1</v>
      </c>
      <c r="B1814" s="8" t="s">
        <v>7072</v>
      </c>
      <c r="C1814" s="8" t="s">
        <v>7075</v>
      </c>
      <c r="D1814" s="8" t="str">
        <f>Q&amp;$K1814&amp;Q&amp;":{"&amp;Q&amp;$B$2&amp;Q&amp;":"&amp;Q&amp;$B1814&amp;Q&amp;","&amp;Q&amp;$C$2&amp;Q&amp;":"&amp;Q&amp;$C1814&amp;Q&amp;","&amp;Q&amp;"sets"&amp;Q&amp;":"&amp;Q&amp;substitute(SUBSTITUTE($H1814,"[",""),"]","")&amp;Q&amp;"},"</f>
        <v>"emvz":{"label":"Worms","extra":"A favorite food of robins.","sets":"Junior"},</v>
      </c>
      <c r="E1814" s="9" t="str">
        <f t="shared" si="2"/>
        <v>data:image/svg+xml,%3csvg xmlns='http://www.w3.org/2000/svg' viewBox='0 0 24 216'%3e%3ctext fill='%23fff' style='font: 900 16px sans-serif' text-anchor='end' transform='matrix(0 -1 1 0 18 5)'%3eWorms%3c/text%3e%3c/svg%3e</v>
      </c>
      <c r="F1814" s="14" t="str">
        <f t="shared" si="3"/>
        <v>https://svgtext.heliohost.us/cgi-bin/gen.perl?text=Worms</v>
      </c>
      <c r="G1814" s="11" t="str">
        <f t="shared" si="4"/>
        <v>data:image/svg+xml,%3csvg xmlns='http://www.w3.org/2000/svg' viewBox='0 0 24 216'%3e%3ctext fill='%23fff' style='font: 900 16px sans-serif' text-anchor='end' transform='matrix(0 -1 1 0 18 5)'%3eWorms%3c/text%3e%3c/svg%3e</v>
      </c>
      <c r="H1814" s="8" t="s">
        <v>84</v>
      </c>
      <c r="I1814" s="8">
        <f t="shared" ref="I1814:J1814" si="1815">len(B1814)</f>
        <v>5</v>
      </c>
      <c r="J1814" s="8">
        <f t="shared" si="1815"/>
        <v>26</v>
      </c>
      <c r="K1814" s="8" t="s">
        <v>7076</v>
      </c>
    </row>
    <row r="1815">
      <c r="A1815" s="7" t="b">
        <v>1</v>
      </c>
      <c r="B1815" s="8" t="s">
        <v>7077</v>
      </c>
      <c r="C1815" s="8" t="s">
        <v>7078</v>
      </c>
      <c r="D1815" s="8" t="str">
        <f>Q&amp;$K1815&amp;Q&amp;":{"&amp;Q&amp;$B$2&amp;Q&amp;":"&amp;Q&amp;$B1815&amp;Q&amp;","&amp;Q&amp;$C$2&amp;Q&amp;":"&amp;Q&amp;$C1815&amp;Q&amp;","&amp;Q&amp;"sets"&amp;Q&amp;":"&amp;Q&amp;substitute(SUBSTITUTE($H1815,"[",""),"]","")&amp;Q&amp;"},"</f>
        <v>"zpfi":{"label":"Wrestling","extra":"A sport where two people try to force each other to the ground. No hitting allowed.","sets":"Junior 9+ (1st) &amp; (2nd)"},</v>
      </c>
      <c r="E1815" s="9" t="str">
        <f t="shared" si="2"/>
        <v>data:image/svg+xml,%3csvg xmlns='http://www.w3.org/2000/svg' viewBox='0 0 24 216'%3e%3ctext fill='%23fff' style='font: 900 16px sans-serif' text-anchor='end' transform='matrix(0 -1 1 0 18 5)'%3eWrestling%3c/text%3e%3c/svg%3e</v>
      </c>
      <c r="F1815" s="14" t="str">
        <f t="shared" si="3"/>
        <v>https://svgtext.heliohost.us/cgi-bin/gen.perl?text=Wrestling</v>
      </c>
      <c r="G1815" s="11" t="str">
        <f t="shared" si="4"/>
        <v>data:image/svg+xml,%3csvg xmlns='http://www.w3.org/2000/svg' viewBox='0 0 24 216'%3e%3ctext fill='%23fff' style='font: 900 16px sans-serif' text-anchor='end' transform='matrix(0 -1 1 0 18 5)'%3eWrestling%3c/text%3e%3c/svg%3e</v>
      </c>
      <c r="H1815" s="8" t="s">
        <v>42</v>
      </c>
      <c r="I1815" s="8">
        <f t="shared" ref="I1815:J1815" si="1816">len(B1815)</f>
        <v>9</v>
      </c>
      <c r="J1815" s="8">
        <f t="shared" si="1816"/>
        <v>83</v>
      </c>
      <c r="K1815" s="8" t="s">
        <v>7079</v>
      </c>
    </row>
    <row r="1816">
      <c r="A1816" s="7" t="b">
        <v>1</v>
      </c>
      <c r="B1816" s="8" t="s">
        <v>7080</v>
      </c>
      <c r="C1816" s="8" t="s">
        <v>7081</v>
      </c>
      <c r="D1816" s="8" t="str">
        <f>Q&amp;$K1816&amp;Q&amp;":{"&amp;Q&amp;$B$2&amp;Q&amp;":"&amp;Q&amp;$B1816&amp;Q&amp;","&amp;Q&amp;$C$2&amp;Q&amp;":"&amp;Q&amp;$C1816&amp;Q&amp;","&amp;Q&amp;"sets"&amp;Q&amp;":"&amp;Q&amp;substitute(SUBSTITUTE($H1816,"[",""),"]","")&amp;Q&amp;"},"</f>
        <v>"junw":{"label":"Writing A Letter","extra":"Dear Mom, How are you? I am fine.","sets":"Junior 9+ (1st) &amp; (2nd)"},</v>
      </c>
      <c r="E1816" s="9" t="str">
        <f t="shared" si="2"/>
        <v>data:image/svg+xml,%3csvg xmlns='http://www.w3.org/2000/svg' viewBox='0 0 24 216'%3e%3ctext fill='%23fff' style='font: 900 16px sans-serif' text-anchor='end' transform='matrix(0 -1 1 0 18 5)'%3eWriting A Letter%3c/text%3e%3c/svg%3e</v>
      </c>
      <c r="F1816" s="14" t="str">
        <f t="shared" si="3"/>
        <v>https://svgtext.heliohost.us/cgi-bin/gen.perl?text=Writing%20A%20Letter</v>
      </c>
      <c r="G1816" s="11" t="str">
        <f t="shared" si="4"/>
        <v>data:image/svg+xml,%3csvg xmlns='http://www.w3.org/2000/svg' viewBox='0 0 24 216'%3e%3ctext fill='%23fff' style='font: 900 16px sans-serif' text-anchor='end' transform='matrix(0 -1 1 0 18 5)'%3eWriting A Letter%3c/text%3e%3c/svg%3e</v>
      </c>
      <c r="H1816" s="8" t="s">
        <v>42</v>
      </c>
      <c r="I1816" s="8">
        <f t="shared" ref="I1816:J1816" si="1817">len(B1816)</f>
        <v>16</v>
      </c>
      <c r="J1816" s="8">
        <f t="shared" si="1817"/>
        <v>33</v>
      </c>
      <c r="K1816" s="8" t="s">
        <v>7082</v>
      </c>
    </row>
    <row r="1817">
      <c r="A1817" s="7" t="b">
        <v>0</v>
      </c>
      <c r="B1817" s="8" t="s">
        <v>7083</v>
      </c>
      <c r="C1817" s="7" t="s">
        <v>7084</v>
      </c>
      <c r="D1817" s="8" t="str">
        <f>Q&amp;$K1817&amp;Q&amp;":{"&amp;Q&amp;$B$2&amp;Q&amp;":"&amp;Q&amp;$B1817&amp;Q&amp;","&amp;Q&amp;$C$2&amp;Q&amp;":"&amp;Q&amp;$C1817&amp;Q&amp;","&amp;Q&amp;"sets"&amp;Q&amp;":"&amp;Q&amp;substitute(SUBSTITUTE($H1817,"[",""),"]","")&amp;Q&amp;"},"</f>
        <v>"dtwz":{"label":"X-Ray Vision","extra":"Available to Superman for emergency use only.","sets":"Expansion Set 1, Party Set"},</v>
      </c>
      <c r="E1817" s="9" t="str">
        <f t="shared" si="2"/>
        <v>data:image/svg+xml,%3csvg xmlns='http://www.w3.org/2000/svg' viewBox='0 0 24 216'%3e%3ctext fill='%23fff' style='font: 900 16px sans-serif' text-anchor='end' transform='matrix(0 -1 1 0 18 5)'%3eX-Ray Vision%3c/text%3e%3c/svg%3e</v>
      </c>
      <c r="F1817" s="14" t="str">
        <f t="shared" si="3"/>
        <v>https://svgtext.heliohost.us/cgi-bin/gen.perl?text=X-Ray%20Vision</v>
      </c>
      <c r="G1817" s="11" t="str">
        <f t="shared" si="4"/>
        <v>data:image/svg+xml,%3csvg xmlns='http://www.w3.org/2000/svg' viewBox='0 0 24 216'%3e%3ctext fill='%23fff' style='font: 900 16px sans-serif' text-anchor='end' transform='matrix(0 -1 1 0 18 5)'%3eX-Ray Vision%3c/text%3e%3c/svg%3e</v>
      </c>
      <c r="H1817" s="8" t="s">
        <v>25</v>
      </c>
      <c r="I1817" s="8">
        <f t="shared" ref="I1817:J1817" si="1818">len(B1817)</f>
        <v>12</v>
      </c>
      <c r="J1817" s="8">
        <f t="shared" si="1818"/>
        <v>45</v>
      </c>
      <c r="K1817" s="8" t="s">
        <v>7085</v>
      </c>
    </row>
    <row r="1818">
      <c r="A1818" s="7" t="b">
        <v>0</v>
      </c>
      <c r="B1818" s="8" t="s">
        <v>7086</v>
      </c>
      <c r="C1818" s="7" t="s">
        <v>7087</v>
      </c>
      <c r="D1818" s="8" t="str">
        <f>Q&amp;$K1818&amp;Q&amp;":{"&amp;Q&amp;$B$2&amp;Q&amp;":"&amp;Q&amp;$B1818&amp;Q&amp;","&amp;Q&amp;$C$2&amp;Q&amp;":"&amp;Q&amp;$C1818&amp;Q&amp;","&amp;Q&amp;"sets"&amp;Q&amp;":"&amp;Q&amp;substitute(SUBSTITUTE($H1818,"[",""),"]","")&amp;Q&amp;"},"</f>
        <v>"ffux":{"label":"X-Rays","extra":"X-Rays were discovered in 1895 by the German physicist Wilhelm Conrad Roentgen. Now if they could just get those X-ray glasses down.","sets":"Expansion Set 2, Party Set"},</v>
      </c>
      <c r="E1818" s="9" t="str">
        <f t="shared" si="2"/>
        <v>data:image/svg+xml,%3csvg xmlns='http://www.w3.org/2000/svg' viewBox='0 0 24 216'%3e%3ctext fill='%23fff' style='font: 900 16px sans-serif' text-anchor='end' transform='matrix(0 -1 1 0 18 5)'%3eX-Rays%3c/text%3e%3c/svg%3e</v>
      </c>
      <c r="F1818" s="14" t="str">
        <f t="shared" si="3"/>
        <v>https://svgtext.heliohost.us/cgi-bin/gen.perl?text=X-Rays</v>
      </c>
      <c r="G1818" s="11" t="str">
        <f t="shared" si="4"/>
        <v>data:image/svg+xml,%3csvg xmlns='http://www.w3.org/2000/svg' viewBox='0 0 24 216'%3e%3ctext fill='%23fff' style='font: 900 16px sans-serif' text-anchor='end' transform='matrix(0 -1 1 0 18 5)'%3eX-Rays%3c/text%3e%3c/svg%3e</v>
      </c>
      <c r="H1818" s="8" t="s">
        <v>17</v>
      </c>
      <c r="I1818" s="8">
        <f t="shared" ref="I1818:J1818" si="1819">len(B1818)</f>
        <v>6</v>
      </c>
      <c r="J1818" s="8">
        <f t="shared" si="1819"/>
        <v>132</v>
      </c>
      <c r="K1818" s="8" t="s">
        <v>7088</v>
      </c>
    </row>
    <row r="1819">
      <c r="A1819" s="7" t="b">
        <v>0</v>
      </c>
      <c r="B1819" s="8" t="s">
        <v>7089</v>
      </c>
      <c r="C1819" s="8" t="s">
        <v>7090</v>
      </c>
      <c r="D1819" s="8" t="str">
        <f>Q&amp;$K1819&amp;Q&amp;":{"&amp;Q&amp;$B$2&amp;Q&amp;":"&amp;Q&amp;$B1819&amp;Q&amp;","&amp;Q&amp;$C$2&amp;Q&amp;":"&amp;Q&amp;$C1819&amp;Q&amp;","&amp;Q&amp;"sets"&amp;Q&amp;":"&amp;Q&amp;substitute(SUBSTITUTE($H1819,"[",""),"]","")&amp;Q&amp;"},"</f>
        <v>"w{of":{"label":"Xena, Warrior Princess","extra":"Popular TV fantasy, adventure program. Xena, played by Lucy Lawless, and her friend Gabrielle, seek adventure and fight evil.","sets":"Expansion Set 3, Party Expansion 1"},</v>
      </c>
      <c r="E1819" s="9" t="str">
        <f t="shared" si="2"/>
        <v>data:image/svg+xml,%3csvg xmlns='http://www.w3.org/2000/svg' viewBox='0 0 24 216'%3e%3ctext fill='%23fff' style='font: 900 16px sans-serif' text-anchor='end' transform='matrix(0 -1 1 0 18 5)'%3eXena%2C Warrior Princess%3c/text%3e%3c/svg%3e</v>
      </c>
      <c r="F1819" s="14" t="str">
        <f t="shared" si="3"/>
        <v>https://svgtext.heliohost.us/cgi-bin/gen.perl?text=Xena%2C%20Warrior%20Princess</v>
      </c>
      <c r="G1819" s="11" t="str">
        <f t="shared" si="4"/>
        <v>data:image/svg+xml,%3csvg xmlns='http://www.w3.org/2000/svg' viewBox='0 0 24 216'%3e%3ctext fill='%23fff' style='font: 900 16px sans-serif' text-anchor='end' transform='matrix(0 -1 1 0 18 5)'%3eXena%2C Warrior Princess%3c/text%3e%3c/svg%3e</v>
      </c>
      <c r="H1819" s="8" t="s">
        <v>39</v>
      </c>
      <c r="I1819" s="8">
        <f t="shared" ref="I1819:J1819" si="1820">len(B1819)</f>
        <v>22</v>
      </c>
      <c r="J1819" s="8">
        <f t="shared" si="1820"/>
        <v>125</v>
      </c>
      <c r="K1819" s="8" t="s">
        <v>7091</v>
      </c>
    </row>
    <row r="1820">
      <c r="A1820" s="7" t="b">
        <v>0</v>
      </c>
      <c r="B1820" s="8" t="s">
        <v>7092</v>
      </c>
      <c r="C1820" s="8" t="s">
        <v>7093</v>
      </c>
      <c r="D1820" s="8" t="str">
        <f>Q&amp;$K1820&amp;Q&amp;":{"&amp;Q&amp;$B$2&amp;Q&amp;":"&amp;Q&amp;$B1820&amp;Q&amp;","&amp;Q&amp;$C$2&amp;Q&amp;":"&amp;Q&amp;$C1820&amp;Q&amp;","&amp;Q&amp;"sets"&amp;Q&amp;":"&amp;Q&amp;substitute(SUBSTITUTE($H1820,"[",""),"]","")&amp;Q&amp;"},"</f>
        <v>"wtgx":{"label":"Yellowstone Park","extra":"Home to 3000 geysers and hot springs. More gas and hot air than Washington, D.C.","sets":"Basic Set, Party Set"},</v>
      </c>
      <c r="E1820" s="9" t="str">
        <f t="shared" si="2"/>
        <v>data:image/svg+xml,%3csvg xmlns='http://www.w3.org/2000/svg' viewBox='0 0 24 216'%3e%3ctext fill='%23fff' style='font: 900 16px sans-serif' text-anchor='end' transform='matrix(0 -1 1 0 18 5)'%3eYellowstone Park%3c/text%3e%3c/svg%3e</v>
      </c>
      <c r="F1820" s="14" t="str">
        <f t="shared" si="3"/>
        <v>https://svgtext.heliohost.us/cgi-bin/gen.perl?text=Yellowstone%20Park</v>
      </c>
      <c r="G1820" s="11" t="str">
        <f t="shared" si="4"/>
        <v>data:image/svg+xml,%3csvg xmlns='http://www.w3.org/2000/svg' viewBox='0 0 24 216'%3e%3ctext fill='%23fff' style='font: 900 16px sans-serif' text-anchor='end' transform='matrix(0 -1 1 0 18 5)'%3eYellowstone Park%3c/text%3e%3c/svg%3e</v>
      </c>
      <c r="H1820" s="8" t="s">
        <v>29</v>
      </c>
      <c r="I1820" s="8">
        <f t="shared" ref="I1820:J1820" si="1821">len(B1820)</f>
        <v>16</v>
      </c>
      <c r="J1820" s="8">
        <f t="shared" si="1821"/>
        <v>80</v>
      </c>
      <c r="K1820" s="8" t="s">
        <v>7094</v>
      </c>
    </row>
    <row r="1821">
      <c r="A1821" s="7" t="b">
        <v>1</v>
      </c>
      <c r="B1821" s="8" t="s">
        <v>7095</v>
      </c>
      <c r="C1821" s="7" t="s">
        <v>7096</v>
      </c>
      <c r="D1821" s="8" t="str">
        <f>Q&amp;$K1821&amp;Q&amp;":{"&amp;Q&amp;$B$2&amp;Q&amp;":"&amp;Q&amp;$B1821&amp;Q&amp;","&amp;Q&amp;$C$2&amp;Q&amp;":"&amp;Q&amp;$C1821&amp;Q&amp;","&amp;Q&amp;"sets"&amp;Q&amp;":"&amp;Q&amp;substitute(SUBSTITUTE($H1821,"[",""),"]","")&amp;Q&amp;"},"</f>
        <v>"gous":{"label":"Yin &amp; Yang","extra":"Two elements that oppose each other and give life balance. If you're lucky.","sets":"Expansion Set 4, Party Expansion 1"},</v>
      </c>
      <c r="E1821" s="9" t="str">
        <f t="shared" si="2"/>
        <v>data:image/svg+xml,%3csvg xmlns='http://www.w3.org/2000/svg' viewBox='0 0 24 216'%3e%3ctext fill='%23fff' style='font: 900 16px sans-serif' text-anchor='end' transform='matrix(0 -1 1 0 18 5)'%3eYin %26amp%3B Yang%3c/text%3e%3c/svg%3e</v>
      </c>
      <c r="F1821" s="14" t="str">
        <f t="shared" si="3"/>
        <v>https://svgtext.heliohost.us/cgi-bin/gen.perl?text=Yin%20%26%20Yang</v>
      </c>
      <c r="G1821" s="11" t="str">
        <f t="shared" si="4"/>
        <v>data:image/svg+xml,%3csvg xmlns='http://www.w3.org/2000/svg' viewBox='0 0 24 216'%3e%3ctext fill='%23fff' style='font: 900 16px sans-serif' text-anchor='end' transform='matrix(0 -1 1 0 18 5)'%3eYin %26amp%3B Yang%3c/text%3e%3c/svg%3e</v>
      </c>
      <c r="H1821" s="8" t="s">
        <v>63</v>
      </c>
      <c r="I1821" s="8">
        <f t="shared" ref="I1821:J1821" si="1822">len(B1821)</f>
        <v>10</v>
      </c>
      <c r="J1821" s="8">
        <f t="shared" si="1822"/>
        <v>75</v>
      </c>
      <c r="K1821" s="8" t="s">
        <v>7097</v>
      </c>
    </row>
    <row r="1822">
      <c r="A1822" s="7" t="b">
        <v>1</v>
      </c>
      <c r="B1822" s="8" t="s">
        <v>7098</v>
      </c>
      <c r="C1822" s="8" t="s">
        <v>7099</v>
      </c>
      <c r="D1822" s="8" t="str">
        <f>Q&amp;$K1822&amp;Q&amp;":{"&amp;Q&amp;$B$2&amp;Q&amp;":"&amp;Q&amp;$B1822&amp;Q&amp;","&amp;Q&amp;$C$2&amp;Q&amp;":"&amp;Q&amp;$C1822&amp;Q&amp;","&amp;Q&amp;"sets"&amp;Q&amp;":"&amp;Q&amp;substitute(SUBSTITUTE($H1822,"[",""),"]","")&amp;Q&amp;"},"</f>
        <v>"gqkv":{"label":"Yo-Yos","extra":"There are lots of tricks that you can do with a yo-yo.","sets":"Junior"},</v>
      </c>
      <c r="E1822" s="9" t="str">
        <f t="shared" si="2"/>
        <v>data:image/svg+xml,%3csvg xmlns='http://www.w3.org/2000/svg' viewBox='0 0 24 216'%3e%3ctext fill='%23fff' style='font: 900 16px sans-serif' text-anchor='end' transform='matrix(0 -1 1 0 18 5)'%3eYo-Yos%3c/text%3e%3c/svg%3e</v>
      </c>
      <c r="F1822" s="14" t="str">
        <f t="shared" si="3"/>
        <v>https://svgtext.heliohost.us/cgi-bin/gen.perl?text=Yo-Yos</v>
      </c>
      <c r="G1822" s="11" t="str">
        <f t="shared" si="4"/>
        <v>data:image/svg+xml,%3csvg xmlns='http://www.w3.org/2000/svg' viewBox='0 0 24 216'%3e%3ctext fill='%23fff' style='font: 900 16px sans-serif' text-anchor='end' transform='matrix(0 -1 1 0 18 5)'%3eYo-Yos%3c/text%3e%3c/svg%3e</v>
      </c>
      <c r="H1822" s="8" t="s">
        <v>84</v>
      </c>
      <c r="I1822" s="8">
        <f t="shared" ref="I1822:J1822" si="1823">len(B1822)</f>
        <v>6</v>
      </c>
      <c r="J1822" s="8">
        <f t="shared" si="1823"/>
        <v>54</v>
      </c>
      <c r="K1822" s="8" t="s">
        <v>7100</v>
      </c>
    </row>
    <row r="1823">
      <c r="A1823" s="7" t="b">
        <v>1</v>
      </c>
      <c r="B1823" s="8" t="s">
        <v>7101</v>
      </c>
      <c r="C1823" s="8" t="s">
        <v>7102</v>
      </c>
      <c r="D1823" s="8" t="str">
        <f>Q&amp;$K1823&amp;Q&amp;":{"&amp;Q&amp;$B$2&amp;Q&amp;":"&amp;Q&amp;$B1823&amp;Q&amp;","&amp;Q&amp;$C$2&amp;Q&amp;":"&amp;Q&amp;$C1823&amp;Q&amp;","&amp;Q&amp;"sets"&amp;Q&amp;":"&amp;Q&amp;substitute(SUBSTITUTE($H1823,"[",""),"]","")&amp;Q&amp;"},"</f>
        <v>"mxcz":{"label":"Zebras","extra":"The stripes on each zebra are in a slightly different pattern.","sets":"Junior 9+ (2nd)"},</v>
      </c>
      <c r="E1823" s="9" t="str">
        <f t="shared" si="2"/>
        <v>data:image/svg+xml,%3csvg xmlns='http://www.w3.org/2000/svg' viewBox='0 0 24 216'%3e%3ctext fill='%23fff' style='font: 900 16px sans-serif' text-anchor='end' transform='matrix(0 -1 1 0 18 5)'%3eZebras%3c/text%3e%3c/svg%3e</v>
      </c>
      <c r="F1823" s="14" t="str">
        <f t="shared" si="3"/>
        <v>https://svgtext.heliohost.us/cgi-bin/gen.perl?text=Zebras</v>
      </c>
      <c r="G1823" s="11" t="str">
        <f t="shared" si="4"/>
        <v>data:image/svg+xml,%3csvg xmlns='http://www.w3.org/2000/svg' viewBox='0 0 24 216'%3e%3ctext fill='%23fff' style='font: 900 16px sans-serif' text-anchor='end' transform='matrix(0 -1 1 0 18 5)'%3eZebras%3c/text%3e%3c/svg%3e</v>
      </c>
      <c r="H1823" s="8" t="s">
        <v>32</v>
      </c>
      <c r="I1823" s="8">
        <f t="shared" ref="I1823:J1823" si="1824">len(B1823)</f>
        <v>6</v>
      </c>
      <c r="J1823" s="8">
        <f t="shared" si="1824"/>
        <v>62</v>
      </c>
      <c r="K1823" s="8" t="s">
        <v>7103</v>
      </c>
    </row>
    <row r="1824">
      <c r="A1824" s="7" t="b">
        <v>0</v>
      </c>
      <c r="B1824" s="8" t="s">
        <v>7104</v>
      </c>
      <c r="C1824" s="8" t="s">
        <v>7105</v>
      </c>
      <c r="D1824" s="8" t="str">
        <f>Q&amp;$K1824&amp;Q&amp;":{"&amp;Q&amp;$B$2&amp;Q&amp;":"&amp;Q&amp;$B1824&amp;Q&amp;","&amp;Q&amp;$C$2&amp;Q&amp;":"&amp;Q&amp;$C1824&amp;Q&amp;","&amp;Q&amp;"sets"&amp;Q&amp;":"&amp;Q&amp;substitute(SUBSTITUTE($H1824,"[",""),"]","")&amp;Q&amp;"},"</f>
        <v>"xnlf":{"label":"Zen","extra":"Japanese form of Buddhism, originated in China. Zen again, maybe not.","sets":"Expansion Set 1, Party Set"},</v>
      </c>
      <c r="E1824" s="9" t="str">
        <f t="shared" si="2"/>
        <v>data:image/svg+xml,%3csvg xmlns='http://www.w3.org/2000/svg' viewBox='0 0 24 216'%3e%3ctext fill='%23fff' style='font: 900 16px sans-serif' text-anchor='end' transform='matrix(0 -1 1 0 18 5)'%3eZen%3c/text%3e%3c/svg%3e</v>
      </c>
      <c r="F1824" s="14" t="str">
        <f t="shared" si="3"/>
        <v>https://svgtext.heliohost.us/cgi-bin/gen.perl?text=Zen</v>
      </c>
      <c r="G1824" s="11" t="str">
        <f t="shared" si="4"/>
        <v>data:image/svg+xml,%3csvg xmlns='http://www.w3.org/2000/svg' viewBox='0 0 24 216'%3e%3ctext fill='%23fff' style='font: 900 16px sans-serif' text-anchor='end' transform='matrix(0 -1 1 0 18 5)'%3eZen%3c/text%3e%3c/svg%3e</v>
      </c>
      <c r="H1824" s="8" t="s">
        <v>25</v>
      </c>
      <c r="I1824" s="8">
        <f t="shared" ref="I1824:J1824" si="1825">len(B1824)</f>
        <v>3</v>
      </c>
      <c r="J1824" s="8">
        <f t="shared" si="1825"/>
        <v>69</v>
      </c>
      <c r="K1824" s="8" t="s">
        <v>7106</v>
      </c>
    </row>
    <row r="1825">
      <c r="A1825" s="7" t="b">
        <v>1</v>
      </c>
      <c r="B1825" s="8" t="s">
        <v>7107</v>
      </c>
      <c r="C1825" s="7" t="s">
        <v>7108</v>
      </c>
      <c r="D1825" s="8" t="str">
        <f>Q&amp;$K1825&amp;Q&amp;":{"&amp;Q&amp;$B$2&amp;Q&amp;":"&amp;Q&amp;$B1825&amp;Q&amp;","&amp;Q&amp;$C$2&amp;Q&amp;":"&amp;Q&amp;$C1825&amp;Q&amp;","&amp;Q&amp;"sets"&amp;Q&amp;":"&amp;Q&amp;substitute(SUBSTITUTE($H1825,"[",""),"]","")&amp;Q&amp;"},"</f>
        <v>"cprr":{"label":"Zippers","extra":"Zip it, zip it good.","sets":"Expansion Set 3, Party Expansion 1"},</v>
      </c>
      <c r="E1825" s="9" t="str">
        <f t="shared" si="2"/>
        <v>data:image/svg+xml,%3csvg xmlns='http://www.w3.org/2000/svg' viewBox='0 0 24 216'%3e%3ctext fill='%23fff' style='font: 900 16px sans-serif' text-anchor='end' transform='matrix(0 -1 1 0 18 5)'%3eZippers%3c/text%3e%3c/svg%3e</v>
      </c>
      <c r="F1825" s="14" t="str">
        <f t="shared" si="3"/>
        <v>https://svgtext.heliohost.us/cgi-bin/gen.perl?text=Zippers</v>
      </c>
      <c r="G1825" s="11" t="str">
        <f t="shared" si="4"/>
        <v>data:image/svg+xml,%3csvg xmlns='http://www.w3.org/2000/svg' viewBox='0 0 24 216'%3e%3ctext fill='%23fff' style='font: 900 16px sans-serif' text-anchor='end' transform='matrix(0 -1 1 0 18 5)'%3eZippers%3c/text%3e%3c/svg%3e</v>
      </c>
      <c r="H1825" s="8" t="s">
        <v>39</v>
      </c>
      <c r="I1825" s="8">
        <f t="shared" ref="I1825:J1825" si="1826">len(B1825)</f>
        <v>7</v>
      </c>
      <c r="J1825" s="8">
        <f t="shared" si="1826"/>
        <v>20</v>
      </c>
      <c r="K1825" s="8" t="s">
        <v>7109</v>
      </c>
    </row>
    <row r="1826">
      <c r="A1826" s="7" t="b">
        <v>0</v>
      </c>
      <c r="B1826" s="8" t="s">
        <v>7107</v>
      </c>
      <c r="C1826" s="8" t="s">
        <v>7110</v>
      </c>
      <c r="D1826" s="8" t="str">
        <f>Q&amp;$K1826&amp;Q&amp;":{"&amp;Q&amp;$B$2&amp;Q&amp;":"&amp;Q&amp;$B1826&amp;Q&amp;","&amp;Q&amp;$C$2&amp;Q&amp;":"&amp;Q&amp;$C1826&amp;Q&amp;","&amp;Q&amp;"sets"&amp;Q&amp;":"&amp;Q&amp;substitute(SUBSTITUTE($H1826,"[",""),"]","")&amp;Q&amp;"},"</f>
        <v>"qhit":{"label":"Zippers","extra":"Faster than buttons.","sets":"Junior 9+ (2nd)"},</v>
      </c>
      <c r="E1826" s="9" t="str">
        <f t="shared" si="2"/>
        <v>data:image/svg+xml,%3csvg xmlns='http://www.w3.org/2000/svg' viewBox='0 0 24 216'%3e%3ctext fill='%23fff' style='font: 900 16px sans-serif' text-anchor='end' transform='matrix(0 -1 1 0 18 5)'%3eZippers%3c/text%3e%3c/svg%3e</v>
      </c>
      <c r="F1826" s="14" t="str">
        <f t="shared" si="3"/>
        <v>https://svgtext.heliohost.us/cgi-bin/gen.perl?text=Zippers</v>
      </c>
      <c r="G1826" s="11" t="str">
        <f t="shared" si="4"/>
        <v>data:image/svg+xml,%3csvg xmlns='http://www.w3.org/2000/svg' viewBox='0 0 24 216'%3e%3ctext fill='%23fff' style='font: 900 16px sans-serif' text-anchor='end' transform='matrix(0 -1 1 0 18 5)'%3eZippers%3c/text%3e%3c/svg%3e</v>
      </c>
      <c r="H1826" s="8" t="s">
        <v>32</v>
      </c>
      <c r="I1826" s="8">
        <f t="shared" ref="I1826:J1826" si="1827">len(B1826)</f>
        <v>7</v>
      </c>
      <c r="J1826" s="8">
        <f t="shared" si="1827"/>
        <v>20</v>
      </c>
      <c r="K1826" s="8" t="s">
        <v>7111</v>
      </c>
    </row>
    <row r="1827">
      <c r="A1827" s="7" t="b">
        <v>1</v>
      </c>
      <c r="B1827" s="8" t="s">
        <v>7112</v>
      </c>
      <c r="C1827" s="7" t="s">
        <v>7113</v>
      </c>
      <c r="D1827" s="8" t="str">
        <f>Q&amp;$K1827&amp;Q&amp;":{"&amp;Q&amp;$B$2&amp;Q&amp;":"&amp;Q&amp;$B1827&amp;Q&amp;","&amp;Q&amp;$C$2&amp;Q&amp;":"&amp;Q&amp;$C1827&amp;Q&amp;","&amp;Q&amp;"sets"&amp;Q&amp;":"&amp;Q&amp;substitute(SUBSTITUTE($H1827,"[",""),"]","")&amp;Q&amp;"},"</f>
        <v>"owp{":{"label":"Zombies","extra":"Undead ghouls that feed off of brains. So WE'RE safe…","sets":"Expansion Set 3, Party Expansion 1"},</v>
      </c>
      <c r="E1827" s="9" t="str">
        <f t="shared" si="2"/>
        <v>data:image/svg+xml,%3csvg xmlns='http://www.w3.org/2000/svg' viewBox='0 0 24 216'%3e%3ctext fill='%23fff' style='font: 900 16px sans-serif' text-anchor='end' transform='matrix(0 -1 1 0 18 5)'%3eZombies%3c/text%3e%3c/svg%3e</v>
      </c>
      <c r="F1827" s="14" t="str">
        <f t="shared" si="3"/>
        <v>https://svgtext.heliohost.us/cgi-bin/gen.perl?text=Zombies</v>
      </c>
      <c r="G1827" s="11" t="str">
        <f t="shared" si="4"/>
        <v>data:image/svg+xml,%3csvg xmlns='http://www.w3.org/2000/svg' viewBox='0 0 24 216'%3e%3ctext fill='%23fff' style='font: 900 16px sans-serif' text-anchor='end' transform='matrix(0 -1 1 0 18 5)'%3eZombies%3c/text%3e%3c/svg%3e</v>
      </c>
      <c r="H1827" s="8" t="s">
        <v>39</v>
      </c>
      <c r="I1827" s="8">
        <f t="shared" ref="I1827:J1827" si="1828">len(B1827)</f>
        <v>7</v>
      </c>
      <c r="J1827" s="8">
        <f t="shared" si="1828"/>
        <v>53</v>
      </c>
      <c r="K1827" s="8" t="s">
        <v>7114</v>
      </c>
    </row>
    <row r="1828">
      <c r="A1828" s="7" t="b">
        <v>0</v>
      </c>
      <c r="B1828" s="8" t="s">
        <v>7115</v>
      </c>
      <c r="C1828" s="16" t="s">
        <v>7116</v>
      </c>
      <c r="D1828" s="8" t="str">
        <f>Q&amp;$K1828&amp;Q&amp;":{"&amp;Q&amp;$B$2&amp;Q&amp;":"&amp;Q&amp;$B1828&amp;Q&amp;","&amp;Q&amp;$C$2&amp;Q&amp;":"&amp;Q&amp;$C1828&amp;Q&amp;","&amp;Q&amp;"sets"&amp;Q&amp;":"&amp;Q&amp;substitute(SUBSTITUTE($H1828,"[",""),"]","")&amp;Q&amp;"},"</f>
        <v>"stdw":{"label":"Zucchini","extra":"A squashed vegetable.","sets":"Expansion Set 1, Party Set"},</v>
      </c>
      <c r="E1828" s="9" t="str">
        <f t="shared" si="2"/>
        <v>data:image/svg+xml,%3csvg xmlns='http://www.w3.org/2000/svg' viewBox='0 0 24 216'%3e%3ctext fill='%23fff' style='font: 900 16px sans-serif' text-anchor='end' transform='matrix(0 -1 1 0 18 5)'%3eZucchini%3c/text%3e%3c/svg%3e</v>
      </c>
      <c r="F1828" s="14" t="str">
        <f t="shared" si="3"/>
        <v>https://svgtext.heliohost.us/cgi-bin/gen.perl?text=Zucchini</v>
      </c>
      <c r="G1828" s="11" t="str">
        <f t="shared" si="4"/>
        <v>data:image/svg+xml,%3csvg xmlns='http://www.w3.org/2000/svg' viewBox='0 0 24 216'%3e%3ctext fill='%23fff' style='font: 900 16px sans-serif' text-anchor='end' transform='matrix(0 -1 1 0 18 5)'%3eZucchini%3c/text%3e%3c/svg%3e</v>
      </c>
      <c r="H1828" s="8" t="s">
        <v>25</v>
      </c>
      <c r="I1828" s="8">
        <f t="shared" ref="I1828:J1828" si="1829">len(B1828)</f>
        <v>8</v>
      </c>
      <c r="J1828" s="8">
        <f t="shared" si="1829"/>
        <v>21</v>
      </c>
      <c r="K1828" s="8" t="s">
        <v>7117</v>
      </c>
    </row>
  </sheetData>
  <autoFilter ref="$A$2:$K$1828"/>
  <dataValidations>
    <dataValidation type="list" allowBlank="1" showErrorMessage="1" sqref="D1:E1">
      <formula1>Red!$F$2:$G$2</formula1>
    </dataValidation>
  </dataValidations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99.75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IFERROR(__xludf.DUMMYFUNCTION("filter(Grn!B3:D1000,Grn!A3:A1000=TRUE)"),"Abundant")</f>
        <v>Abundant</v>
      </c>
      <c r="B2" s="8" t="str">
        <f>IFERROR(__xludf.DUMMYFUNCTION("""COMPUTED_VALUE"""),"(plentiful, ample, numerous) ")</f>
        <v>(plentiful, ample, numerous) </v>
      </c>
      <c r="C2" s="13" t="str">
        <f>IFERROR(__xludf.DUMMYFUNCTION("""COMPUTED_VALUE"""),"""mray"":{""label"":""Abundant"",""extra"":""(plentiful, ample, numerous) "",""sets"":""Expansion Set 2""},")</f>
        <v>"mray":{"label":"Abundant","extra":"(plentiful, ample, numerous) ","sets":"Expansion Set 2"},</v>
      </c>
    </row>
    <row r="3">
      <c r="A3" s="8" t="str">
        <f>IFERROR(__xludf.DUMMYFUNCTION("""COMPUTED_VALUE"""),"Adorable")</f>
        <v>Adorable</v>
      </c>
      <c r="B3" s="8" t="str">
        <f>IFERROR(__xludf.DUMMYFUNCTION("""COMPUTED_VALUE"""),"(lovable, cute) ")</f>
        <v>(lovable, cute) </v>
      </c>
      <c r="C3" s="13" t="str">
        <f>IFERROR(__xludf.DUMMYFUNCTION("""COMPUTED_VALUE"""),"""slsm"":{""label"":""Adorable"",""extra"":""(lovable, cute) "",""sets"":""Junior 9+ (2nd)""},")</f>
        <v>"slsm":{"label":"Adorable","extra":"(lovable, cute) ","sets":"Junior 9+ (2nd)"},</v>
      </c>
    </row>
    <row r="4">
      <c r="A4" s="8" t="str">
        <f>IFERROR(__xludf.DUMMYFUNCTION("""COMPUTED_VALUE"""),"Amazing")</f>
        <v>Amazing</v>
      </c>
      <c r="B4" s="8" t="str">
        <f>IFERROR(__xludf.DUMMYFUNCTION("""COMPUTED_VALUE"""),"(astonishing, surprising, wonderful) ")</f>
        <v>(astonishing, surprising, wonderful) </v>
      </c>
      <c r="C4" s="13" t="str">
        <f>IFERROR(__xludf.DUMMYFUNCTION("""COMPUTED_VALUE"""),"""ztwa"":{""label"":""Amazing"",""extra"":""(astonishing, surprising, wonderful) "",""sets"":""Expansion Set 3, Party Expansion 1""},")</f>
        <v>"ztwa":{"label":"Amazing","extra":"(astonishing, surprising, wonderful) ","sets":"Expansion Set 3, Party Expansion 1"},</v>
      </c>
    </row>
    <row r="5">
      <c r="A5" s="8" t="str">
        <f>IFERROR(__xludf.DUMMYFUNCTION("""COMPUTED_VALUE"""),"Amazing")</f>
        <v>Amazing</v>
      </c>
      <c r="B5" s="8" t="str">
        <f>IFERROR(__xludf.DUMMYFUNCTION("""COMPUTED_VALUE"""),"(surprising, wonderful) ")</f>
        <v>(surprising, wonderful) </v>
      </c>
      <c r="C5" s="13" t="str">
        <f>IFERROR(__xludf.DUMMYFUNCTION("""COMPUTED_VALUE"""),"""bzlm"":{""label"":""Amazing"",""extra"":""(surprising, wonderful) "",""sets"":""Junior 9+ (1st) &amp; (2nd)""},")</f>
        <v>"bzlm":{"label":"Amazing","extra":"(surprising, wonderful) ","sets":"Junior 9+ (1st) &amp; (2nd)"},</v>
      </c>
    </row>
    <row r="6">
      <c r="A6" s="8" t="str">
        <f>IFERROR(__xludf.DUMMYFUNCTION("""COMPUTED_VALUE"""),"Annoying")</f>
        <v>Annoying</v>
      </c>
      <c r="B6" s="8" t="str">
        <f>IFERROR(__xludf.DUMMYFUNCTION("""COMPUTED_VALUE"""),"(bothersome, irritating) ")</f>
        <v>(bothersome, irritating) </v>
      </c>
      <c r="C6" s="13" t="str">
        <f>IFERROR(__xludf.DUMMYFUNCTION("""COMPUTED_VALUE"""),"""mffo"":{""label"":""Annoying"",""extra"":""(bothersome, irritating) "",""sets"":""Junior 9+ (2nd)""},")</f>
        <v>"mffo":{"label":"Annoying","extra":"(bothersome, irritating) ","sets":"Junior 9+ (2nd)"},</v>
      </c>
    </row>
    <row r="7">
      <c r="A7" s="8" t="str">
        <f>IFERROR(__xludf.DUMMYFUNCTION("""COMPUTED_VALUE"""),"Armed &amp; Dangerous")</f>
        <v>Armed &amp; Dangerous</v>
      </c>
      <c r="B7" s="8" t="str">
        <f>IFERROR(__xludf.DUMMYFUNCTION("""COMPUTED_VALUE"""),"(hazardous, threatening, fortified) ")</f>
        <v>(hazardous, threatening, fortified) </v>
      </c>
      <c r="C7" s="13" t="str">
        <f>IFERROR(__xludf.DUMMYFUNCTION("""COMPUTED_VALUE"""),"""oxat"":{""label"":""Armed &amp; Dangerous"",""extra"":""(hazardous, threatening, fortified) "",""sets"":""Expansion Set 4, Party Expansion 1""},")</f>
        <v>"oxat":{"label":"Armed &amp; Dangerous","extra":"(hazardous, threatening, fortified) ","sets":"Expansion Set 4, Party Expansion 1"},</v>
      </c>
    </row>
    <row r="8">
      <c r="A8" s="8" t="str">
        <f>IFERROR(__xludf.DUMMYFUNCTION("""COMPUTED_VALUE"""),"Attractive")</f>
        <v>Attractive</v>
      </c>
      <c r="B8" s="8" t="str">
        <f>IFERROR(__xludf.DUMMYFUNCTION("""COMPUTED_VALUE"""),"(alluring, engaging, good-looking) ")</f>
        <v>(alluring, engaging, good-looking) </v>
      </c>
      <c r="C8" s="13" t="str">
        <f>IFERROR(__xludf.DUMMYFUNCTION("""COMPUTED_VALUE"""),"""ropq"":{""label"":""Attractive"",""extra"":""(alluring, engaging, good-looking) "",""sets"":""Expansion Set 3, Party Expansion 1""},")</f>
        <v>"ropq":{"label":"Attractive","extra":"(alluring, engaging, good-looking) ","sets":"Expansion Set 3, Party Expansion 1"},</v>
      </c>
    </row>
    <row r="9">
      <c r="A9" s="8" t="str">
        <f>IFERROR(__xludf.DUMMYFUNCTION("""COMPUTED_VALUE"""),"Attractive")</f>
        <v>Attractive</v>
      </c>
      <c r="B9" s="8" t="str">
        <f>IFERROR(__xludf.DUMMYFUNCTION("""COMPUTED_VALUE"""),"(pretty, good-looking) ")</f>
        <v>(pretty, good-looking) </v>
      </c>
      <c r="C9" s="13" t="str">
        <f>IFERROR(__xludf.DUMMYFUNCTION("""COMPUTED_VALUE"""),"""myqb"":{""label"":""Attractive"",""extra"":""(pretty, good-looking) "",""sets"":""Junior 9+ (2nd)""},")</f>
        <v>"myqb":{"label":"Attractive","extra":"(pretty, good-looking) ","sets":"Junior 9+ (2nd)"},</v>
      </c>
    </row>
    <row r="10">
      <c r="A10" s="8" t="str">
        <f>IFERROR(__xludf.DUMMYFUNCTION("""COMPUTED_VALUE"""),"Bashful")</f>
        <v>Bashful</v>
      </c>
      <c r="B10" s="8" t="str">
        <f>IFERROR(__xludf.DUMMYFUNCTION("""COMPUTED_VALUE"""),"(shy, timid, modest) ")</f>
        <v>(shy, timid, modest) </v>
      </c>
      <c r="C10" s="13" t="str">
        <f>IFERROR(__xludf.DUMMYFUNCTION("""COMPUTED_VALUE"""),"""resm"":{""label"":""Bashful"",""extra"":""(shy, timid, modest) "",""sets"":""Expansion Set 3, Party Expansion 1""},")</f>
        <v>"resm":{"label":"Bashful","extra":"(shy, timid, modest) ","sets":"Expansion Set 3, Party Expansion 1"},</v>
      </c>
    </row>
    <row r="11">
      <c r="A11" s="8" t="str">
        <f>IFERROR(__xludf.DUMMYFUNCTION("""COMPUTED_VALUE"""),"Beautiful")</f>
        <v>Beautiful</v>
      </c>
      <c r="B11" s="8" t="str">
        <f>IFERROR(__xludf.DUMMYFUNCTION("""COMPUTED_VALUE"""),"(pretty, lovely) ")</f>
        <v>(pretty, lovely) </v>
      </c>
      <c r="C11" s="13" t="str">
        <f>IFERROR(__xludf.DUMMYFUNCTION("""COMPUTED_VALUE"""),"""otvc"":{""label"":""Beautiful"",""extra"":""(pretty, lovely) "",""sets"":""Junior 9+ (1st) &amp; (2nd)""},")</f>
        <v>"otvc":{"label":"Beautiful","extra":"(pretty, lovely) ","sets":"Junior 9+ (1st) &amp; (2nd)"},</v>
      </c>
    </row>
    <row r="12">
      <c r="A12" s="8" t="str">
        <f>IFERROR(__xludf.DUMMYFUNCTION("""COMPUTED_VALUE"""),"Big &amp; Tall")</f>
        <v>Big &amp; Tall</v>
      </c>
      <c r="B12" s="8" t="str">
        <f>IFERROR(__xludf.DUMMYFUNCTION("""COMPUTED_VALUE"""),"(large, bulky, gigantic) ")</f>
        <v>(large, bulky, gigantic) </v>
      </c>
      <c r="C12" s="13" t="str">
        <f>IFERROR(__xludf.DUMMYFUNCTION("""COMPUTED_VALUE"""),"""vces"":{""label"":""Big &amp; Tall"",""extra"":""(large, bulky, gigantic) "",""sets"":""Expansion Set 4, Party Expansion 1""},")</f>
        <v>"vces":{"label":"Big &amp; Tall","extra":"(large, bulky, gigantic) ","sets":"Expansion Set 4, Party Expansion 1"},</v>
      </c>
    </row>
    <row r="13">
      <c r="A13" s="8" t="str">
        <f>IFERROR(__xludf.DUMMYFUNCTION("""COMPUTED_VALUE"""),"Black &amp; Blue")</f>
        <v>Black &amp; Blue</v>
      </c>
      <c r="B13" s="8" t="str">
        <f>IFERROR(__xludf.DUMMYFUNCTION("""COMPUTED_VALUE"""),"(bruised, battered, rough) ")</f>
        <v>(bruised, battered, rough) </v>
      </c>
      <c r="C13" s="13" t="str">
        <f>IFERROR(__xludf.DUMMYFUNCTION("""COMPUTED_VALUE"""),"""onli"":{""label"":""Black &amp; Blue"",""extra"":""(bruised, battered, rough) "",""sets"":""Expansion Set 4, Party Expansion 1""},")</f>
        <v>"onli":{"label":"Black &amp; Blue","extra":"(bruised, battered, rough) ","sets":"Expansion Set 4, Party Expansion 1"},</v>
      </c>
    </row>
    <row r="14">
      <c r="A14" s="8" t="str">
        <f>IFERROR(__xludf.DUMMYFUNCTION("""COMPUTED_VALUE"""),"Black &amp; White")</f>
        <v>Black &amp; White</v>
      </c>
      <c r="B14" s="8" t="str">
        <f>IFERROR(__xludf.DUMMYFUNCTION("""COMPUTED_VALUE"""),"(indisputable, distinct, written) ")</f>
        <v>(indisputable, distinct, written) </v>
      </c>
      <c r="C14" s="13" t="str">
        <f>IFERROR(__xludf.DUMMYFUNCTION("""COMPUTED_VALUE"""),"""lsjb"":{""label"":""Black &amp; White"",""extra"":""(indisputable, distinct, written) "",""sets"":""Expansion Set 4, Party Expansion 1""},")</f>
        <v>"lsjb":{"label":"Black &amp; White","extra":"(indisputable, distinct, written) ","sets":"Expansion Set 4, Party Expansion 1"},</v>
      </c>
    </row>
    <row r="15">
      <c r="A15" s="8" t="str">
        <f>IFERROR(__xludf.DUMMYFUNCTION("""COMPUTED_VALUE"""),"Boisterous")</f>
        <v>Boisterous</v>
      </c>
      <c r="B15" s="8" t="str">
        <f>IFERROR(__xludf.DUMMYFUNCTION("""COMPUTED_VALUE"""),"(loud, rambunctious, rowdy) ")</f>
        <v>(loud, rambunctious, rowdy) </v>
      </c>
      <c r="C15" s="13" t="str">
        <f>IFERROR(__xludf.DUMMYFUNCTION("""COMPUTED_VALUE"""),"""zqui"":{""label"":""Boisterous"",""extra"":""(loud, rambunctious, rowdy) "",""sets"":""Basic Set, Party Set""},")</f>
        <v>"zqui":{"label":"Boisterous","extra":"(loud, rambunctious, rowdy) ","sets":"Basic Set, Party Set"},</v>
      </c>
    </row>
    <row r="16">
      <c r="A16" s="8" t="str">
        <f>IFERROR(__xludf.DUMMYFUNCTION("""COMPUTED_VALUE"""),"Boring")</f>
        <v>Boring</v>
      </c>
      <c r="B16" s="8" t="str">
        <f>IFERROR(__xludf.DUMMYFUNCTION("""COMPUTED_VALUE"""),"(dull, tedious, monotonous) ")</f>
        <v>(dull, tedious, monotonous) </v>
      </c>
      <c r="C16" s="13" t="str">
        <f>IFERROR(__xludf.DUMMYFUNCTION("""COMPUTED_VALUE"""),"""itho"":{""label"":""Boring"",""extra"":""(dull, tedious, monotonous) "",""sets"":""Basic Set, Party Set""},")</f>
        <v>"itho":{"label":"Boring","extra":"(dull, tedious, monotonous) ","sets":"Basic Set, Party Set"},</v>
      </c>
    </row>
    <row r="17">
      <c r="A17" s="8" t="str">
        <f>IFERROR(__xludf.DUMMYFUNCTION("""COMPUTED_VALUE"""),"Brains &amp; Brawn")</f>
        <v>Brains &amp; Brawn</v>
      </c>
      <c r="B17" s="8" t="str">
        <f>IFERROR(__xludf.DUMMYFUNCTION("""COMPUTED_VALUE"""),"(solid, strong, capable) ")</f>
        <v>(solid, strong, capable) </v>
      </c>
      <c r="C17" s="13" t="str">
        <f>IFERROR(__xludf.DUMMYFUNCTION("""COMPUTED_VALUE"""),"""ydrs"":{""label"":""Brains &amp; Brawn"",""extra"":""(solid, strong, capable) "",""sets"":""Expansion Set 4, Party Expansion 1""},")</f>
        <v>"ydrs":{"label":"Brains &amp; Brawn","extra":"(solid, strong, capable) ","sets":"Expansion Set 4, Party Expansion 1"},</v>
      </c>
    </row>
    <row r="18">
      <c r="A18" s="8" t="str">
        <f>IFERROR(__xludf.DUMMYFUNCTION("""COMPUTED_VALUE"""),"Bright")</f>
        <v>Bright</v>
      </c>
      <c r="B18" s="8" t="str">
        <f>IFERROR(__xludf.DUMMYFUNCTION("""COMPUTED_VALUE"""),"(brilliant, radiant, shiny) ")</f>
        <v>(brilliant, radiant, shiny) </v>
      </c>
      <c r="C18" s="13" t="str">
        <f>IFERROR(__xludf.DUMMYFUNCTION("""COMPUTED_VALUE"""),"""xnpl"":{""label"":""Bright"",""extra"":""(brilliant, radiant, shiny) "",""sets"":""Expansion Set 1, Party Set""},")</f>
        <v>"xnpl":{"label":"Bright","extra":"(brilliant, radiant, shiny) ","sets":"Expansion Set 1, Party Set"},</v>
      </c>
    </row>
    <row r="19">
      <c r="A19" s="8" t="str">
        <f>IFERROR(__xludf.DUMMYFUNCTION("""COMPUTED_VALUE"""),"Bright &amp; Shining")</f>
        <v>Bright &amp; Shining</v>
      </c>
      <c r="B19" s="8" t="str">
        <f>IFERROR(__xludf.DUMMYFUNCTION("""COMPUTED_VALUE"""),"(radiant, sparkling, gleaming) ")</f>
        <v>(radiant, sparkling, gleaming) </v>
      </c>
      <c r="C19" s="13" t="str">
        <f>IFERROR(__xludf.DUMMYFUNCTION("""COMPUTED_VALUE"""),"""bkps"":{""label"":""Bright &amp; Shining"",""extra"":""(radiant, sparkling, gleaming) "",""sets"":""Expansion Set 4, Party Expansion 1""},")</f>
        <v>"bkps":{"label":"Bright &amp; Shining","extra":"(radiant, sparkling, gleaming) ","sets":"Expansion Set 4, Party Expansion 1"},</v>
      </c>
    </row>
    <row r="20">
      <c r="A20" s="8" t="str">
        <f>IFERROR(__xludf.DUMMYFUNCTION("""COMPUTED_VALUE"""),"Brutal")</f>
        <v>Brutal</v>
      </c>
      <c r="B20" s="8" t="str">
        <f>IFERROR(__xludf.DUMMYFUNCTION("""COMPUTED_VALUE"""),"(cruel, crude, harsh) ")</f>
        <v>(cruel, crude, harsh) </v>
      </c>
      <c r="C20" s="13" t="str">
        <f>IFERROR(__xludf.DUMMYFUNCTION("""COMPUTED_VALUE"""),"""jjog"":{""label"":""Brutal"",""extra"":""(cruel, crude, harsh) "",""sets"":""Expansion Set 3, Party Expansion 1""},")</f>
        <v>"jjog":{"label":"Brutal","extra":"(cruel, crude, harsh) ","sets":"Expansion Set 3, Party Expansion 1"},</v>
      </c>
    </row>
    <row r="21">
      <c r="A21" s="8" t="str">
        <f>IFERROR(__xludf.DUMMYFUNCTION("""COMPUTED_VALUE"""),"Calm")</f>
        <v>Calm</v>
      </c>
      <c r="B21" s="8" t="str">
        <f>IFERROR(__xludf.DUMMYFUNCTION("""COMPUTED_VALUE"""),"(peaceful, tranquil, placid) ")</f>
        <v>(peaceful, tranquil, placid) </v>
      </c>
      <c r="C21" s="13" t="str">
        <f>IFERROR(__xludf.DUMMYFUNCTION("""COMPUTED_VALUE"""),"""clus"":{""label"":""Calm"",""extra"":""(peaceful, tranquil, placid) "",""sets"":""Basic Set, Party Set""},")</f>
        <v>"clus":{"label":"Calm","extra":"(peaceful, tranquil, placid) ","sets":"Basic Set, Party Set"},</v>
      </c>
    </row>
    <row r="22">
      <c r="A22" s="8" t="str">
        <f>IFERROR(__xludf.DUMMYFUNCTION("""COMPUTED_VALUE"""),"Charismatic")</f>
        <v>Charismatic</v>
      </c>
      <c r="B22" s="8" t="str">
        <f>IFERROR(__xludf.DUMMYFUNCTION("""COMPUTED_VALUE"""),"(alluring, magnetic, charming) ")</f>
        <v>(alluring, magnetic, charming) </v>
      </c>
      <c r="C22" s="13" t="str">
        <f>IFERROR(__xludf.DUMMYFUNCTION("""COMPUTED_VALUE"""),"""mqqh"":{""label"":""Charismatic"",""extra"":""(alluring, magnetic, charming) "",""sets"":""Expansion Set 2, Party Set""},")</f>
        <v>"mqqh":{"label":"Charismatic","extra":"(alluring, magnetic, charming) ","sets":"Expansion Set 2, Party Set"},</v>
      </c>
    </row>
    <row r="23">
      <c r="A23" s="8" t="str">
        <f>IFERROR(__xludf.DUMMYFUNCTION("""COMPUTED_VALUE"""),"Charming")</f>
        <v>Charming</v>
      </c>
      <c r="B23" s="8" t="str">
        <f>IFERROR(__xludf.DUMMYFUNCTION("""COMPUTED_VALUE"""),"(pleasant, polite) ")</f>
        <v>(pleasant, polite) </v>
      </c>
      <c r="C23" s="13" t="str">
        <f>IFERROR(__xludf.DUMMYFUNCTION("""COMPUTED_VALUE"""),"""rhcx"":{""label"":""Charming"",""extra"":""(pleasant, polite) "",""sets"":""Junior 9+ (2nd)""},")</f>
        <v>"rhcx":{"label":"Charming","extra":"(pleasant, polite) ","sets":"Junior 9+ (2nd)"},</v>
      </c>
    </row>
    <row r="24">
      <c r="A24" s="8" t="str">
        <f>IFERROR(__xludf.DUMMYFUNCTION("""COMPUTED_VALUE"""),"Chewy")</f>
        <v>Chewy</v>
      </c>
      <c r="B24" s="8" t="str">
        <f>IFERROR(__xludf.DUMMYFUNCTION("""COMPUTED_VALUE"""),"(gummy, rubbery, stringy) ")</f>
        <v>(gummy, rubbery, stringy) </v>
      </c>
      <c r="C24" s="13" t="str">
        <f>IFERROR(__xludf.DUMMYFUNCTION("""COMPUTED_VALUE"""),"""uivm"":{""label"":""Chewy"",""extra"":""(gummy, rubbery, stringy) "",""sets"":""Expansion Set 1, Party Set""},")</f>
        <v>"uivm":{"label":"Chewy","extra":"(gummy, rubbery, stringy) ","sets":"Expansion Set 1, Party Set"},</v>
      </c>
    </row>
    <row r="25">
      <c r="A25" s="8" t="str">
        <f>IFERROR(__xludf.DUMMYFUNCTION("""COMPUTED_VALUE"""),"Clever")</f>
        <v>Clever</v>
      </c>
      <c r="B25" s="8" t="str">
        <f>IFERROR(__xludf.DUMMYFUNCTION("""COMPUTED_VALUE"""),"(intelligent, ingenious, witty) ")</f>
        <v>(intelligent, ingenious, witty) </v>
      </c>
      <c r="C25" s="13" t="str">
        <f>IFERROR(__xludf.DUMMYFUNCTION("""COMPUTED_VALUE"""),"""pkmw"":{""label"":""Clever"",""extra"":""(intelligent, ingenious, witty) "",""sets"":""Expansion Set 3, Party Expansion 1""},")</f>
        <v>"pkmw":{"label":"Clever","extra":"(intelligent, ingenious, witty) ","sets":"Expansion Set 3, Party Expansion 1"},</v>
      </c>
    </row>
    <row r="26">
      <c r="A26" s="8" t="str">
        <f>IFERROR(__xludf.DUMMYFUNCTION("""COMPUTED_VALUE"""),"Clueless")</f>
        <v>Clueless</v>
      </c>
      <c r="B26" s="8" t="str">
        <f>IFERROR(__xludf.DUMMYFUNCTION("""COMPUTED_VALUE"""),"(unaware, oblivious, ignorant) ")</f>
        <v>(unaware, oblivious, ignorant) </v>
      </c>
      <c r="C26" s="13" t="str">
        <f>IFERROR(__xludf.DUMMYFUNCTION("""COMPUTED_VALUE"""),"""bkvc"":{""label"":""Clueless"",""extra"":""(unaware, oblivious, ignorant) "",""sets"":""Expansion Set 1, Party Set""},")</f>
        <v>"bkvc":{"label":"Clueless","extra":"(unaware, oblivious, ignorant) ","sets":"Expansion Set 1, Party Set"},</v>
      </c>
    </row>
    <row r="27">
      <c r="A27" s="8" t="str">
        <f>IFERROR(__xludf.DUMMYFUNCTION("""COMPUTED_VALUE"""),"Clumsy")</f>
        <v>Clumsy</v>
      </c>
      <c r="B27" s="8" t="str">
        <f>IFERROR(__xludf.DUMMYFUNCTION("""COMPUTED_VALUE"""),"(awkward, bumbling, uncoordinated) ")</f>
        <v>(awkward, bumbling, uncoordinated) </v>
      </c>
      <c r="C27" s="13" t="str">
        <f>IFERROR(__xludf.DUMMYFUNCTION("""COMPUTED_VALUE"""),"""umfj"":{""label"":""Clumsy"",""extra"":""(awkward, bumbling, uncoordinated) "",""sets"":""Expansion Set 3, Party Expansion 1""},")</f>
        <v>"umfj":{"label":"Clumsy","extra":"(awkward, bumbling, uncoordinated) ","sets":"Expansion Set 3, Party Expansion 1"},</v>
      </c>
    </row>
    <row r="28">
      <c r="A28" s="8" t="str">
        <f>IFERROR(__xludf.DUMMYFUNCTION("""COMPUTED_VALUE"""),"Cold")</f>
        <v>Cold</v>
      </c>
      <c r="B28" s="8" t="str">
        <f>IFERROR(__xludf.DUMMYFUNCTION("""COMPUTED_VALUE"""),"(chilly, icy, aloof) ")</f>
        <v>(chilly, icy, aloof) </v>
      </c>
      <c r="C28" s="13" t="str">
        <f>IFERROR(__xludf.DUMMYFUNCTION("""COMPUTED_VALUE"""),"""mvpj"":{""label"":""Cold"",""extra"":""(chilly, icy, aloof) "",""sets"":""Expansion Set 2, Party Set""},")</f>
        <v>"mvpj":{"label":"Cold","extra":"(chilly, icy, aloof) ","sets":"Expansion Set 2, Party Set"},</v>
      </c>
    </row>
    <row r="29">
      <c r="A29" s="8" t="str">
        <f>IFERROR(__xludf.DUMMYFUNCTION("""COMPUTED_VALUE"""),"Comfortable")</f>
        <v>Comfortable</v>
      </c>
      <c r="B29" s="8" t="str">
        <f>IFERROR(__xludf.DUMMYFUNCTION("""COMPUTED_VALUE"""),"(cozy, snug, restful) ")</f>
        <v>(cozy, snug, restful) </v>
      </c>
      <c r="C29" s="13" t="str">
        <f>IFERROR(__xludf.DUMMYFUNCTION("""COMPUTED_VALUE"""),"""dylt"":{""label"":""Comfortable"",""extra"":""(cozy, snug, restful) "",""sets"":""Expansion Set 2, Party Set""},")</f>
        <v>"dylt":{"label":"Comfortable","extra":"(cozy, snug, restful) ","sets":"Expansion Set 2, Party Set"},</v>
      </c>
    </row>
    <row r="30">
      <c r="A30" s="8" t="str">
        <f>IFERROR(__xludf.DUMMYFUNCTION("""COMPUTED_VALUE"""),"Conceited")</f>
        <v>Conceited</v>
      </c>
      <c r="B30" s="8" t="str">
        <f>IFERROR(__xludf.DUMMYFUNCTION("""COMPUTED_VALUE"""),"(vain, smug, self-centered) ")</f>
        <v>(vain, smug, self-centered) </v>
      </c>
      <c r="C30" s="13" t="str">
        <f>IFERROR(__xludf.DUMMYFUNCTION("""COMPUTED_VALUE"""),"""txfh"":{""label"":""Conceited"",""extra"":""(vain, smug, self-centered) "",""sets"":""Expansion Set 3, Party Expansion 1""},")</f>
        <v>"txfh":{"label":"Conceited","extra":"(vain, smug, self-centered) ","sets":"Expansion Set 3, Party Expansion 1"},</v>
      </c>
    </row>
    <row r="31">
      <c r="A31" s="8" t="str">
        <f>IFERROR(__xludf.DUMMYFUNCTION("""COMPUTED_VALUE"""),"Confusing")</f>
        <v>Confusing</v>
      </c>
      <c r="B31" s="8" t="str">
        <f>IFERROR(__xludf.DUMMYFUNCTION("""COMPUTED_VALUE"""),"(puzzling, weird) ")</f>
        <v>(puzzling, weird) </v>
      </c>
      <c r="C31" s="13" t="str">
        <f>IFERROR(__xludf.DUMMYFUNCTION("""COMPUTED_VALUE"""),"""ofks"":{""label"":""Confusing"",""extra"":""(puzzling, weird) "",""sets"":""Junior 9+ (2nd)""},")</f>
        <v>"ofks":{"label":"Confusing","extra":"(puzzling, weird) ","sets":"Junior 9+ (2nd)"},</v>
      </c>
    </row>
    <row r="32">
      <c r="A32" s="8" t="str">
        <f>IFERROR(__xludf.DUMMYFUNCTION("""COMPUTED_VALUE"""),"Controversial")</f>
        <v>Controversial</v>
      </c>
      <c r="B32" s="8" t="str">
        <f>IFERROR(__xludf.DUMMYFUNCTION("""COMPUTED_VALUE"""),"(contentious, disputable, debatable) ")</f>
        <v>(contentious, disputable, debatable) </v>
      </c>
      <c r="C32" s="13" t="str">
        <f>IFERROR(__xludf.DUMMYFUNCTION("""COMPUTED_VALUE"""),"""ihwj"":{""label"":""Controversial"",""extra"":""(contentious, disputable, debatable) "",""sets"":""Expansion Set 3, Party Expansion 1""},")</f>
        <v>"ihwj":{"label":"Controversial","extra":"(contentious, disputable, debatable) ","sets":"Expansion Set 3, Party Expansion 1"},</v>
      </c>
    </row>
    <row r="33">
      <c r="A33" s="8" t="str">
        <f>IFERROR(__xludf.DUMMYFUNCTION("""COMPUTED_VALUE"""),"Cool &amp; Collected")</f>
        <v>Cool &amp; Collected</v>
      </c>
      <c r="B33" s="8" t="str">
        <f>IFERROR(__xludf.DUMMYFUNCTION("""COMPUTED_VALUE"""),"(controlled, composed, restrained) ")</f>
        <v>(controlled, composed, restrained) </v>
      </c>
      <c r="C33" s="13" t="str">
        <f>IFERROR(__xludf.DUMMYFUNCTION("""COMPUTED_VALUE"""),"""aukk"":{""label"":""Cool &amp; Collected"",""extra"":""(controlled, composed, restrained) "",""sets"":""Expansion Set 4, Party Expansion 1""},")</f>
        <v>"aukk":{"label":"Cool &amp; Collected","extra":"(controlled, composed, restrained) ","sets":"Expansion Set 4, Party Expansion 1"},</v>
      </c>
    </row>
    <row r="34">
      <c r="A34" s="8" t="str">
        <f>IFERROR(__xludf.DUMMYFUNCTION("""COMPUTED_VALUE"""),"Cozy")</f>
        <v>Cozy</v>
      </c>
      <c r="B34" s="8" t="str">
        <f>IFERROR(__xludf.DUMMYFUNCTION("""COMPUTED_VALUE"""),"(comfortable, snug, warm) ")</f>
        <v>(comfortable, snug, warm) </v>
      </c>
      <c r="C34" s="13" t="str">
        <f>IFERROR(__xludf.DUMMYFUNCTION("""COMPUTED_VALUE"""),"""jpqh"":{""label"":""Cozy"",""extra"":""(comfortable, snug, warm) "",""sets"":""Expansion Set 3, Party Expansion 1""},")</f>
        <v>"jpqh":{"label":"Cozy","extra":"(comfortable, snug, warm) ","sets":"Expansion Set 3, Party Expansion 1"},</v>
      </c>
    </row>
    <row r="35">
      <c r="A35" s="8" t="str">
        <f>IFERROR(__xludf.DUMMYFUNCTION("""COMPUTED_VALUE"""),"Crazy")</f>
        <v>Crazy</v>
      </c>
      <c r="B35" s="8" t="str">
        <f>IFERROR(__xludf.DUMMYFUNCTION("""COMPUTED_VALUE"""),"(insane, bizarre, wacky) ")</f>
        <v>(insane, bizarre, wacky) </v>
      </c>
      <c r="C35" s="13" t="str">
        <f>IFERROR(__xludf.DUMMYFUNCTION("""COMPUTED_VALUE"""),"""qqyo"":{""label"":""Crazy"",""extra"":""(insane, bizarre, wacky) "",""sets"":""Expansion Set 1, Party Set""},")</f>
        <v>"qqyo":{"label":"Crazy","extra":"(insane, bizarre, wacky) ","sets":"Expansion Set 1, Party Set"},</v>
      </c>
    </row>
    <row r="36">
      <c r="A36" s="8" t="str">
        <f>IFERROR(__xludf.DUMMYFUNCTION("""COMPUTED_VALUE"""),"Creepy")</f>
        <v>Creepy</v>
      </c>
      <c r="B36" s="8" t="str">
        <f>IFERROR(__xludf.DUMMYFUNCTION("""COMPUTED_VALUE"""),"(frightening, slithering, scary) ")</f>
        <v>(frightening, slithering, scary) </v>
      </c>
      <c r="C36" s="13" t="str">
        <f>IFERROR(__xludf.DUMMYFUNCTION("""COMPUTED_VALUE"""),"""rpjm"":{""label"":""Creepy"",""extra"":""(frightening, slithering, scary) "",""sets"":""Basic Set, Party Set""},")</f>
        <v>"rpjm":{"label":"Creepy","extra":"(frightening, slithering, scary) ","sets":"Basic Set, Party Set"},</v>
      </c>
    </row>
    <row r="37">
      <c r="A37" s="8" t="str">
        <f>IFERROR(__xludf.DUMMYFUNCTION("""COMPUTED_VALUE"""),"Crisp")</f>
        <v>Crisp</v>
      </c>
      <c r="B37" s="8" t="str">
        <f>IFERROR(__xludf.DUMMYFUNCTION("""COMPUTED_VALUE"""),"(brittle, brisk, fresh) ")</f>
        <v>(brittle, brisk, fresh) </v>
      </c>
      <c r="C37" s="13" t="str">
        <f>IFERROR(__xludf.DUMMYFUNCTION("""COMPUTED_VALUE"""),"""uhdp"":{""label"":""Crisp"",""extra"":""(brittle, brisk, fresh) "",""sets"":""Expansion Set 3, Party Expansion 1""},")</f>
        <v>"uhdp":{"label":"Crisp","extra":"(brittle, brisk, fresh) ","sets":"Expansion Set 3, Party Expansion 1"},</v>
      </c>
    </row>
    <row r="38">
      <c r="A38" s="8" t="str">
        <f>IFERROR(__xludf.DUMMYFUNCTION("""COMPUTED_VALUE"""),"Cruel &amp; Unusual")</f>
        <v>Cruel &amp; Unusual</v>
      </c>
      <c r="B38" s="8" t="str">
        <f>IFERROR(__xludf.DUMMYFUNCTION("""COMPUTED_VALUE"""),"(barbaric, merciless, unwarranted) ")</f>
        <v>(barbaric, merciless, unwarranted) </v>
      </c>
      <c r="C38" s="13" t="str">
        <f>IFERROR(__xludf.DUMMYFUNCTION("""COMPUTED_VALUE"""),"""tush"":{""label"":""Cruel &amp; Unusual"",""extra"":""(barbaric, merciless, unwarranted) "",""sets"":""Expansion Set 4, Party Expansion 1""},")</f>
        <v>"tush":{"label":"Cruel &amp; Unusual","extra":"(barbaric, merciless, unwarranted) ","sets":"Expansion Set 4, Party Expansion 1"},</v>
      </c>
    </row>
    <row r="39">
      <c r="A39" s="8" t="str">
        <f>IFERROR(__xludf.DUMMYFUNCTION("""COMPUTED_VALUE"""),"Crunchy")</f>
        <v>Crunchy</v>
      </c>
      <c r="B39" s="8" t="str">
        <f>IFERROR(__xludf.DUMMYFUNCTION("""COMPUTED_VALUE"""),"(crispy, crackling) ")</f>
        <v>(crispy, crackling) </v>
      </c>
      <c r="C39" s="13" t="str">
        <f>IFERROR(__xludf.DUMMYFUNCTION("""COMPUTED_VALUE"""),"""xxix"":{""label"":""Crunchy"",""extra"":""(crispy, crackling) "",""sets"":""Junior 9+ (1st) &amp; (2nd)""},")</f>
        <v>"xxix":{"label":"Crunchy","extra":"(crispy, crackling) ","sets":"Junior 9+ (1st) &amp; (2nd)"},</v>
      </c>
    </row>
    <row r="40">
      <c r="A40" s="8" t="str">
        <f>IFERROR(__xludf.DUMMYFUNCTION("""COMPUTED_VALUE"""),"Cut &amp; Dried")</f>
        <v>Cut &amp; Dried</v>
      </c>
      <c r="B40" s="8" t="str">
        <f>IFERROR(__xludf.DUMMYFUNCTION("""COMPUTED_VALUE"""),"(settled, obvious, indisputable) ")</f>
        <v>(settled, obvious, indisputable) </v>
      </c>
      <c r="C40" s="13" t="str">
        <f>IFERROR(__xludf.DUMMYFUNCTION("""COMPUTED_VALUE"""),"""ghst"":{""label"":""Cut &amp; Dried"",""extra"":""(settled, obvious, indisputable) "",""sets"":""Expansion Set 4, Party Expansion 1""},")</f>
        <v>"ghst":{"label":"Cut &amp; Dried","extra":"(settled, obvious, indisputable) ","sets":"Expansion Set 4, Party Expansion 1"},</v>
      </c>
    </row>
    <row r="41">
      <c r="A41" s="8" t="str">
        <f>IFERROR(__xludf.DUMMYFUNCTION("""COMPUTED_VALUE"""),"Cute &amp; Cuddly")</f>
        <v>Cute &amp; Cuddly</v>
      </c>
      <c r="B41" s="8" t="str">
        <f>IFERROR(__xludf.DUMMYFUNCTION("""COMPUTED_VALUE"""),"(adorable, precious, huggable) ")</f>
        <v>(adorable, precious, huggable) </v>
      </c>
      <c r="C41" s="13" t="str">
        <f>IFERROR(__xludf.DUMMYFUNCTION("""COMPUTED_VALUE"""),"""xgnh"":{""label"":""Cute &amp; Cuddly"",""extra"":""(adorable, precious, huggable) "",""sets"":""Expansion Set 4, Party Expansion 1""},")</f>
        <v>"xgnh":{"label":"Cute &amp; Cuddly","extra":"(adorable, precious, huggable) ","sets":"Expansion Set 4, Party Expansion 1"},</v>
      </c>
    </row>
    <row r="42">
      <c r="A42" s="8" t="str">
        <f>IFERROR(__xludf.DUMMYFUNCTION("""COMPUTED_VALUE"""),"Dangerous")</f>
        <v>Dangerous</v>
      </c>
      <c r="B42" s="8" t="str">
        <f>IFERROR(__xludf.DUMMYFUNCTION("""COMPUTED_VALUE"""),"(risky, chancy, hazardous) ")</f>
        <v>(risky, chancy, hazardous) </v>
      </c>
      <c r="C42" s="13" t="str">
        <f>IFERROR(__xludf.DUMMYFUNCTION("""COMPUTED_VALUE"""),"""cbpr"":{""label"":""Dangerous"",""extra"":""(risky, chancy, hazardous) "",""sets"":""Basic Set, Party Set""},")</f>
        <v>"cbpr":{"label":"Dangerous","extra":"(risky, chancy, hazardous) ","sets":"Basic Set, Party Set"},</v>
      </c>
    </row>
    <row r="43">
      <c r="A43" s="8" t="str">
        <f>IFERROR(__xludf.DUMMYFUNCTION("""COMPUTED_VALUE"""),"Dark")</f>
        <v>Dark</v>
      </c>
      <c r="B43" s="8" t="str">
        <f>IFERROR(__xludf.DUMMYFUNCTION("""COMPUTED_VALUE"""),"(unlit, morbid, sinister) ")</f>
        <v>(unlit, morbid, sinister) </v>
      </c>
      <c r="C43" s="13" t="str">
        <f>IFERROR(__xludf.DUMMYFUNCTION("""COMPUTED_VALUE"""),"""hdov"":{""label"":""Dark"",""extra"":""(unlit, morbid, sinister) "",""sets"":""Expansion Set 3, Party Expansion 1""},")</f>
        <v>"hdov":{"label":"Dark","extra":"(unlit, morbid, sinister) ","sets":"Expansion Set 3, Party Expansion 1"},</v>
      </c>
    </row>
    <row r="44">
      <c r="A44" s="8" t="str">
        <f>IFERROR(__xludf.DUMMYFUNCTION("""COMPUTED_VALUE"""),"Dashing")</f>
        <v>Dashing</v>
      </c>
      <c r="B44" s="8" t="str">
        <f>IFERROR(__xludf.DUMMYFUNCTION("""COMPUTED_VALUE"""),"(gallant, bold, elegant) ")</f>
        <v>(gallant, bold, elegant) </v>
      </c>
      <c r="C44" s="13" t="str">
        <f>IFERROR(__xludf.DUMMYFUNCTION("""COMPUTED_VALUE"""),"""bffi"":{""label"":""Dashing"",""extra"":""(gallant, bold, elegant) "",""sets"":""Expansion Set 3, Party Expansion 1""},")</f>
        <v>"bffi":{"label":"Dashing","extra":"(gallant, bold, elegant) ","sets":"Expansion Set 3, Party Expansion 1"},</v>
      </c>
    </row>
    <row r="45">
      <c r="A45" s="8" t="str">
        <f>IFERROR(__xludf.DUMMYFUNCTION("""COMPUTED_VALUE"""),"Dazed &amp; Confused")</f>
        <v>Dazed &amp; Confused</v>
      </c>
      <c r="B45" s="8" t="str">
        <f>IFERROR(__xludf.DUMMYFUNCTION("""COMPUTED_VALUE"""),"(stunned, bewildered, disoriented) ")</f>
        <v>(stunned, bewildered, disoriented) </v>
      </c>
      <c r="C45" s="13" t="str">
        <f>IFERROR(__xludf.DUMMYFUNCTION("""COMPUTED_VALUE"""),"""janu"":{""label"":""Dazed &amp; Confused"",""extra"":""(stunned, bewildered, disoriented) "",""sets"":""Expansion Set 4, Party Expansion 1""},")</f>
        <v>"janu":{"label":"Dazed &amp; Confused","extra":"(stunned, bewildered, disoriented) ","sets":"Expansion Set 4, Party Expansion 1"},</v>
      </c>
    </row>
    <row r="46">
      <c r="A46" s="8" t="str">
        <f>IFERROR(__xludf.DUMMYFUNCTION("""COMPUTED_VALUE"""),"Dead")</f>
        <v>Dead</v>
      </c>
      <c r="B46" s="8" t="str">
        <f>IFERROR(__xludf.DUMMYFUNCTION("""COMPUTED_VALUE"""),"(deceased, expired, unresponsive) ")</f>
        <v>(deceased, expired, unresponsive) </v>
      </c>
      <c r="C46" s="13" t="str">
        <f>IFERROR(__xludf.DUMMYFUNCTION("""COMPUTED_VALUE"""),"""tlud"":{""label"":""Dead"",""extra"":""(deceased, expired, unresponsive) "",""sets"":""Expansion Set 2, Party Set""},")</f>
        <v>"tlud":{"label":"Dead","extra":"(deceased, expired, unresponsive) ","sets":"Expansion Set 2, Party Set"},</v>
      </c>
    </row>
    <row r="47">
      <c r="A47" s="8" t="str">
        <f>IFERROR(__xludf.DUMMYFUNCTION("""COMPUTED_VALUE"""),"Delicate")</f>
        <v>Delicate</v>
      </c>
      <c r="B47" s="8" t="str">
        <f>IFERROR(__xludf.DUMMYFUNCTION("""COMPUTED_VALUE"""),"(dainty, tender, elegant) ")</f>
        <v>(dainty, tender, elegant) </v>
      </c>
      <c r="C47" s="13" t="str">
        <f>IFERROR(__xludf.DUMMYFUNCTION("""COMPUTED_VALUE"""),"""pjng"":{""label"":""Delicate"",""extra"":""(dainty, tender, elegant) "",""sets"":""Basic Set, Party Set""},")</f>
        <v>"pjng":{"label":"Delicate","extra":"(dainty, tender, elegant) ","sets":"Basic Set, Party Set"},</v>
      </c>
    </row>
    <row r="48">
      <c r="A48" s="8" t="str">
        <f>IFERROR(__xludf.DUMMYFUNCTION("""COMPUTED_VALUE"""),"Delicious")</f>
        <v>Delicious</v>
      </c>
      <c r="B48" s="8" t="str">
        <f>IFERROR(__xludf.DUMMYFUNCTION("""COMPUTED_VALUE"""),"(tasty, pleasing, appetizing) ")</f>
        <v>(tasty, pleasing, appetizing) </v>
      </c>
      <c r="C48" s="13" t="str">
        <f>IFERROR(__xludf.DUMMYFUNCTION("""COMPUTED_VALUE"""),"""ymgu"":{""label"":""Delicious"",""extra"":""(tasty, pleasing, appetizing) "",""sets"":""Basic Set, Party Set""},")</f>
        <v>"ymgu":{"label":"Delicious","extra":"(tasty, pleasing, appetizing) ","sets":"Basic Set, Party Set"},</v>
      </c>
    </row>
    <row r="49">
      <c r="A49" s="8" t="str">
        <f>IFERROR(__xludf.DUMMYFUNCTION("""COMPUTED_VALUE"""),"Devious")</f>
        <v>Devious</v>
      </c>
      <c r="B49" s="8" t="str">
        <f>IFERROR(__xludf.DUMMYFUNCTION("""COMPUTED_VALUE"""),"(sneaky, shifty, tricky) ")</f>
        <v>(sneaky, shifty, tricky) </v>
      </c>
      <c r="C49" s="13" t="str">
        <f>IFERROR(__xludf.DUMMYFUNCTION("""COMPUTED_VALUE"""),"""hupk"":{""label"":""Devious"",""extra"":""(sneaky, shifty, tricky) "",""sets"":""Expansion Set 3, Party Expansion 1""},")</f>
        <v>"hupk":{"label":"Devious","extra":"(sneaky, shifty, tricky) ","sets":"Expansion Set 3, Party Expansion 1"},</v>
      </c>
    </row>
    <row r="50">
      <c r="A50" s="8" t="str">
        <f>IFERROR(__xludf.DUMMYFUNCTION("""COMPUTED_VALUE"""),"Down &amp; Out")</f>
        <v>Down &amp; Out</v>
      </c>
      <c r="B50" s="8" t="str">
        <f>IFERROR(__xludf.DUMMYFUNCTION("""COMPUTED_VALUE"""),"(destitute, impoverished, penniless) ")</f>
        <v>(destitute, impoverished, penniless) </v>
      </c>
      <c r="C50" s="13" t="str">
        <f>IFERROR(__xludf.DUMMYFUNCTION("""COMPUTED_VALUE"""),"""oaow"":{""label"":""Down &amp; Out"",""extra"":""(destitute, impoverished, penniless) "",""sets"":""Expansion Set 4, Party Expansion 1""},")</f>
        <v>"oaow":{"label":"Down &amp; Out","extra":"(destitute, impoverished, penniless) ","sets":"Expansion Set 4, Party Expansion 1"},</v>
      </c>
    </row>
    <row r="51">
      <c r="A51" s="8" t="str">
        <f>IFERROR(__xludf.DUMMYFUNCTION("""COMPUTED_VALUE"""),"Easy")</f>
        <v>Easy</v>
      </c>
      <c r="B51" s="8" t="str">
        <f>IFERROR(__xludf.DUMMYFUNCTION("""COMPUTED_VALUE"""),"(effortless, gentle, promiscuous) ")</f>
        <v>(effortless, gentle, promiscuous) </v>
      </c>
      <c r="C51" s="13" t="str">
        <f>IFERROR(__xludf.DUMMYFUNCTION("""COMPUTED_VALUE"""),"""bhek"":{""label"":""Easy"",""extra"":""(effortless, gentle, promiscuous) "",""sets"":""Basic Set, Party Set""},")</f>
        <v>"bhek":{"label":"Easy","extra":"(effortless, gentle, promiscuous) ","sets":"Basic Set, Party Set"},</v>
      </c>
    </row>
    <row r="52">
      <c r="A52" s="8" t="str">
        <f>IFERROR(__xludf.DUMMYFUNCTION("""COMPUTED_VALUE"""),"Edgy")</f>
        <v>Edgy</v>
      </c>
      <c r="B52" s="8" t="str">
        <f>IFERROR(__xludf.DUMMYFUNCTION("""COMPUTED_VALUE"""),"(irritable, nervous, tense) ")</f>
        <v>(irritable, nervous, tense) </v>
      </c>
      <c r="C52" s="13" t="str">
        <f>IFERROR(__xludf.DUMMYFUNCTION("""COMPUTED_VALUE"""),"""kvtt"":{""label"":""Edgy"",""extra"":""(irritable, nervous, tense) "",""sets"":""Expansion Set 3, Party Expansion 1""},")</f>
        <v>"kvtt":{"label":"Edgy","extra":"(irritable, nervous, tense) ","sets":"Expansion Set 3, Party Expansion 1"},</v>
      </c>
    </row>
    <row r="53">
      <c r="A53" s="8" t="str">
        <f>IFERROR(__xludf.DUMMYFUNCTION("""COMPUTED_VALUE"""),"Enchanting")</f>
        <v>Enchanting</v>
      </c>
      <c r="B53" s="8" t="str">
        <f>IFERROR(__xludf.DUMMYFUNCTION("""COMPUTED_VALUE"""),"(captivating, charming, spell-binding) ")</f>
        <v>(captivating, charming, spell-binding) </v>
      </c>
      <c r="C53" s="13" t="str">
        <f>IFERROR(__xludf.DUMMYFUNCTION("""COMPUTED_VALUE"""),"""akkm"":{""label"":""Enchanting"",""extra"":""(captivating, charming, spell-binding) "",""sets"":""Expansion Set 3, Party Expansion 1""},")</f>
        <v>"akkm":{"label":"Enchanting","extra":"(captivating, charming, spell-binding) ","sets":"Expansion Set 3, Party Expansion 1"},</v>
      </c>
    </row>
    <row r="54">
      <c r="A54" s="8" t="str">
        <f>IFERROR(__xludf.DUMMYFUNCTION("""COMPUTED_VALUE"""),"Endangered")</f>
        <v>Endangered</v>
      </c>
      <c r="B54" s="8" t="str">
        <f>IFERROR(__xludf.DUMMYFUNCTION("""COMPUTED_VALUE"""),"(at risk, threatened, unprotected) ")</f>
        <v>(at risk, threatened, unprotected) </v>
      </c>
      <c r="C54" s="13" t="str">
        <f>IFERROR(__xludf.DUMMYFUNCTION("""COMPUTED_VALUE"""),"""xmex"":{""label"":""Endangered"",""extra"":""(at risk, threatened, unprotected) "",""sets"":""Expansion Set 3, Party Expansion 1""},")</f>
        <v>"xmex":{"label":"Endangered","extra":"(at risk, threatened, unprotected) ","sets":"Expansion Set 3, Party Expansion 1"},</v>
      </c>
    </row>
    <row r="55">
      <c r="A55" s="8" t="str">
        <f>IFERROR(__xludf.DUMMYFUNCTION("""COMPUTED_VALUE"""),"Energetic")</f>
        <v>Energetic</v>
      </c>
      <c r="B55" s="8" t="str">
        <f>IFERROR(__xludf.DUMMYFUNCTION("""COMPUTED_VALUE"""),"(active, vigorous, forceful) ")</f>
        <v>(active, vigorous, forceful) </v>
      </c>
      <c r="C55" s="13" t="str">
        <f>IFERROR(__xludf.DUMMYFUNCTION("""COMPUTED_VALUE"""),"""pcqc"":{""label"":""Energetic"",""extra"":""(active, vigorous, forceful) "",""sets"":""Expansion Set 3, Party Expansion 1""},")</f>
        <v>"pcqc":{"label":"Energetic","extra":"(active, vigorous, forceful) ","sets":"Expansion Set 3, Party Expansion 1"},</v>
      </c>
    </row>
    <row r="56">
      <c r="A56" s="8" t="str">
        <f>IFERROR(__xludf.DUMMYFUNCTION("""COMPUTED_VALUE"""),"Enjoyable")</f>
        <v>Enjoyable</v>
      </c>
      <c r="B56" s="8" t="str">
        <f>IFERROR(__xludf.DUMMYFUNCTION("""COMPUTED_VALUE"""),"(pleasurable, entertaining, fun) ")</f>
        <v>(pleasurable, entertaining, fun) </v>
      </c>
      <c r="C56" s="13" t="str">
        <f>IFERROR(__xludf.DUMMYFUNCTION("""COMPUTED_VALUE"""),"""btba"":{""label"":""Enjoyable"",""extra"":""(pleasurable, entertaining, fun) "",""sets"":""Expansion Set 3, Party Expansion 1""},")</f>
        <v>"btba":{"label":"Enjoyable","extra":"(pleasurable, entertaining, fun) ","sets":"Expansion Set 3, Party Expansion 1"},</v>
      </c>
    </row>
    <row r="57">
      <c r="A57" s="8" t="str">
        <f>IFERROR(__xludf.DUMMYFUNCTION("""COMPUTED_VALUE"""),"Enormous")</f>
        <v>Enormous</v>
      </c>
      <c r="B57" s="8" t="str">
        <f>IFERROR(__xludf.DUMMYFUNCTION("""COMPUTED_VALUE"""),"(large, huge, gigantic) ")</f>
        <v>(large, huge, gigantic) </v>
      </c>
      <c r="C57" s="13" t="str">
        <f>IFERROR(__xludf.DUMMYFUNCTION("""COMPUTED_VALUE"""),"""pgkp"":{""label"":""Enormous"",""extra"":""(large, huge, gigantic) "",""sets"":""Expansion Set 3, Party Expansion 1""},")</f>
        <v>"pgkp":{"label":"Enormous","extra":"(large, huge, gigantic) ","sets":"Expansion Set 3, Party Expansion 1"},</v>
      </c>
    </row>
    <row r="58">
      <c r="A58" s="8" t="str">
        <f>IFERROR(__xludf.DUMMYFUNCTION("""COMPUTED_VALUE"""),"Entertaining")</f>
        <v>Entertaining</v>
      </c>
      <c r="B58" s="8" t="str">
        <f>IFERROR(__xludf.DUMMYFUNCTION("""COMPUTED_VALUE"""),"(amusing, festive, enjoyable) ")</f>
        <v>(amusing, festive, enjoyable) </v>
      </c>
      <c r="C58" s="13" t="str">
        <f>IFERROR(__xludf.DUMMYFUNCTION("""COMPUTED_VALUE"""),"""kojk"":{""label"":""Entertaining"",""extra"":""(amusing, festive, enjoyable) "",""sets"":""Expansion Set 3, Party Expansion 1""},")</f>
        <v>"kojk":{"label":"Entertaining","extra":"(amusing, festive, enjoyable) ","sets":"Expansion Set 3, Party Expansion 1"},</v>
      </c>
    </row>
    <row r="59">
      <c r="A59" s="8" t="str">
        <f>IFERROR(__xludf.DUMMYFUNCTION("""COMPUTED_VALUE"""),"Evil")</f>
        <v>Evil</v>
      </c>
      <c r="B59" s="8" t="str">
        <f>IFERROR(__xludf.DUMMYFUNCTION("""COMPUTED_VALUE"""),"(wicked, corrupt, depraved) ")</f>
        <v>(wicked, corrupt, depraved) </v>
      </c>
      <c r="C59" s="13" t="str">
        <f>IFERROR(__xludf.DUMMYFUNCTION("""COMPUTED_VALUE"""),"""amer"":{""label"":""Evil"",""extra"":""(wicked, corrupt, depraved) "",""sets"":""Expansion Set 3, Party Expansion 1""},")</f>
        <v>"amer":{"label":"Evil","extra":"(wicked, corrupt, depraved) ","sets":"Expansion Set 3, Party Expansion 1"},</v>
      </c>
    </row>
    <row r="60">
      <c r="A60" s="8" t="str">
        <f>IFERROR(__xludf.DUMMYFUNCTION("""COMPUTED_VALUE"""),"Expensive")</f>
        <v>Expensive</v>
      </c>
      <c r="B60" s="8" t="str">
        <f>IFERROR(__xludf.DUMMYFUNCTION("""COMPUTED_VALUE"""),"(costly, valuable, exorbitant) ")</f>
        <v>(costly, valuable, exorbitant) </v>
      </c>
      <c r="C60" s="13" t="str">
        <f>IFERROR(__xludf.DUMMYFUNCTION("""COMPUTED_VALUE"""),"""gkss"":{""label"":""Expensive"",""extra"":""(costly, valuable, exorbitant) "",""sets"":""Basic Set, Party Set""},")</f>
        <v>"gkss":{"label":"Expensive","extra":"(costly, valuable, exorbitant) ","sets":"Basic Set, Party Set"},</v>
      </c>
    </row>
    <row r="61">
      <c r="A61" s="8" t="str">
        <f>IFERROR(__xludf.DUMMYFUNCTION("""COMPUTED_VALUE"""),"Famous")</f>
        <v>Famous</v>
      </c>
      <c r="B61" s="8" t="str">
        <f>IFERROR(__xludf.DUMMYFUNCTION("""COMPUTED_VALUE"""),"(well-known, celebrated, distinguished) ")</f>
        <v>(well-known, celebrated, distinguished) </v>
      </c>
      <c r="C61" s="13" t="str">
        <f>IFERROR(__xludf.DUMMYFUNCTION("""COMPUTED_VALUE"""),"""ymub"":{""label"":""Famous"",""extra"":""(well-known, celebrated, distinguished) "",""sets"":""Expansion Set 3, Party Expansion 1""},")</f>
        <v>"ymub":{"label":"Famous","extra":"(well-known, celebrated, distinguished) ","sets":"Expansion Set 3, Party Expansion 1"},</v>
      </c>
    </row>
    <row r="62">
      <c r="A62" s="8" t="str">
        <f>IFERROR(__xludf.DUMMYFUNCTION("""COMPUTED_VALUE"""),"Fascinating")</f>
        <v>Fascinating</v>
      </c>
      <c r="B62" s="8" t="str">
        <f>IFERROR(__xludf.DUMMYFUNCTION("""COMPUTED_VALUE"""),"(interesting, attractive) ")</f>
        <v>(interesting, attractive) </v>
      </c>
      <c r="C62" s="13" t="str">
        <f>IFERROR(__xludf.DUMMYFUNCTION("""COMPUTED_VALUE"""),"""yubk"":{""label"":""Fascinating"",""extra"":""(interesting, attractive) "",""sets"":""Junior 9+ (2nd)""},")</f>
        <v>"yubk":{"label":"Fascinating","extra":"(interesting, attractive) ","sets":"Junior 9+ (2nd)"},</v>
      </c>
    </row>
    <row r="63">
      <c r="A63" s="8" t="str">
        <f>IFERROR(__xludf.DUMMYFUNCTION("""COMPUTED_VALUE"""),"Fashionable")</f>
        <v>Fashionable</v>
      </c>
      <c r="B63" s="8" t="str">
        <f>IFERROR(__xludf.DUMMYFUNCTION("""COMPUTED_VALUE"""),"(stylish, dashing, current) ")</f>
        <v>(stylish, dashing, current) </v>
      </c>
      <c r="C63" s="13" t="str">
        <f>IFERROR(__xludf.DUMMYFUNCTION("""COMPUTED_VALUE"""),"""lgoo"":{""label"":""Fashionable"",""extra"":""(stylish, dashing, current) "",""sets"":""Expansion Set 3, Party Expansion 1""},")</f>
        <v>"lgoo":{"label":"Fashionable","extra":"(stylish, dashing, current) ","sets":"Expansion Set 3, Party Expansion 1"},</v>
      </c>
    </row>
    <row r="64">
      <c r="A64" s="8" t="str">
        <f>IFERROR(__xludf.DUMMYFUNCTION("""COMPUTED_VALUE"""),"Fast")</f>
        <v>Fast</v>
      </c>
      <c r="B64" s="8" t="str">
        <f>IFERROR(__xludf.DUMMYFUNCTION("""COMPUTED_VALUE"""),"(swift, quick, rapid) ")</f>
        <v>(swift, quick, rapid) </v>
      </c>
      <c r="C64" s="13" t="str">
        <f>IFERROR(__xludf.DUMMYFUNCTION("""COMPUTED_VALUE"""),"""kvgh"":{""label"":""Fast"",""extra"":""(swift, quick, rapid) "",""sets"":""Expansion Set 3, Party Expansion 1""},")</f>
        <v>"kvgh":{"label":"Fast","extra":"(swift, quick, rapid) ","sets":"Expansion Set 3, Party Expansion 1"},</v>
      </c>
    </row>
    <row r="65">
      <c r="A65" s="8" t="str">
        <f>IFERROR(__xludf.DUMMYFUNCTION("""COMPUTED_VALUE"""),"Fast &amp; Furious")</f>
        <v>Fast &amp; Furious</v>
      </c>
      <c r="B65" s="8" t="str">
        <f>IFERROR(__xludf.DUMMYFUNCTION("""COMPUTED_VALUE"""),"(wild, reckless, breakneck) ")</f>
        <v>(wild, reckless, breakneck) </v>
      </c>
      <c r="C65" s="13" t="str">
        <f>IFERROR(__xludf.DUMMYFUNCTION("""COMPUTED_VALUE"""),"""muyf"":{""label"":""Fast &amp; Furious"",""extra"":""(wild, reckless, breakneck) "",""sets"":""Expansion Set 4, Party Expansion 1""},")</f>
        <v>"muyf":{"label":"Fast &amp; Furious","extra":"(wild, reckless, breakneck) ","sets":"Expansion Set 4, Party Expansion 1"},</v>
      </c>
    </row>
    <row r="66">
      <c r="A66" s="8" t="str">
        <f>IFERROR(__xludf.DUMMYFUNCTION("""COMPUTED_VALUE"""),"Fast &amp; Loose")</f>
        <v>Fast &amp; Loose</v>
      </c>
      <c r="B66" s="8" t="str">
        <f>IFERROR(__xludf.DUMMYFUNCTION("""COMPUTED_VALUE"""),"(deceitful, fraudulent, reckless) ")</f>
        <v>(deceitful, fraudulent, reckless) </v>
      </c>
      <c r="C66" s="13" t="str">
        <f>IFERROR(__xludf.DUMMYFUNCTION("""COMPUTED_VALUE"""),"""rdyj"":{""label"":""Fast &amp; Loose"",""extra"":""(deceitful, fraudulent, reckless) "",""sets"":""Expansion Set 4, Party Expansion 1""},")</f>
        <v>"rdyj":{"label":"Fast &amp; Loose","extra":"(deceitful, fraudulent, reckless) ","sets":"Expansion Set 4, Party Expansion 1"},</v>
      </c>
    </row>
    <row r="67">
      <c r="A67" s="8" t="str">
        <f>IFERROR(__xludf.DUMMYFUNCTION("""COMPUTED_VALUE"""),"Fat &amp; Happy")</f>
        <v>Fat &amp; Happy</v>
      </c>
      <c r="B67" s="8" t="str">
        <f>IFERROR(__xludf.DUMMYFUNCTION("""COMPUTED_VALUE"""),"(content, satisfied, assured) ")</f>
        <v>(content, satisfied, assured) </v>
      </c>
      <c r="C67" s="13" t="str">
        <f>IFERROR(__xludf.DUMMYFUNCTION("""COMPUTED_VALUE"""),"""kgyn"":{""label"":""Fat &amp; Happy"",""extra"":""(content, satisfied, assured) "",""sets"":""Expansion Set 4, Party Expansion 1""},")</f>
        <v>"kgyn":{"label":"Fat &amp; Happy","extra":"(content, satisfied, assured) ","sets":"Expansion Set 4, Party Expansion 1"},</v>
      </c>
    </row>
    <row r="68">
      <c r="A68" s="8" t="str">
        <f>IFERROR(__xludf.DUMMYFUNCTION("""COMPUTED_VALUE"""),"Flaky")</f>
        <v>Flaky</v>
      </c>
      <c r="B68" s="8" t="str">
        <f>IFERROR(__xludf.DUMMYFUNCTION("""COMPUTED_VALUE"""),"(foolish, eccentric, crispy) ")</f>
        <v>(foolish, eccentric, crispy) </v>
      </c>
      <c r="C68" s="13" t="str">
        <f>IFERROR(__xludf.DUMMYFUNCTION("""COMPUTED_VALUE"""),"""quqs"":{""label"":""Flaky"",""extra"":""(foolish, eccentric, crispy) "",""sets"":""Expansion Set 3, Party Expansion 1""},")</f>
        <v>"quqs":{"label":"Flaky","extra":"(foolish, eccentric, crispy) ","sets":"Expansion Set 3, Party Expansion 1"},</v>
      </c>
    </row>
    <row r="69">
      <c r="A69" s="8" t="str">
        <f>IFERROR(__xludf.DUMMYFUNCTION("""COMPUTED_VALUE"""),"Flamboyant")</f>
        <v>Flamboyant</v>
      </c>
      <c r="B69" s="8" t="str">
        <f>IFERROR(__xludf.DUMMYFUNCTION("""COMPUTED_VALUE"""),"(ornate, pompous, extravagant) ")</f>
        <v>(ornate, pompous, extravagant) </v>
      </c>
      <c r="C69" s="13" t="str">
        <f>IFERROR(__xludf.DUMMYFUNCTION("""COMPUTED_VALUE"""),"""vamo"":{""label"":""Flamboyant"",""extra"":""(ornate, pompous, extravagant) "",""sets"":""Expansion Set 3, Party Expansion 1""},")</f>
        <v>"vamo":{"label":"Flamboyant","extra":"(ornate, pompous, extravagant) ","sets":"Expansion Set 3, Party Expansion 1"},</v>
      </c>
    </row>
    <row r="70">
      <c r="A70" s="8" t="str">
        <f>IFERROR(__xludf.DUMMYFUNCTION("""COMPUTED_VALUE"""),"Flavorful")</f>
        <v>Flavorful</v>
      </c>
      <c r="B70" s="8" t="str">
        <f>IFERROR(__xludf.DUMMYFUNCTION("""COMPUTED_VALUE"""),"(tasty, savory, pungent) ")</f>
        <v>(tasty, savory, pungent) </v>
      </c>
      <c r="C70" s="13" t="str">
        <f>IFERROR(__xludf.DUMMYFUNCTION("""COMPUTED_VALUE"""),"""ixnn"":{""label"":""Flavorful"",""extra"":""(tasty, savory, pungent) "",""sets"":""Expansion Set 3, Party Expansion 1""},")</f>
        <v>"ixnn":{"label":"Flavorful","extra":"(tasty, savory, pungent) ","sets":"Expansion Set 3, Party Expansion 1"},</v>
      </c>
    </row>
    <row r="71">
      <c r="A71" s="8" t="str">
        <f>IFERROR(__xludf.DUMMYFUNCTION("""COMPUTED_VALUE"""),"Flawed")</f>
        <v>Flawed</v>
      </c>
      <c r="B71" s="8" t="str">
        <f>IFERROR(__xludf.DUMMYFUNCTION("""COMPUTED_VALUE"""),"(imperfect, defective, unsound) ")</f>
        <v>(imperfect, defective, unsound) </v>
      </c>
      <c r="C71" s="13" t="str">
        <f>IFERROR(__xludf.DUMMYFUNCTION("""COMPUTED_VALUE"""),"""xjhp"":{""label"":""Flawed"",""extra"":""(imperfect, defective, unsound) "",""sets"":""Expansion Set 3, Party Expansion 1""},")</f>
        <v>"xjhp":{"label":"Flawed","extra":"(imperfect, defective, unsound) ","sets":"Expansion Set 3, Party Expansion 1"},</v>
      </c>
    </row>
    <row r="72">
      <c r="A72" s="8" t="str">
        <f>IFERROR(__xludf.DUMMYFUNCTION("""COMPUTED_VALUE"""),"Foot Loose &amp; Fancy Free")</f>
        <v>Foot Loose &amp; Fancy Free</v>
      </c>
      <c r="B72" s="8" t="str">
        <f>IFERROR(__xludf.DUMMYFUNCTION("""COMPUTED_VALUE"""),"(lighthearted, carefree, spontaneous) ")</f>
        <v>(lighthearted, carefree, spontaneous) </v>
      </c>
      <c r="C72" s="13" t="str">
        <f>IFERROR(__xludf.DUMMYFUNCTION("""COMPUTED_VALUE"""),"""gsdx"":{""label"":""Foot Loose &amp; Fancy Free"",""extra"":""(lighthearted, carefree, spontaneous) "",""sets"":""Expansion Set 4, Party Expansion 1""},")</f>
        <v>"gsdx":{"label":"Foot Loose &amp; Fancy Free","extra":"(lighthearted, carefree, spontaneous) ","sets":"Expansion Set 4, Party Expansion 1"},</v>
      </c>
    </row>
    <row r="73">
      <c r="A73" s="8" t="str">
        <f>IFERROR(__xludf.DUMMYFUNCTION("""COMPUTED_VALUE"""),"Fragile")</f>
        <v>Fragile</v>
      </c>
      <c r="B73" s="8" t="str">
        <f>IFERROR(__xludf.DUMMYFUNCTION("""COMPUTED_VALUE"""),"(delicate, frail, breakable) ")</f>
        <v>(delicate, frail, breakable) </v>
      </c>
      <c r="C73" s="13" t="str">
        <f>IFERROR(__xludf.DUMMYFUNCTION("""COMPUTED_VALUE"""),"""mrpq"":{""label"":""Fragile"",""extra"":""(delicate, frail, breakable) "",""sets"":""Expansion Set 3, Party Expansion 1""},")</f>
        <v>"mrpq":{"label":"Fragile","extra":"(delicate, frail, breakable) ","sets":"Expansion Set 3, Party Expansion 1"},</v>
      </c>
    </row>
    <row r="74">
      <c r="A74" s="8" t="str">
        <f>IFERROR(__xludf.DUMMYFUNCTION("""COMPUTED_VALUE"""),"Friendly")</f>
        <v>Friendly</v>
      </c>
      <c r="B74" s="8" t="str">
        <f>IFERROR(__xludf.DUMMYFUNCTION("""COMPUTED_VALUE"""),"(affectionate, comforting, welcoming) ")</f>
        <v>(affectionate, comforting, welcoming) </v>
      </c>
      <c r="C74" s="13" t="str">
        <f>IFERROR(__xludf.DUMMYFUNCTION("""COMPUTED_VALUE"""),"""pabe"":{""label"":""Friendly"",""extra"":""(affectionate, comforting, welcoming) "",""sets"":""Expansion Set 2, Party Set""},")</f>
        <v>"pabe":{"label":"Friendly","extra":"(affectionate, comforting, welcoming) ","sets":"Expansion Set 2, Party Set"},</v>
      </c>
    </row>
    <row r="75">
      <c r="A75" s="8" t="str">
        <f>IFERROR(__xludf.DUMMYFUNCTION("""COMPUTED_VALUE"""),"Frightening")</f>
        <v>Frightening</v>
      </c>
      <c r="B75" s="8" t="str">
        <f>IFERROR(__xludf.DUMMYFUNCTION("""COMPUTED_VALUE"""),"(scary, horrifying) ")</f>
        <v>(scary, horrifying) </v>
      </c>
      <c r="C75" s="13" t="str">
        <f>IFERROR(__xludf.DUMMYFUNCTION("""COMPUTED_VALUE"""),"""auth"":{""label"":""Frightening"",""extra"":""(scary, horrifying) "",""sets"":""Junior 9+ (1st) &amp; (2nd)""},")</f>
        <v>"auth":{"label":"Frightening","extra":"(scary, horrifying) ","sets":"Junior 9+ (1st) &amp; (2nd)"},</v>
      </c>
    </row>
    <row r="76">
      <c r="A76" s="8" t="str">
        <f>IFERROR(__xludf.DUMMYFUNCTION("""COMPUTED_VALUE"""),"Fun")</f>
        <v>Fun</v>
      </c>
      <c r="B76" s="8" t="str">
        <f>IFERROR(__xludf.DUMMYFUNCTION("""COMPUTED_VALUE"""),"(enjoyable, playful, amusing) ")</f>
        <v>(enjoyable, playful, amusing) </v>
      </c>
      <c r="C76" s="13" t="str">
        <f>IFERROR(__xludf.DUMMYFUNCTION("""COMPUTED_VALUE"""),"""yvjp"":{""label"":""Fun"",""extra"":""(enjoyable, playful, amusing) "",""sets"":""Expansion Set 3, Party Expansion 1""},")</f>
        <v>"yvjp":{"label":"Fun","extra":"(enjoyable, playful, amusing) ","sets":"Expansion Set 3, Party Expansion 1"},</v>
      </c>
    </row>
    <row r="77">
      <c r="A77" s="8" t="str">
        <f>IFERROR(__xludf.DUMMYFUNCTION("""COMPUTED_VALUE"""),"Funny")</f>
        <v>Funny</v>
      </c>
      <c r="B77" s="8" t="str">
        <f>IFERROR(__xludf.DUMMYFUNCTION("""COMPUTED_VALUE"""),"(amusing, comic, odd) ")</f>
        <v>(amusing, comic, odd) </v>
      </c>
      <c r="C77" s="13" t="str">
        <f>IFERROR(__xludf.DUMMYFUNCTION("""COMPUTED_VALUE"""),"""hnfn"":{""label"":""Funny"",""extra"":""(amusing, comic, odd) "",""sets"":""Expansion Set 1, Party Set""},")</f>
        <v>"hnfn":{"label":"Funny","extra":"(amusing, comic, odd) ","sets":"Expansion Set 1, Party Set"},</v>
      </c>
    </row>
    <row r="78">
      <c r="A78" s="8" t="str">
        <f>IFERROR(__xludf.DUMMYFUNCTION("""COMPUTED_VALUE"""),"Gigantic")</f>
        <v>Gigantic</v>
      </c>
      <c r="B78" s="8" t="str">
        <f>IFERROR(__xludf.DUMMYFUNCTION("""COMPUTED_VALUE"""),"(huge, large) ")</f>
        <v>(huge, large) </v>
      </c>
      <c r="C78" s="13" t="str">
        <f>IFERROR(__xludf.DUMMYFUNCTION("""COMPUTED_VALUE"""),"""rpev"":{""label"":""Gigantic"",""extra"":""(huge, large) "",""sets"":""Junior 9+ (2nd)""},")</f>
        <v>"rpev":{"label":"Gigantic","extra":"(huge, large) ","sets":"Junior 9+ (2nd)"},</v>
      </c>
    </row>
    <row r="79">
      <c r="A79" s="8" t="str">
        <f>IFERROR(__xludf.DUMMYFUNCTION("""COMPUTED_VALUE"""),"Glamorous")</f>
        <v>Glamorous</v>
      </c>
      <c r="B79" s="8" t="str">
        <f>IFERROR(__xludf.DUMMYFUNCTION("""COMPUTED_VALUE"""),"(beautiful, dazzling, stylish) ")</f>
        <v>(beautiful, dazzling, stylish) </v>
      </c>
      <c r="C79" s="13" t="str">
        <f>IFERROR(__xludf.DUMMYFUNCTION("""COMPUTED_VALUE"""),"""ipir"":{""label"":""Glamorous"",""extra"":""(beautiful, dazzling, stylish) "",""sets"":""Expansion Set 1, Party Set""},")</f>
        <v>"ipir":{"label":"Glamorous","extra":"(beautiful, dazzling, stylish) ","sets":"Expansion Set 1, Party Set"},</v>
      </c>
    </row>
    <row r="80">
      <c r="A80" s="8" t="str">
        <f>IFERROR(__xludf.DUMMYFUNCTION("""COMPUTED_VALUE"""),"Gloomy")</f>
        <v>Gloomy</v>
      </c>
      <c r="B80" s="8" t="str">
        <f>IFERROR(__xludf.DUMMYFUNCTION("""COMPUTED_VALUE"""),"(dreary, depressing, sullen) ")</f>
        <v>(dreary, depressing, sullen) </v>
      </c>
      <c r="C80" s="13" t="str">
        <f>IFERROR(__xludf.DUMMYFUNCTION("""COMPUTED_VALUE"""),"""bniq"":{""label"":""Gloomy"",""extra"":""(dreary, depressing, sullen) "",""sets"":""Expansion Set 3, Party Expansion 1""},")</f>
        <v>"bniq":{"label":"Gloomy","extra":"(dreary, depressing, sullen) ","sets":"Expansion Set 3, Party Expansion 1"},</v>
      </c>
    </row>
    <row r="81">
      <c r="A81" s="8" t="str">
        <f>IFERROR(__xludf.DUMMYFUNCTION("""COMPUTED_VALUE"""),"Goofy")</f>
        <v>Goofy</v>
      </c>
      <c r="B81" s="8" t="str">
        <f>IFERROR(__xludf.DUMMYFUNCTION("""COMPUTED_VALUE"""),"(silly, foolish, giddy) ")</f>
        <v>(silly, foolish, giddy) </v>
      </c>
      <c r="C81" s="13" t="str">
        <f>IFERROR(__xludf.DUMMYFUNCTION("""COMPUTED_VALUE"""),"""essj"":{""label"":""Goofy"",""extra"":""(silly, foolish, giddy) "",""sets"":""Expansion Set 3, Party Expansion 1""},")</f>
        <v>"essj":{"label":"Goofy","extra":"(silly, foolish, giddy) ","sets":"Expansion Set 3, Party Expansion 1"},</v>
      </c>
    </row>
    <row r="82">
      <c r="A82" s="8" t="str">
        <f>IFERROR(__xludf.DUMMYFUNCTION("""COMPUTED_VALUE"""),"Gorgeous")</f>
        <v>Gorgeous</v>
      </c>
      <c r="B82" s="8" t="str">
        <f>IFERROR(__xludf.DUMMYFUNCTION("""COMPUTED_VALUE"""),"(beautiful, stunning, magnificent) ")</f>
        <v>(beautiful, stunning, magnificent) </v>
      </c>
      <c r="C82" s="13" t="str">
        <f>IFERROR(__xludf.DUMMYFUNCTION("""COMPUTED_VALUE"""),"""qmjy"":{""label"":""Gorgeous"",""extra"":""(beautiful, stunning, magnificent) "",""sets"":""Expansion Set 3, Party Expansion 1""},")</f>
        <v>"qmjy":{"label":"Gorgeous","extra":"(beautiful, stunning, magnificent) ","sets":"Expansion Set 3, Party Expansion 1"},</v>
      </c>
    </row>
    <row r="83">
      <c r="A83" s="8" t="str">
        <f>IFERROR(__xludf.DUMMYFUNCTION("""COMPUTED_VALUE"""),"Gorgeous")</f>
        <v>Gorgeous</v>
      </c>
      <c r="B83" s="8" t="str">
        <f>IFERROR(__xludf.DUMMYFUNCTION("""COMPUTED_VALUE"""),"(beautiful, dazzling) ")</f>
        <v>(beautiful, dazzling) </v>
      </c>
      <c r="C83" s="13" t="str">
        <f>IFERROR(__xludf.DUMMYFUNCTION("""COMPUTED_VALUE"""),"""dggn"":{""label"":""Gorgeous"",""extra"":""(beautiful, dazzling) "",""sets"":""Junior 9+ (2nd)""},")</f>
        <v>"dggn":{"label":"Gorgeous","extra":"(beautiful, dazzling) ","sets":"Junior 9+ (2nd)"},</v>
      </c>
    </row>
    <row r="84">
      <c r="A84" s="8" t="str">
        <f>IFERROR(__xludf.DUMMYFUNCTION("""COMPUTED_VALUE"""),"Grueling")</f>
        <v>Grueling</v>
      </c>
      <c r="B84" s="8" t="str">
        <f>IFERROR(__xludf.DUMMYFUNCTION("""COMPUTED_VALUE"""),"(demanding, exhausting, strenuous) ")</f>
        <v>(demanding, exhausting, strenuous) </v>
      </c>
      <c r="C84" s="13" t="str">
        <f>IFERROR(__xludf.DUMMYFUNCTION("""COMPUTED_VALUE"""),"""gtdi"":{""label"":""Grueling"",""extra"":""(demanding, exhausting, strenuous) "",""sets"":""Expansion Set 3, Party Expansion 1""},")</f>
        <v>"gtdi":{"label":"Grueling","extra":"(demanding, exhausting, strenuous) ","sets":"Expansion Set 3, Party Expansion 1"},</v>
      </c>
    </row>
    <row r="85">
      <c r="A85" s="8" t="str">
        <f>IFERROR(__xludf.DUMMYFUNCTION("""COMPUTED_VALUE"""),"Gruesome")</f>
        <v>Gruesome</v>
      </c>
      <c r="B85" s="8" t="str">
        <f>IFERROR(__xludf.DUMMYFUNCTION("""COMPUTED_VALUE"""),"(ghastly, hideous, grisly) ")</f>
        <v>(ghastly, hideous, grisly) </v>
      </c>
      <c r="C85" s="13" t="str">
        <f>IFERROR(__xludf.DUMMYFUNCTION("""COMPUTED_VALUE"""),"""xnad"":{""label"":""Gruesome"",""extra"":""(ghastly, hideous, grisly) "",""sets"":""Expansion Set 3, Party Expansion 1""},")</f>
        <v>"xnad":{"label":"Gruesome","extra":"(ghastly, hideous, grisly) ","sets":"Expansion Set 3, Party Expansion 1"},</v>
      </c>
    </row>
    <row r="86">
      <c r="A86" s="8" t="str">
        <f>IFERROR(__xludf.DUMMYFUNCTION("""COMPUTED_VALUE"""),"Grungy")</f>
        <v>Grungy</v>
      </c>
      <c r="B86" s="8" t="str">
        <f>IFERROR(__xludf.DUMMYFUNCTION("""COMPUTED_VALUE"""),"(dirty, shabby, seedy) ")</f>
        <v>(dirty, shabby, seedy) </v>
      </c>
      <c r="C86" s="13" t="str">
        <f>IFERROR(__xludf.DUMMYFUNCTION("""COMPUTED_VALUE"""),"""luoa"":{""label"":""Grungy"",""extra"":""(dirty, shabby, seedy) "",""sets"":""Expansion Set 3, Party Expansion 1""},")</f>
        <v>"luoa":{"label":"Grungy","extra":"(dirty, shabby, seedy) ","sets":"Expansion Set 3, Party Expansion 1"},</v>
      </c>
    </row>
    <row r="87">
      <c r="A87" s="8" t="str">
        <f>IFERROR(__xludf.DUMMYFUNCTION("""COMPUTED_VALUE"""),"Handy")</f>
        <v>Handy</v>
      </c>
      <c r="B87" s="8" t="str">
        <f>IFERROR(__xludf.DUMMYFUNCTION("""COMPUTED_VALUE"""),"(convenient, available, capable) ")</f>
        <v>(convenient, available, capable) </v>
      </c>
      <c r="C87" s="13" t="str">
        <f>IFERROR(__xludf.DUMMYFUNCTION("""COMPUTED_VALUE"""),"""shir"":{""label"":""Handy"",""extra"":""(convenient, available, capable) "",""sets"":""Expansion Set 3, Party Expansion 1""},")</f>
        <v>"shir":{"label":"Handy","extra":"(convenient, available, capable) ","sets":"Expansion Set 3, Party Expansion 1"},</v>
      </c>
    </row>
    <row r="88">
      <c r="A88" s="8" t="str">
        <f>IFERROR(__xludf.DUMMYFUNCTION("""COMPUTED_VALUE"""),"Hardworking")</f>
        <v>Hardworking</v>
      </c>
      <c r="B88" s="8" t="str">
        <f>IFERROR(__xludf.DUMMYFUNCTION("""COMPUTED_VALUE"""),"(industrious, diligent, busy) ")</f>
        <v>(industrious, diligent, busy) </v>
      </c>
      <c r="C88" s="13" t="str">
        <f>IFERROR(__xludf.DUMMYFUNCTION("""COMPUTED_VALUE"""),"""uvpy"":{""label"":""Hardworking"",""extra"":""(industrious, diligent, busy) "",""sets"":""Basic Set, Party Set""},")</f>
        <v>"uvpy":{"label":"Hardworking","extra":"(industrious, diligent, busy) ","sets":"Basic Set, Party Set"},</v>
      </c>
    </row>
    <row r="89">
      <c r="A89" s="8" t="str">
        <f>IFERROR(__xludf.DUMMYFUNCTION("""COMPUTED_VALUE"""),"Harsh")</f>
        <v>Harsh</v>
      </c>
      <c r="B89" s="8" t="str">
        <f>IFERROR(__xludf.DUMMYFUNCTION("""COMPUTED_VALUE"""),"(severe, glaring, brutal) ")</f>
        <v>(severe, glaring, brutal) </v>
      </c>
      <c r="C89" s="13" t="str">
        <f>IFERROR(__xludf.DUMMYFUNCTION("""COMPUTED_VALUE"""),"""yfkr"":{""label"":""Harsh"",""extra"":""(severe, glaring, brutal) "",""sets"":""Expansion Set 3, Party Expansion 1""},")</f>
        <v>"yfkr":{"label":"Harsh","extra":"(severe, glaring, brutal) ","sets":"Expansion Set 3, Party Expansion 1"},</v>
      </c>
    </row>
    <row r="90">
      <c r="A90" s="8" t="str">
        <f>IFERROR(__xludf.DUMMYFUNCTION("""COMPUTED_VALUE"""),"Hazardous")</f>
        <v>Hazardous</v>
      </c>
      <c r="B90" s="8" t="str">
        <f>IFERROR(__xludf.DUMMYFUNCTION("""COMPUTED_VALUE"""),"(risky, dangerous, perilous) ")</f>
        <v>(risky, dangerous, perilous) </v>
      </c>
      <c r="C90" s="13" t="str">
        <f>IFERROR(__xludf.DUMMYFUNCTION("""COMPUTED_VALUE"""),"""vqgn"":{""label"":""Hazardous"",""extra"":""(risky, dangerous, perilous) "",""sets"":""Expansion Set 3, Party Expansion 1""},")</f>
        <v>"vqgn":{"label":"Hazardous","extra":"(risky, dangerous, perilous) ","sets":"Expansion Set 3, Party Expansion 1"},</v>
      </c>
    </row>
    <row r="91">
      <c r="A91" s="8" t="str">
        <f>IFERROR(__xludf.DUMMYFUNCTION("""COMPUTED_VALUE"""),"High &amp; Dry")</f>
        <v>High &amp; Dry</v>
      </c>
      <c r="B91" s="8" t="str">
        <f>IFERROR(__xludf.DUMMYFUNCTION("""COMPUTED_VALUE"""),"(abandoned, alone, helpless) ")</f>
        <v>(abandoned, alone, helpless) </v>
      </c>
      <c r="C91" s="13" t="str">
        <f>IFERROR(__xludf.DUMMYFUNCTION("""COMPUTED_VALUE"""),"""ofgj"":{""label"":""High &amp; Dry"",""extra"":""(abandoned, alone, helpless) "",""sets"":""Expansion Set 4, Party Expansion 1""},")</f>
        <v>"ofgj":{"label":"High &amp; Dry","extra":"(abandoned, alone, helpless) ","sets":"Expansion Set 4, Party Expansion 1"},</v>
      </c>
    </row>
    <row r="92">
      <c r="A92" s="8" t="str">
        <f>IFERROR(__xludf.DUMMYFUNCTION("""COMPUTED_VALUE"""),"High &amp; Low")</f>
        <v>High &amp; Low</v>
      </c>
      <c r="B92" s="8" t="str">
        <f>IFERROR(__xludf.DUMMYFUNCTION("""COMPUTED_VALUE"""),"(everywhere, universally, all over) ")</f>
        <v>(everywhere, universally, all over) </v>
      </c>
      <c r="C92" s="13" t="str">
        <f>IFERROR(__xludf.DUMMYFUNCTION("""COMPUTED_VALUE"""),"""yvtu"":{""label"":""High &amp; Low"",""extra"":""(everywhere, universally, all over) "",""sets"":""Expansion Set 4, Party Expansion 1""},")</f>
        <v>"yvtu":{"label":"High &amp; Low","extra":"(everywhere, universally, all over) ","sets":"Expansion Set 4, Party Expansion 1"},</v>
      </c>
    </row>
    <row r="93">
      <c r="A93" s="8" t="str">
        <f>IFERROR(__xludf.DUMMYFUNCTION("""COMPUTED_VALUE"""),"High &amp; Mighty")</f>
        <v>High &amp; Mighty</v>
      </c>
      <c r="B93" s="8" t="str">
        <f>IFERROR(__xludf.DUMMYFUNCTION("""COMPUTED_VALUE"""),"(arrogant, conceited, vain) ")</f>
        <v>(arrogant, conceited, vain) </v>
      </c>
      <c r="C93" s="13" t="str">
        <f>IFERROR(__xludf.DUMMYFUNCTION("""COMPUTED_VALUE"""),"""nqxc"":{""label"":""High &amp; Mighty"",""extra"":""(arrogant, conceited, vain) "",""sets"":""Expansion Set 4, Party Expansion 1""},")</f>
        <v>"nqxc":{"label":"High &amp; Mighty","extra":"(arrogant, conceited, vain) ","sets":"Expansion Set 4, Party Expansion 1"},</v>
      </c>
    </row>
    <row r="94">
      <c r="A94" s="8" t="str">
        <f>IFERROR(__xludf.DUMMYFUNCTION("""COMPUTED_VALUE"""),"Hit &amp; Miss")</f>
        <v>Hit &amp; Miss</v>
      </c>
      <c r="B94" s="8" t="str">
        <f>IFERROR(__xludf.DUMMYFUNCTION("""COMPUTED_VALUE"""),"(sporadic, unreliable, erratic) ")</f>
        <v>(sporadic, unreliable, erratic) </v>
      </c>
      <c r="C94" s="13" t="str">
        <f>IFERROR(__xludf.DUMMYFUNCTION("""COMPUTED_VALUE"""),"""wkty"":{""label"":""Hit &amp; Miss"",""extra"":""(sporadic, unreliable, erratic) "",""sets"":""Expansion Set 4, Party Expansion 1""},")</f>
        <v>"wkty":{"label":"Hit &amp; Miss","extra":"(sporadic, unreliable, erratic) ","sets":"Expansion Set 4, Party Expansion 1"},</v>
      </c>
    </row>
    <row r="95">
      <c r="A95" s="8" t="str">
        <f>IFERROR(__xludf.DUMMYFUNCTION("""COMPUTED_VALUE"""),"Hot")</f>
        <v>Hot</v>
      </c>
      <c r="B95" s="8" t="str">
        <f>IFERROR(__xludf.DUMMYFUNCTION("""COMPUTED_VALUE"""),"(blazing, heated, spicy) ")</f>
        <v>(blazing, heated, spicy) </v>
      </c>
      <c r="C95" s="13" t="str">
        <f>IFERROR(__xludf.DUMMYFUNCTION("""COMPUTED_VALUE"""),"""lrpt"":{""label"":""Hot"",""extra"":""(blazing, heated, spicy) "",""sets"":""Expansion Set 1, Party Set""},")</f>
        <v>"lrpt":{"label":"Hot","extra":"(blazing, heated, spicy) ","sets":"Expansion Set 1, Party Set"},</v>
      </c>
    </row>
    <row r="96">
      <c r="A96" s="8" t="str">
        <f>IFERROR(__xludf.DUMMYFUNCTION("""COMPUTED_VALUE"""),"Hot &amp; Bothered")</f>
        <v>Hot &amp; Bothered</v>
      </c>
      <c r="B96" s="8" t="str">
        <f>IFERROR(__xludf.DUMMYFUNCTION("""COMPUTED_VALUE"""),"(annoyed, irritated, provoked) ")</f>
        <v>(annoyed, irritated, provoked) </v>
      </c>
      <c r="C96" s="13" t="str">
        <f>IFERROR(__xludf.DUMMYFUNCTION("""COMPUTED_VALUE"""),"""yshe"":{""label"":""Hot &amp; Bothered"",""extra"":""(annoyed, irritated, provoked) "",""sets"":""Expansion Set 4, Party Expansion 1""},")</f>
        <v>"yshe":{"label":"Hot &amp; Bothered","extra":"(annoyed, irritated, provoked) ","sets":"Expansion Set 4, Party Expansion 1"},</v>
      </c>
    </row>
    <row r="97">
      <c r="A97" s="8" t="str">
        <f>IFERROR(__xludf.DUMMYFUNCTION("""COMPUTED_VALUE"""),"Hot &amp; Cold")</f>
        <v>Hot &amp; Cold</v>
      </c>
      <c r="B97" s="8" t="str">
        <f>IFERROR(__xludf.DUMMYFUNCTION("""COMPUTED_VALUE"""),"(ambivalent, indecisive, varying) ")</f>
        <v>(ambivalent, indecisive, varying) </v>
      </c>
      <c r="C97" s="13" t="str">
        <f>IFERROR(__xludf.DUMMYFUNCTION("""COMPUTED_VALUE"""),"""lbyw"":{""label"":""Hot &amp; Cold"",""extra"":""(ambivalent, indecisive, varying) "",""sets"":""Expansion Set 4, Party Expansion 1""},")</f>
        <v>"lbyw":{"label":"Hot &amp; Cold","extra":"(ambivalent, indecisive, varying) ","sets":"Expansion Set 4, Party Expansion 1"},</v>
      </c>
    </row>
    <row r="98">
      <c r="A98" s="8" t="str">
        <f>IFERROR(__xludf.DUMMYFUNCTION("""COMPUTED_VALUE"""),"Hot &amp; Muggy")</f>
        <v>Hot &amp; Muggy</v>
      </c>
      <c r="B98" s="8" t="str">
        <f>IFERROR(__xludf.DUMMYFUNCTION("""COMPUTED_VALUE"""),"(sultry, humid, oppressive) ")</f>
        <v>(sultry, humid, oppressive) </v>
      </c>
      <c r="C98" s="13" t="str">
        <f>IFERROR(__xludf.DUMMYFUNCTION("""COMPUTED_VALUE"""),"""cdla"":{""label"":""Hot &amp; Muggy"",""extra"":""(sultry, humid, oppressive) "",""sets"":""Expansion Set 4, Party Expansion 1""},")</f>
        <v>"cdla":{"label":"Hot &amp; Muggy","extra":"(sultry, humid, oppressive) ","sets":"Expansion Set 4, Party Expansion 1"},</v>
      </c>
    </row>
    <row r="99">
      <c r="A99" s="8" t="str">
        <f>IFERROR(__xludf.DUMMYFUNCTION("""COMPUTED_VALUE"""),"Hot &amp; Spicy")</f>
        <v>Hot &amp; Spicy</v>
      </c>
      <c r="B99" s="8" t="str">
        <f>IFERROR(__xludf.DUMMYFUNCTION("""COMPUTED_VALUE"""),"(zesty, stimulating, pungent) ")</f>
        <v>(zesty, stimulating, pungent) </v>
      </c>
      <c r="C99" s="13" t="str">
        <f>IFERROR(__xludf.DUMMYFUNCTION("""COMPUTED_VALUE"""),"""kpzs"":{""label"":""Hot &amp; Spicy"",""extra"":""(zesty, stimulating, pungent) "",""sets"":""Expansion Set 4, Party Expansion 1""},")</f>
        <v>"kpzs":{"label":"Hot &amp; Spicy","extra":"(zesty, stimulating, pungent) ","sets":"Expansion Set 4, Party Expansion 1"},</v>
      </c>
    </row>
    <row r="100">
      <c r="A100" s="8" t="str">
        <f>IFERROR(__xludf.DUMMYFUNCTION("""COMPUTED_VALUE"""),"Hot &amp; Sweaty")</f>
        <v>Hot &amp; Sweaty</v>
      </c>
      <c r="B100" s="8" t="str">
        <f>IFERROR(__xludf.DUMMYFUNCTION("""COMPUTED_VALUE"""),"(sweltering, intense, perspiring) ")</f>
        <v>(sweltering, intense, perspiring) </v>
      </c>
      <c r="C100" s="13" t="str">
        <f>IFERROR(__xludf.DUMMYFUNCTION("""COMPUTED_VALUE"""),"""rwxi"":{""label"":""Hot &amp; Sweaty"",""extra"":""(sweltering, intense, perspiring) "",""sets"":""Expansion Set 4, Party Expansion 1""},")</f>
        <v>"rwxi":{"label":"Hot &amp; Sweaty","extra":"(sweltering, intense, perspiring) ","sets":"Expansion Set 4, Party Expansion 1"},</v>
      </c>
    </row>
    <row r="101">
      <c r="A101" s="8" t="str">
        <f>IFERROR(__xludf.DUMMYFUNCTION("""COMPUTED_VALUE"""),"Huge")</f>
        <v>Huge</v>
      </c>
      <c r="B101" s="8" t="str">
        <f>IFERROR(__xludf.DUMMYFUNCTION("""COMPUTED_VALUE"""),"(gigantic, immense, important) ")</f>
        <v>(gigantic, immense, important) </v>
      </c>
      <c r="C101" s="13" t="str">
        <f>IFERROR(__xludf.DUMMYFUNCTION("""COMPUTED_VALUE"""),"""kpen"":{""label"":""Huge"",""extra"":""(gigantic, immense, important) "",""sets"":""Expansion Set 3, Party Expansion 1""},")</f>
        <v>"kpen":{"label":"Huge","extra":"(gigantic, immense, important) ","sets":"Expansion Set 3, Party Expansion 1"},</v>
      </c>
    </row>
    <row r="102">
      <c r="A102" s="8" t="str">
        <f>IFERROR(__xludf.DUMMYFUNCTION("""COMPUTED_VALUE"""),"Humorous")</f>
        <v>Humorous</v>
      </c>
      <c r="B102" s="8" t="str">
        <f>IFERROR(__xludf.DUMMYFUNCTION("""COMPUTED_VALUE"""),"(funny, amusing, comical) ")</f>
        <v>(funny, amusing, comical) </v>
      </c>
      <c r="C102" s="13" t="str">
        <f>IFERROR(__xludf.DUMMYFUNCTION("""COMPUTED_VALUE"""),"""ibyj"":{""label"":""Humorous"",""extra"":""(funny, amusing, comical) "",""sets"":""Expansion Set 3, Party Expansion 1""},")</f>
        <v>"ibyj":{"label":"Humorous","extra":"(funny, amusing, comical) ","sets":"Expansion Set 3, Party Expansion 1"},</v>
      </c>
    </row>
    <row r="103">
      <c r="A103" s="8" t="str">
        <f>IFERROR(__xludf.DUMMYFUNCTION("""COMPUTED_VALUE"""),"Icky")</f>
        <v>Icky</v>
      </c>
      <c r="B103" s="8" t="str">
        <f>IFERROR(__xludf.DUMMYFUNCTION("""COMPUTED_VALUE"""),"(sickening, disgusting, repulsive) ")</f>
        <v>(sickening, disgusting, repulsive) </v>
      </c>
      <c r="C103" s="13" t="str">
        <f>IFERROR(__xludf.DUMMYFUNCTION("""COMPUTED_VALUE"""),"""nxfc"":{""label"":""Icky"",""extra"":""(sickening, disgusting, repulsive) "",""sets"":""Expansion Set 3, Party Expansion 1""},")</f>
        <v>"nxfc":{"label":"Icky","extra":"(sickening, disgusting, repulsive) ","sets":"Expansion Set 3, Party Expansion 1"},</v>
      </c>
    </row>
    <row r="104">
      <c r="A104" s="8" t="str">
        <f>IFERROR(__xludf.DUMMYFUNCTION("""COMPUTED_VALUE"""),"Ideal")</f>
        <v>Ideal</v>
      </c>
      <c r="B104" s="8" t="str">
        <f>IFERROR(__xludf.DUMMYFUNCTION("""COMPUTED_VALUE"""),"(perfect, flawless, model) ")</f>
        <v>(perfect, flawless, model) </v>
      </c>
      <c r="C104" s="13" t="str">
        <f>IFERROR(__xludf.DUMMYFUNCTION("""COMPUTED_VALUE"""),"""gccn"":{""label"":""Ideal"",""extra"":""(perfect, flawless, model) "",""sets"":""Expansion Set 3, Party Expansion 1""},")</f>
        <v>"gccn":{"label":"Ideal","extra":"(perfect, flawless, model) ","sets":"Expansion Set 3, Party Expansion 1"},</v>
      </c>
    </row>
    <row r="105">
      <c r="A105" s="8" t="str">
        <f>IFERROR(__xludf.DUMMYFUNCTION("""COMPUTED_VALUE"""),"Inspirational")</f>
        <v>Inspirational</v>
      </c>
      <c r="B105" s="8" t="str">
        <f>IFERROR(__xludf.DUMMYFUNCTION("""COMPUTED_VALUE"""),"(exhilarating, inspiring, stimulating) ")</f>
        <v>(exhilarating, inspiring, stimulating) </v>
      </c>
      <c r="C105" s="13" t="str">
        <f>IFERROR(__xludf.DUMMYFUNCTION("""COMPUTED_VALUE"""),"""jlfe"":{""label"":""Inspirational"",""extra"":""(exhilarating, inspiring, stimulating) "",""sets"":""Basic Set, Party Set""},")</f>
        <v>"jlfe":{"label":"Inspirational","extra":"(exhilarating, inspiring, stimulating) ","sets":"Basic Set, Party Set"},</v>
      </c>
    </row>
    <row r="106">
      <c r="A106" s="8" t="str">
        <f>IFERROR(__xludf.DUMMYFUNCTION("""COMPUTED_VALUE"""),"Interesting")</f>
        <v>Interesting</v>
      </c>
      <c r="B106" s="8" t="str">
        <f>IFERROR(__xludf.DUMMYFUNCTION("""COMPUTED_VALUE"""),"(fascinating, exciting) ")</f>
        <v>(fascinating, exciting) </v>
      </c>
      <c r="C106" s="13" t="str">
        <f>IFERROR(__xludf.DUMMYFUNCTION("""COMPUTED_VALUE"""),"""ndhj"":{""label"":""Interesting"",""extra"":""(fascinating, exciting) "",""sets"":""Junior 9+ (2nd)""},")</f>
        <v>"ndhj":{"label":"Interesting","extra":"(fascinating, exciting) ","sets":"Junior 9+ (2nd)"},</v>
      </c>
    </row>
    <row r="107">
      <c r="A107" s="8" t="str">
        <f>IFERROR(__xludf.DUMMYFUNCTION("""COMPUTED_VALUE"""),"Jolly")</f>
        <v>Jolly</v>
      </c>
      <c r="B107" s="8" t="str">
        <f>IFERROR(__xludf.DUMMYFUNCTION("""COMPUTED_VALUE"""),"(cheerful, joyous, merry) ")</f>
        <v>(cheerful, joyous, merry) </v>
      </c>
      <c r="C107" s="13" t="str">
        <f>IFERROR(__xludf.DUMMYFUNCTION("""COMPUTED_VALUE"""),"""oxna"":{""label"":""Jolly"",""extra"":""(cheerful, joyous, merry) "",""sets"":""Expansion Set 3, Party Expansion 1""},")</f>
        <v>"oxna":{"label":"Jolly","extra":"(cheerful, joyous, merry) ","sets":"Expansion Set 3, Party Expansion 1"},</v>
      </c>
    </row>
    <row r="108">
      <c r="A108" s="8" t="str">
        <f>IFERROR(__xludf.DUMMYFUNCTION("""COMPUTED_VALUE"""),"Juicy")</f>
        <v>Juicy</v>
      </c>
      <c r="B108" s="8" t="str">
        <f>IFERROR(__xludf.DUMMYFUNCTION("""COMPUTED_VALUE"""),"(drippy, luscious, tantalizing) ")</f>
        <v>(drippy, luscious, tantalizing) </v>
      </c>
      <c r="C108" s="13" t="str">
        <f>IFERROR(__xludf.DUMMYFUNCTION("""COMPUTED_VALUE"""),"""yhhz"":{""label"":""Juicy"",""extra"":""(drippy, luscious, tantalizing) "",""sets"":""Expansion Set 1, Party Set""},")</f>
        <v>"yhhz":{"label":"Juicy","extra":"(drippy, luscious, tantalizing) ","sets":"Expansion Set 1, Party Set"},</v>
      </c>
    </row>
    <row r="109">
      <c r="A109" s="8" t="str">
        <f>IFERROR(__xludf.DUMMYFUNCTION("""COMPUTED_VALUE"""),"Lazy")</f>
        <v>Lazy</v>
      </c>
      <c r="B109" s="8" t="str">
        <f>IFERROR(__xludf.DUMMYFUNCTION("""COMPUTED_VALUE"""),"(lifeless, apathetic, weary) ")</f>
        <v>(lifeless, apathetic, weary) </v>
      </c>
      <c r="C109" s="13" t="str">
        <f>IFERROR(__xludf.DUMMYFUNCTION("""COMPUTED_VALUE"""),"""hwpv"":{""label"":""Lazy"",""extra"":""(lifeless, apathetic, weary) "",""sets"":""Expansion Set 2, Party Set""},")</f>
        <v>"hwpv":{"label":"Lazy","extra":"(lifeless, apathetic, weary) ","sets":"Expansion Set 2, Party Set"},</v>
      </c>
    </row>
    <row r="110">
      <c r="A110" s="8" t="str">
        <f>IFERROR(__xludf.DUMMYFUNCTION("""COMPUTED_VALUE"""),"Lean &amp; Mean")</f>
        <v>Lean &amp; Mean</v>
      </c>
      <c r="B110" s="8" t="str">
        <f>IFERROR(__xludf.DUMMYFUNCTION("""COMPUTED_VALUE"""),"(vigorous, fit, efficient) ")</f>
        <v>(vigorous, fit, efficient) </v>
      </c>
      <c r="C110" s="13" t="str">
        <f>IFERROR(__xludf.DUMMYFUNCTION("""COMPUTED_VALUE"""),"""pati"":{""label"":""Lean &amp; Mean"",""extra"":""(vigorous, fit, efficient) "",""sets"":""Expansion Set 4, Party Expansion 1""},")</f>
        <v>"pati":{"label":"Lean &amp; Mean","extra":"(vigorous, fit, efficient) ","sets":"Expansion Set 4, Party Expansion 1"},</v>
      </c>
    </row>
    <row r="111">
      <c r="A111" s="8" t="str">
        <f>IFERROR(__xludf.DUMMYFUNCTION("""COMPUTED_VALUE"""),"Light &amp; Fluffy")</f>
        <v>Light &amp; Fluffy</v>
      </c>
      <c r="B111" s="8" t="str">
        <f>IFERROR(__xludf.DUMMYFUNCTION("""COMPUTED_VALUE"""),"(billowy, airy, soft) ")</f>
        <v>(billowy, airy, soft) </v>
      </c>
      <c r="C111" s="13" t="str">
        <f>IFERROR(__xludf.DUMMYFUNCTION("""COMPUTED_VALUE"""),"""bcur"":{""label"":""Light &amp; Fluffy"",""extra"":""(billowy, airy, soft) "",""sets"":""Expansion Set 4, Party Expansion 1""},")</f>
        <v>"bcur":{"label":"Light &amp; Fluffy","extra":"(billowy, airy, soft) ","sets":"Expansion Set 4, Party Expansion 1"},</v>
      </c>
    </row>
    <row r="112">
      <c r="A112" s="8" t="str">
        <f>IFERROR(__xludf.DUMMYFUNCTION("""COMPUTED_VALUE"""),"Long &amp; Lean")</f>
        <v>Long &amp; Lean</v>
      </c>
      <c r="B112" s="8" t="str">
        <f>IFERROR(__xludf.DUMMYFUNCTION("""COMPUTED_VALUE"""),"(slender, lanky, wiry) ")</f>
        <v>(slender, lanky, wiry) </v>
      </c>
      <c r="C112" s="13" t="str">
        <f>IFERROR(__xludf.DUMMYFUNCTION("""COMPUTED_VALUE"""),"""zjul"":{""label"":""Long &amp; Lean"",""extra"":""(slender, lanky, wiry) "",""sets"":""Expansion Set 4, Party Expansion 1""},")</f>
        <v>"zjul":{"label":"Long &amp; Lean","extra":"(slender, lanky, wiry) ","sets":"Expansion Set 4, Party Expansion 1"},</v>
      </c>
    </row>
    <row r="113">
      <c r="A113" s="8" t="str">
        <f>IFERROR(__xludf.DUMMYFUNCTION("""COMPUTED_VALUE"""),"Loud &amp; Clear")</f>
        <v>Loud &amp; Clear</v>
      </c>
      <c r="B113" s="8" t="str">
        <f>IFERROR(__xludf.DUMMYFUNCTION("""COMPUTED_VALUE"""),"(definite, explicit, unequivocal) ")</f>
        <v>(definite, explicit, unequivocal) </v>
      </c>
      <c r="C113" s="13" t="str">
        <f>IFERROR(__xludf.DUMMYFUNCTION("""COMPUTED_VALUE"""),"""fxvb"":{""label"":""Loud &amp; Clear"",""extra"":""(definite, explicit, unequivocal) "",""sets"":""Expansion Set 4, Party Expansion 1""},")</f>
        <v>"fxvb":{"label":"Loud &amp; Clear","extra":"(definite, explicit, unequivocal) ","sets":"Expansion Set 4, Party Expansion 1"},</v>
      </c>
    </row>
    <row r="114">
      <c r="A114" s="8" t="str">
        <f>IFERROR(__xludf.DUMMYFUNCTION("""COMPUTED_VALUE"""),"Magical")</f>
        <v>Magical</v>
      </c>
      <c r="B114" s="8" t="str">
        <f>IFERROR(__xludf.DUMMYFUNCTION("""COMPUTED_VALUE"""),"(enchanting, miraculous, marvelous) ")</f>
        <v>(enchanting, miraculous, marvelous) </v>
      </c>
      <c r="C114" s="13" t="str">
        <f>IFERROR(__xludf.DUMMYFUNCTION("""COMPUTED_VALUE"""),"""cnam"":{""label"":""Magical"",""extra"":""(enchanting, miraculous, marvelous) "",""sets"":""Basic Set, Party Set""},")</f>
        <v>"cnam":{"label":"Magical","extra":"(enchanting, miraculous, marvelous) ","sets":"Basic Set, Party Set"},</v>
      </c>
    </row>
    <row r="115">
      <c r="A115" s="8" t="str">
        <f>IFERROR(__xludf.DUMMYFUNCTION("""COMPUTED_VALUE"""),"Mean")</f>
        <v>Mean</v>
      </c>
      <c r="B115" s="8" t="str">
        <f>IFERROR(__xludf.DUMMYFUNCTION("""COMPUTED_VALUE"""),"(malicious, ill-tempered, petty) ")</f>
        <v>(malicious, ill-tempered, petty) </v>
      </c>
      <c r="C115" s="13" t="str">
        <f>IFERROR(__xludf.DUMMYFUNCTION("""COMPUTED_VALUE"""),"""tsto"":{""label"":""Mean"",""extra"":""(malicious, ill-tempered, petty) "",""sets"":""Expansion Set 3, Party Expansion 1""},")</f>
        <v>"tsto":{"label":"Mean","extra":"(malicious, ill-tempered, petty) ","sets":"Expansion Set 3, Party Expansion 1"},</v>
      </c>
    </row>
    <row r="116">
      <c r="A116" s="8" t="str">
        <f>IFERROR(__xludf.DUMMYFUNCTION("""COMPUTED_VALUE"""),"Meek &amp; Mild")</f>
        <v>Meek &amp; Mild</v>
      </c>
      <c r="B116" s="8" t="str">
        <f>IFERROR(__xludf.DUMMYFUNCTION("""COMPUTED_VALUE"""),"(timid, docile, gentle) ")</f>
        <v>(timid, docile, gentle) </v>
      </c>
      <c r="C116" s="13" t="str">
        <f>IFERROR(__xludf.DUMMYFUNCTION("""COMPUTED_VALUE"""),"""vmbs"":{""label"":""Meek &amp; Mild"",""extra"":""(timid, docile, gentle) "",""sets"":""Expansion Set 4, Party Expansion 1""},")</f>
        <v>"vmbs":{"label":"Meek &amp; Mild","extra":"(timid, docile, gentle) ","sets":"Expansion Set 4, Party Expansion 1"},</v>
      </c>
    </row>
    <row r="117">
      <c r="A117" s="8" t="str">
        <f>IFERROR(__xludf.DUMMYFUNCTION("""COMPUTED_VALUE"""),"Mesmerizing")</f>
        <v>Mesmerizing</v>
      </c>
      <c r="B117" s="8" t="str">
        <f>IFERROR(__xludf.DUMMYFUNCTION("""COMPUTED_VALUE"""),"(fascinating, hypnotizing, charming) ")</f>
        <v>(fascinating, hypnotizing, charming) </v>
      </c>
      <c r="C117" s="13" t="str">
        <f>IFERROR(__xludf.DUMMYFUNCTION("""COMPUTED_VALUE"""),"""mgxj"":{""label"":""Mesmerizing"",""extra"":""(fascinating, hypnotizing, charming) "",""sets"":""Expansion Set 3, Party Expansion 1""},")</f>
        <v>"mgxj":{"label":"Mesmerizing","extra":"(fascinating, hypnotizing, charming) ","sets":"Expansion Set 3, Party Expansion 1"},</v>
      </c>
    </row>
    <row r="118">
      <c r="A118" s="8" t="str">
        <f>IFERROR(__xludf.DUMMYFUNCTION("""COMPUTED_VALUE"""),"Messy")</f>
        <v>Messy</v>
      </c>
      <c r="B118" s="8" t="str">
        <f>IFERROR(__xludf.DUMMYFUNCTION("""COMPUTED_VALUE"""),"(sloppy, disorderly, unclean) ")</f>
        <v>(sloppy, disorderly, unclean) </v>
      </c>
      <c r="C118" s="13" t="str">
        <f>IFERROR(__xludf.DUMMYFUNCTION("""COMPUTED_VALUE"""),"""qyxx"":{""label"":""Messy"",""extra"":""(sloppy, disorderly, unclean) "",""sets"":""Expansion Set 3, Party Expansion 1""},")</f>
        <v>"qyxx":{"label":"Messy","extra":"(sloppy, disorderly, unclean) ","sets":"Expansion Set 3, Party Expansion 1"},</v>
      </c>
    </row>
    <row r="119">
      <c r="A119" s="8" t="str">
        <f>IFERROR(__xludf.DUMMYFUNCTION("""COMPUTED_VALUE"""),"Miserable")</f>
        <v>Miserable</v>
      </c>
      <c r="B119" s="8" t="str">
        <f>IFERROR(__xludf.DUMMYFUNCTION("""COMPUTED_VALUE"""),"(unhappy, sorrowful) ")</f>
        <v>(unhappy, sorrowful) </v>
      </c>
      <c r="C119" s="13" t="str">
        <f>IFERROR(__xludf.DUMMYFUNCTION("""COMPUTED_VALUE"""),"""louq"":{""label"":""Miserable"",""extra"":""(unhappy, sorrowful) "",""sets"":""Junior 9+ (2nd)""},")</f>
        <v>"louq":{"label":"Miserable","extra":"(unhappy, sorrowful) ","sets":"Junior 9+ (2nd)"},</v>
      </c>
    </row>
    <row r="120">
      <c r="A120" s="8" t="str">
        <f>IFERROR(__xludf.DUMMYFUNCTION("""COMPUTED_VALUE"""),"Modern")</f>
        <v>Modern</v>
      </c>
      <c r="B120" s="8" t="str">
        <f>IFERROR(__xludf.DUMMYFUNCTION("""COMPUTED_VALUE"""),"(contemporary, fashionable, trendy) ")</f>
        <v>(contemporary, fashionable, trendy) </v>
      </c>
      <c r="C120" s="13" t="str">
        <f>IFERROR(__xludf.DUMMYFUNCTION("""COMPUTED_VALUE"""),"""dnoh"":{""label"":""Modern"",""extra"":""(contemporary, fashionable, trendy) "",""sets"":""Expansion Set 3, Party Expansion 1""},")</f>
        <v>"dnoh":{"label":"Modern","extra":"(contemporary, fashionable, trendy) ","sets":"Expansion Set 3, Party Expansion 1"},</v>
      </c>
    </row>
    <row r="121">
      <c r="A121" s="8" t="str">
        <f>IFERROR(__xludf.DUMMYFUNCTION("""COMPUTED_VALUE"""),"Mysterious")</f>
        <v>Mysterious</v>
      </c>
      <c r="B121" s="8" t="str">
        <f>IFERROR(__xludf.DUMMYFUNCTION("""COMPUTED_VALUE"""),"(secretive, puzzling, strange) ")</f>
        <v>(secretive, puzzling, strange) </v>
      </c>
      <c r="C121" s="13" t="str">
        <f>IFERROR(__xludf.DUMMYFUNCTION("""COMPUTED_VALUE"""),"""sbrf"":{""label"":""Mysterious"",""extra"":""(secretive, puzzling, strange) "",""sets"":""Expansion Set 1, Party Set""},")</f>
        <v>"sbrf":{"label":"Mysterious","extra":"(secretive, puzzling, strange) ","sets":"Expansion Set 1, Party Set"},</v>
      </c>
    </row>
    <row r="122">
      <c r="A122" s="8" t="str">
        <f>IFERROR(__xludf.DUMMYFUNCTION("""COMPUTED_VALUE"""),"Natural")</f>
        <v>Natural</v>
      </c>
      <c r="B122" s="8" t="str">
        <f>IFERROR(__xludf.DUMMYFUNCTION("""COMPUTED_VALUE"""),"(pure, simple, unadorned) ")</f>
        <v>(pure, simple, unadorned) </v>
      </c>
      <c r="C122" s="13" t="str">
        <f>IFERROR(__xludf.DUMMYFUNCTION("""COMPUTED_VALUE"""),"""tqgn"":{""label"":""Natural"",""extra"":""(pure, simple, unadorned) "",""sets"":""Expansion Set 1, Party Set""},")</f>
        <v>"tqgn":{"label":"Natural","extra":"(pure, simple, unadorned) ","sets":"Expansion Set 1, Party Set"},</v>
      </c>
    </row>
    <row r="123">
      <c r="A123" s="8" t="str">
        <f>IFERROR(__xludf.DUMMYFUNCTION("""COMPUTED_VALUE"""),"Naughty &amp; Nice")</f>
        <v>Naughty &amp; Nice</v>
      </c>
      <c r="B123" s="8" t="str">
        <f>IFERROR(__xludf.DUMMYFUNCTION("""COMPUTED_VALUE"""),"(impish, mischievous, playful) ")</f>
        <v>(impish, mischievous, playful) </v>
      </c>
      <c r="C123" s="13" t="str">
        <f>IFERROR(__xludf.DUMMYFUNCTION("""COMPUTED_VALUE"""),"""guaj"":{""label"":""Naughty &amp; Nice"",""extra"":""(impish, mischievous, playful) "",""sets"":""Expansion Set 4, Party Expansion 1""},")</f>
        <v>"guaj":{"label":"Naughty &amp; Nice","extra":"(impish, mischievous, playful) ","sets":"Expansion Set 4, Party Expansion 1"},</v>
      </c>
    </row>
    <row r="124">
      <c r="A124" s="8" t="str">
        <f>IFERROR(__xludf.DUMMYFUNCTION("""COMPUTED_VALUE"""),"Neat &amp; Clean")</f>
        <v>Neat &amp; Clean</v>
      </c>
      <c r="B124" s="8" t="str">
        <f>IFERROR(__xludf.DUMMYFUNCTION("""COMPUTED_VALUE"""),"(spotless, tidy, shipshape) ")</f>
        <v>(spotless, tidy, shipshape) </v>
      </c>
      <c r="C124" s="13" t="str">
        <f>IFERROR(__xludf.DUMMYFUNCTION("""COMPUTED_VALUE"""),"""kmbk"":{""label"":""Neat &amp; Clean"",""extra"":""(spotless, tidy, shipshape) "",""sets"":""Expansion Set 4, Party Expansion 1""},")</f>
        <v>"kmbk":{"label":"Neat &amp; Clean","extra":"(spotless, tidy, shipshape) ","sets":"Expansion Set 4, Party Expansion 1"},</v>
      </c>
    </row>
    <row r="125">
      <c r="A125" s="8" t="str">
        <f>IFERROR(__xludf.DUMMYFUNCTION("""COMPUTED_VALUE"""),"New &amp; Improved")</f>
        <v>New &amp; Improved</v>
      </c>
      <c r="B125" s="8" t="str">
        <f>IFERROR(__xludf.DUMMYFUNCTION("""COMPUTED_VALUE"""),"(upgraded, enhanced, revised) ")</f>
        <v>(upgraded, enhanced, revised) </v>
      </c>
      <c r="C125" s="13" t="str">
        <f>IFERROR(__xludf.DUMMYFUNCTION("""COMPUTED_VALUE"""),"""tadj"":{""label"":""New &amp; Improved"",""extra"":""(upgraded, enhanced, revised) "",""sets"":""Expansion Set 4, Party Expansion 1""},")</f>
        <v>"tadj":{"label":"New &amp; Improved","extra":"(upgraded, enhanced, revised) ","sets":"Expansion Set 4, Party Expansion 1"},</v>
      </c>
    </row>
    <row r="126">
      <c r="A126" s="8" t="str">
        <f>IFERROR(__xludf.DUMMYFUNCTION("""COMPUTED_VALUE"""),"Normal")</f>
        <v>Normal</v>
      </c>
      <c r="B126" s="8" t="str">
        <f>IFERROR(__xludf.DUMMYFUNCTION("""COMPUTED_VALUE"""),"(usual, common, ordinary) ")</f>
        <v>(usual, common, ordinary) </v>
      </c>
      <c r="C126" s="13" t="str">
        <f>IFERROR(__xludf.DUMMYFUNCTION("""COMPUTED_VALUE"""),"""babv"":{""label"":""Normal"",""extra"":""(usual, common, ordinary) "",""sets"":""Basic Set, Party Set""},")</f>
        <v>"babv":{"label":"Normal","extra":"(usual, common, ordinary) ","sets":"Basic Set, Party Set"},</v>
      </c>
    </row>
    <row r="127">
      <c r="A127" s="8" t="str">
        <f>IFERROR(__xludf.DUMMYFUNCTION("""COMPUTED_VALUE"""),"Nutty")</f>
        <v>Nutty</v>
      </c>
      <c r="B127" s="8" t="str">
        <f>IFERROR(__xludf.DUMMYFUNCTION("""COMPUTED_VALUE"""),"(kooky, foolish, nutlike) ")</f>
        <v>(kooky, foolish, nutlike) </v>
      </c>
      <c r="C127" s="13" t="str">
        <f>IFERROR(__xludf.DUMMYFUNCTION("""COMPUTED_VALUE"""),"""nhoe"":{""label"":""Nutty"",""extra"":""(kooky, foolish, nutlike) "",""sets"":""Expansion Set 3, Party Expansion 1""},")</f>
        <v>"nhoe":{"label":"Nutty","extra":"(kooky, foolish, nutlike) ","sets":"Expansion Set 3, Party Expansion 1"},</v>
      </c>
    </row>
    <row r="128">
      <c r="A128" s="8" t="str">
        <f>IFERROR(__xludf.DUMMYFUNCTION("""COMPUTED_VALUE"""),"Obscene")</f>
        <v>Obscene</v>
      </c>
      <c r="B128" s="8" t="str">
        <f>IFERROR(__xludf.DUMMYFUNCTION("""COMPUTED_VALUE"""),"(offensive, indecent, lewd) ")</f>
        <v>(offensive, indecent, lewd) </v>
      </c>
      <c r="C128" s="13" t="str">
        <f>IFERROR(__xludf.DUMMYFUNCTION("""COMPUTED_VALUE"""),"""yzcv"":{""label"":""Obscene"",""extra"":""(offensive, indecent, lewd) "",""sets"":""Expansion Set 3, Party Expansion 1""},")</f>
        <v>"yzcv":{"label":"Obscene","extra":"(offensive, indecent, lewd) ","sets":"Expansion Set 3, Party Expansion 1"},</v>
      </c>
    </row>
    <row r="129">
      <c r="A129" s="8" t="str">
        <f>IFERROR(__xludf.DUMMYFUNCTION("""COMPUTED_VALUE"""),"Odd")</f>
        <v>Odd</v>
      </c>
      <c r="B129" s="8" t="str">
        <f>IFERROR(__xludf.DUMMYFUNCTION("""COMPUTED_VALUE"""),"(different, eccentric, bizarre) ")</f>
        <v>(different, eccentric, bizarre) </v>
      </c>
      <c r="C129" s="13" t="str">
        <f>IFERROR(__xludf.DUMMYFUNCTION("""COMPUTED_VALUE"""),"""edot"":{""label"":""Odd"",""extra"":""(different, eccentric, bizarre) "",""sets"":""Basic Set, Party Set""},")</f>
        <v>"edot":{"label":"Odd","extra":"(different, eccentric, bizarre) ","sets":"Basic Set, Party Set"},</v>
      </c>
    </row>
    <row r="130">
      <c r="A130" s="8" t="str">
        <f>IFERROR(__xludf.DUMMYFUNCTION("""COMPUTED_VALUE"""),"Old")</f>
        <v>Old</v>
      </c>
      <c r="B130" s="8" t="str">
        <f>IFERROR(__xludf.DUMMYFUNCTION("""COMPUTED_VALUE"""),"(aged, elderly, antiquated) ")</f>
        <v>(aged, elderly, antiquated) </v>
      </c>
      <c r="C130" s="13" t="str">
        <f>IFERROR(__xludf.DUMMYFUNCTION("""COMPUTED_VALUE"""),"""tnqv"":{""label"":""Old"",""extra"":""(aged, elderly, antiquated) "",""sets"":""Expansion Set 3, Party Expansion 1""},")</f>
        <v>"tnqv":{"label":"Old","extra":"(aged, elderly, antiquated) ","sets":"Expansion Set 3, Party Expansion 1"},</v>
      </c>
    </row>
    <row r="131">
      <c r="A131" s="8" t="str">
        <f>IFERROR(__xludf.DUMMYFUNCTION("""COMPUTED_VALUE"""),"Old &amp; Cranky")</f>
        <v>Old &amp; Cranky</v>
      </c>
      <c r="B131" s="8" t="str">
        <f>IFERROR(__xludf.DUMMYFUNCTION("""COMPUTED_VALUE"""),"(crabby, cantankerous, aged) ")</f>
        <v>(crabby, cantankerous, aged) </v>
      </c>
      <c r="C131" s="13" t="str">
        <f>IFERROR(__xludf.DUMMYFUNCTION("""COMPUTED_VALUE"""),"""vjfj"":{""label"":""Old &amp; Cranky"",""extra"":""(crabby, cantankerous, aged) "",""sets"":""Expansion Set 4, Party Expansion 1""},")</f>
        <v>"vjfj":{"label":"Old &amp; Cranky","extra":"(crabby, cantankerous, aged) ","sets":"Expansion Set 4, Party Expansion 1"},</v>
      </c>
    </row>
    <row r="132">
      <c r="A132" s="8" t="str">
        <f>IFERROR(__xludf.DUMMYFUNCTION("""COMPUTED_VALUE"""),"Old &amp; Wise")</f>
        <v>Old &amp; Wise</v>
      </c>
      <c r="B132" s="8" t="str">
        <f>IFERROR(__xludf.DUMMYFUNCTION("""COMPUTED_VALUE"""),"(experienced, judicious, shrewd) ")</f>
        <v>(experienced, judicious, shrewd) </v>
      </c>
      <c r="C132" s="13" t="str">
        <f>IFERROR(__xludf.DUMMYFUNCTION("""COMPUTED_VALUE"""),"""xioq"":{""label"":""Old &amp; Wise"",""extra"":""(experienced, judicious, shrewd) "",""sets"":""Expansion Set 4, Party Expansion 1""},")</f>
        <v>"xioq":{"label":"Old &amp; Wise","extra":"(experienced, judicious, shrewd) ","sets":"Expansion Set 4, Party Expansion 1"},</v>
      </c>
    </row>
    <row r="133">
      <c r="A133" s="8" t="str">
        <f>IFERROR(__xludf.DUMMYFUNCTION("""COMPUTED_VALUE"""),"On The Up &amp; Up")</f>
        <v>On The Up &amp; Up</v>
      </c>
      <c r="B133" s="8" t="str">
        <f>IFERROR(__xludf.DUMMYFUNCTION("""COMPUTED_VALUE"""),"(trustworthy, irreproachable, honest) ")</f>
        <v>(trustworthy, irreproachable, honest) </v>
      </c>
      <c r="C133" s="13" t="str">
        <f>IFERROR(__xludf.DUMMYFUNCTION("""COMPUTED_VALUE"""),"""hgpl"":{""label"":""On The Up &amp; Up"",""extra"":""(trustworthy, irreproachable, honest) "",""sets"":""Expansion Set 4, Party Expansion 1""},")</f>
        <v>"hgpl":{"label":"On The Up &amp; Up","extra":"(trustworthy, irreproachable, honest) ","sets":"Expansion Set 4, Party Expansion 1"},</v>
      </c>
    </row>
    <row r="134">
      <c r="A134" s="8" t="str">
        <f>IFERROR(__xludf.DUMMYFUNCTION("""COMPUTED_VALUE"""),"Ordinary")</f>
        <v>Ordinary</v>
      </c>
      <c r="B134" s="8" t="str">
        <f>IFERROR(__xludf.DUMMYFUNCTION("""COMPUTED_VALUE"""),"(normal, common) ")</f>
        <v>(normal, common) </v>
      </c>
      <c r="C134" s="13" t="str">
        <f>IFERROR(__xludf.DUMMYFUNCTION("""COMPUTED_VALUE"""),"""tdpq"":{""label"":""Ordinary"",""extra"":""(normal, common) "",""sets"":""Junior 9+ (2nd)""},")</f>
        <v>"tdpq":{"label":"Ordinary","extra":"(normal, common) ","sets":"Junior 9+ (2nd)"},</v>
      </c>
    </row>
    <row r="135">
      <c r="A135" s="8" t="str">
        <f>IFERROR(__xludf.DUMMYFUNCTION("""COMPUTED_VALUE"""),"Painful")</f>
        <v>Painful</v>
      </c>
      <c r="B135" s="8" t="str">
        <f>IFERROR(__xludf.DUMMYFUNCTION("""COMPUTED_VALUE"""),"(hurtful, agonizing, unbearable) ")</f>
        <v>(hurtful, agonizing, unbearable) </v>
      </c>
      <c r="C135" s="13" t="str">
        <f>IFERROR(__xludf.DUMMYFUNCTION("""COMPUTED_VALUE"""),"""dpmm"":{""label"":""Painful"",""extra"":""(hurtful, agonizing, unbearable) "",""sets"":""Expansion Set 1, Party Set""},")</f>
        <v>"dpmm":{"label":"Painful","extra":"(hurtful, agonizing, unbearable) ","sets":"Expansion Set 1, Party Set"},</v>
      </c>
    </row>
    <row r="136">
      <c r="A136" s="8" t="str">
        <f>IFERROR(__xludf.DUMMYFUNCTION("""COMPUTED_VALUE"""),"Patriotic")</f>
        <v>Patriotic</v>
      </c>
      <c r="B136" s="8" t="str">
        <f>IFERROR(__xludf.DUMMYFUNCTION("""COMPUTED_VALUE"""),"(nationalistic, loyal, public-spirited) ")</f>
        <v>(nationalistic, loyal, public-spirited) </v>
      </c>
      <c r="C136" s="13" t="str">
        <f>IFERROR(__xludf.DUMMYFUNCTION("""COMPUTED_VALUE"""),"""vugw"":{""label"":""Patriotic"",""extra"":""(nationalistic, loyal, public-spirited) "",""sets"":""Basic Set, Party Set""},")</f>
        <v>"vugw":{"label":"Patriotic","extra":"(nationalistic, loyal, public-spirited) ","sets":"Basic Set, Party Set"},</v>
      </c>
    </row>
    <row r="137">
      <c r="A137" s="8" t="str">
        <f>IFERROR(__xludf.DUMMYFUNCTION("""COMPUTED_VALUE"""),"Peaceful")</f>
        <v>Peaceful</v>
      </c>
      <c r="B137" s="8" t="str">
        <f>IFERROR(__xludf.DUMMYFUNCTION("""COMPUTED_VALUE"""),"(serene, restful, calm) ")</f>
        <v>(serene, restful, calm) </v>
      </c>
      <c r="C137" s="13" t="str">
        <f>IFERROR(__xludf.DUMMYFUNCTION("""COMPUTED_VALUE"""),"""xbdc"":{""label"":""Peaceful"",""extra"":""(serene, restful, calm) "",""sets"":""Expansion Set 1, Party Set""},")</f>
        <v>"xbdc":{"label":"Peaceful","extra":"(serene, restful, calm) ","sets":"Expansion Set 1, Party Set"},</v>
      </c>
    </row>
    <row r="138">
      <c r="A138" s="8" t="str">
        <f>IFERROR(__xludf.DUMMYFUNCTION("""COMPUTED_VALUE"""),"Perfect")</f>
        <v>Perfect</v>
      </c>
      <c r="B138" s="8" t="str">
        <f>IFERROR(__xludf.DUMMYFUNCTION("""COMPUTED_VALUE"""),"(ideal, wonderful) ")</f>
        <v>(ideal, wonderful) </v>
      </c>
      <c r="C138" s="13" t="str">
        <f>IFERROR(__xludf.DUMMYFUNCTION("""COMPUTED_VALUE"""),"""uotu"":{""label"":""Perfect"",""extra"":""(ideal, wonderful) "",""sets"":""Junior 9+ (2nd)""},")</f>
        <v>"uotu":{"label":"Perfect","extra":"(ideal, wonderful) ","sets":"Junior 9+ (2nd)"},</v>
      </c>
    </row>
    <row r="139">
      <c r="A139" s="8" t="str">
        <f>IFERROR(__xludf.DUMMYFUNCTION("""COMPUTED_VALUE"""),"Perverse")</f>
        <v>Perverse</v>
      </c>
      <c r="B139" s="8" t="str">
        <f>IFERROR(__xludf.DUMMYFUNCTION("""COMPUTED_VALUE"""),"(stubborn, obstinate, improper) ")</f>
        <v>(stubborn, obstinate, improper) </v>
      </c>
      <c r="C139" s="13" t="str">
        <f>IFERROR(__xludf.DUMMYFUNCTION("""COMPUTED_VALUE"""),"""lzbv"":{""label"":""Perverse"",""extra"":""(stubborn, obstinate, improper) "",""sets"":""Expansion Set 3, Party Expansion 1""},")</f>
        <v>"lzbv":{"label":"Perverse","extra":"(stubborn, obstinate, improper) ","sets":"Expansion Set 3, Party Expansion 1"},</v>
      </c>
    </row>
    <row r="140">
      <c r="A140" s="8" t="str">
        <f>IFERROR(__xludf.DUMMYFUNCTION("""COMPUTED_VALUE"""),"Plain")</f>
        <v>Plain</v>
      </c>
      <c r="B140" s="8" t="str">
        <f>IFERROR(__xludf.DUMMYFUNCTION("""COMPUTED_VALUE"""),"(simple, evident, ordinary) ")</f>
        <v>(simple, evident, ordinary) </v>
      </c>
      <c r="C140" s="13" t="str">
        <f>IFERROR(__xludf.DUMMYFUNCTION("""COMPUTED_VALUE"""),"""yvkf"":{""label"":""Plain"",""extra"":""(simple, evident, ordinary) "",""sets"":""Basic Set (1999 Printing Only)""},")</f>
        <v>"yvkf":{"label":"Plain","extra":"(simple, evident, ordinary) ","sets":"Basic Set (1999 Printing Only)"},</v>
      </c>
    </row>
    <row r="141">
      <c r="A141" s="8" t="str">
        <f>IFERROR(__xludf.DUMMYFUNCTION("""COMPUTED_VALUE"""),"Plain &amp; Simple")</f>
        <v>Plain &amp; Simple</v>
      </c>
      <c r="B141" s="8" t="str">
        <f>IFERROR(__xludf.DUMMYFUNCTION("""COMPUTED_VALUE"""),"(unadorned, uncomplicated, clear) ")</f>
        <v>(unadorned, uncomplicated, clear) </v>
      </c>
      <c r="C141" s="13" t="str">
        <f>IFERROR(__xludf.DUMMYFUNCTION("""COMPUTED_VALUE"""),"""vjik"":{""label"":""Plain &amp; Simple"",""extra"":""(unadorned, uncomplicated, clear) "",""sets"":""Expansion Set 4, Party Expansion 1""},")</f>
        <v>"vjik":{"label":"Plain &amp; Simple","extra":"(unadorned, uncomplicated, clear) ","sets":"Expansion Set 4, Party Expansion 1"},</v>
      </c>
    </row>
    <row r="142">
      <c r="A142" s="8" t="str">
        <f>IFERROR(__xludf.DUMMYFUNCTION("""COMPUTED_VALUE"""),"Pleasant")</f>
        <v>Pleasant</v>
      </c>
      <c r="B142" s="8" t="str">
        <f>IFERROR(__xludf.DUMMYFUNCTION("""COMPUTED_VALUE"""),"(enjoyable, nice) ")</f>
        <v>(enjoyable, nice) </v>
      </c>
      <c r="C142" s="13" t="str">
        <f>IFERROR(__xludf.DUMMYFUNCTION("""COMPUTED_VALUE"""),"""crhw"":{""label"":""Pleasant"",""extra"":""(enjoyable, nice) "",""sets"":""Junior 9+ (2nd)""},")</f>
        <v>"crhw":{"label":"Pleasant","extra":"(enjoyable, nice) ","sets":"Junior 9+ (2nd)"},</v>
      </c>
    </row>
    <row r="143">
      <c r="A143" s="8" t="str">
        <f>IFERROR(__xludf.DUMMYFUNCTION("""COMPUTED_VALUE"""),"Plug &amp; Play")</f>
        <v>Plug &amp; Play</v>
      </c>
      <c r="B143" s="8" t="str">
        <f>IFERROR(__xludf.DUMMYFUNCTION("""COMPUTED_VALUE"""),"(effortless, automatic, self-operating) ")</f>
        <v>(effortless, automatic, self-operating) </v>
      </c>
      <c r="C143" s="13" t="str">
        <f>IFERROR(__xludf.DUMMYFUNCTION("""COMPUTED_VALUE"""),"""ddmm"":{""label"":""Plug &amp; Play"",""extra"":""(effortless, automatic, self-operating) "",""sets"":""Expansion Set 4, Party Expansion 1""},")</f>
        <v>"ddmm":{"label":"Plug &amp; Play","extra":"(effortless, automatic, self-operating) ","sets":"Expansion Set 4, Party Expansion 1"},</v>
      </c>
    </row>
    <row r="144">
      <c r="A144" s="8" t="str">
        <f>IFERROR(__xludf.DUMMYFUNCTION("""COMPUTED_VALUE"""),"Plump &amp; Tender")</f>
        <v>Plump &amp; Tender</v>
      </c>
      <c r="B144" s="8" t="str">
        <f>IFERROR(__xludf.DUMMYFUNCTION("""COMPUTED_VALUE"""),"(ripe, chubby, fleshy) ")</f>
        <v>(ripe, chubby, fleshy) </v>
      </c>
      <c r="C144" s="13" t="str">
        <f>IFERROR(__xludf.DUMMYFUNCTION("""COMPUTED_VALUE"""),"""wdem"":{""label"":""Plump &amp; Tender"",""extra"":""(ripe, chubby, fleshy) "",""sets"":""Expansion Set 4, Party Expansion 1""},")</f>
        <v>"wdem":{"label":"Plump &amp; Tender","extra":"(ripe, chubby, fleshy) ","sets":"Expansion Set 4, Party Expansion 1"},</v>
      </c>
    </row>
    <row r="145">
      <c r="A145" s="8" t="str">
        <f>IFERROR(__xludf.DUMMYFUNCTION("""COMPUTED_VALUE"""),"Powerful")</f>
        <v>Powerful</v>
      </c>
      <c r="B145" s="8" t="str">
        <f>IFERROR(__xludf.DUMMYFUNCTION("""COMPUTED_VALUE"""),"(strong, forceful, robust) ")</f>
        <v>(strong, forceful, robust) </v>
      </c>
      <c r="C145" s="13" t="str">
        <f>IFERROR(__xludf.DUMMYFUNCTION("""COMPUTED_VALUE"""),"""ndrl"":{""label"":""Powerful"",""extra"":""(strong, forceful, robust) "",""sets"":""Basic Set, Party Set""},")</f>
        <v>"ndrl":{"label":"Powerful","extra":"(strong, forceful, robust) ","sets":"Basic Set, Party Set"},</v>
      </c>
    </row>
    <row r="146">
      <c r="A146" s="8" t="str">
        <f>IFERROR(__xludf.DUMMYFUNCTION("""COMPUTED_VALUE"""),"Practical")</f>
        <v>Practical</v>
      </c>
      <c r="B146" s="8" t="str">
        <f>IFERROR(__xludf.DUMMYFUNCTION("""COMPUTED_VALUE"""),"(useful, helpful) ")</f>
        <v>(useful, helpful) </v>
      </c>
      <c r="C146" s="13" t="str">
        <f>IFERROR(__xludf.DUMMYFUNCTION("""COMPUTED_VALUE"""),"""hbjp"":{""label"":""Practical"",""extra"":""(useful, helpful) "",""sets"":""Junior 9+ (2nd)""},")</f>
        <v>"hbjp":{"label":"Practical","extra":"(useful, helpful) ","sets":"Junior 9+ (2nd)"},</v>
      </c>
    </row>
    <row r="147">
      <c r="A147" s="8" t="str">
        <f>IFERROR(__xludf.DUMMYFUNCTION("""COMPUTED_VALUE"""),"Prim &amp; Proper")</f>
        <v>Prim &amp; Proper</v>
      </c>
      <c r="B147" s="8" t="str">
        <f>IFERROR(__xludf.DUMMYFUNCTION("""COMPUTED_VALUE"""),"(reserved, modest, prudish) ")</f>
        <v>(reserved, modest, prudish) </v>
      </c>
      <c r="C147" s="13" t="str">
        <f>IFERROR(__xludf.DUMMYFUNCTION("""COMPUTED_VALUE"""),"""bfdn"":{""label"":""Prim &amp; Proper"",""extra"":""(reserved, modest, prudish) "",""sets"":""Expansion Set 4, Party Expansion 1""},")</f>
        <v>"bfdn":{"label":"Prim &amp; Proper","extra":"(reserved, modest, prudish) ","sets":"Expansion Set 4, Party Expansion 1"},</v>
      </c>
    </row>
    <row r="148">
      <c r="A148" s="8" t="str">
        <f>IFERROR(__xludf.DUMMYFUNCTION("""COMPUTED_VALUE"""),"Profound")</f>
        <v>Profound</v>
      </c>
      <c r="B148" s="8" t="str">
        <f>IFERROR(__xludf.DUMMYFUNCTION("""COMPUTED_VALUE"""),"(deep, wise, thoughtful) ")</f>
        <v>(deep, wise, thoughtful) </v>
      </c>
      <c r="C148" s="13" t="str">
        <f>IFERROR(__xludf.DUMMYFUNCTION("""COMPUTED_VALUE"""),"""cpqe"":{""label"":""Profound"",""extra"":""(deep, wise, thoughtful) "",""sets"":""Basic Set, Party Set""},")</f>
        <v>"cpqe":{"label":"Profound","extra":"(deep, wise, thoughtful) ","sets":"Basic Set, Party Set"},</v>
      </c>
    </row>
    <row r="149">
      <c r="A149" s="8" t="str">
        <f>IFERROR(__xludf.DUMMYFUNCTION("""COMPUTED_VALUE"""),"Quick &amp; Dirty")</f>
        <v>Quick &amp; Dirty</v>
      </c>
      <c r="B149" s="8" t="str">
        <f>IFERROR(__xludf.DUMMYFUNCTION("""COMPUTED_VALUE"""),"(cheap, shoddy, inferior) ")</f>
        <v>(cheap, shoddy, inferior) </v>
      </c>
      <c r="C149" s="13" t="str">
        <f>IFERROR(__xludf.DUMMYFUNCTION("""COMPUTED_VALUE"""),"""hkoc"":{""label"":""Quick &amp; Dirty"",""extra"":""(cheap, shoddy, inferior) "",""sets"":""Expansion Set 4, Party Expansion 1""},")</f>
        <v>"hkoc":{"label":"Quick &amp; Dirty","extra":"(cheap, shoddy, inferior) ","sets":"Expansion Set 4, Party Expansion 1"},</v>
      </c>
    </row>
    <row r="150">
      <c r="A150" s="8" t="str">
        <f>IFERROR(__xludf.DUMMYFUNCTION("""COMPUTED_VALUE"""),"Quiet")</f>
        <v>Quiet</v>
      </c>
      <c r="B150" s="8" t="str">
        <f>IFERROR(__xludf.DUMMYFUNCTION("""COMPUTED_VALUE"""),"(peaceful, silent, calm) ")</f>
        <v>(peaceful, silent, calm) </v>
      </c>
      <c r="C150" s="13" t="str">
        <f>IFERROR(__xludf.DUMMYFUNCTION("""COMPUTED_VALUE"""),"""rucl"":{""label"":""Quiet"",""extra"":""(peaceful, silent, calm) "",""sets"":""Expansion Set 2, Party Set""},")</f>
        <v>"rucl":{"label":"Quiet","extra":"(peaceful, silent, calm) ","sets":"Expansion Set 2, Party Set"},</v>
      </c>
    </row>
    <row r="151">
      <c r="A151" s="8" t="str">
        <f>IFERROR(__xludf.DUMMYFUNCTION("""COMPUTED_VALUE"""),"Raw")</f>
        <v>Raw</v>
      </c>
      <c r="B151" s="8" t="str">
        <f>IFERROR(__xludf.DUMMYFUNCTION("""COMPUTED_VALUE"""),"(crude, uncooked, harsh) ")</f>
        <v>(crude, uncooked, harsh) </v>
      </c>
      <c r="C151" s="13" t="str">
        <f>IFERROR(__xludf.DUMMYFUNCTION("""COMPUTED_VALUE"""),"""mitw"":{""label"":""Raw"",""extra"":""(crude, uncooked, harsh) "",""sets"":""Expansion Set 3, Party Expansion 1""},")</f>
        <v>"mitw":{"label":"Raw","extra":"(crude, uncooked, harsh) ","sets":"Expansion Set 3, Party Expansion 1"},</v>
      </c>
    </row>
    <row r="152">
      <c r="A152" s="8" t="str">
        <f>IFERROR(__xludf.DUMMYFUNCTION("""COMPUTED_VALUE"""),"Relaxed")</f>
        <v>Relaxed</v>
      </c>
      <c r="B152" s="8" t="str">
        <f>IFERROR(__xludf.DUMMYFUNCTION("""COMPUTED_VALUE"""),"(calm, not tense) ")</f>
        <v>(calm, not tense) </v>
      </c>
      <c r="C152" s="13" t="str">
        <f>IFERROR(__xludf.DUMMYFUNCTION("""COMPUTED_VALUE"""),"""fdjj"":{""label"":""Relaxed"",""extra"":""(calm, not tense) "",""sets"":""Junior 9+ (1st) &amp; (2nd)""},")</f>
        <v>"fdjj":{"label":"Relaxed","extra":"(calm, not tense) ","sets":"Junior 9+ (1st) &amp; (2nd)"},</v>
      </c>
    </row>
    <row r="153">
      <c r="A153" s="8" t="str">
        <f>IFERROR(__xludf.DUMMYFUNCTION("""COMPUTED_VALUE"""),"Respectable")</f>
        <v>Respectable</v>
      </c>
      <c r="B153" s="8" t="str">
        <f>IFERROR(__xludf.DUMMYFUNCTION("""COMPUTED_VALUE"""),"(worthy, honorable, decent) ")</f>
        <v>(worthy, honorable, decent) </v>
      </c>
      <c r="C153" s="13" t="str">
        <f>IFERROR(__xludf.DUMMYFUNCTION("""COMPUTED_VALUE"""),"""offe"":{""label"":""Respectable"",""extra"":""(worthy, honorable, decent) "",""sets"":""Expansion Set 3, Party Expansion 1""},")</f>
        <v>"offe":{"label":"Respectable","extra":"(worthy, honorable, decent) ","sets":"Expansion Set 3, Party Expansion 1"},</v>
      </c>
    </row>
    <row r="154">
      <c r="A154" s="8" t="str">
        <f>IFERROR(__xludf.DUMMYFUNCTION("""COMPUTED_VALUE"""),"Rough")</f>
        <v>Rough</v>
      </c>
      <c r="B154" s="8" t="str">
        <f>IFERROR(__xludf.DUMMYFUNCTION("""COMPUTED_VALUE"""),"(scratchy, uneven, jagged) ")</f>
        <v>(scratchy, uneven, jagged) </v>
      </c>
      <c r="C154" s="13" t="str">
        <f>IFERROR(__xludf.DUMMYFUNCTION("""COMPUTED_VALUE"""),"""quyx"":{""label"":""Rough"",""extra"":""(scratchy, uneven, jagged) "",""sets"":""Basic Set, Party Set""},")</f>
        <v>"quyx":{"label":"Rough","extra":"(scratchy, uneven, jagged) ","sets":"Basic Set, Party Set"},</v>
      </c>
    </row>
    <row r="155">
      <c r="A155" s="8" t="str">
        <f>IFERROR(__xludf.DUMMYFUNCTION("""COMPUTED_VALUE"""),"Rough &amp; Ready")</f>
        <v>Rough &amp; Ready</v>
      </c>
      <c r="B155" s="8" t="str">
        <f>IFERROR(__xludf.DUMMYFUNCTION("""COMPUTED_VALUE"""),"(crude, makeshift, prepared) ")</f>
        <v>(crude, makeshift, prepared) </v>
      </c>
      <c r="C155" s="13" t="str">
        <f>IFERROR(__xludf.DUMMYFUNCTION("""COMPUTED_VALUE"""),"""tsas"":{""label"":""Rough &amp; Ready"",""extra"":""(crude, makeshift, prepared) "",""sets"":""Expansion Set 4, Party Expansion 1""},")</f>
        <v>"tsas":{"label":"Rough &amp; Ready","extra":"(crude, makeshift, prepared) ","sets":"Expansion Set 4, Party Expansion 1"},</v>
      </c>
    </row>
    <row r="156">
      <c r="A156" s="8" t="str">
        <f>IFERROR(__xludf.DUMMYFUNCTION("""COMPUTED_VALUE"""),"Scary")</f>
        <v>Scary</v>
      </c>
      <c r="B156" s="8" t="str">
        <f>IFERROR(__xludf.DUMMYFUNCTION("""COMPUTED_VALUE"""),"(frightening, absurd, ugly) ")</f>
        <v>(frightening, absurd, ugly) </v>
      </c>
      <c r="C156" s="13" t="str">
        <f>IFERROR(__xludf.DUMMYFUNCTION("""COMPUTED_VALUE"""),"""jyoc"":{""label"":""Scary"",""extra"":""(frightening, absurd, ugly) "",""sets"":""Basic Set, Party Set""},")</f>
        <v>"jyoc":{"label":"Scary","extra":"(frightening, absurd, ugly) ","sets":"Basic Set, Party Set"},</v>
      </c>
    </row>
    <row r="157">
      <c r="A157" s="8" t="str">
        <f>IFERROR(__xludf.DUMMYFUNCTION("""COMPUTED_VALUE"""),"Scented")</f>
        <v>Scented</v>
      </c>
      <c r="B157" s="8" t="str">
        <f>IFERROR(__xludf.DUMMYFUNCTION("""COMPUTED_VALUE"""),"(perfumed, fragrant) ")</f>
        <v>(perfumed, fragrant) </v>
      </c>
      <c r="C157" s="13" t="str">
        <f>IFERROR(__xludf.DUMMYFUNCTION("""COMPUTED_VALUE"""),"""tmwd"":{""label"":""Scented"",""extra"":""(perfumed, fragrant) "",""sets"":""Junior 9+ (2nd)""},")</f>
        <v>"tmwd":{"label":"Scented","extra":"(perfumed, fragrant) ","sets":"Junior 9+ (2nd)"},</v>
      </c>
    </row>
    <row r="158">
      <c r="A158" s="8" t="str">
        <f>IFERROR(__xludf.DUMMYFUNCTION("""COMPUTED_VALUE"""),"Secretive")</f>
        <v>Secretive</v>
      </c>
      <c r="B158" s="8" t="str">
        <f>IFERROR(__xludf.DUMMYFUNCTION("""COMPUTED_VALUE"""),"(concealed, covert, veiled) ")</f>
        <v>(concealed, covert, veiled) </v>
      </c>
      <c r="C158" s="13" t="str">
        <f>IFERROR(__xludf.DUMMYFUNCTION("""COMPUTED_VALUE"""),"""rlxq"":{""label"":""Secretive"",""extra"":""(concealed, covert, veiled) "",""sets"":""Expansion Set 3, Party Expansion 1""},")</f>
        <v>"rlxq":{"label":"Secretive","extra":"(concealed, covert, veiled) ","sets":"Expansion Set 3, Party Expansion 1"},</v>
      </c>
    </row>
    <row r="159">
      <c r="A159" s="8" t="str">
        <f>IFERROR(__xludf.DUMMYFUNCTION("""COMPUTED_VALUE"""),"Sensational")</f>
        <v>Sensational</v>
      </c>
      <c r="B159" s="8" t="str">
        <f>IFERROR(__xludf.DUMMYFUNCTION("""COMPUTED_VALUE"""),"(thrilling, startling, melodramatic) ")</f>
        <v>(thrilling, startling, melodramatic) </v>
      </c>
      <c r="C159" s="13" t="str">
        <f>IFERROR(__xludf.DUMMYFUNCTION("""COMPUTED_VALUE"""),"""eqru"":{""label"":""Sensational"",""extra"":""(thrilling, startling, melodramatic) "",""sets"":""Expansion Set 3, Party Expansion 1""},")</f>
        <v>"eqru":{"label":"Sensational","extra":"(thrilling, startling, melodramatic) ","sets":"Expansion Set 3, Party Expansion 1"},</v>
      </c>
    </row>
    <row r="160">
      <c r="A160" s="8" t="str">
        <f>IFERROR(__xludf.DUMMYFUNCTION("""COMPUTED_VALUE"""),"Serious")</f>
        <v>Serious</v>
      </c>
      <c r="B160" s="8" t="str">
        <f>IFERROR(__xludf.DUMMYFUNCTION("""COMPUTED_VALUE"""),"(important, thoughtful) ")</f>
        <v>(important, thoughtful) </v>
      </c>
      <c r="C160" s="13" t="str">
        <f>IFERROR(__xludf.DUMMYFUNCTION("""COMPUTED_VALUE"""),"""nxjm"":{""label"":""Serious"",""extra"":""(important, thoughtful) "",""sets"":""Junior 9+ (1st) &amp; (2nd)""},")</f>
        <v>"nxjm":{"label":"Serious","extra":"(important, thoughtful) ","sets":"Junior 9+ (1st) &amp; (2nd)"},</v>
      </c>
    </row>
    <row r="161">
      <c r="A161" s="8" t="str">
        <f>IFERROR(__xludf.DUMMYFUNCTION("""COMPUTED_VALUE"""),"Sharp")</f>
        <v>Sharp</v>
      </c>
      <c r="B161" s="8" t="str">
        <f>IFERROR(__xludf.DUMMYFUNCTION("""COMPUTED_VALUE"""),"(pointed, keen, acute) ")</f>
        <v>(pointed, keen, acute) </v>
      </c>
      <c r="C161" s="13" t="str">
        <f>IFERROR(__xludf.DUMMYFUNCTION("""COMPUTED_VALUE"""),"""uwtx"":{""label"":""Sharp"",""extra"":""(pointed, keen, acute) "",""sets"":""Expansion Set 2, Party Set""},")</f>
        <v>"uwtx":{"label":"Sharp","extra":"(pointed, keen, acute) ","sets":"Expansion Set 2, Party Set"},</v>
      </c>
    </row>
    <row r="162">
      <c r="A162" s="8" t="str">
        <f>IFERROR(__xludf.DUMMYFUNCTION("""COMPUTED_VALUE"""),"Short &amp; Stout")</f>
        <v>Short &amp; Stout</v>
      </c>
      <c r="B162" s="8" t="str">
        <f>IFERROR(__xludf.DUMMYFUNCTION("""COMPUTED_VALUE"""),"(plump, portly, tubby) ")</f>
        <v>(plump, portly, tubby) </v>
      </c>
      <c r="C162" s="13" t="str">
        <f>IFERROR(__xludf.DUMMYFUNCTION("""COMPUTED_VALUE"""),"""dbmy"":{""label"":""Short &amp; Stout"",""extra"":""(plump, portly, tubby) "",""sets"":""Expansion Set 4, Party Expansion 1""},")</f>
        <v>"dbmy":{"label":"Short &amp; Stout","extra":"(plump, portly, tubby) ","sets":"Expansion Set 4, Party Expansion 1"},</v>
      </c>
    </row>
    <row r="163">
      <c r="A163" s="8" t="str">
        <f>IFERROR(__xludf.DUMMYFUNCTION("""COMPUTED_VALUE"""),"Short &amp; Sweet")</f>
        <v>Short &amp; Sweet</v>
      </c>
      <c r="B163" s="8" t="str">
        <f>IFERROR(__xludf.DUMMYFUNCTION("""COMPUTED_VALUE"""),"(precise, clear-cut, succinct) ")</f>
        <v>(precise, clear-cut, succinct) </v>
      </c>
      <c r="C163" s="13" t="str">
        <f>IFERROR(__xludf.DUMMYFUNCTION("""COMPUTED_VALUE"""),"""jlpd"":{""label"":""Short &amp; Sweet"",""extra"":""(precise, clear-cut, succinct) "",""sets"":""Expansion Set 4, Party Expansion 1""},")</f>
        <v>"jlpd":{"label":"Short &amp; Sweet","extra":"(precise, clear-cut, succinct) ","sets":"Expansion Set 4, Party Expansion 1"},</v>
      </c>
    </row>
    <row r="164">
      <c r="A164" s="8" t="str">
        <f>IFERROR(__xludf.DUMMYFUNCTION("""COMPUTED_VALUE"""),"Sick &amp; Tired")</f>
        <v>Sick &amp; Tired</v>
      </c>
      <c r="B164" s="8" t="str">
        <f>IFERROR(__xludf.DUMMYFUNCTION("""COMPUTED_VALUE"""),"(worn out, exhausted, exasperated) ")</f>
        <v>(worn out, exhausted, exasperated) </v>
      </c>
      <c r="C164" s="13" t="str">
        <f>IFERROR(__xludf.DUMMYFUNCTION("""COMPUTED_VALUE"""),"""risy"":{""label"":""Sick &amp; Tired"",""extra"":""(worn out, exhausted, exasperated) "",""sets"":""Expansion Set 4, Party Expansion 1""},")</f>
        <v>"risy":{"label":"Sick &amp; Tired","extra":"(worn out, exhausted, exasperated) ","sets":"Expansion Set 4, Party Expansion 1"},</v>
      </c>
    </row>
    <row r="165">
      <c r="A165" s="8" t="str">
        <f>IFERROR(__xludf.DUMMYFUNCTION("""COMPUTED_VALUE"""),"Sick &amp; Twisted")</f>
        <v>Sick &amp; Twisted</v>
      </c>
      <c r="B165" s="8" t="str">
        <f>IFERROR(__xludf.DUMMYFUNCTION("""COMPUTED_VALUE"""),"(depraved, wicked, lascivious) ")</f>
        <v>(depraved, wicked, lascivious) </v>
      </c>
      <c r="C165" s="13" t="str">
        <f>IFERROR(__xludf.DUMMYFUNCTION("""COMPUTED_VALUE"""),"""buyt"":{""label"":""Sick &amp; Twisted"",""extra"":""(depraved, wicked, lascivious) "",""sets"":""Expansion Set 4, Party Expansion 1""},")</f>
        <v>"buyt":{"label":"Sick &amp; Twisted","extra":"(depraved, wicked, lascivious) ","sets":"Expansion Set 4, Party Expansion 1"},</v>
      </c>
    </row>
    <row r="166">
      <c r="A166" s="8" t="str">
        <f>IFERROR(__xludf.DUMMYFUNCTION("""COMPUTED_VALUE"""),"Sickening")</f>
        <v>Sickening</v>
      </c>
      <c r="B166" s="8" t="str">
        <f>IFERROR(__xludf.DUMMYFUNCTION("""COMPUTED_VALUE"""),"(nauseating, disgusting, revolting) ")</f>
        <v>(nauseating, disgusting, revolting) </v>
      </c>
      <c r="C166" s="13" t="str">
        <f>IFERROR(__xludf.DUMMYFUNCTION("""COMPUTED_VALUE"""),"""frrx"":{""label"":""Sickening"",""extra"":""(nauseating, disgusting, revolting) "",""sets"":""Expansion Set 3, Party Expansion 1""},")</f>
        <v>"frrx":{"label":"Sickening","extra":"(nauseating, disgusting, revolting) ","sets":"Expansion Set 3, Party Expansion 1"},</v>
      </c>
    </row>
    <row r="167">
      <c r="A167" s="8" t="str">
        <f>IFERROR(__xludf.DUMMYFUNCTION("""COMPUTED_VALUE"""),"Sickening")</f>
        <v>Sickening</v>
      </c>
      <c r="B167" s="8" t="str">
        <f>IFERROR(__xludf.DUMMYFUNCTION("""COMPUTED_VALUE"""),"(disgusting, horrible) ")</f>
        <v>(disgusting, horrible) </v>
      </c>
      <c r="C167" s="13" t="str">
        <f>IFERROR(__xludf.DUMMYFUNCTION("""COMPUTED_VALUE"""),"""tuid"":{""label"":""Sickening"",""extra"":""(disgusting, horrible) "",""sets"":""Junior 9+ (2nd)""},")</f>
        <v>"tuid":{"label":"Sickening","extra":"(disgusting, horrible) ","sets":"Junior 9+ (2nd)"},</v>
      </c>
    </row>
    <row r="168">
      <c r="A168" s="8" t="str">
        <f>IFERROR(__xludf.DUMMYFUNCTION("""COMPUTED_VALUE"""),"Slender")</f>
        <v>Slender</v>
      </c>
      <c r="B168" s="8" t="str">
        <f>IFERROR(__xludf.DUMMYFUNCTION("""COMPUTED_VALUE"""),"(slim, small) ")</f>
        <v>(slim, small) </v>
      </c>
      <c r="C168" s="13" t="str">
        <f>IFERROR(__xludf.DUMMYFUNCTION("""COMPUTED_VALUE"""),"""kjha"":{""label"":""Slender"",""extra"":""(slim, small) "",""sets"":""Junior 9+ (2nd)""},")</f>
        <v>"kjha":{"label":"Slender","extra":"(slim, small) ","sets":"Junior 9+ (2nd)"},</v>
      </c>
    </row>
    <row r="169">
      <c r="A169" s="8" t="str">
        <f>IFERROR(__xludf.DUMMYFUNCTION("""COMPUTED_VALUE"""),"Slow &amp; Steady")</f>
        <v>Slow &amp; Steady</v>
      </c>
      <c r="B169" s="8" t="str">
        <f>IFERROR(__xludf.DUMMYFUNCTION("""COMPUTED_VALUE"""),"(reliable, deliberate, ponderous) ")</f>
        <v>(reliable, deliberate, ponderous) </v>
      </c>
      <c r="C169" s="13" t="str">
        <f>IFERROR(__xludf.DUMMYFUNCTION("""COMPUTED_VALUE"""),"""nmrt"":{""label"":""Slow &amp; Steady"",""extra"":""(reliable, deliberate, ponderous) "",""sets"":""Expansion Set 4, Party Expansion 1""},")</f>
        <v>"nmrt":{"label":"Slow &amp; Steady","extra":"(reliable, deliberate, ponderous) ","sets":"Expansion Set 4, Party Expansion 1"},</v>
      </c>
    </row>
    <row r="170">
      <c r="A170" s="8" t="str">
        <f>IFERROR(__xludf.DUMMYFUNCTION("""COMPUTED_VALUE"""),"Sluggish")</f>
        <v>Sluggish</v>
      </c>
      <c r="B170" s="8" t="str">
        <f>IFERROR(__xludf.DUMMYFUNCTION("""COMPUTED_VALUE"""),"(inactive, lazy, slothful) ")</f>
        <v>(inactive, lazy, slothful) </v>
      </c>
      <c r="C170" s="13" t="str">
        <f>IFERROR(__xludf.DUMMYFUNCTION("""COMPUTED_VALUE"""),"""vrxl"":{""label"":""Sluggish"",""extra"":""(inactive, lazy, slothful) "",""sets"":""Expansion Set 3, Party Expansion 1""},")</f>
        <v>"vrxl":{"label":"Sluggish","extra":"(inactive, lazy, slothful) ","sets":"Expansion Set 3, Party Expansion 1"},</v>
      </c>
    </row>
    <row r="171">
      <c r="A171" s="8" t="str">
        <f>IFERROR(__xludf.DUMMYFUNCTION("""COMPUTED_VALUE"""),"Smooth")</f>
        <v>Smooth</v>
      </c>
      <c r="B171" s="8" t="str">
        <f>IFERROR(__xludf.DUMMYFUNCTION("""COMPUTED_VALUE"""),"(even, level, flat) ")</f>
        <v>(even, level, flat) </v>
      </c>
      <c r="C171" s="13" t="str">
        <f>IFERROR(__xludf.DUMMYFUNCTION("""COMPUTED_VALUE"""),"""ytqd"":{""label"":""Smooth"",""extra"":""(even, level, flat) "",""sets"":""Basic Set, Party Set""},")</f>
        <v>"ytqd":{"label":"Smooth","extra":"(even, level, flat) ","sets":"Basic Set, Party Set"},</v>
      </c>
    </row>
    <row r="172">
      <c r="A172" s="8" t="str">
        <f>IFERROR(__xludf.DUMMYFUNCTION("""COMPUTED_VALUE"""),"Smooth &amp; Creamy")</f>
        <v>Smooth &amp; Creamy</v>
      </c>
      <c r="B172" s="8" t="str">
        <f>IFERROR(__xludf.DUMMYFUNCTION("""COMPUTED_VALUE"""),"(silky, velvety, rich) ")</f>
        <v>(silky, velvety, rich) </v>
      </c>
      <c r="C172" s="13" t="str">
        <f>IFERROR(__xludf.DUMMYFUNCTION("""COMPUTED_VALUE"""),"""ldkf"":{""label"":""Smooth &amp; Creamy"",""extra"":""(silky, velvety, rich) "",""sets"":""Expansion Set 4, Party Expansion 1""},")</f>
        <v>"ldkf":{"label":"Smooth &amp; Creamy","extra":"(silky, velvety, rich) ","sets":"Expansion Set 4, Party Expansion 1"},</v>
      </c>
    </row>
    <row r="173">
      <c r="A173" s="8" t="str">
        <f>IFERROR(__xludf.DUMMYFUNCTION("""COMPUTED_VALUE"""),"Sneaky")</f>
        <v>Sneaky</v>
      </c>
      <c r="B173" s="8" t="str">
        <f>IFERROR(__xludf.DUMMYFUNCTION("""COMPUTED_VALUE"""),"(tricky, mean) ")</f>
        <v>(tricky, mean) </v>
      </c>
      <c r="C173" s="13" t="str">
        <f>IFERROR(__xludf.DUMMYFUNCTION("""COMPUTED_VALUE"""),"""uegh"":{""label"":""Sneaky"",""extra"":""(tricky, mean) "",""sets"":""Junior 9+ (2nd)""},")</f>
        <v>"uegh":{"label":"Sneaky","extra":"(tricky, mean) ","sets":"Junior 9+ (2nd)"},</v>
      </c>
    </row>
    <row r="174">
      <c r="A174" s="8" t="str">
        <f>IFERROR(__xludf.DUMMYFUNCTION("""COMPUTED_VALUE"""),"Sophisticated")</f>
        <v>Sophisticated</v>
      </c>
      <c r="B174" s="8" t="str">
        <f>IFERROR(__xludf.DUMMYFUNCTION("""COMPUTED_VALUE"""),"(urbane, cosmopolitan, complex) ")</f>
        <v>(urbane, cosmopolitan, complex) </v>
      </c>
      <c r="C174" s="13" t="str">
        <f>IFERROR(__xludf.DUMMYFUNCTION("""COMPUTED_VALUE"""),"""ckjk"":{""label"":""Sophisticated"",""extra"":""(urbane, cosmopolitan, complex) "",""sets"":""Expansion Set 3, Party Expansion 1""},")</f>
        <v>"ckjk":{"label":"Sophisticated","extra":"(urbane, cosmopolitan, complex) ","sets":"Expansion Set 3, Party Expansion 1"},</v>
      </c>
    </row>
    <row r="175">
      <c r="A175" s="8" t="str">
        <f>IFERROR(__xludf.DUMMYFUNCTION("""COMPUTED_VALUE"""),"Special")</f>
        <v>Special</v>
      </c>
      <c r="B175" s="8" t="str">
        <f>IFERROR(__xludf.DUMMYFUNCTION("""COMPUTED_VALUE"""),"(distinctive, unique, original) ")</f>
        <v>(distinctive, unique, original) </v>
      </c>
      <c r="C175" s="13" t="str">
        <f>IFERROR(__xludf.DUMMYFUNCTION("""COMPUTED_VALUE"""),"""pgjl"":{""label"":""Special"",""extra"":""(distinctive, unique, original) "",""sets"":""Expansion Set 3, Party Expansion 1""},")</f>
        <v>"pgjl":{"label":"Special","extra":"(distinctive, unique, original) ","sets":"Expansion Set 3, Party Expansion 1"},</v>
      </c>
    </row>
    <row r="176">
      <c r="A176" s="8" t="str">
        <f>IFERROR(__xludf.DUMMYFUNCTION("""COMPUTED_VALUE"""),"Spic &amp; Span")</f>
        <v>Spic &amp; Span</v>
      </c>
      <c r="B176" s="8" t="str">
        <f>IFERROR(__xludf.DUMMYFUNCTION("""COMPUTED_VALUE"""),"(spotless, tidy, clean) ")</f>
        <v>(spotless, tidy, clean) </v>
      </c>
      <c r="C176" s="13" t="str">
        <f>IFERROR(__xludf.DUMMYFUNCTION("""COMPUTED_VALUE"""),"""stkb"":{""label"":""Spic &amp; Span"",""extra"":""(spotless, tidy, clean) "",""sets"":""Expansion Set 4, Party Expansion 1""},")</f>
        <v>"stkb":{"label":"Spic &amp; Span","extra":"(spotless, tidy, clean) ","sets":"Expansion Set 4, Party Expansion 1"},</v>
      </c>
    </row>
    <row r="177">
      <c r="A177" s="8" t="str">
        <f>IFERROR(__xludf.DUMMYFUNCTION("""COMPUTED_VALUE"""),"Spotless")</f>
        <v>Spotless</v>
      </c>
      <c r="B177" s="8" t="str">
        <f>IFERROR(__xludf.DUMMYFUNCTION("""COMPUTED_VALUE"""),"(clean, pure) ")</f>
        <v>(clean, pure) </v>
      </c>
      <c r="C177" s="13" t="str">
        <f>IFERROR(__xludf.DUMMYFUNCTION("""COMPUTED_VALUE"""),"""uxnb"":{""label"":""Spotless"",""extra"":""(clean, pure) "",""sets"":""Junior 9+ (2nd)""},")</f>
        <v>"uxnb":{"label":"Spotless","extra":"(clean, pure) ","sets":"Junior 9+ (2nd)"},</v>
      </c>
    </row>
    <row r="178">
      <c r="A178" s="8" t="str">
        <f>IFERROR(__xludf.DUMMYFUNCTION("""COMPUTED_VALUE"""),"Stupid")</f>
        <v>Stupid</v>
      </c>
      <c r="B178" s="8" t="str">
        <f>IFERROR(__xludf.DUMMYFUNCTION("""COMPUTED_VALUE"""),"(ignorant, unintelligent, inane) ")</f>
        <v>(ignorant, unintelligent, inane) </v>
      </c>
      <c r="C178" s="13" t="str">
        <f>IFERROR(__xludf.DUMMYFUNCTION("""COMPUTED_VALUE"""),"""ccvx"":{""label"":""Stupid"",""extra"":""(ignorant, unintelligent, inane) "",""sets"":""Expansion Set 3, Party Expansion 1""},")</f>
        <v>"ccvx":{"label":"Stupid","extra":"(ignorant, unintelligent, inane) ","sets":"Expansion Set 3, Party Expansion 1"},</v>
      </c>
    </row>
    <row r="179">
      <c r="A179" s="8" t="str">
        <f>IFERROR(__xludf.DUMMYFUNCTION("""COMPUTED_VALUE"""),"Surprising")</f>
        <v>Surprising</v>
      </c>
      <c r="B179" s="8" t="str">
        <f>IFERROR(__xludf.DUMMYFUNCTION("""COMPUTED_VALUE"""),"(unexpected, amazing) ")</f>
        <v>(unexpected, amazing) </v>
      </c>
      <c r="C179" s="13" t="str">
        <f>IFERROR(__xludf.DUMMYFUNCTION("""COMPUTED_VALUE"""),"""rtno"":{""label"":""Surprising"",""extra"":""(unexpected, amazing) "",""sets"":""Junior 9+ (2nd)""},")</f>
        <v>"rtno":{"label":"Surprising","extra":"(unexpected, amazing) ","sets":"Junior 9+ (2nd)"},</v>
      </c>
    </row>
    <row r="180">
      <c r="A180" s="8" t="str">
        <f>IFERROR(__xludf.DUMMYFUNCTION("""COMPUTED_VALUE"""),"Sweet")</f>
        <v>Sweet</v>
      </c>
      <c r="B180" s="8" t="str">
        <f>IFERROR(__xludf.DUMMYFUNCTION("""COMPUTED_VALUE"""),"(sugary, nice) ")</f>
        <v>(sugary, nice) </v>
      </c>
      <c r="C180" s="13" t="str">
        <f>IFERROR(__xludf.DUMMYFUNCTION("""COMPUTED_VALUE"""),"""hbxd"":{""label"":""Sweet"",""extra"":""(sugary, nice) "",""sets"":""Junior""},")</f>
        <v>"hbxd":{"label":"Sweet","extra":"(sugary, nice) ","sets":"Junior"},</v>
      </c>
    </row>
    <row r="181">
      <c r="A181" s="8" t="str">
        <f>IFERROR(__xludf.DUMMYFUNCTION("""COMPUTED_VALUE"""),"Talented")</f>
        <v>Talented</v>
      </c>
      <c r="B181" s="8" t="str">
        <f>IFERROR(__xludf.DUMMYFUNCTION("""COMPUTED_VALUE"""),"(skillful, gifted) ")</f>
        <v>(skillful, gifted) </v>
      </c>
      <c r="C181" s="13" t="str">
        <f>IFERROR(__xludf.DUMMYFUNCTION("""COMPUTED_VALUE"""),"""bkwd"":{""label"":""Talented"",""extra"":""(skillful, gifted) "",""sets"":""Junior 9+ (1st) &amp; (2nd)""},")</f>
        <v>"bkwd":{"label":"Talented","extra":"(skillful, gifted) ","sets":"Junior 9+ (1st) &amp; (2nd)"},</v>
      </c>
    </row>
    <row r="182">
      <c r="A182" s="8" t="str">
        <f>IFERROR(__xludf.DUMMYFUNCTION("""COMPUTED_VALUE"""),"Tasty")</f>
        <v>Tasty</v>
      </c>
      <c r="B182" s="8" t="str">
        <f>IFERROR(__xludf.DUMMYFUNCTION("""COMPUTED_VALUE"""),"(flavorful, savory, appetizing) ")</f>
        <v>(flavorful, savory, appetizing) </v>
      </c>
      <c r="C182" s="13" t="str">
        <f>IFERROR(__xludf.DUMMYFUNCTION("""COMPUTED_VALUE"""),"""vtgd"":{""label"":""Tasty"",""extra"":""(flavorful, savory, appetizing) "",""sets"":""Expansion Set 3, Party Expansion 1""},")</f>
        <v>"vtgd":{"label":"Tasty","extra":"(flavorful, savory, appetizing) ","sets":"Expansion Set 3, Party Expansion 1"},</v>
      </c>
    </row>
    <row r="183">
      <c r="A183" s="8" t="str">
        <f>IFERROR(__xludf.DUMMYFUNCTION("""COMPUTED_VALUE"""),"Tempting")</f>
        <v>Tempting</v>
      </c>
      <c r="B183" s="8" t="str">
        <f>IFERROR(__xludf.DUMMYFUNCTION("""COMPUTED_VALUE"""),"(seductive, enticing, alluring) ")</f>
        <v>(seductive, enticing, alluring) </v>
      </c>
      <c r="C183" s="13" t="str">
        <f>IFERROR(__xludf.DUMMYFUNCTION("""COMPUTED_VALUE"""),"""quby"":{""label"":""Tempting"",""extra"":""(seductive, enticing, alluring) "",""sets"":""Expansion Set 3, Party Expansion 1""},")</f>
        <v>"quby":{"label":"Tempting","extra":"(seductive, enticing, alluring) ","sets":"Expansion Set 3, Party Expansion 1"},</v>
      </c>
    </row>
    <row r="184">
      <c r="A184" s="8" t="str">
        <f>IFERROR(__xludf.DUMMYFUNCTION("""COMPUTED_VALUE"""),"Tender")</f>
        <v>Tender</v>
      </c>
      <c r="B184" s="8" t="str">
        <f>IFERROR(__xludf.DUMMYFUNCTION("""COMPUTED_VALUE"""),"(soft, compassionate, fragile) ")</f>
        <v>(soft, compassionate, fragile) </v>
      </c>
      <c r="C184" s="13" t="str">
        <f>IFERROR(__xludf.DUMMYFUNCTION("""COMPUTED_VALUE"""),"""osum"":{""label"":""Tender"",""extra"":""(soft, compassionate, fragile) "",""sets"":""Expansion Set 3, Party Expansion 1""},")</f>
        <v>"osum":{"label":"Tender","extra":"(soft, compassionate, fragile) ","sets":"Expansion Set 3, Party Expansion 1"},</v>
      </c>
    </row>
    <row r="185">
      <c r="A185" s="8" t="str">
        <f>IFERROR(__xludf.DUMMYFUNCTION("""COMPUTED_VALUE"""),"Terrible")</f>
        <v>Terrible</v>
      </c>
      <c r="B185" s="8" t="str">
        <f>IFERROR(__xludf.DUMMYFUNCTION("""COMPUTED_VALUE"""),"(awful, dreadful) ")</f>
        <v>(awful, dreadful) </v>
      </c>
      <c r="C185" s="13" t="str">
        <f>IFERROR(__xludf.DUMMYFUNCTION("""COMPUTED_VALUE"""),"""sroa"":{""label"":""Terrible"",""extra"":""(awful, dreadful) "",""sets"":""Junior 9+ (2nd)""},")</f>
        <v>"sroa":{"label":"Terrible","extra":"(awful, dreadful) ","sets":"Junior 9+ (2nd)"},</v>
      </c>
    </row>
    <row r="186">
      <c r="A186" s="8" t="str">
        <f>IFERROR(__xludf.DUMMYFUNCTION("""COMPUTED_VALUE"""),"Terrific")</f>
        <v>Terrific</v>
      </c>
      <c r="B186" s="8" t="str">
        <f>IFERROR(__xludf.DUMMYFUNCTION("""COMPUTED_VALUE"""),"(sensational, fabulous, severe) ")</f>
        <v>(sensational, fabulous, severe) </v>
      </c>
      <c r="C186" s="13" t="str">
        <f>IFERROR(__xludf.DUMMYFUNCTION("""COMPUTED_VALUE"""),"""kotq"":{""label"":""Terrific"",""extra"":""(sensational, fabulous, severe) "",""sets"":""Expansion Set 3, Party Expansion 1""},")</f>
        <v>"kotq":{"label":"Terrific","extra":"(sensational, fabulous, severe) ","sets":"Expansion Set 3, Party Expansion 1"},</v>
      </c>
    </row>
    <row r="187">
      <c r="A187" s="8" t="str">
        <f>IFERROR(__xludf.DUMMYFUNCTION("""COMPUTED_VALUE"""),"Thoughtful")</f>
        <v>Thoughtful</v>
      </c>
      <c r="B187" s="8" t="str">
        <f>IFERROR(__xludf.DUMMYFUNCTION("""COMPUTED_VALUE"""),"(caring, unselfish) ")</f>
        <v>(caring, unselfish) </v>
      </c>
      <c r="C187" s="13" t="str">
        <f>IFERROR(__xludf.DUMMYFUNCTION("""COMPUTED_VALUE"""),"""ddmx"":{""label"":""Thoughtful"",""extra"":""(caring, unselfish) "",""sets"":""Junior 9+ (2nd)""},")</f>
        <v>"ddmx":{"label":"Thoughtful","extra":"(caring, unselfish) ","sets":"Junior 9+ (2nd)"},</v>
      </c>
    </row>
    <row r="188">
      <c r="A188" s="8" t="str">
        <f>IFERROR(__xludf.DUMMYFUNCTION("""COMPUTED_VALUE"""),"Tormenting")</f>
        <v>Tormenting</v>
      </c>
      <c r="B188" s="8" t="str">
        <f>IFERROR(__xludf.DUMMYFUNCTION("""COMPUTED_VALUE"""),"(torturing, harassing, agonizing) ")</f>
        <v>(torturing, harassing, agonizing) </v>
      </c>
      <c r="C188" s="13" t="str">
        <f>IFERROR(__xludf.DUMMYFUNCTION("""COMPUTED_VALUE"""),"""aawi"":{""label"":""Tormenting"",""extra"":""(torturing, harassing, agonizing) "",""sets"":""Expansion Set 3, Party Expansion 1""},")</f>
        <v>"aawi":{"label":"Tormenting","extra":"(torturing, harassing, agonizing) ","sets":"Expansion Set 3, Party Expansion 1"},</v>
      </c>
    </row>
    <row r="189">
      <c r="A189" s="8" t="str">
        <f>IFERROR(__xludf.DUMMYFUNCTION("""COMPUTED_VALUE"""),"Touch &amp; Go")</f>
        <v>Touch &amp; Go</v>
      </c>
      <c r="B189" s="8" t="str">
        <f>IFERROR(__xludf.DUMMYFUNCTION("""COMPUTED_VALUE"""),"(indecisive, uncertain, insecure) ")</f>
        <v>(indecisive, uncertain, insecure) </v>
      </c>
      <c r="C189" s="13" t="str">
        <f>IFERROR(__xludf.DUMMYFUNCTION("""COMPUTED_VALUE"""),"""vllu"":{""label"":""Touch &amp; Go"",""extra"":""(indecisive, uncertain, insecure) "",""sets"":""Expansion Set 4, Party Expansion 1""},")</f>
        <v>"vllu":{"label":"Touch &amp; Go","extra":"(indecisive, uncertain, insecure) ","sets":"Expansion Set 4, Party Expansion 1"},</v>
      </c>
    </row>
    <row r="190">
      <c r="A190" s="8" t="str">
        <f>IFERROR(__xludf.DUMMYFUNCTION("""COMPUTED_VALUE"""),"Trashy")</f>
        <v>Trashy</v>
      </c>
      <c r="B190" s="8" t="str">
        <f>IFERROR(__xludf.DUMMYFUNCTION("""COMPUTED_VALUE"""),"(shameless, nasty, indecent) ")</f>
        <v>(shameless, nasty, indecent) </v>
      </c>
      <c r="C190" s="13" t="str">
        <f>IFERROR(__xludf.DUMMYFUNCTION("""COMPUTED_VALUE"""),"""ushq"":{""label"":""Trashy"",""extra"":""(shameless, nasty, indecent) "",""sets"":""Expansion Set 3, Party Expansion 1""},")</f>
        <v>"ushq":{"label":"Trashy","extra":"(shameless, nasty, indecent) ","sets":"Expansion Set 3, Party Expansion 1"},</v>
      </c>
    </row>
    <row r="191">
      <c r="A191" s="8" t="str">
        <f>IFERROR(__xludf.DUMMYFUNCTION("""COMPUTED_VALUE"""),"Tried &amp; True")</f>
        <v>Tried &amp; True</v>
      </c>
      <c r="B191" s="8" t="str">
        <f>IFERROR(__xludf.DUMMYFUNCTION("""COMPUTED_VALUE"""),"(tested, proven, trustworthy) ")</f>
        <v>(tested, proven, trustworthy) </v>
      </c>
      <c r="C191" s="13" t="str">
        <f>IFERROR(__xludf.DUMMYFUNCTION("""COMPUTED_VALUE"""),"""wjzj"":{""label"":""Tried &amp; True"",""extra"":""(tested, proven, trustworthy) "",""sets"":""Expansion Set 4, Party Expansion 1""},")</f>
        <v>"wjzj":{"label":"Tried &amp; True","extra":"(tested, proven, trustworthy) ","sets":"Expansion Set 4, Party Expansion 1"},</v>
      </c>
    </row>
    <row r="192">
      <c r="A192" s="8" t="str">
        <f>IFERROR(__xludf.DUMMYFUNCTION("""COMPUTED_VALUE"""),"True &amp; Blue")</f>
        <v>True &amp; Blue</v>
      </c>
      <c r="B192" s="8" t="str">
        <f>IFERROR(__xludf.DUMMYFUNCTION("""COMPUTED_VALUE"""),"(loyal, faithful, patriotic) ")</f>
        <v>(loyal, faithful, patriotic) </v>
      </c>
      <c r="C192" s="13" t="str">
        <f>IFERROR(__xludf.DUMMYFUNCTION("""COMPUTED_VALUE"""),"""njlt"":{""label"":""True &amp; Blue"",""extra"":""(loyal, faithful, patriotic) "",""sets"":""Expansion Set 4, Party Expansion 1""},")</f>
        <v>"njlt":{"label":"True &amp; Blue","extra":"(loyal, faithful, patriotic) ","sets":"Expansion Set 4, Party Expansion 1"},</v>
      </c>
    </row>
    <row r="193">
      <c r="A193" s="8" t="str">
        <f>IFERROR(__xludf.DUMMYFUNCTION("""COMPUTED_VALUE"""),"Trustworthy")</f>
        <v>Trustworthy</v>
      </c>
      <c r="B193" s="8" t="str">
        <f>IFERROR(__xludf.DUMMYFUNCTION("""COMPUTED_VALUE"""),"(dependable, honest) ")</f>
        <v>(dependable, honest) </v>
      </c>
      <c r="C193" s="13" t="str">
        <f>IFERROR(__xludf.DUMMYFUNCTION("""COMPUTED_VALUE"""),"""oepj"":{""label"":""Trustworthy"",""extra"":""(dependable, honest) "",""sets"":""Junior 9+ (1st) &amp; (2nd)""},")</f>
        <v>"oepj":{"label":"Trustworthy","extra":"(dependable, honest) ","sets":"Junior 9+ (1st) &amp; (2nd)"},</v>
      </c>
    </row>
    <row r="194">
      <c r="A194" s="8" t="str">
        <f>IFERROR(__xludf.DUMMYFUNCTION("""COMPUTED_VALUE"""),"Unforgettable")</f>
        <v>Unforgettable</v>
      </c>
      <c r="B194" s="8" t="str">
        <f>IFERROR(__xludf.DUMMYFUNCTION("""COMPUTED_VALUE"""),"(memorable, treasured) ")</f>
        <v>(memorable, treasured) </v>
      </c>
      <c r="C194" s="13" t="str">
        <f>IFERROR(__xludf.DUMMYFUNCTION("""COMPUTED_VALUE"""),"""mtdx"":{""label"":""Unforgettable"",""extra"":""(memorable, treasured) "",""sets"":""Junior 9+ (2nd)""},")</f>
        <v>"mtdx":{"label":"Unforgettable","extra":"(memorable, treasured) ","sets":"Junior 9+ (2nd)"},</v>
      </c>
    </row>
    <row r="195">
      <c r="A195" s="8" t="str">
        <f>IFERROR(__xludf.DUMMYFUNCTION("""COMPUTED_VALUE"""),"Unhappy")</f>
        <v>Unhappy</v>
      </c>
      <c r="B195" s="8" t="str">
        <f>IFERROR(__xludf.DUMMYFUNCTION("""COMPUTED_VALUE"""),"(sad, sorrowful) ")</f>
        <v>(sad, sorrowful) </v>
      </c>
      <c r="C195" s="13" t="str">
        <f>IFERROR(__xludf.DUMMYFUNCTION("""COMPUTED_VALUE"""),"""rpti"":{""label"":""Unhappy"",""extra"":""(sad, sorrowful) "",""sets"":""Junior 9+ (1st) &amp; (2nd)""},")</f>
        <v>"rpti":{"label":"Unhappy","extra":"(sad, sorrowful) ","sets":"Junior 9+ (1st) &amp; (2nd)"},</v>
      </c>
    </row>
    <row r="196">
      <c r="A196" s="8" t="str">
        <f>IFERROR(__xludf.DUMMYFUNCTION("""COMPUTED_VALUE"""),"Up &amp; Coming")</f>
        <v>Up &amp; Coming</v>
      </c>
      <c r="B196" s="8" t="str">
        <f>IFERROR(__xludf.DUMMYFUNCTION("""COMPUTED_VALUE"""),"(promising, enterprising, gifted) ")</f>
        <v>(promising, enterprising, gifted) </v>
      </c>
      <c r="C196" s="13" t="str">
        <f>IFERROR(__xludf.DUMMYFUNCTION("""COMPUTED_VALUE"""),"""juxy"":{""label"":""Up &amp; Coming"",""extra"":""(promising, enterprising, gifted) "",""sets"":""Expansion Set 4, Party Expansion 1""},")</f>
        <v>"juxy":{"label":"Up &amp; Coming","extra":"(promising, enterprising, gifted) ","sets":"Expansion Set 4, Party Expansion 1"},</v>
      </c>
    </row>
    <row r="197">
      <c r="A197" s="8" t="str">
        <f>IFERROR(__xludf.DUMMYFUNCTION("""COMPUTED_VALUE"""),"Up &amp; Down")</f>
        <v>Up &amp; Down</v>
      </c>
      <c r="B197" s="8" t="str">
        <f>IFERROR(__xludf.DUMMYFUNCTION("""COMPUTED_VALUE"""),"(volatile, variable, vertical) ")</f>
        <v>(volatile, variable, vertical) </v>
      </c>
      <c r="C197" s="13" t="str">
        <f>IFERROR(__xludf.DUMMYFUNCTION("""COMPUTED_VALUE"""),"""psmn"":{""label"":""Up &amp; Down"",""extra"":""(volatile, variable, vertical) "",""sets"":""Expansion Set 4, Party Expansion 1""},")</f>
        <v>"psmn":{"label":"Up &amp; Down","extra":"(volatile, variable, vertical) ","sets":"Expansion Set 4, Party Expansion 1"},</v>
      </c>
    </row>
    <row r="198">
      <c r="A198" s="8" t="str">
        <f>IFERROR(__xludf.DUMMYFUNCTION("""COMPUTED_VALUE"""),"Useful")</f>
        <v>Useful</v>
      </c>
      <c r="B198" s="8" t="str">
        <f>IFERROR(__xludf.DUMMYFUNCTION("""COMPUTED_VALUE"""),"(helpful, handy) ")</f>
        <v>(helpful, handy) </v>
      </c>
      <c r="C198" s="13" t="str">
        <f>IFERROR(__xludf.DUMMYFUNCTION("""COMPUTED_VALUE"""),"""ldyt"":{""label"":""Useful"",""extra"":""(helpful, handy) "",""sets"":""Junior""},")</f>
        <v>"ldyt":{"label":"Useful","extra":"(helpful, handy) ","sets":"Junior"},</v>
      </c>
    </row>
    <row r="199">
      <c r="A199" s="8" t="str">
        <f>IFERROR(__xludf.DUMMYFUNCTION("""COMPUTED_VALUE"""),"Useless")</f>
        <v>Useless</v>
      </c>
      <c r="B199" s="8" t="str">
        <f>IFERROR(__xludf.DUMMYFUNCTION("""COMPUTED_VALUE"""),"(worthless, not valuable) ")</f>
        <v>(worthless, not valuable) </v>
      </c>
      <c r="C199" s="13" t="str">
        <f>IFERROR(__xludf.DUMMYFUNCTION("""COMPUTED_VALUE"""),"""auoi"":{""label"":""Useless"",""extra"":""(worthless, not valuable) "",""sets"":""Junior 9+ (1st) &amp; (2nd)""},")</f>
        <v>"auoi":{"label":"Useless","extra":"(worthless, not valuable) ","sets":"Junior 9+ (1st) &amp; (2nd)"},</v>
      </c>
    </row>
    <row r="200">
      <c r="A200" s="8" t="str">
        <f>IFERROR(__xludf.DUMMYFUNCTION("""COMPUTED_VALUE"""),"Vain")</f>
        <v>Vain</v>
      </c>
      <c r="B200" s="8" t="str">
        <f>IFERROR(__xludf.DUMMYFUNCTION("""COMPUTED_VALUE"""),"(conceited, arrogant, fruitless) ")</f>
        <v>(conceited, arrogant, fruitless) </v>
      </c>
      <c r="C200" s="13" t="str">
        <f>IFERROR(__xludf.DUMMYFUNCTION("""COMPUTED_VALUE"""),"""ixxg"":{""label"":""Vain"",""extra"":""(conceited, arrogant, fruitless) "",""sets"":""Expansion Set 3, Party Expansion 1""},")</f>
        <v>"ixxg":{"label":"Vain","extra":"(conceited, arrogant, fruitless) ","sets":"Expansion Set 3, Party Expansion 1"},</v>
      </c>
    </row>
    <row r="201">
      <c r="A201" s="8" t="str">
        <f>IFERROR(__xludf.DUMMYFUNCTION("""COMPUTED_VALUE"""),"Valuable")</f>
        <v>Valuable</v>
      </c>
      <c r="B201" s="8" t="str">
        <f>IFERROR(__xludf.DUMMYFUNCTION("""COMPUTED_VALUE"""),"(expensive, important) ")</f>
        <v>(expensive, important) </v>
      </c>
      <c r="C201" s="13" t="str">
        <f>IFERROR(__xludf.DUMMYFUNCTION("""COMPUTED_VALUE"""),"""pzua"":{""label"":""Valuable"",""extra"":""(expensive, important) "",""sets"":""Junior 9+ (2nd)""},")</f>
        <v>"pzua":{"label":"Valuable","extra":"(expensive, important) ","sets":"Junior 9+ (2nd)"},</v>
      </c>
    </row>
    <row r="202">
      <c r="A202" s="8" t="str">
        <f>IFERROR(__xludf.DUMMYFUNCTION("""COMPUTED_VALUE"""),"Warm &amp; Cozy")</f>
        <v>Warm &amp; Cozy</v>
      </c>
      <c r="B202" s="8" t="str">
        <f>IFERROR(__xludf.DUMMYFUNCTION("""COMPUTED_VALUE"""),"(snug, comfy, friendly) ")</f>
        <v>(snug, comfy, friendly) </v>
      </c>
      <c r="C202" s="13" t="str">
        <f>IFERROR(__xludf.DUMMYFUNCTION("""COMPUTED_VALUE"""),"""kquy"":{""label"":""Warm &amp; Cozy"",""extra"":""(snug, comfy, friendly) "",""sets"":""Expansion Set 4, Party Expansion 1""},")</f>
        <v>"kquy":{"label":"Warm &amp; Cozy","extra":"(snug, comfy, friendly) ","sets":"Expansion Set 4, Party Expansion 1"},</v>
      </c>
    </row>
    <row r="203">
      <c r="A203" s="8" t="str">
        <f>IFERROR(__xludf.DUMMYFUNCTION("""COMPUTED_VALUE"""),"Wash &amp; Wear")</f>
        <v>Wash &amp; Wear</v>
      </c>
      <c r="B203" s="8" t="str">
        <f>IFERROR(__xludf.DUMMYFUNCTION("""COMPUTED_VALUE"""),"(durable, easy-care, sturdy) ")</f>
        <v>(durable, easy-care, sturdy) </v>
      </c>
      <c r="C203" s="13" t="str">
        <f>IFERROR(__xludf.DUMMYFUNCTION("""COMPUTED_VALUE"""),"""llty"":{""label"":""Wash &amp; Wear"",""extra"":""(durable, easy-care, sturdy) "",""sets"":""Expansion Set 4, Party Expansion 1""},")</f>
        <v>"llty":{"label":"Wash &amp; Wear","extra":"(durable, easy-care, sturdy) ","sets":"Expansion Set 4, Party Expansion 1"},</v>
      </c>
    </row>
    <row r="204">
      <c r="A204" s="8" t="str">
        <f>IFERROR(__xludf.DUMMYFUNCTION("""COMPUTED_VALUE"""),"Whimsical")</f>
        <v>Whimsical</v>
      </c>
      <c r="B204" s="8" t="str">
        <f>IFERROR(__xludf.DUMMYFUNCTION("""COMPUTED_VALUE"""),"(humourous, peculiar, fanciful) ")</f>
        <v>(humourous, peculiar, fanciful) </v>
      </c>
      <c r="C204" s="13" t="str">
        <f>IFERROR(__xludf.DUMMYFUNCTION("""COMPUTED_VALUE"""),"""bflc"":{""label"":""Whimsical"",""extra"":""(humourous, peculiar, fanciful) "",""sets"":""Expansion Set 3, Party Expansion 1""},")</f>
        <v>"bflc":{"label":"Whimsical","extra":"(humourous, peculiar, fanciful) ","sets":"Expansion Set 3, Party Expansion 1"},</v>
      </c>
    </row>
    <row r="205">
      <c r="A205" s="8" t="str">
        <f>IFERROR(__xludf.DUMMYFUNCTION("""COMPUTED_VALUE"""),"Wild &amp; Wooly")</f>
        <v>Wild &amp; Wooly</v>
      </c>
      <c r="B205" s="8" t="str">
        <f>IFERROR(__xludf.DUMMYFUNCTION("""COMPUTED_VALUE"""),"(untamed, uncontrolled, reckless) ")</f>
        <v>(untamed, uncontrolled, reckless) </v>
      </c>
      <c r="C205" s="13" t="str">
        <f>IFERROR(__xludf.DUMMYFUNCTION("""COMPUTED_VALUE"""),"""krgu"":{""label"":""Wild &amp; Wooly"",""extra"":""(untamed, uncontrolled, reckless) "",""sets"":""Expansion Set 4, Party Expansion 1""},")</f>
        <v>"krgu":{"label":"Wild &amp; Wooly","extra":"(untamed, uncontrolled, reckless) ","sets":"Expansion Set 4, Party Expansion 1"},</v>
      </c>
    </row>
    <row r="206">
      <c r="A206" s="8" t="str">
        <f>IFERROR(__xludf.DUMMYFUNCTION("""COMPUTED_VALUE"""),"Wired")</f>
        <v>Wired</v>
      </c>
      <c r="B206" s="8" t="str">
        <f>IFERROR(__xludf.DUMMYFUNCTION("""COMPUTED_VALUE"""),"(strained, tense, nervous) ")</f>
        <v>(strained, tense, nervous) </v>
      </c>
      <c r="C206" s="13" t="str">
        <f>IFERROR(__xludf.DUMMYFUNCTION("""COMPUTED_VALUE"""),"""ozfv"":{""label"":""Wired"",""extra"":""(strained, tense, nervous) "",""sets"":""Expansion Set 3, Party Expansion 1""},")</f>
        <v>"ozfv":{"label":"Wired","extra":"(strained, tense, nervous) ","sets":"Expansion Set 3, Party Expansion 1"},</v>
      </c>
    </row>
    <row r="207">
      <c r="A207" s="8" t="str">
        <f>IFERROR(__xludf.DUMMYFUNCTION("""COMPUTED_VALUE"""),"Wonderful")</f>
        <v>Wonderful</v>
      </c>
      <c r="B207" s="8" t="str">
        <f>IFERROR(__xludf.DUMMYFUNCTION("""COMPUTED_VALUE"""),"(great, excellent) ")</f>
        <v>(great, excellent) </v>
      </c>
      <c r="C207" s="13" t="str">
        <f>IFERROR(__xludf.DUMMYFUNCTION("""COMPUTED_VALUE"""),"""vfyi"":{""label"":""Wonderful"",""extra"":""(great, excellent) "",""sets"":""Junior""},")</f>
        <v>"vfyi":{"label":"Wonderful","extra":"(great, excellent) ","sets":"Junior"},</v>
      </c>
    </row>
    <row r="208">
      <c r="A208" s="8" t="str">
        <f>IFERROR(__xludf.DUMMYFUNCTION("""COMPUTED_VALUE"""),"Worthless")</f>
        <v>Worthless</v>
      </c>
      <c r="B208" s="8" t="str">
        <f>IFERROR(__xludf.DUMMYFUNCTION("""COMPUTED_VALUE"""),"(useless, meaningless) ")</f>
        <v>(useless, meaningless) </v>
      </c>
      <c r="C208" s="13" t="str">
        <f>IFERROR(__xludf.DUMMYFUNCTION("""COMPUTED_VALUE"""),"""juey"":{""label"":""Worthless"",""extra"":""(useless, meaningless) "",""sets"":""Junior 9+ (2nd)""},")</f>
        <v>"juey":{"label":"Worthless","extra":"(useless, meaningless) ","sets":"Junior 9+ (2nd)"},</v>
      </c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11.1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IFERROR(__xludf.DUMMYFUNCTION("filter(Red!B3:D1751,Red!A3:A1751=true)"),"A Bakery")</f>
        <v>A Bakery</v>
      </c>
      <c r="B2" s="8" t="str">
        <f>IFERROR(__xludf.DUMMYFUNCTION("""COMPUTED_VALUE"""),"Some bakers start work at 3:00 in the morning, so breads and donuts are fresh for breakfast.")</f>
        <v>Some bakers start work at 3:00 in the morning, so breads and donuts are fresh for breakfast.</v>
      </c>
      <c r="C2" s="13" t="str">
        <f>IFERROR(__xludf.DUMMYFUNCTION("""COMPUTED_VALUE"""),"""roua"":{""label"":""A Bakery"",""extra"":""Some bakers start work at 3:00 in the morning, so breads and donuts are fresh for breakfast."",""sets"":""Junior 9+ (1st) &amp; (2nd)""},")</f>
        <v>"roua":{"label":"A Bakery","extra":"Some bakers start work at 3:00 in the morning, so breads and donuts are fresh for breakfast.","sets":"Junior 9+ (1st) &amp; (2nd)"},</v>
      </c>
    </row>
    <row r="3">
      <c r="A3" s="8" t="str">
        <f>IFERROR(__xludf.DUMMYFUNCTION("""COMPUTED_VALUE"""),"A Broken Leg")</f>
        <v>A Broken Leg</v>
      </c>
      <c r="B3" s="8" t="str">
        <f>IFERROR(__xludf.DUMMYFUNCTION("""COMPUTED_VALUE"""),"I was riding my bike when I hit this big rock…")</f>
        <v>I was riding my bike when I hit this big rock…</v>
      </c>
      <c r="C3" s="13" t="str">
        <f>IFERROR(__xludf.DUMMYFUNCTION("""COMPUTED_VALUE"""),"""hign"":{""label"":""A Broken Leg"",""extra"":""I was riding my bike when I hit this big rock…"",""sets"":""Junior 9+ (1st) &amp; (2nd)""},")</f>
        <v>"hign":{"label":"A Broken Leg","extra":"I was riding my bike when I hit this big rock…","sets":"Junior 9+ (1st) &amp; (2nd)"},</v>
      </c>
    </row>
    <row r="4">
      <c r="A4" s="8" t="str">
        <f>IFERROR(__xludf.DUMMYFUNCTION("""COMPUTED_VALUE"""),"A Cabin In The Woods")</f>
        <v>A Cabin In The Woods</v>
      </c>
      <c r="B4" s="8" t="str">
        <f>IFERROR(__xludf.DUMMYFUNCTION("""COMPUTED_VALUE"""),"Henry David Thoreau went to Walden Pond for two years. All we're asking for is one lousy weekend!")</f>
        <v>Henry David Thoreau went to Walden Pond for two years. All we're asking for is one lousy weekend!</v>
      </c>
      <c r="C4" s="13" t="str">
        <f>IFERROR(__xludf.DUMMYFUNCTION("""COMPUTED_VALUE"""),"""perh"":{""label"":""A Cabin In The Woods"",""extra"":""Henry David Thoreau went to Walden Pond for two years. All we're asking for is one lousy weekend!"",""sets"":""Expansion Set 3, Party Expansion 1""},")</f>
        <v>"perh":{"label":"A Cabin In The Woods","extra":"Henry David Thoreau went to Walden Pond for two years. All we're asking for is one lousy weekend!","sets":"Expansion Set 3, Party Expansion 1"},</v>
      </c>
    </row>
    <row r="5">
      <c r="A5" s="8" t="str">
        <f>IFERROR(__xludf.DUMMYFUNCTION("""COMPUTED_VALUE"""),"A Can Of Worms")</f>
        <v>A Can Of Worms</v>
      </c>
      <c r="B5" s="8" t="str">
        <f>IFERROR(__xludf.DUMMYFUNCTION("""COMPUTED_VALUE"""),"Now you’ve opened it.")</f>
        <v>Now you’ve opened it.</v>
      </c>
      <c r="C5" s="13" t="str">
        <f>IFERROR(__xludf.DUMMYFUNCTION("""COMPUTED_VALUE"""),"""ubnp"":{""label"":""A Can Of Worms"",""extra"":""Now you’ve opened it."",""sets"":""Expansion Set 3, Party Expansion 1""},")</f>
        <v>"ubnp":{"label":"A Can Of Worms","extra":"Now you’ve opened it.","sets":"Expansion Set 3, Party Expansion 1"},</v>
      </c>
    </row>
    <row r="6">
      <c r="A6" s="8" t="str">
        <f>IFERROR(__xludf.DUMMYFUNCTION("""COMPUTED_VALUE"""),"A Cookbook")</f>
        <v>A Cookbook</v>
      </c>
      <c r="B6" s="8" t="str">
        <f>IFERROR(__xludf.DUMMYFUNCTION("""COMPUTED_VALUE"""),"The best ones include favorite family recipes.")</f>
        <v>The best ones include favorite family recipes.</v>
      </c>
      <c r="C6" s="13" t="str">
        <f>IFERROR(__xludf.DUMMYFUNCTION("""COMPUTED_VALUE"""),"""fsqo"":{""label"":""A Cookbook"",""extra"":""The best ones include favorite family recipes."",""sets"":""Junior 9+ (2nd)""},")</f>
        <v>"fsqo":{"label":"A Cookbook","extra":"The best ones include favorite family recipes.","sets":"Junior 9+ (2nd)"},</v>
      </c>
    </row>
    <row r="7">
      <c r="A7" s="8" t="str">
        <f>IFERROR(__xludf.DUMMYFUNCTION("""COMPUTED_VALUE"""),"A Crown")</f>
        <v>A Crown</v>
      </c>
      <c r="B7" s="8" t="str">
        <f>IFERROR(__xludf.DUMMYFUNCTION("""COMPUTED_VALUE"""),"A crown is a symbol of royalty.")</f>
        <v>A crown is a symbol of royalty.</v>
      </c>
      <c r="C7" s="13" t="str">
        <f>IFERROR(__xludf.DUMMYFUNCTION("""COMPUTED_VALUE"""),"""omym"":{""label"":""A Crown"",""extra"":""A crown is a symbol of royalty."",""sets"":""Junior 9+ (2nd)""},")</f>
        <v>"omym":{"label":"A Crown","extra":"A crown is a symbol of royalty.","sets":"Junior 9+ (2nd)"},</v>
      </c>
    </row>
    <row r="8">
      <c r="A8" s="8" t="str">
        <f>IFERROR(__xludf.DUMMYFUNCTION("""COMPUTED_VALUE"""),"A Desert")</f>
        <v>A Desert</v>
      </c>
      <c r="B8" s="8" t="str">
        <f>IFERROR(__xludf.DUMMYFUNCTION("""COMPUTED_VALUE"""),"Hot, dry and sandy.")</f>
        <v>Hot, dry and sandy.</v>
      </c>
      <c r="C8" s="13" t="str">
        <f>IFERROR(__xludf.DUMMYFUNCTION("""COMPUTED_VALUE"""),"""sqve"":{""label"":""A Desert"",""extra"":""Hot, dry and sandy."",""sets"":""Junior 9+ (1st) &amp; (2nd)""},")</f>
        <v>"sqve":{"label":"A Desert","extra":"Hot, dry and sandy.","sets":"Junior 9+ (1st) &amp; (2nd)"},</v>
      </c>
    </row>
    <row r="9">
      <c r="A9" s="8" t="str">
        <f>IFERROR(__xludf.DUMMYFUNCTION("""COMPUTED_VALUE"""),"A Dollar")</f>
        <v>A Dollar</v>
      </c>
      <c r="B9" s="8" t="str">
        <f>IFERROR(__xludf.DUMMYFUNCTION("""COMPUTED_VALUE"""),"Spend it wisely!")</f>
        <v>Spend it wisely!</v>
      </c>
      <c r="C9" s="13" t="str">
        <f>IFERROR(__xludf.DUMMYFUNCTION("""COMPUTED_VALUE"""),"""xeqx"":{""label"":""A Dollar"",""extra"":""Spend it wisely!"",""sets"":""Junior 9+ (2nd)""},")</f>
        <v>"xeqx":{"label":"A Dollar","extra":"Spend it wisely!","sets":"Junior 9+ (2nd)"},</v>
      </c>
    </row>
    <row r="10">
      <c r="A10" s="8" t="str">
        <f>IFERROR(__xludf.DUMMYFUNCTION("""COMPUTED_VALUE"""),"A Few Good Men")</f>
        <v>A Few Good Men</v>
      </c>
      <c r="B10" s="8" t="str">
        <f>IFERROR(__xludf.DUMMYFUNCTION("""COMPUTED_VALUE"""),"Is that too much to ask?")</f>
        <v>Is that too much to ask?</v>
      </c>
      <c r="C10" s="13" t="str">
        <f>IFERROR(__xludf.DUMMYFUNCTION("""COMPUTED_VALUE"""),"""zgol"":{""label"":""A Few Good Men"",""extra"":""Is that too much to ask?"",""sets"":""Expansion Set 3, Party Expansion 1""},")</f>
        <v>"zgol":{"label":"A Few Good Men","extra":"Is that too much to ask?","sets":"Expansion Set 3, Party Expansion 1"},</v>
      </c>
    </row>
    <row r="11">
      <c r="A11" s="8" t="str">
        <f>IFERROR(__xludf.DUMMYFUNCTION("""COMPUTED_VALUE"""),"A Fool &amp; His Money")</f>
        <v>A Fool &amp; His Money</v>
      </c>
      <c r="B11" s="8" t="str">
        <f>IFERROR(__xludf.DUMMYFUNCTION("""COMPUTED_VALUE"""),"Are soon parted… especially on Wall Street.")</f>
        <v>Are soon parted… especially on Wall Street.</v>
      </c>
      <c r="C11" s="13" t="str">
        <f>IFERROR(__xludf.DUMMYFUNCTION("""COMPUTED_VALUE"""),"""knyu"":{""label"":""A Fool &amp; His Money"",""extra"":""Are soon parted… especially on Wall Street."",""sets"":""Expansion Set 4, Party Expansion 1""},")</f>
        <v>"knyu":{"label":"A Fool &amp; His Money","extra":"Are soon parted… especially on Wall Street.","sets":"Expansion Set 4, Party Expansion 1"},</v>
      </c>
    </row>
    <row r="12">
      <c r="A12" s="8" t="str">
        <f>IFERROR(__xludf.DUMMYFUNCTION("""COMPUTED_VALUE"""),"A Forest")</f>
        <v>A Forest</v>
      </c>
      <c r="B12" s="8" t="str">
        <f>IFERROR(__xludf.DUMMYFUNCTION("""COMPUTED_VALUE"""),"Home to Bambi, Winnie the Pooh, Robin Hood, and many woodland animals.")</f>
        <v>Home to Bambi, Winnie the Pooh, Robin Hood, and many woodland animals.</v>
      </c>
      <c r="C12" s="13" t="str">
        <f>IFERROR(__xludf.DUMMYFUNCTION("""COMPUTED_VALUE"""),"""ehqw"":{""label"":""A Forest"",""extra"":""Home to Bambi, Winnie the Pooh, Robin Hood, and many woodland animals."",""sets"":""Junior""},")</f>
        <v>"ehqw":{"label":"A Forest","extra":"Home to Bambi, Winnie the Pooh, Robin Hood, and many woodland animals.","sets":"Junior"},</v>
      </c>
    </row>
    <row r="13">
      <c r="A13" s="8" t="str">
        <f>IFERROR(__xludf.DUMMYFUNCTION("""COMPUTED_VALUE"""),"A French Maid")</f>
        <v>A French Maid</v>
      </c>
      <c r="B13" s="8" t="str">
        <f>IFERROR(__xludf.DUMMYFUNCTION("""COMPUTED_VALUE"""),"Ooh, la, la!")</f>
        <v>Ooh, la, la!</v>
      </c>
      <c r="C13" s="13" t="str">
        <f>IFERROR(__xludf.DUMMYFUNCTION("""COMPUTED_VALUE"""),"""xowg"":{""label"":""A French Maid"",""extra"":""Ooh, la, la!"",""sets"":""Expansion Set 3, Party Expansion 1""},")</f>
        <v>"xowg":{"label":"A French Maid","extra":"Ooh, la, la!","sets":"Expansion Set 3, Party Expansion 1"},</v>
      </c>
    </row>
    <row r="14">
      <c r="A14" s="8" t="str">
        <f>IFERROR(__xludf.DUMMYFUNCTION("""COMPUTED_VALUE"""),"A Giant")</f>
        <v>A Giant</v>
      </c>
      <c r="B14" s="8" t="str">
        <f>IFERROR(__xludf.DUMMYFUNCTION("""COMPUTED_VALUE"""),"A very large and powerful person. When Jack climbed the bean stalk, he met a hungry giant.")</f>
        <v>A very large and powerful person. When Jack climbed the bean stalk, he met a hungry giant.</v>
      </c>
      <c r="C14" s="13" t="str">
        <f>IFERROR(__xludf.DUMMYFUNCTION("""COMPUTED_VALUE"""),"""gkbi"":{""label"":""A Giant"",""extra"":""A very large and powerful person. When Jack climbed the bean stalk, he met a hungry giant."",""sets"":""Junior""},")</f>
        <v>"gkbi":{"label":"A Giant","extra":"A very large and powerful person. When Jack climbed the bean stalk, he met a hungry giant.","sets":"Junior"},</v>
      </c>
    </row>
    <row r="15">
      <c r="A15" s="8" t="str">
        <f>IFERROR(__xludf.DUMMYFUNCTION("""COMPUTED_VALUE"""),"A Hole In One")</f>
        <v>A Hole In One</v>
      </c>
      <c r="B15" s="8" t="str">
        <f>IFERROR(__xludf.DUMMYFUNCTION("""COMPUTED_VALUE"""),"Par for the course?")</f>
        <v>Par for the course?</v>
      </c>
      <c r="C15" s="13" t="str">
        <f>IFERROR(__xludf.DUMMYFUNCTION("""COMPUTED_VALUE"""),"""bpsl"":{""label"":""A Hole In One"",""extra"":""Par for the course?"",""sets"":""Expansion Set 3, Party Expansion 1""},")</f>
        <v>"bpsl":{"label":"A Hole In One","extra":"Par for the course?","sets":"Expansion Set 3, Party Expansion 1"},</v>
      </c>
    </row>
    <row r="16">
      <c r="A16" s="8" t="str">
        <f>IFERROR(__xludf.DUMMYFUNCTION("""COMPUTED_VALUE"""),"A King")</f>
        <v>A King</v>
      </c>
      <c r="B16" s="8" t="str">
        <f>IFERROR(__xludf.DUMMYFUNCTION("""COMPUTED_VALUE"""),"King Arthur became famous when he pulled a magical sword from a stone.")</f>
        <v>King Arthur became famous when he pulled a magical sword from a stone.</v>
      </c>
      <c r="C16" s="13" t="str">
        <f>IFERROR(__xludf.DUMMYFUNCTION("""COMPUTED_VALUE"""),"""vhur"":{""label"":""A King"",""extra"":""King Arthur became famous when he pulled a magical sword from a stone."",""sets"":""Junior""},")</f>
        <v>"vhur":{"label":"A King","extra":"King Arthur became famous when he pulled a magical sword from a stone.","sets":"Junior"},</v>
      </c>
    </row>
    <row r="17">
      <c r="A17" s="8" t="str">
        <f>IFERROR(__xludf.DUMMYFUNCTION("""COMPUTED_VALUE"""),"A Leaky Boat")</f>
        <v>A Leaky Boat</v>
      </c>
      <c r="B17" s="8" t="str">
        <f>IFERROR(__xludf.DUMMYFUNCTION("""COMPUTED_VALUE"""),"Time to bail out.")</f>
        <v>Time to bail out.</v>
      </c>
      <c r="C17" s="13" t="str">
        <f>IFERROR(__xludf.DUMMYFUNCTION("""COMPUTED_VALUE"""),"""kdri"":{""label"":""A Leaky Boat"",""extra"":""Time to bail out."",""sets"":""Junior 9+ (2nd)""},")</f>
        <v>"kdri":{"label":"A Leaky Boat","extra":"Time to bail out.","sets":"Junior 9+ (2nd)"},</v>
      </c>
    </row>
    <row r="18">
      <c r="A18" s="8" t="str">
        <f>IFERROR(__xludf.DUMMYFUNCTION("""COMPUTED_VALUE"""),"A Little White Lie")</f>
        <v>A Little White Lie</v>
      </c>
      <c r="B18" s="8" t="str">
        <f>IFERROR(__xludf.DUMMYFUNCTION("""COMPUTED_VALUE"""),"If you can’t say anything nice…")</f>
        <v>If you can’t say anything nice…</v>
      </c>
      <c r="C18" s="13" t="str">
        <f>IFERROR(__xludf.DUMMYFUNCTION("""COMPUTED_VALUE"""),"""hnsx"":{""label"":""A Little White Lie"",""extra"":""If you can’t say anything nice…"",""sets"":""Expansion Set 3, Party Expansion 1""},")</f>
        <v>"hnsx":{"label":"A Little White Lie","extra":"If you can’t say anything nice…","sets":"Expansion Set 3, Party Expansion 1"},</v>
      </c>
    </row>
    <row r="19">
      <c r="A19" s="8" t="str">
        <f>IFERROR(__xludf.DUMMYFUNCTION("""COMPUTED_VALUE"""),"A Log Cabin")</f>
        <v>A Log Cabin</v>
      </c>
      <c r="B19" s="8" t="str">
        <f>IFERROR(__xludf.DUMMYFUNCTION("""COMPUTED_VALUE"""),"Just cut down a few trees and make a house.")</f>
        <v>Just cut down a few trees and make a house.</v>
      </c>
      <c r="C19" s="13" t="str">
        <f>IFERROR(__xludf.DUMMYFUNCTION("""COMPUTED_VALUE"""),"""kfyr"":{""label"":""A Log Cabin"",""extra"":""Just cut down a few trees and make a house."",""sets"":""Junior 9+ (2nd)""},")</f>
        <v>"kfyr":{"label":"A Log Cabin","extra":"Just cut down a few trees and make a house.","sets":"Junior 9+ (2nd)"},</v>
      </c>
    </row>
    <row r="20">
      <c r="A20" s="8" t="str">
        <f>IFERROR(__xludf.DUMMYFUNCTION("""COMPUTED_VALUE"""),"A Mermaid")</f>
        <v>A Mermaid</v>
      </c>
      <c r="B20" s="8" t="str">
        <f>IFERROR(__xludf.DUMMYFUNCTION("""COMPUTED_VALUE"""),"An imaginary creature with the upper body of a woman and the tail of a fish.")</f>
        <v>An imaginary creature with the upper body of a woman and the tail of a fish.</v>
      </c>
      <c r="C20" s="13" t="str">
        <f>IFERROR(__xludf.DUMMYFUNCTION("""COMPUTED_VALUE"""),"""xrks"":{""label"":""A Mermaid"",""extra"":""An imaginary creature with the upper body of a woman and the tail of a fish."",""sets"":""Junior 9+ (2nd)""},")</f>
        <v>"xrks":{"label":"A Mermaid","extra":"An imaginary creature with the upper body of a woman and the tail of a fish.","sets":"Junior 9+ (2nd)"},</v>
      </c>
    </row>
    <row r="21">
      <c r="A21" s="8" t="str">
        <f>IFERROR(__xludf.DUMMYFUNCTION("""COMPUTED_VALUE"""),"A Microwave Oven")</f>
        <v>A Microwave Oven</v>
      </c>
      <c r="B21" s="8" t="str">
        <f>IFERROR(__xludf.DUMMYFUNCTION("""COMPUTED_VALUE"""),"You’ll have popcorn in two minutes.")</f>
        <v>You’ll have popcorn in two minutes.</v>
      </c>
      <c r="C21" s="13" t="str">
        <f>IFERROR(__xludf.DUMMYFUNCTION("""COMPUTED_VALUE"""),"""{cal"":{""label"":""A Microwave Oven"",""extra"":""You’ll have popcorn in two minutes."",""sets"":""Junior 9+ (2nd)""},")</f>
        <v>"{cal":{"label":"A Microwave Oven","extra":"You’ll have popcorn in two minutes.","sets":"Junior 9+ (2nd)"},</v>
      </c>
    </row>
    <row r="22">
      <c r="A22" s="8" t="str">
        <f>IFERROR(__xludf.DUMMYFUNCTION("""COMPUTED_VALUE"""),"A Million Dollars")</f>
        <v>A Million Dollars</v>
      </c>
      <c r="B22" s="8" t="str">
        <f>IFERROR(__xludf.DUMMYFUNCTION("""COMPUTED_VALUE"""),"If I had a million dollars…")</f>
        <v>If I had a million dollars…</v>
      </c>
      <c r="C22" s="13" t="str">
        <f>IFERROR(__xludf.DUMMYFUNCTION("""COMPUTED_VALUE"""),"""pmla"":{""label"":""A Million Dollars"",""extra"":""If I had a million dollars…"",""sets"":""Expansion Set 3, Party Expansion 1""},")</f>
        <v>"pmla":{"label":"A Million Dollars","extra":"If I had a million dollars…","sets":"Expansion Set 3, Party Expansion 1"},</v>
      </c>
    </row>
    <row r="23">
      <c r="A23" s="8" t="str">
        <f>IFERROR(__xludf.DUMMYFUNCTION("""COMPUTED_VALUE"""),"A Movie Theater")</f>
        <v>A Movie Theater</v>
      </c>
      <c r="B23" s="8" t="str">
        <f>IFERROR(__xludf.DUMMYFUNCTION("""COMPUTED_VALUE"""),"When you want a REALLY big screen.")</f>
        <v>When you want a REALLY big screen.</v>
      </c>
      <c r="C23" s="13" t="str">
        <f>IFERROR(__xludf.DUMMYFUNCTION("""COMPUTED_VALUE"""),"""eyik"":{""label"":""A Movie Theater"",""extra"":""When you want a REALLY big screen."",""sets"":""Junior 9+ (2nd)""},")</f>
        <v>"eyik":{"label":"A Movie Theater","extra":"When you want a REALLY big screen.","sets":"Junior 9+ (2nd)"},</v>
      </c>
    </row>
    <row r="24">
      <c r="A24" s="8" t="str">
        <f>IFERROR(__xludf.DUMMYFUNCTION("""COMPUTED_VALUE"""),"A Parade")</f>
        <v>A Parade</v>
      </c>
      <c r="B24" s="8" t="str">
        <f>IFERROR(__xludf.DUMMYFUNCTION("""COMPUTED_VALUE"""),"I love a parade.")</f>
        <v>I love a parade.</v>
      </c>
      <c r="C24" s="13" t="str">
        <f>IFERROR(__xludf.DUMMYFUNCTION("""COMPUTED_VALUE"""),"""ppfm"":{""label"":""A Parade"",""extra"":""I love a parade."",""sets"":""Junior 9+ (2nd)""},")</f>
        <v>"ppfm":{"label":"A Parade","extra":"I love a parade.","sets":"Junior 9+ (2nd)"},</v>
      </c>
    </row>
    <row r="25">
      <c r="A25" s="8" t="str">
        <f>IFERROR(__xludf.DUMMYFUNCTION("""COMPUTED_VALUE"""),"A Piano")</f>
        <v>A Piano</v>
      </c>
      <c r="B25" s="8" t="str">
        <f>IFERROR(__xludf.DUMMYFUNCTION("""COMPUTED_VALUE"""),"A piano is a percussion instrument, like a drum or cymbal.")</f>
        <v>A piano is a percussion instrument, like a drum or cymbal.</v>
      </c>
      <c r="C25" s="13" t="str">
        <f>IFERROR(__xludf.DUMMYFUNCTION("""COMPUTED_VALUE"""),"""oe{k"":{""label"":""A Piano"",""extra"":""A piano is a percussion instrument, like a drum or cymbal."",""sets"":""Junior 9+ (2nd)""},")</f>
        <v>"oe{k":{"label":"A Piano","extra":"A piano is a percussion instrument, like a drum or cymbal.","sets":"Junior 9+ (2nd)"},</v>
      </c>
    </row>
    <row r="26">
      <c r="A26" s="8" t="str">
        <f>IFERROR(__xludf.DUMMYFUNCTION("""COMPUTED_VALUE"""),"A Pile Of Leaves")</f>
        <v>A Pile Of Leaves</v>
      </c>
      <c r="B26" s="8" t="str">
        <f>IFERROR(__xludf.DUMMYFUNCTION("""COMPUTED_VALUE"""),"Rake them up and jump in!")</f>
        <v>Rake them up and jump in!</v>
      </c>
      <c r="C26" s="13" t="str">
        <f>IFERROR(__xludf.DUMMYFUNCTION("""COMPUTED_VALUE"""),"""hqnc"":{""label"":""A Pile Of Leaves"",""extra"":""Rake them up and jump in!"",""sets"":""Junior""},")</f>
        <v>"hqnc":{"label":"A Pile Of Leaves","extra":"Rake them up and jump in!","sets":"Junior"},</v>
      </c>
    </row>
    <row r="27">
      <c r="A27" s="8" t="str">
        <f>IFERROR(__xludf.DUMMYFUNCTION("""COMPUTED_VALUE"""),"A Prince")</f>
        <v>A Prince</v>
      </c>
      <c r="B27" s="8" t="str">
        <f>IFERROR(__xludf.DUMMYFUNCTION("""COMPUTED_VALUE"""),"Some are real, but most are just in fairy tales.")</f>
        <v>Some are real, but most are just in fairy tales.</v>
      </c>
      <c r="C27" s="13" t="str">
        <f>IFERROR(__xludf.DUMMYFUNCTION("""COMPUTED_VALUE"""),"""qgun"":{""label"":""A Prince"",""extra"":""Some are real, but most are just in fairy tales."",""sets"":""Junior 9+ (2nd)""},")</f>
        <v>"qgun":{"label":"A Prince","extra":"Some are real, but most are just in fairy tales.","sets":"Junior 9+ (2nd)"},</v>
      </c>
    </row>
    <row r="28">
      <c r="A28" s="8" t="str">
        <f>IFERROR(__xludf.DUMMYFUNCTION("""COMPUTED_VALUE"""),"A Princess")</f>
        <v>A Princess</v>
      </c>
      <c r="B28" s="8" t="str">
        <f>IFERROR(__xludf.DUMMYFUNCTION("""COMPUTED_VALUE"""),"Some are real, but most are just in fairy tales.")</f>
        <v>Some are real, but most are just in fairy tales.</v>
      </c>
      <c r="C28" s="13" t="str">
        <f>IFERROR(__xludf.DUMMYFUNCTION("""COMPUTED_VALUE"""),"""shwu"":{""label"":""A Princess"",""extra"":""Some are real, but most are just in fairy tales."",""sets"":""Junior 9+ (2nd)""},")</f>
        <v>"shwu":{"label":"A Princess","extra":"Some are real, but most are just in fairy tales.","sets":"Junior 9+ (2nd)"},</v>
      </c>
    </row>
    <row r="29">
      <c r="A29" s="8" t="str">
        <f>IFERROR(__xludf.DUMMYFUNCTION("""COMPUTED_VALUE"""),"A Queen")</f>
        <v>A Queen</v>
      </c>
      <c r="B29" s="8" t="str">
        <f>IFERROR(__xludf.DUMMYFUNCTION("""COMPUTED_VALUE"""),"A wicked queen tried to kill Snow White with a poison apple.")</f>
        <v>A wicked queen tried to kill Snow White with a poison apple.</v>
      </c>
      <c r="C29" s="13" t="str">
        <f>IFERROR(__xludf.DUMMYFUNCTION("""COMPUTED_VALUE"""),"""yntr"":{""label"":""A Queen"",""extra"":""A wicked queen tried to kill Snow White with a poison apple."",""sets"":""Junior""},")</f>
        <v>"yntr":{"label":"A Queen","extra":"A wicked queen tried to kill Snow White with a poison apple.","sets":"Junior"},</v>
      </c>
    </row>
    <row r="30">
      <c r="A30" s="8" t="str">
        <f>IFERROR(__xludf.DUMMYFUNCTION("""COMPUTED_VALUE"""),"A Refrigerator")</f>
        <v>A Refrigerator</v>
      </c>
      <c r="B30" s="8" t="str">
        <f>IFERROR(__xludf.DUMMYFUNCTION("""COMPUTED_VALUE"""),"First stop after school.")</f>
        <v>First stop after school.</v>
      </c>
      <c r="C30" s="13" t="str">
        <f>IFERROR(__xludf.DUMMYFUNCTION("""COMPUTED_VALUE"""),"""ctht"":{""label"":""A Refrigerator"",""extra"":""First stop after school."",""sets"":""Junior 9+ (2nd)""},")</f>
        <v>"ctht":{"label":"A Refrigerator","extra":"First stop after school.","sets":"Junior 9+ (2nd)"},</v>
      </c>
    </row>
    <row r="31">
      <c r="A31" s="8" t="str">
        <f>IFERROR(__xludf.DUMMYFUNCTION("""COMPUTED_VALUE"""),"A Saw")</f>
        <v>A Saw</v>
      </c>
      <c r="B31" s="8" t="str">
        <f>IFERROR(__xludf.DUMMYFUNCTION("""COMPUTED_VALUE"""),"A metal tool with sharp teeth used to cut metal and wood. Some are used as musical instruments.")</f>
        <v>A metal tool with sharp teeth used to cut metal and wood. Some are used as musical instruments.</v>
      </c>
      <c r="C31" s="13" t="str">
        <f>IFERROR(__xludf.DUMMYFUNCTION("""COMPUTED_VALUE"""),"""lgxd"":{""label"":""A Saw"",""extra"":""A metal tool with sharp teeth used to cut metal and wood. Some are used as musical instruments."",""sets"":""Junior""},")</f>
        <v>"lgxd":{"label":"A Saw","extra":"A metal tool with sharp teeth used to cut metal and wood. Some are used as musical instruments.","sets":"Junior"},</v>
      </c>
    </row>
    <row r="32">
      <c r="A32" s="8" t="str">
        <f>IFERROR(__xludf.DUMMYFUNCTION("""COMPUTED_VALUE"""),"A School Dance")</f>
        <v>A School Dance</v>
      </c>
      <c r="B32" s="8" t="str">
        <f>IFERROR(__xludf.DUMMYFUNCTION("""COMPUTED_VALUE"""),"No chicken dance or hokey-pokey!")</f>
        <v>No chicken dance or hokey-pokey!</v>
      </c>
      <c r="C32" s="13" t="str">
        <f>IFERROR(__xludf.DUMMYFUNCTION("""COMPUTED_VALUE"""),"""osno"":{""label"":""A School Dance"",""extra"":""No chicken dance or hokey-pokey!"",""sets"":""Junior 9+ (1st) &amp; (2nd)""},")</f>
        <v>"osno":{"label":"A School Dance","extra":"No chicken dance or hokey-pokey!","sets":"Junior 9+ (1st) &amp; (2nd)"},</v>
      </c>
    </row>
    <row r="33">
      <c r="A33" s="8" t="str">
        <f>IFERROR(__xludf.DUMMYFUNCTION("""COMPUTED_VALUE"""),"A Spare Tire")</f>
        <v>A Spare Tire</v>
      </c>
      <c r="B33" s="8" t="str">
        <f>IFERROR(__xludf.DUMMYFUNCTION("""COMPUTED_VALUE"""),"The good news is: we have a spare tire…")</f>
        <v>The good news is: we have a spare tire…</v>
      </c>
      <c r="C33" s="13" t="str">
        <f>IFERROR(__xludf.DUMMYFUNCTION("""COMPUTED_VALUE"""),"""zstf"":{""label"":""A Spare Tire"",""extra"":""The good news is: we have a spare tire…"",""sets"":""Expansion Set 3, Party Expansion 1""},")</f>
        <v>"zstf":{"label":"A Spare Tire","extra":"The good news is: we have a spare tire…","sets":"Expansion Set 3, Party Expansion 1"},</v>
      </c>
    </row>
    <row r="34">
      <c r="A34" s="8" t="str">
        <f>IFERROR(__xludf.DUMMYFUNCTION("""COMPUTED_VALUE"""),"A Submarine")</f>
        <v>A Submarine</v>
      </c>
      <c r="B34" s="8" t="str">
        <f>IFERROR(__xludf.DUMMYFUNCTION("""COMPUTED_VALUE"""),"It’s a sandwich shaped like a boat.or a boat shaped like a sandwich.")</f>
        <v>It’s a sandwich shaped like a boat.or a boat shaped like a sandwich.</v>
      </c>
      <c r="C34" s="13" t="str">
        <f>IFERROR(__xludf.DUMMYFUNCTION("""COMPUTED_VALUE"""),"""nluh"":{""label"":""A Submarine"",""extra"":""It’s a sandwich shaped like a boat.or a boat shaped like a sandwich."",""sets"":""Junior 9+ (2nd)""},")</f>
        <v>"nluh":{"label":"A Submarine","extra":"It’s a sandwich shaped like a boat.or a boat shaped like a sandwich.","sets":"Junior 9+ (2nd)"},</v>
      </c>
    </row>
    <row r="35">
      <c r="A35" s="8" t="str">
        <f>IFERROR(__xludf.DUMMYFUNCTION("""COMPUTED_VALUE"""),"A Surprise")</f>
        <v>A Surprise</v>
      </c>
      <c r="B35" s="8" t="str">
        <f>IFERROR(__xludf.DUMMYFUNCTION("""COMPUTED_VALUE"""),"Something that is unexpected, like a present from a friend.")</f>
        <v>Something that is unexpected, like a present from a friend.</v>
      </c>
      <c r="C35" s="13" t="str">
        <f>IFERROR(__xludf.DUMMYFUNCTION("""COMPUTED_VALUE"""),"""xmic"":{""label"":""A Surprise"",""extra"":""Something that is unexpected, like a present from a friend."",""sets"":""Junior""},")</f>
        <v>"xmic":{"label":"A Surprise","extra":"Something that is unexpected, like a present from a friend.","sets":"Junior"},</v>
      </c>
    </row>
    <row r="36">
      <c r="A36" s="8" t="str">
        <f>IFERROR(__xludf.DUMMYFUNCTION("""COMPUTED_VALUE"""),"A Swimming Pool")</f>
        <v>A Swimming Pool</v>
      </c>
      <c r="B36" s="8" t="str">
        <f>IFERROR(__xludf.DUMMYFUNCTION("""COMPUTED_VALUE"""),"No diving in the shallow end.")</f>
        <v>No diving in the shallow end.</v>
      </c>
      <c r="C36" s="13" t="str">
        <f>IFERROR(__xludf.DUMMYFUNCTION("""COMPUTED_VALUE"""),"""ycjk"":{""label"":""A Swimming Pool"",""extra"":""No diving in the shallow end."",""sets"":""Junior 9+ (1st) &amp; (2nd)""},")</f>
        <v>"ycjk":{"label":"A Swimming Pool","extra":"No diving in the shallow end.","sets":"Junior 9+ (1st) &amp; (2nd)"},</v>
      </c>
    </row>
    <row r="37">
      <c r="A37" s="8" t="str">
        <f>IFERROR(__xludf.DUMMYFUNCTION("""COMPUTED_VALUE"""),"A Volcano")</f>
        <v>A Volcano</v>
      </c>
      <c r="B37" s="8" t="str">
        <f>IFERROR(__xludf.DUMMYFUNCTION("""COMPUTED_VALUE"""),"Hot lava!")</f>
        <v>Hot lava!</v>
      </c>
      <c r="C37" s="13" t="str">
        <f>IFERROR(__xludf.DUMMYFUNCTION("""COMPUTED_VALUE"""),"""gxzr"":{""label"":""A Volcano"",""extra"":""Hot lava!"",""sets"":""Junior 9+ (1st) &amp; (2nd)""},")</f>
        <v>"gxzr":{"label":"A Volcano","extra":"Hot lava!","sets":"Junior 9+ (1st) &amp; (2nd)"},</v>
      </c>
    </row>
    <row r="38">
      <c r="A38" s="8" t="str">
        <f>IFERROR(__xludf.DUMMYFUNCTION("""COMPUTED_VALUE"""),"Abbot &amp; Costello")</f>
        <v>Abbot &amp; Costello</v>
      </c>
      <c r="B38" s="8" t="str">
        <f>IFERROR(__xludf.DUMMYFUNCTION("""COMPUTED_VALUE"""),"Comedy team who had everyone guessing “Who's on first?”")</f>
        <v>Comedy team who had everyone guessing “Who's on first?”</v>
      </c>
      <c r="C38" s="13" t="str">
        <f>IFERROR(__xludf.DUMMYFUNCTION("""COMPUTED_VALUE"""),"""ryks"":{""label"":""Abbot &amp; Costello"",""extra"":""Comedy team who had everyone guessing “Who's on first?”"",""sets"":""Expansion Set 4, Party Expansion 1""},")</f>
        <v>"ryks":{"label":"Abbot &amp; Costello","extra":"Comedy team who had everyone guessing “Who's on first?”","sets":"Expansion Set 4, Party Expansion 1"},</v>
      </c>
    </row>
    <row r="39">
      <c r="A39" s="8" t="str">
        <f>IFERROR(__xludf.DUMMYFUNCTION("""COMPUTED_VALUE"""),"Actors")</f>
        <v>Actors</v>
      </c>
      <c r="B39" s="8" t="str">
        <f>IFERROR(__xludf.DUMMYFUNCTION("""COMPUTED_VALUE"""),"If they’re really good, you can’t tell they’re acting.")</f>
        <v>If they’re really good, you can’t tell they’re acting.</v>
      </c>
      <c r="C39" s="13" t="str">
        <f>IFERROR(__xludf.DUMMYFUNCTION("""COMPUTED_VALUE"""),"""ejzn"":{""label"":""Actors"",""extra"":""If they’re really good, you can’t tell they’re acting."",""sets"":""Junior 9+ (2nd)""},")</f>
        <v>"ejzn":{"label":"Actors","extra":"If they’re really good, you can’t tell they’re acting.","sets":"Junior 9+ (2nd)"},</v>
      </c>
    </row>
    <row r="40">
      <c r="A40" s="8" t="str">
        <f>IFERROR(__xludf.DUMMYFUNCTION("""COMPUTED_VALUE"""),"Actresses")</f>
        <v>Actresses</v>
      </c>
      <c r="B40" s="8" t="str">
        <f>IFERROR(__xludf.DUMMYFUNCTION("""COMPUTED_VALUE"""),"“O Romeo, Romeo, wherefore art thou Romeo?”—Romeo and Juliet by William Shakespeare")</f>
        <v>“O Romeo, Romeo, wherefore art thou Romeo?”—Romeo and Juliet by William Shakespeare</v>
      </c>
      <c r="C40" s="13" t="str">
        <f>IFERROR(__xludf.DUMMYFUNCTION("""COMPUTED_VALUE"""),"""pmbp"":{""label"":""Actresses"",""extra"":""“O Romeo, Romeo, wherefore art thou Romeo?”—Romeo and Juliet by William Shakespeare"",""sets"":""Junior 9+ (2nd)""},")</f>
        <v>"pmbp":{"label":"Actresses","extra":"“O Romeo, Romeo, wherefore art thou Romeo?”—Romeo and Juliet by William Shakespeare","sets":"Junior 9+ (2nd)"},</v>
      </c>
    </row>
    <row r="41">
      <c r="A41" s="8" t="str">
        <f>IFERROR(__xludf.DUMMYFUNCTION("""COMPUTED_VALUE"""),"Africa")</f>
        <v>Africa</v>
      </c>
      <c r="B41" s="8" t="str">
        <f>IFERROR(__xludf.DUMMYFUNCTION("""COMPUTED_VALUE"""),"The continent located between the Atlantic Ocean and Indian Ocean.")</f>
        <v>The continent located between the Atlantic Ocean and Indian Ocean.</v>
      </c>
      <c r="C41" s="13" t="str">
        <f>IFERROR(__xludf.DUMMYFUNCTION("""COMPUTED_VALUE"""),"""qnad"":{""label"":""Africa"",""extra"":""The continent located between the Atlantic Ocean and Indian Ocean."",""sets"":""Junior 9+ (1st) &amp; (2nd)""},")</f>
        <v>"qnad":{"label":"Africa","extra":"The continent located between the Atlantic Ocean and Indian Ocean.","sets":"Junior 9+ (1st) &amp; (2nd)"},</v>
      </c>
    </row>
    <row r="42">
      <c r="A42" s="8" t="str">
        <f>IFERROR(__xludf.DUMMYFUNCTION("""COMPUTED_VALUE"""),"Airplane")</f>
        <v>Airplane</v>
      </c>
      <c r="B42" s="8" t="str">
        <f>IFERROR(__xludf.DUMMYFUNCTION("""COMPUTED_VALUE"""),"The Wright Brothers were “wright” when they added power to a glider in order to make it fly.")</f>
        <v>The Wright Brothers were “wright” when they added power to a glider in order to make it fly.</v>
      </c>
      <c r="C42" s="13" t="str">
        <f>IFERROR(__xludf.DUMMYFUNCTION("""COMPUTED_VALUE"""),"""yu{n"":{""label"":""Airplane"",""extra"":""The Wright Brothers were “wright” when they added power to a glider in order to make it fly."",""sets"":""Junior 9+ (2nd)""},")</f>
        <v>"yu{n":{"label":"Airplane","extra":"The Wright Brothers were “wright” when they added power to a glider in order to make it fly.","sets":"Junior 9+ (2nd)"},</v>
      </c>
    </row>
    <row r="43">
      <c r="A43" s="8" t="str">
        <f>IFERROR(__xludf.DUMMYFUNCTION("""COMPUTED_VALUE"""),"Aladdin")</f>
        <v>Aladdin</v>
      </c>
      <c r="B43" s="8" t="str">
        <f>IFERROR(__xludf.DUMMYFUNCTION("""COMPUTED_VALUE"""),"Folktale character who found a magic lamp with a gentle genie inside.")</f>
        <v>Folktale character who found a magic lamp with a gentle genie inside.</v>
      </c>
      <c r="C43" s="13" t="str">
        <f>IFERROR(__xludf.DUMMYFUNCTION("""COMPUTED_VALUE"""),"""fpzc"":{""label"":""Aladdin"",""extra"":""Folktale character who found a magic lamp with a gentle genie inside."",""sets"":""Junior""},")</f>
        <v>"fpzc":{"label":"Aladdin","extra":"Folktale character who found a magic lamp with a gentle genie inside.","sets":"Junior"},</v>
      </c>
    </row>
    <row r="44">
      <c r="A44" s="8" t="str">
        <f>IFERROR(__xludf.DUMMYFUNCTION("""COMPUTED_VALUE"""),"Alaska")</f>
        <v>Alaska</v>
      </c>
      <c r="B44" s="8" t="str">
        <f>IFERROR(__xludf.DUMMYFUNCTION("""COMPUTED_VALUE"""),"The 49th state. It’s the home of Mount McKinley.")</f>
        <v>The 49th state. It’s the home of Mount McKinley.</v>
      </c>
      <c r="C44" s="13" t="str">
        <f>IFERROR(__xludf.DUMMYFUNCTION("""COMPUTED_VALUE"""),"""duwl"":{""label"":""Alaska"",""extra"":""The 49th state. It’s the home of Mount McKinley."",""sets"":""Junior 9+ (2nd)""},")</f>
        <v>"duwl":{"label":"Alaska","extra":"The 49th state. It’s the home of Mount McKinley.","sets":"Junior 9+ (2nd)"},</v>
      </c>
    </row>
    <row r="45">
      <c r="A45" s="8" t="str">
        <f>IFERROR(__xludf.DUMMYFUNCTION("""COMPUTED_VALUE"""),"Aliens")</f>
        <v>Aliens</v>
      </c>
      <c r="B45" s="8" t="str">
        <f>IFERROR(__xludf.DUMMYFUNCTION("""COMPUTED_VALUE"""),"They’re not from around here!")</f>
        <v>They’re not from around here!</v>
      </c>
      <c r="C45" s="13" t="str">
        <f>IFERROR(__xludf.DUMMYFUNCTION("""COMPUTED_VALUE"""),"""tqfe"":{""label"":""Aliens"",""extra"":""They’re not from around here!"",""sets"":""Junior 9+ (1st) &amp; (2nd)""},")</f>
        <v>"tqfe":{"label":"Aliens","extra":"They’re not from around here!","sets":"Junior 9+ (1st) &amp; (2nd)"},</v>
      </c>
    </row>
    <row r="46">
      <c r="A46" s="8" t="str">
        <f>IFERROR(__xludf.DUMMYFUNCTION("""COMPUTED_VALUE"""),"Alligators")</f>
        <v>Alligators</v>
      </c>
      <c r="B46" s="8" t="str">
        <f>IFERROR(__xludf.DUMMYFUNCTION("""COMPUTED_VALUE"""),"Large reptiles with strong jaws and long tails. Their skins are made into shoes and purses.")</f>
        <v>Large reptiles with strong jaws and long tails. Their skins are made into shoes and purses.</v>
      </c>
      <c r="C46" s="13" t="str">
        <f>IFERROR(__xludf.DUMMYFUNCTION("""COMPUTED_VALUE"""),"""ekkr"":{""label"":""Alligators"",""extra"":""Large reptiles with strong jaws and long tails. Their skins are made into shoes and purses."",""sets"":""Junior 9+ (1st) &amp; (2nd)""},")</f>
        <v>"ekkr":{"label":"Alligators","extra":"Large reptiles with strong jaws and long tails. Their skins are made into shoes and purses.","sets":"Junior 9+ (1st) &amp; (2nd)"},</v>
      </c>
    </row>
    <row r="47">
      <c r="A47" s="8" t="str">
        <f>IFERROR(__xludf.DUMMYFUNCTION("""COMPUTED_VALUE"""),"AM &amp; FM")</f>
        <v>AM &amp; FM</v>
      </c>
      <c r="B47" s="8" t="str">
        <f>IFERROR(__xludf.DUMMYFUNCTION("""COMPUTED_VALUE"""),"Making waves in radio.")</f>
        <v>Making waves in radio.</v>
      </c>
      <c r="C47" s="13" t="str">
        <f>IFERROR(__xludf.DUMMYFUNCTION("""COMPUTED_VALUE"""),"""ebgr"":{""label"":""AM &amp; FM"",""extra"":""Making waves in radio."",""sets"":""Expansion Set 4, Party Expansion 1""},")</f>
        <v>"ebgr":{"label":"AM &amp; FM","extra":"Making waves in radio.","sets":"Expansion Set 4, Party Expansion 1"},</v>
      </c>
    </row>
    <row r="48">
      <c r="A48" s="8" t="str">
        <f>IFERROR(__xludf.DUMMYFUNCTION("""COMPUTED_VALUE"""),"Amsterdam")</f>
        <v>Amsterdam</v>
      </c>
      <c r="B48" s="8" t="str">
        <f>IFERROR(__xludf.DUMMYFUNCTION("""COMPUTED_VALUE"""),"The capital of the Netherlands, and one of Europe’s most beautiful and notorious cities.")</f>
        <v>The capital of the Netherlands, and one of Europe’s most beautiful and notorious cities.</v>
      </c>
      <c r="C48" s="13" t="str">
        <f>IFERROR(__xludf.DUMMYFUNCTION("""COMPUTED_VALUE"""),"""m{lz"":{""label"":""Amsterdam"",""extra"":""The capital of the Netherlands, and one of Europe’s most beautiful and notorious cities."",""sets"":""Expansion Set 3, Party Expansion 1""},")</f>
        <v>"m{lz":{"label":"Amsterdam","extra":"The capital of the Netherlands, and one of Europe’s most beautiful and notorious cities.","sets":"Expansion Set 3, Party Expansion 1"},</v>
      </c>
    </row>
    <row r="49">
      <c r="A49" s="8" t="str">
        <f>IFERROR(__xludf.DUMMYFUNCTION("""COMPUTED_VALUE"""),"An Igloo")</f>
        <v>An Igloo</v>
      </c>
      <c r="B49" s="8" t="str">
        <f>IFERROR(__xludf.DUMMYFUNCTION("""COMPUTED_VALUE"""),"A domed-shaped house made from blocks of hard snow or ice.")</f>
        <v>A domed-shaped house made from blocks of hard snow or ice.</v>
      </c>
      <c r="C49" s="13" t="str">
        <f>IFERROR(__xludf.DUMMYFUNCTION("""COMPUTED_VALUE"""),"""bb{c"":{""label"":""An Igloo"",""extra"":""A domed-shaped house made from blocks of hard snow or ice."",""sets"":""Junior""},")</f>
        <v>"bb{c":{"label":"An Igloo","extra":"A domed-shaped house made from blocks of hard snow or ice.","sets":"Junior"},</v>
      </c>
    </row>
    <row r="50">
      <c r="A50" s="8" t="str">
        <f>IFERROR(__xludf.DUMMYFUNCTION("""COMPUTED_VALUE"""),"Ancient Rome")</f>
        <v>Ancient Rome</v>
      </c>
      <c r="B50" s="8" t="str">
        <f>IFERROR(__xludf.DUMMYFUNCTION("""COMPUTED_VALUE"""),"In ancient times, all roads led to Rome, and the traffic has only gotten worse.")</f>
        <v>In ancient times, all roads led to Rome, and the traffic has only gotten worse.</v>
      </c>
      <c r="C50" s="13" t="str">
        <f>IFERROR(__xludf.DUMMYFUNCTION("""COMPUTED_VALUE"""),"""rqh{"":{""label"":""Ancient Rome"",""extra"":""In ancient times, all roads led to Rome, and the traffic has only gotten worse."",""sets"":""Expansion Set 3, Party Expansion 1""},")</f>
        <v>"rqh{":{"label":"Ancient Rome","extra":"In ancient times, all roads led to Rome, and the traffic has only gotten worse.","sets":"Expansion Set 3, Party Expansion 1"},</v>
      </c>
    </row>
    <row r="51">
      <c r="A51" s="8" t="str">
        <f>IFERROR(__xludf.DUMMYFUNCTION("""COMPUTED_VALUE"""),"Anna &amp; The King")</f>
        <v>Anna &amp; The King</v>
      </c>
      <c r="B51" s="8" t="str">
        <f>IFERROR(__xludf.DUMMYFUNCTION("""COMPUTED_VALUE"""),"The 1999 film romanticizing the story of Anna Leonowens and King Mongkut of Siam.")</f>
        <v>The 1999 film romanticizing the story of Anna Leonowens and King Mongkut of Siam.</v>
      </c>
      <c r="C51" s="13" t="str">
        <f>IFERROR(__xludf.DUMMYFUNCTION("""COMPUTED_VALUE"""),"""ifum"":{""label"":""Anna &amp; The King"",""extra"":""The 1999 film romanticizing the story of Anna Leonowens and King Mongkut of Siam."",""sets"":""Expansion Set 4, Party Expansion 1""},")</f>
        <v>"ifum":{"label":"Anna &amp; The King","extra":"The 1999 film romanticizing the story of Anna Leonowens and King Mongkut of Siam.","sets":"Expansion Set 4, Party Expansion 1"},</v>
      </c>
    </row>
    <row r="52">
      <c r="A52" s="8" t="str">
        <f>IFERROR(__xludf.DUMMYFUNCTION("""COMPUTED_VALUE"""),"Anthrax")</f>
        <v>Anthrax</v>
      </c>
      <c r="B52" s="8" t="str">
        <f>IFERROR(__xludf.DUMMYFUNCTION("""COMPUTED_VALUE"""),"A potentially deadly infectious disease caused by spore bacteria. Anthrax has been developed as a biological weapon.")</f>
        <v>A potentially deadly infectious disease caused by spore bacteria. Anthrax has been developed as a biological weapon.</v>
      </c>
      <c r="C52" s="13" t="str">
        <f>IFERROR(__xludf.DUMMYFUNCTION("""COMPUTED_VALUE"""),"""kriz"":{""label"":""Anthrax"",""extra"":""A potentially deadly infectious disease caused by spore bacteria. Anthrax has been developed as a biological weapon."",""sets"":""Expansion Set 3, Party Expansion 1""},")</f>
        <v>"kriz":{"label":"Anthrax","extra":"A potentially deadly infectious disease caused by spore bacteria. Anthrax has been developed as a biological weapon.","sets":"Expansion Set 3, Party Expansion 1"},</v>
      </c>
    </row>
    <row r="53">
      <c r="A53" s="8" t="str">
        <f>IFERROR(__xludf.DUMMYFUNCTION("""COMPUTED_VALUE"""),"Antiques Roadshow")</f>
        <v>Antiques Roadshow</v>
      </c>
      <c r="B53" s="8" t="str">
        <f>IFERROR(__xludf.DUMMYFUNCTION("""COMPUTED_VALUE"""),"PBS television program where folks bring oddities for appraisal. One person’s trash is another one’s treasure.")</f>
        <v>PBS television program where folks bring oddities for appraisal. One person’s trash is another one’s treasure.</v>
      </c>
      <c r="C53" s="13" t="str">
        <f>IFERROR(__xludf.DUMMYFUNCTION("""COMPUTED_VALUE"""),"""obcq"":{""label"":""Antiques Roadshow"",""extra"":""PBS television program where folks bring oddities for appraisal. One person’s trash is another one’s treasure."",""sets"":""Expansion Set 3, Party Expansion 1""},")</f>
        <v>"obcq":{"label":"Antiques Roadshow","extra":"PBS television program where folks bring oddities for appraisal. One person’s trash is another one’s treasure.","sets":"Expansion Set 3, Party Expansion 1"},</v>
      </c>
    </row>
    <row r="54">
      <c r="A54" s="8" t="str">
        <f>IFERROR(__xludf.DUMMYFUNCTION("""COMPUTED_VALUE"""),"Ants")</f>
        <v>Ants</v>
      </c>
      <c r="B54" s="8" t="str">
        <f>IFERROR(__xludf.DUMMYFUNCTION("""COMPUTED_VALUE"""),"Some are black and some are red. I don’t want them in my bed!")</f>
        <v>Some are black and some are red. I don’t want them in my bed!</v>
      </c>
      <c r="C54" s="13" t="str">
        <f>IFERROR(__xludf.DUMMYFUNCTION("""COMPUTED_VALUE"""),"""nhnb"":{""label"":""Ants"",""extra"":""Some are black and some are red. I don’t want them in my bed!"",""sets"":""Junior""},")</f>
        <v>"nhnb":{"label":"Ants","extra":"Some are black and some are red. I don’t want them in my bed!","sets":"Junior"},</v>
      </c>
    </row>
    <row r="55">
      <c r="A55" s="8" t="str">
        <f>IFERROR(__xludf.DUMMYFUNCTION("""COMPUTED_VALUE"""),"Apples")</f>
        <v>Apples</v>
      </c>
      <c r="B55" s="8" t="str">
        <f>IFERROR(__xludf.DUMMYFUNCTION("""COMPUTED_VALUE"""),"Johnny Appleseed traveled across the United States planting seeds for apple trees.")</f>
        <v>Johnny Appleseed traveled across the United States planting seeds for apple trees.</v>
      </c>
      <c r="C55" s="13" t="str">
        <f>IFERROR(__xludf.DUMMYFUNCTION("""COMPUTED_VALUE"""),"""nwsz"":{""label"":""Apples"",""extra"":""Johnny Appleseed traveled across the United States planting seeds for apple trees."",""sets"":""Junior""},")</f>
        <v>"nwsz":{"label":"Apples","extra":"Johnny Appleseed traveled across the United States planting seeds for apple trees.","sets":"Junior"},</v>
      </c>
    </row>
    <row r="56">
      <c r="A56" s="8" t="str">
        <f>IFERROR(__xludf.DUMMYFUNCTION("""COMPUTED_VALUE"""),"Apples &amp; Oranges")</f>
        <v>Apples &amp; Oranges</v>
      </c>
      <c r="B56" s="8" t="str">
        <f>IFERROR(__xludf.DUMMYFUNCTION("""COMPUTED_VALUE"""),"Don't even TRY to compare them.")</f>
        <v>Don't even TRY to compare them.</v>
      </c>
      <c r="C56" s="13" t="str">
        <f>IFERROR(__xludf.DUMMYFUNCTION("""COMPUTED_VALUE"""),"""oxti"":{""label"":""Apples &amp; Oranges"",""extra"":""Don't even TRY to compare them."",""sets"":""Expansion Set 4, Party Expansion 1""},")</f>
        <v>"oxti":{"label":"Apples &amp; Oranges","extra":"Don't even TRY to compare them.","sets":"Expansion Set 4, Party Expansion 1"},</v>
      </c>
    </row>
    <row r="57">
      <c r="A57" s="8" t="str">
        <f>IFERROR(__xludf.DUMMYFUNCTION("""COMPUTED_VALUE"""),"Aristotle")</f>
        <v>Aristotle</v>
      </c>
      <c r="B57" s="8" t="str">
        <f>IFERROR(__xludf.DUMMYFUNCTION("""COMPUTED_VALUE"""),"384-322 B.C., ancient Greek philosopher. His writings formed the foundation for much of today’s philosophical and political thought.")</f>
        <v>384-322 B.C., ancient Greek philosopher. His writings formed the foundation for much of today’s philosophical and political thought.</v>
      </c>
      <c r="C57" s="13" t="str">
        <f>IFERROR(__xludf.DUMMYFUNCTION("""COMPUTED_VALUE"""),"""qesv"":{""label"":""Aristotle"",""extra"":""384-322 B.C., ancient Greek philosopher. His writings formed the foundation for much of today’s philosophical and political thought."",""sets"":""Expansion Set 3, Party Expansion 1""},")</f>
        <v>"qesv":{"label":"Aristotle","extra":"384-322 B.C., ancient Greek philosopher. His writings formed the foundation for much of today’s philosophical and political thought.","sets":"Expansion Set 3, Party Expansion 1"},</v>
      </c>
    </row>
    <row r="58">
      <c r="A58" s="8" t="str">
        <f>IFERROR(__xludf.DUMMYFUNCTION("""COMPUTED_VALUE"""),"Arm &amp; A Leg")</f>
        <v>Arm &amp; A Leg</v>
      </c>
      <c r="B58" s="8" t="str">
        <f>IFERROR(__xludf.DUMMYFUNCTION("""COMPUTED_VALUE"""),"Sure, they were free, but just try replacing them.")</f>
        <v>Sure, they were free, but just try replacing them.</v>
      </c>
      <c r="C58" s="13" t="str">
        <f>IFERROR(__xludf.DUMMYFUNCTION("""COMPUTED_VALUE"""),"""i{pw"":{""label"":""Arm &amp; A Leg"",""extra"":""Sure, they were free, but just try replacing them."",""sets"":""Expansion Set 4, Party Expansion 1""},")</f>
        <v>"i{pw":{"label":"Arm &amp; A Leg","extra":"Sure, they were free, but just try replacing them.","sets":"Expansion Set 4, Party Expansion 1"},</v>
      </c>
    </row>
    <row r="59">
      <c r="A59" s="8" t="str">
        <f>IFERROR(__xludf.DUMMYFUNCTION("""COMPUTED_VALUE"""),"Armadillo")</f>
        <v>Armadillo</v>
      </c>
      <c r="B59" s="8" t="str">
        <f>IFERROR(__xludf.DUMMYFUNCTION("""COMPUTED_VALUE"""),"Burrowing mammal with armor-like bony plat covering. Roadkill extraordinaire.")</f>
        <v>Burrowing mammal with armor-like bony plat covering. Roadkill extraordinaire.</v>
      </c>
      <c r="C59" s="13" t="str">
        <f>IFERROR(__xludf.DUMMYFUNCTION("""COMPUTED_VALUE"""),"""elgn"":{""label"":""Armadillo"",""extra"":""Burrowing mammal with armor-like bony plat covering. Roadkill extraordinaire."",""sets"":""Expansion Set 3, Party Expansion 1""},")</f>
        <v>"elgn":{"label":"Armadillo","extra":"Burrowing mammal with armor-like bony plat covering. Roadkill extraordinaire.","sets":"Expansion Set 3, Party Expansion 1"},</v>
      </c>
    </row>
    <row r="60">
      <c r="A60" s="8" t="str">
        <f>IFERROR(__xludf.DUMMYFUNCTION("""COMPUTED_VALUE"""),"Arnold Schwarzenegger")</f>
        <v>Arnold Schwarzenegger</v>
      </c>
      <c r="B60" s="8" t="str">
        <f>IFERROR(__xludf.DUMMYFUNCTION("""COMPUTED_VALUE"""),"1947-, Austrian born body-builder turned actor. “My body is like breakfast, lunch, and dinner. I don’t think about it, I just have it.”")</f>
        <v>1947-, Austrian born body-builder turned actor. “My body is like breakfast, lunch, and dinner. I don’t think about it, I just have it.”</v>
      </c>
      <c r="C60" s="13" t="str">
        <f>IFERROR(__xludf.DUMMYFUNCTION("""COMPUTED_VALUE"""),"""sypw"":{""label"":""Arnold Schwarzenegger"",""extra"":""1947-, Austrian born body-builder turned actor. “My body is like breakfast, lunch, and dinner. I don’t think about it, I just have it.”"",""sets"":""Expansion Set 3, Party Expansion 1""},")</f>
        <v>"sypw":{"label":"Arnold Schwarzenegger","extra":"1947-, Austrian born body-builder turned actor. “My body is like breakfast, lunch, and dinner. I don’t think about it, I just have it.”","sets":"Expansion Set 3, Party Expansion 1"},</v>
      </c>
    </row>
    <row r="61">
      <c r="A61" s="8" t="str">
        <f>IFERROR(__xludf.DUMMYFUNCTION("""COMPUTED_VALUE"""),"Aroma Therapy")</f>
        <v>Aroma Therapy</v>
      </c>
      <c r="B61" s="8" t="str">
        <f>IFERROR(__xludf.DUMMYFUNCTION("""COMPUTED_VALUE"""),"Alternative medicine. Something’s smelly about it.")</f>
        <v>Alternative medicine. Something’s smelly about it.</v>
      </c>
      <c r="C61" s="13" t="str">
        <f>IFERROR(__xludf.DUMMYFUNCTION("""COMPUTED_VALUE"""),"""otgn"":{""label"":""Aroma Therapy"",""extra"":""Alternative medicine. Something’s smelly about it."",""sets"":""Expansion Set 3, Party Expansion 1""},")</f>
        <v>"otgn":{"label":"Aroma Therapy","extra":"Alternative medicine. Something’s smelly about it.","sets":"Expansion Set 3, Party Expansion 1"},</v>
      </c>
    </row>
    <row r="62">
      <c r="A62" s="8" t="str">
        <f>IFERROR(__xludf.DUMMYFUNCTION("""COMPUTED_VALUE"""),"Artists")</f>
        <v>Artists</v>
      </c>
      <c r="B62" s="8" t="str">
        <f>IFERROR(__xludf.DUMMYFUNCTION("""COMPUTED_VALUE"""),"So creative!")</f>
        <v>So creative!</v>
      </c>
      <c r="C62" s="13" t="str">
        <f>IFERROR(__xludf.DUMMYFUNCTION("""COMPUTED_VALUE"""),"""skey"":{""label"":""Artists"",""extra"":""So creative!"",""sets"":""Junior 9+ (1st) &amp; (2nd)""},")</f>
        <v>"skey":{"label":"Artists","extra":"So creative!","sets":"Junior 9+ (1st) &amp; (2nd)"},</v>
      </c>
    </row>
    <row r="63">
      <c r="A63" s="8" t="str">
        <f>IFERROR(__xludf.DUMMYFUNCTION("""COMPUTED_VALUE"""),"Assault &amp; Battery")</f>
        <v>Assault &amp; Battery</v>
      </c>
      <c r="B63" s="8" t="str">
        <f>IFERROR(__xludf.DUMMYFUNCTION("""COMPUTED_VALUE"""),"That would be a single “A” battery.")</f>
        <v>That would be a single “A” battery.</v>
      </c>
      <c r="C63" s="13" t="str">
        <f>IFERROR(__xludf.DUMMYFUNCTION("""COMPUTED_VALUE"""),"""yvsk"":{""label"":""Assault &amp; Battery"",""extra"":""That would be a single “A” battery."",""sets"":""Expansion Set 4, Party Expansion 1""},")</f>
        <v>"yvsk":{"label":"Assault &amp; Battery","extra":"That would be a single “A” battery.","sets":"Expansion Set 4, Party Expansion 1"},</v>
      </c>
    </row>
    <row r="64">
      <c r="A64" s="8" t="str">
        <f>IFERROR(__xludf.DUMMYFUNCTION("""COMPUTED_VALUE"""),"Astronauts")</f>
        <v>Astronauts</v>
      </c>
      <c r="B64" s="8" t="str">
        <f>IFERROR(__xludf.DUMMYFUNCTION("""COMPUTED_VALUE"""),"It’s a great day for a space walk!")</f>
        <v>It’s a great day for a space walk!</v>
      </c>
      <c r="C64" s="13" t="str">
        <f>IFERROR(__xludf.DUMMYFUNCTION("""COMPUTED_VALUE"""),"""vvln"":{""label"":""Astronauts"",""extra"":""It’s a great day for a space walk!"",""sets"":""Junior 9+ (2nd)""},")</f>
        <v>"vvln":{"label":"Astronauts","extra":"It’s a great day for a space walk!","sets":"Junior 9+ (2nd)"},</v>
      </c>
    </row>
    <row r="65">
      <c r="A65" s="8" t="str">
        <f>IFERROR(__xludf.DUMMYFUNCTION("""COMPUTED_VALUE"""),"Babies")</f>
        <v>Babies</v>
      </c>
      <c r="B65" s="8" t="str">
        <f>IFERROR(__xludf.DUMMYFUNCTION("""COMPUTED_VALUE"""),"Very young children or infants. They cry a lot!")</f>
        <v>Very young children or infants. They cry a lot!</v>
      </c>
      <c r="C65" s="13" t="str">
        <f>IFERROR(__xludf.DUMMYFUNCTION("""COMPUTED_VALUE"""),"""kigu"":{""label"":""Babies"",""extra"":""Very young children or infants. They cry a lot!"",""sets"":""Junior""},")</f>
        <v>"kigu":{"label":"Babies","extra":"Very young children or infants. They cry a lot!","sets":"Junior"},</v>
      </c>
    </row>
    <row r="66">
      <c r="A66" s="8" t="str">
        <f>IFERROR(__xludf.DUMMYFUNCTION("""COMPUTED_VALUE"""),"Baby Dolls")</f>
        <v>Baby Dolls</v>
      </c>
      <c r="B66" s="8" t="str">
        <f>IFERROR(__xludf.DUMMYFUNCTION("""COMPUTED_VALUE"""),"Some of them talk, some of them walk, and some even wet their pants!")</f>
        <v>Some of them talk, some of them walk, and some even wet their pants!</v>
      </c>
      <c r="C66" s="13" t="str">
        <f>IFERROR(__xludf.DUMMYFUNCTION("""COMPUTED_VALUE"""),"""wilu"":{""label"":""Baby Dolls"",""extra"":""Some of them talk, some of them walk, and some even wet their pants!"",""sets"":""Junior""},")</f>
        <v>"wilu":{"label":"Baby Dolls","extra":"Some of them talk, some of them walk, and some even wet their pants!","sets":"Junior"},</v>
      </c>
    </row>
    <row r="67">
      <c r="A67" s="8" t="str">
        <f>IFERROR(__xludf.DUMMYFUNCTION("""COMPUTED_VALUE"""),"Baby Food")</f>
        <v>Baby Food</v>
      </c>
      <c r="B67" s="8" t="str">
        <f>IFERROR(__xludf.DUMMYFUNCTION("""COMPUTED_VALUE"""),"Strained peas and mushy meat. Doesn’t that sound good?")</f>
        <v>Strained peas and mushy meat. Doesn’t that sound good?</v>
      </c>
      <c r="C67" s="13" t="str">
        <f>IFERROR(__xludf.DUMMYFUNCTION("""COMPUTED_VALUE"""),"""kwvp"":{""label"":""Baby Food"",""extra"":""Strained peas and mushy meat. Doesn’t that sound good?"",""sets"":""Junior 9+ (1st) &amp; (2nd)""},")</f>
        <v>"kwvp":{"label":"Baby Food","extra":"Strained peas and mushy meat. Doesn’t that sound good?","sets":"Junior 9+ (1st) &amp; (2nd)"},</v>
      </c>
    </row>
    <row r="68">
      <c r="A68" s="8" t="str">
        <f>IFERROR(__xludf.DUMMYFUNCTION("""COMPUTED_VALUE"""),"Babysitters")</f>
        <v>Babysitters</v>
      </c>
      <c r="B68" s="8" t="str">
        <f>IFERROR(__xludf.DUMMYFUNCTION("""COMPUTED_VALUE"""),"The good ones let you stay up late.")</f>
        <v>The good ones let you stay up late.</v>
      </c>
      <c r="C68" s="13" t="str">
        <f>IFERROR(__xludf.DUMMYFUNCTION("""COMPUTED_VALUE"""),"""xqxg"":{""label"":""Babysitters"",""extra"":""The good ones let you stay up late."",""sets"":""Junior""},")</f>
        <v>"xqxg":{"label":"Babysitters","extra":"The good ones let you stay up late.","sets":"Junior"},</v>
      </c>
    </row>
    <row r="69">
      <c r="A69" s="8" t="str">
        <f>IFERROR(__xludf.DUMMYFUNCTION("""COMPUTED_VALUE"""),"Bacon")</f>
        <v>Bacon</v>
      </c>
      <c r="B69" s="8" t="str">
        <f>IFERROR(__xludf.DUMMYFUNCTION("""COMPUTED_VALUE"""),"Meat from a pig, flavored with salt and smoke. Oink!")</f>
        <v>Meat from a pig, flavored with salt and smoke. Oink!</v>
      </c>
      <c r="C69" s="13" t="str">
        <f>IFERROR(__xludf.DUMMYFUNCTION("""COMPUTED_VALUE"""),"""mbfe"":{""label"":""Bacon"",""extra"":""Meat from a pig, flavored with salt and smoke. Oink!"",""sets"":""Junior 9+ (1st) &amp; (2nd)""},")</f>
        <v>"mbfe":{"label":"Bacon","extra":"Meat from a pig, flavored with salt and smoke. Oink!","sets":"Junior 9+ (1st) &amp; (2nd)"},</v>
      </c>
    </row>
    <row r="70">
      <c r="A70" s="8" t="str">
        <f>IFERROR(__xludf.DUMMYFUNCTION("""COMPUTED_VALUE"""),"Baking Cookies")</f>
        <v>Baking Cookies</v>
      </c>
      <c r="B70" s="8" t="str">
        <f>IFERROR(__xludf.DUMMYFUNCTION("""COMPUTED_VALUE"""),"Mix up the dough and put them in the oven.")</f>
        <v>Mix up the dough and put them in the oven.</v>
      </c>
      <c r="C70" s="13" t="str">
        <f>IFERROR(__xludf.DUMMYFUNCTION("""COMPUTED_VALUE"""),"""ifbq"":{""label"":""Baking Cookies"",""extra"":""Mix up the dough and put them in the oven."",""sets"":""Junior""},")</f>
        <v>"ifbq":{"label":"Baking Cookies","extra":"Mix up the dough and put them in the oven.","sets":"Junior"},</v>
      </c>
    </row>
    <row r="71">
      <c r="A71" s="8" t="str">
        <f>IFERROR(__xludf.DUMMYFUNCTION("""COMPUTED_VALUE"""),"Bald Eagles")</f>
        <v>Bald Eagles</v>
      </c>
      <c r="B71" s="8" t="str">
        <f>IFERROR(__xludf.DUMMYFUNCTION("""COMPUTED_VALUE"""),"They're not really bald. The white feathers on their heads make them look that way.")</f>
        <v>They're not really bald. The white feathers on their heads make them look that way.</v>
      </c>
      <c r="C71" s="13" t="str">
        <f>IFERROR(__xludf.DUMMYFUNCTION("""COMPUTED_VALUE"""),"""acms"":{""label"":""Bald Eagles"",""extra"":""They're not really bald. The white feathers on their heads make them look that way."",""sets"":""Junior 9+ (1st) &amp; (2nd)""},")</f>
        <v>"acms":{"label":"Bald Eagles","extra":"They're not really bald. The white feathers on their heads make them look that way.","sets":"Junior 9+ (1st) &amp; (2nd)"},</v>
      </c>
    </row>
    <row r="72">
      <c r="A72" s="8" t="str">
        <f>IFERROR(__xludf.DUMMYFUNCTION("""COMPUTED_VALUE"""),"Ball &amp; Chain")</f>
        <v>Ball &amp; Chain</v>
      </c>
      <c r="B72" s="8" t="str">
        <f>IFERROR(__xludf.DUMMYFUNCTION("""COMPUTED_VALUE"""),"Don’t let it get you down.")</f>
        <v>Don’t let it get you down.</v>
      </c>
      <c r="C72" s="13" t="str">
        <f>IFERROR(__xludf.DUMMYFUNCTION("""COMPUTED_VALUE"""),"""sngq"":{""label"":""Ball &amp; Chain"",""extra"":""Don’t let it get you down."",""sets"":""Expansion Set 4, Party Expansion 1""},")</f>
        <v>"sngq":{"label":"Ball &amp; Chain","extra":"Don’t let it get you down.","sets":"Expansion Set 4, Party Expansion 1"},</v>
      </c>
    </row>
    <row r="73">
      <c r="A73" s="8" t="str">
        <f>IFERROR(__xludf.DUMMYFUNCTION("""COMPUTED_VALUE"""),"Ballerinas")</f>
        <v>Ballerinas</v>
      </c>
      <c r="B73" s="8" t="str">
        <f>IFERROR(__xludf.DUMMYFUNCTION("""COMPUTED_VALUE"""),"It takes years of training before a ballerina can dance in toe shoes.")</f>
        <v>It takes years of training before a ballerina can dance in toe shoes.</v>
      </c>
      <c r="C73" s="13" t="str">
        <f>IFERROR(__xludf.DUMMYFUNCTION("""COMPUTED_VALUE"""),"""bgxv"":{""label"":""Ballerinas"",""extra"":""It takes years of training before a ballerina can dance in toe shoes."",""sets"":""Junior 9+ (1st) &amp; (2nd)""},")</f>
        <v>"bgxv":{"label":"Ballerinas","extra":"It takes years of training before a ballerina can dance in toe shoes.","sets":"Junior 9+ (1st) &amp; (2nd)"},</v>
      </c>
    </row>
    <row r="74">
      <c r="A74" s="8" t="str">
        <f>IFERROR(__xludf.DUMMYFUNCTION("""COMPUTED_VALUE"""),"Balloons")</f>
        <v>Balloons</v>
      </c>
      <c r="B74" s="8" t="str">
        <f>IFERROR(__xludf.DUMMYFUNCTION("""COMPUTED_VALUE"""),"Lots of colors, shapes, and sizes.")</f>
        <v>Lots of colors, shapes, and sizes.</v>
      </c>
      <c r="C74" s="13" t="str">
        <f>IFERROR(__xludf.DUMMYFUNCTION("""COMPUTED_VALUE"""),"""nszh"":{""label"":""Balloons"",""extra"":""Lots of colors, shapes, and sizes."",""sets"":""Junior""},")</f>
        <v>"nszh":{"label":"Balloons","extra":"Lots of colors, shapes, and sizes.","sets":"Junior"},</v>
      </c>
    </row>
    <row r="75">
      <c r="A75" s="8" t="str">
        <f>IFERROR(__xludf.DUMMYFUNCTION("""COMPUTED_VALUE"""),"Ballroom Dancing")</f>
        <v>Ballroom Dancing</v>
      </c>
      <c r="B75" s="8" t="str">
        <f>IFERROR(__xludf.DUMMYFUNCTION("""COMPUTED_VALUE"""),"Fox-trots, tangos, cha-chas, and more! Are you ready to rumba?")</f>
        <v>Fox-trots, tangos, cha-chas, and more! Are you ready to rumba?</v>
      </c>
      <c r="C75" s="13" t="str">
        <f>IFERROR(__xludf.DUMMYFUNCTION("""COMPUTED_VALUE"""),"""jpcf"":{""label"":""Ballroom Dancing"",""extra"":""Fox-trots, tangos, cha-chas, and more! Are you ready to rumba?"",""sets"":""Expansion Set 3, Party Expansion 1""},")</f>
        <v>"jpcf":{"label":"Ballroom Dancing","extra":"Fox-trots, tangos, cha-chas, and more! Are you ready to rumba?","sets":"Expansion Set 3, Party Expansion 1"},</v>
      </c>
    </row>
    <row r="76">
      <c r="A76" s="8" t="str">
        <f>IFERROR(__xludf.DUMMYFUNCTION("""COMPUTED_VALUE"""),"Bananas")</f>
        <v>Bananas</v>
      </c>
      <c r="B76" s="8" t="str">
        <f>IFERROR(__xludf.DUMMYFUNCTION("""COMPUTED_VALUE"""),"Monkeys like them a bunch!")</f>
        <v>Monkeys like them a bunch!</v>
      </c>
      <c r="C76" s="13" t="str">
        <f>IFERROR(__xludf.DUMMYFUNCTION("""COMPUTED_VALUE"""),"""xcen"":{""label"":""Bananas"",""extra"":""Monkeys like them a bunch!"",""sets"":""Junior""},")</f>
        <v>"xcen":{"label":"Bananas","extra":"Monkeys like them a bunch!","sets":"Junior"},</v>
      </c>
    </row>
    <row r="77">
      <c r="A77" s="8" t="str">
        <f>IFERROR(__xludf.DUMMYFUNCTION("""COMPUTED_VALUE"""),"Band-Aids")</f>
        <v>Band-Aids</v>
      </c>
      <c r="B77" s="8" t="str">
        <f>IFERROR(__xludf.DUMMYFUNCTION("""COMPUTED_VALUE"""),"Available in lots of colors and shapes. A fun way to cover cuts and scrapes.")</f>
        <v>Available in lots of colors and shapes. A fun way to cover cuts and scrapes.</v>
      </c>
      <c r="C77" s="13" t="str">
        <f>IFERROR(__xludf.DUMMYFUNCTION("""COMPUTED_VALUE"""),"""ierd"":{""label"":""Band-Aids"",""extra"":""Available in lots of colors and shapes. A fun way to cover cuts and scrapes."",""sets"":""Junior 9+ (1st) &amp; (2nd)""},")</f>
        <v>"ierd":{"label":"Band-Aids","extra":"Available in lots of colors and shapes. A fun way to cover cuts and scrapes.","sets":"Junior 9+ (1st) &amp; (2nd)"},</v>
      </c>
    </row>
    <row r="78">
      <c r="A78" s="8" t="str">
        <f>IFERROR(__xludf.DUMMYFUNCTION("""COMPUTED_VALUE"""),"Barbershops")</f>
        <v>Barbershops</v>
      </c>
      <c r="B78" s="8" t="str">
        <f>IFERROR(__xludf.DUMMYFUNCTION("""COMPUTED_VALUE"""),"It’s a beauty shop for guys.")</f>
        <v>It’s a beauty shop for guys.</v>
      </c>
      <c r="C78" s="13" t="str">
        <f>IFERROR(__xludf.DUMMYFUNCTION("""COMPUTED_VALUE"""),"""zhma"":{""label"":""Barbershops"",""extra"":""It’s a beauty shop for guys."",""sets"":""Junior 9+ (2nd)""},")</f>
        <v>"zhma":{"label":"Barbershops","extra":"It’s a beauty shop for guys.","sets":"Junior 9+ (2nd)"},</v>
      </c>
    </row>
    <row r="79">
      <c r="A79" s="8" t="str">
        <f>IFERROR(__xludf.DUMMYFUNCTION("""COMPUTED_VALUE"""),"Barbie &amp; Ken")</f>
        <v>Barbie &amp; Ken</v>
      </c>
      <c r="B79" s="8" t="str">
        <f>IFERROR(__xludf.DUMMYFUNCTION("""COMPUTED_VALUE"""),"Ah, to be blond and plastic…")</f>
        <v>Ah, to be blond and plastic…</v>
      </c>
      <c r="C79" s="13" t="str">
        <f>IFERROR(__xludf.DUMMYFUNCTION("""COMPUTED_VALUE"""),"""lnyb"":{""label"":""Barbie &amp; Ken"",""extra"":""Ah, to be blond and plastic…"",""sets"":""Expansion Set 4, Party Expansion 1""},")</f>
        <v>"lnyb":{"label":"Barbie &amp; Ken","extra":"Ah, to be blond and plastic…","sets":"Expansion Set 4, Party Expansion 1"},</v>
      </c>
    </row>
    <row r="80">
      <c r="A80" s="8" t="str">
        <f>IFERROR(__xludf.DUMMYFUNCTION("""COMPUTED_VALUE"""),"Baseball")</f>
        <v>Baseball</v>
      </c>
      <c r="B80" s="8" t="str">
        <f>IFERROR(__xludf.DUMMYFUNCTION("""COMPUTED_VALUE"""),"Its one, two, three strikes you’re out…")</f>
        <v>Its one, two, three strikes you’re out…</v>
      </c>
      <c r="C80" s="13" t="str">
        <f>IFERROR(__xludf.DUMMYFUNCTION("""COMPUTED_VALUE"""),"""jmkq"":{""label"":""Baseball"",""extra"":""Its one, two, three strikes you’re out…"",""sets"":""Expansion Set 3, Party Expansion 1""},")</f>
        <v>"jmkq":{"label":"Baseball","extra":"Its one, two, three strikes you’re out…","sets":"Expansion Set 3, Party Expansion 1"},</v>
      </c>
    </row>
    <row r="81">
      <c r="A81" s="8" t="str">
        <f>IFERROR(__xludf.DUMMYFUNCTION("""COMPUTED_VALUE"""),"Baseball Fields")</f>
        <v>Baseball Fields</v>
      </c>
      <c r="B81" s="8" t="str">
        <f>IFERROR(__xludf.DUMMYFUNCTION("""COMPUTED_VALUE"""),"It's 90 feet from home plate to first base. But it seems longer when you’re trying to reach it!")</f>
        <v>It's 90 feet from home plate to first base. But it seems longer when you’re trying to reach it!</v>
      </c>
      <c r="C81" s="13" t="str">
        <f>IFERROR(__xludf.DUMMYFUNCTION("""COMPUTED_VALUE"""),"""wnsf"":{""label"":""Baseball Fields"",""extra"":""It's 90 feet from home plate to first base. But it seems longer when you’re trying to reach it!"",""sets"":""Junior 9+ (2nd)""},")</f>
        <v>"wnsf":{"label":"Baseball Fields","extra":"It's 90 feet from home plate to first base. But it seems longer when you’re trying to reach it!","sets":"Junior 9+ (2nd)"},</v>
      </c>
    </row>
    <row r="82">
      <c r="A82" s="8" t="str">
        <f>IFERROR(__xludf.DUMMYFUNCTION("""COMPUTED_VALUE"""),"Baseball Games")</f>
        <v>Baseball Games</v>
      </c>
      <c r="B82" s="8" t="str">
        <f>IFERROR(__xludf.DUMMYFUNCTION("""COMPUTED_VALUE"""),"“One, two, three strikes, YOU'RE OUT!”")</f>
        <v>“One, two, three strikes, YOU'RE OUT!”</v>
      </c>
      <c r="C82" s="13" t="str">
        <f>IFERROR(__xludf.DUMMYFUNCTION("""COMPUTED_VALUE"""),"""wfaq"":{""label"":""Baseball Games"",""extra"":""“One, two, three strikes, YOU'RE OUT!”"",""sets"":""Junior 9+ (1st) &amp; (2nd)""},")</f>
        <v>"wfaq":{"label":"Baseball Games","extra":"“One, two, three strikes, YOU'RE OUT!”","sets":"Junior 9+ (1st) &amp; (2nd)"},</v>
      </c>
    </row>
    <row r="83">
      <c r="A83" s="8" t="str">
        <f>IFERROR(__xludf.DUMMYFUNCTION("""COMPUTED_VALUE"""),"Basketball")</f>
        <v>Basketball</v>
      </c>
      <c r="B83" s="8" t="str">
        <f>IFERROR(__xludf.DUMMYFUNCTION("""COMPUTED_VALUE"""),"Some basketball players are over seven feet tall.")</f>
        <v>Some basketball players are over seven feet tall.</v>
      </c>
      <c r="C83" s="13" t="str">
        <f>IFERROR(__xludf.DUMMYFUNCTION("""COMPUTED_VALUE"""),"""axww"":{""label"":""Basketball"",""extra"":""Some basketball players are over seven feet tall."",""sets"":""Junior 9+ (1st) &amp; (2nd)""},")</f>
        <v>"axww":{"label":"Basketball","extra":"Some basketball players are over seven feet tall.","sets":"Junior 9+ (1st) &amp; (2nd)"},</v>
      </c>
    </row>
    <row r="84">
      <c r="A84" s="8" t="str">
        <f>IFERROR(__xludf.DUMMYFUNCTION("""COMPUTED_VALUE"""),"Batman &amp; Robin")</f>
        <v>Batman &amp; Robin</v>
      </c>
      <c r="B84" s="8" t="str">
        <f>IFERROR(__xludf.DUMMYFUNCTION("""COMPUTED_VALUE"""),"Superheroes or vigilantes, you make the call.")</f>
        <v>Superheroes or vigilantes, you make the call.</v>
      </c>
      <c r="C84" s="13" t="str">
        <f>IFERROR(__xludf.DUMMYFUNCTION("""COMPUTED_VALUE"""),"""coqs"":{""label"":""Batman &amp; Robin"",""extra"":""Superheroes or vigilantes, you make the call."",""sets"":""Expansion Set 4, Party Expansion 1""},")</f>
        <v>"coqs":{"label":"Batman &amp; Robin","extra":"Superheroes or vigilantes, you make the call.","sets":"Expansion Set 4, Party Expansion 1"},</v>
      </c>
    </row>
    <row r="85">
      <c r="A85" s="8" t="str">
        <f>IFERROR(__xludf.DUMMYFUNCTION("""COMPUTED_VALUE"""),"Bats &amp; Balls")</f>
        <v>Bats &amp; Balls</v>
      </c>
      <c r="B85" s="8" t="str">
        <f>IFERROR(__xludf.DUMMYFUNCTION("""COMPUTED_VALUE"""),"At least they don’t go on strike.")</f>
        <v>At least they don’t go on strike.</v>
      </c>
      <c r="C85" s="13" t="str">
        <f>IFERROR(__xludf.DUMMYFUNCTION("""COMPUTED_VALUE"""),"""pslr"":{""label"":""Bats &amp; Balls"",""extra"":""At least they don’t go on strike."",""sets"":""Expansion Set 4, Party Expansion 1""},")</f>
        <v>"pslr":{"label":"Bats &amp; Balls","extra":"At least they don’t go on strike.","sets":"Expansion Set 4, Party Expansion 1"},</v>
      </c>
    </row>
    <row r="86">
      <c r="A86" s="8" t="str">
        <f>IFERROR(__xludf.DUMMYFUNCTION("""COMPUTED_VALUE"""),"BB Guns")</f>
        <v>BB Guns</v>
      </c>
      <c r="B86" s="8" t="str">
        <f>IFERROR(__xludf.DUMMYFUNCTION("""COMPUTED_VALUE"""),"“You’ll shoot your eye out!”")</f>
        <v>“You’ll shoot your eye out!”</v>
      </c>
      <c r="C86" s="13" t="str">
        <f>IFERROR(__xludf.DUMMYFUNCTION("""COMPUTED_VALUE"""),"""qxlp"":{""label"":""BB Guns"",""extra"":""“You’ll shoot your eye out!”"",""sets"":""Expansion Set 3, Party Expansion 1""},")</f>
        <v>"qxlp":{"label":"BB Guns","extra":"“You’ll shoot your eye out!”","sets":"Expansion Set 3, Party Expansion 1"},</v>
      </c>
    </row>
    <row r="87">
      <c r="A87" s="8" t="str">
        <f>IFERROR(__xludf.DUMMYFUNCTION("""COMPUTED_VALUE"""),"Beach Balls")</f>
        <v>Beach Balls</v>
      </c>
      <c r="B87" s="8" t="str">
        <f>IFERROR(__xludf.DUMMYFUNCTION("""COMPUTED_VALUE"""),"Blow them up and watch them blow away!")</f>
        <v>Blow them up and watch them blow away!</v>
      </c>
      <c r="C87" s="13" t="str">
        <f>IFERROR(__xludf.DUMMYFUNCTION("""COMPUTED_VALUE"""),"""dgcb"":{""label"":""Beach Balls"",""extra"":""Blow them up and watch them blow away!"",""sets"":""Junior 9+ (1st) &amp; (2nd)""},")</f>
        <v>"dgcb":{"label":"Beach Balls","extra":"Blow them up and watch them blow away!","sets":"Junior 9+ (1st) &amp; (2nd)"},</v>
      </c>
    </row>
    <row r="88">
      <c r="A88" s="8" t="str">
        <f>IFERROR(__xludf.DUMMYFUNCTION("""COMPUTED_VALUE"""),"Bears")</f>
        <v>Bears</v>
      </c>
      <c r="B88" s="8" t="str">
        <f>IFERROR(__xludf.DUMMYFUNCTION("""COMPUTED_VALUE"""),"Large, shaggy animals with sharp claws and little tails. Sometimes they are named Teddy.")</f>
        <v>Large, shaggy animals with sharp claws and little tails. Sometimes they are named Teddy.</v>
      </c>
      <c r="C88" s="13" t="str">
        <f>IFERROR(__xludf.DUMMYFUNCTION("""COMPUTED_VALUE"""),"""jaqw"":{""label"":""Bears"",""extra"":""Large, shaggy animals with sharp claws and little tails. Sometimes they are named Teddy."",""sets"":""Junior""},")</f>
        <v>"jaqw":{"label":"Bears","extra":"Large, shaggy animals with sharp claws and little tails. Sometimes they are named Teddy.","sets":"Junior"},</v>
      </c>
    </row>
    <row r="89">
      <c r="A89" s="8" t="str">
        <f>IFERROR(__xludf.DUMMYFUNCTION("""COMPUTED_VALUE"""),"Beauty &amp; The Beast")</f>
        <v>Beauty &amp; The Beast</v>
      </c>
      <c r="B89" s="8" t="str">
        <f>IFERROR(__xludf.DUMMYFUNCTION("""COMPUTED_VALUE"""),"A French fairy tale, animated by Disney in 1991.")</f>
        <v>A French fairy tale, animated by Disney in 1991.</v>
      </c>
      <c r="C89" s="13" t="str">
        <f>IFERROR(__xludf.DUMMYFUNCTION("""COMPUTED_VALUE"""),"""zlls"":{""label"":""Beauty &amp; The Beast"",""extra"":""A French fairy tale, animated by Disney in 1991."",""sets"":""Expansion Set 4, Party Expansion 1""},")</f>
        <v>"zlls":{"label":"Beauty &amp; The Beast","extra":"A French fairy tale, animated by Disney in 1991.","sets":"Expansion Set 4, Party Expansion 1"},</v>
      </c>
    </row>
    <row r="90">
      <c r="A90" s="8" t="str">
        <f>IFERROR(__xludf.DUMMYFUNCTION("""COMPUTED_VALUE"""),"Bed &amp; Breakfast")</f>
        <v>Bed &amp; Breakfast</v>
      </c>
      <c r="B90" s="8" t="str">
        <f>IFERROR(__xludf.DUMMYFUNCTION("""COMPUTED_VALUE"""),"Not the same as breakfast in bed.")</f>
        <v>Not the same as breakfast in bed.</v>
      </c>
      <c r="C90" s="13" t="str">
        <f>IFERROR(__xludf.DUMMYFUNCTION("""COMPUTED_VALUE"""),"""gwnn"":{""label"":""Bed &amp; Breakfast"",""extra"":""Not the same as breakfast in bed."",""sets"":""Expansion Set 4, Party Expansion 1""},")</f>
        <v>"gwnn":{"label":"Bed &amp; Breakfast","extra":"Not the same as breakfast in bed.","sets":"Expansion Set 4, Party Expansion 1"},</v>
      </c>
    </row>
    <row r="91">
      <c r="A91" s="8" t="str">
        <f>IFERROR(__xludf.DUMMYFUNCTION("""COMPUTED_VALUE"""),"Bee Stings")</f>
        <v>Bee Stings</v>
      </c>
      <c r="B91" s="8" t="str">
        <f>IFERROR(__xludf.DUMMYFUNCTION("""COMPUTED_VALUE"""),"Leave the bees alone—and they’ll leave you alone.")</f>
        <v>Leave the bees alone—and they’ll leave you alone.</v>
      </c>
      <c r="C91" s="13" t="str">
        <f>IFERROR(__xludf.DUMMYFUNCTION("""COMPUTED_VALUE"""),"""tdqo"":{""label"":""Bee Stings"",""extra"":""Leave the bees alone—and they’ll leave you alone."",""sets"":""Junior 9+ (2nd)""},")</f>
        <v>"tdqo":{"label":"Bee Stings","extra":"Leave the bees alone—and they’ll leave you alone.","sets":"Junior 9+ (2nd)"},</v>
      </c>
    </row>
    <row r="92">
      <c r="A92" s="8" t="str">
        <f>IFERROR(__xludf.DUMMYFUNCTION("""COMPUTED_VALUE"""),"Beef Stew")</f>
        <v>Beef Stew</v>
      </c>
      <c r="B92" s="8" t="str">
        <f>IFERROR(__xludf.DUMMYFUNCTION("""COMPUTED_VALUE"""),"Meat, potatoes, carrots, onions…")</f>
        <v>Meat, potatoes, carrots, onions…</v>
      </c>
      <c r="C92" s="13" t="str">
        <f>IFERROR(__xludf.DUMMYFUNCTION("""COMPUTED_VALUE"""),"""hmoo"":{""label"":""Beef Stew"",""extra"":""Meat, potatoes, carrots, onions…"",""sets"":""Junior 9+ (2nd)""},")</f>
        <v>"hmoo":{"label":"Beef Stew","extra":"Meat, potatoes, carrots, onions…","sets":"Junior 9+ (2nd)"},</v>
      </c>
    </row>
    <row r="93">
      <c r="A93" s="8" t="str">
        <f>IFERROR(__xludf.DUMMYFUNCTION("""COMPUTED_VALUE"""),"Beets")</f>
        <v>Beets</v>
      </c>
      <c r="B93" s="8" t="str">
        <f>IFERROR(__xludf.DUMMYFUNCTION("""COMPUTED_VALUE"""),"Round purplish-red vegetables. Do you like beets?")</f>
        <v>Round purplish-red vegetables. Do you like beets?</v>
      </c>
      <c r="C93" s="13" t="str">
        <f>IFERROR(__xludf.DUMMYFUNCTION("""COMPUTED_VALUE"""),"""rfhe"":{""label"":""Beets"",""extra"":""Round purplish-red vegetables. Do you like beets?"",""sets"":""Junior""},")</f>
        <v>"rfhe":{"label":"Beets","extra":"Round purplish-red vegetables. Do you like beets?","sets":"Junior"},</v>
      </c>
    </row>
    <row r="94">
      <c r="A94" s="8" t="str">
        <f>IFERROR(__xludf.DUMMYFUNCTION("""COMPUTED_VALUE"""),"Bells &amp; Whistles")</f>
        <v>Bells &amp; Whistles</v>
      </c>
      <c r="B94" s="8" t="str">
        <f>IFERROR(__xludf.DUMMYFUNCTION("""COMPUTED_VALUE"""),"It’s got everything!")</f>
        <v>It’s got everything!</v>
      </c>
      <c r="C94" s="13" t="str">
        <f>IFERROR(__xludf.DUMMYFUNCTION("""COMPUTED_VALUE"""),"""ehsb"":{""label"":""Bells &amp; Whistles"",""extra"":""It’s got everything!"",""sets"":""Expansion Set 4, Party Expansion 1""},")</f>
        <v>"ehsb":{"label":"Bells &amp; Whistles","extra":"It’s got everything!","sets":"Expansion Set 4, Party Expansion 1"},</v>
      </c>
    </row>
    <row r="95">
      <c r="A95" s="8" t="str">
        <f>IFERROR(__xludf.DUMMYFUNCTION("""COMPUTED_VALUE"""),"Belt Buckles")</f>
        <v>Belt Buckles</v>
      </c>
      <c r="B95" s="8" t="str">
        <f>IFERROR(__xludf.DUMMYFUNCTION("""COMPUTED_VALUE"""),"Cowboys like them fancy and pilgrims like them plain.")</f>
        <v>Cowboys like them fancy and pilgrims like them plain.</v>
      </c>
      <c r="C95" s="13" t="str">
        <f>IFERROR(__xludf.DUMMYFUNCTION("""COMPUTED_VALUE"""),"""zcco"":{""label"":""Belt Buckles"",""extra"":""Cowboys like them fancy and pilgrims like them plain."",""sets"":""Junior 9+ (2nd)""},")</f>
        <v>"zcco":{"label":"Belt Buckles","extra":"Cowboys like them fancy and pilgrims like them plain.","sets":"Junior 9+ (2nd)"},</v>
      </c>
    </row>
    <row r="96">
      <c r="A96" s="8" t="str">
        <f>IFERROR(__xludf.DUMMYFUNCTION("""COMPUTED_VALUE"""),"Bert &amp; Ernie")</f>
        <v>Bert &amp; Ernie</v>
      </c>
      <c r="B96" s="8" t="str">
        <f>IFERROR(__xludf.DUMMYFUNCTION("""COMPUTED_VALUE"""),"Sesame Street’s muppet buddies.")</f>
        <v>Sesame Street’s muppet buddies.</v>
      </c>
      <c r="C96" s="13" t="str">
        <f>IFERROR(__xludf.DUMMYFUNCTION("""COMPUTED_VALUE"""),"""ukjy"":{""label"":""Bert &amp; Ernie"",""extra"":""Sesame Street’s muppet buddies."",""sets"":""Expansion Set 4, Party Expansion 1""},")</f>
        <v>"ukjy":{"label":"Bert &amp; Ernie","extra":"Sesame Street’s muppet buddies.","sets":"Expansion Set 4, Party Expansion 1"},</v>
      </c>
    </row>
    <row r="97">
      <c r="A97" s="8" t="str">
        <f>IFERROR(__xludf.DUMMYFUNCTION("""COMPUTED_VALUE"""),"Bert And Ernie")</f>
        <v>Bert And Ernie</v>
      </c>
      <c r="B97" s="8" t="str">
        <f>IFERROR(__xludf.DUMMYFUNCTION("""COMPUTED_VALUE"""),"Two nice guys in striped shirts who live on Sesame Street.")</f>
        <v>Two nice guys in striped shirts who live on Sesame Street.</v>
      </c>
      <c r="C97" s="13" t="str">
        <f>IFERROR(__xludf.DUMMYFUNCTION("""COMPUTED_VALUE"""),"""yqfm"":{""label"":""Bert And Ernie"",""extra"":""Two nice guys in striped shirts who live on Sesame Street."",""sets"":""Junior""},")</f>
        <v>"yqfm":{"label":"Bert And Ernie","extra":"Two nice guys in striped shirts who live on Sesame Street.","sets":"Junior"},</v>
      </c>
    </row>
    <row r="98">
      <c r="A98" s="8" t="str">
        <f>IFERROR(__xludf.DUMMYFUNCTION("""COMPUTED_VALUE"""),"Big Bird")</f>
        <v>Big Bird</v>
      </c>
      <c r="B98" s="8" t="str">
        <f>IFERROR(__xludf.DUMMYFUNCTION("""COMPUTED_VALUE"""),"Beloved Sesame Street character, or the not-necessarily-beloved U.S. spy satellite.")</f>
        <v>Beloved Sesame Street character, or the not-necessarily-beloved U.S. spy satellite.</v>
      </c>
      <c r="C98" s="13" t="str">
        <f>IFERROR(__xludf.DUMMYFUNCTION("""COMPUTED_VALUE"""),"""yfce"":{""label"":""Big Bird"",""extra"":""Beloved Sesame Street character, or the not-necessarily-beloved U.S. spy satellite."",""sets"":""Expansion Set 3, Party Expansion 1""},")</f>
        <v>"yfce":{"label":"Big Bird","extra":"Beloved Sesame Street character, or the not-necessarily-beloved U.S. spy satellite.","sets":"Expansion Set 3, Party Expansion 1"},</v>
      </c>
    </row>
    <row r="99">
      <c r="A99" s="8" t="str">
        <f>IFERROR(__xludf.DUMMYFUNCTION("""COMPUTED_VALUE"""),"Big Bird")</f>
        <v>Big Bird</v>
      </c>
      <c r="B99" s="8" t="str">
        <f>IFERROR(__xludf.DUMMYFUNCTION("""COMPUTED_VALUE"""),"A very large, yellow bird who lives on Sesame Street with Bert and Ernie.")</f>
        <v>A very large, yellow bird who lives on Sesame Street with Bert and Ernie.</v>
      </c>
      <c r="C99" s="13" t="str">
        <f>IFERROR(__xludf.DUMMYFUNCTION("""COMPUTED_VALUE"""),"""hxyt"":{""label"":""Big Bird"",""extra"":""A very large, yellow bird who lives on Sesame Street with Bert and Ernie."",""sets"":""Junior""},")</f>
        <v>"hxyt":{"label":"Big Bird","extra":"A very large, yellow bird who lives on Sesame Street with Bert and Ernie.","sets":"Junior"},</v>
      </c>
    </row>
    <row r="100">
      <c r="A100" s="8" t="str">
        <f>IFERROR(__xludf.DUMMYFUNCTION("""COMPUTED_VALUE"""),"Big Cities")</f>
        <v>Big Cities</v>
      </c>
      <c r="B100" s="8" t="str">
        <f>IFERROR(__xludf.DUMMYFUNCTION("""COMPUTED_VALUE"""),"Very large towns, like New York, Los Angeles and Chicago.")</f>
        <v>Very large towns, like New York, Los Angeles and Chicago.</v>
      </c>
      <c r="C100" s="13" t="str">
        <f>IFERROR(__xludf.DUMMYFUNCTION("""COMPUTED_VALUE"""),"""gorf"":{""label"":""Big Cities"",""extra"":""Very large towns, like New York, Los Angeles and Chicago."",""sets"":""Junior""},")</f>
        <v>"gorf":{"label":"Big Cities","extra":"Very large towns, like New York, Los Angeles and Chicago.","sets":"Junior"},</v>
      </c>
    </row>
    <row r="101">
      <c r="A101" s="8" t="str">
        <f>IFERROR(__xludf.DUMMYFUNCTION("""COMPUTED_VALUE"""),"Bill &amp; Ted")</f>
        <v>Bill &amp; Ted</v>
      </c>
      <c r="B101" s="8" t="str">
        <f>IFERROR(__xludf.DUMMYFUNCTION("""COMPUTED_VALUE"""),"Characters in Keanu Reeves’ excellent time-travel adventure film. Yeah, dude.")</f>
        <v>Characters in Keanu Reeves’ excellent time-travel adventure film. Yeah, dude.</v>
      </c>
      <c r="C101" s="13" t="str">
        <f>IFERROR(__xludf.DUMMYFUNCTION("""COMPUTED_VALUE"""),"""ixur"":{""label"":""Bill &amp; Ted"",""extra"":""Characters in Keanu Reeves’ excellent time-travel adventure film. Yeah, dude."",""sets"":""Expansion Set 4, Party Expansion 1""},")</f>
        <v>"ixur":{"label":"Bill &amp; Ted","extra":"Characters in Keanu Reeves’ excellent time-travel adventure film. Yeah, dude.","sets":"Expansion Set 4, Party Expansion 1"},</v>
      </c>
    </row>
    <row r="102">
      <c r="A102" s="8" t="str">
        <f>IFERROR(__xludf.DUMMYFUNCTION("""COMPUTED_VALUE"""),"Birds")</f>
        <v>Birds</v>
      </c>
      <c r="B102" s="8" t="str">
        <f>IFERROR(__xludf.DUMMYFUNCTION("""COMPUTED_VALUE"""),"“Birds of a feather, flock together.”")</f>
        <v>“Birds of a feather, flock together.”</v>
      </c>
      <c r="C102" s="13" t="str">
        <f>IFERROR(__xludf.DUMMYFUNCTION("""COMPUTED_VALUE"""),"""wsbb"":{""label"":""Birds"",""extra"":""“Birds of a feather, flock together.”"",""sets"":""Junior""},")</f>
        <v>"wsbb":{"label":"Birds","extra":"“Birds of a feather, flock together.”","sets":"Junior"},</v>
      </c>
    </row>
    <row r="103">
      <c r="A103" s="8" t="str">
        <f>IFERROR(__xludf.DUMMYFUNCTION("""COMPUTED_VALUE"""),"Birthday Cake")</f>
        <v>Birthday Cake</v>
      </c>
      <c r="B103" s="8" t="str">
        <f>IFERROR(__xludf.DUMMYFUNCTION("""COMPUTED_VALUE"""),"What kind of cake, white or chocolate?")</f>
        <v>What kind of cake, white or chocolate?</v>
      </c>
      <c r="C103" s="13" t="str">
        <f>IFERROR(__xludf.DUMMYFUNCTION("""COMPUTED_VALUE"""),"""ubjq"":{""label"":""Birthday Cake"",""extra"":""What kind of cake, white or chocolate?"",""sets"":""Junior""},")</f>
        <v>"ubjq":{"label":"Birthday Cake","extra":"What kind of cake, white or chocolate?","sets":"Junior"},</v>
      </c>
    </row>
    <row r="104">
      <c r="A104" s="8" t="str">
        <f>IFERROR(__xludf.DUMMYFUNCTION("""COMPUTED_VALUE"""),"Black Cats")</f>
        <v>Black Cats</v>
      </c>
      <c r="B104" s="8" t="str">
        <f>IFERROR(__xludf.DUMMYFUNCTION("""COMPUTED_VALUE"""),"It’s bad luck if they cross your path. You might step in a hairball!")</f>
        <v>It’s bad luck if they cross your path. You might step in a hairball!</v>
      </c>
      <c r="C104" s="13" t="str">
        <f>IFERROR(__xludf.DUMMYFUNCTION("""COMPUTED_VALUE"""),"""egwa"":{""label"":""Black Cats"",""extra"":""It’s bad luck if they cross your path. You might step in a hairball!"",""sets"":""Expansion Set 3, Party Expansion 1""},")</f>
        <v>"egwa":{"label":"Black Cats","extra":"It’s bad luck if they cross your path. You might step in a hairball!","sets":"Expansion Set 3, Party Expansion 1"},</v>
      </c>
    </row>
    <row r="105">
      <c r="A105" s="8" t="str">
        <f>IFERROR(__xludf.DUMMYFUNCTION("""COMPUTED_VALUE"""),"Black Cats")</f>
        <v>Black Cats</v>
      </c>
      <c r="B105" s="8" t="str">
        <f>IFERROR(__xludf.DUMMYFUNCTION("""COMPUTED_VALUE"""),"They’re not really bad luck!")</f>
        <v>They’re not really bad luck!</v>
      </c>
      <c r="C105" s="13" t="str">
        <f>IFERROR(__xludf.DUMMYFUNCTION("""COMPUTED_VALUE"""),"""aklz"":{""label"":""Black Cats"",""extra"":""They’re not really bad luck!"",""sets"":""Junior 9+ (2nd)""},")</f>
        <v>"aklz":{"label":"Black Cats","extra":"They’re not really bad luck!","sets":"Junior 9+ (2nd)"},</v>
      </c>
    </row>
    <row r="106">
      <c r="A106" s="8" t="str">
        <f>IFERROR(__xludf.DUMMYFUNCTION("""COMPUTED_VALUE"""),"Blackouts")</f>
        <v>Blackouts</v>
      </c>
      <c r="B106" s="8" t="str">
        <f>IFERROR(__xludf.DUMMYFUNCTION("""COMPUTED_VALUE"""),"They can occur at any")</f>
        <v>They can occur at any</v>
      </c>
      <c r="C106" s="13" t="str">
        <f>IFERROR(__xludf.DUMMYFUNCTION("""COMPUTED_VALUE"""),"""izfo"":{""label"":""Blackouts"",""extra"":""They can occur at any"",""sets"":""Expansion Set 3, Party Expansion 1""},")</f>
        <v>"izfo":{"label":"Blackouts","extra":"They can occur at any","sets":"Expansion Set 3, Party Expansion 1"},</v>
      </c>
    </row>
    <row r="107">
      <c r="A107" s="8" t="str">
        <f>IFERROR(__xludf.DUMMYFUNCTION("""COMPUTED_VALUE"""),"Blood")</f>
        <v>Blood</v>
      </c>
      <c r="B107" s="8" t="str">
        <f>IFERROR(__xludf.DUMMYFUNCTION("""COMPUTED_VALUE"""),"Blood carries oxygen and nutrients throughout the body.")</f>
        <v>Blood carries oxygen and nutrients throughout the body.</v>
      </c>
      <c r="C107" s="13" t="str">
        <f>IFERROR(__xludf.DUMMYFUNCTION("""COMPUTED_VALUE"""),"""gmdb"":{""label"":""Blood"",""extra"":""Blood carries oxygen and nutrients throughout the body."",""sets"":""Junior 9+ (2nd)""},")</f>
        <v>"gmdb":{"label":"Blood","extra":"Blood carries oxygen and nutrients throughout the body.","sets":"Junior 9+ (2nd)"},</v>
      </c>
    </row>
    <row r="108">
      <c r="A108" s="8" t="str">
        <f>IFERROR(__xludf.DUMMYFUNCTION("""COMPUTED_VALUE"""),"Blood &amp; Tears")</f>
        <v>Blood &amp; Tears</v>
      </c>
      <c r="B108" s="8" t="str">
        <f>IFERROR(__xludf.DUMMYFUNCTION("""COMPUTED_VALUE"""),"Don’t forget the sweat.")</f>
        <v>Don’t forget the sweat.</v>
      </c>
      <c r="C108" s="13" t="str">
        <f>IFERROR(__xludf.DUMMYFUNCTION("""COMPUTED_VALUE"""),"""wthd"":{""label"":""Blood &amp; Tears"",""extra"":""Don’t forget the sweat."",""sets"":""Expansion Set 4, Party Expansion 1""},")</f>
        <v>"wthd":{"label":"Blood &amp; Tears","extra":"Don’t forget the sweat.","sets":"Expansion Set 4, Party Expansion 1"},</v>
      </c>
    </row>
    <row r="109">
      <c r="A109" s="8" t="str">
        <f>IFERROR(__xludf.DUMMYFUNCTION("""COMPUTED_VALUE"""),"Blowing Bubbles")</f>
        <v>Blowing Bubbles</v>
      </c>
      <c r="B109" s="8" t="str">
        <f>IFERROR(__xludf.DUMMYFUNCTION("""COMPUTED_VALUE"""),"The bigger the better!")</f>
        <v>The bigger the better!</v>
      </c>
      <c r="C109" s="13" t="str">
        <f>IFERROR(__xludf.DUMMYFUNCTION("""COMPUTED_VALUE"""),"""ngxd"":{""label"":""Blowing Bubbles"",""extra"":""The bigger the better!"",""sets"":""Junior""},")</f>
        <v>"ngxd":{"label":"Blowing Bubbles","extra":"The bigger the better!","sets":"Junior"},</v>
      </c>
    </row>
    <row r="110">
      <c r="A110" s="8" t="str">
        <f>IFERROR(__xludf.DUMMYFUNCTION("""COMPUTED_VALUE"""),"Blowing Your Nose")</f>
        <v>Blowing Your Nose</v>
      </c>
      <c r="B110" s="8" t="str">
        <f>IFERROR(__xludf.DUMMYFUNCTION("""COMPUTED_VALUE"""),"Please use a tissue!")</f>
        <v>Please use a tissue!</v>
      </c>
      <c r="C110" s="13" t="str">
        <f>IFERROR(__xludf.DUMMYFUNCTION("""COMPUTED_VALUE"""),"""kacg"":{""label"":""Blowing Your Nose"",""extra"":""Please use a tissue!"",""sets"":""Junior""},")</f>
        <v>"kacg":{"label":"Blowing Your Nose","extra":"Please use a tissue!","sets":"Junior"},</v>
      </c>
    </row>
    <row r="111">
      <c r="A111" s="8" t="str">
        <f>IFERROR(__xludf.DUMMYFUNCTION("""COMPUTED_VALUE"""),"Blue Velvet")</f>
        <v>Blue Velvet</v>
      </c>
      <c r="B111" s="8" t="str">
        <f>IFERROR(__xludf.DUMMYFUNCTION("""COMPUTED_VALUE"""),"An elegant, textured fabric, Bobby Vinton love song, or David Lynch’s bizarre 1986 film about the dark side of small-town America.")</f>
        <v>An elegant, textured fabric, Bobby Vinton love song, or David Lynch’s bizarre 1986 film about the dark side of small-town America.</v>
      </c>
      <c r="C111" s="13" t="str">
        <f>IFERROR(__xludf.DUMMYFUNCTION("""COMPUTED_VALUE"""),"""royg"":{""label"":""Blue Velvet"",""extra"":""An elegant, textured fabric, Bobby Vinton love song, or David Lynch’s bizarre 1986 film about the dark side of small-town America."",""sets"":""Expansion Set 3, Party Expansion 1""},")</f>
        <v>"royg":{"label":"Blue Velvet","extra":"An elegant, textured fabric, Bobby Vinton love song, or David Lynch’s bizarre 1986 film about the dark side of small-town America.","sets":"Expansion Set 3, Party Expansion 1"},</v>
      </c>
    </row>
    <row r="112">
      <c r="A112" s="8" t="str">
        <f>IFERROR(__xludf.DUMMYFUNCTION("""COMPUTED_VALUE"""),"Blueberries")</f>
        <v>Blueberries</v>
      </c>
      <c r="B112" s="8" t="str">
        <f>IFERROR(__xludf.DUMMYFUNCTION("""COMPUTED_VALUE"""),"Blueberries will stain your teeth. Smile!")</f>
        <v>Blueberries will stain your teeth. Smile!</v>
      </c>
      <c r="C112" s="13" t="str">
        <f>IFERROR(__xludf.DUMMYFUNCTION("""COMPUTED_VALUE"""),"""zbds"":{""label"":""Blueberries"",""extra"":""Blueberries will stain your teeth. Smile!"",""sets"":""Junior 9+ (1st) &amp; (2nd)""},")</f>
        <v>"zbds":{"label":"Blueberries","extra":"Blueberries will stain your teeth. Smile!","sets":"Junior 9+ (1st) &amp; (2nd)"},</v>
      </c>
    </row>
    <row r="113">
      <c r="A113" s="8" t="str">
        <f>IFERROR(__xludf.DUMMYFUNCTION("""COMPUTED_VALUE"""),"Boardwalk &amp; Park Place")</f>
        <v>Boardwalk &amp; Park Place</v>
      </c>
      <c r="B113" s="8" t="str">
        <f>IFERROR(__xludf.DUMMYFUNCTION("""COMPUTED_VALUE"""),"Top of the line in the real estate game.")</f>
        <v>Top of the line in the real estate game.</v>
      </c>
      <c r="C113" s="13" t="str">
        <f>IFERROR(__xludf.DUMMYFUNCTION("""COMPUTED_VALUE"""),"""uoiw"":{""label"":""Boardwalk &amp; Park Place"",""extra"":""Top of the line in the real estate game."",""sets"":""Expansion Set 4, Party Expansion 1""},")</f>
        <v>"uoiw":{"label":"Boardwalk &amp; Park Place","extra":"Top of the line in the real estate game.","sets":"Expansion Set 4, Party Expansion 1"},</v>
      </c>
    </row>
    <row r="114">
      <c r="A114" s="8" t="str">
        <f>IFERROR(__xludf.DUMMYFUNCTION("""COMPUTED_VALUE"""),"Boats")</f>
        <v>Boats</v>
      </c>
      <c r="B114" s="8" t="str">
        <f>IFERROR(__xludf.DUMMYFUNCTION("""COMPUTED_VALUE"""),"“Row, row, row your boat!”")</f>
        <v>“Row, row, row your boat!”</v>
      </c>
      <c r="C114" s="13" t="str">
        <f>IFERROR(__xludf.DUMMYFUNCTION("""COMPUTED_VALUE"""),"""rhsc"":{""label"":""Boats"",""extra"":""“Row, row, row your boat!”"",""sets"":""Junior""},")</f>
        <v>"rhsc":{"label":"Boats","extra":"“Row, row, row your boat!”","sets":"Junior"},</v>
      </c>
    </row>
    <row r="115">
      <c r="A115" s="8" t="str">
        <f>IFERROR(__xludf.DUMMYFUNCTION("""COMPUTED_VALUE"""),"Body &amp; Soul")</f>
        <v>Body &amp; Soul</v>
      </c>
      <c r="B115" s="8" t="str">
        <f>IFERROR(__xludf.DUMMYFUNCTION("""COMPUTED_VALUE"""),"Just tryin’ to keep it all together.")</f>
        <v>Just tryin’ to keep it all together.</v>
      </c>
      <c r="C115" s="13" t="str">
        <f>IFERROR(__xludf.DUMMYFUNCTION("""COMPUTED_VALUE"""),"""z{rs"":{""label"":""Body &amp; Soul"",""extra"":""Just tryin’ to keep it all together."",""sets"":""Expansion Set 4, Party Expansion 1""},")</f>
        <v>"z{rs":{"label":"Body &amp; Soul","extra":"Just tryin’ to keep it all together.","sets":"Expansion Set 4, Party Expansion 1"},</v>
      </c>
    </row>
    <row r="116">
      <c r="A116" s="8" t="str">
        <f>IFERROR(__xludf.DUMMYFUNCTION("""COMPUTED_VALUE"""),"Body Snatchers")</f>
        <v>Body Snatchers</v>
      </c>
      <c r="B116" s="8" t="str">
        <f>IFERROR(__xludf.DUMMYFUNCTION("""COMPUTED_VALUE"""),"We’d be worried, but nobody would want to snatch OUR bodies…")</f>
        <v>We’d be worried, but nobody would want to snatch OUR bodies…</v>
      </c>
      <c r="C116" s="13" t="str">
        <f>IFERROR(__xludf.DUMMYFUNCTION("""COMPUTED_VALUE"""),"""orbl"":{""label"":""Body Snatchers"",""extra"":""We’d be worried, but nobody would want to snatch OUR bodies…"",""sets"":""Expansion Set 3, Party Expansion 1""},")</f>
        <v>"orbl":{"label":"Body Snatchers","extra":"We’d be worried, but nobody would want to snatch OUR bodies…","sets":"Expansion Set 3, Party Expansion 1"},</v>
      </c>
    </row>
    <row r="117">
      <c r="A117" s="8" t="str">
        <f>IFERROR(__xludf.DUMMYFUNCTION("""COMPUTED_VALUE"""),"Bodybuilders")</f>
        <v>Bodybuilders</v>
      </c>
      <c r="B117" s="8" t="str">
        <f>IFERROR(__xludf.DUMMYFUNCTION("""COMPUTED_VALUE"""),"If you build it they will come.")</f>
        <v>If you build it they will come.</v>
      </c>
      <c r="C117" s="13" t="str">
        <f>IFERROR(__xludf.DUMMYFUNCTION("""COMPUTED_VALUE"""),"""bdxb"":{""label"":""Bodybuilders"",""extra"":""If you build it they will come."",""sets"":""Expansion Set 3, Party Expansion 1""},")</f>
        <v>"bdxb":{"label":"Bodybuilders","extra":"If you build it they will come.","sets":"Expansion Set 3, Party Expansion 1"},</v>
      </c>
    </row>
    <row r="118">
      <c r="A118" s="8" t="str">
        <f>IFERROR(__xludf.DUMMYFUNCTION("""COMPUTED_VALUE"""),"Bora Bora")</f>
        <v>Bora Bora</v>
      </c>
      <c r="B118" s="8" t="str">
        <f>IFERROR(__xludf.DUMMYFUNCTION("""COMPUTED_VALUE"""),"Volcanic island in the Pacific. Good oranges and vanilla.")</f>
        <v>Volcanic island in the Pacific. Good oranges and vanilla.</v>
      </c>
      <c r="C118" s="13" t="str">
        <f>IFERROR(__xludf.DUMMYFUNCTION("""COMPUTED_VALUE"""),"""kgwh"":{""label"":""Bora Bora"",""extra"":""Volcanic island in the Pacific. Good oranges and vanilla."",""sets"":""Expansion Set 3, Party Expansion 1""},")</f>
        <v>"kgwh":{"label":"Bora Bora","extra":"Volcanic island in the Pacific. Good oranges and vanilla.","sets":"Expansion Set 3, Party Expansion 1"},</v>
      </c>
    </row>
    <row r="119">
      <c r="A119" s="8" t="str">
        <f>IFERROR(__xludf.DUMMYFUNCTION("""COMPUTED_VALUE"""),"Bow &amp; Arrows")</f>
        <v>Bow &amp; Arrows</v>
      </c>
      <c r="B119" s="8" t="str">
        <f>IFERROR(__xludf.DUMMYFUNCTION("""COMPUTED_VALUE"""),"More effective than sticks and stones.")</f>
        <v>More effective than sticks and stones.</v>
      </c>
      <c r="C119" s="13" t="str">
        <f>IFERROR(__xludf.DUMMYFUNCTION("""COMPUTED_VALUE"""),"""tcfo"":{""label"":""Bow &amp; Arrows"",""extra"":""More effective than sticks and stones."",""sets"":""Expansion Set 4, Party Expansion 1""},")</f>
        <v>"tcfo":{"label":"Bow &amp; Arrows","extra":"More effective than sticks and stones.","sets":"Expansion Set 4, Party Expansion 1"},</v>
      </c>
    </row>
    <row r="120">
      <c r="A120" s="8" t="str">
        <f>IFERROR(__xludf.DUMMYFUNCTION("""COMPUTED_VALUE"""),"Bowling")</f>
        <v>Bowling</v>
      </c>
      <c r="B120" s="8" t="str">
        <f>IFERROR(__xludf.DUMMYFUNCTION("""COMPUTED_VALUE"""),"A game played by rolling a heavy ball so that it knocks down wooden pins. A perfect score is 300.")</f>
        <v>A game played by rolling a heavy ball so that it knocks down wooden pins. A perfect score is 300.</v>
      </c>
      <c r="C120" s="13" t="str">
        <f>IFERROR(__xludf.DUMMYFUNCTION("""COMPUTED_VALUE"""),"""ckim"":{""label"":""Bowling"",""extra"":""A game played by rolling a heavy ball so that it knocks down wooden pins. A perfect score is 300."",""sets"":""Junior 9+ (1st) &amp; (2nd)""},")</f>
        <v>"ckim":{"label":"Bowling","extra":"A game played by rolling a heavy ball so that it knocks down wooden pins. A perfect score is 300.","sets":"Junior 9+ (1st) &amp; (2nd)"},</v>
      </c>
    </row>
    <row r="121">
      <c r="A121" s="8" t="str">
        <f>IFERROR(__xludf.DUMMYFUNCTION("""COMPUTED_VALUE"""),"Bowling")</f>
        <v>Bowling</v>
      </c>
      <c r="B121" s="8" t="str">
        <f>IFERROR(__xludf.DUMMYFUNCTION("""COMPUTED_VALUE"""),"Three strikes and you’re in.")</f>
        <v>Three strikes and you’re in.</v>
      </c>
      <c r="C121" s="13" t="str">
        <f>IFERROR(__xludf.DUMMYFUNCTION("""COMPUTED_VALUE"""),"""cjib"":{""label"":""Bowling"",""extra"":""Three strikes and you’re in."",""sets"":""Expansion Set 3, Party Expansion 1""},")</f>
        <v>"cjib":{"label":"Bowling","extra":"Three strikes and you’re in.","sets":"Expansion Set 3, Party Expansion 1"},</v>
      </c>
    </row>
    <row r="122">
      <c r="A122" s="8" t="str">
        <f>IFERROR(__xludf.DUMMYFUNCTION("""COMPUTED_VALUE"""),"Boy Scouts")</f>
        <v>Boy Scouts</v>
      </c>
      <c r="B122" s="8" t="str">
        <f>IFERROR(__xludf.DUMMYFUNCTION("""COMPUTED_VALUE"""),"On my honor, I will do my best… and learn to camp.")</f>
        <v>On my honor, I will do my best… and learn to camp.</v>
      </c>
      <c r="C122" s="13" t="str">
        <f>IFERROR(__xludf.DUMMYFUNCTION("""COMPUTED_VALUE"""),"""urzd"":{""label"":""Boy Scouts"",""extra"":""On my honor, I will do my best… and learn to camp."",""sets"":""Junior 9+ (2nd)""},")</f>
        <v>"urzd":{"label":"Boy Scouts","extra":"On my honor, I will do my best… and learn to camp.","sets":"Junior 9+ (2nd)"},</v>
      </c>
    </row>
    <row r="123">
      <c r="A123" s="8" t="str">
        <f>IFERROR(__xludf.DUMMYFUNCTION("""COMPUTED_VALUE"""),"Boyfriends")</f>
        <v>Boyfriends</v>
      </c>
      <c r="B123" s="8" t="str">
        <f>IFERROR(__xludf.DUMMYFUNCTION("""COMPUTED_VALUE"""),"We're just friends!")</f>
        <v>We're just friends!</v>
      </c>
      <c r="C123" s="13" t="str">
        <f>IFERROR(__xludf.DUMMYFUNCTION("""COMPUTED_VALUE"""),"""ycqa"":{""label"":""Boyfriends"",""extra"":""We're just friends!"",""sets"":""Junior 9+ (2nd)""},")</f>
        <v>"ycqa":{"label":"Boyfriends","extra":"We're just friends!","sets":"Junior 9+ (2nd)"},</v>
      </c>
    </row>
    <row r="124">
      <c r="A124" s="8" t="str">
        <f>IFERROR(__xludf.DUMMYFUNCTION("""COMPUTED_VALUE"""),"Boys")</f>
        <v>Boys</v>
      </c>
      <c r="B124" s="8" t="str">
        <f>IFERROR(__xludf.DUMMYFUNCTION("""COMPUTED_VALUE"""),"“Snips and snails and puppy dog tails.”")</f>
        <v>“Snips and snails and puppy dog tails.”</v>
      </c>
      <c r="C124" s="13" t="str">
        <f>IFERROR(__xludf.DUMMYFUNCTION("""COMPUTED_VALUE"""),"""wpij"":{""label"":""Boys"",""extra"":""“Snips and snails and puppy dog tails.”"",""sets"":""Junior""},")</f>
        <v>"wpij":{"label":"Boys","extra":"“Snips and snails and puppy dog tails.”","sets":"Junior"},</v>
      </c>
    </row>
    <row r="125">
      <c r="A125" s="8" t="str">
        <f>IFERROR(__xludf.DUMMYFUNCTION("""COMPUTED_VALUE"""),"Braces")</f>
        <v>Braces</v>
      </c>
      <c r="B125" s="8" t="str">
        <f>IFERROR(__xludf.DUMMYFUNCTION("""COMPUTED_VALUE"""),"No more gum, no caramels, no corn on the cob.")</f>
        <v>No more gum, no caramels, no corn on the cob.</v>
      </c>
      <c r="C125" s="13" t="str">
        <f>IFERROR(__xludf.DUMMYFUNCTION("""COMPUTED_VALUE"""),"""ixdx"":{""label"":""Braces"",""extra"":""No more gum, no caramels, no corn on the cob."",""sets"":""Junior 9+ (1st) &amp; (2nd)""},")</f>
        <v>"ixdx":{"label":"Braces","extra":"No more gum, no caramels, no corn on the cob.","sets":"Junior 9+ (1st) &amp; (2nd)"},</v>
      </c>
    </row>
    <row r="126">
      <c r="A126" s="8" t="str">
        <f>IFERROR(__xludf.DUMMYFUNCTION("""COMPUTED_VALUE"""),"Brains")</f>
        <v>Brains</v>
      </c>
      <c r="B126" s="8" t="str">
        <f>IFERROR(__xludf.DUMMYFUNCTION("""COMPUTED_VALUE"""),"It’s all in your head.")</f>
        <v>It’s all in your head.</v>
      </c>
      <c r="C126" s="13" t="str">
        <f>IFERROR(__xludf.DUMMYFUNCTION("""COMPUTED_VALUE"""),"""jtjx"":{""label"":""Brains"",""extra"":""It’s all in your head."",""sets"":""Junior 9+ (1st) &amp; (2nd)""},")</f>
        <v>"jtjx":{"label":"Brains","extra":"It’s all in your head.","sets":"Junior 9+ (1st) &amp; (2nd)"},</v>
      </c>
    </row>
    <row r="127">
      <c r="A127" s="8" t="str">
        <f>IFERROR(__xludf.DUMMYFUNCTION("""COMPUTED_VALUE"""),"Bread &amp; Water")</f>
        <v>Bread &amp; Water</v>
      </c>
      <c r="B127" s="8" t="str">
        <f>IFERROR(__xludf.DUMMYFUNCTION("""COMPUTED_VALUE"""),"Make that a baguette and a bottle of Perrier.")</f>
        <v>Make that a baguette and a bottle of Perrier.</v>
      </c>
      <c r="C127" s="13" t="str">
        <f>IFERROR(__xludf.DUMMYFUNCTION("""COMPUTED_VALUE"""),"""wljv"":{""label"":""Bread &amp; Water"",""extra"":""Make that a baguette and a bottle of Perrier."",""sets"":""Expansion Set 4, Party Expansion 1""},")</f>
        <v>"wljv":{"label":"Bread &amp; Water","extra":"Make that a baguette and a bottle of Perrier.","sets":"Expansion Set 4, Party Expansion 1"},</v>
      </c>
    </row>
    <row r="128">
      <c r="A128" s="8" t="str">
        <f>IFERROR(__xludf.DUMMYFUNCTION("""COMPUTED_VALUE"""),"Breaking &amp; Entering")</f>
        <v>Breaking &amp; Entering</v>
      </c>
      <c r="B128" s="8" t="str">
        <f>IFERROR(__xludf.DUMMYFUNCTION("""COMPUTED_VALUE"""),"“Honest, Officer, I lost my keys.”")</f>
        <v>“Honest, Officer, I lost my keys.”</v>
      </c>
      <c r="C128" s="13" t="str">
        <f>IFERROR(__xludf.DUMMYFUNCTION("""COMPUTED_VALUE"""),"""qqoy"":{""label"":""Breaking &amp; Entering"",""extra"":""“Honest, Officer, I lost my keys.”"",""sets"":""Expansion Set 4, Party Expansion 1""},")</f>
        <v>"qqoy":{"label":"Breaking &amp; Entering","extra":"“Honest, Officer, I lost my keys.”","sets":"Expansion Set 4, Party Expansion 1"},</v>
      </c>
    </row>
    <row r="129">
      <c r="A129" s="8" t="str">
        <f>IFERROR(__xludf.DUMMYFUNCTION("""COMPUTED_VALUE"""),"Bride &amp; Groom")</f>
        <v>Bride &amp; Groom</v>
      </c>
      <c r="B129" s="8" t="str">
        <f>IFERROR(__xludf.DUMMYFUNCTION("""COMPUTED_VALUE"""),"“With this ring…”")</f>
        <v>“With this ring…”</v>
      </c>
      <c r="C129" s="13" t="str">
        <f>IFERROR(__xludf.DUMMYFUNCTION("""COMPUTED_VALUE"""),"""unfq"":{""label"":""Bride &amp; Groom"",""extra"":""“With this ring…”"",""sets"":""Expansion Set 4, Party Expansion 1""},")</f>
        <v>"unfq":{"label":"Bride &amp; Groom","extra":"“With this ring…”","sets":"Expansion Set 4, Party Expansion 1"},</v>
      </c>
    </row>
    <row r="130">
      <c r="A130" s="8" t="str">
        <f>IFERROR(__xludf.DUMMYFUNCTION("""COMPUTED_VALUE"""),"Brothers")</f>
        <v>Brothers</v>
      </c>
      <c r="B130" s="8" t="str">
        <f>IFERROR(__xludf.DUMMYFUNCTION("""COMPUTED_VALUE"""),"Oh, brother!")</f>
        <v>Oh, brother!</v>
      </c>
      <c r="C130" s="13" t="str">
        <f>IFERROR(__xludf.DUMMYFUNCTION("""COMPUTED_VALUE"""),"""nqwc"":{""label"":""Brothers"",""extra"":""Oh, brother!"",""sets"":""Junior 9+ (1st) &amp; (2nd)""},")</f>
        <v>"nqwc":{"label":"Brothers","extra":"Oh, brother!","sets":"Junior 9+ (1st) &amp; (2nd)"},</v>
      </c>
    </row>
    <row r="131">
      <c r="A131" s="8" t="str">
        <f>IFERROR(__xludf.DUMMYFUNCTION("""COMPUTED_VALUE"""),"Brothers &amp; Sisters")</f>
        <v>Brothers &amp; Sisters</v>
      </c>
      <c r="B131" s="8" t="str">
        <f>IFERROR(__xludf.DUMMYFUNCTION("""COMPUTED_VALUE"""),"“You can pick your friends, but…”")</f>
        <v>“You can pick your friends, but…”</v>
      </c>
      <c r="C131" s="13" t="str">
        <f>IFERROR(__xludf.DUMMYFUNCTION("""COMPUTED_VALUE"""),"""mxij"":{""label"":""Brothers &amp; Sisters"",""extra"":""“You can pick your friends, but…”"",""sets"":""Expansion Set 4, Party Expansion 1""},")</f>
        <v>"mxij":{"label":"Brothers &amp; Sisters","extra":"“You can pick your friends, but…”","sets":"Expansion Set 4, Party Expansion 1"},</v>
      </c>
    </row>
    <row r="132">
      <c r="A132" s="8" t="str">
        <f>IFERROR(__xludf.DUMMYFUNCTION("""COMPUTED_VALUE"""),"Bruises")</f>
        <v>Bruises</v>
      </c>
      <c r="B132" s="8" t="str">
        <f>IFERROR(__xludf.DUMMYFUNCTION("""COMPUTED_VALUE"""),"The dark color of a bruise is caused by broken blood vessels under the skin.")</f>
        <v>The dark color of a bruise is caused by broken blood vessels under the skin.</v>
      </c>
      <c r="C132" s="13" t="str">
        <f>IFERROR(__xludf.DUMMYFUNCTION("""COMPUTED_VALUE"""),"""wqwg"":{""label"":""Bruises"",""extra"":""The dark color of a bruise is caused by broken blood vessels under the skin."",""sets"":""Junior 9+ (2nd)""},")</f>
        <v>"wqwg":{"label":"Bruises","extra":"The dark color of a bruise is caused by broken blood vessels under the skin.","sets":"Junior 9+ (2nd)"},</v>
      </c>
    </row>
    <row r="133">
      <c r="A133" s="8" t="str">
        <f>IFERROR(__xludf.DUMMYFUNCTION("""COMPUTED_VALUE"""),"Brushing Your Teeth")</f>
        <v>Brushing Your Teeth</v>
      </c>
      <c r="B133" s="8" t="str">
        <f>IFERROR(__xludf.DUMMYFUNCTION("""COMPUTED_VALUE"""),"Oh! What's that gunk stuck on your teeth?")</f>
        <v>Oh! What's that gunk stuck on your teeth?</v>
      </c>
      <c r="C133" s="13" t="str">
        <f>IFERROR(__xludf.DUMMYFUNCTION("""COMPUTED_VALUE"""),"""rmkz"":{""label"":""Brushing Your Teeth"",""extra"":""Oh! What's that gunk stuck on your teeth?"",""sets"":""Junior 9+ (1st) &amp; (2nd)""},")</f>
        <v>"rmkz":{"label":"Brushing Your Teeth","extra":"Oh! What's that gunk stuck on your teeth?","sets":"Junior 9+ (1st) &amp; (2nd)"},</v>
      </c>
    </row>
    <row r="134">
      <c r="A134" s="8" t="str">
        <f>IFERROR(__xludf.DUMMYFUNCTION("""COMPUTED_VALUE"""),"Bubble Bath")</f>
        <v>Bubble Bath</v>
      </c>
      <c r="B134" s="8" t="str">
        <f>IFERROR(__xludf.DUMMYFUNCTION("""COMPUTED_VALUE"""),"Just add water!")</f>
        <v>Just add water!</v>
      </c>
      <c r="C134" s="13" t="str">
        <f>IFERROR(__xludf.DUMMYFUNCTION("""COMPUTED_VALUE"""),"""epxs"":{""label"":""Bubble Bath"",""extra"":""Just add water!"",""sets"":""Junior 9+ (2nd)""},")</f>
        <v>"epxs":{"label":"Bubble Bath","extra":"Just add water!","sets":"Junior 9+ (2nd)"},</v>
      </c>
    </row>
    <row r="135">
      <c r="A135" s="8" t="str">
        <f>IFERROR(__xludf.DUMMYFUNCTION("""COMPUTED_VALUE"""),"Bubble Gum")</f>
        <v>Bubble Gum</v>
      </c>
      <c r="B135" s="8" t="str">
        <f>IFERROR(__xludf.DUMMYFUNCTION("""COMPUTED_VALUE"""),"Chewing is easy, blowing bubbles is hard, getting it out of your hair is even harder.")</f>
        <v>Chewing is easy, blowing bubbles is hard, getting it out of your hair is even harder.</v>
      </c>
      <c r="C135" s="13" t="str">
        <f>IFERROR(__xludf.DUMMYFUNCTION("""COMPUTED_VALUE"""),"""jgoz"":{""label"":""Bubble Gum"",""extra"":""Chewing is easy, blowing bubbles is hard, getting it out of your hair is even harder."",""sets"":""Junior 9+ (1st) &amp; (2nd)""},")</f>
        <v>"jgoz":{"label":"Bubble Gum","extra":"Chewing is easy, blowing bubbles is hard, getting it out of your hair is even harder.","sets":"Junior 9+ (1st) &amp; (2nd)"},</v>
      </c>
    </row>
    <row r="136">
      <c r="A136" s="8" t="str">
        <f>IFERROR(__xludf.DUMMYFUNCTION("""COMPUTED_VALUE"""),"Buddies")</f>
        <v>Buddies</v>
      </c>
      <c r="B136" s="8" t="str">
        <f>IFERROR(__xludf.DUMMYFUNCTION("""COMPUTED_VALUE"""),"Good friends people and pets.")</f>
        <v>Good friends people and pets.</v>
      </c>
      <c r="C136" s="13" t="str">
        <f>IFERROR(__xludf.DUMMYFUNCTION("""COMPUTED_VALUE"""),"""ushb"":{""label"":""Buddies"",""extra"":""Good friends people and pets."",""sets"":""Junior""},")</f>
        <v>"ushb":{"label":"Buddies","extra":"Good friends people and pets.","sets":"Junior"},</v>
      </c>
    </row>
    <row r="137">
      <c r="A137" s="8" t="str">
        <f>IFERROR(__xludf.DUMMYFUNCTION("""COMPUTED_VALUE"""),"Buffalo")</f>
        <v>Buffalo</v>
      </c>
      <c r="B137" s="8" t="str">
        <f>IFERROR(__xludf.DUMMYFUNCTION("""COMPUTED_VALUE"""),"A large animal with a big, shaggy head and a hump on its back, native to North America.")</f>
        <v>A large animal with a big, shaggy head and a hump on its back, native to North America.</v>
      </c>
      <c r="C137" s="13" t="str">
        <f>IFERROR(__xludf.DUMMYFUNCTION("""COMPUTED_VALUE"""),"""xvtr"":{""label"":""Buffalo"",""extra"":""A large animal with a big, shaggy head and a hump on its back, native to North America."",""sets"":""Junior 9+ (1st) &amp; (2nd)""},")</f>
        <v>"xvtr":{"label":"Buffalo","extra":"A large animal with a big, shaggy head and a hump on its back, native to North America.","sets":"Junior 9+ (1st) &amp; (2nd)"},</v>
      </c>
    </row>
    <row r="138">
      <c r="A138" s="8" t="str">
        <f>IFERROR(__xludf.DUMMYFUNCTION("""COMPUTED_VALUE"""),"Bugs")</f>
        <v>Bugs</v>
      </c>
      <c r="B138" s="8" t="str">
        <f>IFERROR(__xludf.DUMMYFUNCTION("""COMPUTED_VALUE"""),"Ants, beetles, spiders, and roaches. It’s “A Bug’s Life.”")</f>
        <v>Ants, beetles, spiders, and roaches. It’s “A Bug’s Life.”</v>
      </c>
      <c r="C138" s="13" t="str">
        <f>IFERROR(__xludf.DUMMYFUNCTION("""COMPUTED_VALUE"""),"""v{ll"":{""label"":""Bugs"",""extra"":""Ants, beetles, spiders, and roaches. It’s “A Bug’s Life.”"",""sets"":""Junior""},")</f>
        <v>"v{ll":{"label":"Bugs","extra":"Ants, beetles, spiders, and roaches. It’s “A Bug’s Life.”","sets":"Junior"},</v>
      </c>
    </row>
    <row r="139">
      <c r="A139" s="8" t="str">
        <f>IFERROR(__xludf.DUMMYFUNCTION("""COMPUTED_VALUE"""),"Bugs Bunny")</f>
        <v>Bugs Bunny</v>
      </c>
      <c r="B139" s="8" t="str">
        <f>IFERROR(__xludf.DUMMYFUNCTION("""COMPUTED_VALUE"""),"A tall, skinny cartoon rabbit. “What’s up, Doc?”")</f>
        <v>A tall, skinny cartoon rabbit. “What’s up, Doc?”</v>
      </c>
      <c r="C139" s="13" t="str">
        <f>IFERROR(__xludf.DUMMYFUNCTION("""COMPUTED_VALUE"""),"""gmyd"":{""label"":""Bugs Bunny"",""extra"":""A tall, skinny cartoon rabbit. “What’s up, Doc?”"",""sets"":""Junior""},")</f>
        <v>"gmyd":{"label":"Bugs Bunny","extra":"A tall, skinny cartoon rabbit. “What’s up, Doc?”","sets":"Junior"},</v>
      </c>
    </row>
    <row r="140">
      <c r="A140" s="8" t="str">
        <f>IFERROR(__xludf.DUMMYFUNCTION("""COMPUTED_VALUE"""),"Bullfighting")</f>
        <v>Bullfighting</v>
      </c>
      <c r="B140" s="8" t="str">
        <f>IFERROR(__xludf.DUMMYFUNCTION("""COMPUTED_VALUE"""),"A traditional sport in some Spanish speaking countries.")</f>
        <v>A traditional sport in some Spanish speaking countries.</v>
      </c>
      <c r="C140" s="13" t="str">
        <f>IFERROR(__xludf.DUMMYFUNCTION("""COMPUTED_VALUE"""),"""keey"":{""label"":""Bullfighting"",""extra"":""A traditional sport in some Spanish speaking countries."",""sets"":""Junior 9+ (2nd)""},")</f>
        <v>"keey":{"label":"Bullfighting","extra":"A traditional sport in some Spanish speaking countries.","sets":"Junior 9+ (2nd)"},</v>
      </c>
    </row>
    <row r="141">
      <c r="A141" s="8" t="str">
        <f>IFERROR(__xludf.DUMMYFUNCTION("""COMPUTED_VALUE"""),"Bulls &amp; Bears")</f>
        <v>Bulls &amp; Bears</v>
      </c>
      <c r="B141" s="8" t="str">
        <f>IFERROR(__xludf.DUMMYFUNCTION("""COMPUTED_VALUE"""),"On or off Wall Street.")</f>
        <v>On or off Wall Street.</v>
      </c>
      <c r="C141" s="13" t="str">
        <f>IFERROR(__xludf.DUMMYFUNCTION("""COMPUTED_VALUE"""),"""ihke"":{""label"":""Bulls &amp; Bears"",""extra"":""On or off Wall Street."",""sets"":""Expansion Set 4, Party Expansion 1""},")</f>
        <v>"ihke":{"label":"Bulls &amp; Bears","extra":"On or off Wall Street.","sets":"Expansion Set 4, Party Expansion 1"},</v>
      </c>
    </row>
    <row r="142">
      <c r="A142" s="8" t="str">
        <f>IFERROR(__xludf.DUMMYFUNCTION("""COMPUTED_VALUE"""),"Bumble Bees")</f>
        <v>Bumble Bees</v>
      </c>
      <c r="B142" s="8" t="str">
        <f>IFERROR(__xludf.DUMMYFUNCTION("""COMPUTED_VALUE"""),"Large, fuzzy bees with yellow and black stripes. Watch outthey sting!")</f>
        <v>Large, fuzzy bees with yellow and black stripes. Watch outthey sting!</v>
      </c>
      <c r="C142" s="13" t="str">
        <f>IFERROR(__xludf.DUMMYFUNCTION("""COMPUTED_VALUE"""),"""gdzg"":{""label"":""Bumble Bees"",""extra"":""Large, fuzzy bees with yellow and black stripes. Watch outthey sting!"",""sets"":""Junior""},")</f>
        <v>"gdzg":{"label":"Bumble Bees","extra":"Large, fuzzy bees with yellow and black stripes. Watch outthey sting!","sets":"Junior"},</v>
      </c>
    </row>
    <row r="143">
      <c r="A143" s="8" t="str">
        <f>IFERROR(__xludf.DUMMYFUNCTION("""COMPUTED_VALUE"""),"Bumper Cars")</f>
        <v>Bumper Cars</v>
      </c>
      <c r="B143" s="8" t="str">
        <f>IFERROR(__xludf.DUMMYFUNCTION("""COMPUTED_VALUE"""),"Much like rush hour in Chicago.")</f>
        <v>Much like rush hour in Chicago.</v>
      </c>
      <c r="C143" s="13" t="str">
        <f>IFERROR(__xludf.DUMMYFUNCTION("""COMPUTED_VALUE"""),"""mrvt"":{""label"":""Bumper Cars"",""extra"":""Much like rush hour in Chicago."",""sets"":""Expansion Set 3, Party Expansion 1""},")</f>
        <v>"mrvt":{"label":"Bumper Cars","extra":"Much like rush hour in Chicago.","sets":"Expansion Set 3, Party Expansion 1"},</v>
      </c>
    </row>
    <row r="144">
      <c r="A144" s="8" t="str">
        <f>IFERROR(__xludf.DUMMYFUNCTION("""COMPUTED_VALUE"""),"Bunk Beds")</f>
        <v>Bunk Beds</v>
      </c>
      <c r="B144" s="8" t="str">
        <f>IFERROR(__xludf.DUMMYFUNCTION("""COMPUTED_VALUE"""),"Two single beds, one on top of the other. I want the top!")</f>
        <v>Two single beds, one on top of the other. I want the top!</v>
      </c>
      <c r="C144" s="13" t="str">
        <f>IFERROR(__xludf.DUMMYFUNCTION("""COMPUTED_VALUE"""),"""sdzo"":{""label"":""Bunk Beds"",""extra"":""Two single beds, one on top of the other. I want the top!"",""sets"":""Junior 9+ (1st) &amp; (2nd)""},")</f>
        <v>"sdzo":{"label":"Bunk Beds","extra":"Two single beds, one on top of the other. I want the top!","sets":"Junior 9+ (1st) &amp; (2nd)"},</v>
      </c>
    </row>
    <row r="145">
      <c r="A145" s="8" t="str">
        <f>IFERROR(__xludf.DUMMYFUNCTION("""COMPUTED_VALUE"""),"Burger &amp; Fries")</f>
        <v>Burger &amp; Fries</v>
      </c>
      <c r="B145" s="8" t="str">
        <f>IFERROR(__xludf.DUMMYFUNCTION("""COMPUTED_VALUE"""),"“You want flies with that?”")</f>
        <v>“You want flies with that?”</v>
      </c>
      <c r="C145" s="13" t="str">
        <f>IFERROR(__xludf.DUMMYFUNCTION("""COMPUTED_VALUE"""),"""kmez"":{""label"":""Burger &amp; Fries"",""extra"":""“You want flies with that?”"",""sets"":""Expansion Set 4, Party Expansion 1""},")</f>
        <v>"kmez":{"label":"Burger &amp; Fries","extra":"“You want flies with that?”","sets":"Expansion Set 4, Party Expansion 1"},</v>
      </c>
    </row>
    <row r="146">
      <c r="A146" s="8" t="str">
        <f>IFERROR(__xludf.DUMMYFUNCTION("""COMPUTED_VALUE"""),"Burned Toast")</f>
        <v>Burned Toast</v>
      </c>
      <c r="B146" s="8" t="str">
        <f>IFERROR(__xludf.DUMMYFUNCTION("""COMPUTED_VALUE"""),"Want some burned bacon with that?")</f>
        <v>Want some burned bacon with that?</v>
      </c>
      <c r="C146" s="13" t="str">
        <f>IFERROR(__xludf.DUMMYFUNCTION("""COMPUTED_VALUE"""),"""eunm"":{""label"":""Burned Toast"",""extra"":""Want some burned bacon with that?"",""sets"":""Junior 9+ (1st) &amp; (2nd)""},")</f>
        <v>"eunm":{"label":"Burned Toast","extra":"Want some burned bacon with that?","sets":"Junior 9+ (1st) &amp; (2nd)"},</v>
      </c>
    </row>
    <row r="147">
      <c r="A147" s="8" t="str">
        <f>IFERROR(__xludf.DUMMYFUNCTION("""COMPUTED_VALUE"""),"Bus Drivers")</f>
        <v>Bus Drivers</v>
      </c>
      <c r="B147" s="8" t="str">
        <f>IFERROR(__xludf.DUMMYFUNCTION("""COMPUTED_VALUE"""),"Don’t bother the bus driver.")</f>
        <v>Don’t bother the bus driver.</v>
      </c>
      <c r="C147" s="13" t="str">
        <f>IFERROR(__xludf.DUMMYFUNCTION("""COMPUTED_VALUE"""),"""{wgz"":{""label"":""Bus Drivers"",""extra"":""Don’t bother the bus driver."",""sets"":""Junior 9+ (1st) &amp; (2nd)""},")</f>
        <v>"{wgz":{"label":"Bus Drivers","extra":"Don’t bother the bus driver.","sets":"Junior 9+ (1st) &amp; (2nd)"},</v>
      </c>
    </row>
    <row r="148">
      <c r="A148" s="8" t="str">
        <f>IFERROR(__xludf.DUMMYFUNCTION("""COMPUTED_VALUE"""),"Butter")</f>
        <v>Butter</v>
      </c>
      <c r="B148" s="8" t="str">
        <f>IFERROR(__xludf.DUMMYFUNCTION("""COMPUTED_VALUE"""),"What’s better than butter?")</f>
        <v>What’s better than butter?</v>
      </c>
      <c r="C148" s="13" t="str">
        <f>IFERROR(__xludf.DUMMYFUNCTION("""COMPUTED_VALUE"""),"""mrhh"":{""label"":""Butter"",""extra"":""What’s better than butter?"",""sets"":""Junior 9+ (1st) &amp; (2nd)""},")</f>
        <v>"mrhh":{"label":"Butter","extra":"What’s better than butter?","sets":"Junior 9+ (1st) &amp; (2nd)"},</v>
      </c>
    </row>
    <row r="149">
      <c r="A149" s="8" t="str">
        <f>IFERROR(__xludf.DUMMYFUNCTION("""COMPUTED_VALUE"""),"Butterflies")</f>
        <v>Butterflies</v>
      </c>
      <c r="B149" s="8" t="str">
        <f>IFERROR(__xludf.DUMMYFUNCTION("""COMPUTED_VALUE"""),"Butterflies flutter by.")</f>
        <v>Butterflies flutter by.</v>
      </c>
      <c r="C149" s="13" t="str">
        <f>IFERROR(__xludf.DUMMYFUNCTION("""COMPUTED_VALUE"""),"""uxdp"":{""label"":""Butterflies"",""extra"":""Butterflies flutter by."",""sets"":""Junior 9+ (1st) &amp; (2nd)""},")</f>
        <v>"uxdp":{"label":"Butterflies","extra":"Butterflies flutter by.","sets":"Junior 9+ (1st) &amp; (2nd)"},</v>
      </c>
    </row>
    <row r="150">
      <c r="A150" s="8" t="str">
        <f>IFERROR(__xludf.DUMMYFUNCTION("""COMPUTED_VALUE"""),"Buttons &amp; Bows")</f>
        <v>Buttons &amp; Bows</v>
      </c>
      <c r="B150" s="8" t="str">
        <f>IFERROR(__xludf.DUMMYFUNCTION("""COMPUTED_VALUE"""),"Cute as a button, or a bow.")</f>
        <v>Cute as a button, or a bow.</v>
      </c>
      <c r="C150" s="13" t="str">
        <f>IFERROR(__xludf.DUMMYFUNCTION("""COMPUTED_VALUE"""),"""{wze"":{""label"":""Buttons &amp; Bows"",""extra"":""Cute as a button, or a bow."",""sets"":""Expansion Set 4, Party Expansion 1""},")</f>
        <v>"{wze":{"label":"Buttons &amp; Bows","extra":"Cute as a button, or a bow.","sets":"Expansion Set 4, Party Expansion 1"},</v>
      </c>
    </row>
    <row r="151">
      <c r="A151" s="8" t="str">
        <f>IFERROR(__xludf.DUMMYFUNCTION("""COMPUTED_VALUE"""),"Buzz Lightyear")</f>
        <v>Buzz Lightyear</v>
      </c>
      <c r="B151" s="8" t="str">
        <f>IFERROR(__xludf.DUMMYFUNCTION("""COMPUTED_VALUE"""),"The animated star of Toy Story. “To infinity and beyond!”")</f>
        <v>The animated star of Toy Story. “To infinity and beyond!”</v>
      </c>
      <c r="C151" s="13" t="str">
        <f>IFERROR(__xludf.DUMMYFUNCTION("""COMPUTED_VALUE"""),"""jdu{"":{""label"":""Buzz Lightyear"",""extra"":""The animated star of Toy Story. “To infinity and beyond!”"",""sets"":""Junior 9+ (2nd)""},")</f>
        <v>"jdu{":{"label":"Buzz Lightyear","extra":"The animated star of Toy Story. “To infinity and beyond!”","sets":"Junior 9+ (2nd)"},</v>
      </c>
    </row>
    <row r="152">
      <c r="A152" s="8" t="str">
        <f>IFERROR(__xludf.DUMMYFUNCTION("""COMPUTED_VALUE"""),"Calvin &amp; Hobbs")</f>
        <v>Calvin &amp; Hobbs</v>
      </c>
      <c r="B152" s="8" t="str">
        <f>IFERROR(__xludf.DUMMYFUNCTION("""COMPUTED_VALUE"""),"Bill Waterson’s late, great comic strip featuring a little boy and his tiger.")</f>
        <v>Bill Waterson’s late, great comic strip featuring a little boy and his tiger.</v>
      </c>
      <c r="C152" s="13" t="str">
        <f>IFERROR(__xludf.DUMMYFUNCTION("""COMPUTED_VALUE"""),"""gqkf"":{""label"":""Calvin &amp; Hobbs"",""extra"":""Bill Waterson’s late, great comic strip featuring a little boy and his tiger."",""sets"":""Expansion Set 4, Party Expansion 1""},")</f>
        <v>"gqkf":{"label":"Calvin &amp; Hobbs","extra":"Bill Waterson’s late, great comic strip featuring a little boy and his tiger.","sets":"Expansion Set 4, Party Expansion 1"},</v>
      </c>
    </row>
    <row r="153">
      <c r="A153" s="8" t="str">
        <f>IFERROR(__xludf.DUMMYFUNCTION("""COMPUTED_VALUE"""),"Camelot")</f>
        <v>Camelot</v>
      </c>
      <c r="B153" s="8" t="str">
        <f>IFERROR(__xludf.DUMMYFUNCTION("""COMPUTED_VALUE"""),"“On second though, let’s not go to Camelot. ’Tis a silly place.” —King Arthur, Monty Python and the Holy Grail")</f>
        <v>“On second though, let’s not go to Camelot. ’Tis a silly place.” —King Arthur, Monty Python and the Holy Grail</v>
      </c>
      <c r="C153" s="13" t="str">
        <f>IFERROR(__xludf.DUMMYFUNCTION("""COMPUTED_VALUE"""),"""xxfw"":{""label"":""Camelot"",""extra"":""“On second though, let’s not go to Camelot. ’Tis a silly place.” —King Arthur, Monty Python and the Holy Grail"",""sets"":""Expansion Set 3, Party Expansion 1""},")</f>
        <v>"xxfw":{"label":"Camelot","extra":"“On second though, let’s not go to Camelot. ’Tis a silly place.” —King Arthur, Monty Python and the Holy Grail","sets":"Expansion Set 3, Party Expansion 1"},</v>
      </c>
    </row>
    <row r="154">
      <c r="A154" s="8" t="str">
        <f>IFERROR(__xludf.DUMMYFUNCTION("""COMPUTED_VALUE"""),"Camels")</f>
        <v>Camels</v>
      </c>
      <c r="B154" s="8" t="str">
        <f>IFERROR(__xludf.DUMMYFUNCTION("""COMPUTED_VALUE"""),"One hump or two?")</f>
        <v>One hump or two?</v>
      </c>
      <c r="C154" s="13" t="str">
        <f>IFERROR(__xludf.DUMMYFUNCTION("""COMPUTED_VALUE"""),"""gzke"":{""label"":""Camels"",""extra"":""One hump or two?"",""sets"":""Junior 9+ (2nd)""},")</f>
        <v>"gzke":{"label":"Camels","extra":"One hump or two?","sets":"Junior 9+ (2nd)"},</v>
      </c>
    </row>
    <row r="155">
      <c r="A155" s="8" t="str">
        <f>IFERROR(__xludf.DUMMYFUNCTION("""COMPUTED_VALUE"""),"Cameras")</f>
        <v>Cameras</v>
      </c>
      <c r="B155" s="8" t="str">
        <f>IFERROR(__xludf.DUMMYFUNCTION("""COMPUTED_VALUE"""),"“And this is a picture from our summer vacation…”")</f>
        <v>“And this is a picture from our summer vacation…”</v>
      </c>
      <c r="C155" s="13" t="str">
        <f>IFERROR(__xludf.DUMMYFUNCTION("""COMPUTED_VALUE"""),"""tiuv"":{""label"":""Cameras"",""extra"":""“And this is a picture from our summer vacation…”"",""sets"":""Junior 9+ (2nd)""},")</f>
        <v>"tiuv":{"label":"Cameras","extra":"“And this is a picture from our summer vacation…”","sets":"Junior 9+ (2nd)"},</v>
      </c>
    </row>
    <row r="156">
      <c r="A156" s="8" t="str">
        <f>IFERROR(__xludf.DUMMYFUNCTION("""COMPUTED_VALUE"""),"Campfire")</f>
        <v>Campfire</v>
      </c>
      <c r="B156" s="8" t="str">
        <f>IFERROR(__xludf.DUMMYFUNCTION("""COMPUTED_VALUE"""),"S’mores and songs. Gather ’round!")</f>
        <v>S’mores and songs. Gather ’round!</v>
      </c>
      <c r="C156" s="13" t="str">
        <f>IFERROR(__xludf.DUMMYFUNCTION("""COMPUTED_VALUE"""),"""yezo"":{""label"":""Campfire"",""extra"":""S’mores and songs. Gather ’round!"",""sets"":""Junior 9+ (2nd)""},")</f>
        <v>"yezo":{"label":"Campfire","extra":"S’mores and songs. Gather ’round!","sets":"Junior 9+ (2nd)"},</v>
      </c>
    </row>
    <row r="157">
      <c r="A157" s="8" t="str">
        <f>IFERROR(__xludf.DUMMYFUNCTION("""COMPUTED_VALUE"""),"Camping")</f>
        <v>Camping</v>
      </c>
      <c r="B157" s="8" t="str">
        <f>IFERROR(__xludf.DUMMYFUNCTION("""COMPUTED_VALUE"""),"Shhh! Did you hear that noise?")</f>
        <v>Shhh! Did you hear that noise?</v>
      </c>
      <c r="C157" s="13" t="str">
        <f>IFERROR(__xludf.DUMMYFUNCTION("""COMPUTED_VALUE"""),"""puhx"":{""label"":""Camping"",""extra"":""Shhh! Did you hear that noise?"",""sets"":""Junior 9+ (1st) &amp; (2nd)""},")</f>
        <v>"puhx":{"label":"Camping","extra":"Shhh! Did you hear that noise?","sets":"Junior 9+ (1st) &amp; (2nd)"},</v>
      </c>
    </row>
    <row r="158">
      <c r="A158" s="8" t="str">
        <f>IFERROR(__xludf.DUMMYFUNCTION("""COMPUTED_VALUE"""),"Candy")</f>
        <v>Candy</v>
      </c>
      <c r="B158" s="8" t="str">
        <f>IFERROR(__xludf.DUMMYFUNCTION("""COMPUTED_VALUE"""),"Lollipops, jelly beans, chocolates, and lots more. All the good stuff!")</f>
        <v>Lollipops, jelly beans, chocolates, and lots more. All the good stuff!</v>
      </c>
      <c r="C158" s="13" t="str">
        <f>IFERROR(__xludf.DUMMYFUNCTION("""COMPUTED_VALUE"""),"""ckce"":{""label"":""Candy"",""extra"":""Lollipops, jelly beans, chocolates, and lots more. All the good stuff!"",""sets"":""Junior""},")</f>
        <v>"ckce":{"label":"Candy","extra":"Lollipops, jelly beans, chocolates, and lots more. All the good stuff!","sets":"Junior"},</v>
      </c>
    </row>
    <row r="159">
      <c r="A159" s="8" t="str">
        <f>IFERROR(__xludf.DUMMYFUNCTION("""COMPUTED_VALUE"""),"Canoes")</f>
        <v>Canoes</v>
      </c>
      <c r="B159" s="8" t="str">
        <f>IFERROR(__xludf.DUMMYFUNCTION("""COMPUTED_VALUE"""),"Light, narrow boats. Don't stand up!")</f>
        <v>Light, narrow boats. Don't stand up!</v>
      </c>
      <c r="C159" s="13" t="str">
        <f>IFERROR(__xludf.DUMMYFUNCTION("""COMPUTED_VALUE"""),"""bevr"":{""label"":""Canoes"",""extra"":""Light, narrow boats. Don't stand up!"",""sets"":""Junior 9+ (1st) &amp; (2nd)""},")</f>
        <v>"bevr":{"label":"Canoes","extra":"Light, narrow boats. Don't stand up!","sets":"Junior 9+ (1st) &amp; (2nd)"},</v>
      </c>
    </row>
    <row r="160">
      <c r="A160" s="8" t="str">
        <f>IFERROR(__xludf.DUMMYFUNCTION("""COMPUTED_VALUE"""),"Car Crash")</f>
        <v>Car Crash</v>
      </c>
      <c r="B160" s="8" t="str">
        <f>IFERROR(__xludf.DUMMYFUNCTION("""COMPUTED_VALUE"""),"Always wear your seatbelt.")</f>
        <v>Always wear your seatbelt.</v>
      </c>
      <c r="C160" s="13" t="str">
        <f>IFERROR(__xludf.DUMMYFUNCTION("""COMPUTED_VALUE"""),"""kpel"":{""label"":""Car Crash"",""extra"":""Always wear your seatbelt."",""sets"":""Junior 9+ (1st) &amp; (2nd)""},")</f>
        <v>"kpel":{"label":"Car Crash","extra":"Always wear your seatbelt.","sets":"Junior 9+ (1st) &amp; (2nd)"},</v>
      </c>
    </row>
    <row r="161">
      <c r="A161" s="8" t="str">
        <f>IFERROR(__xludf.DUMMYFUNCTION("""COMPUTED_VALUE"""),"Card Games")</f>
        <v>Card Games</v>
      </c>
      <c r="B161" s="8" t="str">
        <f>IFERROR(__xludf.DUMMYFUNCTION("""COMPUTED_VALUE"""),"“Apples to Apples” might be fun!")</f>
        <v>“Apples to Apples” might be fun!</v>
      </c>
      <c r="C161" s="13" t="str">
        <f>IFERROR(__xludf.DUMMYFUNCTION("""COMPUTED_VALUE"""),"""fs{n"":{""label"":""Card Games"",""extra"":""“Apples to Apples” might be fun!"",""sets"":""Junior 9+ (1st) &amp; (2nd)""},")</f>
        <v>"fs{n":{"label":"Card Games","extra":"“Apples to Apples” might be fun!","sets":"Junior 9+ (1st) &amp; (2nd)"},</v>
      </c>
    </row>
    <row r="162">
      <c r="A162" s="8" t="str">
        <f>IFERROR(__xludf.DUMMYFUNCTION("""COMPUTED_VALUE"""),"Carpenters")</f>
        <v>Carpenters</v>
      </c>
      <c r="B162" s="8" t="str">
        <f>IFERROR(__xludf.DUMMYFUNCTION("""COMPUTED_VALUE"""),"Hammering and sawing- it’s just wood work.")</f>
        <v>Hammering and sawing- it’s just wood work.</v>
      </c>
      <c r="C162" s="13" t="str">
        <f>IFERROR(__xludf.DUMMYFUNCTION("""COMPUTED_VALUE"""),"""twtm"":{""label"":""Carpenters"",""extra"":""Hammering and sawing- it’s just wood work."",""sets"":""Junior 9+ (2nd)""},")</f>
        <v>"twtm":{"label":"Carpenters","extra":"Hammering and sawing- it’s just wood work.","sets":"Junior 9+ (2nd)"},</v>
      </c>
    </row>
    <row r="163">
      <c r="A163" s="8" t="str">
        <f>IFERROR(__xludf.DUMMYFUNCTION("""COMPUTED_VALUE"""),"Carrot &amp; A Stick")</f>
        <v>Carrot &amp; A Stick</v>
      </c>
      <c r="B163" s="8" t="str">
        <f>IFERROR(__xludf.DUMMYFUNCTION("""COMPUTED_VALUE"""),"The ultimate motivator… for a donkey.")</f>
        <v>The ultimate motivator… for a donkey.</v>
      </c>
      <c r="C163" s="13" t="str">
        <f>IFERROR(__xludf.DUMMYFUNCTION("""COMPUTED_VALUE"""),"""xtwx"":{""label"":""Carrot &amp; A Stick"",""extra"":""The ultimate motivator… for a donkey."",""sets"":""Expansion Set 4, Party Expansion 1""},")</f>
        <v>"xtwx":{"label":"Carrot &amp; A Stick","extra":"The ultimate motivator… for a donkey.","sets":"Expansion Set 4, Party Expansion 1"},</v>
      </c>
    </row>
    <row r="164">
      <c r="A164" s="8" t="str">
        <f>IFERROR(__xludf.DUMMYFUNCTION("""COMPUTED_VALUE"""),"Carrots")</f>
        <v>Carrots</v>
      </c>
      <c r="B164" s="8" t="str">
        <f>IFERROR(__xludf.DUMMYFUNCTION("""COMPUTED_VALUE"""),"Bugs Bunny’s favorite food.")</f>
        <v>Bugs Bunny’s favorite food.</v>
      </c>
      <c r="C164" s="13" t="str">
        <f>IFERROR(__xludf.DUMMYFUNCTION("""COMPUTED_VALUE"""),"""tydc"":{""label"":""Carrots"",""extra"":""Bugs Bunny’s favorite food."",""sets"":""Junior 9+ (1st) &amp; (2nd)""},")</f>
        <v>"tydc":{"label":"Carrots","extra":"Bugs Bunny’s favorite food.","sets":"Junior 9+ (1st) &amp; (2nd)"},</v>
      </c>
    </row>
    <row r="165">
      <c r="A165" s="8" t="str">
        <f>IFERROR(__xludf.DUMMYFUNCTION("""COMPUTED_VALUE"""),"Castles")</f>
        <v>Castles</v>
      </c>
      <c r="B165" s="8" t="str">
        <f>IFERROR(__xludf.DUMMYFUNCTION("""COMPUTED_VALUE"""),"Some have towers, dungeons and moats.")</f>
        <v>Some have towers, dungeons and moats.</v>
      </c>
      <c r="C165" s="13" t="str">
        <f>IFERROR(__xludf.DUMMYFUNCTION("""COMPUTED_VALUE"""),"""{fct"":{""label"":""Castles"",""extra"":""Some have towers, dungeons and moats."",""sets"":""Junior 9+ (1st) &amp; (2nd)""},")</f>
        <v>"{fct":{"label":"Castles","extra":"Some have towers, dungeons and moats.","sets":"Junior 9+ (1st) &amp; (2nd)"},</v>
      </c>
    </row>
    <row r="166">
      <c r="A166" s="8" t="str">
        <f>IFERROR(__xludf.DUMMYFUNCTION("""COMPUTED_VALUE"""),"Cat &amp; Mouse")</f>
        <v>Cat &amp; Mouse</v>
      </c>
      <c r="B166" s="8" t="str">
        <f>IFERROR(__xludf.DUMMYFUNCTION("""COMPUTED_VALUE"""),"It’s just a game.")</f>
        <v>It’s just a game.</v>
      </c>
      <c r="C166" s="13" t="str">
        <f>IFERROR(__xludf.DUMMYFUNCTION("""COMPUTED_VALUE"""),"""immo"":{""label"":""Cat &amp; Mouse"",""extra"":""It’s just a game."",""sets"":""Expansion Set 4, Party Expansion 1""},")</f>
        <v>"immo":{"label":"Cat &amp; Mouse","extra":"It’s just a game.","sets":"Expansion Set 4, Party Expansion 1"},</v>
      </c>
    </row>
    <row r="167">
      <c r="A167" s="8" t="str">
        <f>IFERROR(__xludf.DUMMYFUNCTION("""COMPUTED_VALUE"""),"Catfish")</f>
        <v>Catfish</v>
      </c>
      <c r="B167" s="8" t="str">
        <f>IFERROR(__xludf.DUMMYFUNCTION("""COMPUTED_VALUE"""),"Fish with feelers that look like whiskers.")</f>
        <v>Fish with feelers that look like whiskers.</v>
      </c>
      <c r="C167" s="13" t="str">
        <f>IFERROR(__xludf.DUMMYFUNCTION("""COMPUTED_VALUE"""),"""uquv"":{""label"":""Catfish"",""extra"":""Fish with feelers that look like whiskers."",""sets"":""Junior""},")</f>
        <v>"uquv":{"label":"Catfish","extra":"Fish with feelers that look like whiskers.","sets":"Junior"},</v>
      </c>
    </row>
    <row r="168">
      <c r="A168" s="8" t="str">
        <f>IFERROR(__xludf.DUMMYFUNCTION("""COMPUTED_VALUE"""),"Cats &amp; Dogs")</f>
        <v>Cats &amp; Dogs</v>
      </c>
      <c r="B168" s="8" t="str">
        <f>IFERROR(__xludf.DUMMYFUNCTION("""COMPUTED_VALUE"""),"Is it raining?")</f>
        <v>Is it raining?</v>
      </c>
      <c r="C168" s="13" t="str">
        <f>IFERROR(__xludf.DUMMYFUNCTION("""COMPUTED_VALUE"""),"""vkbn"":{""label"":""Cats &amp; Dogs"",""extra"":""Is it raining?"",""sets"":""Expansion Set 4, Party Expansion 1""},")</f>
        <v>"vkbn":{"label":"Cats &amp; Dogs","extra":"Is it raining?","sets":"Expansion Set 4, Party Expansion 1"},</v>
      </c>
    </row>
    <row r="169">
      <c r="A169" s="8" t="str">
        <f>IFERROR(__xludf.DUMMYFUNCTION("""COMPUTED_VALUE"""),"Catsup")</f>
        <v>Catsup</v>
      </c>
      <c r="B169" s="8" t="str">
        <f>IFERROR(__xludf.DUMMYFUNCTION("""COMPUTED_VALUE"""),"Catsup is made from tomatoes, onions, sugar, and spices.")</f>
        <v>Catsup is made from tomatoes, onions, sugar, and spices.</v>
      </c>
      <c r="C169" s="13" t="str">
        <f>IFERROR(__xludf.DUMMYFUNCTION("""COMPUTED_VALUE"""),"""biji"":{""label"":""Catsup"",""extra"":""Catsup is made from tomatoes, onions, sugar, and spices."",""sets"":""Junior 9+ (2nd)""},")</f>
        <v>"biji":{"label":"Catsup","extra":"Catsup is made from tomatoes, onions, sugar, and spices.","sets":"Junior 9+ (2nd)"},</v>
      </c>
    </row>
    <row r="170">
      <c r="A170" s="8" t="str">
        <f>IFERROR(__xludf.DUMMYFUNCTION("""COMPUTED_VALUE"""),"Catsup &amp; Mustard")</f>
        <v>Catsup &amp; Mustard</v>
      </c>
      <c r="B170" s="8" t="str">
        <f>IFERROR(__xludf.DUMMYFUNCTION("""COMPUTED_VALUE"""),"The salsa revolution brought down their condiment empire.")</f>
        <v>The salsa revolution brought down their condiment empire.</v>
      </c>
      <c r="C170" s="13" t="str">
        <f>IFERROR(__xludf.DUMMYFUNCTION("""COMPUTED_VALUE"""),"""xvxc"":{""label"":""Catsup &amp; Mustard"",""extra"":""The salsa revolution brought down their condiment empire."",""sets"":""Expansion Set 4, Party Expansion 1""},")</f>
        <v>"xvxc":{"label":"Catsup &amp; Mustard","extra":"The salsa revolution brought down their condiment empire.","sets":"Expansion Set 4, Party Expansion 1"},</v>
      </c>
    </row>
    <row r="171">
      <c r="A171" s="8" t="str">
        <f>IFERROR(__xludf.DUMMYFUNCTION("""COMPUTED_VALUE"""),"Cattle Ranch")</f>
        <v>Cattle Ranch</v>
      </c>
      <c r="B171" s="8" t="str">
        <f>IFERROR(__xludf.DUMMYFUNCTION("""COMPUTED_VALUE"""),"Home on the range.")</f>
        <v>Home on the range.</v>
      </c>
      <c r="C171" s="13" t="str">
        <f>IFERROR(__xludf.DUMMYFUNCTION("""COMPUTED_VALUE"""),"""ilnp"":{""label"":""Cattle Ranch"",""extra"":""Home on the range."",""sets"":""Junior 9+ (2nd)""},")</f>
        <v>"ilnp":{"label":"Cattle Ranch","extra":"Home on the range.","sets":"Junior 9+ (2nd)"},</v>
      </c>
    </row>
    <row r="172">
      <c r="A172" s="8" t="str">
        <f>IFERROR(__xludf.DUMMYFUNCTION("""COMPUTED_VALUE"""),"Cauliflower")</f>
        <v>Cauliflower</v>
      </c>
      <c r="B172" s="8" t="str">
        <f>IFERROR(__xludf.DUMMYFUNCTION("""COMPUTED_VALUE"""),"Goes down easy when it's cheesy.")</f>
        <v>Goes down easy when it's cheesy.</v>
      </c>
      <c r="C172" s="13" t="str">
        <f>IFERROR(__xludf.DUMMYFUNCTION("""COMPUTED_VALUE"""),"""nkem"":{""label"":""Cauliflower"",""extra"":""Goes down easy when it's cheesy."",""sets"":""Expansion Set 3, Party Expansion 1""},")</f>
        <v>"nkem":{"label":"Cauliflower","extra":"Goes down easy when it's cheesy.","sets":"Expansion Set 3, Party Expansion 1"},</v>
      </c>
    </row>
    <row r="173">
      <c r="A173" s="8" t="str">
        <f>IFERROR(__xludf.DUMMYFUNCTION("""COMPUTED_VALUE"""),"Caves")</f>
        <v>Caves</v>
      </c>
      <c r="B173" s="8" t="str">
        <f>IFERROR(__xludf.DUMMYFUNCTION("""COMPUTED_VALUE"""),"Dark and cool, and sometimes home to bats.")</f>
        <v>Dark and cool, and sometimes home to bats.</v>
      </c>
      <c r="C173" s="13" t="str">
        <f>IFERROR(__xludf.DUMMYFUNCTION("""COMPUTED_VALUE"""),"""wazq"":{""label"":""Caves"",""extra"":""Dark and cool, and sometimes home to bats."",""sets"":""Junior 9+ (1st) &amp; (2nd)""},")</f>
        <v>"wazq":{"label":"Caves","extra":"Dark and cool, and sometimes home to bats.","sets":"Junior 9+ (1st) &amp; (2nd)"},</v>
      </c>
    </row>
    <row r="174">
      <c r="A174" s="8" t="str">
        <f>IFERROR(__xludf.DUMMYFUNCTION("""COMPUTED_VALUE"""),"Caviar")</f>
        <v>Caviar</v>
      </c>
      <c r="B174" s="8" t="str">
        <f>IFERROR(__xludf.DUMMYFUNCTION("""COMPUTED_VALUE"""),"It's not JUST fish eggs. It’s… fish eggs… that cost a fortune…")</f>
        <v>It's not JUST fish eggs. It’s… fish eggs… that cost a fortune…</v>
      </c>
      <c r="C174" s="13" t="str">
        <f>IFERROR(__xludf.DUMMYFUNCTION("""COMPUTED_VALUE"""),"""wb{h"":{""label"":""Caviar"",""extra"":""It's not JUST fish eggs. It’s… fish eggs… that cost a fortune…"",""sets"":""Expansion Set 3, Party Expansion 1""},")</f>
        <v>"wb{h":{"label":"Caviar","extra":"It's not JUST fish eggs. It’s… fish eggs… that cost a fortune…","sets":"Expansion Set 3, Party Expansion 1"},</v>
      </c>
    </row>
    <row r="175">
      <c r="A175" s="8" t="str">
        <f>IFERROR(__xludf.DUMMYFUNCTION("""COMPUTED_VALUE"""),"Cavities")</f>
        <v>Cavities</v>
      </c>
      <c r="B175" s="8" t="str">
        <f>IFERROR(__xludf.DUMMYFUNCTION("""COMPUTED_VALUE"""),"But I did brush my teeth!")</f>
        <v>But I did brush my teeth!</v>
      </c>
      <c r="C175" s="13" t="str">
        <f>IFERROR(__xludf.DUMMYFUNCTION("""COMPUTED_VALUE"""),"""fvug"":{""label"":""Cavities"",""extra"":""But I did brush my teeth!"",""sets"":""Junior 9+ (2nd)""},")</f>
        <v>"fvug":{"label":"Cavities","extra":"But I did brush my teeth!","sets":"Junior 9+ (2nd)"},</v>
      </c>
    </row>
    <row r="176">
      <c r="A176" s="8" t="str">
        <f>IFERROR(__xludf.DUMMYFUNCTION("""COMPUTED_VALUE"""),"CD Players")</f>
        <v>CD Players</v>
      </c>
      <c r="B176" s="8" t="str">
        <f>IFERROR(__xludf.DUMMYFUNCTION("""COMPUTED_VALUE"""),"Your portable, personal stereo system.")</f>
        <v>Your portable, personal stereo system.</v>
      </c>
      <c r="C176" s="13" t="str">
        <f>IFERROR(__xludf.DUMMYFUNCTION("""COMPUTED_VALUE"""),"""nnv{"":{""label"":""CD Players"",""extra"":""Your portable, personal stereo system."",""sets"":""Junior 9+ (2nd)""},")</f>
        <v>"nnv{":{"label":"CD Players","extra":"Your portable, personal stereo system.","sets":"Junior 9+ (2nd)"},</v>
      </c>
    </row>
    <row r="177">
      <c r="A177" s="8" t="str">
        <f>IFERROR(__xludf.DUMMYFUNCTION("""COMPUTED_VALUE"""),"Cell Phones")</f>
        <v>Cell Phones</v>
      </c>
      <c r="B177" s="8" t="str">
        <f>IFERROR(__xludf.DUMMYFUNCTION("""COMPUTED_VALUE"""),"Call home if you’re going to be late.")</f>
        <v>Call home if you’re going to be late.</v>
      </c>
      <c r="C177" s="13" t="str">
        <f>IFERROR(__xludf.DUMMYFUNCTION("""COMPUTED_VALUE"""),"""jbzy"":{""label"":""Cell Phones"",""extra"":""Call home if you’re going to be late."",""sets"":""Junior 9+ (2nd)""},")</f>
        <v>"jbzy":{"label":"Cell Phones","extra":"Call home if you’re going to be late.","sets":"Junior 9+ (2nd)"},</v>
      </c>
    </row>
    <row r="178">
      <c r="A178" s="8" t="str">
        <f>IFERROR(__xludf.DUMMYFUNCTION("""COMPUTED_VALUE"""),"Chain Link Fences")</f>
        <v>Chain Link Fences</v>
      </c>
      <c r="B178" s="8" t="str">
        <f>IFERROR(__xludf.DUMMYFUNCTION("""COMPUTED_VALUE"""),"Good fences make good neighbors.")</f>
        <v>Good fences make good neighbors.</v>
      </c>
      <c r="C178" s="13" t="str">
        <f>IFERROR(__xludf.DUMMYFUNCTION("""COMPUTED_VALUE"""),"""fwmg"":{""label"":""Chain Link Fences"",""extra"":""Good fences make good neighbors."",""sets"":""Expansion Set 3, Party Expansion 1""},")</f>
        <v>"fwmg":{"label":"Chain Link Fences","extra":"Good fences make good neighbors.","sets":"Expansion Set 3, Party Expansion 1"},</v>
      </c>
    </row>
    <row r="179">
      <c r="A179" s="8" t="str">
        <f>IFERROR(__xludf.DUMMYFUNCTION("""COMPUTED_VALUE"""),"Charles &amp; Diana")</f>
        <v>Charles &amp; Diana</v>
      </c>
      <c r="B179" s="8" t="str">
        <f>IFERROR(__xludf.DUMMYFUNCTION("""COMPUTED_VALUE"""),"A right royal marriage.")</f>
        <v>A right royal marriage.</v>
      </c>
      <c r="C179" s="13" t="str">
        <f>IFERROR(__xludf.DUMMYFUNCTION("""COMPUTED_VALUE"""),"""mrtq"":{""label"":""Charles &amp; Diana"",""extra"":""A right royal marriage."",""sets"":""Expansion Set 4, Party Expansion 1""},")</f>
        <v>"mrtq":{"label":"Charles &amp; Diana","extra":"A right royal marriage.","sets":"Expansion Set 4, Party Expansion 1"},</v>
      </c>
    </row>
    <row r="180">
      <c r="A180" s="8" t="str">
        <f>IFERROR(__xludf.DUMMYFUNCTION("""COMPUTED_VALUE"""),"Charlie Brown")</f>
        <v>Charlie Brown</v>
      </c>
      <c r="B180" s="8" t="str">
        <f>IFERROR(__xludf.DUMMYFUNCTION("""COMPUTED_VALUE"""),"“Peanuts” cartoon character, friend of Linus and Lucy.")</f>
        <v>“Peanuts” cartoon character, friend of Linus and Lucy.</v>
      </c>
      <c r="C180" s="13" t="str">
        <f>IFERROR(__xludf.DUMMYFUNCTION("""COMPUTED_VALUE"""),"""jqmx"":{""label"":""Charlie Brown"",""extra"":""“Peanuts” cartoon character, friend of Linus and Lucy."",""sets"":""Junior""},")</f>
        <v>"jqmx":{"label":"Charlie Brown","extra":"“Peanuts” cartoon character, friend of Linus and Lucy.","sets":"Junior"},</v>
      </c>
    </row>
    <row r="181">
      <c r="A181" s="8" t="str">
        <f>IFERROR(__xludf.DUMMYFUNCTION("""COMPUTED_VALUE"""),"Charlotte’s Web")</f>
        <v>Charlotte’s Web</v>
      </c>
      <c r="B181" s="8" t="str">
        <f>IFERROR(__xludf.DUMMYFUNCTION("""COMPUTED_VALUE"""),"Award-winning book by E.B. White featuring Charlotte the spider, and a pig named Wilbur.")</f>
        <v>Award-winning book by E.B. White featuring Charlotte the spider, and a pig named Wilbur.</v>
      </c>
      <c r="C181" s="13" t="str">
        <f>IFERROR(__xludf.DUMMYFUNCTION("""COMPUTED_VALUE"""),"""udte"":{""label"":""Charlotte’s Web"",""extra"":""Award-winning book by E.B. White featuring Charlotte the spider, and a pig named Wilbur."",""sets"":""Junior 9+ (2nd)""},")</f>
        <v>"udte":{"label":"Charlotte’s Web","extra":"Award-winning book by E.B. White featuring Charlotte the spider, and a pig named Wilbur.","sets":"Junior 9+ (2nd)"},</v>
      </c>
    </row>
    <row r="182">
      <c r="A182" s="8" t="str">
        <f>IFERROR(__xludf.DUMMYFUNCTION("""COMPUTED_VALUE"""),"Chat Rooms")</f>
        <v>Chat Rooms</v>
      </c>
      <c r="B182" s="8" t="str">
        <f>IFERROR(__xludf.DUMMYFUNCTION("""COMPUTED_VALUE"""),"Electronic speakeasies for the information age.")</f>
        <v>Electronic speakeasies for the information age.</v>
      </c>
      <c r="C182" s="13" t="str">
        <f>IFERROR(__xludf.DUMMYFUNCTION("""COMPUTED_VALUE"""),"""vsko"":{""label"":""Chat Rooms"",""extra"":""Electronic speakeasies for the information age."",""sets"":""Expansion Set 3, Party Expansion 1""},")</f>
        <v>"vsko":{"label":"Chat Rooms","extra":"Electronic speakeasies for the information age.","sets":"Expansion Set 3, Party Expansion 1"},</v>
      </c>
    </row>
    <row r="183">
      <c r="A183" s="8" t="str">
        <f>IFERROR(__xludf.DUMMYFUNCTION("""COMPUTED_VALUE"""),"Cheerleaders")</f>
        <v>Cheerleaders</v>
      </c>
      <c r="B183" s="8" t="str">
        <f>IFERROR(__xludf.DUMMYFUNCTION("""COMPUTED_VALUE"""),"“Go, Team, Go!”")</f>
        <v>“Go, Team, Go!”</v>
      </c>
      <c r="C183" s="13" t="str">
        <f>IFERROR(__xludf.DUMMYFUNCTION("""COMPUTED_VALUE"""),"""ciuc"":{""label"":""Cheerleaders"",""extra"":""“Go, Team, Go!”"",""sets"":""Junior 9+ (1st) &amp; (2nd)""},")</f>
        <v>"ciuc":{"label":"Cheerleaders","extra":"“Go, Team, Go!”","sets":"Junior 9+ (1st) &amp; (2nd)"},</v>
      </c>
    </row>
    <row r="184">
      <c r="A184" s="8" t="str">
        <f>IFERROR(__xludf.DUMMYFUNCTION("""COMPUTED_VALUE"""),"Cheese")</f>
        <v>Cheese</v>
      </c>
      <c r="B184" s="8" t="str">
        <f>IFERROR(__xludf.DUMMYFUNCTION("""COMPUTED_VALUE"""),"Swiss cheese, American cheese, cottage cheese. Say cheese!")</f>
        <v>Swiss cheese, American cheese, cottage cheese. Say cheese!</v>
      </c>
      <c r="C184" s="13" t="str">
        <f>IFERROR(__xludf.DUMMYFUNCTION("""COMPUTED_VALUE"""),"""utat"":{""label"":""Cheese"",""extra"":""Swiss cheese, American cheese, cottage cheese. Say cheese!"",""sets"":""Junior""},")</f>
        <v>"utat":{"label":"Cheese","extra":"Swiss cheese, American cheese, cottage cheese. Say cheese!","sets":"Junior"},</v>
      </c>
    </row>
    <row r="185">
      <c r="A185" s="8" t="str">
        <f>IFERROR(__xludf.DUMMYFUNCTION("""COMPUTED_VALUE"""),"Cheese Sandwich")</f>
        <v>Cheese Sandwich</v>
      </c>
      <c r="B185" s="8" t="str">
        <f>IFERROR(__xludf.DUMMYFUNCTION("""COMPUTED_VALUE"""),"Two pieces of bread and a slice of cheese. Grill it, if you want.")</f>
        <v>Two pieces of bread and a slice of cheese. Grill it, if you want.</v>
      </c>
      <c r="C185" s="13" t="str">
        <f>IFERROR(__xludf.DUMMYFUNCTION("""COMPUTED_VALUE"""),"""drzo"":{""label"":""Cheese Sandwich"",""extra"":""Two pieces of bread and a slice of cheese. Grill it, if you want."",""sets"":""Junior 9+ (1st) &amp; (2nd)""},")</f>
        <v>"drzo":{"label":"Cheese Sandwich","extra":"Two pieces of bread and a slice of cheese. Grill it, if you want.","sets":"Junior 9+ (1st) &amp; (2nd)"},</v>
      </c>
    </row>
    <row r="186">
      <c r="A186" s="8" t="str">
        <f>IFERROR(__xludf.DUMMYFUNCTION("""COMPUTED_VALUE"""),"Cherries")</f>
        <v>Cherries</v>
      </c>
      <c r="B186" s="8" t="str">
        <f>IFERROR(__xludf.DUMMYFUNCTION("""COMPUTED_VALUE"""),"And a cherry on top!")</f>
        <v>And a cherry on top!</v>
      </c>
      <c r="C186" s="13" t="str">
        <f>IFERROR(__xludf.DUMMYFUNCTION("""COMPUTED_VALUE"""),"""vjty"":{""label"":""Cherries"",""extra"":""And a cherry on top!"",""sets"":""Junior 9+ (2nd)""},")</f>
        <v>"vjty":{"label":"Cherries","extra":"And a cherry on top!","sets":"Junior 9+ (2nd)"},</v>
      </c>
    </row>
    <row r="187">
      <c r="A187" s="8" t="str">
        <f>IFERROR(__xludf.DUMMYFUNCTION("""COMPUTED_VALUE"""),"Cherry Pie")</f>
        <v>Cherry Pie</v>
      </c>
      <c r="B187" s="8" t="str">
        <f>IFERROR(__xludf.DUMMYFUNCTION("""COMPUTED_VALUE"""),"A flaky pastry filled with cherries.")</f>
        <v>A flaky pastry filled with cherries.</v>
      </c>
      <c r="C187" s="13" t="str">
        <f>IFERROR(__xludf.DUMMYFUNCTION("""COMPUTED_VALUE"""),"""vlec"":{""label"":""Cherry Pie"",""extra"":""A flaky pastry filled with cherries."",""sets"":""Junior""},")</f>
        <v>"vlec":{"label":"Cherry Pie","extra":"A flaky pastry filled with cherries.","sets":"Junior"},</v>
      </c>
    </row>
    <row r="188">
      <c r="A188" s="8" t="str">
        <f>IFERROR(__xludf.DUMMYFUNCTION("""COMPUTED_VALUE"""),"Chewing Your Fingernails")</f>
        <v>Chewing Your Fingernails</v>
      </c>
      <c r="B188" s="8" t="str">
        <f>IFERROR(__xludf.DUMMYFUNCTION("""COMPUTED_VALUE"""),"Hungry?")</f>
        <v>Hungry?</v>
      </c>
      <c r="C188" s="13" t="str">
        <f>IFERROR(__xludf.DUMMYFUNCTION("""COMPUTED_VALUE"""),"""gxzs"":{""label"":""Chewing Your Fingernails"",""extra"":""Hungry?"",""sets"":""Junior 9+ (2nd)""},")</f>
        <v>"gxzs":{"label":"Chewing Your Fingernails","extra":"Hungry?","sets":"Junior 9+ (2nd)"},</v>
      </c>
    </row>
    <row r="189">
      <c r="A189" s="8" t="str">
        <f>IFERROR(__xludf.DUMMYFUNCTION("""COMPUTED_VALUE"""),"Chicken Nuggets")</f>
        <v>Chicken Nuggets</v>
      </c>
      <c r="B189" s="8" t="str">
        <f>IFERROR(__xludf.DUMMYFUNCTION("""COMPUTED_VALUE"""),"Bite-sized pieces of fried chicken. Finger food!")</f>
        <v>Bite-sized pieces of fried chicken. Finger food!</v>
      </c>
      <c r="C189" s="13" t="str">
        <f>IFERROR(__xludf.DUMMYFUNCTION("""COMPUTED_VALUE"""),"""kekq"":{""label"":""Chicken Nuggets"",""extra"":""Bite-sized pieces of fried chicken. Finger food!"",""sets"":""Junior 9+ (2nd)""},")</f>
        <v>"kekq":{"label":"Chicken Nuggets","extra":"Bite-sized pieces of fried chicken. Finger food!","sets":"Junior 9+ (2nd)"},</v>
      </c>
    </row>
    <row r="190">
      <c r="A190" s="8" t="str">
        <f>IFERROR(__xludf.DUMMYFUNCTION("""COMPUTED_VALUE"""),"Chicken Pox")</f>
        <v>Chicken Pox</v>
      </c>
      <c r="B190" s="8" t="str">
        <f>IFERROR(__xludf.DUMMYFUNCTION("""COMPUTED_VALUE"""),"An illness that comes with a fever and itchy red bumps. Don’t scratch!")</f>
        <v>An illness that comes with a fever and itchy red bumps. Don’t scratch!</v>
      </c>
      <c r="C190" s="13" t="str">
        <f>IFERROR(__xludf.DUMMYFUNCTION("""COMPUTED_VALUE"""),"""iyhj"":{""label"":""Chicken Pox"",""extra"":""An illness that comes with a fever and itchy red bumps. Don’t scratch!"",""sets"":""Junior 9+ (1st) &amp; (2nd)""},")</f>
        <v>"iyhj":{"label":"Chicken Pox","extra":"An illness that comes with a fever and itchy red bumps. Don’t scratch!","sets":"Junior 9+ (1st) &amp; (2nd)"},</v>
      </c>
    </row>
    <row r="191">
      <c r="A191" s="8" t="str">
        <f>IFERROR(__xludf.DUMMYFUNCTION("""COMPUTED_VALUE"""),"Chickens")</f>
        <v>Chickens</v>
      </c>
      <c r="B191" s="8" t="str">
        <f>IFERROR(__xludf.DUMMYFUNCTION("""COMPUTED_VALUE"""),"Hens and roosters. Cluck-cluck, cock-a-doodle-do!")</f>
        <v>Hens and roosters. Cluck-cluck, cock-a-doodle-do!</v>
      </c>
      <c r="C191" s="13" t="str">
        <f>IFERROR(__xludf.DUMMYFUNCTION("""COMPUTED_VALUE"""),"""wovb"":{""label"":""Chickens"",""extra"":""Hens and roosters. Cluck-cluck, cock-a-doodle-do!"",""sets"":""Junior""},")</f>
        <v>"wovb":{"label":"Chickens","extra":"Hens and roosters. Cluck-cluck, cock-a-doodle-do!","sets":"Junior"},</v>
      </c>
    </row>
    <row r="192">
      <c r="A192" s="8" t="str">
        <f>IFERROR(__xludf.DUMMYFUNCTION("""COMPUTED_VALUE"""),"China")</f>
        <v>China</v>
      </c>
      <c r="B192" s="8" t="str">
        <f>IFERROR(__xludf.DUMMYFUNCTION("""COMPUTED_VALUE"""),"There are over one billion people living in the People’s Republic of China.")</f>
        <v>There are over one billion people living in the People’s Republic of China.</v>
      </c>
      <c r="C192" s="13" t="str">
        <f>IFERROR(__xludf.DUMMYFUNCTION("""COMPUTED_VALUE"""),"""fjtp"":{""label"":""China"",""extra"":""There are over one billion people living in the People’s Republic of China."",""sets"":""Junior 9+ (2nd)""},")</f>
        <v>"fjtp":{"label":"China","extra":"There are over one billion people living in the People’s Republic of China.","sets":"Junior 9+ (2nd)"},</v>
      </c>
    </row>
    <row r="193">
      <c r="A193" s="8" t="str">
        <f>IFERROR(__xludf.DUMMYFUNCTION("""COMPUTED_VALUE"""),"Chips &amp; Dip")</f>
        <v>Chips &amp; Dip</v>
      </c>
      <c r="B193" s="8" t="str">
        <f>IFERROR(__xludf.DUMMYFUNCTION("""COMPUTED_VALUE"""),"No double dipping!")</f>
        <v>No double dipping!</v>
      </c>
      <c r="C193" s="13" t="str">
        <f>IFERROR(__xludf.DUMMYFUNCTION("""COMPUTED_VALUE"""),"""zsmw"":{""label"":""Chips &amp; Dip"",""extra"":""No double dipping!"",""sets"":""Expansion Set 4, Party Expansion 1""},")</f>
        <v>"zsmw":{"label":"Chips &amp; Dip","extra":"No double dipping!","sets":"Expansion Set 4, Party Expansion 1"},</v>
      </c>
    </row>
    <row r="194">
      <c r="A194" s="8" t="str">
        <f>IFERROR(__xludf.DUMMYFUNCTION("""COMPUTED_VALUE"""),"Chips &amp; Salsa")</f>
        <v>Chips &amp; Salsa</v>
      </c>
      <c r="B194" s="8" t="str">
        <f>IFERROR(__xludf.DUMMYFUNCTION("""COMPUTED_VALUE"""),"Nacho average snack!")</f>
        <v>Nacho average snack!</v>
      </c>
      <c r="C194" s="13" t="str">
        <f>IFERROR(__xludf.DUMMYFUNCTION("""COMPUTED_VALUE"""),"""sxpp"":{""label"":""Chips &amp; Salsa"",""extra"":""Nacho average snack!"",""sets"":""Expansion Set 4, Party Expansion 1""},")</f>
        <v>"sxpp":{"label":"Chips &amp; Salsa","extra":"Nacho average snack!","sets":"Expansion Set 4, Party Expansion 1"},</v>
      </c>
    </row>
    <row r="195">
      <c r="A195" s="8" t="str">
        <f>IFERROR(__xludf.DUMMYFUNCTION("""COMPUTED_VALUE"""),"Chocolate Milk")</f>
        <v>Chocolate Milk</v>
      </c>
      <c r="B195" s="8" t="str">
        <f>IFERROR(__xludf.DUMMYFUNCTION("""COMPUTED_VALUE"""),"Good for you and tastes good too!")</f>
        <v>Good for you and tastes good too!</v>
      </c>
      <c r="C195" s="13" t="str">
        <f>IFERROR(__xludf.DUMMYFUNCTION("""COMPUTED_VALUE"""),"""pctg"":{""label"":""Chocolate Milk"",""extra"":""Good for you and tastes good too!"",""sets"":""Junior 9+ (1st) &amp; (2nd)""},")</f>
        <v>"pctg":{"label":"Chocolate Milk","extra":"Good for you and tastes good too!","sets":"Junior 9+ (1st) &amp; (2nd)"},</v>
      </c>
    </row>
    <row r="196">
      <c r="A196" s="8" t="str">
        <f>IFERROR(__xludf.DUMMYFUNCTION("""COMPUTED_VALUE"""),"Chopsticks")</f>
        <v>Chopsticks</v>
      </c>
      <c r="B196" s="8" t="str">
        <f>IFERROR(__xludf.DUMMYFUNCTION("""COMPUTED_VALUE"""),"A pair of small, slender sticks used for eating. Just try eating peas.")</f>
        <v>A pair of small, slender sticks used for eating. Just try eating peas.</v>
      </c>
      <c r="C196" s="13" t="str">
        <f>IFERROR(__xludf.DUMMYFUNCTION("""COMPUTED_VALUE"""),"""buhm"":{""label"":""Chopsticks"",""extra"":""A pair of small, slender sticks used for eating. Just try eating peas."",""sets"":""Junior 9+ (2nd)""},")</f>
        <v>"buhm":{"label":"Chopsticks","extra":"A pair of small, slender sticks used for eating. Just try eating peas.","sets":"Junior 9+ (2nd)"},</v>
      </c>
    </row>
    <row r="197">
      <c r="A197" s="8" t="str">
        <f>IFERROR(__xludf.DUMMYFUNCTION("""COMPUTED_VALUE"""),"Christmas")</f>
        <v>Christmas</v>
      </c>
      <c r="B197" s="8" t="str">
        <f>IFERROR(__xludf.DUMMYFUNCTION("""COMPUTED_VALUE"""),"December 25th, a Christian holiday that is celebrated around the world.")</f>
        <v>December 25th, a Christian holiday that is celebrated around the world.</v>
      </c>
      <c r="C197" s="13" t="str">
        <f>IFERROR(__xludf.DUMMYFUNCTION("""COMPUTED_VALUE"""),"""ykxv"":{""label"":""Christmas"",""extra"":""December 25th, a Christian holiday that is celebrated around the world."",""sets"":""Junior""},")</f>
        <v>"ykxv":{"label":"Christmas","extra":"December 25th, a Christian holiday that is celebrated around the world.","sets":"Junior"},</v>
      </c>
    </row>
    <row r="198">
      <c r="A198" s="8" t="str">
        <f>IFERROR(__xludf.DUMMYFUNCTION("""COMPUTED_VALUE"""),"Churches")</f>
        <v>Churches</v>
      </c>
      <c r="B198" s="8" t="str">
        <f>IFERROR(__xludf.DUMMYFUNCTION("""COMPUTED_VALUE"""),"“Here is the church, and here is the steeple…”")</f>
        <v>“Here is the church, and here is the steeple…”</v>
      </c>
      <c r="C198" s="13" t="str">
        <f>IFERROR(__xludf.DUMMYFUNCTION("""COMPUTED_VALUE"""),"""wfyi"":{""label"":""Churches"",""extra"":""“Here is the church, and here is the steeple…”"",""sets"":""Junior 9+ (2nd)""},")</f>
        <v>"wfyi":{"label":"Churches","extra":"“Here is the church, and here is the steeple…”","sets":"Junior 9+ (2nd)"},</v>
      </c>
    </row>
    <row r="199">
      <c r="A199" s="8" t="str">
        <f>IFERROR(__xludf.DUMMYFUNCTION("""COMPUTED_VALUE"""),"Chutes &amp; Ladders")</f>
        <v>Chutes &amp; Ladders</v>
      </c>
      <c r="B199" s="8" t="str">
        <f>IFERROR(__xludf.DUMMYFUNCTION("""COMPUTED_VALUE"""),"A game of ups and downs.")</f>
        <v>A game of ups and downs.</v>
      </c>
      <c r="C199" s="13" t="str">
        <f>IFERROR(__xludf.DUMMYFUNCTION("""COMPUTED_VALUE"""),"""qhee"":{""label"":""Chutes &amp; Ladders"",""extra"":""A game of ups and downs."",""sets"":""Expansion Set 4, Party Expansion 1""},")</f>
        <v>"qhee":{"label":"Chutes &amp; Ladders","extra":"A game of ups and downs.","sets":"Expansion Set 4, Party Expansion 1"},</v>
      </c>
    </row>
    <row r="200">
      <c r="A200" s="8" t="str">
        <f>IFERROR(__xludf.DUMMYFUNCTION("""COMPUTED_VALUE"""),"Cinderella")</f>
        <v>Cinderella</v>
      </c>
      <c r="B200" s="8" t="str">
        <f>IFERROR(__xludf.DUMMYFUNCTION("""COMPUTED_VALUE"""),"A storybook character who is helped by her fairy godmother. Bibbidi-bobbidi-boo!")</f>
        <v>A storybook character who is helped by her fairy godmother. Bibbidi-bobbidi-boo!</v>
      </c>
      <c r="C200" s="13" t="str">
        <f>IFERROR(__xludf.DUMMYFUNCTION("""COMPUTED_VALUE"""),"""qadr"":{""label"":""Cinderella"",""extra"":""A storybook character who is helped by her fairy godmother. Bibbidi-bobbidi-boo!"",""sets"":""Junior""},")</f>
        <v>"qadr":{"label":"Cinderella","extra":"A storybook character who is helped by her fairy godmother. Bibbidi-bobbidi-boo!","sets":"Junior"},</v>
      </c>
    </row>
    <row r="201">
      <c r="A201" s="8" t="str">
        <f>IFERROR(__xludf.DUMMYFUNCTION("""COMPUTED_VALUE"""),"Circus Peanuts")</f>
        <v>Circus Peanuts</v>
      </c>
      <c r="B201" s="8" t="str">
        <f>IFERROR(__xludf.DUMMYFUNCTION("""COMPUTED_VALUE"""),"Chewy, orange marshmallow things shaped like peanuts. Seldom found at the circus.")</f>
        <v>Chewy, orange marshmallow things shaped like peanuts. Seldom found at the circus.</v>
      </c>
      <c r="C201" s="13" t="str">
        <f>IFERROR(__xludf.DUMMYFUNCTION("""COMPUTED_VALUE"""),"""banc"":{""label"":""Circus Peanuts"",""extra"":""Chewy, orange marshmallow things shaped like peanuts. Seldom found at the circus."",""sets"":""Expansion Set 3, Party Expansion 1""},")</f>
        <v>"banc":{"label":"Circus Peanuts","extra":"Chewy, orange marshmallow things shaped like peanuts. Seldom found at the circus.","sets":"Expansion Set 3, Party Expansion 1"},</v>
      </c>
    </row>
    <row r="202">
      <c r="A202" s="8" t="str">
        <f>IFERROR(__xludf.DUMMYFUNCTION("""COMPUTED_VALUE"""),"Clay")</f>
        <v>Clay</v>
      </c>
      <c r="B202" s="8" t="str">
        <f>IFERROR(__xludf.DUMMYFUNCTION("""COMPUTED_VALUE"""),"The oven where pottery is hardened is called a kiln.")</f>
        <v>The oven where pottery is hardened is called a kiln.</v>
      </c>
      <c r="C202" s="13" t="str">
        <f>IFERROR(__xludf.DUMMYFUNCTION("""COMPUTED_VALUE"""),"""mxic"":{""label"":""Clay"",""extra"":""The oven where pottery is hardened is called a kiln."",""sets"":""Junior 9+ (1st) &amp; (2nd)""},")</f>
        <v>"mxic":{"label":"Clay","extra":"The oven where pottery is hardened is called a kiln.","sets":"Junior 9+ (1st) &amp; (2nd)"},</v>
      </c>
    </row>
    <row r="203">
      <c r="A203" s="8" t="str">
        <f>IFERROR(__xludf.DUMMYFUNCTION("""COMPUTED_VALUE"""),"Cleaning Your Room")</f>
        <v>Cleaning Your Room</v>
      </c>
      <c r="B203" s="8" t="str">
        <f>IFERROR(__xludf.DUMMYFUNCTION("""COMPUTED_VALUE"""),"It’s no fun, but you have to do it.")</f>
        <v>It’s no fun, but you have to do it.</v>
      </c>
      <c r="C203" s="13" t="str">
        <f>IFERROR(__xludf.DUMMYFUNCTION("""COMPUTED_VALUE"""),"""qrqh"":{""label"":""Cleaning Your Room"",""extra"":""It’s no fun, but you have to do it."",""sets"":""Junior""},")</f>
        <v>"qrqh":{"label":"Cleaning Your Room","extra":"It’s no fun, but you have to do it.","sets":"Junior"},</v>
      </c>
    </row>
    <row r="204">
      <c r="A204" s="8" t="str">
        <f>IFERROR(__xludf.DUMMYFUNCTION("""COMPUTED_VALUE"""),"Climbing A Ladder")</f>
        <v>Climbing A Ladder</v>
      </c>
      <c r="B204" s="8" t="str">
        <f>IFERROR(__xludf.DUMMYFUNCTION("""COMPUTED_VALUE"""),"Don’t look down!")</f>
        <v>Don’t look down!</v>
      </c>
      <c r="C204" s="13" t="str">
        <f>IFERROR(__xludf.DUMMYFUNCTION("""COMPUTED_VALUE"""),"""kfui"":{""label"":""Climbing A Ladder"",""extra"":""Don’t look down!"",""sets"":""Junior 9+ (1st) &amp; (2nd)""},")</f>
        <v>"kfui":{"label":"Climbing A Ladder","extra":"Don’t look down!","sets":"Junior 9+ (1st) &amp; (2nd)"},</v>
      </c>
    </row>
    <row r="205">
      <c r="A205" s="8" t="str">
        <f>IFERROR(__xludf.DUMMYFUNCTION("""COMPUTED_VALUE"""),"Climbing A Tree")</f>
        <v>Climbing A Tree</v>
      </c>
      <c r="B205" s="8" t="str">
        <f>IFERROR(__xludf.DUMMYFUNCTION("""COMPUTED_VALUE"""),"Don’t go out on a limb!")</f>
        <v>Don’t go out on a limb!</v>
      </c>
      <c r="C205" s="13" t="str">
        <f>IFERROR(__xludf.DUMMYFUNCTION("""COMPUTED_VALUE"""),"""omis"":{""label"":""Climbing A Tree"",""extra"":""Don’t go out on a limb!"",""sets"":""Junior 9+ (2nd)""},")</f>
        <v>"omis":{"label":"Climbing A Tree","extra":"Don’t go out on a limb!","sets":"Junior 9+ (2nd)"},</v>
      </c>
    </row>
    <row r="206">
      <c r="A206" s="8" t="str">
        <f>IFERROR(__xludf.DUMMYFUNCTION("""COMPUTED_VALUE"""),"Clouds")</f>
        <v>Clouds</v>
      </c>
      <c r="B206" s="8" t="str">
        <f>IFERROR(__xludf.DUMMYFUNCTION("""COMPUTED_VALUE"""),"I see an elephant! And that one looks like a rabbit.")</f>
        <v>I see an elephant! And that one looks like a rabbit.</v>
      </c>
      <c r="C206" s="13" t="str">
        <f>IFERROR(__xludf.DUMMYFUNCTION("""COMPUTED_VALUE"""),"""zptq"":{""label"":""Clouds"",""extra"":""I see an elephant! And that one looks like a rabbit."",""sets"":""Junior 9+ (1st) &amp; (2nd)""},")</f>
        <v>"zptq":{"label":"Clouds","extra":"I see an elephant! And that one looks like a rabbit.","sets":"Junior 9+ (1st) &amp; (2nd)"},</v>
      </c>
    </row>
    <row r="207">
      <c r="A207" s="8" t="str">
        <f>IFERROR(__xludf.DUMMYFUNCTION("""COMPUTED_VALUE"""),"Clowns")</f>
        <v>Clowns</v>
      </c>
      <c r="B207" s="8" t="str">
        <f>IFERROR(__xludf.DUMMYFUNCTION("""COMPUTED_VALUE"""),"They often dress in silly outfits and paint their faces!")</f>
        <v>They often dress in silly outfits and paint their faces!</v>
      </c>
      <c r="C207" s="13" t="str">
        <f>IFERROR(__xludf.DUMMYFUNCTION("""COMPUTED_VALUE"""),"""llen"":{""label"":""Clowns"",""extra"":""They often dress in silly outfits and paint their faces!"",""sets"":""Junior""},")</f>
        <v>"llen":{"label":"Clowns","extra":"They often dress in silly outfits and paint their faces!","sets":"Junior"},</v>
      </c>
    </row>
    <row r="208">
      <c r="A208" s="8" t="str">
        <f>IFERROR(__xludf.DUMMYFUNCTION("""COMPUTED_VALUE"""),"Cockles &amp; Mussels")</f>
        <v>Cockles &amp; Mussels</v>
      </c>
      <c r="B208" s="8" t="str">
        <f>IFERROR(__xludf.DUMMYFUNCTION("""COMPUTED_VALUE"""),"“Alive--alive-o!” I think I just lost my appetite.")</f>
        <v>“Alive--alive-o!” I think I just lost my appetite.</v>
      </c>
      <c r="C208" s="13" t="str">
        <f>IFERROR(__xludf.DUMMYFUNCTION("""COMPUTED_VALUE"""),"""qpkw"":{""label"":""Cockles &amp; Mussels"",""extra"":""“Alive--alive-o!” I think I just lost my appetite."",""sets"":""Expansion Set 4, Party Expansion 1""},")</f>
        <v>"qpkw":{"label":"Cockles &amp; Mussels","extra":"“Alive--alive-o!” I think I just lost my appetite.","sets":"Expansion Set 4, Party Expansion 1"},</v>
      </c>
    </row>
    <row r="209">
      <c r="A209" s="8" t="str">
        <f>IFERROR(__xludf.DUMMYFUNCTION("""COMPUTED_VALUE"""),"Coffee")</f>
        <v>Coffee</v>
      </c>
      <c r="B209" s="8" t="str">
        <f>IFERROR(__xludf.DUMMYFUNCTION("""COMPUTED_VALUE"""),"Two-thirds of the world's coffee beans are grown in Central and Southern America.")</f>
        <v>Two-thirds of the world's coffee beans are grown in Central and Southern America.</v>
      </c>
      <c r="C209" s="13" t="str">
        <f>IFERROR(__xludf.DUMMYFUNCTION("""COMPUTED_VALUE"""),"""dway"":{""label"":""Coffee"",""extra"":""Two-thirds of the world's coffee beans are grown in Central and Southern America."",""sets"":""Junior 9+ (1st) &amp; (2nd)""},")</f>
        <v>"dway":{"label":"Coffee","extra":"Two-thirds of the world's coffee beans are grown in Central and Southern America.","sets":"Junior 9+ (1st) &amp; (2nd)"},</v>
      </c>
    </row>
    <row r="210">
      <c r="A210" s="8" t="str">
        <f>IFERROR(__xludf.DUMMYFUNCTION("""COMPUTED_VALUE"""),"Colin Powell")</f>
        <v>Colin Powell</v>
      </c>
      <c r="B210" s="8" t="str">
        <f>IFERROR(__xludf.DUMMYFUNCTION("""COMPUTED_VALUE"""),"1937-, U.S. Secretary of State and Chairman of the Join Chiefs of Staff during the Gulf War. We’d give him four stars.")</f>
        <v>1937-, U.S. Secretary of State and Chairman of the Join Chiefs of Staff during the Gulf War. We’d give him four stars.</v>
      </c>
      <c r="C210" s="13" t="str">
        <f>IFERROR(__xludf.DUMMYFUNCTION("""COMPUTED_VALUE"""),"""yqcw"":{""label"":""Colin Powell"",""extra"":""1937-, U.S. Secretary of State and Chairman of the Join Chiefs of Staff during the Gulf War. We’d give him four stars."",""sets"":""Expansion Set 3, Party Expansion 1""},")</f>
        <v>"yqcw":{"label":"Colin Powell","extra":"1937-, U.S. Secretary of State and Chairman of the Join Chiefs of Staff during the Gulf War. We’d give him four stars.","sets":"Expansion Set 3, Party Expansion 1"},</v>
      </c>
    </row>
    <row r="211">
      <c r="A211" s="8" t="str">
        <f>IFERROR(__xludf.DUMMYFUNCTION("""COMPUTED_VALUE"""),"Collection Shells")</f>
        <v>Collection Shells</v>
      </c>
      <c r="B211" s="8" t="str">
        <f>IFERROR(__xludf.DUMMYFUNCTION("""COMPUTED_VALUE"""),"She sells seashells by the seashore.")</f>
        <v>She sells seashells by the seashore.</v>
      </c>
      <c r="C211" s="13" t="str">
        <f>IFERROR(__xludf.DUMMYFUNCTION("""COMPUTED_VALUE"""),"""zcyt"":{""label"":""Collection Shells"",""extra"":""She sells seashells by the seashore."",""sets"":""Junior 9+ (1st) &amp; (2nd)""},")</f>
        <v>"zcyt":{"label":"Collection Shells","extra":"She sells seashells by the seashore.","sets":"Junior 9+ (1st) &amp; (2nd)"},</v>
      </c>
    </row>
    <row r="212">
      <c r="A212" s="8" t="str">
        <f>IFERROR(__xludf.DUMMYFUNCTION("""COMPUTED_VALUE"""),"Comic Books")</f>
        <v>Comic Books</v>
      </c>
      <c r="B212" s="8" t="str">
        <f>IFERROR(__xludf.DUMMYFUNCTION("""COMPUTED_VALUE"""),"THIS looks like a job for… somebody who draws Superman!")</f>
        <v>THIS looks like a job for… somebody who draws Superman!</v>
      </c>
      <c r="C212" s="13" t="str">
        <f>IFERROR(__xludf.DUMMYFUNCTION("""COMPUTED_VALUE"""),"""hbfu"":{""label"":""Comic Books"",""extra"":""THIS looks like a job for… somebody who draws Superman!"",""sets"":""Expansion Set 3, Party Expansion 1""},")</f>
        <v>"hbfu":{"label":"Comic Books","extra":"THIS looks like a job for… somebody who draws Superman!","sets":"Expansion Set 3, Party Expansion 1"},</v>
      </c>
    </row>
    <row r="213">
      <c r="A213" s="8" t="str">
        <f>IFERROR(__xludf.DUMMYFUNCTION("""COMPUTED_VALUE"""),"Computers")</f>
        <v>Computers</v>
      </c>
      <c r="B213" s="8" t="str">
        <f>IFERROR(__xludf.DUMMYFUNCTION("""COMPUTED_VALUE"""),"Great for games, homework, and e-mail.")</f>
        <v>Great for games, homework, and e-mail.</v>
      </c>
      <c r="C213" s="13" t="str">
        <f>IFERROR(__xludf.DUMMYFUNCTION("""COMPUTED_VALUE"""),"""ftfe"":{""label"":""Computers"",""extra"":""Great for games, homework, and e-mail."",""sets"":""Junior 9+ (1st) &amp; (2nd)""},")</f>
        <v>"ftfe":{"label":"Computers","extra":"Great for games, homework, and e-mail.","sets":"Junior 9+ (1st) &amp; (2nd)"},</v>
      </c>
    </row>
    <row r="214">
      <c r="A214" s="8" t="str">
        <f>IFERROR(__xludf.DUMMYFUNCTION("""COMPUTED_VALUE"""),"Convenience Stores")</f>
        <v>Convenience Stores</v>
      </c>
      <c r="B214" s="8" t="str">
        <f>IFERROR(__xludf.DUMMYFUNCTION("""COMPUTED_VALUE"""),"“Thank you come again.”")</f>
        <v>“Thank you come again.”</v>
      </c>
      <c r="C214" s="13" t="str">
        <f>IFERROR(__xludf.DUMMYFUNCTION("""COMPUTED_VALUE"""),"""zsol"":{""label"":""Convenience Stores"",""extra"":""“Thank you come again.”"",""sets"":""Expansion Set 3, Party Expansion 1""},")</f>
        <v>"zsol":{"label":"Convenience Stores","extra":"“Thank you come again.”","sets":"Expansion Set 3, Party Expansion 1"},</v>
      </c>
    </row>
    <row r="215">
      <c r="A215" s="8" t="str">
        <f>IFERROR(__xludf.DUMMYFUNCTION("""COMPUTED_VALUE"""),"Cookies")</f>
        <v>Cookies</v>
      </c>
      <c r="B215" s="8" t="str">
        <f>IFERROR(__xludf.DUMMYFUNCTION("""COMPUTED_VALUE"""),"Chocolate chip, oatmeal, sugar or peanut butter.")</f>
        <v>Chocolate chip, oatmeal, sugar or peanut butter.</v>
      </c>
      <c r="C215" s="13" t="str">
        <f>IFERROR(__xludf.DUMMYFUNCTION("""COMPUTED_VALUE"""),"""zphy"":{""label"":""Cookies"",""extra"":""Chocolate chip, oatmeal, sugar or peanut butter."",""sets"":""Junior 9+ (1st) &amp; (2nd)""},")</f>
        <v>"zphy":{"label":"Cookies","extra":"Chocolate chip, oatmeal, sugar or peanut butter.","sets":"Junior 9+ (1st) &amp; (2nd)"},</v>
      </c>
    </row>
    <row r="216">
      <c r="A216" s="8" t="str">
        <f>IFERROR(__xludf.DUMMYFUNCTION("""COMPUTED_VALUE"""),"Cooking Dinner")</f>
        <v>Cooking Dinner</v>
      </c>
      <c r="B216" s="8" t="str">
        <f>IFERROR(__xludf.DUMMYFUNCTION("""COMPUTED_VALUE"""),"What’s for dinner?")</f>
        <v>What’s for dinner?</v>
      </c>
      <c r="C216" s="13" t="str">
        <f>IFERROR(__xludf.DUMMYFUNCTION("""COMPUTED_VALUE"""),"""ufie"":{""label"":""Cooking Dinner"",""extra"":""What’s for dinner?"",""sets"":""Junior 9+ (1st) &amp; (2nd)""},")</f>
        <v>"ufie":{"label":"Cooking Dinner","extra":"What’s for dinner?","sets":"Junior 9+ (1st) &amp; (2nd)"},</v>
      </c>
    </row>
    <row r="217">
      <c r="A217" s="8" t="str">
        <f>IFERROR(__xludf.DUMMYFUNCTION("""COMPUTED_VALUE"""),"Cops &amp; Robbers")</f>
        <v>Cops &amp; Robbers</v>
      </c>
      <c r="B217" s="8" t="str">
        <f>IFERROR(__xludf.DUMMYFUNCTION("""COMPUTED_VALUE"""),"When fighting crime was just child’s play.")</f>
        <v>When fighting crime was just child’s play.</v>
      </c>
      <c r="C217" s="13" t="str">
        <f>IFERROR(__xludf.DUMMYFUNCTION("""COMPUTED_VALUE"""),"""fkjb"":{""label"":""Cops &amp; Robbers"",""extra"":""When fighting crime was just child’s play."",""sets"":""Expansion Set 4, Party Expansion 1""},")</f>
        <v>"fkjb":{"label":"Cops &amp; Robbers","extra":"When fighting crime was just child’s play.","sets":"Expansion Set 4, Party Expansion 1"},</v>
      </c>
    </row>
    <row r="218">
      <c r="A218" s="8" t="str">
        <f>IFERROR(__xludf.DUMMYFUNCTION("""COMPUTED_VALUE"""),"Coral Reef")</f>
        <v>Coral Reef</v>
      </c>
      <c r="B218" s="8" t="str">
        <f>IFERROR(__xludf.DUMMYFUNCTION("""COMPUTED_VALUE"""),"Composed of the skeletons of marine organisms. Home to lots of tropical fish.")</f>
        <v>Composed of the skeletons of marine organisms. Home to lots of tropical fish.</v>
      </c>
      <c r="C218" s="13" t="str">
        <f>IFERROR(__xludf.DUMMYFUNCTION("""COMPUTED_VALUE"""),"""vskb"":{""label"":""Coral Reef"",""extra"":""Composed of the skeletons of marine organisms. Home to lots of tropical fish."",""sets"":""Junior 9+ (2nd)""},")</f>
        <v>"vskb":{"label":"Coral Reef","extra":"Composed of the skeletons of marine organisms. Home to lots of tropical fish.","sets":"Junior 9+ (2nd)"},</v>
      </c>
    </row>
    <row r="219">
      <c r="A219" s="8" t="str">
        <f>IFERROR(__xludf.DUMMYFUNCTION("""COMPUTED_VALUE"""),"Corn Fields")</f>
        <v>Corn Fields</v>
      </c>
      <c r="B219" s="8" t="str">
        <f>IFERROR(__xludf.DUMMYFUNCTION("""COMPUTED_VALUE"""),"Knee high by the Fourth of July.")</f>
        <v>Knee high by the Fourth of July.</v>
      </c>
      <c r="C219" s="13" t="str">
        <f>IFERROR(__xludf.DUMMYFUNCTION("""COMPUTED_VALUE"""),"""koqn"":{""label"":""Corn Fields"",""extra"":""Knee high by the Fourth of July."",""sets"":""Expansion Set 3, Party Expansion 1""},")</f>
        <v>"koqn":{"label":"Corn Fields","extra":"Knee high by the Fourth of July.","sets":"Expansion Set 3, Party Expansion 1"},</v>
      </c>
    </row>
    <row r="220">
      <c r="A220" s="8" t="str">
        <f>IFERROR(__xludf.DUMMYFUNCTION("""COMPUTED_VALUE"""),"Corn Flakes")</f>
        <v>Corn Flakes</v>
      </c>
      <c r="B220" s="8" t="str">
        <f>IFERROR(__xludf.DUMMYFUNCTION("""COMPUTED_VALUE"""),"Eat them fast or they’ll get soggy.")</f>
        <v>Eat them fast or they’ll get soggy.</v>
      </c>
      <c r="C220" s="13" t="str">
        <f>IFERROR(__xludf.DUMMYFUNCTION("""COMPUTED_VALUE"""),"""icyv"":{""label"":""Corn Flakes"",""extra"":""Eat them fast or they’ll get soggy."",""sets"":""Junior 9+ (1st) &amp; (2nd)""},")</f>
        <v>"icyv":{"label":"Corn Flakes","extra":"Eat them fast or they’ll get soggy.","sets":"Junior 9+ (1st) &amp; (2nd)"},</v>
      </c>
    </row>
    <row r="221">
      <c r="A221" s="8" t="str">
        <f>IFERROR(__xludf.DUMMYFUNCTION("""COMPUTED_VALUE"""),"Corn On The Cob")</f>
        <v>Corn On The Cob</v>
      </c>
      <c r="B221" s="8" t="str">
        <f>IFERROR(__xludf.DUMMYFUNCTION("""COMPUTED_VALUE"""),"It’s a summertime treat that gets stuck in your teeth.")</f>
        <v>It’s a summertime treat that gets stuck in your teeth.</v>
      </c>
      <c r="C221" s="13" t="str">
        <f>IFERROR(__xludf.DUMMYFUNCTION("""COMPUTED_VALUE"""),"""pwcn"":{""label"":""Corn On The Cob"",""extra"":""It’s a summertime treat that gets stuck in your teeth."",""sets"":""Junior""},")</f>
        <v>"pwcn":{"label":"Corn On The Cob","extra":"It’s a summertime treat that gets stuck in your teeth.","sets":"Junior"},</v>
      </c>
    </row>
    <row r="222">
      <c r="A222" s="8" t="str">
        <f>IFERROR(__xludf.DUMMYFUNCTION("""COMPUTED_VALUE"""),"Corned Beef &amp; Cabbage")</f>
        <v>Corned Beef &amp; Cabbage</v>
      </c>
      <c r="B222" s="8" t="str">
        <f>IFERROR(__xludf.DUMMYFUNCTION("""COMPUTED_VALUE"""),"It’s not chopped liver.")</f>
        <v>It’s not chopped liver.</v>
      </c>
      <c r="C222" s="13" t="str">
        <f>IFERROR(__xludf.DUMMYFUNCTION("""COMPUTED_VALUE"""),"""cjch"":{""label"":""Corned Beef &amp; Cabbage"",""extra"":""It’s not chopped liver."",""sets"":""Expansion Set 4, Party Expansion 1""},")</f>
        <v>"cjch":{"label":"Corned Beef &amp; Cabbage","extra":"It’s not chopped liver.","sets":"Expansion Set 4, Party Expansion 1"},</v>
      </c>
    </row>
    <row r="223">
      <c r="A223" s="8" t="str">
        <f>IFERROR(__xludf.DUMMYFUNCTION("""COMPUTED_VALUE"""),"Corrugated Cardboard")</f>
        <v>Corrugated Cardboard</v>
      </c>
      <c r="B223" s="8" t="str">
        <f>IFERROR(__xludf.DUMMYFUNCTION("""COMPUTED_VALUE"""),"When you want to think out of the box…")</f>
        <v>When you want to think out of the box…</v>
      </c>
      <c r="C223" s="13" t="str">
        <f>IFERROR(__xludf.DUMMYFUNCTION("""COMPUTED_VALUE"""),"""dcqf"":{""label"":""Corrugated Cardboard"",""extra"":""When you want to think out of the box…"",""sets"":""Expansion Set 3, Party Expansion 1""},")</f>
        <v>"dcqf":{"label":"Corrugated Cardboard","extra":"When you want to think out of the box…","sets":"Expansion Set 3, Party Expansion 1"},</v>
      </c>
    </row>
    <row r="224">
      <c r="A224" s="8" t="str">
        <f>IFERROR(__xludf.DUMMYFUNCTION("""COMPUTED_VALUE"""),"Cottage Cheese")</f>
        <v>Cottage Cheese</v>
      </c>
      <c r="B224" s="8" t="str">
        <f>IFERROR(__xludf.DUMMYFUNCTION("""COMPUTED_VALUE"""),"If it’s so popular, where are all the Cottage Cheeseheads?")</f>
        <v>If it’s so popular, where are all the Cottage Cheeseheads?</v>
      </c>
      <c r="C224" s="13" t="str">
        <f>IFERROR(__xludf.DUMMYFUNCTION("""COMPUTED_VALUE"""),"""iwbh"":{""label"":""Cottage Cheese"",""extra"":""If it’s so popular, where are all the Cottage Cheeseheads?"",""sets"":""Expansion Set 3, Party Expansion 1""},")</f>
        <v>"iwbh":{"label":"Cottage Cheese","extra":"If it’s so popular, where are all the Cottage Cheeseheads?","sets":"Expansion Set 3, Party Expansion 1"},</v>
      </c>
    </row>
    <row r="225">
      <c r="A225" s="8" t="str">
        <f>IFERROR(__xludf.DUMMYFUNCTION("""COMPUTED_VALUE"""),"Cotton Candy")</f>
        <v>Cotton Candy</v>
      </c>
      <c r="B225" s="8" t="str">
        <f>IFERROR(__xludf.DUMMYFUNCTION("""COMPUTED_VALUE"""),"Looks like cotton; tastes like candy.")</f>
        <v>Looks like cotton; tastes like candy.</v>
      </c>
      <c r="C225" s="13" t="str">
        <f>IFERROR(__xludf.DUMMYFUNCTION("""COMPUTED_VALUE"""),"""fbyb"":{""label"":""Cotton Candy"",""extra"":""Looks like cotton; tastes like candy."",""sets"":""Junior""},")</f>
        <v>"fbyb":{"label":"Cotton Candy","extra":"Looks like cotton; tastes like candy.","sets":"Junior"},</v>
      </c>
    </row>
    <row r="226">
      <c r="A226" s="8" t="str">
        <f>IFERROR(__xludf.DUMMYFUNCTION("""COMPUTED_VALUE"""),"Coughing &amp; Sneezing")</f>
        <v>Coughing &amp; Sneezing</v>
      </c>
      <c r="B226" s="8" t="str">
        <f>IFERROR(__xludf.DUMMYFUNCTION("""COMPUTED_VALUE"""),"And no cure in sight.")</f>
        <v>And no cure in sight.</v>
      </c>
      <c r="C226" s="13" t="str">
        <f>IFERROR(__xludf.DUMMYFUNCTION("""COMPUTED_VALUE"""),"""skyb"":{""label"":""Coughing &amp; Sneezing"",""extra"":""And no cure in sight."",""sets"":""Expansion Set 4, Party Expansion 1""},")</f>
        <v>"skyb":{"label":"Coughing &amp; Sneezing","extra":"And no cure in sight.","sets":"Expansion Set 4, Party Expansion 1"},</v>
      </c>
    </row>
    <row r="227">
      <c r="A227" s="8" t="str">
        <f>IFERROR(__xludf.DUMMYFUNCTION("""COMPUTED_VALUE"""),"Cowboys")</f>
        <v>Cowboys</v>
      </c>
      <c r="B227" s="8" t="str">
        <f>IFERROR(__xludf.DUMMYFUNCTION("""COMPUTED_VALUE"""),"Men who take care of cattle on a ranch.")</f>
        <v>Men who take care of cattle on a ranch.</v>
      </c>
      <c r="C227" s="13" t="str">
        <f>IFERROR(__xludf.DUMMYFUNCTION("""COMPUTED_VALUE"""),"""yyjg"":{""label"":""Cowboys"",""extra"":""Men who take care of cattle on a ranch."",""sets"":""Junior""},")</f>
        <v>"yyjg":{"label":"Cowboys","extra":"Men who take care of cattle on a ranch.","sets":"Junior"},</v>
      </c>
    </row>
    <row r="228">
      <c r="A228" s="8" t="str">
        <f>IFERROR(__xludf.DUMMYFUNCTION("""COMPUTED_VALUE"""),"Cowboys")</f>
        <v>Cowboys</v>
      </c>
      <c r="B228" s="8" t="str">
        <f>IFERROR(__xludf.DUMMYFUNCTION("""COMPUTED_VALUE"""),"Head ’em up and move ’em out!")</f>
        <v>Head ’em up and move ’em out!</v>
      </c>
      <c r="C228" s="13" t="str">
        <f>IFERROR(__xludf.DUMMYFUNCTION("""COMPUTED_VALUE"""),"""asxh"":{""label"":""Cowboys"",""extra"":""Head ’em up and move ’em out!"",""sets"":""Expansion Set 3, Party Expansion 1""},")</f>
        <v>"asxh":{"label":"Cowboys","extra":"Head ’em up and move ’em out!","sets":"Expansion Set 3, Party Expansion 1"},</v>
      </c>
    </row>
    <row r="229">
      <c r="A229" s="8" t="str">
        <f>IFERROR(__xludf.DUMMYFUNCTION("""COMPUTED_VALUE"""),"Cowboys &amp; Indians")</f>
        <v>Cowboys &amp; Indians</v>
      </c>
      <c r="B229" s="8" t="str">
        <f>IFERROR(__xludf.DUMMYFUNCTION("""COMPUTED_VALUE"""),"How the west was won… and lost.")</f>
        <v>How the west was won… and lost.</v>
      </c>
      <c r="C229" s="13" t="str">
        <f>IFERROR(__xludf.DUMMYFUNCTION("""COMPUTED_VALUE"""),"""zkvm"":{""label"":""Cowboys &amp; Indians"",""extra"":""How the west was won… and lost."",""sets"":""Expansion Set 4, Party Expansion 1""},")</f>
        <v>"zkvm":{"label":"Cowboys &amp; Indians","extra":"How the west was won… and lost.","sets":"Expansion Set 4, Party Expansion 1"},</v>
      </c>
    </row>
    <row r="230">
      <c r="A230" s="8" t="str">
        <f>IFERROR(__xludf.DUMMYFUNCTION("""COMPUTED_VALUE"""),"Cows")</f>
        <v>Cows</v>
      </c>
      <c r="B230" s="8" t="str">
        <f>IFERROR(__xludf.DUMMYFUNCTION("""COMPUTED_VALUE"""),"Large farm animals raised for milk. Moo.")</f>
        <v>Large farm animals raised for milk. Moo.</v>
      </c>
      <c r="C230" s="13" t="str">
        <f>IFERROR(__xludf.DUMMYFUNCTION("""COMPUTED_VALUE"""),"""djms"":{""label"":""Cows"",""extra"":""Large farm animals raised for milk. Moo."",""sets"":""Junior""},")</f>
        <v>"djms":{"label":"Cows","extra":"Large farm animals raised for milk. Moo.","sets":"Junior"},</v>
      </c>
    </row>
    <row r="231">
      <c r="A231" s="8" t="str">
        <f>IFERROR(__xludf.DUMMYFUNCTION("""COMPUTED_VALUE"""),"Crabs")</f>
        <v>Crabs</v>
      </c>
      <c r="B231" s="8" t="str">
        <f>IFERROR(__xludf.DUMMYFUNCTION("""COMPUTED_VALUE"""),"As crustaceans, crabs are related to lobster and shrimp. What do they all have in common? They all go well with butter.")</f>
        <v>As crustaceans, crabs are related to lobster and shrimp. What do they all have in common? They all go well with butter.</v>
      </c>
      <c r="C231" s="13" t="str">
        <f>IFERROR(__xludf.DUMMYFUNCTION("""COMPUTED_VALUE"""),"""patj"":{""label"":""Crabs"",""extra"":""As crustaceans, crabs are related to lobster and shrimp. What do they all have in common? They all go well with butter."",""sets"":""Expansion Set 3, Party Expansion 1""},")</f>
        <v>"patj":{"label":"Crabs","extra":"As crustaceans, crabs are related to lobster and shrimp. What do they all have in common? They all go well with butter.","sets":"Expansion Set 3, Party Expansion 1"},</v>
      </c>
    </row>
    <row r="232">
      <c r="A232" s="8" t="str">
        <f>IFERROR(__xludf.DUMMYFUNCTION("""COMPUTED_VALUE"""),"Crash &amp; Burn")</f>
        <v>Crash &amp; Burn</v>
      </c>
      <c r="B232" s="8" t="str">
        <f>IFERROR(__xludf.DUMMYFUNCTION("""COMPUTED_VALUE"""),"Try, try again.")</f>
        <v>Try, try again.</v>
      </c>
      <c r="C232" s="13" t="str">
        <f>IFERROR(__xludf.DUMMYFUNCTION("""COMPUTED_VALUE"""),"""kjpp"":{""label"":""Crash &amp; Burn"",""extra"":""Try, try again."",""sets"":""Expansion Set 4, Party Expansion 1""},")</f>
        <v>"kjpp":{"label":"Crash &amp; Burn","extra":"Try, try again.","sets":"Expansion Set 4, Party Expansion 1"},</v>
      </c>
    </row>
    <row r="233">
      <c r="A233" s="8" t="str">
        <f>IFERROR(__xludf.DUMMYFUNCTION("""COMPUTED_VALUE"""),"Cream &amp; Sugar")</f>
        <v>Cream &amp; Sugar</v>
      </c>
      <c r="B233" s="8" t="str">
        <f>IFERROR(__xludf.DUMMYFUNCTION("""COMPUTED_VALUE"""),"Do you want some coffee with that?")</f>
        <v>Do you want some coffee with that?</v>
      </c>
      <c r="C233" s="13" t="str">
        <f>IFERROR(__xludf.DUMMYFUNCTION("""COMPUTED_VALUE"""),"""j{gc"":{""label"":""Cream &amp; Sugar"",""extra"":""Do you want some coffee with that?"",""sets"":""Expansion Set 4, Party Expansion 1""},")</f>
        <v>"j{gc":{"label":"Cream &amp; Sugar","extra":"Do you want some coffee with that?","sets":"Expansion Set 4, Party Expansion 1"},</v>
      </c>
    </row>
    <row r="234">
      <c r="A234" s="8" t="str">
        <f>IFERROR(__xludf.DUMMYFUNCTION("""COMPUTED_VALUE"""),"Crying")</f>
        <v>Crying</v>
      </c>
      <c r="B234" s="8" t="str">
        <f>IFERROR(__xludf.DUMMYFUNCTION("""COMPUTED_VALUE"""),"“Don't cry over spilled milk.”")</f>
        <v>“Don't cry over spilled milk.”</v>
      </c>
      <c r="C234" s="13" t="str">
        <f>IFERROR(__xludf.DUMMYFUNCTION("""COMPUTED_VALUE"""),"""yxyh"":{""label"":""Crying"",""extra"":""“Don't cry over spilled milk.”"",""sets"":""Junior 9+ (1st) &amp; (2nd)""},")</f>
        <v>"yxyh":{"label":"Crying","extra":"“Don't cry over spilled milk.”","sets":"Junior 9+ (1st) &amp; (2nd)"},</v>
      </c>
    </row>
    <row r="235">
      <c r="A235" s="8" t="str">
        <f>IFERROR(__xludf.DUMMYFUNCTION("""COMPUTED_VALUE"""),"Cup &amp; Saucer")</f>
        <v>Cup &amp; Saucer</v>
      </c>
      <c r="B235" s="8" t="str">
        <f>IFERROR(__xludf.DUMMYFUNCTION("""COMPUTED_VALUE"""),"Tea Time!")</f>
        <v>Tea Time!</v>
      </c>
      <c r="C235" s="13" t="str">
        <f>IFERROR(__xludf.DUMMYFUNCTION("""COMPUTED_VALUE"""),"""bedh"":{""label"":""Cup &amp; Saucer"",""extra"":""Tea Time!"",""sets"":""Expansion Set 4, Party Expansion 1""},")</f>
        <v>"bedh":{"label":"Cup &amp; Saucer","extra":"Tea Time!","sets":"Expansion Set 4, Party Expansion 1"},</v>
      </c>
    </row>
    <row r="236">
      <c r="A236" s="8" t="str">
        <f>IFERROR(__xludf.DUMMYFUNCTION("""COMPUTED_VALUE"""),"Cupcakes")</f>
        <v>Cupcakes</v>
      </c>
      <c r="B236" s="8" t="str">
        <f>IFERROR(__xludf.DUMMYFUNCTION("""COMPUTED_VALUE"""),"Small cakes, the size of a cup.")</f>
        <v>Small cakes, the size of a cup.</v>
      </c>
      <c r="C236" s="13" t="str">
        <f>IFERROR(__xludf.DUMMYFUNCTION("""COMPUTED_VALUE"""),"""ldos"":{""label"":""Cupcakes"",""extra"":""Small cakes, the size of a cup."",""sets"":""Junior 9+ (1st) &amp; (2nd)""},")</f>
        <v>"ldos":{"label":"Cupcakes","extra":"Small cakes, the size of a cup.","sets":"Junior 9+ (1st) &amp; (2nd)"},</v>
      </c>
    </row>
    <row r="237">
      <c r="A237" s="8" t="str">
        <f>IFERROR(__xludf.DUMMYFUNCTION("""COMPUTED_VALUE"""),"Curds &amp; Whey")</f>
        <v>Curds &amp; Whey</v>
      </c>
      <c r="B237" s="8" t="str">
        <f>IFERROR(__xludf.DUMMYFUNCTION("""COMPUTED_VALUE"""),"What? It’s just cottage cheese?")</f>
        <v>What? It’s just cottage cheese?</v>
      </c>
      <c r="C237" s="13" t="str">
        <f>IFERROR(__xludf.DUMMYFUNCTION("""COMPUTED_VALUE"""),"""cumj"":{""label"":""Curds &amp; Whey"",""extra"":""What? It’s just cottage cheese?"",""sets"":""Expansion Set 4, Party Expansion 1""},")</f>
        <v>"cumj":{"label":"Curds &amp; Whey","extra":"What? It’s just cottage cheese?","sets":"Expansion Set 4, Party Expansion 1"},</v>
      </c>
    </row>
    <row r="238">
      <c r="A238" s="8" t="str">
        <f>IFERROR(__xludf.DUMMYFUNCTION("""COMPUTED_VALUE"""),"Currier &amp; Ives")</f>
        <v>Currier &amp; Ives</v>
      </c>
      <c r="B238" s="8" t="str">
        <f>IFERROR(__xludf.DUMMYFUNCTION("""COMPUTED_VALUE"""),"The lithography shop operated from 1834 to 1907 and produced over 7500 titles, all of which could have been called “Life In America.”")</f>
        <v>The lithography shop operated from 1834 to 1907 and produced over 7500 titles, all of which could have been called “Life In America.”</v>
      </c>
      <c r="C238" s="13" t="str">
        <f>IFERROR(__xludf.DUMMYFUNCTION("""COMPUTED_VALUE"""),"""gmex"":{""label"":""Currier &amp; Ives"",""extra"":""The lithography shop operated from 1834 to 1907 and produced over 7500 titles, all of which could have been called “Life In America.”"",""sets"":""Expansion Set 4, Party Expansion 1""},")</f>
        <v>"gmex":{"label":"Currier &amp; Ives","extra":"The lithography shop operated from 1834 to 1907 and produced over 7500 titles, all of which could have been called “Life In America.”","sets":"Expansion Set 4, Party Expansion 1"},</v>
      </c>
    </row>
    <row r="239">
      <c r="A239" s="8" t="str">
        <f>IFERROR(__xludf.DUMMYFUNCTION("""COMPUTED_VALUE"""),"Cut &amp; Curl")</f>
        <v>Cut &amp; Curl</v>
      </c>
      <c r="B239" s="8" t="str">
        <f>IFERROR(__xludf.DUMMYFUNCTION("""COMPUTED_VALUE"""),"You’ll look mah-velous!")</f>
        <v>You’ll look mah-velous!</v>
      </c>
      <c r="C239" s="13" t="str">
        <f>IFERROR(__xludf.DUMMYFUNCTION("""COMPUTED_VALUE"""),"""kuzh"":{""label"":""Cut &amp; Curl"",""extra"":""You’ll look mah-velous!"",""sets"":""Expansion Set 4, Party Expansion 1""},")</f>
        <v>"kuzh":{"label":"Cut &amp; Curl","extra":"You’ll look mah-velous!","sets":"Expansion Set 4, Party Expansion 1"},</v>
      </c>
    </row>
    <row r="240">
      <c r="A240" s="8" t="str">
        <f>IFERROR(__xludf.DUMMYFUNCTION("""COMPUTED_VALUE"""),"Cutting The Grass")</f>
        <v>Cutting The Grass</v>
      </c>
      <c r="B240" s="8" t="str">
        <f>IFERROR(__xludf.DUMMYFUNCTION("""COMPUTED_VALUE"""),"Why cut it? It just grows back.")</f>
        <v>Why cut it? It just grows back.</v>
      </c>
      <c r="C240" s="13" t="str">
        <f>IFERROR(__xludf.DUMMYFUNCTION("""COMPUTED_VALUE"""),"""bhzq"":{""label"":""Cutting The Grass"",""extra"":""Why cut it? It just grows back."",""sets"":""Junior 9+ (2nd)""},")</f>
        <v>"bhzq":{"label":"Cutting The Grass","extra":"Why cut it? It just grows back.","sets":"Junior 9+ (2nd)"},</v>
      </c>
    </row>
    <row r="241">
      <c r="A241" s="8" t="str">
        <f>IFERROR(__xludf.DUMMYFUNCTION("""COMPUTED_VALUE"""),"D-Day, 1944")</f>
        <v>D-Day, 1944</v>
      </c>
      <c r="B241" s="8" t="str">
        <f>IFERROR(__xludf.DUMMYFUNCTION("""COMPUTED_VALUE"""),"On June 6, 1944 the Allied forces invaded France, employing over 10,000 airplanes, 5,000 ships, and 250,000 servicemen.")</f>
        <v>On June 6, 1944 the Allied forces invaded France, employing over 10,000 airplanes, 5,000 ships, and 250,000 servicemen.</v>
      </c>
      <c r="C241" s="13" t="str">
        <f>IFERROR(__xludf.DUMMYFUNCTION("""COMPUTED_VALUE"""),"""zmwi"":{""label"":""D-Day, 1944"",""extra"":""On June 6, 1944 the Allied forces invaded France, employing over 10,000 airplanes, 5,000 ships, and 250,000 servicemen."",""sets"":""Expansion Set 3, Party Expansion 1""},")</f>
        <v>"zmwi":{"label":"D-Day, 1944","extra":"On June 6, 1944 the Allied forces invaded France, employing over 10,000 airplanes, 5,000 ships, and 250,000 servicemen.","sets":"Expansion Set 3, Party Expansion 1"},</v>
      </c>
    </row>
    <row r="242">
      <c r="A242" s="8" t="str">
        <f>IFERROR(__xludf.DUMMYFUNCTION("""COMPUTED_VALUE"""),"Dance Class")</f>
        <v>Dance Class</v>
      </c>
      <c r="B242" s="8" t="str">
        <f>IFERROR(__xludf.DUMMYFUNCTION("""COMPUTED_VALUE"""),"Step, turn, hop, hop, kick…")</f>
        <v>Step, turn, hop, hop, kick…</v>
      </c>
      <c r="C242" s="13" t="str">
        <f>IFERROR(__xludf.DUMMYFUNCTION("""COMPUTED_VALUE"""),"""wyzj"":{""label"":""Dance Class"",""extra"":""Step, turn, hop, hop, kick…"",""sets"":""Junior 9+ (2nd)""},")</f>
        <v>"wyzj":{"label":"Dance Class","extra":"Step, turn, hop, hop, kick…","sets":"Junior 9+ (2nd)"},</v>
      </c>
    </row>
    <row r="243">
      <c r="A243" s="8" t="str">
        <f>IFERROR(__xludf.DUMMYFUNCTION("""COMPUTED_VALUE"""),"Dancing")</f>
        <v>Dancing</v>
      </c>
      <c r="B243" s="8" t="str">
        <f>IFERROR(__xludf.DUMMYFUNCTION("""COMPUTED_VALUE"""),"Moving your feet and body in time with music. Cha-cha-cha.")</f>
        <v>Moving your feet and body in time with music. Cha-cha-cha.</v>
      </c>
      <c r="C243" s="13" t="str">
        <f>IFERROR(__xludf.DUMMYFUNCTION("""COMPUTED_VALUE"""),"""rc{t"":{""label"":""Dancing"",""extra"":""Moving your feet and body in time with music. Cha-cha-cha."",""sets"":""Junior""},")</f>
        <v>"rc{t":{"label":"Dancing","extra":"Moving your feet and body in time with music. Cha-cha-cha.","sets":"Junior"},</v>
      </c>
    </row>
    <row r="244">
      <c r="A244" s="8" t="str">
        <f>IFERROR(__xludf.DUMMYFUNCTION("""COMPUTED_VALUE"""),"Dark Alleys")</f>
        <v>Dark Alleys</v>
      </c>
      <c r="B244" s="8" t="str">
        <f>IFERROR(__xludf.DUMMYFUNCTION("""COMPUTED_VALUE"""),"I thought you brought the good flashlight!")</f>
        <v>I thought you brought the good flashlight!</v>
      </c>
      <c r="C244" s="13" t="str">
        <f>IFERROR(__xludf.DUMMYFUNCTION("""COMPUTED_VALUE"""),"""agiw"":{""label"":""Dark Alleys"",""extra"":""I thought you brought the good flashlight!"",""sets"":""Junior 9+ (2nd)""},")</f>
        <v>"agiw":{"label":"Dark Alleys","extra":"I thought you brought the good flashlight!","sets":"Junior 9+ (2nd)"},</v>
      </c>
    </row>
    <row r="245">
      <c r="A245" s="8" t="str">
        <f>IFERROR(__xludf.DUMMYFUNCTION("""COMPUTED_VALUE"""),"David &amp; Goliath")</f>
        <v>David &amp; Goliath</v>
      </c>
      <c r="B245" s="8" t="str">
        <f>IFERROR(__xludf.DUMMYFUNCTION("""COMPUTED_VALUE"""),"Bible story featuring the future king David and the Philistine giant Goliath. The bigger they come, the harder they fall.")</f>
        <v>Bible story featuring the future king David and the Philistine giant Goliath. The bigger they come, the harder they fall.</v>
      </c>
      <c r="C245" s="13" t="str">
        <f>IFERROR(__xludf.DUMMYFUNCTION("""COMPUTED_VALUE"""),"""wmbo"":{""label"":""David &amp; Goliath"",""extra"":""Bible story featuring the future king David and the Philistine giant Goliath. The bigger they come, the harder they fall."",""sets"":""Expansion Set 4, Party Expansion 1""},")</f>
        <v>"wmbo":{"label":"David &amp; Goliath","extra":"Bible story featuring the future king David and the Philistine giant Goliath. The bigger they come, the harder they fall.","sets":"Expansion Set 4, Party Expansion 1"},</v>
      </c>
    </row>
    <row r="246">
      <c r="A246" s="8" t="str">
        <f>IFERROR(__xludf.DUMMYFUNCTION("""COMPUTED_VALUE"""),"Day Care Centers")</f>
        <v>Day Care Centers</v>
      </c>
      <c r="B246" s="8" t="str">
        <f>IFERROR(__xludf.DUMMYFUNCTION("""COMPUTED_VALUE"""),"Preschool for preschool.")</f>
        <v>Preschool for preschool.</v>
      </c>
      <c r="C246" s="13" t="str">
        <f>IFERROR(__xludf.DUMMYFUNCTION("""COMPUTED_VALUE"""),"""oxnz"":{""label"":""Day Care Centers"",""extra"":""Preschool for preschool."",""sets"":""Expansion Set 3, Party Expansion 1""},")</f>
        <v>"oxnz":{"label":"Day Care Centers","extra":"Preschool for preschool.","sets":"Expansion Set 3, Party Expansion 1"},</v>
      </c>
    </row>
    <row r="247">
      <c r="A247" s="8" t="str">
        <f>IFERROR(__xludf.DUMMYFUNCTION("""COMPUTED_VALUE"""),"Dead Fish")</f>
        <v>Dead Fish</v>
      </c>
      <c r="B247" s="8" t="str">
        <f>IFERROR(__xludf.DUMMYFUNCTION("""COMPUTED_VALUE"""),"Floating in the water, washed up on shore, or at a fish market.")</f>
        <v>Floating in the water, washed up on shore, or at a fish market.</v>
      </c>
      <c r="C247" s="13" t="str">
        <f>IFERROR(__xludf.DUMMYFUNCTION("""COMPUTED_VALUE"""),"""fzpu"":{""label"":""Dead Fish"",""extra"":""Floating in the water, washed up on shore, or at a fish market."",""sets"":""Junior 9+ (1st) &amp; (2nd)""},")</f>
        <v>"fzpu":{"label":"Dead Fish","extra":"Floating in the water, washed up on shore, or at a fish market.","sets":"Junior 9+ (1st) &amp; (2nd)"},</v>
      </c>
    </row>
    <row r="248">
      <c r="A248" s="8" t="str">
        <f>IFERROR(__xludf.DUMMYFUNCTION("""COMPUTED_VALUE"""),"Death &amp; Dying")</f>
        <v>Death &amp; Dying</v>
      </c>
      <c r="B248" s="8" t="str">
        <f>IFERROR(__xludf.DUMMYFUNCTION("""COMPUTED_VALUE"""),"The only way out.")</f>
        <v>The only way out.</v>
      </c>
      <c r="C248" s="13" t="str">
        <f>IFERROR(__xludf.DUMMYFUNCTION("""COMPUTED_VALUE"""),"""ylyh"":{""label"":""Death &amp; Dying"",""extra"":""The only way out."",""sets"":""Expansion Set 4, Party Expansion 1""},")</f>
        <v>"ylyh":{"label":"Death &amp; Dying","extra":"The only way out.","sets":"Expansion Set 4, Party Expansion 1"},</v>
      </c>
    </row>
    <row r="249">
      <c r="A249" s="8" t="str">
        <f>IFERROR(__xludf.DUMMYFUNCTION("""COMPUTED_VALUE"""),"Death &amp; Taxes")</f>
        <v>Death &amp; Taxes</v>
      </c>
      <c r="B249" s="8" t="str">
        <f>IFERROR(__xludf.DUMMYFUNCTION("""COMPUTED_VALUE"""),"The two certainties in life.")</f>
        <v>The two certainties in life.</v>
      </c>
      <c r="C249" s="13" t="str">
        <f>IFERROR(__xludf.DUMMYFUNCTION("""COMPUTED_VALUE"""),"""xcgi"":{""label"":""Death &amp; Taxes"",""extra"":""The two certainties in life."",""sets"":""Expansion Set 4, Party Expansion 1""},")</f>
        <v>"xcgi":{"label":"Death &amp; Taxes","extra":"The two certainties in life.","sets":"Expansion Set 4, Party Expansion 1"},</v>
      </c>
    </row>
    <row r="250">
      <c r="A250" s="8" t="str">
        <f>IFERROR(__xludf.DUMMYFUNCTION("""COMPUTED_VALUE"""),"Dictionaries")</f>
        <v>Dictionaries</v>
      </c>
      <c r="B250" s="8" t="str">
        <f>IFERROR(__xludf.DUMMYFUNCTION("""COMPUTED_VALUE"""),"Let me look that up!")</f>
        <v>Let me look that up!</v>
      </c>
      <c r="C250" s="13" t="str">
        <f>IFERROR(__xludf.DUMMYFUNCTION("""COMPUTED_VALUE"""),"""ylnk"":{""label"":""Dictionaries"",""extra"":""Let me look that up!"",""sets"":""Junior 9+ (2nd)""},")</f>
        <v>"ylnk":{"label":"Dictionaries","extra":"Let me look that up!","sets":"Junior 9+ (2nd)"},</v>
      </c>
    </row>
    <row r="251">
      <c r="A251" s="8" t="str">
        <f>IFERROR(__xludf.DUMMYFUNCTION("""COMPUTED_VALUE"""),"Dinner &amp; A Movie")</f>
        <v>Dinner &amp; A Movie</v>
      </c>
      <c r="B251" s="8" t="str">
        <f>IFERROR(__xludf.DUMMYFUNCTION("""COMPUTED_VALUE"""),"And a mortgage to pay for it.")</f>
        <v>And a mortgage to pay for it.</v>
      </c>
      <c r="C251" s="13" t="str">
        <f>IFERROR(__xludf.DUMMYFUNCTION("""COMPUTED_VALUE"""),"""myyz"":{""label"":""Dinner &amp; A Movie"",""extra"":""And a mortgage to pay for it."",""sets"":""Expansion Set 4, Party Expansion 1""},")</f>
        <v>"myyz":{"label":"Dinner &amp; A Movie","extra":"And a mortgage to pay for it.","sets":"Expansion Set 4, Party Expansion 1"},</v>
      </c>
    </row>
    <row r="252">
      <c r="A252" s="8" t="str">
        <f>IFERROR(__xludf.DUMMYFUNCTION("""COMPUTED_VALUE"""),"Dinosaurs")</f>
        <v>Dinosaurs</v>
      </c>
      <c r="B252" s="8" t="str">
        <f>IFERROR(__xludf.DUMMYFUNCTION("""COMPUTED_VALUE"""),"Reptiles that lived millions of years ago. Some, like the T. rex, were huge!")</f>
        <v>Reptiles that lived millions of years ago. Some, like the T. rex, were huge!</v>
      </c>
      <c r="C252" s="13" t="str">
        <f>IFERROR(__xludf.DUMMYFUNCTION("""COMPUTED_VALUE"""),"""oqfk"":{""label"":""Dinosaurs"",""extra"":""Reptiles that lived millions of years ago. Some, like the T. rex, were huge!"",""sets"":""Junior""},")</f>
        <v>"oqfk":{"label":"Dinosaurs","extra":"Reptiles that lived millions of years ago. Some, like the T. rex, were huge!","sets":"Junior"},</v>
      </c>
    </row>
    <row r="253">
      <c r="A253" s="8" t="str">
        <f>IFERROR(__xludf.DUMMYFUNCTION("""COMPUTED_VALUE"""),"Dirt")</f>
        <v>Dirt</v>
      </c>
      <c r="B253" s="8" t="str">
        <f>IFERROR(__xludf.DUMMYFUNCTION("""COMPUTED_VALUE"""),"Good in the garden.")</f>
        <v>Good in the garden.</v>
      </c>
      <c r="C253" s="13" t="str">
        <f>IFERROR(__xludf.DUMMYFUNCTION("""COMPUTED_VALUE"""),"""twej"":{""label"":""Dirt"",""extra"":""Good in the garden."",""sets"":""Junior 9+ (1st) &amp; (2nd)""},")</f>
        <v>"twej":{"label":"Dirt","extra":"Good in the garden.","sets":"Junior 9+ (1st) &amp; (2nd)"},</v>
      </c>
    </row>
    <row r="254">
      <c r="A254" s="8" t="str">
        <f>IFERROR(__xludf.DUMMYFUNCTION("""COMPUTED_VALUE"""),"Dirty Diapers")</f>
        <v>Dirty Diapers</v>
      </c>
      <c r="B254" s="8" t="str">
        <f>IFERROR(__xludf.DUMMYFUNCTION("""COMPUTED_VALUE"""),"It must be time to change the baby!")</f>
        <v>It must be time to change the baby!</v>
      </c>
      <c r="C254" s="13" t="str">
        <f>IFERROR(__xludf.DUMMYFUNCTION("""COMPUTED_VALUE"""),"""nlkq"":{""label"":""Dirty Diapers"",""extra"":""It must be time to change the baby!"",""sets"":""Junior""},")</f>
        <v>"nlkq":{"label":"Dirty Diapers","extra":"It must be time to change the baby!","sets":"Junior"},</v>
      </c>
    </row>
    <row r="255">
      <c r="A255" s="8" t="str">
        <f>IFERROR(__xludf.DUMMYFUNCTION("""COMPUTED_VALUE"""),"Dirty Dishes")</f>
        <v>Dirty Dishes</v>
      </c>
      <c r="B255" s="8" t="str">
        <f>IFERROR(__xludf.DUMMYFUNCTION("""COMPUTED_VALUE"""),"That’s why they make paper plates!")</f>
        <v>That’s why they make paper plates!</v>
      </c>
      <c r="C255" s="13" t="str">
        <f>IFERROR(__xludf.DUMMYFUNCTION("""COMPUTED_VALUE"""),"""q{fb"":{""label"":""Dirty Dishes"",""extra"":""That’s why they make paper plates!"",""sets"":""Junior 9+ (2nd)""},")</f>
        <v>"q{fb":{"label":"Dirty Dishes","extra":"That’s why they make paper plates!","sets":"Junior 9+ (2nd)"},</v>
      </c>
    </row>
    <row r="256">
      <c r="A256" s="8" t="str">
        <f>IFERROR(__xludf.DUMMYFUNCTION("""COMPUTED_VALUE"""),"Dirty Socks")</f>
        <v>Dirty Socks</v>
      </c>
      <c r="B256" s="8" t="str">
        <f>IFERROR(__xludf.DUMMYFUNCTION("""COMPUTED_VALUE"""),"Put them in the wash!")</f>
        <v>Put them in the wash!</v>
      </c>
      <c r="C256" s="13" t="str">
        <f>IFERROR(__xludf.DUMMYFUNCTION("""COMPUTED_VALUE"""),"""esbl"":{""label"":""Dirty Socks"",""extra"":""Put them in the wash!"",""sets"":""Junior""},")</f>
        <v>"esbl":{"label":"Dirty Socks","extra":"Put them in the wash!","sets":"Junior"},</v>
      </c>
    </row>
    <row r="257">
      <c r="A257" s="8" t="str">
        <f>IFERROR(__xludf.DUMMYFUNCTION("""COMPUTED_VALUE"""),"Disneyland")</f>
        <v>Disneyland</v>
      </c>
      <c r="B257" s="8" t="str">
        <f>IFERROR(__xludf.DUMMYFUNCTION("""COMPUTED_VALUE"""),"A theme park featuring cartoon characters like Mickey Mouse and Donald Duck..")</f>
        <v>A theme park featuring cartoon characters like Mickey Mouse and Donald Duck..</v>
      </c>
      <c r="C257" s="13" t="str">
        <f>IFERROR(__xludf.DUMMYFUNCTION("""COMPUTED_VALUE"""),"""ddjj"":{""label"":""Disneyland"",""extra"":""A theme park featuring cartoon characters like Mickey Mouse and Donald Duck.."",""sets"":""Junior""},")</f>
        <v>"ddjj":{"label":"Disneyland","extra":"A theme park featuring cartoon characters like Mickey Mouse and Donald Duck..","sets":"Junior"},</v>
      </c>
    </row>
    <row r="258">
      <c r="A258" s="8" t="str">
        <f>IFERROR(__xludf.DUMMYFUNCTION("""COMPUTED_VALUE"""),"Doctors")</f>
        <v>Doctors</v>
      </c>
      <c r="B258" s="8" t="str">
        <f>IFERROR(__xludf.DUMMYFUNCTION("""COMPUTED_VALUE"""),"Stick out your tongue and say aaaaah!")</f>
        <v>Stick out your tongue and say aaaaah!</v>
      </c>
      <c r="C258" s="13" t="str">
        <f>IFERROR(__xludf.DUMMYFUNCTION("""COMPUTED_VALUE"""),"""qyww"":{""label"":""Doctors"",""extra"":""Stick out your tongue and say aaaaah!"",""sets"":""Junior 9+ (1st) &amp; (2nd)""},")</f>
        <v>"qyww":{"label":"Doctors","extra":"Stick out your tongue and say aaaaah!","sets":"Junior 9+ (1st) &amp; (2nd)"},</v>
      </c>
    </row>
    <row r="259">
      <c r="A259" s="8" t="str">
        <f>IFERROR(__xludf.DUMMYFUNCTION("""COMPUTED_VALUE"""),"Doctors &amp; Dentists")</f>
        <v>Doctors &amp; Dentists</v>
      </c>
      <c r="B259" s="8" t="str">
        <f>IFERROR(__xludf.DUMMYFUNCTION("""COMPUTED_VALUE"""),"For a long life and healthy teeth.")</f>
        <v>For a long life and healthy teeth.</v>
      </c>
      <c r="C259" s="13" t="str">
        <f>IFERROR(__xludf.DUMMYFUNCTION("""COMPUTED_VALUE"""),"""niyg"":{""label"":""Doctors &amp; Dentists"",""extra"":""For a long life and healthy teeth."",""sets"":""Expansion Set 4, Party Expansion 1""},")</f>
        <v>"niyg":{"label":"Doctors &amp; Dentists","extra":"For a long life and healthy teeth.","sets":"Expansion Set 4, Party Expansion 1"},</v>
      </c>
    </row>
    <row r="260">
      <c r="A260" s="8" t="str">
        <f>IFERROR(__xludf.DUMMYFUNCTION("""COMPUTED_VALUE"""),"Dodo Birds")</f>
        <v>Dodo Birds</v>
      </c>
      <c r="B260" s="8" t="str">
        <f>IFERROR(__xludf.DUMMYFUNCTION("""COMPUTED_VALUE"""),"A large, flightless bird of the island of Mauritius. Discovered by Europeans in 1598, extinct by 1681.")</f>
        <v>A large, flightless bird of the island of Mauritius. Discovered by Europeans in 1598, extinct by 1681.</v>
      </c>
      <c r="C260" s="13" t="str">
        <f>IFERROR(__xludf.DUMMYFUNCTION("""COMPUTED_VALUE"""),"""bpkb"":{""label"":""Dodo Birds"",""extra"":""A large, flightless bird of the island of Mauritius. Discovered by Europeans in 1598, extinct by 1681."",""sets"":""Expansion Set 3, Party Expansion 1""},")</f>
        <v>"bpkb":{"label":"Dodo Birds","extra":"A large, flightless bird of the island of Mauritius. Discovered by Europeans in 1598, extinct by 1681.","sets":"Expansion Set 3, Party Expansion 1"},</v>
      </c>
    </row>
    <row r="261">
      <c r="A261" s="8" t="str">
        <f>IFERROR(__xludf.DUMMYFUNCTION("""COMPUTED_VALUE"""),"Dog Days")</f>
        <v>Dog Days</v>
      </c>
      <c r="B261" s="8" t="str">
        <f>IFERROR(__xludf.DUMMYFUNCTION("""COMPUTED_VALUE"""),"101 degrees in the shade.")</f>
        <v>101 degrees in the shade.</v>
      </c>
      <c r="C261" s="13" t="str">
        <f>IFERROR(__xludf.DUMMYFUNCTION("""COMPUTED_VALUE"""),"""pkib"":{""label"":""Dog Days"",""extra"":""101 degrees in the shade."",""sets"":""Expansion Set 3, Party Expansion 1""},")</f>
        <v>"pkib":{"label":"Dog Days","extra":"101 degrees in the shade.","sets":"Expansion Set 3, Party Expansion 1"},</v>
      </c>
    </row>
    <row r="262">
      <c r="A262" s="8" t="str">
        <f>IFERROR(__xludf.DUMMYFUNCTION("""COMPUTED_VALUE"""),"Dog Food")</f>
        <v>Dog Food</v>
      </c>
      <c r="B262" s="8" t="str">
        <f>IFERROR(__xludf.DUMMYFUNCTION("""COMPUTED_VALUE"""),"I like the chewy kind.")</f>
        <v>I like the chewy kind.</v>
      </c>
      <c r="C262" s="13" t="str">
        <f>IFERROR(__xludf.DUMMYFUNCTION("""COMPUTED_VALUE"""),"""hgrh"":{""label"":""Dog Food"",""extra"":""I like the chewy kind."",""sets"":""Junior 9+ (2nd)""},")</f>
        <v>"hgrh":{"label":"Dog Food","extra":"I like the chewy kind.","sets":"Junior 9+ (2nd)"},</v>
      </c>
    </row>
    <row r="263">
      <c r="A263" s="8" t="str">
        <f>IFERROR(__xludf.DUMMYFUNCTION("""COMPUTED_VALUE"""),"Doing The Dishes")</f>
        <v>Doing The Dishes</v>
      </c>
      <c r="B263" s="8" t="str">
        <f>IFERROR(__xludf.DUMMYFUNCTION("""COMPUTED_VALUE"""),"I’ll wash the dishes and you can dry.")</f>
        <v>I’ll wash the dishes and you can dry.</v>
      </c>
      <c r="C263" s="13" t="str">
        <f>IFERROR(__xludf.DUMMYFUNCTION("""COMPUTED_VALUE"""),"""wiqe"":{""label"":""Doing The Dishes"",""extra"":""I’ll wash the dishes and you can dry."",""sets"":""Junior""},")</f>
        <v>"wiqe":{"label":"Doing The Dishes","extra":"I’ll wash the dishes and you can dry.","sets":"Junior"},</v>
      </c>
    </row>
    <row r="264">
      <c r="A264" s="8" t="str">
        <f>IFERROR(__xludf.DUMMYFUNCTION("""COMPUTED_VALUE"""),"Doing The Hokey-Pokey")</f>
        <v>Doing The Hokey-Pokey</v>
      </c>
      <c r="B264" s="8" t="str">
        <f>IFERROR(__xludf.DUMMYFUNCTION("""COMPUTED_VALUE"""),"That’s what it's all about.")</f>
        <v>That’s what it's all about.</v>
      </c>
      <c r="C264" s="13" t="str">
        <f>IFERROR(__xludf.DUMMYFUNCTION("""COMPUTED_VALUE"""),"""gdpw"":{""label"":""Doing The Hokey-Pokey"",""extra"":""That’s what it's all about."",""sets"":""Expansion Set 3, Party Expansion 1""},")</f>
        <v>"gdpw":{"label":"Doing The Hokey-Pokey","extra":"That’s what it's all about.","sets":"Expansion Set 3, Party Expansion 1"},</v>
      </c>
    </row>
    <row r="265">
      <c r="A265" s="8" t="str">
        <f>IFERROR(__xludf.DUMMYFUNCTION("""COMPUTED_VALUE"""),"Dollars &amp; Cents")</f>
        <v>Dollars &amp; Cents</v>
      </c>
      <c r="B265" s="8" t="str">
        <f>IFERROR(__xludf.DUMMYFUNCTION("""COMPUTED_VALUE"""),"“If it don't make dollars, it don't make sense.”—DJ Quik")</f>
        <v>“If it don't make dollars, it don't make sense.”—DJ Quik</v>
      </c>
      <c r="C265" s="13" t="str">
        <f>IFERROR(__xludf.DUMMYFUNCTION("""COMPUTED_VALUE"""),"""ltek"":{""label"":""Dollars &amp; Cents"",""extra"":""“If it don't make dollars, it don't make sense.”—DJ Quik"",""sets"":""Expansion Set 4, Party Expansion 1""},")</f>
        <v>"ltek":{"label":"Dollars &amp; Cents","extra":"“If it don't make dollars, it don't make sense.”—DJ Quik","sets":"Expansion Set 4, Party Expansion 1"},</v>
      </c>
    </row>
    <row r="266">
      <c r="A266" s="8" t="str">
        <f>IFERROR(__xludf.DUMMYFUNCTION("""COMPUTED_VALUE"""),"Dolphins")</f>
        <v>Dolphins</v>
      </c>
      <c r="B266" s="8" t="str">
        <f>IFERROR(__xludf.DUMMYFUNCTION("""COMPUTED_VALUE"""),"Dolphins are mammals that live in the sea, and Sea World.")</f>
        <v>Dolphins are mammals that live in the sea, and Sea World.</v>
      </c>
      <c r="C266" s="13" t="str">
        <f>IFERROR(__xludf.DUMMYFUNCTION("""COMPUTED_VALUE"""),"""ybnf"":{""label"":""Dolphins"",""extra"":""Dolphins are mammals that live in the sea, and Sea World."",""sets"":""Junior 9+ (2nd)""},")</f>
        <v>"ybnf":{"label":"Dolphins","extra":"Dolphins are mammals that live in the sea, and Sea World.","sets":"Junior 9+ (2nd)"},</v>
      </c>
    </row>
    <row r="267">
      <c r="A267" s="8" t="str">
        <f>IFERROR(__xludf.DUMMYFUNCTION("""COMPUTED_VALUE"""),"Donuts")</f>
        <v>Donuts</v>
      </c>
      <c r="B267" s="8" t="str">
        <f>IFERROR(__xludf.DUMMYFUNCTION("""COMPUTED_VALUE"""),"In 1993, a doughnut weighing over 3,700 pounds was made in Utica, N.Y.")</f>
        <v>In 1993, a doughnut weighing over 3,700 pounds was made in Utica, N.Y.</v>
      </c>
      <c r="C267" s="13" t="str">
        <f>IFERROR(__xludf.DUMMYFUNCTION("""COMPUTED_VALUE"""),"""iksd"":{""label"":""Donuts"",""extra"":""In 1993, a doughnut weighing over 3,700 pounds was made in Utica, N.Y."",""sets"":""Junior 9+ (2nd)""},")</f>
        <v>"iksd":{"label":"Donuts","extra":"In 1993, a doughnut weighing over 3,700 pounds was made in Utica, N.Y.","sets":"Junior 9+ (2nd)"},</v>
      </c>
    </row>
    <row r="268">
      <c r="A268" s="8" t="str">
        <f>IFERROR(__xludf.DUMMYFUNCTION("""COMPUTED_VALUE"""),"Doorbells")</f>
        <v>Doorbells</v>
      </c>
      <c r="B268" s="8" t="str">
        <f>IFERROR(__xludf.DUMMYFUNCTION("""COMPUTED_VALUE"""),"Would someone please answer the door?")</f>
        <v>Would someone please answer the door?</v>
      </c>
      <c r="C268" s="13" t="str">
        <f>IFERROR(__xludf.DUMMYFUNCTION("""COMPUTED_VALUE"""),"""dily"":{""label"":""Doorbells"",""extra"":""Would someone please answer the door?"",""sets"":""Junior 9+ (1st) &amp; (2nd)""},")</f>
        <v>"dily":{"label":"Doorbells","extra":"Would someone please answer the door?","sets":"Junior 9+ (1st) &amp; (2nd)"},</v>
      </c>
    </row>
    <row r="269">
      <c r="A269" s="8" t="str">
        <f>IFERROR(__xludf.DUMMYFUNCTION("""COMPUTED_VALUE"""),"Double Thick Malts")</f>
        <v>Double Thick Malts</v>
      </c>
      <c r="B269" s="8" t="str">
        <f>IFERROR(__xludf.DUMMYFUNCTION("""COMPUTED_VALUE"""),"For a double thick ice cream headache.")</f>
        <v>For a double thick ice cream headache.</v>
      </c>
      <c r="C269" s="13" t="str">
        <f>IFERROR(__xludf.DUMMYFUNCTION("""COMPUTED_VALUE"""),"""xdnd"":{""label"":""Double Thick Malts"",""extra"":""For a double thick ice cream headache."",""sets"":""Expansion Set 3, Party Expansion 1""},")</f>
        <v>"xdnd":{"label":"Double Thick Malts","extra":"For a double thick ice cream headache.","sets":"Expansion Set 3, Party Expansion 1"},</v>
      </c>
    </row>
    <row r="270">
      <c r="A270" s="8" t="str">
        <f>IFERROR(__xludf.DUMMYFUNCTION("""COMPUTED_VALUE"""),"Dr. Jekyll &amp; Mr. Hyde")</f>
        <v>Dr. Jekyll &amp; Mr. Hyde</v>
      </c>
      <c r="B270" s="8" t="str">
        <f>IFERROR(__xludf.DUMMYFUNCTION("""COMPUTED_VALUE"""),"Robert Louis Stevenson's 1887 novel revealing the hypocrisy and innate evilness in society. The idea came to him in a dream a bad dream.")</f>
        <v>Robert Louis Stevenson's 1887 novel revealing the hypocrisy and innate evilness in society. The idea came to him in a dream a bad dream.</v>
      </c>
      <c r="C270" s="13" t="str">
        <f>IFERROR(__xludf.DUMMYFUNCTION("""COMPUTED_VALUE"""),"""qrkz"":{""label"":""Dr. Jekyll &amp; Mr. Hyde"",""extra"":""Robert Louis Stevenson's 1887 novel revealing the hypocrisy and innate evilness in society. The idea came to him in a dream a bad dream."",""sets"":""Expansion Set 4, Party Expansion 1""},")</f>
        <v>"qrkz":{"label":"Dr. Jekyll &amp; Mr. Hyde","extra":"Robert Louis Stevenson's 1887 novel revealing the hypocrisy and innate evilness in society. The idea came to him in a dream a bad dream.","sets":"Expansion Set 4, Party Expansion 1"},</v>
      </c>
    </row>
    <row r="271">
      <c r="A271" s="8" t="str">
        <f>IFERROR(__xludf.DUMMYFUNCTION("""COMPUTED_VALUE"""),"Dr. Laura")</f>
        <v>Dr. Laura</v>
      </c>
      <c r="B271" s="8" t="str">
        <f>IFERROR(__xludf.DUMMYFUNCTION("""COMPUTED_VALUE"""),"1947-, American conservative talk show host and promoter of family values. HER family values, that is…")</f>
        <v>1947-, American conservative talk show host and promoter of family values. HER family values, that is…</v>
      </c>
      <c r="C271" s="13" t="str">
        <f>IFERROR(__xludf.DUMMYFUNCTION("""COMPUTED_VALUE"""),"""wyxi"":{""label"":""Dr. Laura"",""extra"":""1947-, American conservative talk show host and promoter of family values. HER family values, that is…"",""sets"":""Expansion Set 3, Party Expansion 1""},")</f>
        <v>"wyxi":{"label":"Dr. Laura","extra":"1947-, American conservative talk show host and promoter of family values. HER family values, that is…","sets":"Expansion Set 3, Party Expansion 1"},</v>
      </c>
    </row>
    <row r="272">
      <c r="A272" s="8" t="str">
        <f>IFERROR(__xludf.DUMMYFUNCTION("""COMPUTED_VALUE"""),"Dragons")</f>
        <v>Dragons</v>
      </c>
      <c r="B272" s="8" t="str">
        <f>IFERROR(__xludf.DUMMYFUNCTION("""COMPUTED_VALUE"""),"Pretend animals that look like giant lizards with wings. Sometimes they breath fire!")</f>
        <v>Pretend animals that look like giant lizards with wings. Sometimes they breath fire!</v>
      </c>
      <c r="C272" s="13" t="str">
        <f>IFERROR(__xludf.DUMMYFUNCTION("""COMPUTED_VALUE"""),"""nxut"":{""label"":""Dragons"",""extra"":""Pretend animals that look like giant lizards with wings. Sometimes they breath fire!"",""sets"":""Junior""},")</f>
        <v>"nxut":{"label":"Dragons","extra":"Pretend animals that look like giant lizards with wings. Sometimes they breath fire!","sets":"Junior"},</v>
      </c>
    </row>
    <row r="273">
      <c r="A273" s="8" t="str">
        <f>IFERROR(__xludf.DUMMYFUNCTION("""COMPUTED_VALUE"""),"Drew Barrymore")</f>
        <v>Drew Barrymore</v>
      </c>
      <c r="B273" s="8" t="str">
        <f>IFERROR(__xludf.DUMMYFUNCTION("""COMPUTED_VALUE"""),"1975-, heir to the Barrymore acting dynasty. Drew starred in “ET”, “The Wedding Singer”, “Charlie's Angels”, and countless tabloid stories.")</f>
        <v>1975-, heir to the Barrymore acting dynasty. Drew starred in “ET”, “The Wedding Singer”, “Charlie's Angels”, and countless tabloid stories.</v>
      </c>
      <c r="C273" s="13" t="str">
        <f>IFERROR(__xludf.DUMMYFUNCTION("""COMPUTED_VALUE"""),"""pjrc"":{""label"":""Drew Barrymore"",""extra"":""1975-, heir to the Barrymore acting dynasty. Drew starred in “ET”, “The Wedding Singer”, “Charlie's Angels”, and countless tabloid stories."",""sets"":""Expansion Set 3, Party Expansion 1""},")</f>
        <v>"pjrc":{"label":"Drew Barrymore","extra":"1975-, heir to the Barrymore acting dynasty. Drew starred in “ET”, “The Wedding Singer”, “Charlie's Angels”, and countless tabloid stories.","sets":"Expansion Set 3, Party Expansion 1"},</v>
      </c>
    </row>
    <row r="274">
      <c r="A274" s="8" t="str">
        <f>IFERROR(__xludf.DUMMYFUNCTION("""COMPUTED_VALUE"""),"Drew Carey")</f>
        <v>Drew Carey</v>
      </c>
      <c r="B274" s="8" t="str">
        <f>IFERROR(__xludf.DUMMYFUNCTION("""COMPUTED_VALUE"""),"1958-, American comedian and television star. Whose line is it anyway? His.")</f>
        <v>1958-, American comedian and television star. Whose line is it anyway? His.</v>
      </c>
      <c r="C274" s="13" t="str">
        <f>IFERROR(__xludf.DUMMYFUNCTION("""COMPUTED_VALUE"""),"""jzjz"":{""label"":""Drew Carey"",""extra"":""1958-, American comedian and television star. Whose line is it anyway? His."",""sets"":""Expansion Set 3, Party Expansion 1""},")</f>
        <v>"jzjz":{"label":"Drew Carey","extra":"1958-, American comedian and television star. Whose line is it anyway? His.","sets":"Expansion Set 3, Party Expansion 1"},</v>
      </c>
    </row>
    <row r="275">
      <c r="A275" s="8" t="str">
        <f>IFERROR(__xludf.DUMMYFUNCTION("""COMPUTED_VALUE"""),"Drinking &amp; Driving")</f>
        <v>Drinking &amp; Driving</v>
      </c>
      <c r="B275" s="8" t="str">
        <f>IFERROR(__xludf.DUMMYFUNCTION("""COMPUTED_VALUE"""),"Friends don’t let friends drive drunk.")</f>
        <v>Friends don’t let friends drive drunk.</v>
      </c>
      <c r="C275" s="13" t="str">
        <f>IFERROR(__xludf.DUMMYFUNCTION("""COMPUTED_VALUE"""),"""mtzp"":{""label"":""Drinking &amp; Driving"",""extra"":""Friends don’t let friends drive drunk."",""sets"":""Expansion Set 4, Party Expansion 1""},")</f>
        <v>"mtzp":{"label":"Drinking &amp; Driving","extra":"Friends don’t let friends drive drunk.","sets":"Expansion Set 4, Party Expansion 1"},</v>
      </c>
    </row>
    <row r="276">
      <c r="A276" s="8" t="str">
        <f>IFERROR(__xludf.DUMMYFUNCTION("""COMPUTED_VALUE"""),"Driving A Car")</f>
        <v>Driving A Car</v>
      </c>
      <c r="B276" s="8" t="str">
        <f>IFERROR(__xludf.DUMMYFUNCTION("""COMPUTED_VALUE"""),"In most states, you have to be 16 years old to drive a car.")</f>
        <v>In most states, you have to be 16 years old to drive a car.</v>
      </c>
      <c r="C276" s="13" t="str">
        <f>IFERROR(__xludf.DUMMYFUNCTION("""COMPUTED_VALUE"""),"""jehf"":{""label"":""Driving A Car"",""extra"":""In most states, you have to be 16 years old to drive a car."",""sets"":""Junior 9+ (1st) &amp; (2nd)""},")</f>
        <v>"jehf":{"label":"Driving A Car","extra":"In most states, you have to be 16 years old to drive a car.","sets":"Junior 9+ (1st) &amp; (2nd)"},</v>
      </c>
    </row>
    <row r="277">
      <c r="A277" s="8" t="str">
        <f>IFERROR(__xludf.DUMMYFUNCTION("""COMPUTED_VALUE"""),"Drums")</f>
        <v>Drums</v>
      </c>
      <c r="B277" s="8" t="str">
        <f>IFERROR(__xludf.DUMMYFUNCTION("""COMPUTED_VALUE"""),"Beat it!")</f>
        <v>Beat it!</v>
      </c>
      <c r="C277" s="13" t="str">
        <f>IFERROR(__xludf.DUMMYFUNCTION("""COMPUTED_VALUE"""),"""lhot"":{""label"":""Drums"",""extra"":""Beat it!"",""sets"":""Junior""},")</f>
        <v>"lhot":{"label":"Drums","extra":"Beat it!","sets":"Junior"},</v>
      </c>
    </row>
    <row r="278">
      <c r="A278" s="8" t="str">
        <f>IFERROR(__xludf.DUMMYFUNCTION("""COMPUTED_VALUE"""),"Drunk Drivers")</f>
        <v>Drunk Drivers</v>
      </c>
      <c r="B278" s="8" t="str">
        <f>IFERROR(__xludf.DUMMYFUNCTION("""COMPUTED_VALUE"""),"Number one highway safety problem.")</f>
        <v>Number one highway safety problem.</v>
      </c>
      <c r="C278" s="13" t="str">
        <f>IFERROR(__xludf.DUMMYFUNCTION("""COMPUTED_VALUE"""),"""tuys"":{""label"":""Drunk Drivers"",""extra"":""Number one highway safety problem."",""sets"":""Expansion Set 3, Party Expansion 1""},")</f>
        <v>"tuys":{"label":"Drunk Drivers","extra":"Number one highway safety problem.","sets":"Expansion Set 3, Party Expansion 1"},</v>
      </c>
    </row>
    <row r="279">
      <c r="A279" s="8" t="str">
        <f>IFERROR(__xludf.DUMMYFUNCTION("""COMPUTED_VALUE"""),"Ducks")</f>
        <v>Ducks</v>
      </c>
      <c r="B279" s="8" t="str">
        <f>IFERROR(__xludf.DUMMYFUNCTION("""COMPUTED_VALUE"""),"Large birds with webbed feet and a flat bill. Quack-quack-quack!")</f>
        <v>Large birds with webbed feet and a flat bill. Quack-quack-quack!</v>
      </c>
      <c r="C279" s="13" t="str">
        <f>IFERROR(__xludf.DUMMYFUNCTION("""COMPUTED_VALUE"""),"""tfbi"":{""label"":""Ducks"",""extra"":""Large birds with webbed feet and a flat bill. Quack-quack-quack!"",""sets"":""Junior""},")</f>
        <v>"tfbi":{"label":"Ducks","extra":"Large birds with webbed feet and a flat bill. Quack-quack-quack!","sets":"Junior"},</v>
      </c>
    </row>
    <row r="280">
      <c r="A280" s="8" t="str">
        <f>IFERROR(__xludf.DUMMYFUNCTION("""COMPUTED_VALUE"""),"Dumb Blonde Jokes")</f>
        <v>Dumb Blonde Jokes</v>
      </c>
      <c r="B280" s="8" t="str">
        <f>IFERROR(__xludf.DUMMYFUNCTION("""COMPUTED_VALUE"""),"Are they just naturally funny?")</f>
        <v>Are they just naturally funny?</v>
      </c>
      <c r="C280" s="13" t="str">
        <f>IFERROR(__xludf.DUMMYFUNCTION("""COMPUTED_VALUE"""),"""dnqs"":{""label"":""Dumb Blonde Jokes"",""extra"":""Are they just naturally funny?"",""sets"":""Expansion Set 3, Party Expansion 1""},")</f>
        <v>"dnqs":{"label":"Dumb Blonde Jokes","extra":"Are they just naturally funny?","sets":"Expansion Set 3, Party Expansion 1"},</v>
      </c>
    </row>
    <row r="281">
      <c r="A281" s="8" t="str">
        <f>IFERROR(__xludf.DUMMYFUNCTION("""COMPUTED_VALUE"""),"Dumbo")</f>
        <v>Dumbo</v>
      </c>
      <c r="B281" s="8" t="str">
        <f>IFERROR(__xludf.DUMMYFUNCTION("""COMPUTED_VALUE"""),"A little elephant cartoon character. When he flaps his ears, he can fly!")</f>
        <v>A little elephant cartoon character. When he flaps his ears, he can fly!</v>
      </c>
      <c r="C281" s="13" t="str">
        <f>IFERROR(__xludf.DUMMYFUNCTION("""COMPUTED_VALUE"""),"""ivvh"":{""label"":""Dumbo"",""extra"":""A little elephant cartoon character. When he flaps his ears, he can fly!"",""sets"":""Junior""},")</f>
        <v>"ivvh":{"label":"Dumbo","extra":"A little elephant cartoon character. When he flaps his ears, he can fly!","sets":"Junior"},</v>
      </c>
    </row>
    <row r="282">
      <c r="A282" s="8" t="str">
        <f>IFERROR(__xludf.DUMMYFUNCTION("""COMPUTED_VALUE"""),"Dump Trucks")</f>
        <v>Dump Trucks</v>
      </c>
      <c r="B282" s="8" t="str">
        <f>IFERROR(__xludf.DUMMYFUNCTION("""COMPUTED_VALUE"""),"Large trucks that carry dirt, sand, and rocks.")</f>
        <v>Large trucks that carry dirt, sand, and rocks.</v>
      </c>
      <c r="C282" s="13" t="str">
        <f>IFERROR(__xludf.DUMMYFUNCTION("""COMPUTED_VALUE"""),"""gxus"":{""label"":""Dump Trucks"",""extra"":""Large trucks that carry dirt, sand, and rocks."",""sets"":""Junior 9+ (1st) &amp; (2nd)""},")</f>
        <v>"gxus":{"label":"Dump Trucks","extra":"Large trucks that carry dirt, sand, and rocks.","sets":"Junior 9+ (1st) &amp; (2nd)"},</v>
      </c>
    </row>
    <row r="283">
      <c r="A283" s="8" t="str">
        <f>IFERROR(__xludf.DUMMYFUNCTION("""COMPUTED_VALUE"""),"Dungeons &amp; Dragons")</f>
        <v>Dungeons &amp; Dragons</v>
      </c>
      <c r="B283" s="8" t="str">
        <f>IFERROR(__xludf.DUMMYFUNCTION("""COMPUTED_VALUE"""),"Popular role-playing game featuring swords, sorcery and wizards. Repeat after me: it's a game… it's only a game…")</f>
        <v>Popular role-playing game featuring swords, sorcery and wizards. Repeat after me: it's a game… it's only a game…</v>
      </c>
      <c r="C283" s="13" t="str">
        <f>IFERROR(__xludf.DUMMYFUNCTION("""COMPUTED_VALUE"""),"""xops"":{""label"":""Dungeons &amp; Dragons"",""extra"":""Popular role-playing game featuring swords, sorcery and wizards. Repeat after me: it's a game… it's only a game…"",""sets"":""Expansion Set 4, Party Expansion 1""},")</f>
        <v>"xops":{"label":"Dungeons &amp; Dragons","extra":"Popular role-playing game featuring swords, sorcery and wizards. Repeat after me: it's a game… it's only a game…","sets":"Expansion Set 4, Party Expansion 1"},</v>
      </c>
    </row>
    <row r="284">
      <c r="A284" s="8" t="str">
        <f>IFERROR(__xludf.DUMMYFUNCTION("""COMPUTED_VALUE"""),"Early Morning")</f>
        <v>Early Morning</v>
      </c>
      <c r="B284" s="8" t="str">
        <f>IFERROR(__xludf.DUMMYFUNCTION("""COMPUTED_VALUE"""),"“The early bird gets the worm!”")</f>
        <v>“The early bird gets the worm!”</v>
      </c>
      <c r="C284" s="13" t="str">
        <f>IFERROR(__xludf.DUMMYFUNCTION("""COMPUTED_VALUE"""),"""iiii"":{""label"":""Early Morning"",""extra"":""“The early bird gets the worm!”"",""sets"":""Junior 9+ (2nd)""},")</f>
        <v>"iiii":{"label":"Early Morning","extra":"“The early bird gets the worm!”","sets":"Junior 9+ (2nd)"},</v>
      </c>
    </row>
    <row r="285">
      <c r="A285" s="8" t="str">
        <f>IFERROR(__xludf.DUMMYFUNCTION("""COMPUTED_VALUE"""),"Ears")</f>
        <v>Ears</v>
      </c>
      <c r="B285" s="8" t="str">
        <f>IFERROR(__xludf.DUMMYFUNCTION("""COMPUTED_VALUE"""),"What?")</f>
        <v>What?</v>
      </c>
      <c r="C285" s="13" t="str">
        <f>IFERROR(__xludf.DUMMYFUNCTION("""COMPUTED_VALUE"""),"""orkx"":{""label"":""Ears"",""extra"":""What?"",""sets"":""Junior 9+ (2nd)""},")</f>
        <v>"orkx":{"label":"Ears","extra":"What?","sets":"Junior 9+ (2nd)"},</v>
      </c>
    </row>
    <row r="286">
      <c r="A286" s="8" t="str">
        <f>IFERROR(__xludf.DUMMYFUNCTION("""COMPUTED_VALUE"""),"Eating Breakfast")</f>
        <v>Eating Breakfast</v>
      </c>
      <c r="B286" s="8" t="str">
        <f>IFERROR(__xludf.DUMMYFUNCTION("""COMPUTED_VALUE"""),"It’s always breakfast time at a truck stop.")</f>
        <v>It’s always breakfast time at a truck stop.</v>
      </c>
      <c r="C286" s="13" t="str">
        <f>IFERROR(__xludf.DUMMYFUNCTION("""COMPUTED_VALUE"""),"""zdzw"":{""label"":""Eating Breakfast"",""extra"":""It’s always breakfast time at a truck stop."",""sets"":""Junior 9+ (1st) &amp; (2nd)""},")</f>
        <v>"zdzw":{"label":"Eating Breakfast","extra":"It’s always breakfast time at a truck stop.","sets":"Junior 9+ (1st) &amp; (2nd)"},</v>
      </c>
    </row>
    <row r="287">
      <c r="A287" s="8" t="str">
        <f>IFERROR(__xludf.DUMMYFUNCTION("""COMPUTED_VALUE"""),"Egg Rolls")</f>
        <v>Egg Rolls</v>
      </c>
      <c r="B287" s="8" t="str">
        <f>IFERROR(__xludf.DUMMYFUNCTION("""COMPUTED_VALUE"""),"Crunchy rolls filled with vegetables and meat. Available at Chinese restaurants.")</f>
        <v>Crunchy rolls filled with vegetables and meat. Available at Chinese restaurants.</v>
      </c>
      <c r="C287" s="13" t="str">
        <f>IFERROR(__xludf.DUMMYFUNCTION("""COMPUTED_VALUE"""),"""kbfc"":{""label"":""Egg Rolls"",""extra"":""Crunchy rolls filled with vegetables and meat. Available at Chinese restaurants."",""sets"":""Junior 9+ (1st) &amp; (2nd)""},")</f>
        <v>"kbfc":{"label":"Egg Rolls","extra":"Crunchy rolls filled with vegetables and meat. Available at Chinese restaurants.","sets":"Junior 9+ (1st) &amp; (2nd)"},</v>
      </c>
    </row>
    <row r="288">
      <c r="A288" s="8" t="str">
        <f>IFERROR(__xludf.DUMMYFUNCTION("""COMPUTED_VALUE"""),"Eggplant")</f>
        <v>Eggplant</v>
      </c>
      <c r="B288" s="8" t="str">
        <f>IFERROR(__xludf.DUMMYFUNCTION("""COMPUTED_VALUE"""),"Without it there would be no Eggplant Parmesan.")</f>
        <v>Without it there would be no Eggplant Parmesan.</v>
      </c>
      <c r="C288" s="13" t="str">
        <f>IFERROR(__xludf.DUMMYFUNCTION("""COMPUTED_VALUE"""),"""xuwe"":{""label"":""Eggplant"",""extra"":""Without it there would be no Eggplant Parmesan."",""sets"":""Expansion Set 3, Party Expansion 1""},")</f>
        <v>"xuwe":{"label":"Eggplant","extra":"Without it there would be no Eggplant Parmesan.","sets":"Expansion Set 3, Party Expansion 1"},</v>
      </c>
    </row>
    <row r="289">
      <c r="A289" s="8" t="str">
        <f>IFERROR(__xludf.DUMMYFUNCTION("""COMPUTED_VALUE"""),"Eggs")</f>
        <v>Eggs</v>
      </c>
      <c r="B289" s="8" t="str">
        <f>IFERROR(__xludf.DUMMYFUNCTION("""COMPUTED_VALUE"""),"Birds, fish, snakes and insects all lay eggs.")</f>
        <v>Birds, fish, snakes and insects all lay eggs.</v>
      </c>
      <c r="C289" s="13" t="str">
        <f>IFERROR(__xludf.DUMMYFUNCTION("""COMPUTED_VALUE"""),"""hawe"":{""label"":""Eggs"",""extra"":""Birds, fish, snakes and insects all lay eggs."",""sets"":""Junior 9+ (1st) &amp; (2nd)""},")</f>
        <v>"hawe":{"label":"Eggs","extra":"Birds, fish, snakes and insects all lay eggs.","sets":"Junior 9+ (1st) &amp; (2nd)"},</v>
      </c>
    </row>
    <row r="290">
      <c r="A290" s="8" t="str">
        <f>IFERROR(__xludf.DUMMYFUNCTION("""COMPUTED_VALUE"""),"Elephants")</f>
        <v>Elephants</v>
      </c>
      <c r="B290" s="8" t="str">
        <f>IFERROR(__xludf.DUMMYFUNCTION("""COMPUTED_VALUE"""),"Huge gray animals with large ears and trunks. Some elephants have tusks.")</f>
        <v>Huge gray animals with large ears and trunks. Some elephants have tusks.</v>
      </c>
      <c r="C290" s="13" t="str">
        <f>IFERROR(__xludf.DUMMYFUNCTION("""COMPUTED_VALUE"""),"""gqyj"":{""label"":""Elephants"",""extra"":""Huge gray animals with large ears and trunks. Some elephants have tusks."",""sets"":""Junior""},")</f>
        <v>"gqyj":{"label":"Elephants","extra":"Huge gray animals with large ears and trunks. Some elephants have tusks.","sets":"Junior"},</v>
      </c>
    </row>
    <row r="291">
      <c r="A291" s="8" t="str">
        <f>IFERROR(__xludf.DUMMYFUNCTION("""COMPUTED_VALUE"""),"Elevators")</f>
        <v>Elevators</v>
      </c>
      <c r="B291" s="8" t="str">
        <f>IFERROR(__xludf.DUMMYFUNCTION("""COMPUTED_VALUE"""),"The 110-story Sears Tower in Chicago has 104 elevators.")</f>
        <v>The 110-story Sears Tower in Chicago has 104 elevators.</v>
      </c>
      <c r="C291" s="13" t="str">
        <f>IFERROR(__xludf.DUMMYFUNCTION("""COMPUTED_VALUE"""),"""lxgr"":{""label"":""Elevators"",""extra"":""The 110-story Sears Tower in Chicago has 104 elevators."",""sets"":""Junior 9+ (2nd)""},")</f>
        <v>"lxgr":{"label":"Elevators","extra":"The 110-story Sears Tower in Chicago has 104 elevators.","sets":"Junior 9+ (2nd)"},</v>
      </c>
    </row>
    <row r="292">
      <c r="A292" s="8" t="str">
        <f>IFERROR(__xludf.DUMMYFUNCTION("""COMPUTED_VALUE"""),"Elmo")</f>
        <v>Elmo</v>
      </c>
      <c r="B292" s="8" t="str">
        <f>IFERROR(__xludf.DUMMYFUNCTION("""COMPUTED_VALUE"""),"A little, red, fuzzy guy from Sesame Street. Tickle me!")</f>
        <v>A little, red, fuzzy guy from Sesame Street. Tickle me!</v>
      </c>
      <c r="C292" s="13" t="str">
        <f>IFERROR(__xludf.DUMMYFUNCTION("""COMPUTED_VALUE"""),"""jsgl"":{""label"":""Elmo"",""extra"":""A little, red, fuzzy guy from Sesame Street. Tickle me!"",""sets"":""Junior 9+ (1st) &amp; (2nd)""},")</f>
        <v>"jsgl":{"label":"Elmo","extra":"A little, red, fuzzy guy from Sesame Street. Tickle me!","sets":"Junior 9+ (1st) &amp; (2nd)"},</v>
      </c>
    </row>
    <row r="293">
      <c r="A293" s="8" t="str">
        <f>IFERROR(__xludf.DUMMYFUNCTION("""COMPUTED_VALUE"""),"Emergency Rooms")</f>
        <v>Emergency Rooms</v>
      </c>
      <c r="B293" s="8" t="str">
        <f>IFERROR(__xludf.DUMMYFUNCTION("""COMPUTED_VALUE"""),"Brings new meaning to he word “heartthrob.”")</f>
        <v>Brings new meaning to he word “heartthrob.”</v>
      </c>
      <c r="C293" s="13" t="str">
        <f>IFERROR(__xludf.DUMMYFUNCTION("""COMPUTED_VALUE"""),"""nhkc"":{""label"":""Emergency Rooms"",""extra"":""Brings new meaning to he word “heartthrob.”"",""sets"":""Expansion Set 3, Party Expansion 1""},")</f>
        <v>"nhkc":{"label":"Emergency Rooms","extra":"Brings new meaning to he word “heartthrob.”","sets":"Expansion Set 3, Party Expansion 1"},</v>
      </c>
    </row>
    <row r="294">
      <c r="A294" s="8" t="str">
        <f>IFERROR(__xludf.DUMMYFUNCTION("""COMPUTED_VALUE"""),"Erasers")</f>
        <v>Erasers</v>
      </c>
      <c r="B294" s="8" t="str">
        <f>IFERROR(__xludf.DUMMYFUNCTION("""COMPUTED_VALUE"""),"Because everybody makes mistakes.")</f>
        <v>Because everybody makes mistakes.</v>
      </c>
      <c r="C294" s="13" t="str">
        <f>IFERROR(__xludf.DUMMYFUNCTION("""COMPUTED_VALUE"""),"""bwkc"":{""label"":""Erasers"",""extra"":""Because everybody makes mistakes."",""sets"":""Junior 9+ (2nd)""},")</f>
        <v>"bwkc":{"label":"Erasers","extra":"Because everybody makes mistakes.","sets":"Junior 9+ (2nd)"},</v>
      </c>
    </row>
    <row r="295">
      <c r="A295" s="8" t="str">
        <f>IFERROR(__xludf.DUMMYFUNCTION("""COMPUTED_VALUE"""),"Exterminators")</f>
        <v>Exterminators</v>
      </c>
      <c r="B295" s="8" t="str">
        <f>IFERROR(__xludf.DUMMYFUNCTION("""COMPUTED_VALUE"""),"Bugs, rats and vermin. It’s time for chemical warfare.")</f>
        <v>Bugs, rats and vermin. It’s time for chemical warfare.</v>
      </c>
      <c r="C295" s="13" t="str">
        <f>IFERROR(__xludf.DUMMYFUNCTION("""COMPUTED_VALUE"""),"""wwob"":{""label"":""Exterminators"",""extra"":""Bugs, rats and vermin. It’s time for chemical warfare."",""sets"":""Expansion Set 3, Party Expansion 1""},")</f>
        <v>"wwob":{"label":"Exterminators","extra":"Bugs, rats and vermin. It’s time for chemical warfare.","sets":"Expansion Set 3, Party Expansion 1"},</v>
      </c>
    </row>
    <row r="296">
      <c r="A296" s="8" t="str">
        <f>IFERROR(__xludf.DUMMYFUNCTION("""COMPUTED_VALUE"""),"Eyes")</f>
        <v>Eyes</v>
      </c>
      <c r="B296" s="8" t="str">
        <f>IFERROR(__xludf.DUMMYFUNCTION("""COMPUTED_VALUE"""),"Flies have five eyes.")</f>
        <v>Flies have five eyes.</v>
      </c>
      <c r="C296" s="13" t="str">
        <f>IFERROR(__xludf.DUMMYFUNCTION("""COMPUTED_VALUE"""),"""fhat"":{""label"":""Eyes"",""extra"":""Flies have five eyes."",""sets"":""Junior 9+ (1st) &amp; (2nd)""},")</f>
        <v>"fhat":{"label":"Eyes","extra":"Flies have five eyes.","sets":"Junior 9+ (1st) &amp; (2nd)"},</v>
      </c>
    </row>
    <row r="297">
      <c r="A297" s="8" t="str">
        <f>IFERROR(__xludf.DUMMYFUNCTION("""COMPUTED_VALUE"""),"Face Paint")</f>
        <v>Face Paint</v>
      </c>
      <c r="B297" s="8" t="str">
        <f>IFERROR(__xludf.DUMMYFUNCTION("""COMPUTED_VALUE"""),"You can be a clown, a pirate, a cat, or whatever you want.")</f>
        <v>You can be a clown, a pirate, a cat, or whatever you want.</v>
      </c>
      <c r="C297" s="13" t="str">
        <f>IFERROR(__xludf.DUMMYFUNCTION("""COMPUTED_VALUE"""),"""qeqm"":{""label"":""Face Paint"",""extra"":""You can be a clown, a pirate, a cat, or whatever you want."",""sets"":""Junior""},")</f>
        <v>"qeqm":{"label":"Face Paint","extra":"You can be a clown, a pirate, a cat, or whatever you want.","sets":"Junior"},</v>
      </c>
    </row>
    <row r="298">
      <c r="A298" s="8" t="str">
        <f>IFERROR(__xludf.DUMMYFUNCTION("""COMPUTED_VALUE"""),"Factories")</f>
        <v>Factories</v>
      </c>
      <c r="B298" s="8" t="str">
        <f>IFERROR(__xludf.DUMMYFUNCTION("""COMPUTED_VALUE"""),"Oompa-Loompa! Willy Wonka and the Chocolate Factory!")</f>
        <v>Oompa-Loompa! Willy Wonka and the Chocolate Factory!</v>
      </c>
      <c r="C298" s="13" t="str">
        <f>IFERROR(__xludf.DUMMYFUNCTION("""COMPUTED_VALUE"""),"""ggek"":{""label"":""Factories"",""extra"":""Oompa-Loompa! Willy Wonka and the Chocolate Factory!"",""sets"":""Junior 9+ (2nd)""},")</f>
        <v>"ggek":{"label":"Factories","extra":"Oompa-Loompa! Willy Wonka and the Chocolate Factory!","sets":"Junior 9+ (2nd)"},</v>
      </c>
    </row>
    <row r="299">
      <c r="A299" s="8" t="str">
        <f>IFERROR(__xludf.DUMMYFUNCTION("""COMPUTED_VALUE"""),"Fairies")</f>
        <v>Fairies</v>
      </c>
      <c r="B299" s="8" t="str">
        <f>IFERROR(__xludf.DUMMYFUNCTION("""COMPUTED_VALUE"""),"Tiny, mischievous, mythical beings with magic powers. They live in Fairyland. Really.")</f>
        <v>Tiny, mischievous, mythical beings with magic powers. They live in Fairyland. Really.</v>
      </c>
      <c r="C299" s="13" t="str">
        <f>IFERROR(__xludf.DUMMYFUNCTION("""COMPUTED_VALUE"""),"""aylt"":{""label"":""Fairies"",""extra"":""Tiny, mischievous, mythical beings with magic powers. They live in Fairyland. Really."",""sets"":""Expansion Set 3, Party Expansion 1""},")</f>
        <v>"aylt":{"label":"Fairies","extra":"Tiny, mischievous, mythical beings with magic powers. They live in Fairyland. Really.","sets":"Expansion Set 3, Party Expansion 1"},</v>
      </c>
    </row>
    <row r="300">
      <c r="A300" s="8" t="str">
        <f>IFERROR(__xludf.DUMMYFUNCTION("""COMPUTED_VALUE"""),"Fairies")</f>
        <v>Fairies</v>
      </c>
      <c r="B300" s="8" t="str">
        <f>IFERROR(__xludf.DUMMYFUNCTION("""COMPUTED_VALUE"""),"Tiny storybook characters with wings and magic powers.")</f>
        <v>Tiny storybook characters with wings and magic powers.</v>
      </c>
      <c r="C300" s="13" t="str">
        <f>IFERROR(__xludf.DUMMYFUNCTION("""COMPUTED_VALUE"""),"""xqjy"":{""label"":""Fairies"",""extra"":""Tiny storybook characters with wings and magic powers."",""sets"":""Junior 9+ (1st) &amp; (2nd)""},")</f>
        <v>"xqjy":{"label":"Fairies","extra":"Tiny storybook characters with wings and magic powers.","sets":"Junior 9+ (1st) &amp; (2nd)"},</v>
      </c>
    </row>
    <row r="301">
      <c r="A301" s="8" t="str">
        <f>IFERROR(__xludf.DUMMYFUNCTION("""COMPUTED_VALUE"""),"Faith Hill")</f>
        <v>Faith Hill</v>
      </c>
      <c r="B301" s="8" t="str">
        <f>IFERROR(__xludf.DUMMYFUNCTION("""COMPUTED_VALUE"""),"1967-, American crossover country music artist. You just gotta have Faith.")</f>
        <v>1967-, American crossover country music artist. You just gotta have Faith.</v>
      </c>
      <c r="C301" s="13" t="str">
        <f>IFERROR(__xludf.DUMMYFUNCTION("""COMPUTED_VALUE"""),"""jafa"":{""label"":""Faith Hill"",""extra"":""1967-, American crossover country music artist. You just gotta have Faith."",""sets"":""Expansion Set 3, Party Expansion 1""},")</f>
        <v>"jafa":{"label":"Faith Hill","extra":"1967-, American crossover country music artist. You just gotta have Faith.","sets":"Expansion Set 3, Party Expansion 1"},</v>
      </c>
    </row>
    <row r="302">
      <c r="A302" s="8" t="str">
        <f>IFERROR(__xludf.DUMMYFUNCTION("""COMPUTED_VALUE"""),"Fame &amp; Fortune")</f>
        <v>Fame &amp; Fortune</v>
      </c>
      <c r="B302" s="8" t="str">
        <f>IFERROR(__xludf.DUMMYFUNCTION("""COMPUTED_VALUE"""),"Everybody may have 15 minutes of fame, but fortune is another thing altogether.")</f>
        <v>Everybody may have 15 minutes of fame, but fortune is another thing altogether.</v>
      </c>
      <c r="C302" s="13" t="str">
        <f>IFERROR(__xludf.DUMMYFUNCTION("""COMPUTED_VALUE"""),"""otyw"":{""label"":""Fame &amp; Fortune"",""extra"":""Everybody may have 15 minutes of fame, but fortune is another thing altogether."",""sets"":""Expansion Set 4, Party Expansion 1""},")</f>
        <v>"otyw":{"label":"Fame &amp; Fortune","extra":"Everybody may have 15 minutes of fame, but fortune is another thing altogether.","sets":"Expansion Set 4, Party Expansion 1"},</v>
      </c>
    </row>
    <row r="303">
      <c r="A303" s="8" t="str">
        <f>IFERROR(__xludf.DUMMYFUNCTION("""COMPUTED_VALUE"""),"Farmers")</f>
        <v>Farmers</v>
      </c>
      <c r="B303" s="8" t="str">
        <f>IFERROR(__xludf.DUMMYFUNCTION("""COMPUTED_VALUE"""),"There's a farmer in the dell.")</f>
        <v>There's a farmer in the dell.</v>
      </c>
      <c r="C303" s="13" t="str">
        <f>IFERROR(__xludf.DUMMYFUNCTION("""COMPUTED_VALUE"""),"""rank"":{""label"":""Farmers"",""extra"":""There's a farmer in the dell."",""sets"":""Junior 9+ (1st) &amp; (2nd)""},")</f>
        <v>"rank":{"label":"Farmers","extra":"There's a farmer in the dell.","sets":"Junior 9+ (1st) &amp; (2nd)"},</v>
      </c>
    </row>
    <row r="304">
      <c r="A304" s="8" t="str">
        <f>IFERROR(__xludf.DUMMYFUNCTION("""COMPUTED_VALUE"""),"Farms")</f>
        <v>Farms</v>
      </c>
      <c r="B304" s="8" t="str">
        <f>IFERROR(__xludf.DUMMYFUNCTION("""COMPUTED_VALUE"""),"A place where animals and crops are raised for food. “Old McDonald had a farm.”")</f>
        <v>A place where animals and crops are raised for food. “Old McDonald had a farm.”</v>
      </c>
      <c r="C304" s="13" t="str">
        <f>IFERROR(__xludf.DUMMYFUNCTION("""COMPUTED_VALUE"""),"""zenn"":{""label"":""Farms"",""extra"":""A place where animals and crops are raised for food. “Old McDonald had a farm.”"",""sets"":""Junior""},")</f>
        <v>"zenn":{"label":"Farms","extra":"A place where animals and crops are raised for food. “Old McDonald had a farm.”","sets":"Junior"},</v>
      </c>
    </row>
    <row r="305">
      <c r="A305" s="8" t="str">
        <f>IFERROR(__xludf.DUMMYFUNCTION("""COMPUTED_VALUE"""),"Fat")</f>
        <v>Fat</v>
      </c>
      <c r="B305" s="8" t="str">
        <f>IFERROR(__xludf.DUMMYFUNCTION("""COMPUTED_VALUE"""),"I can't believe I ate the whooooooole thing.")</f>
        <v>I can't believe I ate the whooooooole thing.</v>
      </c>
      <c r="C305" s="13" t="str">
        <f>IFERROR(__xludf.DUMMYFUNCTION("""COMPUTED_VALUE"""),"""nknb"":{""label"":""Fat"",""extra"":""I can't believe I ate the whooooooole thing."",""sets"":""Expansion Set 3, Party Expansion 1""},")</f>
        <v>"nknb":{"label":"Fat","extra":"I can't believe I ate the whooooooole thing.","sets":"Expansion Set 3, Party Expansion 1"},</v>
      </c>
    </row>
    <row r="306">
      <c r="A306" s="8" t="str">
        <f>IFERROR(__xludf.DUMMYFUNCTION("""COMPUTED_VALUE"""),"Feathers")</f>
        <v>Feathers</v>
      </c>
      <c r="B306" s="8" t="str">
        <f>IFERROR(__xludf.DUMMYFUNCTION("""COMPUTED_VALUE"""),"Feathers protect a bird’s skin, keep them warm, and help them fly.")</f>
        <v>Feathers protect a bird’s skin, keep them warm, and help them fly.</v>
      </c>
      <c r="C306" s="13" t="str">
        <f>IFERROR(__xludf.DUMMYFUNCTION("""COMPUTED_VALUE"""),"""vfci"":{""label"":""Feathers"",""extra"":""Feathers protect a bird’s skin, keep them warm, and help them fly."",""sets"":""Junior 9+ (1st) &amp; (2nd)""},")</f>
        <v>"vfci":{"label":"Feathers","extra":"Feathers protect a bird’s skin, keep them warm, and help them fly.","sets":"Junior 9+ (1st) &amp; (2nd)"},</v>
      </c>
    </row>
    <row r="307">
      <c r="A307" s="8" t="str">
        <f>IFERROR(__xludf.DUMMYFUNCTION("""COMPUTED_VALUE"""),"Ferdinand &amp; Isabella")</f>
        <v>Ferdinand &amp; Isabella</v>
      </c>
      <c r="B307" s="8" t="str">
        <f>IFERROR(__xludf.DUMMYFUNCTION("""COMPUTED_VALUE"""),"Late 15th century king and queen of Spain. They backed Christopher Columbus and benefitted royally.")</f>
        <v>Late 15th century king and queen of Spain. They backed Christopher Columbus and benefitted royally.</v>
      </c>
      <c r="C307" s="13" t="str">
        <f>IFERROR(__xludf.DUMMYFUNCTION("""COMPUTED_VALUE"""),"""grnv"":{""label"":""Ferdinand &amp; Isabella"",""extra"":""Late 15th century king and queen of Spain. They backed Christopher Columbus and benefitted royally."",""sets"":""Expansion Set 4, Party Expansion 1""},")</f>
        <v>"grnv":{"label":"Ferdinand &amp; Isabella","extra":"Late 15th century king and queen of Spain. They backed Christopher Columbus and benefitted royally.","sets":"Expansion Set 4, Party Expansion 1"},</v>
      </c>
    </row>
    <row r="308">
      <c r="A308" s="8" t="str">
        <f>IFERROR(__xludf.DUMMYFUNCTION("""COMPUTED_VALUE"""),"Finger Painting")</f>
        <v>Finger Painting</v>
      </c>
      <c r="B308" s="8" t="str">
        <f>IFERROR(__xludf.DUMMYFUNCTION("""COMPUTED_VALUE"""),"Just paint with your fingers. No brush needed!")</f>
        <v>Just paint with your fingers. No brush needed!</v>
      </c>
      <c r="C308" s="13" t="str">
        <f>IFERROR(__xludf.DUMMYFUNCTION("""COMPUTED_VALUE"""),"""lbxq"":{""label"":""Finger Painting"",""extra"":""Just paint with your fingers. No brush needed!"",""sets"":""Junior""},")</f>
        <v>"lbxq":{"label":"Finger Painting","extra":"Just paint with your fingers. No brush needed!","sets":"Junior"},</v>
      </c>
    </row>
    <row r="309">
      <c r="A309" s="8" t="str">
        <f>IFERROR(__xludf.DUMMYFUNCTION("""COMPUTED_VALUE"""),"Fire")</f>
        <v>Fire</v>
      </c>
      <c r="B309" s="8" t="str">
        <f>IFERROR(__xludf.DUMMYFUNCTION("""COMPUTED_VALUE"""),"Don’t get burned!")</f>
        <v>Don’t get burned!</v>
      </c>
      <c r="C309" s="13" t="str">
        <f>IFERROR(__xludf.DUMMYFUNCTION("""COMPUTED_VALUE"""),"""uhej"":{""label"":""Fire"",""extra"":""Don’t get burned!"",""sets"":""Junior""},")</f>
        <v>"uhej":{"label":"Fire","extra":"Don’t get burned!","sets":"Junior"},</v>
      </c>
    </row>
    <row r="310">
      <c r="A310" s="8" t="str">
        <f>IFERROR(__xludf.DUMMYFUNCTION("""COMPUTED_VALUE"""),"Firefighters")</f>
        <v>Firefighters</v>
      </c>
      <c r="B310" s="8" t="str">
        <f>IFERROR(__xludf.DUMMYFUNCTION("""COMPUTED_VALUE"""),"Their job is to put out fires. They also get to drive fire engines.")</f>
        <v>Their job is to put out fires. They also get to drive fire engines.</v>
      </c>
      <c r="C310" s="13" t="str">
        <f>IFERROR(__xludf.DUMMYFUNCTION("""COMPUTED_VALUE"""),"""eipe"":{""label"":""Firefighters"",""extra"":""Their job is to put out fires. They also get to drive fire engines."",""sets"":""Junior""},")</f>
        <v>"eipe":{"label":"Firefighters","extra":"Their job is to put out fires. They also get to drive fire engines.","sets":"Junior"},</v>
      </c>
    </row>
    <row r="311">
      <c r="A311" s="8" t="str">
        <f>IFERROR(__xludf.DUMMYFUNCTION("""COMPUTED_VALUE"""),"Fireworks")</f>
        <v>Fireworks</v>
      </c>
      <c r="B311" s="8" t="str">
        <f>IFERROR(__xludf.DUMMYFUNCTION("""COMPUTED_VALUE"""),"Bright, explosive displays often used for the 4th of July. Bang-Boom-Pop-Pop! Ohhh-Ahhh!")</f>
        <v>Bright, explosive displays often used for the 4th of July. Bang-Boom-Pop-Pop! Ohhh-Ahhh!</v>
      </c>
      <c r="C311" s="13" t="str">
        <f>IFERROR(__xludf.DUMMYFUNCTION("""COMPUTED_VALUE"""),"""{who"":{""label"":""Fireworks"",""extra"":""Bright, explosive displays often used for the 4th of July. Bang-Boom-Pop-Pop! Ohhh-Ahhh!"",""sets"":""Junior""},")</f>
        <v>"{who":{"label":"Fireworks","extra":"Bright, explosive displays often used for the 4th of July. Bang-Boom-Pop-Pop! Ohhh-Ahhh!","sets":"Junior"},</v>
      </c>
    </row>
    <row r="312">
      <c r="A312" s="8" t="str">
        <f>IFERROR(__xludf.DUMMYFUNCTION("""COMPUTED_VALUE"""),"Fish &amp; Chips")</f>
        <v>Fish &amp; Chips</v>
      </c>
      <c r="B312" s="8" t="str">
        <f>IFERROR(__xludf.DUMMYFUNCTION("""COMPUTED_VALUE"""),"Just wrap it in any old newspaper.")</f>
        <v>Just wrap it in any old newspaper.</v>
      </c>
      <c r="C312" s="13" t="str">
        <f>IFERROR(__xludf.DUMMYFUNCTION("""COMPUTED_VALUE"""),"""zldb"":{""label"":""Fish &amp; Chips"",""extra"":""Just wrap it in any old newspaper."",""sets"":""Expansion Set 4, Party Expansion 1""},")</f>
        <v>"zldb":{"label":"Fish &amp; Chips","extra":"Just wrap it in any old newspaper.","sets":"Expansion Set 4, Party Expansion 1"},</v>
      </c>
    </row>
    <row r="313">
      <c r="A313" s="8" t="str">
        <f>IFERROR(__xludf.DUMMYFUNCTION("""COMPUTED_VALUE"""),"Fishing")</f>
        <v>Fishing</v>
      </c>
      <c r="B313" s="8" t="str">
        <f>IFERROR(__xludf.DUMMYFUNCTION("""COMPUTED_VALUE"""),"The perfect way to spend a summer day. Maybe you’ll catch a big one!")</f>
        <v>The perfect way to spend a summer day. Maybe you’ll catch a big one!</v>
      </c>
      <c r="C313" s="13" t="str">
        <f>IFERROR(__xludf.DUMMYFUNCTION("""COMPUTED_VALUE"""),"""odxh"":{""label"":""Fishing"",""extra"":""The perfect way to spend a summer day. Maybe you’ll catch a big one!"",""sets"":""Junior""},")</f>
        <v>"odxh":{"label":"Fishing","extra":"The perfect way to spend a summer day. Maybe you’ll catch a big one!","sets":"Junior"},</v>
      </c>
    </row>
    <row r="314">
      <c r="A314" s="8" t="str">
        <f>IFERROR(__xludf.DUMMYFUNCTION("""COMPUTED_VALUE"""),"Flags")</f>
        <v>Flags</v>
      </c>
      <c r="B314" s="8" t="str">
        <f>IFERROR(__xludf.DUMMYFUNCTION("""COMPUTED_VALUE"""),"There are fifty stars and thirteen stripes on the flag of the United States of America.")</f>
        <v>There are fifty stars and thirteen stripes on the flag of the United States of America.</v>
      </c>
      <c r="C314" s="13" t="str">
        <f>IFERROR(__xludf.DUMMYFUNCTION("""COMPUTED_VALUE"""),"""emsc"":{""label"":""Flags"",""extra"":""There are fifty stars and thirteen stripes on the flag of the United States of America."",""sets"":""Junior 9+ (1st) &amp; (2nd)""},")</f>
        <v>"emsc":{"label":"Flags","extra":"There are fifty stars and thirteen stripes on the flag of the United States of America.","sets":"Junior 9+ (1st) &amp; (2nd)"},</v>
      </c>
    </row>
    <row r="315">
      <c r="A315" s="8" t="str">
        <f>IFERROR(__xludf.DUMMYFUNCTION("""COMPUTED_VALUE"""),"Flannel Shirts")</f>
        <v>Flannel Shirts</v>
      </c>
      <c r="B315" s="8" t="str">
        <f>IFERROR(__xludf.DUMMYFUNCTION("""COMPUTED_VALUE"""),"Pick your plaid.")</f>
        <v>Pick your plaid.</v>
      </c>
      <c r="C315" s="13" t="str">
        <f>IFERROR(__xludf.DUMMYFUNCTION("""COMPUTED_VALUE"""),"""fuxp"":{""label"":""Flannel Shirts"",""extra"":""Pick your plaid."",""sets"":""Expansion Set 3, Party Expansion 1""},")</f>
        <v>"fuxp":{"label":"Flannel Shirts","extra":"Pick your plaid.","sets":"Expansion Set 3, Party Expansion 1"},</v>
      </c>
    </row>
    <row r="316">
      <c r="A316" s="8" t="str">
        <f>IFERROR(__xludf.DUMMYFUNCTION("""COMPUTED_VALUE"""),"Flash Floods")</f>
        <v>Flash Floods</v>
      </c>
      <c r="B316" s="8" t="str">
        <f>IFERROR(__xludf.DUMMYFUNCTION("""COMPUTED_VALUE"""),"Too late for sandbags!")</f>
        <v>Too late for sandbags!</v>
      </c>
      <c r="C316" s="13" t="str">
        <f>IFERROR(__xludf.DUMMYFUNCTION("""COMPUTED_VALUE"""),"""oser"":{""label"":""Flash Floods"",""extra"":""Too late for sandbags!"",""sets"":""Expansion Set 3, Party Expansion 1""},")</f>
        <v>"oser":{"label":"Flash Floods","extra":"Too late for sandbags!","sets":"Expansion Set 3, Party Expansion 1"},</v>
      </c>
    </row>
    <row r="317">
      <c r="A317" s="8" t="str">
        <f>IFERROR(__xludf.DUMMYFUNCTION("""COMPUTED_VALUE"""),"Flashlights")</f>
        <v>Flashlights</v>
      </c>
      <c r="B317" s="8" t="str">
        <f>IFERROR(__xludf.DUMMYFUNCTION("""COMPUTED_VALUE"""),"Good for camping and reading under the covers.")</f>
        <v>Good for camping and reading under the covers.</v>
      </c>
      <c r="C317" s="13" t="str">
        <f>IFERROR(__xludf.DUMMYFUNCTION("""COMPUTED_VALUE"""),"""tobr"":{""label"":""Flashlights"",""extra"":""Good for camping and reading under the covers."",""sets"":""Junior 9+ (1st) &amp; (2nd)""},")</f>
        <v>"tobr":{"label":"Flashlights","extra":"Good for camping and reading under the covers.","sets":"Junior 9+ (1st) &amp; (2nd)"},</v>
      </c>
    </row>
    <row r="318">
      <c r="A318" s="8" t="str">
        <f>IFERROR(__xludf.DUMMYFUNCTION("""COMPUTED_VALUE"""),"Flies")</f>
        <v>Flies</v>
      </c>
      <c r="B318" s="8" t="str">
        <f>IFERROR(__xludf.DUMMYFUNCTION("""COMPUTED_VALUE"""),"A group of insects with wings. They enjoy picnics.")</f>
        <v>A group of insects with wings. They enjoy picnics.</v>
      </c>
      <c r="C318" s="13" t="str">
        <f>IFERROR(__xludf.DUMMYFUNCTION("""COMPUTED_VALUE"""),"""sgsp"":{""label"":""Flies"",""extra"":""A group of insects with wings. They enjoy picnics."",""sets"":""Junior 9+ (1st) &amp; (2nd)""},")</f>
        <v>"sgsp":{"label":"Flies","extra":"A group of insects with wings. They enjoy picnics.","sets":"Junior 9+ (1st) &amp; (2nd)"},</v>
      </c>
    </row>
    <row r="319">
      <c r="A319" s="8" t="str">
        <f>IFERROR(__xludf.DUMMYFUNCTION("""COMPUTED_VALUE"""),"Flip-Flops")</f>
        <v>Flip-Flops</v>
      </c>
      <c r="B319" s="8" t="str">
        <f>IFERROR(__xludf.DUMMYFUNCTION("""COMPUTED_VALUE"""),"It’s the sound they make when you walk.")</f>
        <v>It’s the sound they make when you walk.</v>
      </c>
      <c r="C319" s="13" t="str">
        <f>IFERROR(__xludf.DUMMYFUNCTION("""COMPUTED_VALUE"""),"""qqro"":{""label"":""Flip-Flops"",""extra"":""It’s the sound they make when you walk."",""sets"":""Junior 9+ (2nd)""},")</f>
        <v>"qqro":{"label":"Flip-Flops","extra":"It’s the sound they make when you walk.","sets":"Junior 9+ (2nd)"},</v>
      </c>
    </row>
    <row r="320">
      <c r="A320" s="8" t="str">
        <f>IFERROR(__xludf.DUMMYFUNCTION("""COMPUTED_VALUE"""),"Floods")</f>
        <v>Floods</v>
      </c>
      <c r="B320" s="8" t="str">
        <f>IFERROR(__xludf.DUMMYFUNCTION("""COMPUTED_VALUE"""),"Heavy rains and melting snow can cause floods.")</f>
        <v>Heavy rains and melting snow can cause floods.</v>
      </c>
      <c r="C320" s="13" t="str">
        <f>IFERROR(__xludf.DUMMYFUNCTION("""COMPUTED_VALUE"""),"""hoxb"":{""label"":""Floods"",""extra"":""Heavy rains and melting snow can cause floods."",""sets"":""Junior 9+ (1st) &amp; (2nd)""},")</f>
        <v>"hoxb":{"label":"Floods","extra":"Heavy rains and melting snow can cause floods.","sets":"Junior 9+ (1st) &amp; (2nd)"},</v>
      </c>
    </row>
    <row r="321">
      <c r="A321" s="8" t="str">
        <f>IFERROR(__xludf.DUMMYFUNCTION("""COMPUTED_VALUE"""),"Florence Nightengale")</f>
        <v>Florence Nightengale</v>
      </c>
      <c r="B321" s="8" t="str">
        <f>IFERROR(__xludf.DUMMYFUNCTION("""COMPUTED_VALUE"""),"1820-1910, English nurse and health-care reformer. We’ve been singing her praises for years.")</f>
        <v>1820-1910, English nurse and health-care reformer. We’ve been singing her praises for years.</v>
      </c>
      <c r="C321" s="13" t="str">
        <f>IFERROR(__xludf.DUMMYFUNCTION("""COMPUTED_VALUE"""),"""ojms"":{""label"":""Florence Nightengale"",""extra"":""1820-1910, English nurse and health-care reformer. We’ve been singing her praises for years."",""sets"":""Expansion Set 3, Party Expansion 1""},")</f>
        <v>"ojms":{"label":"Florence Nightengale","extra":"1820-1910, English nurse and health-care reformer. We’ve been singing her praises for years.","sets":"Expansion Set 3, Party Expansion 1"},</v>
      </c>
    </row>
    <row r="322">
      <c r="A322" s="8" t="str">
        <f>IFERROR(__xludf.DUMMYFUNCTION("""COMPUTED_VALUE"""),"Flour")</f>
        <v>Flour</v>
      </c>
      <c r="B322" s="8" t="str">
        <f>IFERROR(__xludf.DUMMYFUNCTION("""COMPUTED_VALUE"""),"Flour is made by grinding wheat and other grains.")</f>
        <v>Flour is made by grinding wheat and other grains.</v>
      </c>
      <c r="C322" s="13" t="str">
        <f>IFERROR(__xludf.DUMMYFUNCTION("""COMPUTED_VALUE"""),"""ocxs"":{""label"":""Flour"",""extra"":""Flour is made by grinding wheat and other grains."",""sets"":""Junior 9+ (2nd)""},")</f>
        <v>"ocxs":{"label":"Flour","extra":"Flour is made by grinding wheat and other grains.","sets":"Junior 9+ (2nd)"},</v>
      </c>
    </row>
    <row r="323">
      <c r="A323" s="8" t="str">
        <f>IFERROR(__xludf.DUMMYFUNCTION("""COMPUTED_VALUE"""),"Flower Gardens")</f>
        <v>Flower Gardens</v>
      </c>
      <c r="B323" s="8" t="str">
        <f>IFERROR(__xludf.DUMMYFUNCTION("""COMPUTED_VALUE"""),"No weeds allowed.")</f>
        <v>No weeds allowed.</v>
      </c>
      <c r="C323" s="13" t="str">
        <f>IFERROR(__xludf.DUMMYFUNCTION("""COMPUTED_VALUE"""),"""cswi"":{""label"":""Flower Gardens"",""extra"":""No weeds allowed."",""sets"":""Junior 9+ (2nd)""},")</f>
        <v>"cswi":{"label":"Flower Gardens","extra":"No weeds allowed.","sets":"Junior 9+ (2nd)"},</v>
      </c>
    </row>
    <row r="324">
      <c r="A324" s="8" t="str">
        <f>IFERROR(__xludf.DUMMYFUNCTION("""COMPUTED_VALUE"""),"Flowers &amp; Candy")</f>
        <v>Flowers &amp; Candy</v>
      </c>
      <c r="B324" s="8" t="str">
        <f>IFERROR(__xludf.DUMMYFUNCTION("""COMPUTED_VALUE"""),"When “I’m sorry” is not enough.")</f>
        <v>When “I’m sorry” is not enough.</v>
      </c>
      <c r="C324" s="13" t="str">
        <f>IFERROR(__xludf.DUMMYFUNCTION("""COMPUTED_VALUE"""),"""upav"":{""label"":""Flowers &amp; Candy"",""extra"":""When “I’m sorry” is not enough."",""sets"":""Expansion Set 4, Party Expansion 1""},")</f>
        <v>"upav":{"label":"Flowers &amp; Candy","extra":"When “I’m sorry” is not enough.","sets":"Expansion Set 4, Party Expansion 1"},</v>
      </c>
    </row>
    <row r="325">
      <c r="A325" s="8" t="str">
        <f>IFERROR(__xludf.DUMMYFUNCTION("""COMPUTED_VALUE"""),"Flying A Kite")</f>
        <v>Flying A Kite</v>
      </c>
      <c r="B325" s="8" t="str">
        <f>IFERROR(__xludf.DUMMYFUNCTION("""COMPUTED_VALUE"""),"Don’t let go of the string!")</f>
        <v>Don’t let go of the string!</v>
      </c>
      <c r="C325" s="13" t="str">
        <f>IFERROR(__xludf.DUMMYFUNCTION("""COMPUTED_VALUE"""),"""zsyn"":{""label"":""Flying A Kite"",""extra"":""Don’t let go of the string!"",""sets"":""Junior""},")</f>
        <v>"zsyn":{"label":"Flying A Kite","extra":"Don’t let go of the string!","sets":"Junior"},</v>
      </c>
    </row>
    <row r="326">
      <c r="A326" s="8" t="str">
        <f>IFERROR(__xludf.DUMMYFUNCTION("""COMPUTED_VALUE"""),"Folk Music")</f>
        <v>Folk Music</v>
      </c>
      <c r="B326" s="8" t="str">
        <f>IFERROR(__xludf.DUMMYFUNCTION("""COMPUTED_VALUE"""),"When you’re just fiddling around…")</f>
        <v>When you’re just fiddling around…</v>
      </c>
      <c r="C326" s="13" t="str">
        <f>IFERROR(__xludf.DUMMYFUNCTION("""COMPUTED_VALUE"""),"""cxvt"":{""label"":""Folk Music"",""extra"":""When you’re just fiddling around…"",""sets"":""Expansion Set 3, Party Expansion 1""},")</f>
        <v>"cxvt":{"label":"Folk Music","extra":"When you’re just fiddling around…","sets":"Expansion Set 3, Party Expansion 1"},</v>
      </c>
    </row>
    <row r="327">
      <c r="A327" s="8" t="str">
        <f>IFERROR(__xludf.DUMMYFUNCTION("""COMPUTED_VALUE"""),"Food &amp; Shelter")</f>
        <v>Food &amp; Shelter</v>
      </c>
      <c r="B327" s="8" t="str">
        <f>IFERROR(__xludf.DUMMYFUNCTION("""COMPUTED_VALUE"""),"Gotta have it.")</f>
        <v>Gotta have it.</v>
      </c>
      <c r="C327" s="13" t="str">
        <f>IFERROR(__xludf.DUMMYFUNCTION("""COMPUTED_VALUE"""),"""pkcb"":{""label"":""Food &amp; Shelter"",""extra"":""Gotta have it."",""sets"":""Expansion Set 4, Party Expansion 1""},")</f>
        <v>"pkcb":{"label":"Food &amp; Shelter","extra":"Gotta have it.","sets":"Expansion Set 4, Party Expansion 1"},</v>
      </c>
    </row>
    <row r="328">
      <c r="A328" s="8" t="str">
        <f>IFERROR(__xludf.DUMMYFUNCTION("""COMPUTED_VALUE"""),"Food Poisoning")</f>
        <v>Food Poisoning</v>
      </c>
      <c r="B328" s="8" t="str">
        <f>IFERROR(__xludf.DUMMYFUNCTION("""COMPUTED_VALUE"""),"This chicken tastes kinda funny…")</f>
        <v>This chicken tastes kinda funny…</v>
      </c>
      <c r="C328" s="13" t="str">
        <f>IFERROR(__xludf.DUMMYFUNCTION("""COMPUTED_VALUE"""),"""rwdq"":{""label"":""Food Poisoning"",""extra"":""This chicken tastes kinda funny…"",""sets"":""Expansion Set 3, Party Expansion 1""},")</f>
        <v>"rwdq":{"label":"Food Poisoning","extra":"This chicken tastes kinda funny…","sets":"Expansion Set 3, Party Expansion 1"},</v>
      </c>
    </row>
    <row r="329">
      <c r="A329" s="8" t="str">
        <f>IFERROR(__xludf.DUMMYFUNCTION("""COMPUTED_VALUE"""),"Foot &amp; Mouth")</f>
        <v>Foot &amp; Mouth</v>
      </c>
      <c r="B329" s="8" t="str">
        <f>IFERROR(__xludf.DUMMYFUNCTION("""COMPUTED_VALUE"""),"An infectious disease of animals with hooves. Not the same as foot-IN-mouth disease which affects everybody at one time or another.")</f>
        <v>An infectious disease of animals with hooves. Not the same as foot-IN-mouth disease which affects everybody at one time or another.</v>
      </c>
      <c r="C329" s="13" t="str">
        <f>IFERROR(__xludf.DUMMYFUNCTION("""COMPUTED_VALUE"""),"""tzse"":{""label"":""Foot &amp; Mouth"",""extra"":""An infectious disease of animals with hooves. Not the same as foot-IN-mouth disease which affects everybody at one time or another."",""sets"":""Expansion Set 4, Party Expansion 1""},")</f>
        <v>"tzse":{"label":"Foot &amp; Mouth","extra":"An infectious disease of animals with hooves. Not the same as foot-IN-mouth disease which affects everybody at one time or another.","sets":"Expansion Set 4, Party Expansion 1"},</v>
      </c>
    </row>
    <row r="330">
      <c r="A330" s="8" t="str">
        <f>IFERROR(__xludf.DUMMYFUNCTION("""COMPUTED_VALUE"""),"Football")</f>
        <v>Football</v>
      </c>
      <c r="B330" s="8" t="str">
        <f>IFERROR(__xludf.DUMMYFUNCTION("""COMPUTED_VALUE"""),"It's a ball AND a game.")</f>
        <v>It's a ball AND a game.</v>
      </c>
      <c r="C330" s="13" t="str">
        <f>IFERROR(__xludf.DUMMYFUNCTION("""COMPUTED_VALUE"""),"""nujb"":{""label"":""Football"",""extra"":""It's a ball AND a game."",""sets"":""Junior 9+ (1st) &amp; (2nd)""},")</f>
        <v>"nujb":{"label":"Football","extra":"It's a ball AND a game.","sets":"Junior 9+ (1st) &amp; (2nd)"},</v>
      </c>
    </row>
    <row r="331">
      <c r="A331" s="8" t="str">
        <f>IFERROR(__xludf.DUMMYFUNCTION("""COMPUTED_VALUE"""),"Football Players")</f>
        <v>Football Players</v>
      </c>
      <c r="B331" s="8" t="str">
        <f>IFERROR(__xludf.DUMMYFUNCTION("""COMPUTED_VALUE"""),"Punt, pass, and kick!")</f>
        <v>Punt, pass, and kick!</v>
      </c>
      <c r="C331" s="13" t="str">
        <f>IFERROR(__xludf.DUMMYFUNCTION("""COMPUTED_VALUE"""),"""bqjf"":{""label"":""Football Players"",""extra"":""Punt, pass, and kick!"",""sets"":""Junior""},")</f>
        <v>"bqjf":{"label":"Football Players","extra":"Punt, pass, and kick!","sets":"Junior"},</v>
      </c>
    </row>
    <row r="332">
      <c r="A332" s="8" t="str">
        <f>IFERROR(__xludf.DUMMYFUNCTION("""COMPUTED_VALUE"""),"Forest Fires")</f>
        <v>Forest Fires</v>
      </c>
      <c r="B332" s="8" t="str">
        <f>IFERROR(__xludf.DUMMYFUNCTION("""COMPUTED_VALUE"""),"Lightning can start forest fires.")</f>
        <v>Lightning can start forest fires.</v>
      </c>
      <c r="C332" s="13" t="str">
        <f>IFERROR(__xludf.DUMMYFUNCTION("""COMPUTED_VALUE"""),"""kvul"":{""label"":""Forest Fires"",""extra"":""Lightning can start forest fires."",""sets"":""Junior 9+ (1st) &amp; (2nd)""},")</f>
        <v>"kvul":{"label":"Forest Fires","extra":"Lightning can start forest fires.","sets":"Junior 9+ (1st) &amp; (2nd)"},</v>
      </c>
    </row>
    <row r="333">
      <c r="A333" s="8" t="str">
        <f>IFERROR(__xludf.DUMMYFUNCTION("""COMPUTED_VALUE"""),"Fortune Cookies")</f>
        <v>Fortune Cookies</v>
      </c>
      <c r="B333" s="8" t="str">
        <f>IFERROR(__xludf.DUMMYFUNCTION("""COMPUTED_VALUE"""),"“You will soon eat a flat, dry, tasteless cookie…”")</f>
        <v>“You will soon eat a flat, dry, tasteless cookie…”</v>
      </c>
      <c r="C333" s="13" t="str">
        <f>IFERROR(__xludf.DUMMYFUNCTION("""COMPUTED_VALUE"""),"""vtwx"":{""label"":""Fortune Cookies"",""extra"":""“You will soon eat a flat, dry, tasteless cookie…”"",""sets"":""Expansion Set 3, Party Expansion 1""},")</f>
        <v>"vtwx":{"label":"Fortune Cookies","extra":"“You will soon eat a flat, dry, tasteless cookie…”","sets":"Expansion Set 3, Party Expansion 1"},</v>
      </c>
    </row>
    <row r="334">
      <c r="A334" s="8" t="str">
        <f>IFERROR(__xludf.DUMMYFUNCTION("""COMPUTED_VALUE"""),"Fortune Teller")</f>
        <v>Fortune Teller</v>
      </c>
      <c r="B334" s="8" t="str">
        <f>IFERROR(__xludf.DUMMYFUNCTION("""COMPUTED_VALUE"""),"“My crystal ball says…”")</f>
        <v>“My crystal ball says…”</v>
      </c>
      <c r="C334" s="13" t="str">
        <f>IFERROR(__xludf.DUMMYFUNCTION("""COMPUTED_VALUE"""),"""fwgw"":{""label"":""Fortune Teller"",""extra"":""“My crystal ball says…”"",""sets"":""Junior 9+ (2nd)""},")</f>
        <v>"fwgw":{"label":"Fortune Teller","extra":"“My crystal ball says…”","sets":"Junior 9+ (2nd)"},</v>
      </c>
    </row>
    <row r="335">
      <c r="A335" s="8" t="str">
        <f>IFERROR(__xludf.DUMMYFUNCTION("""COMPUTED_VALUE"""),"Fourth Of July")</f>
        <v>Fourth Of July</v>
      </c>
      <c r="B335" s="8" t="str">
        <f>IFERROR(__xludf.DUMMYFUNCTION("""COMPUTED_VALUE"""),"The United States Independence Day. Lots of picnics and fireworks!")</f>
        <v>The United States Independence Day. Lots of picnics and fireworks!</v>
      </c>
      <c r="C335" s="13" t="str">
        <f>IFERROR(__xludf.DUMMYFUNCTION("""COMPUTED_VALUE"""),"""xczo"":{""label"":""Fourth Of July"",""extra"":""The United States Independence Day. Lots of picnics and fireworks!"",""sets"":""Junior""},")</f>
        <v>"xczo":{"label":"Fourth Of July","extra":"The United States Independence Day. Lots of picnics and fireworks!","sets":"Junior"},</v>
      </c>
    </row>
    <row r="336">
      <c r="A336" s="8" t="str">
        <f>IFERROR(__xludf.DUMMYFUNCTION("""COMPUTED_VALUE"""),"Freckles")</f>
        <v>Freckles</v>
      </c>
      <c r="B336" s="8" t="str">
        <f>IFERROR(__xludf.DUMMYFUNCTION("""COMPUTED_VALUE"""),"The more the merrier!")</f>
        <v>The more the merrier!</v>
      </c>
      <c r="C336" s="13" t="str">
        <f>IFERROR(__xludf.DUMMYFUNCTION("""COMPUTED_VALUE"""),"""oarl"":{""label"":""Freckles"",""extra"":""The more the merrier!"",""sets"":""Junior 9+ (2nd)""},")</f>
        <v>"oarl":{"label":"Freckles","extra":"The more the merrier!","sets":"Junior 9+ (2nd)"},</v>
      </c>
    </row>
    <row r="337">
      <c r="A337" s="8" t="str">
        <f>IFERROR(__xludf.DUMMYFUNCTION("""COMPUTED_VALUE"""),"Fred &amp; Ginger")</f>
        <v>Fred &amp; Ginger</v>
      </c>
      <c r="B337" s="8" t="str">
        <f>IFERROR(__xludf.DUMMYFUNCTION("""COMPUTED_VALUE"""),"Fred Astair &amp; Ginger Rogerstap dancing their way into the hearts of millions.")</f>
        <v>Fred Astair &amp; Ginger Rogerstap dancing their way into the hearts of millions.</v>
      </c>
      <c r="C337" s="13" t="str">
        <f>IFERROR(__xludf.DUMMYFUNCTION("""COMPUTED_VALUE"""),"""myik"":{""label"":""Fred &amp; Ginger"",""extra"":""Fred Astair &amp; Ginger Rogerstap dancing their way into the hearts of millions."",""sets"":""Expansion Set 4, Party Expansion 1""},")</f>
        <v>"myik":{"label":"Fred &amp; Ginger","extra":"Fred Astair &amp; Ginger Rogerstap dancing their way into the hearts of millions.","sets":"Expansion Set 4, Party Expansion 1"},</v>
      </c>
    </row>
    <row r="338">
      <c r="A338" s="8" t="str">
        <f>IFERROR(__xludf.DUMMYFUNCTION("""COMPUTED_VALUE"""),"Fred &amp; Wilma")</f>
        <v>Fred &amp; Wilma</v>
      </c>
      <c r="B338" s="8" t="str">
        <f>IFERROR(__xludf.DUMMYFUNCTION("""COMPUTED_VALUE"""),"Meet the Flintstones. “Yabba-dabba-doooo!”")</f>
        <v>Meet the Flintstones. “Yabba-dabba-doooo!”</v>
      </c>
      <c r="C338" s="13" t="str">
        <f>IFERROR(__xludf.DUMMYFUNCTION("""COMPUTED_VALUE"""),"""ynlf"":{""label"":""Fred &amp; Wilma"",""extra"":""Meet the Flintstones. “Yabba-dabba-doooo!”"",""sets"":""Expansion Set 4, Party Expansion 1""},")</f>
        <v>"ynlf":{"label":"Fred &amp; Wilma","extra":"Meet the Flintstones. “Yabba-dabba-doooo!”","sets":"Expansion Set 4, Party Expansion 1"},</v>
      </c>
    </row>
    <row r="339">
      <c r="A339" s="8" t="str">
        <f>IFERROR(__xludf.DUMMYFUNCTION("""COMPUTED_VALUE"""),"Fred Flintstone")</f>
        <v>Fred Flintstone</v>
      </c>
      <c r="B339" s="8" t="str">
        <f>IFERROR(__xludf.DUMMYFUNCTION("""COMPUTED_VALUE"""),"Yaba-daba-dooooo!")</f>
        <v>Yaba-daba-dooooo!</v>
      </c>
      <c r="C339" s="13" t="str">
        <f>IFERROR(__xludf.DUMMYFUNCTION("""COMPUTED_VALUE"""),"""npvm"":{""label"":""Fred Flintstone"",""extra"":""Yaba-daba-dooooo!"",""sets"":""Expansion Set 3, Party Expansion 1""},")</f>
        <v>"npvm":{"label":"Fred Flintstone","extra":"Yaba-daba-dooooo!","sets":"Expansion Set 3, Party Expansion 1"},</v>
      </c>
    </row>
    <row r="340">
      <c r="A340" s="8" t="str">
        <f>IFERROR(__xludf.DUMMYFUNCTION("""COMPUTED_VALUE"""),"French Fries")</f>
        <v>French Fries</v>
      </c>
      <c r="B340" s="8" t="str">
        <f>IFERROR(__xludf.DUMMYFUNCTION("""COMPUTED_VALUE"""),"In Europe, French fries are usually eaten with a fork.")</f>
        <v>In Europe, French fries are usually eaten with a fork.</v>
      </c>
      <c r="C340" s="13" t="str">
        <f>IFERROR(__xludf.DUMMYFUNCTION("""COMPUTED_VALUE"""),"""mskp"":{""label"":""French Fries"",""extra"":""In Europe, French fries are usually eaten with a fork."",""sets"":""Junior 9+ (1st) &amp; (2nd)""},")</f>
        <v>"mskp":{"label":"French Fries","extra":"In Europe, French fries are usually eaten with a fork.","sets":"Junior 9+ (1st) &amp; (2nd)"},</v>
      </c>
    </row>
    <row r="341">
      <c r="A341" s="8" t="str">
        <f>IFERROR(__xludf.DUMMYFUNCTION("""COMPUTED_VALUE"""),"Friends &amp; Family")</f>
        <v>Friends &amp; Family</v>
      </c>
      <c r="B341" s="8" t="str">
        <f>IFERROR(__xludf.DUMMYFUNCTION("""COMPUTED_VALUE"""),"There when you need them.")</f>
        <v>There when you need them.</v>
      </c>
      <c r="C341" s="13" t="str">
        <f>IFERROR(__xludf.DUMMYFUNCTION("""COMPUTED_VALUE"""),"""yscf"":{""label"":""Friends &amp; Family"",""extra"":""There when you need them."",""sets"":""Expansion Set 4, Party Expansion 1""},")</f>
        <v>"yscf":{"label":"Friends &amp; Family","extra":"There when you need them.","sets":"Expansion Set 4, Party Expansion 1"},</v>
      </c>
    </row>
    <row r="342">
      <c r="A342" s="8" t="str">
        <f>IFERROR(__xludf.DUMMYFUNCTION("""COMPUTED_VALUE"""),"Frisbees")</f>
        <v>Frisbees</v>
      </c>
      <c r="B342" s="8" t="str">
        <f>IFERROR(__xludf.DUMMYFUNCTION("""COMPUTED_VALUE"""),"The frisbee was introduced to the market in 1948. Take one for a spin.")</f>
        <v>The frisbee was introduced to the market in 1948. Take one for a spin.</v>
      </c>
      <c r="C342" s="13" t="str">
        <f>IFERROR(__xludf.DUMMYFUNCTION("""COMPUTED_VALUE"""),"""epbw"":{""label"":""Frisbees"",""extra"":""The frisbee was introduced to the market in 1948. Take one for a spin."",""sets"":""Expansion Set 3, Party Expansion 1""},")</f>
        <v>"epbw":{"label":"Frisbees","extra":"The frisbee was introduced to the market in 1948. Take one for a spin.","sets":"Expansion Set 3, Party Expansion 1"},</v>
      </c>
    </row>
    <row r="343">
      <c r="A343" s="8" t="str">
        <f>IFERROR(__xludf.DUMMYFUNCTION("""COMPUTED_VALUE"""),"Frog &amp; Toad")</f>
        <v>Frog &amp; Toad</v>
      </c>
      <c r="B343" s="8" t="str">
        <f>IFERROR(__xludf.DUMMYFUNCTION("""COMPUTED_VALUE"""),"Characters in a series of children’s books by Arnold Lobel, or any of the millions of frogs and toads who choose not to wear clothes.")</f>
        <v>Characters in a series of children’s books by Arnold Lobel, or any of the millions of frogs and toads who choose not to wear clothes.</v>
      </c>
      <c r="C343" s="13" t="str">
        <f>IFERROR(__xludf.DUMMYFUNCTION("""COMPUTED_VALUE"""),"""xodh"":{""label"":""Frog &amp; Toad"",""extra"":""Characters in a series of children’s books by Arnold Lobel, or any of the millions of frogs and toads who choose not to wear clothes."",""sets"":""Expansion Set 4, Party Expansion 1""},")</f>
        <v>"xodh":{"label":"Frog &amp; Toad","extra":"Characters in a series of children’s books by Arnold Lobel, or any of the millions of frogs and toads who choose not to wear clothes.","sets":"Expansion Set 4, Party Expansion 1"},</v>
      </c>
    </row>
    <row r="344">
      <c r="A344" s="8" t="str">
        <f>IFERROR(__xludf.DUMMYFUNCTION("""COMPUTED_VALUE"""),"Frogs")</f>
        <v>Frogs</v>
      </c>
      <c r="B344" s="8" t="str">
        <f>IFERROR(__xludf.DUMMYFUNCTION("""COMPUTED_VALUE"""),"Some frogs can jump 20 feet.")</f>
        <v>Some frogs can jump 20 feet.</v>
      </c>
      <c r="C344" s="13" t="str">
        <f>IFERROR(__xludf.DUMMYFUNCTION("""COMPUTED_VALUE"""),"""jjyd"":{""label"":""Frogs"",""extra"":""Some frogs can jump 20 feet."",""sets"":""Junior 9+ (1st) &amp; (2nd)""},")</f>
        <v>"jjyd":{"label":"Frogs","extra":"Some frogs can jump 20 feet.","sets":"Junior 9+ (1st) &amp; (2nd)"},</v>
      </c>
    </row>
    <row r="345">
      <c r="A345" s="8" t="str">
        <f>IFERROR(__xludf.DUMMYFUNCTION("""COMPUTED_VALUE"""),"Frosty The Snowman")</f>
        <v>Frosty The Snowman</v>
      </c>
      <c r="B345" s="8" t="str">
        <f>IFERROR(__xludf.DUMMYFUNCTION("""COMPUTED_VALUE"""),"This snowman has a corncob pipe and a button nose.")</f>
        <v>This snowman has a corncob pipe and a button nose.</v>
      </c>
      <c r="C345" s="13" t="str">
        <f>IFERROR(__xludf.DUMMYFUNCTION("""COMPUTED_VALUE"""),"""coxo"":{""label"":""Frosty The Snowman"",""extra"":""This snowman has a corncob pipe and a button nose."",""sets"":""Junior""},")</f>
        <v>"coxo":{"label":"Frosty The Snowman","extra":"This snowman has a corncob pipe and a button nose.","sets":"Junior"},</v>
      </c>
    </row>
    <row r="346">
      <c r="A346" s="8" t="str">
        <f>IFERROR(__xludf.DUMMYFUNCTION("""COMPUTED_VALUE"""),"Frozen Peas")</f>
        <v>Frozen Peas</v>
      </c>
      <c r="B346" s="8" t="str">
        <f>IFERROR(__xludf.DUMMYFUNCTION("""COMPUTED_VALUE"""),"Right under the frozen pizza.")</f>
        <v>Right under the frozen pizza.</v>
      </c>
      <c r="C346" s="13" t="str">
        <f>IFERROR(__xludf.DUMMYFUNCTION("""COMPUTED_VALUE"""),"""mygx"":{""label"":""Frozen Peas"",""extra"":""Right under the frozen pizza."",""sets"":""Junior 9+ (2nd)""},")</f>
        <v>"mygx":{"label":"Frozen Peas","extra":"Right under the frozen pizza.","sets":"Junior 9+ (2nd)"},</v>
      </c>
    </row>
    <row r="347">
      <c r="A347" s="8" t="str">
        <f>IFERROR(__xludf.DUMMYFUNCTION("""COMPUTED_VALUE"""),"Fur")</f>
        <v>Fur</v>
      </c>
      <c r="B347" s="8" t="str">
        <f>IFERROR(__xludf.DUMMYFUNCTION("""COMPUTED_VALUE"""),"The soft, hairy covering on the skin of some animals.")</f>
        <v>The soft, hairy covering on the skin of some animals.</v>
      </c>
      <c r="C347" s="13" t="str">
        <f>IFERROR(__xludf.DUMMYFUNCTION("""COMPUTED_VALUE"""),"""qqih"":{""label"":""Fur"",""extra"":""The soft, hairy covering on the skin of some animals."",""sets"":""Junior""},")</f>
        <v>"qqih":{"label":"Fur","extra":"The soft, hairy covering on the skin of some animals.","sets":"Junior"},</v>
      </c>
    </row>
    <row r="348">
      <c r="A348" s="8" t="str">
        <f>IFERROR(__xludf.DUMMYFUNCTION("""COMPUTED_VALUE"""),"Garages")</f>
        <v>Garages</v>
      </c>
      <c r="B348" s="8" t="str">
        <f>IFERROR(__xludf.DUMMYFUNCTION("""COMPUTED_VALUE"""),"Little houses for cars.")</f>
        <v>Little houses for cars.</v>
      </c>
      <c r="C348" s="13" t="str">
        <f>IFERROR(__xludf.DUMMYFUNCTION("""COMPUTED_VALUE"""),"""iffy"":{""label"":""Garages"",""extra"":""Little houses for cars."",""sets"":""Junior 9+ (2nd)""},")</f>
        <v>"iffy":{"label":"Garages","extra":"Little houses for cars.","sets":"Junior 9+ (2nd)"},</v>
      </c>
    </row>
    <row r="349">
      <c r="A349" s="8" t="str">
        <f>IFERROR(__xludf.DUMMYFUNCTION("""COMPUTED_VALUE"""),"Garbage Cans")</f>
        <v>Garbage Cans</v>
      </c>
      <c r="B349" s="8" t="str">
        <f>IFERROR(__xludf.DUMMYFUNCTION("""COMPUTED_VALUE"""),"A restaurant for raccoons.")</f>
        <v>A restaurant for raccoons.</v>
      </c>
      <c r="C349" s="13" t="str">
        <f>IFERROR(__xludf.DUMMYFUNCTION("""COMPUTED_VALUE"""),"""iolz"":{""label"":""Garbage Cans"",""extra"":""A restaurant for raccoons."",""sets"":""Junior 9+ (1st) &amp; (2nd)""},")</f>
        <v>"iolz":{"label":"Garbage Cans","extra":"A restaurant for raccoons.","sets":"Junior 9+ (1st) &amp; (2nd)"},</v>
      </c>
    </row>
    <row r="350">
      <c r="A350" s="8" t="str">
        <f>IFERROR(__xludf.DUMMYFUNCTION("""COMPUTED_VALUE"""),"Gardening")</f>
        <v>Gardening</v>
      </c>
      <c r="B350" s="8" t="str">
        <f>IFERROR(__xludf.DUMMYFUNCTION("""COMPUTED_VALUE"""),"Get in touch with your roots.")</f>
        <v>Get in touch with your roots.</v>
      </c>
      <c r="C350" s="13" t="str">
        <f>IFERROR(__xludf.DUMMYFUNCTION("""COMPUTED_VALUE"""),"""gnda"":{""label"":""Gardening"",""extra"":""Get in touch with your roots."",""sets"":""Expansion Set 3, Party Expansion 1""},")</f>
        <v>"gnda":{"label":"Gardening","extra":"Get in touch with your roots.","sets":"Expansion Set 3, Party Expansion 1"},</v>
      </c>
    </row>
    <row r="351">
      <c r="A351" s="8" t="str">
        <f>IFERROR(__xludf.DUMMYFUNCTION("""COMPUTED_VALUE"""),"Gas Stations")</f>
        <v>Gas Stations</v>
      </c>
      <c r="B351" s="8" t="str">
        <f>IFERROR(__xludf.DUMMYFUNCTION("""COMPUTED_VALUE"""),"How far to the next gas station?")</f>
        <v>How far to the next gas station?</v>
      </c>
      <c r="C351" s="13" t="str">
        <f>IFERROR(__xludf.DUMMYFUNCTION("""COMPUTED_VALUE"""),"""kews"":{""label"":""Gas Stations"",""extra"":""How far to the next gas station?"",""sets"":""Junior 9+ (1st) &amp; (2nd)""},")</f>
        <v>"kews":{"label":"Gas Stations","extra":"How far to the next gas station?","sets":"Junior 9+ (1st) &amp; (2nd)"},</v>
      </c>
    </row>
    <row r="352">
      <c r="A352" s="8" t="str">
        <f>IFERROR(__xludf.DUMMYFUNCTION("""COMPUTED_VALUE"""),"George &amp; Jane, His Wife")</f>
        <v>George &amp; Jane, His Wife</v>
      </c>
      <c r="B352" s="8" t="str">
        <f>IFERROR(__xludf.DUMMYFUNCTION("""COMPUTED_VALUE"""),"The Jetsons television show first aired in 1962. In spite of our best efforts, cars still can't fly.")</f>
        <v>The Jetsons television show first aired in 1962. In spite of our best efforts, cars still can't fly.</v>
      </c>
      <c r="C352" s="13" t="str">
        <f>IFERROR(__xludf.DUMMYFUNCTION("""COMPUTED_VALUE"""),"""kqlq"":{""label"":""George &amp; Jane, His Wife"",""extra"":""The Jetsons television show first aired in 1962. In spite of our best efforts, cars still can't fly."",""sets"":""Expansion Set 4, Party Expansion 1""},")</f>
        <v>"kqlq":{"label":"George &amp; Jane, His Wife","extra":"The Jetsons television show first aired in 1962. In spite of our best efforts, cars still can't fly.","sets":"Expansion Set 4, Party Expansion 1"},</v>
      </c>
    </row>
    <row r="353">
      <c r="A353" s="8" t="str">
        <f>IFERROR(__xludf.DUMMYFUNCTION("""COMPUTED_VALUE"""),"George Washington")</f>
        <v>George Washington</v>
      </c>
      <c r="B353" s="8" t="str">
        <f>IFERROR(__xludf.DUMMYFUNCTION("""COMPUTED_VALUE"""),"First president of the United States.")</f>
        <v>First president of the United States.</v>
      </c>
      <c r="C353" s="13" t="str">
        <f>IFERROR(__xludf.DUMMYFUNCTION("""COMPUTED_VALUE"""),"""djxg"":{""label"":""George Washington"",""extra"":""First president of the United States."",""sets"":""Junior""},")</f>
        <v>"djxg":{"label":"George Washington","extra":"First president of the United States.","sets":"Junior"},</v>
      </c>
    </row>
    <row r="354">
      <c r="A354" s="8" t="str">
        <f>IFERROR(__xludf.DUMMYFUNCTION("""COMPUTED_VALUE"""),"Getting A Haircut")</f>
        <v>Getting A Haircut</v>
      </c>
      <c r="B354" s="8" t="str">
        <f>IFERROR(__xludf.DUMMYFUNCTION("""COMPUTED_VALUE"""),"It will always grow back.")</f>
        <v>It will always grow back.</v>
      </c>
      <c r="C354" s="13" t="str">
        <f>IFERROR(__xludf.DUMMYFUNCTION("""COMPUTED_VALUE"""),"""jysl"":{""label"":""Getting A Haircut"",""extra"":""It will always grow back."",""sets"":""Junior 9+ (1st) &amp; (2nd)""},")</f>
        <v>"jysl":{"label":"Getting A Haircut","extra":"It will always grow back.","sets":"Junior 9+ (1st) &amp; (2nd)"},</v>
      </c>
    </row>
    <row r="355">
      <c r="A355" s="8" t="str">
        <f>IFERROR(__xludf.DUMMYFUNCTION("""COMPUTED_VALUE"""),"Getting A Shot")</f>
        <v>Getting A Shot</v>
      </c>
      <c r="B355" s="8" t="str">
        <f>IFERROR(__xludf.DUMMYFUNCTION("""COMPUTED_VALUE"""),"It’s better than getting sick!")</f>
        <v>It’s better than getting sick!</v>
      </c>
      <c r="C355" s="13" t="str">
        <f>IFERROR(__xludf.DUMMYFUNCTION("""COMPUTED_VALUE"""),"""znyb"":{""label"":""Getting A Shot"",""extra"":""It’s better than getting sick!"",""sets"":""Junior 9+ (1st) &amp; (2nd)""},")</f>
        <v>"znyb":{"label":"Getting A Shot","extra":"It’s better than getting sick!","sets":"Junior 9+ (1st) &amp; (2nd)"},</v>
      </c>
    </row>
    <row r="356">
      <c r="A356" s="8" t="str">
        <f>IFERROR(__xludf.DUMMYFUNCTION("""COMPUTED_VALUE"""),"Getting Lost")</f>
        <v>Getting Lost</v>
      </c>
      <c r="B356" s="8" t="str">
        <f>IFERROR(__xludf.DUMMYFUNCTION("""COMPUTED_VALUE"""),"Now, where did they go?")</f>
        <v>Now, where did they go?</v>
      </c>
      <c r="C356" s="13" t="str">
        <f>IFERROR(__xludf.DUMMYFUNCTION("""COMPUTED_VALUE"""),"""lenz"":{""label"":""Getting Lost"",""extra"":""Now, where did they go?"",""sets"":""Junior 9+ (1st) &amp; (2nd)""},")</f>
        <v>"lenz":{"label":"Getting Lost","extra":"Now, where did they go?","sets":"Junior 9+ (1st) &amp; (2nd)"},</v>
      </c>
    </row>
    <row r="357">
      <c r="A357" s="8" t="str">
        <f>IFERROR(__xludf.DUMMYFUNCTION("""COMPUTED_VALUE"""),"Getting Mail")</f>
        <v>Getting Mail</v>
      </c>
      <c r="B357" s="8" t="str">
        <f>IFERROR(__xludf.DUMMYFUNCTION("""COMPUTED_VALUE"""),"Letters, cards, magazines and packages. Is there anything for me?")</f>
        <v>Letters, cards, magazines and packages. Is there anything for me?</v>
      </c>
      <c r="C357" s="13" t="str">
        <f>IFERROR(__xludf.DUMMYFUNCTION("""COMPUTED_VALUE"""),"""ohmn"":{""label"":""Getting Mail"",""extra"":""Letters, cards, magazines and packages. Is there anything for me?"",""sets"":""Junior""},")</f>
        <v>"ohmn":{"label":"Getting Mail","extra":"Letters, cards, magazines and packages. Is there anything for me?","sets":"Junior"},</v>
      </c>
    </row>
    <row r="358">
      <c r="A358" s="8" t="str">
        <f>IFERROR(__xludf.DUMMYFUNCTION("""COMPUTED_VALUE"""),"Getting Sick")</f>
        <v>Getting Sick</v>
      </c>
      <c r="B358" s="8" t="str">
        <f>IFERROR(__xludf.DUMMYFUNCTION("""COMPUTED_VALUE"""),"Oh, I don't feel very good.")</f>
        <v>Oh, I don't feel very good.</v>
      </c>
      <c r="C358" s="13" t="str">
        <f>IFERROR(__xludf.DUMMYFUNCTION("""COMPUTED_VALUE"""),"""hmxd"":{""label"":""Getting Sick"",""extra"":""Oh, I don't feel very good."",""sets"":""Junior""},")</f>
        <v>"hmxd":{"label":"Getting Sick","extra":"Oh, I don't feel very good.","sets":"Junior"},</v>
      </c>
    </row>
    <row r="359">
      <c r="A359" s="8" t="str">
        <f>IFERROR(__xludf.DUMMYFUNCTION("""COMPUTED_VALUE"""),"Getting Stitches")</f>
        <v>Getting Stitches</v>
      </c>
      <c r="B359" s="8" t="str">
        <f>IFERROR(__xludf.DUMMYFUNCTION("""COMPUTED_VALUE"""),"Now they can sew you up or glue you back together.")</f>
        <v>Now they can sew you up or glue you back together.</v>
      </c>
      <c r="C359" s="13" t="str">
        <f>IFERROR(__xludf.DUMMYFUNCTION("""COMPUTED_VALUE"""),"""dvtd"":{""label"":""Getting Stitches"",""extra"":""Now they can sew you up or glue you back together."",""sets"":""Junior 9+ (2nd)""},")</f>
        <v>"dvtd":{"label":"Getting Stitches","extra":"Now they can sew you up or glue you back together.","sets":"Junior 9+ (2nd)"},</v>
      </c>
    </row>
    <row r="360">
      <c r="A360" s="8" t="str">
        <f>IFERROR(__xludf.DUMMYFUNCTION("""COMPUTED_VALUE"""),"Getting The Flu")</f>
        <v>Getting The Flu</v>
      </c>
      <c r="B360" s="8" t="str">
        <f>IFERROR(__xludf.DUMMYFUNCTION("""COMPUTED_VALUE"""),"Stay home, drink juice and watch TV.")</f>
        <v>Stay home, drink juice and watch TV.</v>
      </c>
      <c r="C360" s="13" t="str">
        <f>IFERROR(__xludf.DUMMYFUNCTION("""COMPUTED_VALUE"""),"""yxbz"":{""label"":""Getting The Flu"",""extra"":""Stay home, drink juice and watch TV."",""sets"":""Junior 9+ (2nd)""},")</f>
        <v>"yxbz":{"label":"Getting The Flu","extra":"Stay home, drink juice and watch TV.","sets":"Junior 9+ (2nd)"},</v>
      </c>
    </row>
    <row r="361">
      <c r="A361" s="8" t="str">
        <f>IFERROR(__xludf.DUMMYFUNCTION("""COMPUTED_VALUE"""),"Gettysburg, 1863")</f>
        <v>Gettysburg, 1863</v>
      </c>
      <c r="B361" s="8" t="str">
        <f>IFERROR(__xludf.DUMMYFUNCTION("""COMPUTED_VALUE"""),"The turning point of the American Civil War, a bit more than four score and seven years ago.")</f>
        <v>The turning point of the American Civil War, a bit more than four score and seven years ago.</v>
      </c>
      <c r="C361" s="13" t="str">
        <f>IFERROR(__xludf.DUMMYFUNCTION("""COMPUTED_VALUE"""),"""urur"":{""label"":""Gettysburg, 1863"",""extra"":""The turning point of the American Civil War, a bit more than four score and seven years ago."",""sets"":""Expansion Set 3, Party Expansion 1""},")</f>
        <v>"urur":{"label":"Gettysburg, 1863","extra":"The turning point of the American Civil War, a bit more than four score and seven years ago.","sets":"Expansion Set 3, Party Expansion 1"},</v>
      </c>
    </row>
    <row r="362">
      <c r="A362" s="8" t="str">
        <f>IFERROR(__xludf.DUMMYFUNCTION("""COMPUTED_VALUE"""),"Ghosts")</f>
        <v>Ghosts</v>
      </c>
      <c r="B362" s="8" t="str">
        <f>IFERROR(__xludf.DUMMYFUNCTION("""COMPUTED_VALUE"""),"A pale, shadowy form, and a favorite Halloween costume.")</f>
        <v>A pale, shadowy form, and a favorite Halloween costume.</v>
      </c>
      <c r="C362" s="13" t="str">
        <f>IFERROR(__xludf.DUMMYFUNCTION("""COMPUTED_VALUE"""),"""edgn"":{""label"":""Ghosts"",""extra"":""A pale, shadowy form, and a favorite Halloween costume."",""sets"":""Junior 9+ (1st) &amp; (2nd)""},")</f>
        <v>"edgn":{"label":"Ghosts","extra":"A pale, shadowy form, and a favorite Halloween costume.","sets":"Junior 9+ (1st) &amp; (2nd)"},</v>
      </c>
    </row>
    <row r="363">
      <c r="A363" s="8" t="str">
        <f>IFERROR(__xludf.DUMMYFUNCTION("""COMPUTED_VALUE"""),"Ghosts &amp; Goblins")</f>
        <v>Ghosts &amp; Goblins</v>
      </c>
      <c r="B363" s="8" t="str">
        <f>IFERROR(__xludf.DUMMYFUNCTION("""COMPUTED_VALUE"""),"“I see dead people.” —Cole Sear, The Sixth Sense")</f>
        <v>“I see dead people.” —Cole Sear, The Sixth Sense</v>
      </c>
      <c r="C363" s="13" t="str">
        <f>IFERROR(__xludf.DUMMYFUNCTION("""COMPUTED_VALUE"""),"""zwri"":{""label"":""Ghosts &amp; Goblins"",""extra"":""“I see dead people.” —Cole Sear, The Sixth Sense"",""sets"":""Expansion Set 4, Party Expansion 1""},")</f>
        <v>"zwri":{"label":"Ghosts &amp; Goblins","extra":"“I see dead people.” —Cole Sear, The Sixth Sense","sets":"Expansion Set 4, Party Expansion 1"},</v>
      </c>
    </row>
    <row r="364">
      <c r="A364" s="8" t="str">
        <f>IFERROR(__xludf.DUMMYFUNCTION("""COMPUTED_VALUE"""),"GI Joe")</f>
        <v>GI Joe</v>
      </c>
      <c r="B364" s="8" t="str">
        <f>IFERROR(__xludf.DUMMYFUNCTION("""COMPUTED_VALUE"""),"He's an “action figure,” not a “doll.”")</f>
        <v>He's an “action figure,” not a “doll.”</v>
      </c>
      <c r="C364" s="13" t="str">
        <f>IFERROR(__xludf.DUMMYFUNCTION("""COMPUTED_VALUE"""),"""oemx"":{""label"":""GI Joe"",""extra"":""He's an “action figure,” not a “doll.”"",""sets"":""Junior 9+ (2nd)""},")</f>
        <v>"oemx":{"label":"GI Joe","extra":"He's an “action figure,” not a “doll.”","sets":"Junior 9+ (2nd)"},</v>
      </c>
    </row>
    <row r="365">
      <c r="A365" s="8" t="str">
        <f>IFERROR(__xludf.DUMMYFUNCTION("""COMPUTED_VALUE"""),"Gilligan's Island")</f>
        <v>Gilligan's Island</v>
      </c>
      <c r="B365" s="8" t="str">
        <f>IFERROR(__xludf.DUMMYFUNCTION("""COMPUTED_VALUE"""),"Who would have thought that you could make a radio out of coconuts.")</f>
        <v>Who would have thought that you could make a radio out of coconuts.</v>
      </c>
      <c r="C365" s="13" t="str">
        <f>IFERROR(__xludf.DUMMYFUNCTION("""COMPUTED_VALUE"""),"""nlsr"":{""label"":""Gilligan's Island"",""extra"":""Who would have thought that you could make a radio out of coconuts."",""sets"":""Expansion Set 3, Party Expansion 1""},")</f>
        <v>"nlsr":{"label":"Gilligan's Island","extra":"Who would have thought that you could make a radio out of coconuts.","sets":"Expansion Set 3, Party Expansion 1"},</v>
      </c>
    </row>
    <row r="366">
      <c r="A366" s="8" t="str">
        <f>IFERROR(__xludf.DUMMYFUNCTION("""COMPUTED_VALUE"""),"Ginger &amp; Mary Ann")</f>
        <v>Ginger &amp; Mary Ann</v>
      </c>
      <c r="B366" s="8" t="str">
        <f>IFERROR(__xludf.DUMMYFUNCTION("""COMPUTED_VALUE"""),"“Here on Gilligan’s Isle.”")</f>
        <v>“Here on Gilligan’s Isle.”</v>
      </c>
      <c r="C366" s="13" t="str">
        <f>IFERROR(__xludf.DUMMYFUNCTION("""COMPUTED_VALUE"""),"""xldh"":{""label"":""Ginger &amp; Mary Ann"",""extra"":""“Here on Gilligan’s Isle.”"",""sets"":""Expansion Set 4, Party Expansion 1""},")</f>
        <v>"xldh":{"label":"Ginger &amp; Mary Ann","extra":"“Here on Gilligan’s Isle.”","sets":"Expansion Set 4, Party Expansion 1"},</v>
      </c>
    </row>
    <row r="367">
      <c r="A367" s="8" t="str">
        <f>IFERROR(__xludf.DUMMYFUNCTION("""COMPUTED_VALUE"""),"Giraffes")</f>
        <v>Giraffes</v>
      </c>
      <c r="B367" s="8" t="str">
        <f>IFERROR(__xludf.DUMMYFUNCTION("""COMPUTED_VALUE"""),"Giraffes can grow to 18 feet tall and have been known to kill a lion with a single kick. Not just another pretty face.")</f>
        <v>Giraffes can grow to 18 feet tall and have been known to kill a lion with a single kick. Not just another pretty face.</v>
      </c>
      <c r="C367" s="13" t="str">
        <f>IFERROR(__xludf.DUMMYFUNCTION("""COMPUTED_VALUE"""),"""w{nm"":{""label"":""Giraffes"",""extra"":""Giraffes can grow to 18 feet tall and have been known to kill a lion with a single kick. Not just another pretty face."",""sets"":""Expansion Set 3, Party Expansion 1""},")</f>
        <v>"w{nm":{"label":"Giraffes","extra":"Giraffes can grow to 18 feet tall and have been known to kill a lion with a single kick. Not just another pretty face.","sets":"Expansion Set 3, Party Expansion 1"},</v>
      </c>
    </row>
    <row r="368">
      <c r="A368" s="8" t="str">
        <f>IFERROR(__xludf.DUMMYFUNCTION("""COMPUTED_VALUE"""),"Girl Scouts")</f>
        <v>Girl Scouts</v>
      </c>
      <c r="B368" s="8" t="str">
        <f>IFERROR(__xludf.DUMMYFUNCTION("""COMPUTED_VALUE"""),"I will do my best to be honest and fair, friendly and helpful… and sell lots of cookies.")</f>
        <v>I will do my best to be honest and fair, friendly and helpful… and sell lots of cookies.</v>
      </c>
      <c r="C368" s="13" t="str">
        <f>IFERROR(__xludf.DUMMYFUNCTION("""COMPUTED_VALUE"""),"""f{im"":{""label"":""Girl Scouts"",""extra"":""I will do my best to be honest and fair, friendly and helpful… and sell lots of cookies."",""sets"":""Junior 9+ (2nd)""},")</f>
        <v>"f{im":{"label":"Girl Scouts","extra":"I will do my best to be honest and fair, friendly and helpful… and sell lots of cookies.","sets":"Junior 9+ (2nd)"},</v>
      </c>
    </row>
    <row r="369">
      <c r="A369" s="8" t="str">
        <f>IFERROR(__xludf.DUMMYFUNCTION("""COMPUTED_VALUE"""),"Girlfriends")</f>
        <v>Girlfriends</v>
      </c>
      <c r="B369" s="8" t="str">
        <f>IFERROR(__xludf.DUMMYFUNCTION("""COMPUTED_VALUE"""),"We're just friends!")</f>
        <v>We're just friends!</v>
      </c>
      <c r="C369" s="13" t="str">
        <f>IFERROR(__xludf.DUMMYFUNCTION("""COMPUTED_VALUE"""),"""dydi"":{""label"":""Girlfriends"",""extra"":""We're just friends!"",""sets"":""Junior 9+ (2nd)""},")</f>
        <v>"dydi":{"label":"Girlfriends","extra":"We're just friends!","sets":"Junior 9+ (2nd)"},</v>
      </c>
    </row>
    <row r="370">
      <c r="A370" s="8" t="str">
        <f>IFERROR(__xludf.DUMMYFUNCTION("""COMPUTED_VALUE"""),"Girls")</f>
        <v>Girls</v>
      </c>
      <c r="B370" s="8" t="str">
        <f>IFERROR(__xludf.DUMMYFUNCTION("""COMPUTED_VALUE"""),"“Sugar and spice and everything nice.”")</f>
        <v>“Sugar and spice and everything nice.”</v>
      </c>
      <c r="C370" s="13" t="str">
        <f>IFERROR(__xludf.DUMMYFUNCTION("""COMPUTED_VALUE"""),"""uodb"":{""label"":""Girls"",""extra"":""“Sugar and spice and everything nice.”"",""sets"":""Junior""},")</f>
        <v>"uodb":{"label":"Girls","extra":"“Sugar and spice and everything nice.”","sets":"Junior"},</v>
      </c>
    </row>
    <row r="371">
      <c r="A371" s="8" t="str">
        <f>IFERROR(__xludf.DUMMYFUNCTION("""COMPUTED_VALUE"""),"Glass")</f>
        <v>Glass</v>
      </c>
      <c r="B371" s="8" t="str">
        <f>IFERROR(__xludf.DUMMYFUNCTION("""COMPUTED_VALUE"""),"Glass is made by melting sand with potash or other chemicals.")</f>
        <v>Glass is made by melting sand with potash or other chemicals.</v>
      </c>
      <c r="C371" s="13" t="str">
        <f>IFERROR(__xludf.DUMMYFUNCTION("""COMPUTED_VALUE"""),"""jwlu"":{""label"":""Glass"",""extra"":""Glass is made by melting sand with potash or other chemicals."",""sets"":""Junior 9+ (1st) &amp; (2nd)""},")</f>
        <v>"jwlu":{"label":"Glass","extra":"Glass is made by melting sand with potash or other chemicals.","sets":"Junior 9+ (1st) &amp; (2nd)"},</v>
      </c>
    </row>
    <row r="372">
      <c r="A372" s="8" t="str">
        <f>IFERROR(__xludf.DUMMYFUNCTION("""COMPUTED_VALUE"""),"Globes")</f>
        <v>Globes</v>
      </c>
      <c r="B372" s="8" t="str">
        <f>IFERROR(__xludf.DUMMYFUNCTION("""COMPUTED_VALUE"""),"The world at your fingertips.")</f>
        <v>The world at your fingertips.</v>
      </c>
      <c r="C372" s="13" t="str">
        <f>IFERROR(__xludf.DUMMYFUNCTION("""COMPUTED_VALUE"""),"""ulwm"":{""label"":""Globes"",""extra"":""The world at your fingertips."",""sets"":""Junior 9+ (2nd)""},")</f>
        <v>"ulwm":{"label":"Globes","extra":"The world at your fingertips.","sets":"Junior 9+ (2nd)"},</v>
      </c>
    </row>
    <row r="373">
      <c r="A373" s="8" t="str">
        <f>IFERROR(__xludf.DUMMYFUNCTION("""COMPUTED_VALUE"""),"Glue")</f>
        <v>Glue</v>
      </c>
      <c r="B373" s="8" t="str">
        <f>IFERROR(__xludf.DUMMYFUNCTION("""COMPUTED_VALUE"""),"Very sticky stuff!")</f>
        <v>Very sticky stuff!</v>
      </c>
      <c r="C373" s="13" t="str">
        <f>IFERROR(__xludf.DUMMYFUNCTION("""COMPUTED_VALUE"""),"""qovg"":{""label"":""Glue"",""extra"":""Very sticky stuff!"",""sets"":""Junior""},")</f>
        <v>"qovg":{"label":"Glue","extra":"Very sticky stuff!","sets":"Junior"},</v>
      </c>
    </row>
    <row r="374">
      <c r="A374" s="8" t="str">
        <f>IFERROR(__xludf.DUMMYFUNCTION("""COMPUTED_VALUE"""),"Go Karts")</f>
        <v>Go Karts</v>
      </c>
      <c r="B374" s="8" t="str">
        <f>IFERROR(__xludf.DUMMYFUNCTION("""COMPUTED_VALUE"""),"Go kart, go!")</f>
        <v>Go kart, go!</v>
      </c>
      <c r="C374" s="13" t="str">
        <f>IFERROR(__xludf.DUMMYFUNCTION("""COMPUTED_VALUE"""),"""lagh"":{""label"":""Go Karts"",""extra"":""Go kart, go!"",""sets"":""Expansion Set 3, Party Expansion 1""},")</f>
        <v>"lagh":{"label":"Go Karts","extra":"Go kart, go!","sets":"Expansion Set 3, Party Expansion 1"},</v>
      </c>
    </row>
    <row r="375">
      <c r="A375" s="8" t="str">
        <f>IFERROR(__xludf.DUMMYFUNCTION("""COMPUTED_VALUE"""),"Goats")</f>
        <v>Goats</v>
      </c>
      <c r="B375" s="8" t="str">
        <f>IFERROR(__xludf.DUMMYFUNCTION("""COMPUTED_VALUE"""),"Goats have short horns and beards. They’ll eat anything.")</f>
        <v>Goats have short horns and beards. They’ll eat anything.</v>
      </c>
      <c r="C375" s="13" t="str">
        <f>IFERROR(__xludf.DUMMYFUNCTION("""COMPUTED_VALUE"""),"""ueim"":{""label"":""Goats"",""extra"":""Goats have short horns and beards. They’ll eat anything."",""sets"":""Junior 9+ (1st) &amp; (2nd)""},")</f>
        <v>"ueim":{"label":"Goats","extra":"Goats have short horns and beards. They’ll eat anything.","sets":"Junior 9+ (1st) &amp; (2nd)"},</v>
      </c>
    </row>
    <row r="376">
      <c r="A376" s="8" t="str">
        <f>IFERROR(__xludf.DUMMYFUNCTION("""COMPUTED_VALUE"""),"Going On A Cruise")</f>
        <v>Going On A Cruise</v>
      </c>
      <c r="B376" s="8" t="str">
        <f>IFERROR(__xludf.DUMMYFUNCTION("""COMPUTED_VALUE"""),"Iceberg, dead ahead!")</f>
        <v>Iceberg, dead ahead!</v>
      </c>
      <c r="C376" s="13" t="str">
        <f>IFERROR(__xludf.DUMMYFUNCTION("""COMPUTED_VALUE"""),"""cxmi"":{""label"":""Going On A Cruise"",""extra"":""Iceberg, dead ahead!"",""sets"":""Expansion Set 3, Party Expansion 1""},")</f>
        <v>"cxmi":{"label":"Going On A Cruise","extra":"Iceberg, dead ahead!","sets":"Expansion Set 3, Party Expansion 1"},</v>
      </c>
    </row>
    <row r="377">
      <c r="A377" s="8" t="str">
        <f>IFERROR(__xludf.DUMMYFUNCTION("""COMPUTED_VALUE"""),"Going On A Safari")</f>
        <v>Going On A Safari</v>
      </c>
      <c r="B377" s="8" t="str">
        <f>IFERROR(__xludf.DUMMYFUNCTION("""COMPUTED_VALUE"""),"Don’t feed the lions!")</f>
        <v>Don’t feed the lions!</v>
      </c>
      <c r="C377" s="13" t="str">
        <f>IFERROR(__xludf.DUMMYFUNCTION("""COMPUTED_VALUE"""),"""yjoc"":{""label"":""Going On A Safari"",""extra"":""Don’t feed the lions!"",""sets"":""Junior 9+ (2nd)""},")</f>
        <v>"yjoc":{"label":"Going On A Safari","extra":"Don’t feed the lions!","sets":"Junior 9+ (2nd)"},</v>
      </c>
    </row>
    <row r="378">
      <c r="A378" s="8" t="str">
        <f>IFERROR(__xludf.DUMMYFUNCTION("""COMPUTED_VALUE"""),"Going On Vacation")</f>
        <v>Going On Vacation</v>
      </c>
      <c r="B378" s="8" t="str">
        <f>IFERROR(__xludf.DUMMYFUNCTION("""COMPUTED_VALUE"""),"Pack your bags!")</f>
        <v>Pack your bags!</v>
      </c>
      <c r="C378" s="13" t="str">
        <f>IFERROR(__xludf.DUMMYFUNCTION("""COMPUTED_VALUE"""),"""bstc"":{""label"":""Going On Vacation"",""extra"":""Pack your bags!"",""sets"":""Junior 9+ (2nd)""},")</f>
        <v>"bstc":{"label":"Going On Vacation","extra":"Pack your bags!","sets":"Junior 9+ (2nd)"},</v>
      </c>
    </row>
    <row r="379">
      <c r="A379" s="8" t="str">
        <f>IFERROR(__xludf.DUMMYFUNCTION("""COMPUTED_VALUE"""),"Going To A Movie")</f>
        <v>Going To A Movie</v>
      </c>
      <c r="B379" s="8" t="str">
        <f>IFERROR(__xludf.DUMMYFUNCTION("""COMPUTED_VALUE"""),"Get some popcorn and watch the show.")</f>
        <v>Get some popcorn and watch the show.</v>
      </c>
      <c r="C379" s="13" t="str">
        <f>IFERROR(__xludf.DUMMYFUNCTION("""COMPUTED_VALUE"""),"""uvdt"":{""label"":""Going To A Movie"",""extra"":""Get some popcorn and watch the show."",""sets"":""Junior""},")</f>
        <v>"uvdt":{"label":"Going To A Movie","extra":"Get some popcorn and watch the show.","sets":"Junior"},</v>
      </c>
    </row>
    <row r="380">
      <c r="A380" s="8" t="str">
        <f>IFERROR(__xludf.DUMMYFUNCTION("""COMPUTED_VALUE"""),"Going To School")</f>
        <v>Going To School</v>
      </c>
      <c r="B380" s="8" t="str">
        <f>IFERROR(__xludf.DUMMYFUNCTION("""COMPUTED_VALUE"""),"The easiest way to get an education.")</f>
        <v>The easiest way to get an education.</v>
      </c>
      <c r="C380" s="13" t="str">
        <f>IFERROR(__xludf.DUMMYFUNCTION("""COMPUTED_VALUE"""),"""fofb"":{""label"":""Going To School"",""extra"":""The easiest way to get an education."",""sets"":""Junior 9+ (1st) &amp; (2nd)""},")</f>
        <v>"fofb":{"label":"Going To School","extra":"The easiest way to get an education.","sets":"Junior 9+ (1st) &amp; (2nd)"},</v>
      </c>
    </row>
    <row r="381">
      <c r="A381" s="8" t="str">
        <f>IFERROR(__xludf.DUMMYFUNCTION("""COMPUTED_VALUE"""),"Gold")</f>
        <v>Gold</v>
      </c>
      <c r="B381" s="8" t="str">
        <f>IFERROR(__xludf.DUMMYFUNCTION("""COMPUTED_VALUE"""),"Rare yellow metal used to make coins and jewelry.")</f>
        <v>Rare yellow metal used to make coins and jewelry.</v>
      </c>
      <c r="C381" s="13" t="str">
        <f>IFERROR(__xludf.DUMMYFUNCTION("""COMPUTED_VALUE"""),"""pvwx"":{""label"":""Gold"",""extra"":""Rare yellow metal used to make coins and jewelry."",""sets"":""Junior""},")</f>
        <v>"pvwx":{"label":"Gold","extra":"Rare yellow metal used to make coins and jewelry.","sets":"Junior"},</v>
      </c>
    </row>
    <row r="382">
      <c r="A382" s="8" t="str">
        <f>IFERROR(__xludf.DUMMYFUNCTION("""COMPUTED_VALUE"""),"Goldfish")</f>
        <v>Goldfish</v>
      </c>
      <c r="B382" s="8" t="str">
        <f>IFERROR(__xludf.DUMMYFUNCTION("""COMPUTED_VALUE"""),"Little orange fish that you can keep as pets.")</f>
        <v>Little orange fish that you can keep as pets.</v>
      </c>
      <c r="C382" s="13" t="str">
        <f>IFERROR(__xludf.DUMMYFUNCTION("""COMPUTED_VALUE"""),"""bmgl"":{""label"":""Goldfish"",""extra"":""Little orange fish that you can keep as pets."",""sets"":""Junior""},")</f>
        <v>"bmgl":{"label":"Goldfish","extra":"Little orange fish that you can keep as pets.","sets":"Junior"},</v>
      </c>
    </row>
    <row r="383">
      <c r="A383" s="8" t="str">
        <f>IFERROR(__xludf.DUMMYFUNCTION("""COMPUTED_VALUE"""),"Good &amp; Plenty")</f>
        <v>Good &amp; Plenty</v>
      </c>
      <c r="B383" s="8" t="str">
        <f>IFERROR(__xludf.DUMMYFUNCTION("""COMPUTED_VALUE"""),"The licorice candy was first produced in 1893, making it the oldest branded candy in the United States.")</f>
        <v>The licorice candy was first produced in 1893, making it the oldest branded candy in the United States.</v>
      </c>
      <c r="C383" s="13" t="str">
        <f>IFERROR(__xludf.DUMMYFUNCTION("""COMPUTED_VALUE"""),"""kpdi"":{""label"":""Good &amp; Plenty"",""extra"":""The licorice candy was first produced in 1893, making it the oldest branded candy in the United States."",""sets"":""Expansion Set 4, Party Expansion 1""},")</f>
        <v>"kpdi":{"label":"Good &amp; Plenty","extra":"The licorice candy was first produced in 1893, making it the oldest branded candy in the United States.","sets":"Expansion Set 4, Party Expansion 1"},</v>
      </c>
    </row>
    <row r="384">
      <c r="A384" s="8" t="str">
        <f>IFERROR(__xludf.DUMMYFUNCTION("""COMPUTED_VALUE"""),"Goose &amp; The Gander")</f>
        <v>Goose &amp; The Gander</v>
      </c>
      <c r="B384" s="8" t="str">
        <f>IFERROR(__xludf.DUMMYFUNCTION("""COMPUTED_VALUE"""),"If it’s good for the goose…")</f>
        <v>If it’s good for the goose…</v>
      </c>
      <c r="C384" s="13" t="str">
        <f>IFERROR(__xludf.DUMMYFUNCTION("""COMPUTED_VALUE"""),"""rvxi"":{""label"":""Goose &amp; The Gander"",""extra"":""If it’s good for the goose…"",""sets"":""Expansion Set 4, Party Expansion 1""},")</f>
        <v>"rvxi":{"label":"Goose &amp; The Gander","extra":"If it’s good for the goose…","sets":"Expansion Set 4, Party Expansion 1"},</v>
      </c>
    </row>
    <row r="385">
      <c r="A385" s="8" t="str">
        <f>IFERROR(__xludf.DUMMYFUNCTION("""COMPUTED_VALUE"""),"Gorillas")</f>
        <v>Gorillas</v>
      </c>
      <c r="B385" s="8" t="str">
        <f>IFERROR(__xludf.DUMMYFUNCTION("""COMPUTED_VALUE"""),"Large, strong primates. Gorillas come from Africa.")</f>
        <v>Large, strong primates. Gorillas come from Africa.</v>
      </c>
      <c r="C385" s="13" t="str">
        <f>IFERROR(__xludf.DUMMYFUNCTION("""COMPUTED_VALUE"""),"""zvyx"":{""label"":""Gorillas"",""extra"":""Large, strong primates. Gorillas come from Africa."",""sets"":""Junior 9+ (1st) &amp; (2nd)""},")</f>
        <v>"zvyx":{"label":"Gorillas","extra":"Large, strong primates. Gorillas come from Africa.","sets":"Junior 9+ (1st) &amp; (2nd)"},</v>
      </c>
    </row>
    <row r="386">
      <c r="A386" s="8" t="str">
        <f>IFERROR(__xludf.DUMMYFUNCTION("""COMPUTED_VALUE"""),"Grape Jelly")</f>
        <v>Grape Jelly</v>
      </c>
      <c r="B386" s="8" t="str">
        <f>IFERROR(__xludf.DUMMYFUNCTION("""COMPUTED_VALUE"""),"It’s perfect for peanut butter and jelly sandwiches.")</f>
        <v>It’s perfect for peanut butter and jelly sandwiches.</v>
      </c>
      <c r="C386" s="13" t="str">
        <f>IFERROR(__xludf.DUMMYFUNCTION("""COMPUTED_VALUE"""),"""cxct"":{""label"":""Grape Jelly"",""extra"":""It’s perfect for peanut butter and jelly sandwiches."",""sets"":""Junior 9+ (1st) &amp; (2nd)""},")</f>
        <v>"cxct":{"label":"Grape Jelly","extra":"It’s perfect for peanut butter and jelly sandwiches.","sets":"Junior 9+ (1st) &amp; (2nd)"},</v>
      </c>
    </row>
    <row r="387">
      <c r="A387" s="8" t="str">
        <f>IFERROR(__xludf.DUMMYFUNCTION("""COMPUTED_VALUE"""),"Grapefruit")</f>
        <v>Grapefruit</v>
      </c>
      <c r="B387" s="8" t="str">
        <f>IFERROR(__xludf.DUMMYFUNCTION("""COMPUTED_VALUE"""),"Not a grape, but it is a fruit.")</f>
        <v>Not a grape, but it is a fruit.</v>
      </c>
      <c r="C387" s="13" t="str">
        <f>IFERROR(__xludf.DUMMYFUNCTION("""COMPUTED_VALUE"""),"""zgnj"":{""label"":""Grapefruit"",""extra"":""Not a grape, but it is a fruit."",""sets"":""Junior 9+ (2nd)""},")</f>
        <v>"zgnj":{"label":"Grapefruit","extra":"Not a grape, but it is a fruit.","sets":"Junior 9+ (2nd)"},</v>
      </c>
    </row>
    <row r="388">
      <c r="A388" s="8" t="str">
        <f>IFERROR(__xludf.DUMMYFUNCTION("""COMPUTED_VALUE"""),"Grapes")</f>
        <v>Grapes</v>
      </c>
      <c r="B388" s="8" t="str">
        <f>IFERROR(__xludf.DUMMYFUNCTION("""COMPUTED_VALUE"""),"Small round fruit that grows in bunches, usually purple, red or green. They make good snacks!")</f>
        <v>Small round fruit that grows in bunches, usually purple, red or green. They make good snacks!</v>
      </c>
      <c r="C388" s="13" t="str">
        <f>IFERROR(__xludf.DUMMYFUNCTION("""COMPUTED_VALUE"""),"""ilun"":{""label"":""Grapes"",""extra"":""Small round fruit that grows in bunches, usually purple, red or green. They make good snacks!"",""sets"":""Junior""},")</f>
        <v>"ilun":{"label":"Grapes","extra":"Small round fruit that grows in bunches, usually purple, red or green. They make good snacks!","sets":"Junior"},</v>
      </c>
    </row>
    <row r="389">
      <c r="A389" s="8" t="str">
        <f>IFERROR(__xludf.DUMMYFUNCTION("""COMPUTED_VALUE"""),"Grassy Hill")</f>
        <v>Grassy Hill</v>
      </c>
      <c r="B389" s="8" t="str">
        <f>IFERROR(__xludf.DUMMYFUNCTION("""COMPUTED_VALUE"""),"Good for rolling down, flying kites, and playing games.")</f>
        <v>Good for rolling down, flying kites, and playing games.</v>
      </c>
      <c r="C389" s="13" t="str">
        <f>IFERROR(__xludf.DUMMYFUNCTION("""COMPUTED_VALUE"""),"""judl"":{""label"":""Grassy Hill"",""extra"":""Good for rolling down, flying kites, and playing games."",""sets"":""Junior""},")</f>
        <v>"judl":{"label":"Grassy Hill","extra":"Good for rolling down, flying kites, and playing games.","sets":"Junior"},</v>
      </c>
    </row>
    <row r="390">
      <c r="A390" s="8" t="str">
        <f>IFERROR(__xludf.DUMMYFUNCTION("""COMPUTED_VALUE"""),"Gravy")</f>
        <v>Gravy</v>
      </c>
      <c r="B390" s="8" t="str">
        <f>IFERROR(__xludf.DUMMYFUNCTION("""COMPUTED_VALUE"""),"Sauce made from meat juices. Got to have it on mashed potatoes.")</f>
        <v>Sauce made from meat juices. Got to have it on mashed potatoes.</v>
      </c>
      <c r="C390" s="13" t="str">
        <f>IFERROR(__xludf.DUMMYFUNCTION("""COMPUTED_VALUE"""),"""wgfd"":{""label"":""Gravy"",""extra"":""Sauce made from meat juices. Got to have it on mashed potatoes."",""sets"":""Junior 9+ (1st) &amp; (2nd)""},")</f>
        <v>"wgfd":{"label":"Gravy","extra":"Sauce made from meat juices. Got to have it on mashed potatoes.","sets":"Junior 9+ (1st) &amp; (2nd)"},</v>
      </c>
    </row>
    <row r="391">
      <c r="A391" s="8" t="str">
        <f>IFERROR(__xludf.DUMMYFUNCTION("""COMPUTED_VALUE"""),"Grease")</f>
        <v>Grease</v>
      </c>
      <c r="B391" s="8" t="str">
        <f>IFERROR(__xludf.DUMMYFUNCTION("""COMPUTED_VALUE"""),"Pretty slick!")</f>
        <v>Pretty slick!</v>
      </c>
      <c r="C391" s="13" t="str">
        <f>IFERROR(__xludf.DUMMYFUNCTION("""COMPUTED_VALUE"""),"""bcii"":{""label"":""Grease"",""extra"":""Pretty slick!"",""sets"":""Expansion Set 3, Party Expansion 1""},")</f>
        <v>"bcii":{"label":"Grease","extra":"Pretty slick!","sets":"Expansion Set 3, Party Expansion 1"},</v>
      </c>
    </row>
    <row r="392">
      <c r="A392" s="8" t="str">
        <f>IFERROR(__xludf.DUMMYFUNCTION("""COMPUTED_VALUE"""),"Grease &amp; Grime")</f>
        <v>Grease &amp; Grime</v>
      </c>
      <c r="B392" s="8" t="str">
        <f>IFERROR(__xludf.DUMMYFUNCTION("""COMPUTED_VALUE"""),"What would Martha do?")</f>
        <v>What would Martha do?</v>
      </c>
      <c r="C392" s="13" t="str">
        <f>IFERROR(__xludf.DUMMYFUNCTION("""COMPUTED_VALUE"""),"""nbuo"":{""label"":""Grease &amp; Grime"",""extra"":""What would Martha do?"",""sets"":""Expansion Set 4, Party Expansion 1""},")</f>
        <v>"nbuo":{"label":"Grease &amp; Grime","extra":"What would Martha do?","sets":"Expansion Set 4, Party Expansion 1"},</v>
      </c>
    </row>
    <row r="393">
      <c r="A393" s="8" t="str">
        <f>IFERROR(__xludf.DUMMYFUNCTION("""COMPUTED_VALUE"""),"Green Beans")</f>
        <v>Green Beans</v>
      </c>
      <c r="B393" s="8" t="str">
        <f>IFERROR(__xludf.DUMMYFUNCTION("""COMPUTED_VALUE"""),"Long, thin beans that you can eat raw or cooked.")</f>
        <v>Long, thin beans that you can eat raw or cooked.</v>
      </c>
      <c r="C393" s="13" t="str">
        <f>IFERROR(__xludf.DUMMYFUNCTION("""COMPUTED_VALUE"""),"""{wvk"":{""label"":""Green Beans"",""extra"":""Long, thin beans that you can eat raw or cooked."",""sets"":""Junior 9+ (1st) &amp; (2nd)""},")</f>
        <v>"{wvk":{"label":"Green Beans","extra":"Long, thin beans that you can eat raw or cooked.","sets":"Junior 9+ (1st) &amp; (2nd)"},</v>
      </c>
    </row>
    <row r="394">
      <c r="A394" s="8" t="str">
        <f>IFERROR(__xludf.DUMMYFUNCTION("""COMPUTED_VALUE"""),"Grocery Stores")</f>
        <v>Grocery Stores</v>
      </c>
      <c r="B394" s="8" t="str">
        <f>IFERROR(__xludf.DUMMYFUNCTION("""COMPUTED_VALUE"""),"Good places to buy food, supplies and candy!")</f>
        <v>Good places to buy food, supplies and candy!</v>
      </c>
      <c r="C394" s="13" t="str">
        <f>IFERROR(__xludf.DUMMYFUNCTION("""COMPUTED_VALUE"""),"""qddc"":{""label"":""Grocery Stores"",""extra"":""Good places to buy food, supplies and candy!"",""sets"":""Junior""},")</f>
        <v>"qddc":{"label":"Grocery Stores","extra":"Good places to buy food, supplies and candy!","sets":"Junior"},</v>
      </c>
    </row>
    <row r="395">
      <c r="A395" s="8" t="str">
        <f>IFERROR(__xludf.DUMMYFUNCTION("""COMPUTED_VALUE"""),"Guitars")</f>
        <v>Guitars</v>
      </c>
      <c r="B395" s="8" t="str">
        <f>IFERROR(__xludf.DUMMYFUNCTION("""COMPUTED_VALUE"""),"ROCK AND ROLL!")</f>
        <v>ROCK AND ROLL!</v>
      </c>
      <c r="C395" s="13" t="str">
        <f>IFERROR(__xludf.DUMMYFUNCTION("""COMPUTED_VALUE"""),"""mveq"":{""label"":""Guitars"",""extra"":""ROCK AND ROLL!"",""sets"":""Junior 9+ (2nd)""},")</f>
        <v>"mveq":{"label":"Guitars","extra":"ROCK AND ROLL!","sets":"Junior 9+ (2nd)"},</v>
      </c>
    </row>
    <row r="396">
      <c r="A396" s="8" t="str">
        <f>IFERROR(__xludf.DUMMYFUNCTION("""COMPUTED_VALUE"""),"Gummi Bears")</f>
        <v>Gummi Bears</v>
      </c>
      <c r="B396" s="8" t="str">
        <f>IFERROR(__xludf.DUMMYFUNCTION("""COMPUTED_VALUE"""),"Little rubbery candies shaped like bears.")</f>
        <v>Little rubbery candies shaped like bears.</v>
      </c>
      <c r="C396" s="13" t="str">
        <f>IFERROR(__xludf.DUMMYFUNCTION("""COMPUTED_VALUE"""),"""rrak"":{""label"":""Gummi Bears"",""extra"":""Little rubbery candies shaped like bears."",""sets"":""Junior""},")</f>
        <v>"rrak":{"label":"Gummi Bears","extra":"Little rubbery candies shaped like bears.","sets":"Junior"},</v>
      </c>
    </row>
    <row r="397">
      <c r="A397" s="8" t="str">
        <f>IFERROR(__xludf.DUMMYFUNCTION("""COMPUTED_VALUE"""),"Gymnastics")</f>
        <v>Gymnastics</v>
      </c>
      <c r="B397" s="8" t="str">
        <f>IFERROR(__xludf.DUMMYFUNCTION("""COMPUTED_VALUE"""),"Tucks, vaults and handsprings—it's harder than it looks.")</f>
        <v>Tucks, vaults and handsprings—it's harder than it looks.</v>
      </c>
      <c r="C397" s="13" t="str">
        <f>IFERROR(__xludf.DUMMYFUNCTION("""COMPUTED_VALUE"""),"""ockd"":{""label"":""Gymnastics"",""extra"":""Tucks, vaults and handsprings—it's harder than it looks."",""sets"":""Junior 9+ (2nd)""},")</f>
        <v>"ockd":{"label":"Gymnastics","extra":"Tucks, vaults and handsprings—it's harder than it looks.","sets":"Junior 9+ (2nd)"},</v>
      </c>
    </row>
    <row r="398">
      <c r="A398" s="8" t="str">
        <f>IFERROR(__xludf.DUMMYFUNCTION("""COMPUTED_VALUE"""),"Haiku")</f>
        <v>Haiku</v>
      </c>
      <c r="B398" s="8" t="str">
        <f>IFERROR(__xludf.DUMMYFUNCTION("""COMPUTED_VALUE"""),"Traditional form of Japanese poetry consisting of three lines, usually containing a reference to nature.")</f>
        <v>Traditional form of Japanese poetry consisting of three lines, usually containing a reference to nature.</v>
      </c>
      <c r="C398" s="13" t="str">
        <f>IFERROR(__xludf.DUMMYFUNCTION("""COMPUTED_VALUE"""),"""whra"":{""label"":""Haiku"",""extra"":""Traditional form of Japanese poetry consisting of three lines, usually containing a reference to nature."",""sets"":""Expansion Set 3, Party Expansion 1""},")</f>
        <v>"whra":{"label":"Haiku","extra":"Traditional form of Japanese poetry consisting of three lines, usually containing a reference to nature.","sets":"Expansion Set 3, Party Expansion 1"},</v>
      </c>
    </row>
    <row r="399">
      <c r="A399" s="8" t="str">
        <f>IFERROR(__xludf.DUMMYFUNCTION("""COMPUTED_VALUE"""),"Halloween")</f>
        <v>Halloween</v>
      </c>
      <c r="B399" s="8" t="str">
        <f>IFERROR(__xludf.DUMMYFUNCTION("""COMPUTED_VALUE"""),"The October 31st celebration featuring costumes, treats, and other spooky stuff.")</f>
        <v>The October 31st celebration featuring costumes, treats, and other spooky stuff.</v>
      </c>
      <c r="C399" s="13" t="str">
        <f>IFERROR(__xludf.DUMMYFUNCTION("""COMPUTED_VALUE"""),"""dyru"":{""label"":""Halloween"",""extra"":""The October 31st celebration featuring costumes, treats, and other spooky stuff."",""sets"":""Junior 9+ (2nd)""},")</f>
        <v>"dyru":{"label":"Halloween","extra":"The October 31st celebration featuring costumes, treats, and other spooky stuff.","sets":"Junior 9+ (2nd)"},</v>
      </c>
    </row>
    <row r="400">
      <c r="A400" s="8" t="str">
        <f>IFERROR(__xludf.DUMMYFUNCTION("""COMPUTED_VALUE"""),"Ham Sandwhich")</f>
        <v>Ham Sandwhich</v>
      </c>
      <c r="B400" s="8" t="str">
        <f>IFERROR(__xludf.DUMMYFUNCTION("""COMPUTED_VALUE"""),"Ham is pork. Pork is pig. It’s a pig sandwich!")</f>
        <v>Ham is pork. Pork is pig. It’s a pig sandwich!</v>
      </c>
      <c r="C400" s="13" t="str">
        <f>IFERROR(__xludf.DUMMYFUNCTION("""COMPUTED_VALUE"""),"""lbgy"":{""label"":""Ham Sandwhich"",""extra"":""Ham is pork. Pork is pig. It’s a pig sandwich!"",""sets"":""Junior 9+ (2nd)""},")</f>
        <v>"lbgy":{"label":"Ham Sandwhich","extra":"Ham is pork. Pork is pig. It’s a pig sandwich!","sets":"Junior 9+ (2nd)"},</v>
      </c>
    </row>
    <row r="401">
      <c r="A401" s="8" t="str">
        <f>IFERROR(__xludf.DUMMYFUNCTION("""COMPUTED_VALUE"""),"Hamburgers")</f>
        <v>Hamburgers</v>
      </c>
      <c r="B401" s="8" t="str">
        <f>IFERROR(__xludf.DUMMYFUNCTION("""COMPUTED_VALUE"""),"Do you want fries with that?")</f>
        <v>Do you want fries with that?</v>
      </c>
      <c r="C401" s="13" t="str">
        <f>IFERROR(__xludf.DUMMYFUNCTION("""COMPUTED_VALUE"""),"""bedv"":{""label"":""Hamburgers"",""extra"":""Do you want fries with that?"",""sets"":""Junior 9+ (1st) &amp; (2nd)""},")</f>
        <v>"bedv":{"label":"Hamburgers","extra":"Do you want fries with that?","sets":"Junior 9+ (1st) &amp; (2nd)"},</v>
      </c>
    </row>
    <row r="402">
      <c r="A402" s="8" t="str">
        <f>IFERROR(__xludf.DUMMYFUNCTION("""COMPUTED_VALUE"""),"Hammer &amp; Nails")</f>
        <v>Hammer &amp; Nails</v>
      </c>
      <c r="B402" s="8" t="str">
        <f>IFERROR(__xludf.DUMMYFUNCTION("""COMPUTED_VALUE"""),"“If I had a hammer…” —Peter, Paul and Mary")</f>
        <v>“If I had a hammer…” —Peter, Paul and Mary</v>
      </c>
      <c r="C402" s="13" t="str">
        <f>IFERROR(__xludf.DUMMYFUNCTION("""COMPUTED_VALUE"""),"""ffca"":{""label"":""Hammer &amp; Nails"",""extra"":""“If I had a hammer…” —Peter, Paul and Mary"",""sets"":""Expansion Set 4, Party Expansion 1""},")</f>
        <v>"ffca":{"label":"Hammer &amp; Nails","extra":"“If I had a hammer…” —Peter, Paul and Mary","sets":"Expansion Set 4, Party Expansion 1"},</v>
      </c>
    </row>
    <row r="403">
      <c r="A403" s="8" t="str">
        <f>IFERROR(__xludf.DUMMYFUNCTION("""COMPUTED_VALUE"""),"Hammerhead Sharks")</f>
        <v>Hammerhead Sharks</v>
      </c>
      <c r="B403" s="8" t="str">
        <f>IFERROR(__xludf.DUMMYFUNCTION("""COMPUTED_VALUE"""),"The name for these sharks comes from the unusual shape of their heads.")</f>
        <v>The name for these sharks comes from the unusual shape of their heads.</v>
      </c>
      <c r="C403" s="13" t="str">
        <f>IFERROR(__xludf.DUMMYFUNCTION("""COMPUTED_VALUE"""),"""wckm"":{""label"":""Hammerhead Sharks"",""extra"":""The name for these sharks comes from the unusual shape of their heads."",""sets"":""Junior 9+ (2nd)""},")</f>
        <v>"wckm":{"label":"Hammerhead Sharks","extra":"The name for these sharks comes from the unusual shape of their heads.","sets":"Junior 9+ (2nd)"},</v>
      </c>
    </row>
    <row r="404">
      <c r="A404" s="8" t="str">
        <f>IFERROR(__xludf.DUMMYFUNCTION("""COMPUTED_VALUE"""),"Hammers")</f>
        <v>Hammers</v>
      </c>
      <c r="B404" s="8" t="str">
        <f>IFERROR(__xludf.DUMMYFUNCTION("""COMPUTED_VALUE"""),"“I’d rather be a hammer than a nail.”")</f>
        <v>“I’d rather be a hammer than a nail.”</v>
      </c>
      <c r="C404" s="13" t="str">
        <f>IFERROR(__xludf.DUMMYFUNCTION("""COMPUTED_VALUE"""),"""pcff"":{""label"":""Hammers"",""extra"":""“I’d rather be a hammer than a nail.”"",""sets"":""Junior 9+ (1st) &amp; (2nd)""},")</f>
        <v>"pcff":{"label":"Hammers","extra":"“I’d rather be a hammer than a nail.”","sets":"Junior 9+ (1st) &amp; (2nd)"},</v>
      </c>
    </row>
    <row r="405">
      <c r="A405" s="8" t="str">
        <f>IFERROR(__xludf.DUMMYFUNCTION("""COMPUTED_VALUE"""),"Hamsters")</f>
        <v>Hamsters</v>
      </c>
      <c r="B405" s="8" t="str">
        <f>IFERROR(__xludf.DUMMYFUNCTION("""COMPUTED_VALUE"""),"These little rodents store food in their cheeks.")</f>
        <v>These little rodents store food in their cheeks.</v>
      </c>
      <c r="C405" s="13" t="str">
        <f>IFERROR(__xludf.DUMMYFUNCTION("""COMPUTED_VALUE"""),"""fnel"":{""label"":""Hamsters"",""extra"":""These little rodents store food in their cheeks."",""sets"":""Junior 9+ (2nd)""},")</f>
        <v>"fnel":{"label":"Hamsters","extra":"These little rodents store food in their cheeks.","sets":"Junior 9+ (2nd)"},</v>
      </c>
    </row>
    <row r="406">
      <c r="A406" s="8" t="str">
        <f>IFERROR(__xludf.DUMMYFUNCTION("""COMPUTED_VALUE"""),"Hang Gliding")</f>
        <v>Hang Gliding</v>
      </c>
      <c r="B406" s="8" t="str">
        <f>IFERROR(__xludf.DUMMYFUNCTION("""COMPUTED_VALUE"""),"Trust us. It’s a breeze.")</f>
        <v>Trust us. It’s a breeze.</v>
      </c>
      <c r="C406" s="13" t="str">
        <f>IFERROR(__xludf.DUMMYFUNCTION("""COMPUTED_VALUE"""),"""pwnj"":{""label"":""Hang Gliding"",""extra"":""Trust us. It’s a breeze."",""sets"":""Expansion Set 3, Party Expansion 1""},")</f>
        <v>"pwnj":{"label":"Hang Gliding","extra":"Trust us. It’s a breeze.","sets":"Expansion Set 3, Party Expansion 1"},</v>
      </c>
    </row>
    <row r="407">
      <c r="A407" s="8" t="str">
        <f>IFERROR(__xludf.DUMMYFUNCTION("""COMPUTED_VALUE"""),"Hansel &amp; Gretel")</f>
        <v>Hansel &amp; Gretel</v>
      </c>
      <c r="B407" s="8" t="str">
        <f>IFERROR(__xludf.DUMMYFUNCTION("""COMPUTED_VALUE"""),"One of Grimm’s grimmer fairy tales.")</f>
        <v>One of Grimm’s grimmer fairy tales.</v>
      </c>
      <c r="C407" s="13" t="str">
        <f>IFERROR(__xludf.DUMMYFUNCTION("""COMPUTED_VALUE"""),"""hjir"":{""label"":""Hansel &amp; Gretel"",""extra"":""One of Grimm’s grimmer fairy tales."",""sets"":""Expansion Set 4, Party Expansion 1""},")</f>
        <v>"hjir":{"label":"Hansel &amp; Gretel","extra":"One of Grimm’s grimmer fairy tales.","sets":"Expansion Set 4, Party Expansion 1"},</v>
      </c>
    </row>
    <row r="408">
      <c r="A408" s="8" t="str">
        <f>IFERROR(__xludf.DUMMYFUNCTION("""COMPUTED_VALUE"""),"Hanukkah")</f>
        <v>Hanukkah</v>
      </c>
      <c r="B408" s="8" t="str">
        <f>IFERROR(__xludf.DUMMYFUNCTION("""COMPUTED_VALUE"""),"An eight day long Jewish celebration that usually occurs in December.")</f>
        <v>An eight day long Jewish celebration that usually occurs in December.</v>
      </c>
      <c r="C408" s="13" t="str">
        <f>IFERROR(__xludf.DUMMYFUNCTION("""COMPUTED_VALUE"""),"""nvkg"":{""label"":""Hanukkah"",""extra"":""An eight day long Jewish celebration that usually occurs in December."",""sets"":""Junior""},")</f>
        <v>"nvkg":{"label":"Hanukkah","extra":"An eight day long Jewish celebration that usually occurs in December.","sets":"Junior"},</v>
      </c>
    </row>
    <row r="409">
      <c r="A409" s="8" t="str">
        <f>IFERROR(__xludf.DUMMYFUNCTION("""COMPUTED_VALUE"""),"Hard Boiled Eggs")</f>
        <v>Hard Boiled Eggs</v>
      </c>
      <c r="B409" s="8" t="str">
        <f>IFERROR(__xludf.DUMMYFUNCTION("""COMPUTED_VALUE"""),"Well, I’ll be deviled…")</f>
        <v>Well, I’ll be deviled…</v>
      </c>
      <c r="C409" s="13" t="str">
        <f>IFERROR(__xludf.DUMMYFUNCTION("""COMPUTED_VALUE"""),"""bcme"":{""label"":""Hard Boiled Eggs"",""extra"":""Well, I’ll be deviled…"",""sets"":""Expansion Set 3, Party Expansion 1""},")</f>
        <v>"bcme":{"label":"Hard Boiled Eggs","extra":"Well, I’ll be deviled…","sets":"Expansion Set 3, Party Expansion 1"},</v>
      </c>
    </row>
    <row r="410">
      <c r="A410" s="8" t="str">
        <f>IFERROR(__xludf.DUMMYFUNCTION("""COMPUTED_VALUE"""),"Harrison Ford")</f>
        <v>Harrison Ford</v>
      </c>
      <c r="B410" s="8" t="str">
        <f>IFERROR(__xludf.DUMMYFUNCTION("""COMPUTED_VALUE"""),"1942-, Iconic American actor. “Hokey religions and ancient weapons are no match for a blaster at your side, kid.”")</f>
        <v>1942-, Iconic American actor. “Hokey religions and ancient weapons are no match for a blaster at your side, kid.”</v>
      </c>
      <c r="C410" s="13" t="str">
        <f>IFERROR(__xludf.DUMMYFUNCTION("""COMPUTED_VALUE"""),"""ejjk"":{""label"":""Harrison Ford"",""extra"":""1942-, Iconic American actor. “Hokey religions and ancient weapons are no match for a blaster at your side, kid.”"",""sets"":""Expansion Set 3, Party Expansion 1""},")</f>
        <v>"ejjk":{"label":"Harrison Ford","extra":"1942-, Iconic American actor. “Hokey religions and ancient weapons are no match for a blaster at your side, kid.”","sets":"Expansion Set 3, Party Expansion 1"},</v>
      </c>
    </row>
    <row r="411">
      <c r="A411" s="8" t="str">
        <f>IFERROR(__xludf.DUMMYFUNCTION("""COMPUTED_VALUE"""),"Harry Potter")</f>
        <v>Harry Potter</v>
      </c>
      <c r="B411" s="8" t="str">
        <f>IFERROR(__xludf.DUMMYFUNCTION("""COMPUTED_VALUE"""),"The hero in a series of books by J.K. Rowling featuring muggles and wizards.")</f>
        <v>The hero in a series of books by J.K. Rowling featuring muggles and wizards.</v>
      </c>
      <c r="C411" s="13" t="str">
        <f>IFERROR(__xludf.DUMMYFUNCTION("""COMPUTED_VALUE"""),"""goen"":{""label"":""Harry Potter"",""extra"":""The hero in a series of books by J.K. Rowling featuring muggles and wizards."",""sets"":""Expansion Set 3, Party Expansion 1""},")</f>
        <v>"goen":{"label":"Harry Potter","extra":"The hero in a series of books by J.K. Rowling featuring muggles and wizards.","sets":"Expansion Set 3, Party Expansion 1"},</v>
      </c>
    </row>
    <row r="412">
      <c r="A412" s="8" t="str">
        <f>IFERROR(__xludf.DUMMYFUNCTION("""COMPUTED_VALUE"""),"Harvard &amp; Yale")</f>
        <v>Harvard &amp; Yale</v>
      </c>
      <c r="B412" s="8" t="str">
        <f>IFERROR(__xludf.DUMMYFUNCTION("""COMPUTED_VALUE"""),"“What? Like it's hard?” —Reese Witherspoon, Legally Blond")</f>
        <v>“What? Like it's hard?” —Reese Witherspoon, Legally Blond</v>
      </c>
      <c r="C412" s="13" t="str">
        <f>IFERROR(__xludf.DUMMYFUNCTION("""COMPUTED_VALUE"""),"""rjdg"":{""label"":""Harvard &amp; Yale"",""extra"":""“What? Like it's hard?” —Reese Witherspoon, Legally Blond"",""sets"":""Expansion Set 4, Party Expansion 1""},")</f>
        <v>"rjdg":{"label":"Harvard &amp; Yale","extra":"“What? Like it's hard?” —Reese Witherspoon, Legally Blond","sets":"Expansion Set 4, Party Expansion 1"},</v>
      </c>
    </row>
    <row r="413">
      <c r="A413" s="8" t="str">
        <f>IFERROR(__xludf.DUMMYFUNCTION("""COMPUTED_VALUE"""),"Haunted House")</f>
        <v>Haunted House</v>
      </c>
      <c r="B413" s="8" t="str">
        <f>IFERROR(__xludf.DUMMYFUNCTION("""COMPUTED_VALUE"""),"If there’s a ghost—it's haunted!")</f>
        <v>If there’s a ghost—it's haunted!</v>
      </c>
      <c r="C413" s="13" t="str">
        <f>IFERROR(__xludf.DUMMYFUNCTION("""COMPUTED_VALUE"""),"""stgz"":{""label"":""Haunted House"",""extra"":""If there’s a ghost—it's haunted!"",""sets"":""Junior 9+ (2nd)""},")</f>
        <v>"stgz":{"label":"Haunted House","extra":"If there’s a ghost—it's haunted!","sets":"Junior 9+ (2nd)"},</v>
      </c>
    </row>
    <row r="414">
      <c r="A414" s="8" t="str">
        <f>IFERROR(__xludf.DUMMYFUNCTION("""COMPUTED_VALUE"""),"Having A Party")</f>
        <v>Having A Party</v>
      </c>
      <c r="B414" s="8" t="str">
        <f>IFERROR(__xludf.DUMMYFUNCTION("""COMPUTED_VALUE"""),"Invitations, snacks, games, music… it’s a party!")</f>
        <v>Invitations, snacks, games, music… it’s a party!</v>
      </c>
      <c r="C414" s="13" t="str">
        <f>IFERROR(__xludf.DUMMYFUNCTION("""COMPUTED_VALUE"""),"""qtbx"":{""label"":""Having A Party"",""extra"":""Invitations, snacks, games, music… it’s a party!"",""sets"":""Junior 9+ (2nd)""},")</f>
        <v>"qtbx":{"label":"Having A Party","extra":"Invitations, snacks, games, music… it’s a party!","sets":"Junior 9+ (2nd)"},</v>
      </c>
    </row>
    <row r="415">
      <c r="A415" s="8" t="str">
        <f>IFERROR(__xludf.DUMMYFUNCTION("""COMPUTED_VALUE"""),"Head Lice")</f>
        <v>Head Lice</v>
      </c>
      <c r="B415" s="8" t="str">
        <f>IFERROR(__xludf.DUMMYFUNCTION("""COMPUTED_VALUE"""),"Head lice suck blood from the scalp and spread like crazy. A REAL parasite.")</f>
        <v>Head lice suck blood from the scalp and spread like crazy. A REAL parasite.</v>
      </c>
      <c r="C415" s="13" t="str">
        <f>IFERROR(__xludf.DUMMYFUNCTION("""COMPUTED_VALUE"""),"""jici"":{""label"":""Head Lice"",""extra"":""Head lice suck blood from the scalp and spread like crazy. A REAL parasite."",""sets"":""Expansion Set 3, Party Expansion 1""},")</f>
        <v>"jici":{"label":"Head Lice","extra":"Head lice suck blood from the scalp and spread like crazy. A REAL parasite.","sets":"Expansion Set 3, Party Expansion 1"},</v>
      </c>
    </row>
    <row r="416">
      <c r="A416" s="8" t="str">
        <f>IFERROR(__xludf.DUMMYFUNCTION("""COMPUTED_VALUE"""),"Heart &amp; Soul")</f>
        <v>Heart &amp; Soul</v>
      </c>
      <c r="B416" s="8" t="str">
        <f>IFERROR(__xludf.DUMMYFUNCTION("""COMPUTED_VALUE"""),"They’re yours. All yours!")</f>
        <v>They’re yours. All yours!</v>
      </c>
      <c r="C416" s="13" t="str">
        <f>IFERROR(__xludf.DUMMYFUNCTION("""COMPUTED_VALUE"""),"""{tsd"":{""label"":""Heart &amp; Soul"",""extra"":""They’re yours. All yours!"",""sets"":""Expansion Set 4, Party Expansion 1""},")</f>
        <v>"{tsd":{"label":"Heart &amp; Soul","extra":"They’re yours. All yours!","sets":"Expansion Set 4, Party Expansion 1"},</v>
      </c>
    </row>
    <row r="417">
      <c r="A417" s="8" t="str">
        <f>IFERROR(__xludf.DUMMYFUNCTION("""COMPUTED_VALUE"""),"Heaven &amp; Hell")</f>
        <v>Heaven &amp; Hell</v>
      </c>
      <c r="B417" s="8" t="str">
        <f>IFERROR(__xludf.DUMMYFUNCTION("""COMPUTED_VALUE"""),"The ups and down of the afterlife.")</f>
        <v>The ups and down of the afterlife.</v>
      </c>
      <c r="C417" s="13" t="str">
        <f>IFERROR(__xludf.DUMMYFUNCTION("""COMPUTED_VALUE"""),"""swlj"":{""label"":""Heaven &amp; Hell"",""extra"":""The ups and down of the afterlife."",""sets"":""Expansion Set 4, Party Expansion 1""},")</f>
        <v>"swlj":{"label":"Heaven &amp; Hell","extra":"The ups and down of the afterlife.","sets":"Expansion Set 4, Party Expansion 1"},</v>
      </c>
    </row>
    <row r="418">
      <c r="A418" s="8" t="str">
        <f>IFERROR(__xludf.DUMMYFUNCTION("""COMPUTED_VALUE"""),"Helicopters")</f>
        <v>Helicopters</v>
      </c>
      <c r="B418" s="8" t="str">
        <f>IFERROR(__xludf.DUMMYFUNCTION("""COMPUTED_VALUE"""),"The spinning blades keep the helicopter in the air… somehow.")</f>
        <v>The spinning blades keep the helicopter in the air… somehow.</v>
      </c>
      <c r="C418" s="13" t="str">
        <f>IFERROR(__xludf.DUMMYFUNCTION("""COMPUTED_VALUE"""),"""gpvu"":{""label"":""Helicopters"",""extra"":""The spinning blades keep the helicopter in the air… somehow."",""sets"":""Junior 9+ (2nd)""},")</f>
        <v>"gpvu":{"label":"Helicopters","extra":"The spinning blades keep the helicopter in the air… somehow.","sets":"Junior 9+ (2nd)"},</v>
      </c>
    </row>
    <row r="419">
      <c r="A419" s="8" t="str">
        <f>IFERROR(__xludf.DUMMYFUNCTION("""COMPUTED_VALUE"""),"Herb Gardens")</f>
        <v>Herb Gardens</v>
      </c>
      <c r="B419" s="8" t="str">
        <f>IFERROR(__xludf.DUMMYFUNCTION("""COMPUTED_VALUE"""),"Rosemary, Basil, Chive… is it a herb garden or the cast from a British drama?")</f>
        <v>Rosemary, Basil, Chive… is it a herb garden or the cast from a British drama?</v>
      </c>
      <c r="C419" s="13" t="str">
        <f>IFERROR(__xludf.DUMMYFUNCTION("""COMPUTED_VALUE"""),"""d{zq"":{""label"":""Herb Gardens"",""extra"":""Rosemary, Basil, Chive… is it a herb garden or the cast from a British drama?"",""sets"":""Expansion Set 3, Party Expansion 1""},")</f>
        <v>"d{zq":{"label":"Herb Gardens","extra":"Rosemary, Basil, Chive… is it a herb garden or the cast from a British drama?","sets":"Expansion Set 3, Party Expansion 1"},</v>
      </c>
    </row>
    <row r="420">
      <c r="A420" s="8" t="str">
        <f>IFERROR(__xludf.DUMMYFUNCTION("""COMPUTED_VALUE"""),"Here &amp; There")</f>
        <v>Here &amp; There</v>
      </c>
      <c r="B420" s="8" t="str">
        <f>IFERROR(__xludf.DUMMYFUNCTION("""COMPUTED_VALUE"""),"And everywhere.")</f>
        <v>And everywhere.</v>
      </c>
      <c r="C420" s="13" t="str">
        <f>IFERROR(__xludf.DUMMYFUNCTION("""COMPUTED_VALUE"""),"""jdye"":{""label"":""Here &amp; There"",""extra"":""And everywhere."",""sets"":""Expansion Set 4, Party Expansion 1""},")</f>
        <v>"jdye":{"label":"Here &amp; There","extra":"And everywhere.","sets":"Expansion Set 4, Party Expansion 1"},</v>
      </c>
    </row>
    <row r="421">
      <c r="A421" s="8" t="str">
        <f>IFERROR(__xludf.DUMMYFUNCTION("""COMPUTED_VALUE"""),"Hiding Places")</f>
        <v>Hiding Places</v>
      </c>
      <c r="B421" s="8" t="str">
        <f>IFERROR(__xludf.DUMMYFUNCTION("""COMPUTED_VALUE"""),"It’s a secret.")</f>
        <v>It’s a secret.</v>
      </c>
      <c r="C421" s="13" t="str">
        <f>IFERROR(__xludf.DUMMYFUNCTION("""COMPUTED_VALUE"""),"""xvul"":{""label"":""Hiding Places"",""extra"":""It’s a secret."",""sets"":""Junior 9+ (1st) &amp; (2nd)""},")</f>
        <v>"xvul":{"label":"Hiding Places","extra":"It’s a secret.","sets":"Junior 9+ (1st) &amp; (2nd)"},</v>
      </c>
    </row>
    <row r="422">
      <c r="A422" s="8" t="str">
        <f>IFERROR(__xludf.DUMMYFUNCTION("""COMPUTED_VALUE"""),"High Heels")</f>
        <v>High Heels</v>
      </c>
      <c r="B422" s="8" t="str">
        <f>IFERROR(__xludf.DUMMYFUNCTION("""COMPUTED_VALUE"""),"No running.")</f>
        <v>No running.</v>
      </c>
      <c r="C422" s="13" t="str">
        <f>IFERROR(__xludf.DUMMYFUNCTION("""COMPUTED_VALUE"""),"""twst"":{""label"":""High Heels"",""extra"":""No running."",""sets"":""Junior 9+ (2nd)""},")</f>
        <v>"twst":{"label":"High Heels","extra":"No running.","sets":"Junior 9+ (2nd)"},</v>
      </c>
    </row>
    <row r="423">
      <c r="A423" s="8" t="str">
        <f>IFERROR(__xludf.DUMMYFUNCTION("""COMPUTED_VALUE"""),"High School")</f>
        <v>High School</v>
      </c>
      <c r="B423" s="8" t="str">
        <f>IFERROR(__xludf.DUMMYFUNCTION("""COMPUTED_VALUE"""),"Most students start high school when they are fourteen.")</f>
        <v>Most students start high school when they are fourteen.</v>
      </c>
      <c r="C423" s="13" t="str">
        <f>IFERROR(__xludf.DUMMYFUNCTION("""COMPUTED_VALUE"""),"""txhj"":{""label"":""High School"",""extra"":""Most students start high school when they are fourteen."",""sets"":""Junior 9+ (1st) &amp; (2nd)""},")</f>
        <v>"txhj":{"label":"High School","extra":"Most students start high school when they are fourteen.","sets":"Junior 9+ (1st) &amp; (2nd)"},</v>
      </c>
    </row>
    <row r="424">
      <c r="A424" s="8" t="str">
        <f>IFERROR(__xludf.DUMMYFUNCTION("""COMPUTED_VALUE"""),"Hiking In The Woods")</f>
        <v>Hiking In The Woods</v>
      </c>
      <c r="B424" s="8" t="str">
        <f>IFERROR(__xludf.DUMMYFUNCTION("""COMPUTED_VALUE"""),"It’s an adventure.")</f>
        <v>It’s an adventure.</v>
      </c>
      <c r="C424" s="13" t="str">
        <f>IFERROR(__xludf.DUMMYFUNCTION("""COMPUTED_VALUE"""),"""krlz"":{""label"":""Hiking In The Woods"",""extra"":""It’s an adventure."",""sets"":""Junior 9+ (1st) &amp; (2nd)""},")</f>
        <v>"krlz":{"label":"Hiking In The Woods","extra":"It’s an adventure.","sets":"Junior 9+ (1st) &amp; (2nd)"},</v>
      </c>
    </row>
    <row r="425">
      <c r="A425" s="8" t="str">
        <f>IFERROR(__xludf.DUMMYFUNCTION("""COMPUTED_VALUE"""),"Hills &amp; Valleys")</f>
        <v>Hills &amp; Valleys</v>
      </c>
      <c r="B425" s="8" t="str">
        <f>IFERROR(__xludf.DUMMYFUNCTION("""COMPUTED_VALUE"""),"Nature’s little ups and down.")</f>
        <v>Nature’s little ups and down.</v>
      </c>
      <c r="C425" s="13" t="str">
        <f>IFERROR(__xludf.DUMMYFUNCTION("""COMPUTED_VALUE"""),"""rlyx"":{""label"":""Hills &amp; Valleys"",""extra"":""Nature’s little ups and down."",""sets"":""Expansion Set 4, Party Expansion 1""},")</f>
        <v>"rlyx":{"label":"Hills &amp; Valleys","extra":"Nature’s little ups and down.","sets":"Expansion Set 4, Party Expansion 1"},</v>
      </c>
    </row>
    <row r="426">
      <c r="A426" s="8" t="str">
        <f>IFERROR(__xludf.DUMMYFUNCTION("""COMPUTED_VALUE"""),"Hippopotamus")</f>
        <v>Hippopotamus</v>
      </c>
      <c r="B426" s="8" t="str">
        <f>IFERROR(__xludf.DUMMYFUNCTION("""COMPUTED_VALUE"""),"Hippos are also called “river horses” and only eat plants.")</f>
        <v>Hippos are also called “river horses” and only eat plants.</v>
      </c>
      <c r="C426" s="13" t="str">
        <f>IFERROR(__xludf.DUMMYFUNCTION("""COMPUTED_VALUE"""),"""msuz"":{""label"":""Hippopotamus"",""extra"":""Hippos are also called “river horses” and only eat plants."",""sets"":""Junior 9+ (2nd)""},")</f>
        <v>"msuz":{"label":"Hippopotamus","extra":"Hippos are also called “river horses” and only eat plants.","sets":"Junior 9+ (2nd)"},</v>
      </c>
    </row>
    <row r="427">
      <c r="A427" s="8" t="str">
        <f>IFERROR(__xludf.DUMMYFUNCTION("""COMPUTED_VALUE"""),"Hit &amp; Run")</f>
        <v>Hit &amp; Run</v>
      </c>
      <c r="B427" s="8" t="str">
        <f>IFERROR(__xludf.DUMMYFUNCTION("""COMPUTED_VALUE"""),"An automobile crash, or a baseball play.")</f>
        <v>An automobile crash, or a baseball play.</v>
      </c>
      <c r="C427" s="13" t="str">
        <f>IFERROR(__xludf.DUMMYFUNCTION("""COMPUTED_VALUE"""),"""gwos"":{""label"":""Hit &amp; Run"",""extra"":""An automobile crash, or a baseball play."",""sets"":""Expansion Set 4, Party Expansion 1""},")</f>
        <v>"gwos":{"label":"Hit &amp; Run","extra":"An automobile crash, or a baseball play.","sets":"Expansion Set 4, Party Expansion 1"},</v>
      </c>
    </row>
    <row r="428">
      <c r="A428" s="8" t="str">
        <f>IFERROR(__xludf.DUMMYFUNCTION("""COMPUTED_VALUE"""),"Hitting A Home-Run")</f>
        <v>Hitting A Home-Run</v>
      </c>
      <c r="B428" s="8" t="str">
        <f>IFERROR(__xludf.DUMMYFUNCTION("""COMPUTED_VALUE"""),"Going… going… CRASH… through the neighbor’s window!")</f>
        <v>Going… going… CRASH… through the neighbor’s window!</v>
      </c>
      <c r="C428" s="13" t="str">
        <f>IFERROR(__xludf.DUMMYFUNCTION("""COMPUTED_VALUE"""),"""lneb"":{""label"":""Hitting A Home-Run"",""extra"":""Going… going… CRASH… through the neighbor’s window!"",""sets"":""Junior 9+ (2nd)""},")</f>
        <v>"lneb":{"label":"Hitting A Home-Run","extra":"Going… going… CRASH… through the neighbor’s window!","sets":"Junior 9+ (2nd)"},</v>
      </c>
    </row>
    <row r="429">
      <c r="A429" s="8" t="str">
        <f>IFERROR(__xludf.DUMMYFUNCTION("""COMPUTED_VALUE"""),"Hockey")</f>
        <v>Hockey</v>
      </c>
      <c r="B429" s="8" t="str">
        <f>IFERROR(__xludf.DUMMYFUNCTION("""COMPUTED_VALUE"""),"Skate! Pass! Score!")</f>
        <v>Skate! Pass! Score!</v>
      </c>
      <c r="C429" s="13" t="str">
        <f>IFERROR(__xludf.DUMMYFUNCTION("""COMPUTED_VALUE"""),"""dgjf"":{""label"":""Hockey"",""extra"":""Skate! Pass! Score!"",""sets"":""Junior 9+ (1st) &amp; (2nd)""},")</f>
        <v>"dgjf":{"label":"Hockey","extra":"Skate! Pass! Score!","sets":"Junior 9+ (1st) &amp; (2nd)"},</v>
      </c>
    </row>
    <row r="430">
      <c r="A430" s="8" t="str">
        <f>IFERROR(__xludf.DUMMYFUNCTION("""COMPUTED_VALUE"""),"Homework")</f>
        <v>Homework</v>
      </c>
      <c r="B430" s="8" t="str">
        <f>IFERROR(__xludf.DUMMYFUNCTION("""COMPUTED_VALUE"""),"Something to do during comercials.")</f>
        <v>Something to do during comercials.</v>
      </c>
      <c r="C430" s="13" t="str">
        <f>IFERROR(__xludf.DUMMYFUNCTION("""COMPUTED_VALUE"""),"""xhty"":{""label"":""Homework"",""extra"":""Something to do during comercials."",""sets"":""Junior""},")</f>
        <v>"xhty":{"label":"Homework","extra":"Something to do during comercials.","sets":"Junior"},</v>
      </c>
    </row>
    <row r="431">
      <c r="A431" s="8" t="str">
        <f>IFERROR(__xludf.DUMMYFUNCTION("""COMPUTED_VALUE"""),"Honey")</f>
        <v>Honey</v>
      </c>
      <c r="B431" s="8" t="str">
        <f>IFERROR(__xludf.DUMMYFUNCTION("""COMPUTED_VALUE"""),"A sweet, thick, gold liquid made by bees.")</f>
        <v>A sweet, thick, gold liquid made by bees.</v>
      </c>
      <c r="C431" s="13" t="str">
        <f>IFERROR(__xludf.DUMMYFUNCTION("""COMPUTED_VALUE"""),"""ktaf"":{""label"":""Honey"",""extra"":""A sweet, thick, gold liquid made by bees."",""sets"":""Junior 9+ (1st) &amp; (2nd)""},")</f>
        <v>"ktaf":{"label":"Honey","extra":"A sweet, thick, gold liquid made by bees.","sets":"Junior 9+ (1st) &amp; (2nd)"},</v>
      </c>
    </row>
    <row r="432">
      <c r="A432" s="8" t="str">
        <f>IFERROR(__xludf.DUMMYFUNCTION("""COMPUTED_VALUE"""),"Hook &amp; Ladder Trucks")</f>
        <v>Hook &amp; Ladder Trucks</v>
      </c>
      <c r="B432" s="8" t="str">
        <f>IFERROR(__xludf.DUMMYFUNCTION("""COMPUTED_VALUE"""),"One big reason to become a firefighter.")</f>
        <v>One big reason to become a firefighter.</v>
      </c>
      <c r="C432" s="13" t="str">
        <f>IFERROR(__xludf.DUMMYFUNCTION("""COMPUTED_VALUE"""),"""nomg"":{""label"":""Hook &amp; Ladder Trucks"",""extra"":""One big reason to become a firefighter."",""sets"":""Expansion Set 4, Party Expansion 1""},")</f>
        <v>"nomg":{"label":"Hook &amp; Ladder Trucks","extra":"One big reason to become a firefighter.","sets":"Expansion Set 4, Party Expansion 1"},</v>
      </c>
    </row>
    <row r="433">
      <c r="A433" s="8" t="str">
        <f>IFERROR(__xludf.DUMMYFUNCTION("""COMPUTED_VALUE"""),"Hopscotch")</f>
        <v>Hopscotch</v>
      </c>
      <c r="B433" s="8" t="str">
        <f>IFERROR(__xludf.DUMMYFUNCTION("""COMPUTED_VALUE"""),"All you need is a sidewalk, chalk, and a rock.")</f>
        <v>All you need is a sidewalk, chalk, and a rock.</v>
      </c>
      <c r="C433" s="13" t="str">
        <f>IFERROR(__xludf.DUMMYFUNCTION("""COMPUTED_VALUE"""),"""eezr"":{""label"":""Hopscotch"",""extra"":""All you need is a sidewalk, chalk, and a rock."",""sets"":""Junior 9+ (2nd)""},")</f>
        <v>"eezr":{"label":"Hopscotch","extra":"All you need is a sidewalk, chalk, and a rock.","sets":"Junior 9+ (2nd)"},</v>
      </c>
    </row>
    <row r="434">
      <c r="A434" s="8" t="str">
        <f>IFERROR(__xludf.DUMMYFUNCTION("""COMPUTED_VALUE"""),"Horse &amp; Cart")</f>
        <v>Horse &amp; Cart</v>
      </c>
      <c r="B434" s="8" t="str">
        <f>IFERROR(__xludf.DUMMYFUNCTION("""COMPUTED_VALUE"""),"Get the order right!")</f>
        <v>Get the order right!</v>
      </c>
      <c r="C434" s="13" t="str">
        <f>IFERROR(__xludf.DUMMYFUNCTION("""COMPUTED_VALUE"""),"""dbmp"":{""label"":""Horse &amp; Cart"",""extra"":""Get the order right!"",""sets"":""Expansion Set 4, Party Expansion 1""},")</f>
        <v>"dbmp":{"label":"Horse &amp; Cart","extra":"Get the order right!","sets":"Expansion Set 4, Party Expansion 1"},</v>
      </c>
    </row>
    <row r="435">
      <c r="A435" s="8" t="str">
        <f>IFERROR(__xludf.DUMMYFUNCTION("""COMPUTED_VALUE"""),"Horses")</f>
        <v>Horses</v>
      </c>
      <c r="B435" s="8" t="str">
        <f>IFERROR(__xludf.DUMMYFUNCTION("""COMPUTED_VALUE"""),"Black Beauty, the Black Stallion, and Flicka are famous horses in literature.")</f>
        <v>Black Beauty, the Black Stallion, and Flicka are famous horses in literature.</v>
      </c>
      <c r="C435" s="13" t="str">
        <f>IFERROR(__xludf.DUMMYFUNCTION("""COMPUTED_VALUE"""),"""jzcd"":{""label"":""Horses"",""extra"":""Black Beauty, the Black Stallion, and Flicka are famous horses in literature."",""sets"":""Junior 9+ (1st) &amp; (2nd)""},")</f>
        <v>"jzcd":{"label":"Horses","extra":"Black Beauty, the Black Stallion, and Flicka are famous horses in literature.","sets":"Junior 9+ (1st) &amp; (2nd)"},</v>
      </c>
    </row>
    <row r="436">
      <c r="A436" s="8" t="str">
        <f>IFERROR(__xludf.DUMMYFUNCTION("""COMPUTED_VALUE"""),"Hospital Gowns")</f>
        <v>Hospital Gowns</v>
      </c>
      <c r="B436" s="8" t="str">
        <f>IFERROR(__xludf.DUMMYFUNCTION("""COMPUTED_VALUE"""),"Open all hours.")</f>
        <v>Open all hours.</v>
      </c>
      <c r="C436" s="13" t="str">
        <f>IFERROR(__xludf.DUMMYFUNCTION("""COMPUTED_VALUE"""),"""y{er"":{""label"":""Hospital Gowns"",""extra"":""Open all hours."",""sets"":""Expansion Set 3, Party Expansion 1""},")</f>
        <v>"y{er":{"label":"Hospital Gowns","extra":"Open all hours.","sets":"Expansion Set 3, Party Expansion 1"},</v>
      </c>
    </row>
    <row r="437">
      <c r="A437" s="8" t="str">
        <f>IFERROR(__xludf.DUMMYFUNCTION("""COMPUTED_VALUE"""),"Hospitals")</f>
        <v>Hospitals</v>
      </c>
      <c r="B437" s="8" t="str">
        <f>IFERROR(__xludf.DUMMYFUNCTION("""COMPUTED_VALUE"""),"The ambulance is the fastest way to get there.")</f>
        <v>The ambulance is the fastest way to get there.</v>
      </c>
      <c r="C437" s="13" t="str">
        <f>IFERROR(__xludf.DUMMYFUNCTION("""COMPUTED_VALUE"""),"""daqh"":{""label"":""Hospitals"",""extra"":""The ambulance is the fastest way to get there."",""sets"":""Junior 9+ (1st) &amp; (2nd)""},")</f>
        <v>"daqh":{"label":"Hospitals","extra":"The ambulance is the fastest way to get there.","sets":"Junior 9+ (1st) &amp; (2nd)"},</v>
      </c>
    </row>
    <row r="438">
      <c r="A438" s="8" t="str">
        <f>IFERROR(__xludf.DUMMYFUNCTION("""COMPUTED_VALUE"""),"Hot Chocolate")</f>
        <v>Hot Chocolate</v>
      </c>
      <c r="B438" s="8" t="str">
        <f>IFERROR(__xludf.DUMMYFUNCTION("""COMPUTED_VALUE"""),"A good drink on a cold day. Just add marshmallows!")</f>
        <v>A good drink on a cold day. Just add marshmallows!</v>
      </c>
      <c r="C438" s="13" t="str">
        <f>IFERROR(__xludf.DUMMYFUNCTION("""COMPUTED_VALUE"""),"""mkfh"":{""label"":""Hot Chocolate"",""extra"":""A good drink on a cold day. Just add marshmallows!"",""sets"":""Junior""},")</f>
        <v>"mkfh":{"label":"Hot Chocolate","extra":"A good drink on a cold day. Just add marshmallows!","sets":"Junior"},</v>
      </c>
    </row>
    <row r="439">
      <c r="A439" s="8" t="str">
        <f>IFERROR(__xludf.DUMMYFUNCTION("""COMPUTED_VALUE"""),"Hot Tubs")</f>
        <v>Hot Tubs</v>
      </c>
      <c r="B439" s="8" t="str">
        <f>IFERROR(__xludf.DUMMYFUNCTION("""COMPUTED_VALUE"""),"Of course it’s hot—it’s a hot tub!")</f>
        <v>Of course it’s hot—it’s a hot tub!</v>
      </c>
      <c r="C439" s="13" t="str">
        <f>IFERROR(__xludf.DUMMYFUNCTION("""COMPUTED_VALUE"""),"""lbzb"":{""label"":""Hot Tubs"",""extra"":""Of course it’s hot—it’s a hot tub!"",""sets"":""Junior 9+ (2nd)""},")</f>
        <v>"lbzb":{"label":"Hot Tubs","extra":"Of course it’s hot—it’s a hot tub!","sets":"Junior 9+ (2nd)"},</v>
      </c>
    </row>
    <row r="440">
      <c r="A440" s="8" t="str">
        <f>IFERROR(__xludf.DUMMYFUNCTION("""COMPUTED_VALUE"""),"Hot Wheels Cars")</f>
        <v>Hot Wheels Cars</v>
      </c>
      <c r="B440" s="8" t="str">
        <f>IFERROR(__xludf.DUMMYFUNCTION("""COMPUTED_VALUE"""),"Small, metal cars to play with and collect. They can go over 300 miles per hour downhill!")</f>
        <v>Small, metal cars to play with and collect. They can go over 300 miles per hour downhill!</v>
      </c>
      <c r="C440" s="13" t="str">
        <f>IFERROR(__xludf.DUMMYFUNCTION("""COMPUTED_VALUE"""),"""pqbe"":{""label"":""Hot Wheels Cars"",""extra"":""Small, metal cars to play with and collect. They can go over 300 miles per hour downhill!"",""sets"":""Junior""},")</f>
        <v>"pqbe":{"label":"Hot Wheels Cars","extra":"Small, metal cars to play with and collect. They can go over 300 miles per hour downhill!","sets":"Junior"},</v>
      </c>
    </row>
    <row r="441">
      <c r="A441" s="8" t="str">
        <f>IFERROR(__xludf.DUMMYFUNCTION("""COMPUTED_VALUE"""),"Hotdogs")</f>
        <v>Hotdogs</v>
      </c>
      <c r="B441" s="8" t="str">
        <f>IFERROR(__xludf.DUMMYFUNCTION("""COMPUTED_VALUE"""),"A sausage served at ballgames and cookouts. They are NOT made from dogs!")</f>
        <v>A sausage served at ballgames and cookouts. They are NOT made from dogs!</v>
      </c>
      <c r="C441" s="13" t="str">
        <f>IFERROR(__xludf.DUMMYFUNCTION("""COMPUTED_VALUE"""),"""dylg"":{""label"":""Hotdogs"",""extra"":""A sausage served at ballgames and cookouts. They are NOT made from dogs!"",""sets"":""Junior""},")</f>
        <v>"dylg":{"label":"Hotdogs","extra":"A sausage served at ballgames and cookouts. They are NOT made from dogs!","sets":"Junior"},</v>
      </c>
    </row>
    <row r="442">
      <c r="A442" s="8" t="str">
        <f>IFERROR(__xludf.DUMMYFUNCTION("""COMPUTED_VALUE"""),"Hotels &amp; Motels")</f>
        <v>Hotels &amp; Motels</v>
      </c>
      <c r="B442" s="8" t="str">
        <f>IFERROR(__xludf.DUMMYFUNCTION("""COMPUTED_VALUE"""),"Get a room!")</f>
        <v>Get a room!</v>
      </c>
      <c r="C442" s="13" t="str">
        <f>IFERROR(__xludf.DUMMYFUNCTION("""COMPUTED_VALUE"""),"""imkn"":{""label"":""Hotels &amp; Motels"",""extra"":""Get a room!"",""sets"":""Expansion Set 4, Party Expansion 1""},")</f>
        <v>"imkn":{"label":"Hotels &amp; Motels","extra":"Get a room!","sets":"Expansion Set 4, Party Expansion 1"},</v>
      </c>
    </row>
    <row r="443">
      <c r="A443" s="8" t="str">
        <f>IFERROR(__xludf.DUMMYFUNCTION("""COMPUTED_VALUE"""),"House &amp; Home")</f>
        <v>House &amp; Home</v>
      </c>
      <c r="B443" s="8" t="str">
        <f>IFERROR(__xludf.DUMMYFUNCTION("""COMPUTED_VALUE"""),"And money pit.")</f>
        <v>And money pit.</v>
      </c>
      <c r="C443" s="13" t="str">
        <f>IFERROR(__xludf.DUMMYFUNCTION("""COMPUTED_VALUE"""),"""tckf"":{""label"":""House &amp; Home"",""extra"":""And money pit."",""sets"":""Expansion Set 4, Party Expansion 1""},")</f>
        <v>"tckf":{"label":"House &amp; Home","extra":"And money pit.","sets":"Expansion Set 4, Party Expansion 1"},</v>
      </c>
    </row>
    <row r="444">
      <c r="A444" s="8" t="str">
        <f>IFERROR(__xludf.DUMMYFUNCTION("""COMPUTED_VALUE"""),"Hugs")</f>
        <v>Hugs</v>
      </c>
      <c r="B444" s="8" t="str">
        <f>IFERROR(__xludf.DUMMYFUNCTION("""COMPUTED_VALUE"""),"There are bear hugs, Grandma hugs, friend hugs, and love hugs.")</f>
        <v>There are bear hugs, Grandma hugs, friend hugs, and love hugs.</v>
      </c>
      <c r="C444" s="13" t="str">
        <f>IFERROR(__xludf.DUMMYFUNCTION("""COMPUTED_VALUE"""),"""zhgl"":{""label"":""Hugs"",""extra"":""There are bear hugs, Grandma hugs, friend hugs, and love hugs."",""sets"":""Junior""},")</f>
        <v>"zhgl":{"label":"Hugs","extra":"There are bear hugs, Grandma hugs, friend hugs, and love hugs.","sets":"Junior"},</v>
      </c>
    </row>
    <row r="445">
      <c r="A445" s="8" t="str">
        <f>IFERROR(__xludf.DUMMYFUNCTION("""COMPUTED_VALUE"""),"Hunters")</f>
        <v>Hunters</v>
      </c>
      <c r="B445" s="8" t="str">
        <f>IFERROR(__xludf.DUMMYFUNCTION("""COMPUTED_VALUE"""),"Wolves, hawks, owls, and people all hunt for food.")</f>
        <v>Wolves, hawks, owls, and people all hunt for food.</v>
      </c>
      <c r="C445" s="13" t="str">
        <f>IFERROR(__xludf.DUMMYFUNCTION("""COMPUTED_VALUE"""),"""iqzy"":{""label"":""Hunters"",""extra"":""Wolves, hawks, owls, and people all hunt for food."",""sets"":""Junior 9+ (1st) &amp; (2nd)""},")</f>
        <v>"iqzy":{"label":"Hunters","extra":"Wolves, hawks, owls, and people all hunt for food.","sets":"Junior 9+ (1st) &amp; (2nd)"},</v>
      </c>
    </row>
    <row r="446">
      <c r="A446" s="8" t="str">
        <f>IFERROR(__xludf.DUMMYFUNCTION("""COMPUTED_VALUE"""),"Husbands &amp; Wives")</f>
        <v>Husbands &amp; Wives</v>
      </c>
      <c r="B446" s="8" t="str">
        <f>IFERROR(__xludf.DUMMYFUNCTION("""COMPUTED_VALUE"""),"For richer… hopefully.")</f>
        <v>For richer… hopefully.</v>
      </c>
      <c r="C446" s="13" t="str">
        <f>IFERROR(__xludf.DUMMYFUNCTION("""COMPUTED_VALUE"""),"""lemt"":{""label"":""Husbands &amp; Wives"",""extra"":""For richer… hopefully."",""sets"":""Expansion Set 4, Party Expansion 1""},")</f>
        <v>"lemt":{"label":"Husbands &amp; Wives","extra":"For richer… hopefully.","sets":"Expansion Set 4, Party Expansion 1"},</v>
      </c>
    </row>
    <row r="447">
      <c r="A447" s="8" t="str">
        <f>IFERROR(__xludf.DUMMYFUNCTION("""COMPUTED_VALUE"""),"Ice")</f>
        <v>Ice</v>
      </c>
      <c r="B447" s="8" t="str">
        <f>IFERROR(__xludf.DUMMYFUNCTION("""COMPUTED_VALUE"""),"Good for drinks in the summer and skating in the winter.")</f>
        <v>Good for drinks in the summer and skating in the winter.</v>
      </c>
      <c r="C447" s="13" t="str">
        <f>IFERROR(__xludf.DUMMYFUNCTION("""COMPUTED_VALUE"""),"""sarr"":{""label"":""Ice"",""extra"":""Good for drinks in the summer and skating in the winter."",""sets"":""Junior 9+ (1st) &amp; (2nd)""},")</f>
        <v>"sarr":{"label":"Ice","extra":"Good for drinks in the summer and skating in the winter.","sets":"Junior 9+ (1st) &amp; (2nd)"},</v>
      </c>
    </row>
    <row r="448">
      <c r="A448" s="8" t="str">
        <f>IFERROR(__xludf.DUMMYFUNCTION("""COMPUTED_VALUE"""),"Ice &amp; Snow")</f>
        <v>Ice &amp; Snow</v>
      </c>
      <c r="B448" s="8" t="str">
        <f>IFERROR(__xludf.DUMMYFUNCTION("""COMPUTED_VALUE"""),"“We come from the land of the ice and snow / From the midnight sun where the hot springs blow.” —Led Zeppelin")</f>
        <v>“We come from the land of the ice and snow / From the midnight sun where the hot springs blow.” —Led Zeppelin</v>
      </c>
      <c r="C448" s="13" t="str">
        <f>IFERROR(__xludf.DUMMYFUNCTION("""COMPUTED_VALUE"""),"""gqfj"":{""label"":""Ice &amp; Snow"",""extra"":""“We come from the land of the ice and snow / From the midnight sun where the hot springs blow.” —Led Zeppelin"",""sets"":""Expansion Set 4, Party Expansion 1""},")</f>
        <v>"gqfj":{"label":"Ice &amp; Snow","extra":"“We come from the land of the ice and snow / From the midnight sun where the hot springs blow.” —Led Zeppelin","sets":"Expansion Set 4, Party Expansion 1"},</v>
      </c>
    </row>
    <row r="449">
      <c r="A449" s="8" t="str">
        <f>IFERROR(__xludf.DUMMYFUNCTION("""COMPUTED_VALUE"""),"Ice Cream")</f>
        <v>Ice Cream</v>
      </c>
      <c r="B449" s="8" t="str">
        <f>IFERROR(__xludf.DUMMYFUNCTION("""COMPUTED_VALUE"""),"“I scream, you scream, we all scream, for ice cream!”")</f>
        <v>“I scream, you scream, we all scream, for ice cream!”</v>
      </c>
      <c r="C449" s="13" t="str">
        <f>IFERROR(__xludf.DUMMYFUNCTION("""COMPUTED_VALUE"""),"""tbdy"":{""label"":""Ice Cream"",""extra"":""“I scream, you scream, we all scream, for ice cream!”"",""sets"":""Junior""},")</f>
        <v>"tbdy":{"label":"Ice Cream","extra":"“I scream, you scream, we all scream, for ice cream!”","sets":"Junior"},</v>
      </c>
    </row>
    <row r="450">
      <c r="A450" s="8" t="str">
        <f>IFERROR(__xludf.DUMMYFUNCTION("""COMPUTED_VALUE"""),"Ice Skating")</f>
        <v>Ice Skating</v>
      </c>
      <c r="B450" s="8" t="str">
        <f>IFERROR(__xludf.DUMMYFUNCTION("""COMPUTED_VALUE"""),"You can do fancy turns, have a race, go backwards, or just glide.")</f>
        <v>You can do fancy turns, have a race, go backwards, or just glide.</v>
      </c>
      <c r="C450" s="13" t="str">
        <f>IFERROR(__xludf.DUMMYFUNCTION("""COMPUTED_VALUE"""),"""ltbx"":{""label"":""Ice Skating"",""extra"":""You can do fancy turns, have a race, go backwards, or just glide."",""sets"":""Junior""},")</f>
        <v>"ltbx":{"label":"Ice Skating","extra":"You can do fancy turns, have a race, go backwards, or just glide.","sets":"Junior"},</v>
      </c>
    </row>
    <row r="451">
      <c r="A451" s="8" t="str">
        <f>IFERROR(__xludf.DUMMYFUNCTION("""COMPUTED_VALUE"""),"In The Attic")</f>
        <v>In The Attic</v>
      </c>
      <c r="B451" s="8" t="str">
        <f>IFERROR(__xludf.DUMMYFUNCTION("""COMPUTED_VALUE"""),"Old clothes, old toys, old furniture, and more old stuff.")</f>
        <v>Old clothes, old toys, old furniture, and more old stuff.</v>
      </c>
      <c r="C451" s="13" t="str">
        <f>IFERROR(__xludf.DUMMYFUNCTION("""COMPUTED_VALUE"""),"""ymvr"":{""label"":""In The Attic"",""extra"":""Old clothes, old toys, old furniture, and more old stuff."",""sets"":""Junior 9+ (2nd)""},")</f>
        <v>"ymvr":{"label":"In The Attic","extra":"Old clothes, old toys, old furniture, and more old stuff.","sets":"Junior 9+ (2nd)"},</v>
      </c>
    </row>
    <row r="452">
      <c r="A452" s="8" t="str">
        <f>IFERROR(__xludf.DUMMYFUNCTION("""COMPUTED_VALUE"""),"In The Basement")</f>
        <v>In The Basement</v>
      </c>
      <c r="B452" s="8" t="str">
        <f>IFERROR(__xludf.DUMMYFUNCTION("""COMPUTED_VALUE"""),"You never know what you will find down there.")</f>
        <v>You never know what you will find down there.</v>
      </c>
      <c r="C452" s="13" t="str">
        <f>IFERROR(__xludf.DUMMYFUNCTION("""COMPUTED_VALUE"""),"""vayp"":{""label"":""In The Basement"",""extra"":""You never know what you will find down there."",""sets"":""Junior""},")</f>
        <v>"vayp":{"label":"In The Basement","extra":"You never know what you will find down there.","sets":"Junior"},</v>
      </c>
    </row>
    <row r="453">
      <c r="A453" s="8" t="str">
        <f>IFERROR(__xludf.DUMMYFUNCTION("""COMPUTED_VALUE"""),"In The Doghouse")</f>
        <v>In The Doghouse</v>
      </c>
      <c r="B453" s="8" t="str">
        <f>IFERROR(__xludf.DUMMYFUNCTION("""COMPUTED_VALUE"""),"All told, I’d rather be in the cathouse.")</f>
        <v>All told, I’d rather be in the cathouse.</v>
      </c>
      <c r="C453" s="13" t="str">
        <f>IFERROR(__xludf.DUMMYFUNCTION("""COMPUTED_VALUE"""),"""zwkx"":{""label"":""In The Doghouse"",""extra"":""All told, I’d rather be in the cathouse."",""sets"":""Expansion Set 3, Party Expansion 1""},")</f>
        <v>"zwkx":{"label":"In The Doghouse","extra":"All told, I’d rather be in the cathouse.","sets":"Expansion Set 3, Party Expansion 1"},</v>
      </c>
    </row>
    <row r="454">
      <c r="A454" s="8" t="str">
        <f>IFERROR(__xludf.DUMMYFUNCTION("""COMPUTED_VALUE"""),"Inchworm")</f>
        <v>Inchworm</v>
      </c>
      <c r="B454" s="8" t="str">
        <f>IFERROR(__xludf.DUMMYFUNCTION("""COMPUTED_VALUE"""),"An inchworm is actually a small, hairless caterpillar.")</f>
        <v>An inchworm is actually a small, hairless caterpillar.</v>
      </c>
      <c r="C454" s="13" t="str">
        <f>IFERROR(__xludf.DUMMYFUNCTION("""COMPUTED_VALUE"""),"""pzhj"":{""label"":""Inchworm"",""extra"":""An inchworm is actually a small, hairless caterpillar."",""sets"":""Junior 9+ (2nd)""},")</f>
        <v>"pzhj":{"label":"Inchworm","extra":"An inchworm is actually a small, hairless caterpillar.","sets":"Junior 9+ (2nd)"},</v>
      </c>
    </row>
    <row r="455">
      <c r="A455" s="8" t="str">
        <f>IFERROR(__xludf.DUMMYFUNCTION("""COMPUTED_VALUE"""),"Irrational Fears")</f>
        <v>Irrational Fears</v>
      </c>
      <c r="B455" s="8" t="str">
        <f>IFERROR(__xludf.DUMMYFUNCTION("""COMPUTED_VALUE"""),"What’s that sound?")</f>
        <v>What’s that sound?</v>
      </c>
      <c r="C455" s="13" t="str">
        <f>IFERROR(__xludf.DUMMYFUNCTION("""COMPUTED_VALUE"""),"""ucgf"":{""label"":""Irrational Fears"",""extra"":""What’s that sound?"",""sets"":""Expansion Set 3, Party Expansion 1""},")</f>
        <v>"ucgf":{"label":"Irrational Fears","extra":"What’s that sound?","sets":"Expansion Set 3, Party Expansion 1"},</v>
      </c>
    </row>
    <row r="456">
      <c r="A456" s="8" t="str">
        <f>IFERROR(__xludf.DUMMYFUNCTION("""COMPUTED_VALUE"""),"Itchy Clothes")</f>
        <v>Itchy Clothes</v>
      </c>
      <c r="B456" s="8" t="str">
        <f>IFERROR(__xludf.DUMMYFUNCTION("""COMPUTED_VALUE"""),"Rough, prickly, scratchy they’re awful!")</f>
        <v>Rough, prickly, scratchy they’re awful!</v>
      </c>
      <c r="C456" s="13" t="str">
        <f>IFERROR(__xludf.DUMMYFUNCTION("""COMPUTED_VALUE"""),"""ylpr"":{""label"":""Itchy Clothes"",""extra"":""Rough, prickly, scratchy they’re awful!"",""sets"":""Junior""},")</f>
        <v>"ylpr":{"label":"Itchy Clothes","extra":"Rough, prickly, scratchy they’re awful!","sets":"Junior"},</v>
      </c>
    </row>
    <row r="457">
      <c r="A457" s="8" t="str">
        <f>IFERROR(__xludf.DUMMYFUNCTION("""COMPUTED_VALUE"""),"Jail")</f>
        <v>Jail</v>
      </c>
      <c r="B457" s="8" t="str">
        <f>IFERROR(__xludf.DUMMYFUNCTION("""COMPUTED_VALUE"""),"A place for keeping people who have broken the law.")</f>
        <v>A place for keeping people who have broken the law.</v>
      </c>
      <c r="C457" s="13" t="str">
        <f>IFERROR(__xludf.DUMMYFUNCTION("""COMPUTED_VALUE"""),"""yiyd"":{""label"":""Jail"",""extra"":""A place for keeping people who have broken the law."",""sets"":""Junior""},")</f>
        <v>"yiyd":{"label":"Jail","extra":"A place for keeping people who have broken the law.","sets":"Junior"},</v>
      </c>
    </row>
    <row r="458">
      <c r="A458" s="8" t="str">
        <f>IFERROR(__xludf.DUMMYFUNCTION("""COMPUTED_VALUE"""),"Jell-O")</f>
        <v>Jell-O</v>
      </c>
      <c r="B458" s="8" t="str">
        <f>IFERROR(__xludf.DUMMYFUNCTION("""COMPUTED_VALUE"""),"A solid, clear treat in lots of fruit flavors. It wiggles and jiggles!")</f>
        <v>A solid, clear treat in lots of fruit flavors. It wiggles and jiggles!</v>
      </c>
      <c r="C458" s="13" t="str">
        <f>IFERROR(__xludf.DUMMYFUNCTION("""COMPUTED_VALUE"""),"""bvri"":{""label"":""Jell-O"",""extra"":""A solid, clear treat in lots of fruit flavors. It wiggles and jiggles!"",""sets"":""Junior""},")</f>
        <v>"bvri":{"label":"Jell-O","extra":"A solid, clear treat in lots of fruit flavors. It wiggles and jiggles!","sets":"Junior"},</v>
      </c>
    </row>
    <row r="459">
      <c r="A459" s="8" t="str">
        <f>IFERROR(__xludf.DUMMYFUNCTION("""COMPUTED_VALUE"""),"Jelly Beans")</f>
        <v>Jelly Beans</v>
      </c>
      <c r="B459" s="8" t="str">
        <f>IFERROR(__xludf.DUMMYFUNCTION("""COMPUTED_VALUE"""),"Jelly beans are now available in 50 different flavors!")</f>
        <v>Jelly beans are now available in 50 different flavors!</v>
      </c>
      <c r="C459" s="13" t="str">
        <f>IFERROR(__xludf.DUMMYFUNCTION("""COMPUTED_VALUE"""),"""efcm"":{""label"":""Jelly Beans"",""extra"":""Jelly beans are now available in 50 different flavors!"",""sets"":""Junior 9+ (2nd)""},")</f>
        <v>"efcm":{"label":"Jelly Beans","extra":"Jelly beans are now available in 50 different flavors!","sets":"Junior 9+ (2nd)"},</v>
      </c>
    </row>
    <row r="460">
      <c r="A460" s="8" t="str">
        <f>IFERROR(__xludf.DUMMYFUNCTION("""COMPUTED_VALUE"""),"John Wayne")</f>
        <v>John Wayne</v>
      </c>
      <c r="B460" s="8" t="str">
        <f>IFERROR(__xludf.DUMMYFUNCTION("""COMPUTED_VALUE"""),"1907-79, legendary American actor, “The Duke” starred in such classics as “Stagecoach,” “The Sands of Iwo Jima” and “True Grit.”")</f>
        <v>1907-79, legendary American actor, “The Duke” starred in such classics as “Stagecoach,” “The Sands of Iwo Jima” and “True Grit.”</v>
      </c>
      <c r="C460" s="13" t="str">
        <f>IFERROR(__xludf.DUMMYFUNCTION("""COMPUTED_VALUE"""),"""vluf"":{""label"":""John Wayne"",""extra"":""1907-79, legendary American actor, “The Duke” starred in such classics as “Stagecoach,” “The Sands of Iwo Jima” and “True Grit.”"",""sets"":""Expansion Set 3, Party Expansion 1""},")</f>
        <v>"vluf":{"label":"John Wayne","extra":"1907-79, legendary American actor, “The Duke” starred in such classics as “Stagecoach,” “The Sands of Iwo Jima” and “True Grit.”","sets":"Expansion Set 3, Party Expansion 1"},</v>
      </c>
    </row>
    <row r="461">
      <c r="A461" s="8" t="str">
        <f>IFERROR(__xludf.DUMMYFUNCTION("""COMPUTED_VALUE"""),"Jonah &amp; The Whale")</f>
        <v>Jonah &amp; The Whale</v>
      </c>
      <c r="B461" s="8" t="str">
        <f>IFERROR(__xludf.DUMMYFUNCTION("""COMPUTED_VALUE"""),"The greatest fish story ever told, in the Bible, that is.")</f>
        <v>The greatest fish story ever told, in the Bible, that is.</v>
      </c>
      <c r="C461" s="13" t="str">
        <f>IFERROR(__xludf.DUMMYFUNCTION("""COMPUTED_VALUE"""),"""cdye"":{""label"":""Jonah &amp; The Whale"",""extra"":""The greatest fish story ever told, in the Bible, that is."",""sets"":""Expansion Set 4, Party Expansion 1""},")</f>
        <v>"cdye":{"label":"Jonah &amp; The Whale","extra":"The greatest fish story ever told, in the Bible, that is.","sets":"Expansion Set 4, Party Expansion 1"},</v>
      </c>
    </row>
    <row r="462">
      <c r="A462" s="8" t="str">
        <f>IFERROR(__xludf.DUMMYFUNCTION("""COMPUTED_VALUE"""),"Juggling")</f>
        <v>Juggling</v>
      </c>
      <c r="B462" s="8" t="str">
        <f>IFERROR(__xludf.DUMMYFUNCTION("""COMPUTED_VALUE"""),"Start with two and see how you do.")</f>
        <v>Start with two and see how you do.</v>
      </c>
      <c r="C462" s="13" t="str">
        <f>IFERROR(__xludf.DUMMYFUNCTION("""COMPUTED_VALUE"""),"""lrkg"":{""label"":""Juggling"",""extra"":""Start with two and see how you do."",""sets"":""Junior 9+ (1st) &amp; (2nd)""},")</f>
        <v>"lrkg":{"label":"Juggling","extra":"Start with two and see how you do.","sets":"Junior 9+ (1st) &amp; (2nd)"},</v>
      </c>
    </row>
    <row r="463">
      <c r="A463" s="8" t="str">
        <f>IFERROR(__xludf.DUMMYFUNCTION("""COMPUTED_VALUE"""),"Jumping Rope")</f>
        <v>Jumping Rope</v>
      </c>
      <c r="B463" s="8" t="str">
        <f>IFERROR(__xludf.DUMMYFUNCTION("""COMPUTED_VALUE"""),"Twirl the rope and jump!")</f>
        <v>Twirl the rope and jump!</v>
      </c>
      <c r="C463" s="13" t="str">
        <f>IFERROR(__xludf.DUMMYFUNCTION("""COMPUTED_VALUE"""),"""{ptz"":{""label"":""Jumping Rope"",""extra"":""Twirl the rope and jump!"",""sets"":""Junior""},")</f>
        <v>"{ptz":{"label":"Jumping Rope","extra":"Twirl the rope and jump!","sets":"Junior"},</v>
      </c>
    </row>
    <row r="464">
      <c r="A464" s="8" t="str">
        <f>IFERROR(__xludf.DUMMYFUNCTION("""COMPUTED_VALUE"""),"Junkyard Dogs")</f>
        <v>Junkyard Dogs</v>
      </c>
      <c r="B464" s="8" t="str">
        <f>IFERROR(__xludf.DUMMYFUNCTION("""COMPUTED_VALUE"""),"Not as mean as bad, bad Leroy Brown.")</f>
        <v>Not as mean as bad, bad Leroy Brown.</v>
      </c>
      <c r="C464" s="13" t="str">
        <f>IFERROR(__xludf.DUMMYFUNCTION("""COMPUTED_VALUE"""),"""djnv"":{""label"":""Junkyard Dogs"",""extra"":""Not as mean as bad, bad Leroy Brown."",""sets"":""Expansion Set 3, Party Expansion 1""},")</f>
        <v>"djnv":{"label":"Junkyard Dogs","extra":"Not as mean as bad, bad Leroy Brown.","sets":"Expansion Set 3, Party Expansion 1"},</v>
      </c>
    </row>
    <row r="465">
      <c r="A465" s="8" t="str">
        <f>IFERROR(__xludf.DUMMYFUNCTION("""COMPUTED_VALUE"""),"Jurassic Park")</f>
        <v>Jurassic Park</v>
      </c>
      <c r="B465" s="8" t="str">
        <f>IFERROR(__xludf.DUMMYFUNCTION("""COMPUTED_VALUE"""),"1993 film based on Michael Chrichton's book about dinosaurs brought back to life, with Oscar-winning visual effects.")</f>
        <v>1993 film based on Michael Chrichton's book about dinosaurs brought back to life, with Oscar-winning visual effects.</v>
      </c>
      <c r="C465" s="13" t="str">
        <f>IFERROR(__xludf.DUMMYFUNCTION("""COMPUTED_VALUE"""),"""snzp"":{""label"":""Jurassic Park"",""extra"":""1993 film based on Michael Chrichton's book about dinosaurs brought back to life, with Oscar-winning visual effects."",""sets"":""Expansion Set 3, Party Expansion 1""},")</f>
        <v>"snzp":{"label":"Jurassic Park","extra":"1993 film based on Michael Chrichton's book about dinosaurs brought back to life, with Oscar-winning visual effects.","sets":"Expansion Set 3, Party Expansion 1"},</v>
      </c>
    </row>
    <row r="466">
      <c r="A466" s="8" t="str">
        <f>IFERROR(__xludf.DUMMYFUNCTION("""COMPUTED_VALUE"""),"Kangaroos")</f>
        <v>Kangaroos</v>
      </c>
      <c r="B466" s="8" t="str">
        <f>IFERROR(__xludf.DUMMYFUNCTION("""COMPUTED_VALUE"""),"Large animals from Australia that hop. Mother kangaroos carry their babies in pouches.")</f>
        <v>Large animals from Australia that hop. Mother kangaroos carry their babies in pouches.</v>
      </c>
      <c r="C466" s="13" t="str">
        <f>IFERROR(__xludf.DUMMYFUNCTION("""COMPUTED_VALUE"""),"""xgjn"":{""label"":""Kangaroos"",""extra"":""Large animals from Australia that hop. Mother kangaroos carry their babies in pouches."",""sets"":""Junior""},")</f>
        <v>"xgjn":{"label":"Kangaroos","extra":"Large animals from Australia that hop. Mother kangaroos carry their babies in pouches.","sets":"Junior"},</v>
      </c>
    </row>
    <row r="467">
      <c r="A467" s="8" t="str">
        <f>IFERROR(__xludf.DUMMYFUNCTION("""COMPUTED_VALUE"""),"Kickball")</f>
        <v>Kickball</v>
      </c>
      <c r="B467" s="8" t="str">
        <f>IFERROR(__xludf.DUMMYFUNCTION("""COMPUTED_VALUE"""),"You’ll get a kick out of it!")</f>
        <v>You’ll get a kick out of it!</v>
      </c>
      <c r="C467" s="13" t="str">
        <f>IFERROR(__xludf.DUMMYFUNCTION("""COMPUTED_VALUE"""),"""pkup"":{""label"":""Kickball"",""extra"":""You’ll get a kick out of it!"",""sets"":""Junior 9+ (2nd)""},")</f>
        <v>"pkup":{"label":"Kickball","extra":"You’ll get a kick out of it!","sets":"Junior 9+ (2nd)"},</v>
      </c>
    </row>
    <row r="468">
      <c r="A468" s="8" t="str">
        <f>IFERROR(__xludf.DUMMYFUNCTION("""COMPUTED_VALUE"""),"Kindergarten")</f>
        <v>Kindergarten</v>
      </c>
      <c r="B468" s="8" t="str">
        <f>IFERROR(__xludf.DUMMYFUNCTION("""COMPUTED_VALUE"""),"“A, B, C, D, E, F, G… Won’t you sing along with me?”")</f>
        <v>“A, B, C, D, E, F, G… Won’t you sing along with me?”</v>
      </c>
      <c r="C468" s="13" t="str">
        <f>IFERROR(__xludf.DUMMYFUNCTION("""COMPUTED_VALUE"""),"""dsnu"":{""label"":""Kindergarten"",""extra"":""“A, B, C, D, E, F, G… Won’t you sing along with me?”"",""sets"":""Junior 9+ (2nd)""},")</f>
        <v>"dsnu":{"label":"Kindergarten","extra":"“A, B, C, D, E, F, G… Won’t you sing along with me?”","sets":"Junior 9+ (2nd)"},</v>
      </c>
    </row>
    <row r="469">
      <c r="A469" s="8" t="str">
        <f>IFERROR(__xludf.DUMMYFUNCTION("""COMPUTED_VALUE"""),"King Tut")</f>
        <v>King Tut</v>
      </c>
      <c r="B469" s="8" t="str">
        <f>IFERROR(__xludf.DUMMYFUNCTION("""COMPUTED_VALUE"""),"Boy king who ruled Egypt from 1333 to 1323 B.C., known for the great wealth of objects found in his tomb. He took it with him.")</f>
        <v>Boy king who ruled Egypt from 1333 to 1323 B.C., known for the great wealth of objects found in his tomb. He took it with him.</v>
      </c>
      <c r="C469" s="13" t="str">
        <f>IFERROR(__xludf.DUMMYFUNCTION("""COMPUTED_VALUE"""),"""bpdn"":{""label"":""King Tut"",""extra"":""Boy king who ruled Egypt from 1333 to 1323 B.C., known for the great wealth of objects found in his tomb. He took it with him."",""sets"":""Expansion Set 3, Party Expansion 1""},")</f>
        <v>"bpdn":{"label":"King Tut","extra":"Boy king who ruled Egypt from 1333 to 1323 B.C., known for the great wealth of objects found in his tomb. He took it with him.","sets":"Expansion Set 3, Party Expansion 1"},</v>
      </c>
    </row>
    <row r="470">
      <c r="A470" s="8" t="str">
        <f>IFERROR(__xludf.DUMMYFUNCTION("""COMPUTED_VALUE"""),"Kisses")</f>
        <v>Kisses</v>
      </c>
      <c r="B470" s="8" t="str">
        <f>IFERROR(__xludf.DUMMYFUNCTION("""COMPUTED_VALUE"""),"Chocolate kisses are the best!")</f>
        <v>Chocolate kisses are the best!</v>
      </c>
      <c r="C470" s="13" t="str">
        <f>IFERROR(__xludf.DUMMYFUNCTION("""COMPUTED_VALUE"""),"""waow"":{""label"":""Kisses"",""extra"":""Chocolate kisses are the best!"",""sets"":""Junior 9+ (1st) &amp; (2nd)""},")</f>
        <v>"waow":{"label":"Kisses","extra":"Chocolate kisses are the best!","sets":"Junior 9+ (1st) &amp; (2nd)"},</v>
      </c>
    </row>
    <row r="471">
      <c r="A471" s="8" t="str">
        <f>IFERROR(__xludf.DUMMYFUNCTION("""COMPUTED_VALUE"""),"Kittens")</f>
        <v>Kittens</v>
      </c>
      <c r="B471" s="8" t="str">
        <f>IFERROR(__xludf.DUMMYFUNCTION("""COMPUTED_VALUE"""),"Baby cats, usually playful and fuzzy. Meow.")</f>
        <v>Baby cats, usually playful and fuzzy. Meow.</v>
      </c>
      <c r="C471" s="13" t="str">
        <f>IFERROR(__xludf.DUMMYFUNCTION("""COMPUTED_VALUE"""),"""jnqk"":{""label"":""Kittens"",""extra"":""Baby cats, usually playful and fuzzy. Meow."",""sets"":""Junior""},")</f>
        <v>"jnqk":{"label":"Kittens","extra":"Baby cats, usually playful and fuzzy. Meow.","sets":"Junior"},</v>
      </c>
    </row>
    <row r="472">
      <c r="A472" s="8" t="str">
        <f>IFERROR(__xludf.DUMMYFUNCTION("""COMPUTED_VALUE"""),"Knife &amp; Fork")</f>
        <v>Knife &amp; Fork</v>
      </c>
      <c r="B472" s="8" t="str">
        <f>IFERROR(__xludf.DUMMYFUNCTION("""COMPUTED_VALUE"""),"Knife on the right, fork on the left.")</f>
        <v>Knife on the right, fork on the left.</v>
      </c>
      <c r="C472" s="13" t="str">
        <f>IFERROR(__xludf.DUMMYFUNCTION("""COMPUTED_VALUE"""),"""l{zk"":{""label"":""Knife &amp; Fork"",""extra"":""Knife on the right, fork on the left."",""sets"":""Expansion Set 4, Party Expansion 1""},")</f>
        <v>"l{zk":{"label":"Knife &amp; Fork","extra":"Knife on the right, fork on the left.","sets":"Expansion Set 4, Party Expansion 1"},</v>
      </c>
    </row>
    <row r="473">
      <c r="A473" s="8" t="str">
        <f>IFERROR(__xludf.DUMMYFUNCTION("""COMPUTED_VALUE"""),"Knitting Needles")</f>
        <v>Knitting Needles</v>
      </c>
      <c r="B473" s="8" t="str">
        <f>IFERROR(__xludf.DUMMYFUNCTION("""COMPUTED_VALUE"""),"Knit one, pearl two…")</f>
        <v>Knit one, pearl two…</v>
      </c>
      <c r="C473" s="13" t="str">
        <f>IFERROR(__xludf.DUMMYFUNCTION("""COMPUTED_VALUE"""),"""zgyl"":{""label"":""Knitting Needles"",""extra"":""Knit one, pearl two…"",""sets"":""Expansion Set 3, Party Expansion 1""},")</f>
        <v>"zgyl":{"label":"Knitting Needles","extra":"Knit one, pearl two…","sets":"Expansion Set 3, Party Expansion 1"},</v>
      </c>
    </row>
    <row r="474">
      <c r="A474" s="8" t="str">
        <f>IFERROR(__xludf.DUMMYFUNCTION("""COMPUTED_VALUE"""),"Lady &amp; The Tramp")</f>
        <v>Lady &amp; The Tramp</v>
      </c>
      <c r="B474" s="8" t="str">
        <f>IFERROR(__xludf.DUMMYFUNCTION("""COMPUTED_VALUE"""),"The 1955 Disney animated film featuring dogs, love and spaghetti.")</f>
        <v>The 1955 Disney animated film featuring dogs, love and spaghetti.</v>
      </c>
      <c r="C474" s="13" t="str">
        <f>IFERROR(__xludf.DUMMYFUNCTION("""COMPUTED_VALUE"""),"""faht"":{""label"":""Lady &amp; The Tramp"",""extra"":""The 1955 Disney animated film featuring dogs, love and spaghetti."",""sets"":""Expansion Set 4, Party Expansion 1""},")</f>
        <v>"faht":{"label":"Lady &amp; The Tramp","extra":"The 1955 Disney animated film featuring dogs, love and spaghetti.","sets":"Expansion Set 4, Party Expansion 1"},</v>
      </c>
    </row>
    <row r="475">
      <c r="A475" s="8" t="str">
        <f>IFERROR(__xludf.DUMMYFUNCTION("""COMPUTED_VALUE"""),"Ladybugs")</f>
        <v>Ladybugs</v>
      </c>
      <c r="B475" s="8" t="str">
        <f>IFERROR(__xludf.DUMMYFUNCTION("""COMPUTED_VALUE"""),"Small, round red or orange beetles with black spots. They can fly!")</f>
        <v>Small, round red or orange beetles with black spots. They can fly!</v>
      </c>
      <c r="C475" s="13" t="str">
        <f>IFERROR(__xludf.DUMMYFUNCTION("""COMPUTED_VALUE"""),"""rfwh"":{""label"":""Ladybugs"",""extra"":""Small, round red or orange beetles with black spots. They can fly!"",""sets"":""Junior""},")</f>
        <v>"rfwh":{"label":"Ladybugs","extra":"Small, round red or orange beetles with black spots. They can fly!","sets":"Junior"},</v>
      </c>
    </row>
    <row r="476">
      <c r="A476" s="8" t="str">
        <f>IFERROR(__xludf.DUMMYFUNCTION("""COMPUTED_VALUE"""),"Lance Armstrong")</f>
        <v>Lance Armstrong</v>
      </c>
      <c r="B476" s="8" t="str">
        <f>IFERROR(__xludf.DUMMYFUNCTION("""COMPUTED_VALUE"""),"1971-, American cyclist, cancer survivor and winner of the Tour De France brought new meaning to the phrase “Going Postal.”")</f>
        <v>1971-, American cyclist, cancer survivor and winner of the Tour De France brought new meaning to the phrase “Going Postal.”</v>
      </c>
      <c r="C476" s="13" t="str">
        <f>IFERROR(__xludf.DUMMYFUNCTION("""COMPUTED_VALUE"""),"""jjxi"":{""label"":""Lance Armstrong"",""extra"":""1971-, American cyclist, cancer survivor and winner of the Tour De France brought new meaning to the phrase “Going Postal.”"",""sets"":""Expansion Set 3, Party Expansion 1""},")</f>
        <v>"jjxi":{"label":"Lance Armstrong","extra":"1971-, American cyclist, cancer survivor and winner of the Tour De France brought new meaning to the phrase “Going Postal.”","sets":"Expansion Set 3, Party Expansion 1"},</v>
      </c>
    </row>
    <row r="477">
      <c r="A477" s="8" t="str">
        <f>IFERROR(__xludf.DUMMYFUNCTION("""COMPUTED_VALUE"""),"Lassie")</f>
        <v>Lassie</v>
      </c>
      <c r="B477" s="8" t="str">
        <f>IFERROR(__xludf.DUMMYFUNCTION("""COMPUTED_VALUE"""),"A famous collie, Lassie starred in her own TV show. “What’s that you say Lassie? Little Timmy’s fallen down the well?”")</f>
        <v>A famous collie, Lassie starred in her own TV show. “What’s that you say Lassie? Little Timmy’s fallen down the well?”</v>
      </c>
      <c r="C477" s="13" t="str">
        <f>IFERROR(__xludf.DUMMYFUNCTION("""COMPUTED_VALUE"""),"""mpre"":{""label"":""Lassie"",""extra"":""A famous collie, Lassie starred in her own TV show. “What’s that you say Lassie? Little Timmy’s fallen down the well?”"",""sets"":""Expansion Set 3, Party Expansion 1""},")</f>
        <v>"mpre":{"label":"Lassie","extra":"A famous collie, Lassie starred in her own TV show. “What’s that you say Lassie? Little Timmy’s fallen down the well?”","sets":"Expansion Set 3, Party Expansion 1"},</v>
      </c>
    </row>
    <row r="478">
      <c r="A478" s="8" t="str">
        <f>IFERROR(__xludf.DUMMYFUNCTION("""COMPUTED_VALUE"""),"Last Will &amp; Testament")</f>
        <v>Last Will &amp; Testament</v>
      </c>
      <c r="B478" s="8" t="str">
        <f>IFERROR(__xludf.DUMMYFUNCTION("""COMPUTED_VALUE"""),"It may be your only chance to get the last word on anything.")</f>
        <v>It may be your only chance to get the last word on anything.</v>
      </c>
      <c r="C478" s="13" t="str">
        <f>IFERROR(__xludf.DUMMYFUNCTION("""COMPUTED_VALUE"""),"""uuec"":{""label"":""Last Will &amp; Testament"",""extra"":""It may be your only chance to get the last word on anything."",""sets"":""Expansion Set 4, Party Expansion 1""},")</f>
        <v>"uuec":{"label":"Last Will &amp; Testament","extra":"It may be your only chance to get the last word on anything.","sets":"Expansion Set 4, Party Expansion 1"},</v>
      </c>
    </row>
    <row r="479">
      <c r="A479" s="8" t="str">
        <f>IFERROR(__xludf.DUMMYFUNCTION("""COMPUTED_VALUE"""),"Law &amp; Order")</f>
        <v>Law &amp; Order</v>
      </c>
      <c r="B479" s="8" t="str">
        <f>IFERROR(__xludf.DUMMYFUNCTION("""COMPUTED_VALUE"""),"The television show, or the concept.")</f>
        <v>The television show, or the concept.</v>
      </c>
      <c r="C479" s="13" t="str">
        <f>IFERROR(__xludf.DUMMYFUNCTION("""COMPUTED_VALUE"""),"""qubc"":{""label"":""Law &amp; Order"",""extra"":""The television show, or the concept."",""sets"":""Expansion Set 4, Party Expansion 1""},")</f>
        <v>"qubc":{"label":"Law &amp; Order","extra":"The television show, or the concept.","sets":"Expansion Set 4, Party Expansion 1"},</v>
      </c>
    </row>
    <row r="480">
      <c r="A480" s="8" t="str">
        <f>IFERROR(__xludf.DUMMYFUNCTION("""COMPUTED_VALUE"""),"Learning Spanish")</f>
        <v>Learning Spanish</v>
      </c>
      <c r="B480" s="8" t="str">
        <f>IFERROR(__xludf.DUMMYFUNCTION("""COMPUTED_VALUE"""),"Who knows, maybe you’ll need it someday.")</f>
        <v>Who knows, maybe you’ll need it someday.</v>
      </c>
      <c r="C480" s="13" t="str">
        <f>IFERROR(__xludf.DUMMYFUNCTION("""COMPUTED_VALUE"""),"""jcob"":{""label"":""Learning Spanish"",""extra"":""Who knows, maybe you’ll need it someday."",""sets"":""Junior 9+ (2nd)""},")</f>
        <v>"jcob":{"label":"Learning Spanish","extra":"Who knows, maybe you’ll need it someday.","sets":"Junior 9+ (2nd)"},</v>
      </c>
    </row>
    <row r="481">
      <c r="A481" s="8" t="str">
        <f>IFERROR(__xludf.DUMMYFUNCTION("""COMPUTED_VALUE"""),"Learning To Ski")</f>
        <v>Learning To Ski</v>
      </c>
      <c r="B481" s="8" t="str">
        <f>IFERROR(__xludf.DUMMYFUNCTION("""COMPUTED_VALUE"""),"Put on the ski boots, then the skis, then get up to the top of the hill…")</f>
        <v>Put on the ski boots, then the skis, then get up to the top of the hill…</v>
      </c>
      <c r="C481" s="13" t="str">
        <f>IFERROR(__xludf.DUMMYFUNCTION("""COMPUTED_VALUE"""),"""ehur"":{""label"":""Learning To Ski"",""extra"":""Put on the ski boots, then the skis, then get up to the top of the hill…"",""sets"":""Junior 9+ (2nd)""},")</f>
        <v>"ehur":{"label":"Learning To Ski","extra":"Put on the ski boots, then the skis, then get up to the top of the hill…","sets":"Junior 9+ (2nd)"},</v>
      </c>
    </row>
    <row r="482">
      <c r="A482" s="8" t="str">
        <f>IFERROR(__xludf.DUMMYFUNCTION("""COMPUTED_VALUE"""),"Lego Building Blocks")</f>
        <v>Lego Building Blocks</v>
      </c>
      <c r="B482" s="8" t="str">
        <f>IFERROR(__xludf.DUMMYFUNCTION("""COMPUTED_VALUE"""),"Get more blocks! We’re building the Golden Gate Bridge.")</f>
        <v>Get more blocks! We’re building the Golden Gate Bridge.</v>
      </c>
      <c r="C482" s="13" t="str">
        <f>IFERROR(__xludf.DUMMYFUNCTION("""COMPUTED_VALUE"""),"""qmvs"":{""label"":""Lego Building Blocks"",""extra"":""Get more blocks! We’re building the Golden Gate Bridge."",""sets"":""Junior 9+ (2nd)""},")</f>
        <v>"qmvs":{"label":"Lego Building Blocks","extra":"Get more blocks! We’re building the Golden Gate Bridge.","sets":"Junior 9+ (2nd)"},</v>
      </c>
    </row>
    <row r="483">
      <c r="A483" s="8" t="str">
        <f>IFERROR(__xludf.DUMMYFUNCTION("""COMPUTED_VALUE"""),"Legs")</f>
        <v>Legs</v>
      </c>
      <c r="B483" s="8" t="str">
        <f>IFERROR(__xludf.DUMMYFUNCTION("""COMPUTED_VALUE"""),"People have them, animals have them, even tables have them.")</f>
        <v>People have them, animals have them, even tables have them.</v>
      </c>
      <c r="C483" s="13" t="str">
        <f>IFERROR(__xludf.DUMMYFUNCTION("""COMPUTED_VALUE"""),"""buhj"":{""label"":""Legs"",""extra"":""People have them, animals have them, even tables have them."",""sets"":""Junior 9+ (2nd)""},")</f>
        <v>"buhj":{"label":"Legs","extra":"People have them, animals have them, even tables have them.","sets":"Junior 9+ (2nd)"},</v>
      </c>
    </row>
    <row r="484">
      <c r="A484" s="8" t="str">
        <f>IFERROR(__xludf.DUMMYFUNCTION("""COMPUTED_VALUE"""),"Lemon &amp; Lime")</f>
        <v>Lemon &amp; Lime</v>
      </c>
      <c r="B484" s="8" t="str">
        <f>IFERROR(__xludf.DUMMYFUNCTION("""COMPUTED_VALUE"""),"Pucker up.")</f>
        <v>Pucker up.</v>
      </c>
      <c r="C484" s="13" t="str">
        <f>IFERROR(__xludf.DUMMYFUNCTION("""COMPUTED_VALUE"""),"""wykx"":{""label"":""Lemon &amp; Lime"",""extra"":""Pucker up."",""sets"":""Expansion Set 4, Party Expansion 1""},")</f>
        <v>"wykx":{"label":"Lemon &amp; Lime","extra":"Pucker up.","sets":"Expansion Set 4, Party Expansion 1"},</v>
      </c>
    </row>
    <row r="485">
      <c r="A485" s="8" t="str">
        <f>IFERROR(__xludf.DUMMYFUNCTION("""COMPUTED_VALUE"""),"Lemon Meringue Pie")</f>
        <v>Lemon Meringue Pie</v>
      </c>
      <c r="B485" s="8" t="str">
        <f>IFERROR(__xludf.DUMMYFUNCTION("""COMPUTED_VALUE"""),"Tart, sweet and smooth.")</f>
        <v>Tart, sweet and smooth.</v>
      </c>
      <c r="C485" s="13" t="str">
        <f>IFERROR(__xludf.DUMMYFUNCTION("""COMPUTED_VALUE"""),"""zxbf"":{""label"":""Lemon Meringue Pie"",""extra"":""Tart, sweet and smooth."",""sets"":""Expansion Set 3, Party Expansion 1""},")</f>
        <v>"zxbf":{"label":"Lemon Meringue Pie","extra":"Tart, sweet and smooth.","sets":"Expansion Set 3, Party Expansion 1"},</v>
      </c>
    </row>
    <row r="486">
      <c r="A486" s="8" t="str">
        <f>IFERROR(__xludf.DUMMYFUNCTION("""COMPUTED_VALUE"""),"Lemonade")</f>
        <v>Lemonade</v>
      </c>
      <c r="B486" s="8" t="str">
        <f>IFERROR(__xludf.DUMMYFUNCTION("""COMPUTED_VALUE"""),"Needs more sugar!")</f>
        <v>Needs more sugar!</v>
      </c>
      <c r="C486" s="13" t="str">
        <f>IFERROR(__xludf.DUMMYFUNCTION("""COMPUTED_VALUE"""),"""zwgj"":{""label"":""Lemonade"",""extra"":""Needs more sugar!"",""sets"":""Junior 9+ (2nd)""},")</f>
        <v>"zwgj":{"label":"Lemonade","extra":"Needs more sugar!","sets":"Junior 9+ (2nd)"},</v>
      </c>
    </row>
    <row r="487">
      <c r="A487" s="8" t="str">
        <f>IFERROR(__xludf.DUMMYFUNCTION("""COMPUTED_VALUE"""),"Lemons")</f>
        <v>Lemons</v>
      </c>
      <c r="B487" s="8" t="str">
        <f>IFERROR(__xludf.DUMMYFUNCTION("""COMPUTED_VALUE"""),"Sour yellow fruit. Add sugar and water and you can make lemonade!")</f>
        <v>Sour yellow fruit. Add sugar and water and you can make lemonade!</v>
      </c>
      <c r="C487" s="13" t="str">
        <f>IFERROR(__xludf.DUMMYFUNCTION("""COMPUTED_VALUE"""),"""sshm"":{""label"":""Lemons"",""extra"":""Sour yellow fruit. Add sugar and water and you can make lemonade!"",""sets"":""Junior""},")</f>
        <v>"sshm":{"label":"Lemons","extra":"Sour yellow fruit. Add sugar and water and you can make lemonade!","sets":"Junior"},</v>
      </c>
    </row>
    <row r="488">
      <c r="A488" s="8" t="str">
        <f>IFERROR(__xludf.DUMMYFUNCTION("""COMPUTED_VALUE"""),"Lethal Injection")</f>
        <v>Lethal Injection</v>
      </c>
      <c r="B488" s="8" t="str">
        <f>IFERROR(__xludf.DUMMYFUNCTION("""COMPUTED_VALUE"""),"It’s a killer.")</f>
        <v>It’s a killer.</v>
      </c>
      <c r="C488" s="13" t="str">
        <f>IFERROR(__xludf.DUMMYFUNCTION("""COMPUTED_VALUE"""),"""xljs"":{""label"":""Lethal Injection"",""extra"":""It’s a killer."",""sets"":""Expansion Set 3, Party Expansion 1""},")</f>
        <v>"xljs":{"label":"Lethal Injection","extra":"It’s a killer.","sets":"Expansion Set 3, Party Expansion 1"},</v>
      </c>
    </row>
    <row r="489">
      <c r="A489" s="8" t="str">
        <f>IFERROR(__xludf.DUMMYFUNCTION("""COMPUTED_VALUE"""),"Lewis &amp; Clark")</f>
        <v>Lewis &amp; Clark</v>
      </c>
      <c r="B489" s="8" t="str">
        <f>IFERROR(__xludf.DUMMYFUNCTION("""COMPUTED_VALUE"""),"The early 1800s expedition covered over 8000 miles and confirmed that the Louisiana Purchase was a very good deal.")</f>
        <v>The early 1800s expedition covered over 8000 miles and confirmed that the Louisiana Purchase was a very good deal.</v>
      </c>
      <c r="C489" s="13" t="str">
        <f>IFERROR(__xludf.DUMMYFUNCTION("""COMPUTED_VALUE"""),"""fgua"":{""label"":""Lewis &amp; Clark"",""extra"":""The early 1800s expedition covered over 8000 miles and confirmed that the Louisiana Purchase was a very good deal."",""sets"":""Expansion Set 4, Party Expansion 1""},")</f>
        <v>"fgua":{"label":"Lewis &amp; Clark","extra":"The early 1800s expedition covered over 8000 miles and confirmed that the Louisiana Purchase was a very good deal.","sets":"Expansion Set 4, Party Expansion 1"},</v>
      </c>
    </row>
    <row r="490">
      <c r="A490" s="8" t="str">
        <f>IFERROR(__xludf.DUMMYFUNCTION("""COMPUTED_VALUE"""),"Liberty &amp; Justice")</f>
        <v>Liberty &amp; Justice</v>
      </c>
      <c r="B490" s="8" t="str">
        <f>IFERROR(__xludf.DUMMYFUNCTION("""COMPUTED_VALUE"""),"For all.")</f>
        <v>For all.</v>
      </c>
      <c r="C490" s="13" t="str">
        <f>IFERROR(__xludf.DUMMYFUNCTION("""COMPUTED_VALUE"""),"""wnkj"":{""label"":""Liberty &amp; Justice"",""extra"":""For all."",""sets"":""Expansion Set 4, Party Expansion 1""},")</f>
        <v>"wnkj":{"label":"Liberty &amp; Justice","extra":"For all.","sets":"Expansion Set 4, Party Expansion 1"},</v>
      </c>
    </row>
    <row r="491">
      <c r="A491" s="8" t="str">
        <f>IFERROR(__xludf.DUMMYFUNCTION("""COMPUTED_VALUE"""),"Life Jackets")</f>
        <v>Life Jackets</v>
      </c>
      <c r="B491" s="8" t="str">
        <f>IFERROR(__xludf.DUMMYFUNCTION("""COMPUTED_VALUE"""),"It won’t work if you don’t wear it!")</f>
        <v>It won’t work if you don’t wear it!</v>
      </c>
      <c r="C491" s="13" t="str">
        <f>IFERROR(__xludf.DUMMYFUNCTION("""COMPUTED_VALUE"""),"""glnt"":{""label"":""Life Jackets"",""extra"":""It won’t work if you don’t wear it!"",""sets"":""Junior 9+ (2nd)""},")</f>
        <v>"glnt":{"label":"Life Jackets","extra":"It won’t work if you don’t wear it!","sets":"Junior 9+ (2nd)"},</v>
      </c>
    </row>
    <row r="492">
      <c r="A492" s="8" t="str">
        <f>IFERROR(__xludf.DUMMYFUNCTION("""COMPUTED_VALUE"""),"Lifeguard")</f>
        <v>Lifeguard</v>
      </c>
      <c r="B492" s="8" t="str">
        <f>IFERROR(__xludf.DUMMYFUNCTION("""COMPUTED_VALUE"""),"A person whose job it is to help and protect swimmers.")</f>
        <v>A person whose job it is to help and protect swimmers.</v>
      </c>
      <c r="C492" s="13" t="str">
        <f>IFERROR(__xludf.DUMMYFUNCTION("""COMPUTED_VALUE"""),"""qtvm"":{""label"":""Lifeguard"",""extra"":""A person whose job it is to help and protect swimmers."",""sets"":""Junior""},")</f>
        <v>"qtvm":{"label":"Lifeguard","extra":"A person whose job it is to help and protect swimmers.","sets":"Junior"},</v>
      </c>
    </row>
    <row r="493">
      <c r="A493" s="8" t="str">
        <f>IFERROR(__xludf.DUMMYFUNCTION("""COMPUTED_VALUE"""),"Lightning")</f>
        <v>Lightning</v>
      </c>
      <c r="B493" s="8" t="str">
        <f>IFERROR(__xludf.DUMMYFUNCTION("""COMPUTED_VALUE"""),"An electrical flash of light in the sky, usually during a rainstorm.")</f>
        <v>An electrical flash of light in the sky, usually during a rainstorm.</v>
      </c>
      <c r="C493" s="13" t="str">
        <f>IFERROR(__xludf.DUMMYFUNCTION("""COMPUTED_VALUE"""),"""qvsq"":{""label"":""Lightning"",""extra"":""An electrical flash of light in the sky, usually during a rainstorm."",""sets"":""Junior""},")</f>
        <v>"qvsq":{"label":"Lightning","extra":"An electrical flash of light in the sky, usually during a rainstorm.","sets":"Junior"},</v>
      </c>
    </row>
    <row r="494">
      <c r="A494" s="8" t="str">
        <f>IFERROR(__xludf.DUMMYFUNCTION("""COMPUTED_VALUE"""),"Lions")</f>
        <v>Lions</v>
      </c>
      <c r="B494" s="8" t="str">
        <f>IFERROR(__xludf.DUMMYFUNCTION("""COMPUTED_VALUE"""),"King of the jungle. Roar!")</f>
        <v>King of the jungle. Roar!</v>
      </c>
      <c r="C494" s="13" t="str">
        <f>IFERROR(__xludf.DUMMYFUNCTION("""COMPUTED_VALUE"""),"""lowk"":{""label"":""Lions"",""extra"":""King of the jungle. Roar!"",""sets"":""Junior""},")</f>
        <v>"lowk":{"label":"Lions","extra":"King of the jungle. Roar!","sets":"Junior"},</v>
      </c>
    </row>
    <row r="495">
      <c r="A495" s="8" t="str">
        <f>IFERROR(__xludf.DUMMYFUNCTION("""COMPUTED_VALUE"""),"Lions &amp; Tigers")</f>
        <v>Lions &amp; Tigers</v>
      </c>
      <c r="B495" s="8" t="str">
        <f>IFERROR(__xludf.DUMMYFUNCTION("""COMPUTED_VALUE"""),"And bears…")</f>
        <v>And bears…</v>
      </c>
      <c r="C495" s="13" t="str">
        <f>IFERROR(__xludf.DUMMYFUNCTION("""COMPUTED_VALUE"""),"""pjah"":{""label"":""Lions &amp; Tigers"",""extra"":""And bears…"",""sets"":""Expansion Set 4, Party Expansion 1""},")</f>
        <v>"pjah":{"label":"Lions &amp; Tigers","extra":"And bears…","sets":"Expansion Set 4, Party Expansion 1"},</v>
      </c>
    </row>
    <row r="496">
      <c r="A496" s="8" t="str">
        <f>IFERROR(__xludf.DUMMYFUNCTION("""COMPUTED_VALUE"""),"Liposuction")</f>
        <v>Liposuction</v>
      </c>
      <c r="B496" s="8" t="str">
        <f>IFERROR(__xludf.DUMMYFUNCTION("""COMPUTED_VALUE"""),"Fatty tissue? That sucks…")</f>
        <v>Fatty tissue? That sucks…</v>
      </c>
      <c r="C496" s="13" t="str">
        <f>IFERROR(__xludf.DUMMYFUNCTION("""COMPUTED_VALUE"""),"""rlif"":{""label"":""Liposuction"",""extra"":""Fatty tissue? That sucks…"",""sets"":""Expansion Set 3, Party Expansion 1""},")</f>
        <v>"rlif":{"label":"Liposuction","extra":"Fatty tissue? That sucks…","sets":"Expansion Set 3, Party Expansion 1"},</v>
      </c>
    </row>
    <row r="497">
      <c r="A497" s="8" t="str">
        <f>IFERROR(__xludf.DUMMYFUNCTION("""COMPUTED_VALUE"""),"Listening To Music")</f>
        <v>Listening To Music</v>
      </c>
      <c r="B497" s="8" t="str">
        <f>IFERROR(__xludf.DUMMYFUNCTION("""COMPUTED_VALUE"""),"Nobody’s home… play it loud!")</f>
        <v>Nobody’s home… play it loud!</v>
      </c>
      <c r="C497" s="13" t="str">
        <f>IFERROR(__xludf.DUMMYFUNCTION("""COMPUTED_VALUE"""),"""{okg"":{""label"":""Listening To Music"",""extra"":""Nobody’s home… play it loud!"",""sets"":""Junior 9+ (2nd)""},")</f>
        <v>"{okg":{"label":"Listening To Music","extra":"Nobody’s home… play it loud!","sets":"Junior 9+ (2nd)"},</v>
      </c>
    </row>
    <row r="498">
      <c r="A498" s="8" t="str">
        <f>IFERROR(__xludf.DUMMYFUNCTION("""COMPUTED_VALUE"""),"Little Brown Mice")</f>
        <v>Little Brown Mice</v>
      </c>
      <c r="B498" s="8" t="str">
        <f>IFERROR(__xludf.DUMMYFUNCTION("""COMPUTED_VALUE"""),"EEEK!")</f>
        <v>EEEK!</v>
      </c>
      <c r="C498" s="13" t="str">
        <f>IFERROR(__xludf.DUMMYFUNCTION("""COMPUTED_VALUE"""),"""kcpz"":{""label"":""Little Brown Mice"",""extra"":""EEEK!"",""sets"":""Junior 9+ (2nd)""},")</f>
        <v>"kcpz":{"label":"Little Brown Mice","extra":"EEEK!","sets":"Junior 9+ (2nd)"},</v>
      </c>
    </row>
    <row r="499">
      <c r="A499" s="8" t="str">
        <f>IFERROR(__xludf.DUMMYFUNCTION("""COMPUTED_VALUE"""),"Lizards")</f>
        <v>Lizards</v>
      </c>
      <c r="B499" s="8" t="str">
        <f>IFERROR(__xludf.DUMMYFUNCTION("""COMPUTED_VALUE"""),"The Komodo dragon is the largest living lizard. They can grow to over ten feet long.")</f>
        <v>The Komodo dragon is the largest living lizard. They can grow to over ten feet long.</v>
      </c>
      <c r="C499" s="13" t="str">
        <f>IFERROR(__xludf.DUMMYFUNCTION("""COMPUTED_VALUE"""),"""lltw"":{""label"":""Lizards"",""extra"":""The Komodo dragon is the largest living lizard. They can grow to over ten feet long."",""sets"":""Junior 9+ (1st) &amp; (2nd)""},")</f>
        <v>"lltw":{"label":"Lizards","extra":"The Komodo dragon is the largest living lizard. They can grow to over ten feet long.","sets":"Junior 9+ (1st) &amp; (2nd)"},</v>
      </c>
    </row>
    <row r="500">
      <c r="A500" s="8" t="str">
        <f>IFERROR(__xludf.DUMMYFUNCTION("""COMPUTED_VALUE"""),"Llamas")</f>
        <v>Llamas</v>
      </c>
      <c r="B500" s="8" t="str">
        <f>IFERROR(__xludf.DUMMYFUNCTION("""COMPUTED_VALUE"""),"South American animal related to the camel, raised for wool, and used as pack animals.")</f>
        <v>South American animal related to the camel, raised for wool, and used as pack animals.</v>
      </c>
      <c r="C500" s="13" t="str">
        <f>IFERROR(__xludf.DUMMYFUNCTION("""COMPUTED_VALUE"""),"""vfud"":{""label"":""Llamas"",""extra"":""South American animal related to the camel, raised for wool, and used as pack animals."",""sets"":""Junior 9+ (1st) &amp; (2nd)""},")</f>
        <v>"vfud":{"label":"Llamas","extra":"South American animal related to the camel, raised for wool, and used as pack animals.","sets":"Junior 9+ (1st) &amp; (2nd)"},</v>
      </c>
    </row>
    <row r="501">
      <c r="A501" s="8" t="str">
        <f>IFERROR(__xludf.DUMMYFUNCTION("""COMPUTED_VALUE"""),"Lobsters")</f>
        <v>Lobsters</v>
      </c>
      <c r="B501" s="8" t="str">
        <f>IFERROR(__xludf.DUMMYFUNCTION("""COMPUTED_VALUE"""),"Their large claws are actually their front pair of legs.")</f>
        <v>Their large claws are actually their front pair of legs.</v>
      </c>
      <c r="C501" s="13" t="str">
        <f>IFERROR(__xludf.DUMMYFUNCTION("""COMPUTED_VALUE"""),"""nmpe"":{""label"":""Lobsters"",""extra"":""Their large claws are actually their front pair of legs."",""sets"":""Junior 9+ (2nd)""},")</f>
        <v>"nmpe":{"label":"Lobsters","extra":"Their large claws are actually their front pair of legs.","sets":"Junior 9+ (2nd)"},</v>
      </c>
    </row>
    <row r="502">
      <c r="A502" s="8" t="str">
        <f>IFERROR(__xludf.DUMMYFUNCTION("""COMPUTED_VALUE"""),"Loch Ness Monster")</f>
        <v>Loch Ness Monster</v>
      </c>
      <c r="B502" s="8" t="str">
        <f>IFERROR(__xludf.DUMMYFUNCTION("""COMPUTED_VALUE"""),"“Nessie,” the legendary beast of Loch Ness, Scotland. It must be real, they have pictures.")</f>
        <v>“Nessie,” the legendary beast of Loch Ness, Scotland. It must be real, they have pictures.</v>
      </c>
      <c r="C502" s="13" t="str">
        <f>IFERROR(__xludf.DUMMYFUNCTION("""COMPUTED_VALUE"""),"""otnz"":{""label"":""Loch Ness Monster"",""extra"":""“Nessie,” the legendary beast of Loch Ness, Scotland. It must be real, they have pictures."",""sets"":""Expansion Set 3, Party Expansion 1""},")</f>
        <v>"otnz":{"label":"Loch Ness Monster","extra":"“Nessie,” the legendary beast of Loch Ness, Scotland. It must be real, they have pictures.","sets":"Expansion Set 3, Party Expansion 1"},</v>
      </c>
    </row>
    <row r="503">
      <c r="A503" s="8" t="str">
        <f>IFERROR(__xludf.DUMMYFUNCTION("""COMPUTED_VALUE"""),"Lock &amp; Key")</f>
        <v>Lock &amp; Key</v>
      </c>
      <c r="B503" s="8" t="str">
        <f>IFERROR(__xludf.DUMMYFUNCTION("""COMPUTED_VALUE"""),"Quit picking on me!")</f>
        <v>Quit picking on me!</v>
      </c>
      <c r="C503" s="13" t="str">
        <f>IFERROR(__xludf.DUMMYFUNCTION("""COMPUTED_VALUE"""),"""gjsr"":{""label"":""Lock &amp; Key"",""extra"":""Quit picking on me!"",""sets"":""Expansion Set 4, Party Expansion 1""},")</f>
        <v>"gjsr":{"label":"Lock &amp; Key","extra":"Quit picking on me!","sets":"Expansion Set 4, Party Expansion 1"},</v>
      </c>
    </row>
    <row r="504">
      <c r="A504" s="8" t="str">
        <f>IFERROR(__xludf.DUMMYFUNCTION("""COMPUTED_VALUE"""),"Lock &amp; Load")</f>
        <v>Lock &amp; Load</v>
      </c>
      <c r="B504" s="8" t="str">
        <f>IFERROR(__xludf.DUMMYFUNCTION("""COMPUTED_VALUE"""),"It’s off to war we go.")</f>
        <v>It’s off to war we go.</v>
      </c>
      <c r="C504" s="13" t="str">
        <f>IFERROR(__xludf.DUMMYFUNCTION("""COMPUTED_VALUE"""),"""mcfl"":{""label"":""Lock &amp; Load"",""extra"":""It’s off to war we go."",""sets"":""Expansion Set 4, Party Expansion 1""},")</f>
        <v>"mcfl":{"label":"Lock &amp; Load","extra":"It’s off to war we go.","sets":"Expansion Set 4, Party Expansion 1"},</v>
      </c>
    </row>
    <row r="505">
      <c r="A505" s="8" t="str">
        <f>IFERROR(__xludf.DUMMYFUNCTION("""COMPUTED_VALUE"""),"Long Hair")</f>
        <v>Long Hair</v>
      </c>
      <c r="B505" s="8" t="str">
        <f>IFERROR(__xludf.DUMMYFUNCTION("""COMPUTED_VALUE"""),"Braid it, tie it in a ponytail, or just let it fly in the wind.")</f>
        <v>Braid it, tie it in a ponytail, or just let it fly in the wind.</v>
      </c>
      <c r="C505" s="13" t="str">
        <f>IFERROR(__xludf.DUMMYFUNCTION("""COMPUTED_VALUE"""),"""dyfn"":{""label"":""Long Hair"",""extra"":""Braid it, tie it in a ponytail, or just let it fly in the wind."",""sets"":""Junior 9+ (1st) &amp; (2nd)""},")</f>
        <v>"dyfn":{"label":"Long Hair","extra":"Braid it, tie it in a ponytail, or just let it fly in the wind.","sets":"Junior 9+ (1st) &amp; (2nd)"},</v>
      </c>
    </row>
    <row r="506">
      <c r="A506" s="8" t="str">
        <f>IFERROR(__xludf.DUMMYFUNCTION("""COMPUTED_VALUE"""),"Looney Tunes")</f>
        <v>Looney Tunes</v>
      </c>
      <c r="B506" s="8" t="str">
        <f>IFERROR(__xludf.DUMMYFUNCTION("""COMPUTED_VALUE"""),"Warner Brothers cartoons featuring Porky Pig and Bugs Bunny.")</f>
        <v>Warner Brothers cartoons featuring Porky Pig and Bugs Bunny.</v>
      </c>
      <c r="C506" s="13" t="str">
        <f>IFERROR(__xludf.DUMMYFUNCTION("""COMPUTED_VALUE"""),"""cyxc"":{""label"":""Looney Tunes"",""extra"":""Warner Brothers cartoons featuring Porky Pig and Bugs Bunny."",""sets"":""Expansion Set 3, Party Expansion 1""},")</f>
        <v>"cyxc":{"label":"Looney Tunes","extra":"Warner Brothers cartoons featuring Porky Pig and Bugs Bunny.","sets":"Expansion Set 3, Party Expansion 1"},</v>
      </c>
    </row>
    <row r="507">
      <c r="A507" s="8" t="str">
        <f>IFERROR(__xludf.DUMMYFUNCTION("""COMPUTED_VALUE"""),"Losing Your Backpack")</f>
        <v>Losing Your Backpack</v>
      </c>
      <c r="B507" s="8" t="str">
        <f>IFERROR(__xludf.DUMMYFUNCTION("""COMPUTED_VALUE"""),"“I know I had it on the bus…”")</f>
        <v>“I know I had it on the bus…”</v>
      </c>
      <c r="C507" s="13" t="str">
        <f>IFERROR(__xludf.DUMMYFUNCTION("""COMPUTED_VALUE"""),"""gzea"":{""label"":""Losing Your Backpack"",""extra"":""“I know I had it on the bus…”"",""sets"":""Junior 9+ (2nd)""},")</f>
        <v>"gzea":{"label":"Losing Your Backpack","extra":"“I know I had it on the bus…”","sets":"Junior 9+ (2nd)"},</v>
      </c>
    </row>
    <row r="508">
      <c r="A508" s="8" t="str">
        <f>IFERROR(__xludf.DUMMYFUNCTION("""COMPUTED_VALUE"""),"Love &amp; Marriage")</f>
        <v>Love &amp; Marriage</v>
      </c>
      <c r="B508" s="8" t="str">
        <f>IFERROR(__xludf.DUMMYFUNCTION("""COMPUTED_VALUE"""),"First comes love, then comes marriage…")</f>
        <v>First comes love, then comes marriage…</v>
      </c>
      <c r="C508" s="13" t="str">
        <f>IFERROR(__xludf.DUMMYFUNCTION("""COMPUTED_VALUE"""),"""wout"":{""label"":""Love &amp; Marriage"",""extra"":""First comes love, then comes marriage…"",""sets"":""Expansion Set 4, Party Expansion 1""},")</f>
        <v>"wout":{"label":"Love &amp; Marriage","extra":"First comes love, then comes marriage…","sets":"Expansion Set 4, Party Expansion 1"},</v>
      </c>
    </row>
    <row r="509">
      <c r="A509" s="8" t="str">
        <f>IFERROR(__xludf.DUMMYFUNCTION("""COMPUTED_VALUE"""),"Love Letters")</f>
        <v>Love Letters</v>
      </c>
      <c r="B509" s="8" t="str">
        <f>IFERROR(__xludf.DUMMYFUNCTION("""COMPUTED_VALUE"""),"“Roses are red, violets are blue…”")</f>
        <v>“Roses are red, violets are blue…”</v>
      </c>
      <c r="C509" s="13" t="str">
        <f>IFERROR(__xludf.DUMMYFUNCTION("""COMPUTED_VALUE"""),"""vmrx"":{""label"":""Love Letters"",""extra"":""“Roses are red, violets are blue…”"",""sets"":""Junior 9+ (2nd)""},")</f>
        <v>"vmrx":{"label":"Love Letters","extra":"“Roses are red, violets are blue…”","sets":"Junior 9+ (2nd)"},</v>
      </c>
    </row>
    <row r="510">
      <c r="A510" s="8" t="str">
        <f>IFERROR(__xludf.DUMMYFUNCTION("""COMPUTED_VALUE"""),"Lucy &amp; Desi")</f>
        <v>Lucy &amp; Desi</v>
      </c>
      <c r="B510" s="8" t="str">
        <f>IFERROR(__xludf.DUMMYFUNCTION("""COMPUTED_VALUE"""),"Thirty years later and we still love Lucy.")</f>
        <v>Thirty years later and we still love Lucy.</v>
      </c>
      <c r="C510" s="13" t="str">
        <f>IFERROR(__xludf.DUMMYFUNCTION("""COMPUTED_VALUE"""),"""ljzd"":{""label"":""Lucy &amp; Desi"",""extra"":""Thirty years later and we still love Lucy."",""sets"":""Expansion Set 4, Party Expansion 1""},")</f>
        <v>"ljzd":{"label":"Lucy &amp; Desi","extra":"Thirty years later and we still love Lucy.","sets":"Expansion Set 4, Party Expansion 1"},</v>
      </c>
    </row>
    <row r="511">
      <c r="A511" s="8" t="str">
        <f>IFERROR(__xludf.DUMMYFUNCTION("""COMPUTED_VALUE"""),"M &amp; M's")</f>
        <v>M &amp; M's</v>
      </c>
      <c r="B511" s="8" t="str">
        <f>IFERROR(__xludf.DUMMYFUNCTION("""COMPUTED_VALUE"""),"Candy coated chocolates first sold in 1941. Now available in purple.")</f>
        <v>Candy coated chocolates first sold in 1941. Now available in purple.</v>
      </c>
      <c r="C511" s="13" t="str">
        <f>IFERROR(__xludf.DUMMYFUNCTION("""COMPUTED_VALUE"""),"""rfzc"":{""label"":""M &amp; M's"",""extra"":""Candy coated chocolates first sold in 1941. Now available in purple."",""sets"":""Expansion Set 4, Party Expansion 1""},")</f>
        <v>"rfzc":{"label":"M &amp; M's","extra":"Candy coated chocolates first sold in 1941. Now available in purple.","sets":"Expansion Set 4, Party Expansion 1"},</v>
      </c>
    </row>
    <row r="512">
      <c r="A512" s="8" t="str">
        <f>IFERROR(__xludf.DUMMYFUNCTION("""COMPUTED_VALUE"""),"Macaroni &amp; Cheese")</f>
        <v>Macaroni &amp; Cheese</v>
      </c>
      <c r="B512" s="8" t="str">
        <f>IFERROR(__xludf.DUMMYFUNCTION("""COMPUTED_VALUE"""),"It’s the easiest.")</f>
        <v>It’s the easiest.</v>
      </c>
      <c r="C512" s="13" t="str">
        <f>IFERROR(__xludf.DUMMYFUNCTION("""COMPUTED_VALUE"""),"""ttpb"":{""label"":""Macaroni &amp; Cheese"",""extra"":""It’s the easiest."",""sets"":""Expansion Set 4, Party Expansion 1""},")</f>
        <v>"ttpb":{"label":"Macaroni &amp; Cheese","extra":"It’s the easiest.","sets":"Expansion Set 4, Party Expansion 1"},</v>
      </c>
    </row>
    <row r="513">
      <c r="A513" s="8" t="str">
        <f>IFERROR(__xludf.DUMMYFUNCTION("""COMPUTED_VALUE"""),"Maggots")</f>
        <v>Maggots</v>
      </c>
      <c r="B513" s="8" t="str">
        <f>IFERROR(__xludf.DUMMYFUNCTION("""COMPUTED_VALUE"""),"I though it was rice.")</f>
        <v>I though it was rice.</v>
      </c>
      <c r="C513" s="13" t="str">
        <f>IFERROR(__xludf.DUMMYFUNCTION("""COMPUTED_VALUE"""),"""aser"":{""label"":""Maggots"",""extra"":""I though it was rice."",""sets"":""Expansion Set 3, Party Expansion 1""},")</f>
        <v>"aser":{"label":"Maggots","extra":"I though it was rice.","sets":"Expansion Set 3, Party Expansion 1"},</v>
      </c>
    </row>
    <row r="514">
      <c r="A514" s="8" t="str">
        <f>IFERROR(__xludf.DUMMYFUNCTION("""COMPUTED_VALUE"""),"Magic Tricks")</f>
        <v>Magic Tricks</v>
      </c>
      <c r="B514" s="8" t="str">
        <f>IFERROR(__xludf.DUMMYFUNCTION("""COMPUTED_VALUE"""),"Now you see it, now you don’t!")</f>
        <v>Now you see it, now you don’t!</v>
      </c>
      <c r="C514" s="13" t="str">
        <f>IFERROR(__xludf.DUMMYFUNCTION("""COMPUTED_VALUE"""),"""cdgd"":{""label"":""Magic Tricks"",""extra"":""Now you see it, now you don’t!"",""sets"":""Junior 9+ (1st) &amp; (2nd)""},")</f>
        <v>"cdgd":{"label":"Magic Tricks","extra":"Now you see it, now you don’t!","sets":"Junior 9+ (1st) &amp; (2nd)"},</v>
      </c>
    </row>
    <row r="515">
      <c r="A515" s="8" t="str">
        <f>IFERROR(__xludf.DUMMYFUNCTION("""COMPUTED_VALUE"""),"Mail Carrier")</f>
        <v>Mail Carrier</v>
      </c>
      <c r="B515" s="8" t="str">
        <f>IFERROR(__xludf.DUMMYFUNCTION("""COMPUTED_VALUE"""),"A person who brings the mail to your house, no matter what the weather.")</f>
        <v>A person who brings the mail to your house, no matter what the weather.</v>
      </c>
      <c r="C515" s="13" t="str">
        <f>IFERROR(__xludf.DUMMYFUNCTION("""COMPUTED_VALUE"""),"""kjnm"":{""label"":""Mail Carrier"",""extra"":""A person who brings the mail to your house, no matter what the weather."",""sets"":""Junior""},")</f>
        <v>"kjnm":{"label":"Mail Carrier","extra":"A person who brings the mail to your house, no matter what the weather.","sets":"Junior"},</v>
      </c>
    </row>
    <row r="516">
      <c r="A516" s="8" t="str">
        <f>IFERROR(__xludf.DUMMYFUNCTION("""COMPUTED_VALUE"""),"Maple Syrup")</f>
        <v>Maple Syrup</v>
      </c>
      <c r="B516" s="8" t="str">
        <f>IFERROR(__xludf.DUMMYFUNCTION("""COMPUTED_VALUE"""),"Made from the sweet sap of the maple tree or black maple tree, produced only in North America a “must have” for pancakes.")</f>
        <v>Made from the sweet sap of the maple tree or black maple tree, produced only in North America a “must have” for pancakes.</v>
      </c>
      <c r="C516" s="13" t="str">
        <f>IFERROR(__xludf.DUMMYFUNCTION("""COMPUTED_VALUE"""),"""shge"":{""label"":""Maple Syrup"",""extra"":""Made from the sweet sap of the maple tree or black maple tree, produced only in North America a “must have” for pancakes."",""sets"":""Expansion Set 3, Party Expansion 1""},")</f>
        <v>"shge":{"label":"Maple Syrup","extra":"Made from the sweet sap of the maple tree or black maple tree, produced only in North America a “must have” for pancakes.","sets":"Expansion Set 3, Party Expansion 1"},</v>
      </c>
    </row>
    <row r="517">
      <c r="A517" s="8" t="str">
        <f>IFERROR(__xludf.DUMMYFUNCTION("""COMPUTED_VALUE"""),"Martin Luther King, Jr.")</f>
        <v>Martin Luther King, Jr.</v>
      </c>
      <c r="B517" s="8" t="str">
        <f>IFERROR(__xludf.DUMMYFUNCTION("""COMPUTED_VALUE"""),"He believed that everyone should have equal rights, regardless of the color of their skin.")</f>
        <v>He believed that everyone should have equal rights, regardless of the color of their skin.</v>
      </c>
      <c r="C517" s="13" t="str">
        <f>IFERROR(__xludf.DUMMYFUNCTION("""COMPUTED_VALUE"""),"""zlhe"":{""label"":""Martin Luther King, Jr."",""extra"":""He believed that everyone should have equal rights, regardless of the color of their skin."",""sets"":""Junior 9+ (1st) &amp; (2nd)""},")</f>
        <v>"zlhe":{"label":"Martin Luther King, Jr.","extra":"He believed that everyone should have equal rights, regardless of the color of their skin.","sets":"Junior 9+ (1st) &amp; (2nd)"},</v>
      </c>
    </row>
    <row r="518">
      <c r="A518" s="8" t="str">
        <f>IFERROR(__xludf.DUMMYFUNCTION("""COMPUTED_VALUE"""),"Mary-Kate And Ashley")</f>
        <v>Mary-Kate And Ashley</v>
      </c>
      <c r="B518" s="8" t="str">
        <f>IFERROR(__xludf.DUMMYFUNCTION("""COMPUTED_VALUE"""),"The Olsen twins have been TV stars since the 1980s. They also have books and videos.")</f>
        <v>The Olsen twins have been TV stars since the 1980s. They also have books and videos.</v>
      </c>
      <c r="C518" s="13" t="str">
        <f>IFERROR(__xludf.DUMMYFUNCTION("""COMPUTED_VALUE"""),"""lqvs"":{""label"":""Mary-Kate And Ashley"",""extra"":""The Olsen twins have been TV stars since the 1980s. They also have books and videos."",""sets"":""Junior 9+ (1st) &amp; (2nd)""},")</f>
        <v>"lqvs":{"label":"Mary-Kate And Ashley","extra":"The Olsen twins have been TV stars since the 1980s. They also have books and videos.","sets":"Junior 9+ (1st) &amp; (2nd)"},</v>
      </c>
    </row>
    <row r="519">
      <c r="A519" s="8" t="str">
        <f>IFERROR(__xludf.DUMMYFUNCTION("""COMPUTED_VALUE"""),"Mashed Potatoes")</f>
        <v>Mashed Potatoes</v>
      </c>
      <c r="B519" s="8" t="str">
        <f>IFERROR(__xludf.DUMMYFUNCTION("""COMPUTED_VALUE"""),"Pile them up like a volcano and put butter in the middle.")</f>
        <v>Pile them up like a volcano and put butter in the middle.</v>
      </c>
      <c r="C519" s="13" t="str">
        <f>IFERROR(__xludf.DUMMYFUNCTION("""COMPUTED_VALUE"""),"""moar"":{""label"":""Mashed Potatoes"",""extra"":""Pile them up like a volcano and put butter in the middle."",""sets"":""Junior 9+ (1st) &amp; (2nd)""},")</f>
        <v>"moar":{"label":"Mashed Potatoes","extra":"Pile them up like a volcano and put butter in the middle.","sets":"Junior 9+ (1st) &amp; (2nd)"},</v>
      </c>
    </row>
    <row r="520">
      <c r="A520" s="8" t="str">
        <f>IFERROR(__xludf.DUMMYFUNCTION("""COMPUTED_VALUE"""),"Math")</f>
        <v>Math</v>
      </c>
      <c r="B520" s="8" t="str">
        <f>IFERROR(__xludf.DUMMYFUNCTION("""COMPUTED_VALUE"""),"Add, subtract, multiply and divide—or use a calculator!")</f>
        <v>Add, subtract, multiply and divide—or use a calculator!</v>
      </c>
      <c r="C520" s="13" t="str">
        <f>IFERROR(__xludf.DUMMYFUNCTION("""COMPUTED_VALUE"""),"""qlac"":{""label"":""Math"",""extra"":""Add, subtract, multiply and divide—or use a calculator!"",""sets"":""Junior 9+ (1st) &amp; (2nd)""},")</f>
        <v>"qlac":{"label":"Math","extra":"Add, subtract, multiply and divide—or use a calculator!","sets":"Junior 9+ (1st) &amp; (2nd)"},</v>
      </c>
    </row>
    <row r="521">
      <c r="A521" s="8" t="str">
        <f>IFERROR(__xludf.DUMMYFUNCTION("""COMPUTED_VALUE"""),"Maui")</f>
        <v>Maui</v>
      </c>
      <c r="B521" s="8" t="str">
        <f>IFERROR(__xludf.DUMMYFUNCTION("""COMPUTED_VALUE"""),"Hawaiian volcanic island, 728 square miles in area. Heaven on Earth.")</f>
        <v>Hawaiian volcanic island, 728 square miles in area. Heaven on Earth.</v>
      </c>
      <c r="C521" s="13" t="str">
        <f>IFERROR(__xludf.DUMMYFUNCTION("""COMPUTED_VALUE"""),"""ocqt"":{""label"":""Maui"",""extra"":""Hawaiian volcanic island, 728 square miles in area. Heaven on Earth."",""sets"":""Expansion Set 3, Party Expansion 1""},")</f>
        <v>"ocqt":{"label":"Maui","extra":"Hawaiian volcanic island, 728 square miles in area. Heaven on Earth.","sets":"Expansion Set 3, Party Expansion 1"},</v>
      </c>
    </row>
    <row r="522">
      <c r="A522" s="8" t="str">
        <f>IFERROR(__xludf.DUMMYFUNCTION("""COMPUTED_VALUE"""),"Maximum Security Prison")</f>
        <v>Maximum Security Prison</v>
      </c>
      <c r="B522" s="8" t="str">
        <f>IFERROR(__xludf.DUMMYFUNCTION("""COMPUTED_VALUE"""),"When a regular strength prison just won’t do.")</f>
        <v>When a regular strength prison just won’t do.</v>
      </c>
      <c r="C522" s="13" t="str">
        <f>IFERROR(__xludf.DUMMYFUNCTION("""COMPUTED_VALUE"""),"""rqmy"":{""label"":""Maximum Security Prison"",""extra"":""When a regular strength prison just won’t do."",""sets"":""Expansion Set 3, Party Expansion 1""},")</f>
        <v>"rqmy":{"label":"Maximum Security Prison","extra":"When a regular strength prison just won’t do.","sets":"Expansion Set 3, Party Expansion 1"},</v>
      </c>
    </row>
    <row r="523">
      <c r="A523" s="8" t="str">
        <f>IFERROR(__xludf.DUMMYFUNCTION("""COMPUTED_VALUE"""),"McDonald's")</f>
        <v>McDonald's</v>
      </c>
      <c r="B523" s="8" t="str">
        <f>IFERROR(__xludf.DUMMYFUNCTION("""COMPUTED_VALUE"""),"At a McDonald's restaurant in Mexico you can order a “hamburguesa.”")</f>
        <v>At a McDonald's restaurant in Mexico you can order a “hamburguesa.”</v>
      </c>
      <c r="C523" s="13" t="str">
        <f>IFERROR(__xludf.DUMMYFUNCTION("""COMPUTED_VALUE"""),"""ljyi"":{""label"":""McDonald's"",""extra"":""At a McDonald's restaurant in Mexico you can order a “hamburguesa.”"",""sets"":""Junior 9+ (2nd)""},")</f>
        <v>"ljyi":{"label":"McDonald's","extra":"At a McDonald's restaurant in Mexico you can order a “hamburguesa.”","sets":"Junior 9+ (2nd)"},</v>
      </c>
    </row>
    <row r="524">
      <c r="A524" s="8" t="str">
        <f>IFERROR(__xludf.DUMMYFUNCTION("""COMPUTED_VALUE"""),"Me &amp; My Shadow")</f>
        <v>Me &amp; My Shadow</v>
      </c>
      <c r="B524" s="8" t="str">
        <f>IFERROR(__xludf.DUMMYFUNCTION("""COMPUTED_VALUE"""),"“Strolling down the avenue…”")</f>
        <v>“Strolling down the avenue…”</v>
      </c>
      <c r="C524" s="13" t="str">
        <f>IFERROR(__xludf.DUMMYFUNCTION("""COMPUTED_VALUE"""),"""iqyd"":{""label"":""Me &amp; My Shadow"",""extra"":""“Strolling down the avenue…”"",""sets"":""Expansion Set 4, Party Expansion 1""},")</f>
        <v>"iqyd":{"label":"Me &amp; My Shadow","extra":"“Strolling down the avenue…”","sets":"Expansion Set 4, Party Expansion 1"},</v>
      </c>
    </row>
    <row r="525">
      <c r="A525" s="8" t="str">
        <f>IFERROR(__xludf.DUMMYFUNCTION("""COMPUTED_VALUE"""),"Meat &amp; Potatoes")</f>
        <v>Meat &amp; Potatoes</v>
      </c>
      <c r="B525" s="8" t="str">
        <f>IFERROR(__xludf.DUMMYFUNCTION("""COMPUTED_VALUE"""),"A simpler meal for a simpler time.")</f>
        <v>A simpler meal for a simpler time.</v>
      </c>
      <c r="C525" s="13" t="str">
        <f>IFERROR(__xludf.DUMMYFUNCTION("""COMPUTED_VALUE"""),"""ijkz"":{""label"":""Meat &amp; Potatoes"",""extra"":""A simpler meal for a simpler time."",""sets"":""Expansion Set 4, Party Expansion 1""},")</f>
        <v>"ijkz":{"label":"Meat &amp; Potatoes","extra":"A simpler meal for a simpler time.","sets":"Expansion Set 4, Party Expansion 1"},</v>
      </c>
    </row>
    <row r="526">
      <c r="A526" s="8" t="str">
        <f>IFERROR(__xludf.DUMMYFUNCTION("""COMPUTED_VALUE"""),"Meat Markets")</f>
        <v>Meat Markets</v>
      </c>
      <c r="B526" s="8" t="str">
        <f>IFERROR(__xludf.DUMMYFUNCTION("""COMPUTED_VALUE"""),"A cut above the rest.")</f>
        <v>A cut above the rest.</v>
      </c>
      <c r="C526" s="13" t="str">
        <f>IFERROR(__xludf.DUMMYFUNCTION("""COMPUTED_VALUE"""),"""kveq"":{""label"":""Meat Markets"",""extra"":""A cut above the rest."",""sets"":""Expansion Set 3, Party Expansion 1""},")</f>
        <v>"kveq":{"label":"Meat Markets","extra":"A cut above the rest.","sets":"Expansion Set 3, Party Expansion 1"},</v>
      </c>
    </row>
    <row r="527">
      <c r="A527" s="8" t="str">
        <f>IFERROR(__xludf.DUMMYFUNCTION("""COMPUTED_VALUE"""),"Meatballs")</f>
        <v>Meatballs</v>
      </c>
      <c r="B527" s="8" t="str">
        <f>IFERROR(__xludf.DUMMYFUNCTION("""COMPUTED_VALUE"""),"Like meatloaf, only smaller.")</f>
        <v>Like meatloaf, only smaller.</v>
      </c>
      <c r="C527" s="13" t="str">
        <f>IFERROR(__xludf.DUMMYFUNCTION("""COMPUTED_VALUE"""),"""ehyj"":{""label"":""Meatballs"",""extra"":""Like meatloaf, only smaller."",""sets"":""Junior 9+ (1st) &amp; (2nd)""},")</f>
        <v>"ehyj":{"label":"Meatballs","extra":"Like meatloaf, only smaller.","sets":"Junior 9+ (1st) &amp; (2nd)"},</v>
      </c>
    </row>
    <row r="528">
      <c r="A528" s="8" t="str">
        <f>IFERROR(__xludf.DUMMYFUNCTION("""COMPUTED_VALUE"""),"Mensa High IQ Society")</f>
        <v>Mensa High IQ Society</v>
      </c>
      <c r="B528" s="8" t="str">
        <f>IFERROR(__xludf.DUMMYFUNCTION("""COMPUTED_VALUE"""),"Members have IQ's in the top 2% of the population.")</f>
        <v>Members have IQ's in the top 2% of the population.</v>
      </c>
      <c r="C528" s="13" t="str">
        <f>IFERROR(__xludf.DUMMYFUNCTION("""COMPUTED_VALUE"""),"""mgrb"":{""label"":""Mensa High IQ Society"",""extra"":""Members have IQ's in the top 2% of the population."",""sets"":""Expansion Set 3, Party Expansion 1""},")</f>
        <v>"mgrb":{"label":"Mensa High IQ Society","extra":"Members have IQ's in the top 2% of the population.","sets":"Expansion Set 3, Party Expansion 1"},</v>
      </c>
    </row>
    <row r="529">
      <c r="A529" s="8" t="str">
        <f>IFERROR(__xludf.DUMMYFUNCTION("""COMPUTED_VALUE"""),"Mexico")</f>
        <v>Mexico</v>
      </c>
      <c r="B529" s="8" t="str">
        <f>IFERROR(__xludf.DUMMYFUNCTION("""COMPUTED_VALUE"""),"Country in North America, just south of the United States. Spanish is spoken in Mexico.")</f>
        <v>Country in North America, just south of the United States. Spanish is spoken in Mexico.</v>
      </c>
      <c r="C529" s="13" t="str">
        <f>IFERROR(__xludf.DUMMYFUNCTION("""COMPUTED_VALUE"""),"""fouh"":{""label"":""Mexico"",""extra"":""Country in North America, just south of the United States. Spanish is spoken in Mexico."",""sets"":""Junior 9+ (1st) &amp; (2nd)""},")</f>
        <v>"fouh":{"label":"Mexico","extra":"Country in North America, just south of the United States. Spanish is spoken in Mexico.","sets":"Junior 9+ (1st) &amp; (2nd)"},</v>
      </c>
    </row>
    <row r="530">
      <c r="A530" s="8" t="str">
        <f>IFERROR(__xludf.DUMMYFUNCTION("""COMPUTED_VALUE"""),"Mickey &amp; Minnie")</f>
        <v>Mickey &amp; Minnie</v>
      </c>
      <c r="B530" s="8" t="str">
        <f>IFERROR(__xludf.DUMMYFUNCTION("""COMPUTED_VALUE"""),"Mouse, that is. Disney’s dynamic duo.")</f>
        <v>Mouse, that is. Disney’s dynamic duo.</v>
      </c>
      <c r="C530" s="13" t="str">
        <f>IFERROR(__xludf.DUMMYFUNCTION("""COMPUTED_VALUE"""),"""lczl"":{""label"":""Mickey &amp; Minnie"",""extra"":""Mouse, that is. Disney’s dynamic duo."",""sets"":""Expansion Set 4, Party Expansion 1""},")</f>
        <v>"lczl":{"label":"Mickey &amp; Minnie","extra":"Mouse, that is. Disney’s dynamic duo.","sets":"Expansion Set 4, Party Expansion 1"},</v>
      </c>
    </row>
    <row r="531">
      <c r="A531" s="8" t="str">
        <f>IFERROR(__xludf.DUMMYFUNCTION("""COMPUTED_VALUE"""),"Mickey Mouse")</f>
        <v>Mickey Mouse</v>
      </c>
      <c r="B531" s="8" t="str">
        <f>IFERROR(__xludf.DUMMYFUNCTION("""COMPUTED_VALUE"""),"Disney cartoon character, friends with Minnie Mouse and Goofy.")</f>
        <v>Disney cartoon character, friends with Minnie Mouse and Goofy.</v>
      </c>
      <c r="C531" s="13" t="str">
        <f>IFERROR(__xludf.DUMMYFUNCTION("""COMPUTED_VALUE"""),"""isxj"":{""label"":""Mickey Mouse"",""extra"":""Disney cartoon character, friends with Minnie Mouse and Goofy."",""sets"":""Junior""},")</f>
        <v>"isxj":{"label":"Mickey Mouse","extra":"Disney cartoon character, friends with Minnie Mouse and Goofy.","sets":"Junior"},</v>
      </c>
    </row>
    <row r="532">
      <c r="A532" s="8" t="str">
        <f>IFERROR(__xludf.DUMMYFUNCTION("""COMPUTED_VALUE"""),"Midnight")</f>
        <v>Midnight</v>
      </c>
      <c r="B532" s="8" t="str">
        <f>IFERROR(__xludf.DUMMYFUNCTION("""COMPUTED_VALUE"""),"Cinderella’s curfew.")</f>
        <v>Cinderella’s curfew.</v>
      </c>
      <c r="C532" s="13" t="str">
        <f>IFERROR(__xludf.DUMMYFUNCTION("""COMPUTED_VALUE"""),"""da{l"":{""label"":""Midnight"",""extra"":""Cinderella’s curfew."",""sets"":""Junior 9+ (2nd)""},")</f>
        <v>"da{l":{"label":"Midnight","extra":"Cinderella’s curfew.","sets":"Junior 9+ (2nd)"},</v>
      </c>
    </row>
    <row r="533">
      <c r="A533" s="8" t="str">
        <f>IFERROR(__xludf.DUMMYFUNCTION("""COMPUTED_VALUE"""),"Migraine Headaches")</f>
        <v>Migraine Headaches</v>
      </c>
      <c r="B533" s="8" t="str">
        <f>IFERROR(__xludf.DUMMYFUNCTION("""COMPUTED_VALUE"""),"Not just any headache.")</f>
        <v>Not just any headache.</v>
      </c>
      <c r="C533" s="13" t="str">
        <f>IFERROR(__xludf.DUMMYFUNCTION("""COMPUTED_VALUE"""),"""wias"":{""label"":""Migraine Headaches"",""extra"":""Not just any headache."",""sets"":""Expansion Set 3, Party Expansion 1""},")</f>
        <v>"wias":{"label":"Migraine Headaches","extra":"Not just any headache.","sets":"Expansion Set 3, Party Expansion 1"},</v>
      </c>
    </row>
    <row r="534">
      <c r="A534" s="8" t="str">
        <f>IFERROR(__xludf.DUMMYFUNCTION("""COMPUTED_VALUE"""),"Milk &amp; Cookies")</f>
        <v>Milk &amp; Cookies</v>
      </c>
      <c r="B534" s="8" t="str">
        <f>IFERROR(__xludf.DUMMYFUNCTION("""COMPUTED_VALUE"""),"The ultimate after-school special.")</f>
        <v>The ultimate after-school special.</v>
      </c>
      <c r="C534" s="13" t="str">
        <f>IFERROR(__xludf.DUMMYFUNCTION("""COMPUTED_VALUE"""),"""cqfe"":{""label"":""Milk &amp; Cookies"",""extra"":""The ultimate after-school special."",""sets"":""Expansion Set 4, Party Expansion 1""},")</f>
        <v>"cqfe":{"label":"Milk &amp; Cookies","extra":"The ultimate after-school special.","sets":"Expansion Set 4, Party Expansion 1"},</v>
      </c>
    </row>
    <row r="535">
      <c r="A535" s="8" t="str">
        <f>IFERROR(__xludf.DUMMYFUNCTION("""COMPUTED_VALUE"""),"Milking A Cow")</f>
        <v>Milking A Cow</v>
      </c>
      <c r="B535" s="8" t="str">
        <f>IFERROR(__xludf.DUMMYFUNCTION("""COMPUTED_VALUE"""),"They have machines for that now.")</f>
        <v>They have machines for that now.</v>
      </c>
      <c r="C535" s="13" t="str">
        <f>IFERROR(__xludf.DUMMYFUNCTION("""COMPUTED_VALUE"""),"""hpov"":{""label"":""Milking A Cow"",""extra"":""They have machines for that now."",""sets"":""Junior 9+ (2nd)""},")</f>
        <v>"hpov":{"label":"Milking A Cow","extra":"They have machines for that now.","sets":"Junior 9+ (2nd)"},</v>
      </c>
    </row>
    <row r="536">
      <c r="A536" s="8" t="str">
        <f>IFERROR(__xludf.DUMMYFUNCTION("""COMPUTED_VALUE"""),"Miniature Golf")</f>
        <v>Miniature Golf</v>
      </c>
      <c r="B536" s="8" t="str">
        <f>IFERROR(__xludf.DUMMYFUNCTION("""COMPUTED_VALUE"""),"You don’t have to be miniature to play!")</f>
        <v>You don’t have to be miniature to play!</v>
      </c>
      <c r="C536" s="13" t="str">
        <f>IFERROR(__xludf.DUMMYFUNCTION("""COMPUTED_VALUE"""),"""crog"":{""label"":""Miniature Golf"",""extra"":""You don’t have to be miniature to play!"",""sets"":""Junior 9+ (2nd)""},")</f>
        <v>"crog":{"label":"Miniature Golf","extra":"You don’t have to be miniature to play!","sets":"Junior 9+ (2nd)"},</v>
      </c>
    </row>
    <row r="537">
      <c r="A537" s="8" t="str">
        <f>IFERROR(__xludf.DUMMYFUNCTION("""COMPUTED_VALUE"""),"Mittens")</f>
        <v>Mittens</v>
      </c>
      <c r="B537" s="8" t="str">
        <f>IFERROR(__xludf.DUMMYFUNCTION("""COMPUTED_VALUE"""),"“Three little kittens; they lost their mittens.”")</f>
        <v>“Three little kittens; they lost their mittens.”</v>
      </c>
      <c r="C537" s="13" t="str">
        <f>IFERROR(__xludf.DUMMYFUNCTION("""COMPUTED_VALUE"""),"""qrdn"":{""label"":""Mittens"",""extra"":""“Three little kittens; they lost their mittens.”"",""sets"":""Junior""},")</f>
        <v>"qrdn":{"label":"Mittens","extra":"“Three little kittens; they lost their mittens.”","sets":"Junior"},</v>
      </c>
    </row>
    <row r="538">
      <c r="A538" s="8" t="str">
        <f>IFERROR(__xludf.DUMMYFUNCTION("""COMPUTED_VALUE"""),"Mom &amp; Pop")</f>
        <v>Mom &amp; Pop</v>
      </c>
      <c r="B538" s="8" t="str">
        <f>IFERROR(__xludf.DUMMYFUNCTION("""COMPUTED_VALUE"""),"Hey! Maybe they should open a store!")</f>
        <v>Hey! Maybe they should open a store!</v>
      </c>
      <c r="C538" s="13" t="str">
        <f>IFERROR(__xludf.DUMMYFUNCTION("""COMPUTED_VALUE"""),"""tk{b"":{""label"":""Mom &amp; Pop"",""extra"":""Hey! Maybe they should open a store!"",""sets"":""Expansion Set 4, Party Expansion 1""},")</f>
        <v>"tk{b":{"label":"Mom &amp; Pop","extra":"Hey! Maybe they should open a store!","sets":"Expansion Set 4, Party Expansion 1"},</v>
      </c>
    </row>
    <row r="539">
      <c r="A539" s="8" t="str">
        <f>IFERROR(__xludf.DUMMYFUNCTION("""COMPUTED_VALUE"""),"Mom's Cooking")</f>
        <v>Mom's Cooking</v>
      </c>
      <c r="B539" s="8" t="str">
        <f>IFERROR(__xludf.DUMMYFUNCTION("""COMPUTED_VALUE"""),"Just like Mom USED to make.")</f>
        <v>Just like Mom USED to make.</v>
      </c>
      <c r="C539" s="13" t="str">
        <f>IFERROR(__xludf.DUMMYFUNCTION("""COMPUTED_VALUE"""),"""w{lj"":{""label"":""Mom's Cooking"",""extra"":""Just like Mom USED to make."",""sets"":""Expansion Set 3, Party Expansion 1""},")</f>
        <v>"w{lj":{"label":"Mom's Cooking","extra":"Just like Mom USED to make.","sets":"Expansion Set 3, Party Expansion 1"},</v>
      </c>
    </row>
    <row r="540">
      <c r="A540" s="8" t="str">
        <f>IFERROR(__xludf.DUMMYFUNCTION("""COMPUTED_VALUE"""),"Monitor &amp; The Merrimac")</f>
        <v>Monitor &amp; The Merrimac</v>
      </c>
      <c r="B540" s="8" t="str">
        <f>IFERROR(__xludf.DUMMYFUNCTION("""COMPUTED_VALUE"""),"American Civil War ironclads, first fought each other in 1862.")</f>
        <v>American Civil War ironclads, first fought each other in 1862.</v>
      </c>
      <c r="C540" s="13" t="str">
        <f>IFERROR(__xludf.DUMMYFUNCTION("""COMPUTED_VALUE"""),"""nudy"":{""label"":""Monitor &amp; The Merrimac"",""extra"":""American Civil War ironclads, first fought each other in 1862."",""sets"":""Expansion Set 4, Party Expansion 1""},")</f>
        <v>"nudy":{"label":"Monitor &amp; The Merrimac","extra":"American Civil War ironclads, first fought each other in 1862.","sets":"Expansion Set 4, Party Expansion 1"},</v>
      </c>
    </row>
    <row r="541">
      <c r="A541" s="8" t="str">
        <f>IFERROR(__xludf.DUMMYFUNCTION("""COMPUTED_VALUE"""),"Monkeys")</f>
        <v>Monkeys</v>
      </c>
      <c r="B541" s="8" t="str">
        <f>IFERROR(__xludf.DUMMYFUNCTION("""COMPUTED_VALUE"""),"Monkeys are playful, intelligent mammals. They just monkey around!")</f>
        <v>Monkeys are playful, intelligent mammals. They just monkey around!</v>
      </c>
      <c r="C541" s="13" t="str">
        <f>IFERROR(__xludf.DUMMYFUNCTION("""COMPUTED_VALUE"""),"""kuxk"":{""label"":""Monkeys"",""extra"":""Monkeys are playful, intelligent mammals. They just monkey around!"",""sets"":""Junior 9+ (2nd)""},")</f>
        <v>"kuxk":{"label":"Monkeys","extra":"Monkeys are playful, intelligent mammals. They just monkey around!","sets":"Junior 9+ (2nd)"},</v>
      </c>
    </row>
    <row r="542">
      <c r="A542" s="8" t="str">
        <f>IFERROR(__xludf.DUMMYFUNCTION("""COMPUTED_VALUE"""),"Monkeys")</f>
        <v>Monkeys</v>
      </c>
      <c r="B542" s="8" t="str">
        <f>IFERROR(__xludf.DUMMYFUNCTION("""COMPUTED_VALUE"""),"Monkeys see…")</f>
        <v>Monkeys see…</v>
      </c>
      <c r="C542" s="13" t="str">
        <f>IFERROR(__xludf.DUMMYFUNCTION("""COMPUTED_VALUE"""),"""aglg"":{""label"":""Monkeys"",""extra"":""Monkeys see…"",""sets"":""Expansion Set 3, Party Expansion 1""},")</f>
        <v>"aglg":{"label":"Monkeys","extra":"Monkeys see…","sets":"Expansion Set 3, Party Expansion 1"},</v>
      </c>
    </row>
    <row r="543">
      <c r="A543" s="8" t="str">
        <f>IFERROR(__xludf.DUMMYFUNCTION("""COMPUTED_VALUE"""),"Monster Trucks")</f>
        <v>Monster Trucks</v>
      </c>
      <c r="B543" s="8" t="str">
        <f>IFERROR(__xludf.DUMMYFUNCTION("""COMPUTED_VALUE"""),"Large, noisy trucks that drive over cars and crush them.")</f>
        <v>Large, noisy trucks that drive over cars and crush them.</v>
      </c>
      <c r="C543" s="13" t="str">
        <f>IFERROR(__xludf.DUMMYFUNCTION("""COMPUTED_VALUE"""),"""tgtn"":{""label"":""Monster Trucks"",""extra"":""Large, noisy trucks that drive over cars and crush them."",""sets"":""Junior""},")</f>
        <v>"tgtn":{"label":"Monster Trucks","extra":"Large, noisy trucks that drive over cars and crush them.","sets":"Junior"},</v>
      </c>
    </row>
    <row r="544">
      <c r="A544" s="8" t="str">
        <f>IFERROR(__xludf.DUMMYFUNCTION("""COMPUTED_VALUE"""),"Monsters")</f>
        <v>Monsters</v>
      </c>
      <c r="B544" s="8" t="str">
        <f>IFERROR(__xludf.DUMMYFUNCTION("""COMPUTED_VALUE"""),"Some people think they live in closets, basements, or under beds.")</f>
        <v>Some people think they live in closets, basements, or under beds.</v>
      </c>
      <c r="C544" s="13" t="str">
        <f>IFERROR(__xludf.DUMMYFUNCTION("""COMPUTED_VALUE"""),"""wbsi"":{""label"":""Monsters"",""extra"":""Some people think they live in closets, basements, or under beds."",""sets"":""Junior""},")</f>
        <v>"wbsi":{"label":"Monsters","extra":"Some people think they live in closets, basements, or under beds.","sets":"Junior"},</v>
      </c>
    </row>
    <row r="545">
      <c r="A545" s="8" t="str">
        <f>IFERROR(__xludf.DUMMYFUNCTION("""COMPUTED_VALUE"""),"Moon &amp; The Stars")</f>
        <v>Moon &amp; The Stars</v>
      </c>
      <c r="B545" s="8" t="str">
        <f>IFERROR(__xludf.DUMMYFUNCTION("""COMPUTED_VALUE"""),"You want what?")</f>
        <v>You want what?</v>
      </c>
      <c r="C545" s="13" t="str">
        <f>IFERROR(__xludf.DUMMYFUNCTION("""COMPUTED_VALUE"""),"""wxir"":{""label"":""Moon &amp; The Stars"",""extra"":""You want what?"",""sets"":""Expansion Set 4, Party Expansion 1""},")</f>
        <v>"wxir":{"label":"Moon &amp; The Stars","extra":"You want what?","sets":"Expansion Set 4, Party Expansion 1"},</v>
      </c>
    </row>
    <row r="546">
      <c r="A546" s="8" t="str">
        <f>IFERROR(__xludf.DUMMYFUNCTION("""COMPUTED_VALUE"""),"Mosquito Bites")</f>
        <v>Mosquito Bites</v>
      </c>
      <c r="B546" s="8" t="str">
        <f>IFERROR(__xludf.DUMMYFUNCTION("""COMPUTED_VALUE"""),"They just want your blood.")</f>
        <v>They just want your blood.</v>
      </c>
      <c r="C546" s="13" t="str">
        <f>IFERROR(__xludf.DUMMYFUNCTION("""COMPUTED_VALUE"""),"""zeoe"":{""label"":""Mosquito Bites"",""extra"":""They just want your blood."",""sets"":""Junior 9+ (2nd)""},")</f>
        <v>"zeoe":{"label":"Mosquito Bites","extra":"They just want your blood.","sets":"Junior 9+ (2nd)"},</v>
      </c>
    </row>
    <row r="547">
      <c r="A547" s="8" t="str">
        <f>IFERROR(__xludf.DUMMYFUNCTION("""COMPUTED_VALUE"""),"Motorcycles")</f>
        <v>Motorcycles</v>
      </c>
      <c r="B547" s="8" t="str">
        <f>IFERROR(__xludf.DUMMYFUNCTION("""COMPUTED_VALUE"""),"Feel the wind in your hair! Or… feel the wind on your helmet!")</f>
        <v>Feel the wind in your hair! Or… feel the wind on your helmet!</v>
      </c>
      <c r="C547" s="13" t="str">
        <f>IFERROR(__xludf.DUMMYFUNCTION("""COMPUTED_VALUE"""),"""fhey"":{""label"":""Motorcycles"",""extra"":""Feel the wind in your hair! Or… feel the wind on your helmet!"",""sets"":""Junior 9+ (2nd)""},")</f>
        <v>"fhey":{"label":"Motorcycles","extra":"Feel the wind in your hair! Or… feel the wind on your helmet!","sets":"Junior 9+ (2nd)"},</v>
      </c>
    </row>
    <row r="548">
      <c r="A548" s="8" t="str">
        <f>IFERROR(__xludf.DUMMYFUNCTION("""COMPUTED_VALUE"""),"Mount Vesuvius")</f>
        <v>Mount Vesuvius</v>
      </c>
      <c r="B548" s="8" t="str">
        <f>IFERROR(__xludf.DUMMYFUNCTION("""COMPUTED_VALUE"""),"Italian volcano that rises above the Bay of Naples and blew its top in 79 A.D., much to Pompeii’s regret.")</f>
        <v>Italian volcano that rises above the Bay of Naples and blew its top in 79 A.D., much to Pompeii’s regret.</v>
      </c>
      <c r="C548" s="13" t="str">
        <f>IFERROR(__xludf.DUMMYFUNCTION("""COMPUTED_VALUE"""),"""prph"":{""label"":""Mount Vesuvius"",""extra"":""Italian volcano that rises above the Bay of Naples and blew its top in 79 A.D., much to Pompeii’s regret."",""sets"":""Expansion Set 3, Party Expansion 1""},")</f>
        <v>"prph":{"label":"Mount Vesuvius","extra":"Italian volcano that rises above the Bay of Naples and blew its top in 79 A.D., much to Pompeii’s regret.","sets":"Expansion Set 3, Party Expansion 1"},</v>
      </c>
    </row>
    <row r="549">
      <c r="A549" s="8" t="str">
        <f>IFERROR(__xludf.DUMMYFUNCTION("""COMPUTED_VALUE"""),"Mountain Bikes")</f>
        <v>Mountain Bikes</v>
      </c>
      <c r="B549" s="8" t="str">
        <f>IFERROR(__xludf.DUMMYFUNCTION("""COMPUTED_VALUE"""),"What goes up the mountain must come down.")</f>
        <v>What goes up the mountain must come down.</v>
      </c>
      <c r="C549" s="13" t="str">
        <f>IFERROR(__xludf.DUMMYFUNCTION("""COMPUTED_VALUE"""),"""elyx"":{""label"":""Mountain Bikes"",""extra"":""What goes up the mountain must come down."",""sets"":""Junior 9+ (2nd)""},")</f>
        <v>"elyx":{"label":"Mountain Bikes","extra":"What goes up the mountain must come down.","sets":"Junior 9+ (2nd)"},</v>
      </c>
    </row>
    <row r="550">
      <c r="A550" s="8" t="str">
        <f>IFERROR(__xludf.DUMMYFUNCTION("""COMPUTED_VALUE"""),"Mountains")</f>
        <v>Mountains</v>
      </c>
      <c r="B550" s="8" t="str">
        <f>IFERROR(__xludf.DUMMYFUNCTION("""COMPUTED_VALUE"""),"Very high hills. Some have snow at the top, even in the summer!")</f>
        <v>Very high hills. Some have snow at the top, even in the summer!</v>
      </c>
      <c r="C550" s="13" t="str">
        <f>IFERROR(__xludf.DUMMYFUNCTION("""COMPUTED_VALUE"""),"""slbu"":{""label"":""Mountains"",""extra"":""Very high hills. Some have snow at the top, even in the summer!"",""sets"":""Junior""},")</f>
        <v>"slbu":{"label":"Mountains","extra":"Very high hills. Some have snow at the top, even in the summer!","sets":"Junior"},</v>
      </c>
    </row>
    <row r="551">
      <c r="A551" s="8" t="str">
        <f>IFERROR(__xludf.DUMMYFUNCTION("""COMPUTED_VALUE"""),"Mr. Potato Head")</f>
        <v>Mr. Potato Head</v>
      </c>
      <c r="B551" s="8" t="str">
        <f>IFERROR(__xludf.DUMMYFUNCTION("""COMPUTED_VALUE"""),"Mr. Potato Head was introduced in 1952. By now, that would be Grandpa Potato Head.")</f>
        <v>Mr. Potato Head was introduced in 1952. By now, that would be Grandpa Potato Head.</v>
      </c>
      <c r="C551" s="13" t="str">
        <f>IFERROR(__xludf.DUMMYFUNCTION("""COMPUTED_VALUE"""),"""odpt"":{""label"":""Mr. Potato Head"",""extra"":""Mr. Potato Head was introduced in 1952. By now, that would be Grandpa Potato Head."",""sets"":""Junior 9+ (2nd)""},")</f>
        <v>"odpt":{"label":"Mr. Potato Head","extra":"Mr. Potato Head was introduced in 1952. By now, that would be Grandpa Potato Head.","sets":"Junior 9+ (2nd)"},</v>
      </c>
    </row>
    <row r="552">
      <c r="A552" s="8" t="str">
        <f>IFERROR(__xludf.DUMMYFUNCTION("""COMPUTED_VALUE"""),"Mud")</f>
        <v>Mud</v>
      </c>
      <c r="B552" s="8" t="str">
        <f>IFERROR(__xludf.DUMMYFUNCTION("""COMPUTED_VALUE"""),"Soft, wet, sticky, gooey, gritty, grimy dirt.")</f>
        <v>Soft, wet, sticky, gooey, gritty, grimy dirt.</v>
      </c>
      <c r="C552" s="13" t="str">
        <f>IFERROR(__xludf.DUMMYFUNCTION("""COMPUTED_VALUE"""),"""soxx"":{""label"":""Mud"",""extra"":""Soft, wet, sticky, gooey, gritty, grimy dirt."",""sets"":""Junior 9+ (1st) &amp; (2nd)""},")</f>
        <v>"soxx":{"label":"Mud","extra":"Soft, wet, sticky, gooey, gritty, grimy dirt.","sets":"Junior 9+ (1st) &amp; (2nd)"},</v>
      </c>
    </row>
    <row r="553">
      <c r="A553" s="8" t="str">
        <f>IFERROR(__xludf.DUMMYFUNCTION("""COMPUTED_VALUE"""),"Muddy Feet")</f>
        <v>Muddy Feet</v>
      </c>
      <c r="B553" s="8" t="str">
        <f>IFERROR(__xludf.DUMMYFUNCTION("""COMPUTED_VALUE"""),"Squish your toes!")</f>
        <v>Squish your toes!</v>
      </c>
      <c r="C553" s="13" t="str">
        <f>IFERROR(__xludf.DUMMYFUNCTION("""COMPUTED_VALUE"""),"""hzod"":{""label"":""Muddy Feet"",""extra"":""Squish your toes!"",""sets"":""Junior""},")</f>
        <v>"hzod":{"label":"Muddy Feet","extra":"Squish your toes!","sets":"Junior"},</v>
      </c>
    </row>
    <row r="554">
      <c r="A554" s="8" t="str">
        <f>IFERROR(__xludf.DUMMYFUNCTION("""COMPUTED_VALUE"""),"Muffins")</f>
        <v>Muffins</v>
      </c>
      <c r="B554" s="8" t="str">
        <f>IFERROR(__xludf.DUMMYFUNCTION("""COMPUTED_VALUE"""),"“Do you know the Muffin Man?”")</f>
        <v>“Do you know the Muffin Man?”</v>
      </c>
      <c r="C554" s="13" t="str">
        <f>IFERROR(__xludf.DUMMYFUNCTION("""COMPUTED_VALUE"""),"""gvlg"":{""label"":""Muffins"",""extra"":""“Do you know the Muffin Man?”"",""sets"":""Junior 9+ (2nd)""},")</f>
        <v>"gvlg":{"label":"Muffins","extra":"“Do you know the Muffin Man?”","sets":"Junior 9+ (2nd)"},</v>
      </c>
    </row>
    <row r="555">
      <c r="A555" s="8" t="str">
        <f>IFERROR(__xludf.DUMMYFUNCTION("""COMPUTED_VALUE"""),"Mushrooms")</f>
        <v>Mushrooms</v>
      </c>
      <c r="B555" s="8" t="str">
        <f>IFERROR(__xludf.DUMMYFUNCTION("""COMPUTED_VALUE"""),"It's a fungus.")</f>
        <v>It's a fungus.</v>
      </c>
      <c r="C555" s="13" t="str">
        <f>IFERROR(__xludf.DUMMYFUNCTION("""COMPUTED_VALUE"""),"""uljg"":{""label"":""Mushrooms"",""extra"":""It's a fungus."",""sets"":""Junior 9+ (2nd)""},")</f>
        <v>"uljg":{"label":"Mushrooms","extra":"It's a fungus.","sets":"Junior 9+ (2nd)"},</v>
      </c>
    </row>
    <row r="556">
      <c r="A556" s="8" t="str">
        <f>IFERROR(__xludf.DUMMYFUNCTION("""COMPUTED_VALUE"""),"Music")</f>
        <v>Music</v>
      </c>
      <c r="B556" s="8" t="str">
        <f>IFERROR(__xludf.DUMMYFUNCTION("""COMPUTED_VALUE"""),"Pick your favorite: country, pop, rock, rap, hip hop, jazz, or classical.")</f>
        <v>Pick your favorite: country, pop, rock, rap, hip hop, jazz, or classical.</v>
      </c>
      <c r="C556" s="13" t="str">
        <f>IFERROR(__xludf.DUMMYFUNCTION("""COMPUTED_VALUE"""),"""njjv"":{""label"":""Music"",""extra"":""Pick your favorite: country, pop, rock, rap, hip hop, jazz, or classical."",""sets"":""Junior 9+ (1st) &amp; (2nd)""},")</f>
        <v>"njjv":{"label":"Music","extra":"Pick your favorite: country, pop, rock, rap, hip hop, jazz, or classical.","sets":"Junior 9+ (1st) &amp; (2nd)"},</v>
      </c>
    </row>
    <row r="557">
      <c r="A557" s="8" t="str">
        <f>IFERROR(__xludf.DUMMYFUNCTION("""COMPUTED_VALUE"""),"Music Lessons")</f>
        <v>Music Lessons</v>
      </c>
      <c r="B557" s="8" t="str">
        <f>IFERROR(__xludf.DUMMYFUNCTION("""COMPUTED_VALUE"""),"Practice, practice, practice.")</f>
        <v>Practice, practice, practice.</v>
      </c>
      <c r="C557" s="13" t="str">
        <f>IFERROR(__xludf.DUMMYFUNCTION("""COMPUTED_VALUE"""),"""trzv"":{""label"":""Music Lessons"",""extra"":""Practice, practice, practice."",""sets"":""Junior 9+ (1st) &amp; (2nd)""},")</f>
        <v>"trzv":{"label":"Music Lessons","extra":"Practice, practice, practice.","sets":"Junior 9+ (1st) &amp; (2nd)"},</v>
      </c>
    </row>
    <row r="558">
      <c r="A558" s="8" t="str">
        <f>IFERROR(__xludf.DUMMYFUNCTION("""COMPUTED_VALUE"""),"Mustard")</f>
        <v>Mustard</v>
      </c>
      <c r="B558" s="8" t="str">
        <f>IFERROR(__xludf.DUMMYFUNCTION("""COMPUTED_VALUE"""),"Made from seeds of the mustard plant. Spread on pretzels and hotdogs.")</f>
        <v>Made from seeds of the mustard plant. Spread on pretzels and hotdogs.</v>
      </c>
      <c r="C558" s="13" t="str">
        <f>IFERROR(__xludf.DUMMYFUNCTION("""COMPUTED_VALUE"""),"""szzo"":{""label"":""Mustard"",""extra"":""Made from seeds of the mustard plant. Spread on pretzels and hotdogs."",""sets"":""Junior 9+ (1st) &amp; (2nd)""},")</f>
        <v>"szzo":{"label":"Mustard","extra":"Made from seeds of the mustard plant. Spread on pretzels and hotdogs.","sets":"Junior 9+ (1st) &amp; (2nd)"},</v>
      </c>
    </row>
    <row r="559">
      <c r="A559" s="8" t="str">
        <f>IFERROR(__xludf.DUMMYFUNCTION("""COMPUTED_VALUE"""),"Mutual Funds")</f>
        <v>Mutual Funds</v>
      </c>
      <c r="B559" s="8" t="str">
        <f>IFERROR(__xludf.DUMMYFUNCTION("""COMPUTED_VALUE"""),"Mutually benefits you and your broker.")</f>
        <v>Mutually benefits you and your broker.</v>
      </c>
      <c r="C559" s="13" t="str">
        <f>IFERROR(__xludf.DUMMYFUNCTION("""COMPUTED_VALUE"""),"""agzp"":{""label"":""Mutual Funds"",""extra"":""Mutually benefits you and your broker."",""sets"":""Expansion Set 3, Party Expansion 1""},")</f>
        <v>"agzp":{"label":"Mutual Funds","extra":"Mutually benefits you and your broker.","sets":"Expansion Set 3, Party Expansion 1"},</v>
      </c>
    </row>
    <row r="560">
      <c r="A560" s="8" t="str">
        <f>IFERROR(__xludf.DUMMYFUNCTION("""COMPUTED_VALUE"""),"My Baby Blanket")</f>
        <v>My Baby Blanket</v>
      </c>
      <c r="B560" s="8" t="str">
        <f>IFERROR(__xludf.DUMMYFUNCTION("""COMPUTED_VALUE"""),"I don’t care if it does have holes!")</f>
        <v>I don’t care if it does have holes!</v>
      </c>
      <c r="C560" s="13" t="str">
        <f>IFERROR(__xludf.DUMMYFUNCTION("""COMPUTED_VALUE"""),"""yzoj"":{""label"":""My Baby Blanket"",""extra"":""I don’t care if it does have holes!"",""sets"":""Junior 9+ (2nd)""},")</f>
        <v>"yzoj":{"label":"My Baby Blanket","extra":"I don’t care if it does have holes!","sets":"Junior 9+ (2nd)"},</v>
      </c>
    </row>
    <row r="561">
      <c r="A561" s="8" t="str">
        <f>IFERROR(__xludf.DUMMYFUNCTION("""COMPUTED_VALUE"""),"My Best Friend")</f>
        <v>My Best Friend</v>
      </c>
      <c r="B561" s="8" t="str">
        <f>IFERROR(__xludf.DUMMYFUNCTION("""COMPUTED_VALUE"""),"A person you can trust, no matter what.")</f>
        <v>A person you can trust, no matter what.</v>
      </c>
      <c r="C561" s="13" t="str">
        <f>IFERROR(__xludf.DUMMYFUNCTION("""COMPUTED_VALUE"""),"""vqbq"":{""label"":""My Best Friend"",""extra"":""A person you can trust, no matter what."",""sets"":""Junior 9+ (2nd)""},")</f>
        <v>"vqbq":{"label":"My Best Friend","extra":"A person you can trust, no matter what.","sets":"Junior 9+ (2nd)"},</v>
      </c>
    </row>
    <row r="562">
      <c r="A562" s="8" t="str">
        <f>IFERROR(__xludf.DUMMYFUNCTION("""COMPUTED_VALUE"""),"My Family")</f>
        <v>My Family</v>
      </c>
      <c r="B562" s="8" t="str">
        <f>IFERROR(__xludf.DUMMYFUNCTION("""COMPUTED_VALUE"""),"Everyone's family is different.")</f>
        <v>Everyone's family is different.</v>
      </c>
      <c r="C562" s="13" t="str">
        <f>IFERROR(__xludf.DUMMYFUNCTION("""COMPUTED_VALUE"""),"""oyzw"":{""label"":""My Family"",""extra"":""Everyone's family is different."",""sets"":""Junior 9+ (1st) &amp; (2nd)""},")</f>
        <v>"oyzw":{"label":"My Family","extra":"Everyone's family is different.","sets":"Junior 9+ (1st) &amp; (2nd)"},</v>
      </c>
    </row>
    <row r="563">
      <c r="A563" s="8" t="str">
        <f>IFERROR(__xludf.DUMMYFUNCTION("""COMPUTED_VALUE"""),"My Father")</f>
        <v>My Father</v>
      </c>
      <c r="B563" s="8" t="str">
        <f>IFERROR(__xludf.DUMMYFUNCTION("""COMPUTED_VALUE"""),"“Go ask your mother.”")</f>
        <v>“Go ask your mother.”</v>
      </c>
      <c r="C563" s="13" t="str">
        <f>IFERROR(__xludf.DUMMYFUNCTION("""COMPUTED_VALUE"""),"""wxyq"":{""label"":""My Father"",""extra"":""“Go ask your mother.”"",""sets"":""Expansion Set 3, Party Expansion 1""},")</f>
        <v>"wxyq":{"label":"My Father","extra":"“Go ask your mother.”","sets":"Expansion Set 3, Party Expansion 1"},</v>
      </c>
    </row>
    <row r="564">
      <c r="A564" s="8" t="str">
        <f>IFERROR(__xludf.DUMMYFUNCTION("""COMPUTED_VALUE"""),"My Grandma")</f>
        <v>My Grandma</v>
      </c>
      <c r="B564" s="8" t="str">
        <f>IFERROR(__xludf.DUMMYFUNCTION("""COMPUTED_VALUE"""),"My mom or dad’s mother.")</f>
        <v>My mom or dad’s mother.</v>
      </c>
      <c r="C564" s="13" t="str">
        <f>IFERROR(__xludf.DUMMYFUNCTION("""COMPUTED_VALUE"""),"""rzby"":{""label"":""My Grandma"",""extra"":""My mom or dad’s mother."",""sets"":""Junior""},")</f>
        <v>"rzby":{"label":"My Grandma","extra":"My mom or dad’s mother.","sets":"Junior"},</v>
      </c>
    </row>
    <row r="565">
      <c r="A565" s="8" t="str">
        <f>IFERROR(__xludf.DUMMYFUNCTION("""COMPUTED_VALUE"""),"My Grandpa")</f>
        <v>My Grandpa</v>
      </c>
      <c r="B565" s="8" t="str">
        <f>IFERROR(__xludf.DUMMYFUNCTION("""COMPUTED_VALUE"""),"My mom or dad’s father.")</f>
        <v>My mom or dad’s father.</v>
      </c>
      <c r="C565" s="13" t="str">
        <f>IFERROR(__xludf.DUMMYFUNCTION("""COMPUTED_VALUE"""),"""wzni"":{""label"":""My Grandpa"",""extra"":""My mom or dad’s father."",""sets"":""Junior""},")</f>
        <v>"wzni":{"label":"My Grandpa","extra":"My mom or dad’s father.","sets":"Junior"},</v>
      </c>
    </row>
    <row r="566">
      <c r="A566" s="8" t="str">
        <f>IFERROR(__xludf.DUMMYFUNCTION("""COMPUTED_VALUE"""),"My Hair")</f>
        <v>My Hair</v>
      </c>
      <c r="B566" s="8" t="str">
        <f>IFERROR(__xludf.DUMMYFUNCTION("""COMPUTED_VALUE"""),"You can curl it, cut it, and color it!")</f>
        <v>You can curl it, cut it, and color it!</v>
      </c>
      <c r="C566" s="13" t="str">
        <f>IFERROR(__xludf.DUMMYFUNCTION("""COMPUTED_VALUE"""),"""koru"":{""label"":""My Hair"",""extra"":""You can curl it, cut it, and color it!"",""sets"":""Junior""},")</f>
        <v>"koru":{"label":"My Hair","extra":"You can curl it, cut it, and color it!","sets":"Junior"},</v>
      </c>
    </row>
    <row r="567">
      <c r="A567" s="8" t="str">
        <f>IFERROR(__xludf.DUMMYFUNCTION("""COMPUTED_VALUE"""),"My Home")</f>
        <v>My Home</v>
      </c>
      <c r="B567" s="8" t="str">
        <f>IFERROR(__xludf.DUMMYFUNCTION("""COMPUTED_VALUE"""),"There’s no place like home!")</f>
        <v>There’s no place like home!</v>
      </c>
      <c r="C567" s="13" t="str">
        <f>IFERROR(__xludf.DUMMYFUNCTION("""COMPUTED_VALUE"""),"""jdqp"":{""label"":""My Home"",""extra"":""There’s no place like home!"",""sets"":""Junior""},")</f>
        <v>"jdqp":{"label":"My Home","extra":"There’s no place like home!","sets":"Junior"},</v>
      </c>
    </row>
    <row r="568">
      <c r="A568" s="8" t="str">
        <f>IFERROR(__xludf.DUMMYFUNCTION("""COMPUTED_VALUE"""),"My Life")</f>
        <v>My Life</v>
      </c>
      <c r="B568" s="8" t="str">
        <f>IFERROR(__xludf.DUMMYFUNCTION("""COMPUTED_VALUE"""),"“There are places I'll remember / All my life / though some have changed…” —The Beatles")</f>
        <v>“There are places I'll remember / All my life / though some have changed…” —The Beatles</v>
      </c>
      <c r="C568" s="13" t="str">
        <f>IFERROR(__xludf.DUMMYFUNCTION("""COMPUTED_VALUE"""),"""vsdh"":{""label"":""My Life"",""extra"":""“There are places I'll remember / All my life / though some have changed…” —The Beatles"",""sets"":""Expansion Set 3, Party Expansion 1""},")</f>
        <v>"vsdh":{"label":"My Life","extra":"“There are places I'll remember / All my life / though some have changed…” —The Beatles","sets":"Expansion Set 3, Party Expansion 1"},</v>
      </c>
    </row>
    <row r="569">
      <c r="A569" s="8" t="str">
        <f>IFERROR(__xludf.DUMMYFUNCTION("""COMPUTED_VALUE"""),"My Memories")</f>
        <v>My Memories</v>
      </c>
      <c r="B569" s="8" t="str">
        <f>IFERROR(__xludf.DUMMYFUNCTION("""COMPUTED_VALUE"""),"Thanks for the memories…")</f>
        <v>Thanks for the memories…</v>
      </c>
      <c r="C569" s="13" t="str">
        <f>IFERROR(__xludf.DUMMYFUNCTION("""COMPUTED_VALUE"""),"""ovep"":{""label"":""My Memories"",""extra"":""Thanks for the memories…"",""sets"":""Expansion Set 3, Party Expansion 1""},")</f>
        <v>"ovep":{"label":"My Memories","extra":"Thanks for the memories…","sets":"Expansion Set 3, Party Expansion 1"},</v>
      </c>
    </row>
    <row r="570">
      <c r="A570" s="8" t="str">
        <f>IFERROR(__xludf.DUMMYFUNCTION("""COMPUTED_VALUE"""),"My Mother")</f>
        <v>My Mother</v>
      </c>
      <c r="B570" s="8" t="str">
        <f>IFERROR(__xludf.DUMMYFUNCTION("""COMPUTED_VALUE"""),"”Go ask your father.”")</f>
        <v>”Go ask your father.”</v>
      </c>
      <c r="C570" s="13" t="str">
        <f>IFERROR(__xludf.DUMMYFUNCTION("""COMPUTED_VALUE"""),"""rkjk"":{""label"":""My Mother"",""extra"":""”Go ask your father.”"",""sets"":""Expansion Set 3, Party Expansion 1""},")</f>
        <v>"rkjk":{"label":"My Mother","extra":"”Go ask your father.”","sets":"Expansion Set 3, Party Expansion 1"},</v>
      </c>
    </row>
    <row r="571">
      <c r="A571" s="8" t="str">
        <f>IFERROR(__xludf.DUMMYFUNCTION("""COMPUTED_VALUE"""),"My Room")</f>
        <v>My Room</v>
      </c>
      <c r="B571" s="8" t="str">
        <f>IFERROR(__xludf.DUMMYFUNCTION("""COMPUTED_VALUE"""),"Where I sleep and keep all my things. KEEP OUT!")</f>
        <v>Where I sleep and keep all my things. KEEP OUT!</v>
      </c>
      <c r="C571" s="13" t="str">
        <f>IFERROR(__xludf.DUMMYFUNCTION("""COMPUTED_VALUE"""),"""kplk"":{""label"":""My Room"",""extra"":""Where I sleep and keep all my things. KEEP OUT!"",""sets"":""Junior""},")</f>
        <v>"kplk":{"label":"My Room","extra":"Where I sleep and keep all my things. KEEP OUT!","sets":"Junior"},</v>
      </c>
    </row>
    <row r="572">
      <c r="A572" s="8" t="str">
        <f>IFERROR(__xludf.DUMMYFUNCTION("""COMPUTED_VALUE"""),"My Shoes")</f>
        <v>My Shoes</v>
      </c>
      <c r="B572" s="8" t="str">
        <f>IFERROR(__xludf.DUMMYFUNCTION("""COMPUTED_VALUE"""),"Old shoes, new shoes, red shoes, blue shoes.")</f>
        <v>Old shoes, new shoes, red shoes, blue shoes.</v>
      </c>
      <c r="C572" s="13" t="str">
        <f>IFERROR(__xludf.DUMMYFUNCTION("""COMPUTED_VALUE"""),"""moek"":{""label"":""My Shoes"",""extra"":""Old shoes, new shoes, red shoes, blue shoes."",""sets"":""Junior""},")</f>
        <v>"moek":{"label":"My Shoes","extra":"Old shoes, new shoes, red shoes, blue shoes.","sets":"Junior"},</v>
      </c>
    </row>
    <row r="573">
      <c r="A573" s="8" t="str">
        <f>IFERROR(__xludf.DUMMYFUNCTION("""COMPUTED_VALUE"""),"My Stuffed Animals")</f>
        <v>My Stuffed Animals</v>
      </c>
      <c r="B573" s="8" t="str">
        <f>IFERROR(__xludf.DUMMYFUNCTION("""COMPUTED_VALUE"""),"The dog’s name is Lucky, the bear is Teddy, and the duck is Quacker.")</f>
        <v>The dog’s name is Lucky, the bear is Teddy, and the duck is Quacker.</v>
      </c>
      <c r="C573" s="13" t="str">
        <f>IFERROR(__xludf.DUMMYFUNCTION("""COMPUTED_VALUE"""),"""{rbe"":{""label"":""My Stuffed Animals"",""extra"":""The dog’s name is Lucky, the bear is Teddy, and the duck is Quacker."",""sets"":""Junior 9+ (2nd)""},")</f>
        <v>"{rbe":{"label":"My Stuffed Animals","extra":"The dog’s name is Lucky, the bear is Teddy, and the duck is Quacker.","sets":"Junior 9+ (2nd)"},</v>
      </c>
    </row>
    <row r="574">
      <c r="A574" s="8" t="str">
        <f>IFERROR(__xludf.DUMMYFUNCTION("""COMPUTED_VALUE"""),"My Town")</f>
        <v>My Town</v>
      </c>
      <c r="B574" s="8" t="str">
        <f>IFERROR(__xludf.DUMMYFUNCTION("""COMPUTED_VALUE"""),"Large or small, it’s home.")</f>
        <v>Large or small, it’s home.</v>
      </c>
      <c r="C574" s="13" t="str">
        <f>IFERROR(__xludf.DUMMYFUNCTION("""COMPUTED_VALUE"""),"""ghti"":{""label"":""My Town"",""extra"":""Large or small, it’s home."",""sets"":""Junior 9+ (2nd)""},")</f>
        <v>"ghti":{"label":"My Town","extra":"Large or small, it’s home.","sets":"Junior 9+ (2nd)"},</v>
      </c>
    </row>
    <row r="575">
      <c r="A575" s="8" t="str">
        <f>IFERROR(__xludf.DUMMYFUNCTION("""COMPUTED_VALUE"""),"Nail Polish")</f>
        <v>Nail Polish</v>
      </c>
      <c r="B575" s="8" t="str">
        <f>IFERROR(__xludf.DUMMYFUNCTION("""COMPUTED_VALUE"""),"Whatever color you want.")</f>
        <v>Whatever color you want.</v>
      </c>
      <c r="C575" s="13" t="str">
        <f>IFERROR(__xludf.DUMMYFUNCTION("""COMPUTED_VALUE"""),"""tglc"":{""label"":""Nail Polish"",""extra"":""Whatever color you want."",""sets"":""Junior 9+ (2nd)""},")</f>
        <v>"tglc":{"label":"Nail Polish","extra":"Whatever color you want.","sets":"Junior 9+ (2nd)"},</v>
      </c>
    </row>
    <row r="576">
      <c r="A576" s="8" t="str">
        <f>IFERROR(__xludf.DUMMYFUNCTION("""COMPUTED_VALUE"""),"NASA")</f>
        <v>NASA</v>
      </c>
      <c r="B576" s="8" t="str">
        <f>IFERROR(__xludf.DUMMYFUNCTION("""COMPUTED_VALUE"""),"National Aeronautics and Space Administration, established in 1958 in part in response to the U.S.S.R. launching Sputnik.")</f>
        <v>National Aeronautics and Space Administration, established in 1958 in part in response to the U.S.S.R. launching Sputnik.</v>
      </c>
      <c r="C576" s="13" t="str">
        <f>IFERROR(__xludf.DUMMYFUNCTION("""COMPUTED_VALUE"""),"""bojf"":{""label"":""NASA"",""extra"":""National Aeronautics and Space Administration, established in 1958 in part in response to the U.S.S.R. launching Sputnik."",""sets"":""Expansion Set 3, Party Expansion 1""},")</f>
        <v>"bojf":{"label":"NASA","extra":"National Aeronautics and Space Administration, established in 1958 in part in response to the U.S.S.R. launching Sputnik.","sets":"Expansion Set 3, Party Expansion 1"},</v>
      </c>
    </row>
    <row r="577">
      <c r="A577" s="8" t="str">
        <f>IFERROR(__xludf.DUMMYFUNCTION("""COMPUTED_VALUE"""),"Nashville")</f>
        <v>Nashville</v>
      </c>
      <c r="B577" s="8" t="str">
        <f>IFERROR(__xludf.DUMMYFUNCTION("""COMPUTED_VALUE"""),"Capital of Tennessee and capital of country music also known as Nash Vegas.")</f>
        <v>Capital of Tennessee and capital of country music also known as Nash Vegas.</v>
      </c>
      <c r="C577" s="13" t="str">
        <f>IFERROR(__xludf.DUMMYFUNCTION("""COMPUTED_VALUE"""),"""nolm"":{""label"":""Nashville"",""extra"":""Capital of Tennessee and capital of country music also known as Nash Vegas."",""sets"":""Expansion Set 3, Party Expansion 1""},")</f>
        <v>"nolm":{"label":"Nashville","extra":"Capital of Tennessee and capital of country music also known as Nash Vegas.","sets":"Expansion Set 3, Party Expansion 1"},</v>
      </c>
    </row>
    <row r="578">
      <c r="A578" s="8" t="str">
        <f>IFERROR(__xludf.DUMMYFUNCTION("""COMPUTED_VALUE"""),"Neighbors")</f>
        <v>Neighbors</v>
      </c>
      <c r="B578" s="8" t="str">
        <f>IFERROR(__xludf.DUMMYFUNCTION("""COMPUTED_VALUE"""),"Turn down that music!")</f>
        <v>Turn down that music!</v>
      </c>
      <c r="C578" s="13" t="str">
        <f>IFERROR(__xludf.DUMMYFUNCTION("""COMPUTED_VALUE"""),"""pbmn"":{""label"":""Neighbors"",""extra"":""Turn down that music!"",""sets"":""Junior 9+ (2nd)""},")</f>
        <v>"pbmn":{"label":"Neighbors","extra":"Turn down that music!","sets":"Junior 9+ (2nd)"},</v>
      </c>
    </row>
    <row r="579">
      <c r="A579" s="8" t="str">
        <f>IFERROR(__xludf.DUMMYFUNCTION("""COMPUTED_VALUE"""),"New York City")</f>
        <v>New York City</v>
      </c>
      <c r="B579" s="8" t="str">
        <f>IFERROR(__xludf.DUMMYFUNCTION("""COMPUTED_VALUE"""),"America’s largest city, known for the Statue of Liberty.")</f>
        <v>America’s largest city, known for the Statue of Liberty.</v>
      </c>
      <c r="C579" s="13" t="str">
        <f>IFERROR(__xludf.DUMMYFUNCTION("""COMPUTED_VALUE"""),"""slhc"":{""label"":""New York City"",""extra"":""America’s largest city, known for the Statue of Liberty."",""sets"":""Junior 9+ (1st) &amp; (2nd)""},")</f>
        <v>"slhc":{"label":"New York City","extra":"America’s largest city, known for the Statue of Liberty.","sets":"Junior 9+ (1st) &amp; (2nd)"},</v>
      </c>
    </row>
    <row r="580">
      <c r="A580" s="8" t="str">
        <f>IFERROR(__xludf.DUMMYFUNCTION("""COMPUTED_VALUE"""),"New Yorkers")</f>
        <v>New Yorkers</v>
      </c>
      <c r="B580" s="8" t="str">
        <f>IFERROR(__xludf.DUMMYFUNCTION("""COMPUTED_VALUE"""),"Brash, brawny and full of bravado.")</f>
        <v>Brash, brawny and full of bravado.</v>
      </c>
      <c r="C580" s="13" t="str">
        <f>IFERROR(__xludf.DUMMYFUNCTION("""COMPUTED_VALUE"""),"""treu"":{""label"":""New Yorkers"",""extra"":""Brash, brawny and full of bravado."",""sets"":""Expansion Set 3, Party Expansion 1""},")</f>
        <v>"treu":{"label":"New Yorkers","extra":"Brash, brawny and full of bravado.","sets":"Expansion Set 3, Party Expansion 1"},</v>
      </c>
    </row>
    <row r="581">
      <c r="A581" s="8" t="str">
        <f>IFERROR(__xludf.DUMMYFUNCTION("""COMPUTED_VALUE"""),"Niagara Falls")</f>
        <v>Niagara Falls</v>
      </c>
      <c r="B581" s="8" t="str">
        <f>IFERROR(__xludf.DUMMYFUNCTION("""COMPUTED_VALUE"""),"The 2nd largest waterfall in the world, located on the United States border with Canada.")</f>
        <v>The 2nd largest waterfall in the world, located on the United States border with Canada.</v>
      </c>
      <c r="C581" s="13" t="str">
        <f>IFERROR(__xludf.DUMMYFUNCTION("""COMPUTED_VALUE"""),"""tqxu"":{""label"":""Niagara Falls"",""extra"":""The 2nd largest waterfall in the world, located on the United States border with Canada."",""sets"":""Junior 9+ (1st) &amp; (2nd)""},")</f>
        <v>"tqxu":{"label":"Niagara Falls","extra":"The 2nd largest waterfall in the world, located on the United States border with Canada.","sets":"Junior 9+ (1st) &amp; (2nd)"},</v>
      </c>
    </row>
    <row r="582">
      <c r="A582" s="8" t="str">
        <f>IFERROR(__xludf.DUMMYFUNCTION("""COMPUTED_VALUE"""),"Night")</f>
        <v>Night</v>
      </c>
      <c r="B582" s="8" t="str">
        <f>IFERROR(__xludf.DUMMYFUNCTION("""COMPUTED_VALUE"""),"You can see stars and the moon in the sky.")</f>
        <v>You can see stars and the moon in the sky.</v>
      </c>
      <c r="C582" s="13" t="str">
        <f>IFERROR(__xludf.DUMMYFUNCTION("""COMPUTED_VALUE"""),"""rozp"":{""label"":""Night"",""extra"":""You can see stars and the moon in the sky."",""sets"":""Junior""},")</f>
        <v>"rozp":{"label":"Night","extra":"You can see stars and the moon in the sky.","sets":"Junior"},</v>
      </c>
    </row>
    <row r="583">
      <c r="A583" s="8" t="str">
        <f>IFERROR(__xludf.DUMMYFUNCTION("""COMPUTED_VALUE"""),"Ninjas")</f>
        <v>Ninjas</v>
      </c>
      <c r="B583" s="8" t="str">
        <f>IFERROR(__xludf.DUMMYFUNCTION("""COMPUTED_VALUE"""),"Teenage mutant turtles need not apply.")</f>
        <v>Teenage mutant turtles need not apply.</v>
      </c>
      <c r="C583" s="13" t="str">
        <f>IFERROR(__xludf.DUMMYFUNCTION("""COMPUTED_VALUE"""),"""ijrb"":{""label"":""Ninjas"",""extra"":""Teenage mutant turtles need not apply."",""sets"":""Expansion Set 1, Party Set""},")</f>
        <v>"ijrb":{"label":"Ninjas","extra":"Teenage mutant turtles need not apply.","sets":"Expansion Set 1, Party Set"},</v>
      </c>
    </row>
    <row r="584">
      <c r="A584" s="8" t="str">
        <f>IFERROR(__xludf.DUMMYFUNCTION("""COMPUTED_VALUE"""),"Nirvana")</f>
        <v>Nirvana</v>
      </c>
      <c r="B584" s="8" t="str">
        <f>IFERROR(__xludf.DUMMYFUNCTION("""COMPUTED_VALUE"""),"A state of supreme spiritual bliss and liberation. And then there’s the band…")</f>
        <v>A state of supreme spiritual bliss and liberation. And then there’s the band…</v>
      </c>
      <c r="C584" s="13" t="str">
        <f>IFERROR(__xludf.DUMMYFUNCTION("""COMPUTED_VALUE"""),"""ymdt"":{""label"":""Nirvana"",""extra"":""A state of supreme spiritual bliss and liberation. And then there’s the band…"",""sets"":""Expansion Set 3, Party Expansion 1""},")</f>
        <v>"ymdt":{"label":"Nirvana","extra":"A state of supreme spiritual bliss and liberation. And then there’s the band…","sets":"Expansion Set 3, Party Expansion 1"},</v>
      </c>
    </row>
    <row r="585">
      <c r="A585" s="8" t="str">
        <f>IFERROR(__xludf.DUMMYFUNCTION("""COMPUTED_VALUE"""),"Noodles")</f>
        <v>Noodles</v>
      </c>
      <c r="B585" s="8" t="str">
        <f>IFERROR(__xludf.DUMMYFUNCTION("""COMPUTED_VALUE"""),"Most noodles are made with flour, water and eggs, but some contain seaweed or spinach.")</f>
        <v>Most noodles are made with flour, water and eggs, but some contain seaweed or spinach.</v>
      </c>
      <c r="C585" s="13" t="str">
        <f>IFERROR(__xludf.DUMMYFUNCTION("""COMPUTED_VALUE"""),"""pqju"":{""label"":""Noodles"",""extra"":""Most noodles are made with flour, water and eggs, but some contain seaweed or spinach."",""sets"":""Junior 9+ (1st) &amp; (2nd)""},")</f>
        <v>"pqju":{"label":"Noodles","extra":"Most noodles are made with flour, water and eggs, but some contain seaweed or spinach.","sets":"Junior 9+ (1st) &amp; (2nd)"},</v>
      </c>
    </row>
    <row r="586">
      <c r="A586" s="8" t="str">
        <f>IFERROR(__xludf.DUMMYFUNCTION("""COMPUTED_VALUE"""),"North Pole")</f>
        <v>North Pole</v>
      </c>
      <c r="B586" s="8" t="str">
        <f>IFERROR(__xludf.DUMMYFUNCTION("""COMPUTED_VALUE"""),"The northern most point on the earth, but you're not going to find a pole there.")</f>
        <v>The northern most point on the earth, but you're not going to find a pole there.</v>
      </c>
      <c r="C586" s="13" t="str">
        <f>IFERROR(__xludf.DUMMYFUNCTION("""COMPUTED_VALUE"""),"""oklv"":{""label"":""North Pole"",""extra"":""The northern most point on the earth, but you're not going to find a pole there."",""sets"":""Junior 9+ (1st) &amp; (2nd)""},")</f>
        <v>"oklv":{"label":"North Pole","extra":"The northern most point on the earth, but you're not going to find a pole there.","sets":"Junior 9+ (1st) &amp; (2nd)"},</v>
      </c>
    </row>
    <row r="587">
      <c r="A587" s="8" t="str">
        <f>IFERROR(__xludf.DUMMYFUNCTION("""COMPUTED_VALUE"""),"Nosebleeds")</f>
        <v>Nosebleeds</v>
      </c>
      <c r="B587" s="8" t="str">
        <f>IFERROR(__xludf.DUMMYFUNCTION("""COMPUTED_VALUE"""),"Keep your chin up.")</f>
        <v>Keep your chin up.</v>
      </c>
      <c r="C587" s="13" t="str">
        <f>IFERROR(__xludf.DUMMYFUNCTION("""COMPUTED_VALUE"""),"""dizv"":{""label"":""Nosebleeds"",""extra"":""Keep your chin up."",""sets"":""Expansion Set 3, Party Expansion 1""},")</f>
        <v>"dizv":{"label":"Nosebleeds","extra":"Keep your chin up.","sets":"Expansion Set 3, Party Expansion 1"},</v>
      </c>
    </row>
    <row r="588">
      <c r="A588" s="8" t="str">
        <f>IFERROR(__xludf.DUMMYFUNCTION("""COMPUTED_VALUE"""),"Nuts &amp; Bolts")</f>
        <v>Nuts &amp; Bolts</v>
      </c>
      <c r="B588" s="8" t="str">
        <f>IFERROR(__xludf.DUMMYFUNCTION("""COMPUTED_VALUE"""),"A good way to stay connected.")</f>
        <v>A good way to stay connected.</v>
      </c>
      <c r="C588" s="13" t="str">
        <f>IFERROR(__xludf.DUMMYFUNCTION("""COMPUTED_VALUE"""),"""llyk"":{""label"":""Nuts &amp; Bolts"",""extra"":""A good way to stay connected."",""sets"":""Expansion Set 4, Party Expansion 1""},")</f>
        <v>"llyk":{"label":"Nuts &amp; Bolts","extra":"A good way to stay connected.","sets":"Expansion Set 4, Party Expansion 1"},</v>
      </c>
    </row>
    <row r="589">
      <c r="A589" s="8" t="str">
        <f>IFERROR(__xludf.DUMMYFUNCTION("""COMPUTED_VALUE"""),"Oatmeal")</f>
        <v>Oatmeal</v>
      </c>
      <c r="B589" s="8" t="str">
        <f>IFERROR(__xludf.DUMMYFUNCTION("""COMPUTED_VALUE"""),"A hot cereal made from oats. It sticks to your ribs, and to the floor!")</f>
        <v>A hot cereal made from oats. It sticks to your ribs, and to the floor!</v>
      </c>
      <c r="C589" s="13" t="str">
        <f>IFERROR(__xludf.DUMMYFUNCTION("""COMPUTED_VALUE"""),"""majg"":{""label"":""Oatmeal"",""extra"":""A hot cereal made from oats. It sticks to your ribs, and to the floor!"",""sets"":""Junior""},")</f>
        <v>"majg":{"label":"Oatmeal","extra":"A hot cereal made from oats. It sticks to your ribs, and to the floor!","sets":"Junior"},</v>
      </c>
    </row>
    <row r="590">
      <c r="A590" s="8" t="str">
        <f>IFERROR(__xludf.DUMMYFUNCTION("""COMPUTED_VALUE"""),"Octopus")</f>
        <v>Octopus</v>
      </c>
      <c r="B590" s="8" t="str">
        <f>IFERROR(__xludf.DUMMYFUNCTION("""COMPUTED_VALUE"""),"A sea animal with a soft, round body and eight long arms, called tentacles.")</f>
        <v>A sea animal with a soft, round body and eight long arms, called tentacles.</v>
      </c>
      <c r="C590" s="13" t="str">
        <f>IFERROR(__xludf.DUMMYFUNCTION("""COMPUTED_VALUE"""),"""ur{r"":{""label"":""Octopus"",""extra"":""A sea animal with a soft, round body and eight long arms, called tentacles."",""sets"":""Junior 9+ (1st) &amp; (2nd)""},")</f>
        <v>"ur{r":{"label":"Octopus","extra":"A sea animal with a soft, round body and eight long arms, called tentacles.","sets":"Junior 9+ (1st) &amp; (2nd)"},</v>
      </c>
    </row>
    <row r="591">
      <c r="A591" s="8" t="str">
        <f>IFERROR(__xludf.DUMMYFUNCTION("""COMPUTED_VALUE"""),"Odds &amp; Ends")</f>
        <v>Odds &amp; Ends</v>
      </c>
      <c r="B591" s="8" t="str">
        <f>IFERROR(__xludf.DUMMYFUNCTION("""COMPUTED_VALUE"""),"It’s in the junk drawer.")</f>
        <v>It’s in the junk drawer.</v>
      </c>
      <c r="C591" s="13" t="str">
        <f>IFERROR(__xludf.DUMMYFUNCTION("""COMPUTED_VALUE"""),"""cufb"":{""label"":""Odds &amp; Ends"",""extra"":""It’s in the junk drawer."",""sets"":""Expansion Set 4, Party Expansion 1""},")</f>
        <v>"cufb":{"label":"Odds &amp; Ends","extra":"It’s in the junk drawer.","sets":"Expansion Set 4, Party Expansion 1"},</v>
      </c>
    </row>
    <row r="592">
      <c r="A592" s="8" t="str">
        <f>IFERROR(__xludf.DUMMYFUNCTION("""COMPUTED_VALUE"""),"Oil &amp; Filter")</f>
        <v>Oil &amp; Filter</v>
      </c>
      <c r="B592" s="8" t="str">
        <f>IFERROR(__xludf.DUMMYFUNCTION("""COMPUTED_VALUE"""),"Let me top that off for you.")</f>
        <v>Let me top that off for you.</v>
      </c>
      <c r="C592" s="13" t="str">
        <f>IFERROR(__xludf.DUMMYFUNCTION("""COMPUTED_VALUE"""),"""icys"":{""label"":""Oil &amp; Filter"",""extra"":""Let me top that off for you."",""sets"":""Expansion Set 4, Party Expansion 1""},")</f>
        <v>"icys":{"label":"Oil &amp; Filter","extra":"Let me top that off for you.","sets":"Expansion Set 4, Party Expansion 1"},</v>
      </c>
    </row>
    <row r="593">
      <c r="A593" s="8" t="str">
        <f>IFERROR(__xludf.DUMMYFUNCTION("""COMPUTED_VALUE"""),"Oil &amp; Vinegar")</f>
        <v>Oil &amp; Vinegar</v>
      </c>
      <c r="B593" s="8" t="str">
        <f>IFERROR(__xludf.DUMMYFUNCTION("""COMPUTED_VALUE"""),"They don’t mix, but we keep trying.")</f>
        <v>They don’t mix, but we keep trying.</v>
      </c>
      <c r="C593" s="13" t="str">
        <f>IFERROR(__xludf.DUMMYFUNCTION("""COMPUTED_VALUE"""),"""ahvb"":{""label"":""Oil &amp; Vinegar"",""extra"":""They don’t mix, but we keep trying."",""sets"":""Expansion Set 4, Party Expansion 1""},")</f>
        <v>"ahvb":{"label":"Oil &amp; Vinegar","extra":"They don’t mix, but we keep trying.","sets":"Expansion Set 4, Party Expansion 1"},</v>
      </c>
    </row>
    <row r="594">
      <c r="A594" s="8" t="str">
        <f>IFERROR(__xludf.DUMMYFUNCTION("""COMPUTED_VALUE"""),"Old Age")</f>
        <v>Old Age</v>
      </c>
      <c r="B594" s="8" t="str">
        <f>IFERROR(__xludf.DUMMYFUNCTION("""COMPUTED_VALUE"""),"It looks good when you consider the alternative.")</f>
        <v>It looks good when you consider the alternative.</v>
      </c>
      <c r="C594" s="13" t="str">
        <f>IFERROR(__xludf.DUMMYFUNCTION("""COMPUTED_VALUE"""),"""jyjj"":{""label"":""Old Age"",""extra"":""It looks good when you consider the alternative."",""sets"":""Expansion Set 3, Party Expansion 1""},")</f>
        <v>"jyjj":{"label":"Old Age","extra":"It looks good when you consider the alternative.","sets":"Expansion Set 3, Party Expansion 1"},</v>
      </c>
    </row>
    <row r="595">
      <c r="A595" s="8" t="str">
        <f>IFERROR(__xludf.DUMMYFUNCTION("""COMPUTED_VALUE"""),"On The Roof")</f>
        <v>On The Roof</v>
      </c>
      <c r="B595" s="8" t="str">
        <f>IFERROR(__xludf.DUMMYFUNCTION("""COMPUTED_VALUE"""),"Come down this instant!")</f>
        <v>Come down this instant!</v>
      </c>
      <c r="C595" s="13" t="str">
        <f>IFERROR(__xludf.DUMMYFUNCTION("""COMPUTED_VALUE"""),"""qrll"":{""label"":""On The Roof"",""extra"":""Come down this instant!"",""sets"":""Junior 9+ (2nd)""},")</f>
        <v>"qrll":{"label":"On The Roof","extra":"Come down this instant!","sets":"Junior 9+ (2nd)"},</v>
      </c>
    </row>
    <row r="596">
      <c r="A596" s="8" t="str">
        <f>IFERROR(__xludf.DUMMYFUNCTION("""COMPUTED_VALUE"""),"Onions")</f>
        <v>Onions</v>
      </c>
      <c r="B596" s="8" t="str">
        <f>IFERROR(__xludf.DUMMYFUNCTION("""COMPUTED_VALUE"""),"Round root vegetables with a strong smell and taste. They might make you cry!")</f>
        <v>Round root vegetables with a strong smell and taste. They might make you cry!</v>
      </c>
      <c r="C596" s="13" t="str">
        <f>IFERROR(__xludf.DUMMYFUNCTION("""COMPUTED_VALUE"""),"""comh"":{""label"":""Onions"",""extra"":""Round root vegetables with a strong smell and taste. They might make you cry!"",""sets"":""Junior""},")</f>
        <v>"comh":{"label":"Onions","extra":"Round root vegetables with a strong smell and taste. They might make you cry!","sets":"Junior"},</v>
      </c>
    </row>
    <row r="597">
      <c r="A597" s="8" t="str">
        <f>IFERROR(__xludf.DUMMYFUNCTION("""COMPUTED_VALUE"""),"Orange Juice")</f>
        <v>Orange Juice</v>
      </c>
      <c r="B597" s="8" t="str">
        <f>IFERROR(__xludf.DUMMYFUNCTION("""COMPUTED_VALUE"""),"Sunshine in a glass!")</f>
        <v>Sunshine in a glass!</v>
      </c>
      <c r="C597" s="13" t="str">
        <f>IFERROR(__xludf.DUMMYFUNCTION("""COMPUTED_VALUE"""),"""nzzg"":{""label"":""Orange Juice"",""extra"":""Sunshine in a glass!"",""sets"":""Junior 9+ (2nd)""},")</f>
        <v>"nzzg":{"label":"Orange Juice","extra":"Sunshine in a glass!","sets":"Junior 9+ (2nd)"},</v>
      </c>
    </row>
    <row r="598">
      <c r="A598" s="8" t="str">
        <f>IFERROR(__xludf.DUMMYFUNCTION("""COMPUTED_VALUE"""),"Oranges")</f>
        <v>Oranges</v>
      </c>
      <c r="B598" s="8" t="str">
        <f>IFERROR(__xludf.DUMMYFUNCTION("""COMPUTED_VALUE"""),"Face it… nothing rhymes with orange.")</f>
        <v>Face it… nothing rhymes with orange.</v>
      </c>
      <c r="C598" s="13" t="str">
        <f>IFERROR(__xludf.DUMMYFUNCTION("""COMPUTED_VALUE"""),"""bvga"":{""label"":""Oranges"",""extra"":""Face it… nothing rhymes with orange."",""sets"":""Basic Set, Party Set""},")</f>
        <v>"bvga":{"label":"Oranges","extra":"Face it… nothing rhymes with orange.","sets":"Basic Set, Party Set"},</v>
      </c>
    </row>
    <row r="599">
      <c r="A599" s="8" t="str">
        <f>IFERROR(__xludf.DUMMYFUNCTION("""COMPUTED_VALUE"""),"Ordinary People")</f>
        <v>Ordinary People</v>
      </c>
      <c r="B599" s="8" t="str">
        <f>IFERROR(__xludf.DUMMYFUNCTION("""COMPUTED_VALUE"""),"Nothing special.")</f>
        <v>Nothing special.</v>
      </c>
      <c r="C599" s="13" t="str">
        <f>IFERROR(__xludf.DUMMYFUNCTION("""COMPUTED_VALUE"""),"""xgcm"":{""label"":""Ordinary People"",""extra"":""Nothing special."",""sets"":""Expansion Set 3, Party Expansion 1""},")</f>
        <v>"xgcm":{"label":"Ordinary People","extra":"Nothing special.","sets":"Expansion Set 3, Party Expansion 1"},</v>
      </c>
    </row>
    <row r="600">
      <c r="A600" s="8" t="str">
        <f>IFERROR(__xludf.DUMMYFUNCTION("""COMPUTED_VALUE"""),"Outer Space")</f>
        <v>Outer Space</v>
      </c>
      <c r="B600" s="8" t="str">
        <f>IFERROR(__xludf.DUMMYFUNCTION("""COMPUTED_VALUE"""),"Where the sun, moon, and planets are located. Maybe you’ll visit there some day.")</f>
        <v>Where the sun, moon, and planets are located. Maybe you’ll visit there some day.</v>
      </c>
      <c r="C600" s="13" t="str">
        <f>IFERROR(__xludf.DUMMYFUNCTION("""COMPUTED_VALUE"""),"""wbna"":{""label"":""Outer Space"",""extra"":""Where the sun, moon, and planets are located. Maybe you’ll visit there some day."",""sets"":""Junior""},")</f>
        <v>"wbna":{"label":"Outer Space","extra":"Where the sun, moon, and planets are located. Maybe you’ll visit there some day.","sets":"Junior"},</v>
      </c>
    </row>
    <row r="601">
      <c r="A601" s="8" t="str">
        <f>IFERROR(__xludf.DUMMYFUNCTION("""COMPUTED_VALUE"""),"Owls")</f>
        <v>Owls</v>
      </c>
      <c r="B601" s="8" t="str">
        <f>IFERROR(__xludf.DUMMYFUNCTION("""COMPUTED_VALUE"""),"Birds with large eyes and heads. They eat mice and snakes. Hoot-hoot.")</f>
        <v>Birds with large eyes and heads. They eat mice and snakes. Hoot-hoot.</v>
      </c>
      <c r="C601" s="13" t="str">
        <f>IFERROR(__xludf.DUMMYFUNCTION("""COMPUTED_VALUE"""),"""xbpe"":{""label"":""Owls"",""extra"":""Birds with large eyes and heads. They eat mice and snakes. Hoot-hoot."",""sets"":""Junior""},")</f>
        <v>"xbpe":{"label":"Owls","extra":"Birds with large eyes and heads. They eat mice and snakes. Hoot-hoot.","sets":"Junior"},</v>
      </c>
    </row>
    <row r="602">
      <c r="A602" s="8" t="str">
        <f>IFERROR(__xludf.DUMMYFUNCTION("""COMPUTED_VALUE"""),"Pacific Ocean")</f>
        <v>Pacific Ocean</v>
      </c>
      <c r="B602" s="8" t="str">
        <f>IFERROR(__xludf.DUMMYFUNCTION("""COMPUTED_VALUE"""),"The Pacific is the largest, and deepest, ocean on Earth.")</f>
        <v>The Pacific is the largest, and deepest, ocean on Earth.</v>
      </c>
      <c r="C602" s="13" t="str">
        <f>IFERROR(__xludf.DUMMYFUNCTION("""COMPUTED_VALUE"""),"""buua"":{""label"":""Pacific Ocean"",""extra"":""The Pacific is the largest, and deepest, ocean on Earth."",""sets"":""Junior 9+ (2nd)""},")</f>
        <v>"buua":{"label":"Pacific Ocean","extra":"The Pacific is the largest, and deepest, ocean on Earth.","sets":"Junior 9+ (2nd)"},</v>
      </c>
    </row>
    <row r="603">
      <c r="A603" s="8" t="str">
        <f>IFERROR(__xludf.DUMMYFUNCTION("""COMPUTED_VALUE"""),"Pail &amp; Shovel")</f>
        <v>Pail &amp; Shovel</v>
      </c>
      <c r="B603" s="8" t="str">
        <f>IFERROR(__xludf.DUMMYFUNCTION("""COMPUTED_VALUE"""),"I can dig it.")</f>
        <v>I can dig it.</v>
      </c>
      <c r="C603" s="13" t="str">
        <f>IFERROR(__xludf.DUMMYFUNCTION("""COMPUTED_VALUE"""),"""loiy"":{""label"":""Pail &amp; Shovel"",""extra"":""I can dig it."",""sets"":""Expansion Set 4, Party Expansion 1""},")</f>
        <v>"loiy":{"label":"Pail &amp; Shovel","extra":"I can dig it.","sets":"Expansion Set 4, Party Expansion 1"},</v>
      </c>
    </row>
    <row r="604">
      <c r="A604" s="8" t="str">
        <f>IFERROR(__xludf.DUMMYFUNCTION("""COMPUTED_VALUE"""),"Painting A Fence")</f>
        <v>Painting A Fence</v>
      </c>
      <c r="B604" s="8" t="str">
        <f>IFERROR(__xludf.DUMMYFUNCTION("""COMPUTED_VALUE"""),"A good way to earn some money.")</f>
        <v>A good way to earn some money.</v>
      </c>
      <c r="C604" s="13" t="str">
        <f>IFERROR(__xludf.DUMMYFUNCTION("""COMPUTED_VALUE"""),"""ljvq"":{""label"":""Painting A Fence"",""extra"":""A good way to earn some money."",""sets"":""Junior 9+ (1st) &amp; (2nd)""},")</f>
        <v>"ljvq":{"label":"Painting A Fence","extra":"A good way to earn some money.","sets":"Junior 9+ (1st) &amp; (2nd)"},</v>
      </c>
    </row>
    <row r="605">
      <c r="A605" s="8" t="str">
        <f>IFERROR(__xludf.DUMMYFUNCTION("""COMPUTED_VALUE"""),"Pajamas")</f>
        <v>Pajamas</v>
      </c>
      <c r="B605" s="8" t="str">
        <f>IFERROR(__xludf.DUMMYFUNCTION("""COMPUTED_VALUE"""),"Clothes you sleep in. Some have feet!")</f>
        <v>Clothes you sleep in. Some have feet!</v>
      </c>
      <c r="C605" s="13" t="str">
        <f>IFERROR(__xludf.DUMMYFUNCTION("""COMPUTED_VALUE"""),"""ytjk"":{""label"":""Pajamas"",""extra"":""Clothes you sleep in. Some have feet!"",""sets"":""Junior""},")</f>
        <v>"ytjk":{"label":"Pajamas","extra":"Clothes you sleep in. Some have feet!","sets":"Junior"},</v>
      </c>
    </row>
    <row r="606">
      <c r="A606" s="8" t="str">
        <f>IFERROR(__xludf.DUMMYFUNCTION("""COMPUTED_VALUE"""),"Pancakes")</f>
        <v>Pancakes</v>
      </c>
      <c r="B606" s="8" t="str">
        <f>IFERROR(__xludf.DUMMYFUNCTION("""COMPUTED_VALUE"""),"Some people call them flapjacks.")</f>
        <v>Some people call them flapjacks.</v>
      </c>
      <c r="C606" s="13" t="str">
        <f>IFERROR(__xludf.DUMMYFUNCTION("""COMPUTED_VALUE"""),"""nriu"":{""label"":""Pancakes"",""extra"":""Some people call them flapjacks."",""sets"":""Junior 9+ (1st) &amp; (2nd)""},")</f>
        <v>"nriu":{"label":"Pancakes","extra":"Some people call them flapjacks.","sets":"Junior 9+ (1st) &amp; (2nd)"},</v>
      </c>
    </row>
    <row r="607">
      <c r="A607" s="8" t="str">
        <f>IFERROR(__xludf.DUMMYFUNCTION("""COMPUTED_VALUE"""),"Panda Bears")</f>
        <v>Panda Bears</v>
      </c>
      <c r="B607" s="8" t="str">
        <f>IFERROR(__xludf.DUMMYFUNCTION("""COMPUTED_VALUE"""),"In China they're called “Xiongmao” which means giant cat bear.")</f>
        <v>In China they're called “Xiongmao” which means giant cat bear.</v>
      </c>
      <c r="C607" s="13" t="str">
        <f>IFERROR(__xludf.DUMMYFUNCTION("""COMPUTED_VALUE"""),"""ltmk"":{""label"":""Panda Bears"",""extra"":""In China they're called “Xiongmao” which means giant cat bear."",""sets"":""Junior 9+ (1st) &amp; (2nd)""},")</f>
        <v>"ltmk":{"label":"Panda Bears","extra":"In China they're called “Xiongmao” which means giant cat bear.","sets":"Junior 9+ (1st) &amp; (2nd)"},</v>
      </c>
    </row>
    <row r="608">
      <c r="A608" s="8" t="str">
        <f>IFERROR(__xludf.DUMMYFUNCTION("""COMPUTED_VALUE"""),"Panning For Gold")</f>
        <v>Panning For Gold</v>
      </c>
      <c r="B608" s="8" t="str">
        <f>IFERROR(__xludf.DUMMYFUNCTION("""COMPUTED_VALUE"""),"The dot-coms of the 1840s…")</f>
        <v>The dot-coms of the 1840s…</v>
      </c>
      <c r="C608" s="13" t="str">
        <f>IFERROR(__xludf.DUMMYFUNCTION("""COMPUTED_VALUE"""),"""lqdn"":{""label"":""Panning For Gold"",""extra"":""The dot-coms of the 1840s…"",""sets"":""Expansion Set 3, Party Expansion 1""},")</f>
        <v>"lqdn":{"label":"Panning For Gold","extra":"The dot-coms of the 1840s…","sets":"Expansion Set 3, Party Expansion 1"},</v>
      </c>
    </row>
    <row r="609">
      <c r="A609" s="8" t="str">
        <f>IFERROR(__xludf.DUMMYFUNCTION("""COMPUTED_VALUE"""),"Paper Route")</f>
        <v>Paper Route</v>
      </c>
      <c r="B609" s="8" t="str">
        <f>IFERROR(__xludf.DUMMYFUNCTION("""COMPUTED_VALUE"""),"It’s a job.")</f>
        <v>It’s a job.</v>
      </c>
      <c r="C609" s="13" t="str">
        <f>IFERROR(__xludf.DUMMYFUNCTION("""COMPUTED_VALUE"""),"""auht"":{""label"":""Paper Route"",""extra"":""It’s a job."",""sets"":""Junior 9+ (2nd)""},")</f>
        <v>"auht":{"label":"Paper Route","extra":"It’s a job.","sets":"Junior 9+ (2nd)"},</v>
      </c>
    </row>
    <row r="610">
      <c r="A610" s="8" t="str">
        <f>IFERROR(__xludf.DUMMYFUNCTION("""COMPUTED_VALUE"""),"Parachutes")</f>
        <v>Parachutes</v>
      </c>
      <c r="B610" s="8" t="str">
        <f>IFERROR(__xludf.DUMMYFUNCTION("""COMPUTED_VALUE"""),"Put this on your back, jump out of the plane, and pull the cord. Ready?")</f>
        <v>Put this on your back, jump out of the plane, and pull the cord. Ready?</v>
      </c>
      <c r="C610" s="13" t="str">
        <f>IFERROR(__xludf.DUMMYFUNCTION("""COMPUTED_VALUE"""),"""xubp"":{""label"":""Parachutes"",""extra"":""Put this on your back, jump out of the plane, and pull the cord. Ready?"",""sets"":""Junior 9+ (2nd)""},")</f>
        <v>"xubp":{"label":"Parachutes","extra":"Put this on your back, jump out of the plane, and pull the cord. Ready?","sets":"Junior 9+ (2nd)"},</v>
      </c>
    </row>
    <row r="611">
      <c r="A611" s="8" t="str">
        <f>IFERROR(__xludf.DUMMYFUNCTION("""COMPUTED_VALUE"""),"Parties")</f>
        <v>Parties</v>
      </c>
      <c r="B611" s="8" t="str">
        <f>IFERROR(__xludf.DUMMYFUNCTION("""COMPUTED_VALUE"""),"Birthday parties, slumber parties, Halloween parties. They’re all fun!")</f>
        <v>Birthday parties, slumber parties, Halloween parties. They’re all fun!</v>
      </c>
      <c r="C611" s="13" t="str">
        <f>IFERROR(__xludf.DUMMYFUNCTION("""COMPUTED_VALUE"""),"""cmum"":{""label"":""Parties"",""extra"":""Birthday parties, slumber parties, Halloween parties. They’re all fun!"",""sets"":""Junior""},")</f>
        <v>"cmum":{"label":"Parties","extra":"Birthday parties, slumber parties, Halloween parties. They’re all fun!","sets":"Junior"},</v>
      </c>
    </row>
    <row r="612">
      <c r="A612" s="8" t="str">
        <f>IFERROR(__xludf.DUMMYFUNCTION("""COMPUTED_VALUE"""),"Peace &amp; Quiet")</f>
        <v>Peace &amp; Quiet</v>
      </c>
      <c r="B612" s="8" t="str">
        <f>IFERROR(__xludf.DUMMYFUNCTION("""COMPUTED_VALUE"""),"Truly appreciated during parenthood.")</f>
        <v>Truly appreciated during parenthood.</v>
      </c>
      <c r="C612" s="13" t="str">
        <f>IFERROR(__xludf.DUMMYFUNCTION("""COMPUTED_VALUE"""),"""dms{"":{""label"":""Peace &amp; Quiet"",""extra"":""Truly appreciated during parenthood."",""sets"":""Expansion Set 4, Party Expansion 1""},")</f>
        <v>"dms{":{"label":"Peace &amp; Quiet","extra":"Truly appreciated during parenthood.","sets":"Expansion Set 4, Party Expansion 1"},</v>
      </c>
    </row>
    <row r="613">
      <c r="A613" s="8" t="str">
        <f>IFERROR(__xludf.DUMMYFUNCTION("""COMPUTED_VALUE"""),"Peaches")</f>
        <v>Peaches</v>
      </c>
      <c r="B613" s="8" t="str">
        <f>IFERROR(__xludf.DUMMYFUNCTION("""COMPUTED_VALUE"""),"Fuzzy fruit.")</f>
        <v>Fuzzy fruit.</v>
      </c>
      <c r="C613" s="13" t="str">
        <f>IFERROR(__xludf.DUMMYFUNCTION("""COMPUTED_VALUE"""),"""rcbb"":{""label"":""Peaches"",""extra"":""Fuzzy fruit."",""sets"":""Junior 9+ (1st) &amp; (2nd)""},")</f>
        <v>"rcbb":{"label":"Peaches","extra":"Fuzzy fruit.","sets":"Junior 9+ (1st) &amp; (2nd)"},</v>
      </c>
    </row>
    <row r="614">
      <c r="A614" s="8" t="str">
        <f>IFERROR(__xludf.DUMMYFUNCTION("""COMPUTED_VALUE"""),"Peaches &amp; Cream")</f>
        <v>Peaches &amp; Cream</v>
      </c>
      <c r="B614" s="8" t="str">
        <f>IFERROR(__xludf.DUMMYFUNCTION("""COMPUTED_VALUE"""),"A great complexion and a great dessert.")</f>
        <v>A great complexion and a great dessert.</v>
      </c>
      <c r="C614" s="13" t="str">
        <f>IFERROR(__xludf.DUMMYFUNCTION("""COMPUTED_VALUE"""),"""hlwe"":{""label"":""Peaches &amp; Cream"",""extra"":""A great complexion and a great dessert."",""sets"":""Expansion Set 4, Party Expansion 1""},")</f>
        <v>"hlwe":{"label":"Peaches &amp; Cream","extra":"A great complexion and a great dessert.","sets":"Expansion Set 4, Party Expansion 1"},</v>
      </c>
    </row>
    <row r="615">
      <c r="A615" s="8" t="str">
        <f>IFERROR(__xludf.DUMMYFUNCTION("""COMPUTED_VALUE"""),"Peacocks")</f>
        <v>Peacocks</v>
      </c>
      <c r="B615" s="8" t="str">
        <f>IFERROR(__xludf.DUMMYFUNCTION("""COMPUTED_VALUE"""),"The show-offs of the bird world.")</f>
        <v>The show-offs of the bird world.</v>
      </c>
      <c r="C615" s="13" t="str">
        <f>IFERROR(__xludf.DUMMYFUNCTION("""COMPUTED_VALUE"""),"""qpvn"":{""label"":""Peacocks"",""extra"":""The show-offs of the bird world."",""sets"":""Junior 9+ (2nd)""},")</f>
        <v>"qpvn":{"label":"Peacocks","extra":"The show-offs of the bird world.","sets":"Junior 9+ (2nd)"},</v>
      </c>
    </row>
    <row r="616">
      <c r="A616" s="8" t="str">
        <f>IFERROR(__xludf.DUMMYFUNCTION("""COMPUTED_VALUE"""),"Peanut Butter")</f>
        <v>Peanut Butter</v>
      </c>
      <c r="B616" s="8" t="str">
        <f>IFERROR(__xludf.DUMMYFUNCTION("""COMPUTED_VALUE"""),"A soft, creamy spread made from peanuts. Sometimes it sticks to the roof of your mouth.")</f>
        <v>A soft, creamy spread made from peanuts. Sometimes it sticks to the roof of your mouth.</v>
      </c>
      <c r="C616" s="13" t="str">
        <f>IFERROR(__xludf.DUMMYFUNCTION("""COMPUTED_VALUE"""),"""uqdo"":{""label"":""Peanut Butter"",""extra"":""A soft, creamy spread made from peanuts. Sometimes it sticks to the roof of your mouth."",""sets"":""Junior""},")</f>
        <v>"uqdo":{"label":"Peanut Butter","extra":"A soft, creamy spread made from peanuts. Sometimes it sticks to the roof of your mouth.","sets":"Junior"},</v>
      </c>
    </row>
    <row r="617">
      <c r="A617" s="8" t="str">
        <f>IFERROR(__xludf.DUMMYFUNCTION("""COMPUTED_VALUE"""),"Peanut Butter &amp; Jelly")</f>
        <v>Peanut Butter &amp; Jelly</v>
      </c>
      <c r="B617" s="8" t="str">
        <f>IFERROR(__xludf.DUMMYFUNCTION("""COMPUTED_VALUE"""),"On white bread; cut off the crusts.")</f>
        <v>On white bread; cut off the crusts.</v>
      </c>
      <c r="C617" s="13" t="str">
        <f>IFERROR(__xludf.DUMMYFUNCTION("""COMPUTED_VALUE"""),"""fjui"":{""label"":""Peanut Butter &amp; Jelly"",""extra"":""On white bread; cut off the crusts."",""sets"":""Expansion Set 4, Party Expansion 1""},")</f>
        <v>"fjui":{"label":"Peanut Butter &amp; Jelly","extra":"On white bread; cut off the crusts.","sets":"Expansion Set 4, Party Expansion 1"},</v>
      </c>
    </row>
    <row r="618">
      <c r="A618" s="8" t="str">
        <f>IFERROR(__xludf.DUMMYFUNCTION("""COMPUTED_VALUE"""),"Peanuts")</f>
        <v>Peanuts</v>
      </c>
      <c r="B618" s="8" t="str">
        <f>IFERROR(__xludf.DUMMYFUNCTION("""COMPUTED_VALUE"""),"Peanuts are really a seed, not a pea or a nut.")</f>
        <v>Peanuts are really a seed, not a pea or a nut.</v>
      </c>
      <c r="C618" s="13" t="str">
        <f>IFERROR(__xludf.DUMMYFUNCTION("""COMPUTED_VALUE"""),"""ecqb"":{""label"":""Peanuts"",""extra"":""Peanuts are really a seed, not a pea or a nut."",""sets"":""Junior 9+ (1st) &amp; (2nd)""},")</f>
        <v>"ecqb":{"label":"Peanuts","extra":"Peanuts are really a seed, not a pea or a nut.","sets":"Junior 9+ (1st) &amp; (2nd)"},</v>
      </c>
    </row>
    <row r="619">
      <c r="A619" s="8" t="str">
        <f>IFERROR(__xludf.DUMMYFUNCTION("""COMPUTED_VALUE"""),"Peanuts &amp; Popcorn")</f>
        <v>Peanuts &amp; Popcorn</v>
      </c>
      <c r="B619" s="8" t="str">
        <f>IFERROR(__xludf.DUMMYFUNCTION("""COMPUTED_VALUE"""),"It's a crackerjack combination!")</f>
        <v>It's a crackerjack combination!</v>
      </c>
      <c r="C619" s="13" t="str">
        <f>IFERROR(__xludf.DUMMYFUNCTION("""COMPUTED_VALUE"""),"""bfhj"":{""label"":""Peanuts &amp; Popcorn"",""extra"":""It's a crackerjack combination!"",""sets"":""Expansion Set 4, Party Expansion 1""},")</f>
        <v>"bfhj":{"label":"Peanuts &amp; Popcorn","extra":"It's a crackerjack combination!","sets":"Expansion Set 4, Party Expansion 1"},</v>
      </c>
    </row>
    <row r="620">
      <c r="A620" s="8" t="str">
        <f>IFERROR(__xludf.DUMMYFUNCTION("""COMPUTED_VALUE"""),"Pearl Earrings")</f>
        <v>Pearl Earrings</v>
      </c>
      <c r="B620" s="8" t="str">
        <f>IFERROR(__xludf.DUMMYFUNCTION("""COMPUTED_VALUE"""),"A good gift for Mother’s Day!")</f>
        <v>A good gift for Mother’s Day!</v>
      </c>
      <c r="C620" s="13" t="str">
        <f>IFERROR(__xludf.DUMMYFUNCTION("""COMPUTED_VALUE"""),"""bfyo"":{""label"":""Pearl Earrings"",""extra"":""A good gift for Mother’s Day!"",""sets"":""Junior 9+ (2nd)""},")</f>
        <v>"bfyo":{"label":"Pearl Earrings","extra":"A good gift for Mother’s Day!","sets":"Junior 9+ (2nd)"},</v>
      </c>
    </row>
    <row r="621">
      <c r="A621" s="8" t="str">
        <f>IFERROR(__xludf.DUMMYFUNCTION("""COMPUTED_VALUE"""),"Pebbles &amp; Bamm-Bamm")</f>
        <v>Pebbles &amp; Bamm-Bamm</v>
      </c>
      <c r="B621" s="8" t="str">
        <f>IFERROR(__xludf.DUMMYFUNCTION("""COMPUTED_VALUE"""),"The cartoon kids from The Flintstones. BAM-BAM, BAM-BAM, BAM-BAM.")</f>
        <v>The cartoon kids from The Flintstones. BAM-BAM, BAM-BAM, BAM-BAM.</v>
      </c>
      <c r="C621" s="13" t="str">
        <f>IFERROR(__xludf.DUMMYFUNCTION("""COMPUTED_VALUE"""),"""ajvr"":{""label"":""Pebbles &amp; Bamm-Bamm"",""extra"":""The cartoon kids from The Flintstones. BAM-BAM, BAM-BAM, BAM-BAM."",""sets"":""Expansion Set 4, Party Expansion 1""},")</f>
        <v>"ajvr":{"label":"Pebbles &amp; Bamm-Bamm","extra":"The cartoon kids from The Flintstones. BAM-BAM, BAM-BAM, BAM-BAM.","sets":"Expansion Set 4, Party Expansion 1"},</v>
      </c>
    </row>
    <row r="622">
      <c r="A622" s="8" t="str">
        <f>IFERROR(__xludf.DUMMYFUNCTION("""COMPUTED_VALUE"""),"Pencil &amp; Paper")</f>
        <v>Pencil &amp; Paper</v>
      </c>
      <c r="B622" s="8" t="str">
        <f>IFERROR(__xludf.DUMMYFUNCTION("""COMPUTED_VALUE"""),"We’re drawn to them!")</f>
        <v>We’re drawn to them!</v>
      </c>
      <c r="C622" s="13" t="str">
        <f>IFERROR(__xludf.DUMMYFUNCTION("""COMPUTED_VALUE"""),"""sl{b"":{""label"":""Pencil &amp; Paper"",""extra"":""We’re drawn to them!"",""sets"":""Expansion Set 4, Party Expansion 1""},")</f>
        <v>"sl{b":{"label":"Pencil &amp; Paper","extra":"We’re drawn to them!","sets":"Expansion Set 4, Party Expansion 1"},</v>
      </c>
    </row>
    <row r="623">
      <c r="A623" s="8" t="str">
        <f>IFERROR(__xludf.DUMMYFUNCTION("""COMPUTED_VALUE"""),"Pencils")</f>
        <v>Pencils</v>
      </c>
      <c r="B623" s="8" t="str">
        <f>IFERROR(__xludf.DUMMYFUNCTION("""COMPUTED_VALUE"""),"Three-fourths of all pencils made in the United States are yellow.")</f>
        <v>Three-fourths of all pencils made in the United States are yellow.</v>
      </c>
      <c r="C623" s="13" t="str">
        <f>IFERROR(__xludf.DUMMYFUNCTION("""COMPUTED_VALUE"""),"""hjdw"":{""label"":""Pencils"",""extra"":""Three-fourths of all pencils made in the United States are yellow."",""sets"":""Junior 9+ (1st) &amp; (2nd)""},")</f>
        <v>"hjdw":{"label":"Pencils","extra":"Three-fourths of all pencils made in the United States are yellow.","sets":"Junior 9+ (1st) &amp; (2nd)"},</v>
      </c>
    </row>
    <row r="624">
      <c r="A624" s="8" t="str">
        <f>IFERROR(__xludf.DUMMYFUNCTION("""COMPUTED_VALUE"""),"Penguins")</f>
        <v>Penguins</v>
      </c>
      <c r="B624" s="8" t="str">
        <f>IFERROR(__xludf.DUMMYFUNCTION("""COMPUTED_VALUE"""),"Black and white sea birds found in Antarctica. They can’t fly, but they sure can waddle.")</f>
        <v>Black and white sea birds found in Antarctica. They can’t fly, but they sure can waddle.</v>
      </c>
      <c r="C624" s="13" t="str">
        <f>IFERROR(__xludf.DUMMYFUNCTION("""COMPUTED_VALUE"""),"""nknr"":{""label"":""Penguins"",""extra"":""Black and white sea birds found in Antarctica. They can’t fly, but they sure can waddle."",""sets"":""Junior""},")</f>
        <v>"nknr":{"label":"Penguins","extra":"Black and white sea birds found in Antarctica. They can’t fly, but they sure can waddle.","sets":"Junior"},</v>
      </c>
    </row>
    <row r="625">
      <c r="A625" s="8" t="str">
        <f>IFERROR(__xludf.DUMMYFUNCTION("""COMPUTED_VALUE"""),"Penn &amp; Teller")</f>
        <v>Penn &amp; Teller</v>
      </c>
      <c r="B625" s="8" t="str">
        <f>IFERROR(__xludf.DUMMYFUNCTION("""COMPUTED_VALUE"""),"Magicians, illusionists, entertainers, and comedians.")</f>
        <v>Magicians, illusionists, entertainers, and comedians.</v>
      </c>
      <c r="C625" s="13" t="str">
        <f>IFERROR(__xludf.DUMMYFUNCTION("""COMPUTED_VALUE"""),"""mypp"":{""label"":""Penn &amp; Teller"",""extra"":""Magicians, illusionists, entertainers, and comedians."",""sets"":""Expansion Set 4, Party Expansion 1""},")</f>
        <v>"mypp":{"label":"Penn &amp; Teller","extra":"Magicians, illusionists, entertainers, and comedians.","sets":"Expansion Set 4, Party Expansion 1"},</v>
      </c>
    </row>
    <row r="626">
      <c r="A626" s="8" t="str">
        <f>IFERROR(__xludf.DUMMYFUNCTION("""COMPUTED_VALUE"""),"Pennies")</f>
        <v>Pennies</v>
      </c>
      <c r="B626" s="8" t="str">
        <f>IFERROR(__xludf.DUMMYFUNCTION("""COMPUTED_VALUE"""),"Heads or tails?")</f>
        <v>Heads or tails?</v>
      </c>
      <c r="C626" s="13" t="str">
        <f>IFERROR(__xludf.DUMMYFUNCTION("""COMPUTED_VALUE"""),"""nwxj"":{""label"":""Pennies"",""extra"":""Heads or tails?"",""sets"":""Junior 9+ (1st) &amp; (2nd)""},")</f>
        <v>"nwxj":{"label":"Pennies","extra":"Heads or tails?","sets":"Junior 9+ (1st) &amp; (2nd)"},</v>
      </c>
    </row>
    <row r="627">
      <c r="A627" s="8" t="str">
        <f>IFERROR(__xludf.DUMMYFUNCTION("""COMPUTED_VALUE"""),"Peppers")</f>
        <v>Peppers</v>
      </c>
      <c r="B627" s="8" t="str">
        <f>IFERROR(__xludf.DUMMYFUNCTION("""COMPUTED_VALUE"""),"Sweet and crunchy, or hot and spicy!")</f>
        <v>Sweet and crunchy, or hot and spicy!</v>
      </c>
      <c r="C627" s="13" t="str">
        <f>IFERROR(__xludf.DUMMYFUNCTION("""COMPUTED_VALUE"""),"""pvgi"":{""label"":""Peppers"",""extra"":""Sweet and crunchy, or hot and spicy!"",""sets"":""Junior 9+ (1st) &amp; (2nd)""},")</f>
        <v>"pvgi":{"label":"Peppers","extra":"Sweet and crunchy, or hot and spicy!","sets":"Junior 9+ (1st) &amp; (2nd)"},</v>
      </c>
    </row>
    <row r="628">
      <c r="A628" s="8" t="str">
        <f>IFERROR(__xludf.DUMMYFUNCTION("""COMPUTED_VALUE"""),"Perfume")</f>
        <v>Perfume</v>
      </c>
      <c r="B628" s="8" t="str">
        <f>IFERROR(__xludf.DUMMYFUNCTION("""COMPUTED_VALUE"""),"What’s that smell?")</f>
        <v>What’s that smell?</v>
      </c>
      <c r="C628" s="13" t="str">
        <f>IFERROR(__xludf.DUMMYFUNCTION("""COMPUTED_VALUE"""),"""ktso"":{""label"":""Perfume"",""extra"":""What’s that smell?"",""sets"":""Junior 9+ (2nd)""},")</f>
        <v>"ktso":{"label":"Perfume","extra":"What’s that smell?","sets":"Junior 9+ (2nd)"},</v>
      </c>
    </row>
    <row r="629">
      <c r="A629" s="8" t="str">
        <f>IFERROR(__xludf.DUMMYFUNCTION("""COMPUTED_VALUE"""),"Peter Pan")</f>
        <v>Peter Pan</v>
      </c>
      <c r="B629" s="8" t="str">
        <f>IFERROR(__xludf.DUMMYFUNCTION("""COMPUTED_VALUE"""),"A book and movie character who could fly. He never wanted to grow up!")</f>
        <v>A book and movie character who could fly. He never wanted to grow up!</v>
      </c>
      <c r="C629" s="13" t="str">
        <f>IFERROR(__xludf.DUMMYFUNCTION("""COMPUTED_VALUE"""),"""bxyk"":{""label"":""Peter Pan"",""extra"":""A book and movie character who could fly. He never wanted to grow up!"",""sets"":""Junior""},")</f>
        <v>"bxyk":{"label":"Peter Pan","extra":"A book and movie character who could fly. He never wanted to grow up!","sets":"Junior"},</v>
      </c>
    </row>
    <row r="630">
      <c r="A630" s="8" t="str">
        <f>IFERROR(__xludf.DUMMYFUNCTION("""COMPUTED_VALUE"""),"Pez Dispensers")</f>
        <v>Pez Dispensers</v>
      </c>
      <c r="B630" s="8" t="str">
        <f>IFERROR(__xludf.DUMMYFUNCTION("""COMPUTED_VALUE"""),"Collectable candy dispensers first being sold in 1952. Believe it or not, there has never been an Elvis Pez dispenser.")</f>
        <v>Collectable candy dispensers first being sold in 1952. Believe it or not, there has never been an Elvis Pez dispenser.</v>
      </c>
      <c r="C630" s="13" t="str">
        <f>IFERROR(__xludf.DUMMYFUNCTION("""COMPUTED_VALUE"""),"""yjsn"":{""label"":""Pez Dispensers"",""extra"":""Collectable candy dispensers first being sold in 1952. Believe it or not, there has never been an Elvis Pez dispenser."",""sets"":""Expansion Set 3, Party Expansion 1""},")</f>
        <v>"yjsn":{"label":"Pez Dispensers","extra":"Collectable candy dispensers first being sold in 1952. Believe it or not, there has never been an Elvis Pez dispenser.","sets":"Expansion Set 3, Party Expansion 1"},</v>
      </c>
    </row>
    <row r="631">
      <c r="A631" s="8" t="str">
        <f>IFERROR(__xludf.DUMMYFUNCTION("""COMPUTED_VALUE"""),"Phone &amp; Fax")</f>
        <v>Phone &amp; Fax</v>
      </c>
      <c r="B631" s="8" t="str">
        <f>IFERROR(__xludf.DUMMYFUNCTION("""COMPUTED_VALUE"""),"Soon you won’t need to leave the house at all!")</f>
        <v>Soon you won’t need to leave the house at all!</v>
      </c>
      <c r="C631" s="13" t="str">
        <f>IFERROR(__xludf.DUMMYFUNCTION("""COMPUTED_VALUE"""),"""rrqz"":{""label"":""Phone &amp; Fax"",""extra"":""Soon you won’t need to leave the house at all!"",""sets"":""Expansion Set 4, Party Expansion 1""},")</f>
        <v>"rrqz":{"label":"Phone &amp; Fax","extra":"Soon you won’t need to leave the house at all!","sets":"Expansion Set 4, Party Expansion 1"},</v>
      </c>
    </row>
    <row r="632">
      <c r="A632" s="8" t="str">
        <f>IFERROR(__xludf.DUMMYFUNCTION("""COMPUTED_VALUE"""),"Piñatas")</f>
        <v>Piñatas</v>
      </c>
      <c r="B632" s="8" t="str">
        <f>IFERROR(__xludf.DUMMYFUNCTION("""COMPUTED_VALUE"""),"Papier-mâché animals filled with candy and whacked with a stick.")</f>
        <v>Papier-mâché animals filled with candy and whacked with a stick.</v>
      </c>
      <c r="C632" s="13" t="str">
        <f>IFERROR(__xludf.DUMMYFUNCTION("""COMPUTED_VALUE"""),"""jsoc"":{""label"":""Piñatas"",""extra"":""Papier-mâché animals filled with candy and whacked with a stick."",""sets"":""Junior 9+ (2nd)""},")</f>
        <v>"jsoc":{"label":"Piñatas","extra":"Papier-mâché animals filled with candy and whacked with a stick.","sets":"Junior 9+ (2nd)"},</v>
      </c>
    </row>
    <row r="633">
      <c r="A633" s="8" t="str">
        <f>IFERROR(__xludf.DUMMYFUNCTION("""COMPUTED_VALUE"""),"Pickles")</f>
        <v>Pickles</v>
      </c>
      <c r="B633" s="8" t="str">
        <f>IFERROR(__xludf.DUMMYFUNCTION("""COMPUTED_VALUE"""),"Dill or sweet?")</f>
        <v>Dill or sweet?</v>
      </c>
      <c r="C633" s="13" t="str">
        <f>IFERROR(__xludf.DUMMYFUNCTION("""COMPUTED_VALUE"""),"""wnku"":{""label"":""Pickles"",""extra"":""Dill or sweet?"",""sets"":""Junior 9+ (2nd)""},")</f>
        <v>"wnku":{"label":"Pickles","extra":"Dill or sweet?","sets":"Junior 9+ (2nd)"},</v>
      </c>
    </row>
    <row r="634">
      <c r="A634" s="8" t="str">
        <f>IFERROR(__xludf.DUMMYFUNCTION("""COMPUTED_VALUE"""),"Picnics")</f>
        <v>Picnics</v>
      </c>
      <c r="B634" s="8" t="str">
        <f>IFERROR(__xludf.DUMMYFUNCTION("""COMPUTED_VALUE"""),"Pack up your food and a blanket, and go to your favorite park or beach.")</f>
        <v>Pack up your food and a blanket, and go to your favorite park or beach.</v>
      </c>
      <c r="C634" s="13" t="str">
        <f>IFERROR(__xludf.DUMMYFUNCTION("""COMPUTED_VALUE"""),"""dvwy"":{""label"":""Picnics"",""extra"":""Pack up your food and a blanket, and go to your favorite park or beach."",""sets"":""Junior""},")</f>
        <v>"dvwy":{"label":"Picnics","extra":"Pack up your food and a blanket, and go to your favorite park or beach.","sets":"Junior"},</v>
      </c>
    </row>
    <row r="635">
      <c r="A635" s="8" t="str">
        <f>IFERROR(__xludf.DUMMYFUNCTION("""COMPUTED_VALUE"""),"Pierced Ears")</f>
        <v>Pierced Ears</v>
      </c>
      <c r="B635" s="8" t="str">
        <f>IFERROR(__xludf.DUMMYFUNCTION("""COMPUTED_VALUE"""),"Mom, when can I get my ears pierced?")</f>
        <v>Mom, when can I get my ears pierced?</v>
      </c>
      <c r="C635" s="13" t="str">
        <f>IFERROR(__xludf.DUMMYFUNCTION("""COMPUTED_VALUE"""),"""azvg"":{""label"":""Pierced Ears"",""extra"":""Mom, when can I get my ears pierced?"",""sets"":""Junior 9+ (1st) &amp; (2nd)""},")</f>
        <v>"azvg":{"label":"Pierced Ears","extra":"Mom, when can I get my ears pierced?","sets":"Junior 9+ (1st) &amp; (2nd)"},</v>
      </c>
    </row>
    <row r="636">
      <c r="A636" s="8" t="str">
        <f>IFERROR(__xludf.DUMMYFUNCTION("""COMPUTED_VALUE"""),"Pigs")</f>
        <v>Pigs</v>
      </c>
      <c r="B636" s="8" t="str">
        <f>IFERROR(__xludf.DUMMYFUNCTION("""COMPUTED_VALUE"""),"Domesticated mammal of the swine family. Thaaa… thaaa… that's all, folks!")</f>
        <v>Domesticated mammal of the swine family. Thaaa… thaaa… that's all, folks!</v>
      </c>
      <c r="C636" s="13" t="str">
        <f>IFERROR(__xludf.DUMMYFUNCTION("""COMPUTED_VALUE"""),"""niqc"":{""label"":""Pigs"",""extra"":""Domesticated mammal of the swine family. Thaaa… thaaa… that's all, folks!"",""sets"":""Basic Set, Party Set""},")</f>
        <v>"niqc":{"label":"Pigs","extra":"Domesticated mammal of the swine family. Thaaa… thaaa… that's all, folks!","sets":"Basic Set, Party Set"},</v>
      </c>
    </row>
    <row r="637">
      <c r="A637" s="8" t="str">
        <f>IFERROR(__xludf.DUMMYFUNCTION("""COMPUTED_VALUE"""),"Pillow Fights")</f>
        <v>Pillow Fights</v>
      </c>
      <c r="B637" s="8" t="str">
        <f>IFERROR(__xludf.DUMMYFUNCTION("""COMPUTED_VALUE"""),"He started it!")</f>
        <v>He started it!</v>
      </c>
      <c r="C637" s="13" t="str">
        <f>IFERROR(__xludf.DUMMYFUNCTION("""COMPUTED_VALUE"""),"""hbfy"":{""label"":""Pillow Fights"",""extra"":""He started it!"",""sets"":""Junior 9+ (2nd)""},")</f>
        <v>"hbfy":{"label":"Pillow Fights","extra":"He started it!","sets":"Junior 9+ (2nd)"},</v>
      </c>
    </row>
    <row r="638">
      <c r="A638" s="8" t="str">
        <f>IFERROR(__xludf.DUMMYFUNCTION("""COMPUTED_VALUE"""),"Pillows")</f>
        <v>Pillows</v>
      </c>
      <c r="B638" s="8" t="str">
        <f>IFERROR(__xludf.DUMMYFUNCTION("""COMPUTED_VALUE"""),"Pillow fight!")</f>
        <v>Pillow fight!</v>
      </c>
      <c r="C638" s="13" t="str">
        <f>IFERROR(__xludf.DUMMYFUNCTION("""COMPUTED_VALUE"""),"""hwyg"":{""label"":""Pillows"",""extra"":""Pillow fight!"",""sets"":""Junior 9+ (1st) &amp; (2nd)""},")</f>
        <v>"hwyg":{"label":"Pillows","extra":"Pillow fight!","sets":"Junior 9+ (1st) &amp; (2nd)"},</v>
      </c>
    </row>
    <row r="639">
      <c r="A639" s="8" t="str">
        <f>IFERROR(__xludf.DUMMYFUNCTION("""COMPUTED_VALUE"""),"Pilots")</f>
        <v>Pilots</v>
      </c>
      <c r="B639" s="8" t="str">
        <f>IFERROR(__xludf.DUMMYFUNCTION("""COMPUTED_VALUE"""),"“Welcome aboard. Today we'll be flying at 30,000 feet.”")</f>
        <v>“Welcome aboard. Today we'll be flying at 30,000 feet.”</v>
      </c>
      <c r="C639" s="13" t="str">
        <f>IFERROR(__xludf.DUMMYFUNCTION("""COMPUTED_VALUE"""),"""jdwk"":{""label"":""Pilots"",""extra"":""“Welcome aboard. Today we'll be flying at 30,000 feet.”"",""sets"":""Junior 9+ (2nd)""},")</f>
        <v>"jdwk":{"label":"Pilots","extra":"“Welcome aboard. Today we'll be flying at 30,000 feet.”","sets":"Junior 9+ (2nd)"},</v>
      </c>
    </row>
    <row r="640">
      <c r="A640" s="8" t="str">
        <f>IFERROR(__xludf.DUMMYFUNCTION("""COMPUTED_VALUE"""),"Pimples")</f>
        <v>Pimples</v>
      </c>
      <c r="B640" s="8" t="str">
        <f>IFERROR(__xludf.DUMMYFUNCTION("""COMPUTED_VALUE"""),"Just in time for school pictures.")</f>
        <v>Just in time for school pictures.</v>
      </c>
      <c r="C640" s="13" t="str">
        <f>IFERROR(__xludf.DUMMYFUNCTION("""COMPUTED_VALUE"""),"""ovft"":{""label"":""Pimples"",""extra"":""Just in time for school pictures."",""sets"":""Junior 9+ (2nd)""},")</f>
        <v>"ovft":{"label":"Pimples","extra":"Just in time for school pictures.","sets":"Junior 9+ (2nd)"},</v>
      </c>
    </row>
    <row r="641">
      <c r="A641" s="8" t="str">
        <f>IFERROR(__xludf.DUMMYFUNCTION("""COMPUTED_VALUE"""),"Pine Cones")</f>
        <v>Pine Cones</v>
      </c>
      <c r="B641" s="8" t="str">
        <f>IFERROR(__xludf.DUMMYFUNCTION("""COMPUTED_VALUE"""),"Pine cones from Eastern White Pines can grow to eight inches in length.")</f>
        <v>Pine cones from Eastern White Pines can grow to eight inches in length.</v>
      </c>
      <c r="C641" s="13" t="str">
        <f>IFERROR(__xludf.DUMMYFUNCTION("""COMPUTED_VALUE"""),"""dyat"":{""label"":""Pine Cones"",""extra"":""Pine cones from Eastern White Pines can grow to eight inches in length."",""sets"":""Junior 9+ (1st) &amp; (2nd)""},")</f>
        <v>"dyat":{"label":"Pine Cones","extra":"Pine cones from Eastern White Pines can grow to eight inches in length.","sets":"Junior 9+ (1st) &amp; (2nd)"},</v>
      </c>
    </row>
    <row r="642">
      <c r="A642" s="8" t="str">
        <f>IFERROR(__xludf.DUMMYFUNCTION("""COMPUTED_VALUE"""),"Pine Trees")</f>
        <v>Pine Trees</v>
      </c>
      <c r="B642" s="8" t="str">
        <f>IFERROR(__xludf.DUMMYFUNCTION("""COMPUTED_VALUE"""),"Trees that stay green all year and have pinecones and needles. They smell great!")</f>
        <v>Trees that stay green all year and have pinecones and needles. They smell great!</v>
      </c>
      <c r="C642" s="13" t="str">
        <f>IFERROR(__xludf.DUMMYFUNCTION("""COMPUTED_VALUE"""),"""clmn"":{""label"":""Pine Trees"",""extra"":""Trees that stay green all year and have pinecones and needles. They smell great!"",""sets"":""Junior""},")</f>
        <v>"clmn":{"label":"Pine Trees","extra":"Trees that stay green all year and have pinecones and needles. They smell great!","sets":"Junior"},</v>
      </c>
    </row>
    <row r="643">
      <c r="A643" s="8" t="str">
        <f>IFERROR(__xludf.DUMMYFUNCTION("""COMPUTED_VALUE"""),"Pineapple")</f>
        <v>Pineapple</v>
      </c>
      <c r="B643" s="8" t="str">
        <f>IFERROR(__xludf.DUMMYFUNCTION("""COMPUTED_VALUE"""),"Tropical fruit, or the less lush hand grenade.")</f>
        <v>Tropical fruit, or the less lush hand grenade.</v>
      </c>
      <c r="C643" s="13" t="str">
        <f>IFERROR(__xludf.DUMMYFUNCTION("""COMPUTED_VALUE"""),"""eqlt"":{""label"":""Pineapple"",""extra"":""Tropical fruit, or the less lush hand grenade."",""sets"":""Expansion Set 3, Party Expansion 1""},")</f>
        <v>"eqlt":{"label":"Pineapple","extra":"Tropical fruit, or the less lush hand grenade.","sets":"Expansion Set 3, Party Expansion 1"},</v>
      </c>
    </row>
    <row r="644">
      <c r="A644" s="8" t="str">
        <f>IFERROR(__xludf.DUMMYFUNCTION("""COMPUTED_VALUE"""),"Pineapples")</f>
        <v>Pineapples</v>
      </c>
      <c r="B644" s="8" t="str">
        <f>IFERROR(__xludf.DUMMYFUNCTION("""COMPUTED_VALUE"""),"Shaped like a football, tastes like a fruit.")</f>
        <v>Shaped like a football, tastes like a fruit.</v>
      </c>
      <c r="C644" s="13" t="str">
        <f>IFERROR(__xludf.DUMMYFUNCTION("""COMPUTED_VALUE"""),"""kdfl"":{""label"":""Pineapples"",""extra"":""Shaped like a football, tastes like a fruit."",""sets"":""Junior 9+ (2nd)""},")</f>
        <v>"kdfl":{"label":"Pineapples","extra":"Shaped like a football, tastes like a fruit.","sets":"Junior 9+ (2nd)"},</v>
      </c>
    </row>
    <row r="645">
      <c r="A645" s="8" t="str">
        <f>IFERROR(__xludf.DUMMYFUNCTION("""COMPUTED_VALUE"""),"Pink Flamingos")</f>
        <v>Pink Flamingos</v>
      </c>
      <c r="B645" s="8" t="str">
        <f>IFERROR(__xludf.DUMMYFUNCTION("""COMPUTED_VALUE"""),"Gracing America’s lawns for more than 40 years sold only in pairs.")</f>
        <v>Gracing America’s lawns for more than 40 years sold only in pairs.</v>
      </c>
      <c r="C645" s="13" t="str">
        <f>IFERROR(__xludf.DUMMYFUNCTION("""COMPUTED_VALUE"""),"""rtrn"":{""label"":""Pink Flamingos"",""extra"":""Gracing America’s lawns for more than 40 years sold only in pairs."",""sets"":""Expansion Set 3, Party Expansion 1""},")</f>
        <v>"rtrn":{"label":"Pink Flamingos","extra":"Gracing America’s lawns for more than 40 years sold only in pairs.","sets":"Expansion Set 3, Party Expansion 1"},</v>
      </c>
    </row>
    <row r="646">
      <c r="A646" s="8" t="str">
        <f>IFERROR(__xludf.DUMMYFUNCTION("""COMPUTED_VALUE"""),"Pinocchio")</f>
        <v>Pinocchio</v>
      </c>
      <c r="B646" s="8" t="str">
        <f>IFERROR(__xludf.DUMMYFUNCTION("""COMPUTED_VALUE"""),"Pinocchio was a wooden puppet who came to life. His nose grew each time he told a lie.")</f>
        <v>Pinocchio was a wooden puppet who came to life. His nose grew each time he told a lie.</v>
      </c>
      <c r="C646" s="13" t="str">
        <f>IFERROR(__xludf.DUMMYFUNCTION("""COMPUTED_VALUE"""),"""rxth"":{""label"":""Pinocchio"",""extra"":""Pinocchio was a wooden puppet who came to life. His nose grew each time he told a lie."",""sets"":""Junior 9+ (2nd)""},")</f>
        <v>"rxth":{"label":"Pinocchio","extra":"Pinocchio was a wooden puppet who came to life. His nose grew each time he told a lie.","sets":"Junior 9+ (2nd)"},</v>
      </c>
    </row>
    <row r="647">
      <c r="A647" s="8" t="str">
        <f>IFERROR(__xludf.DUMMYFUNCTION("""COMPUTED_VALUE"""),"Pins &amp; Needles")</f>
        <v>Pins &amp; Needles</v>
      </c>
      <c r="B647" s="8" t="str">
        <f>IFERROR(__xludf.DUMMYFUNCTION("""COMPUTED_VALUE"""),"It’s all sewed up!")</f>
        <v>It’s all sewed up!</v>
      </c>
      <c r="C647" s="13" t="str">
        <f>IFERROR(__xludf.DUMMYFUNCTION("""COMPUTED_VALUE"""),"""nvfn"":{""label"":""Pins &amp; Needles"",""extra"":""It’s all sewed up!"",""sets"":""Expansion Set 4, Party Expansion 1""},")</f>
        <v>"nvfn":{"label":"Pins &amp; Needles","extra":"It’s all sewed up!","sets":"Expansion Set 4, Party Expansion 1"},</v>
      </c>
    </row>
    <row r="648">
      <c r="A648" s="8" t="str">
        <f>IFERROR(__xludf.DUMMYFUNCTION("""COMPUTED_VALUE"""),"Pirates")</f>
        <v>Pirates</v>
      </c>
      <c r="B648" s="8" t="str">
        <f>IFERROR(__xludf.DUMMYFUNCTION("""COMPUTED_VALUE"""),"“Yo, ho, yo, ho, a pirate's life for me…” —Pirates of the Caribbean")</f>
        <v>“Yo, ho, yo, ho, a pirate's life for me…” —Pirates of the Caribbean</v>
      </c>
      <c r="C648" s="13" t="str">
        <f>IFERROR(__xludf.DUMMYFUNCTION("""COMPUTED_VALUE"""),"""rxu{"":{""label"":""Pirates"",""extra"":""“Yo, ho, yo, ho, a pirate's life for me…” —Pirates of the Caribbean"",""sets"":""Expansion Set 2, Party Set""},")</f>
        <v>"rxu{":{"label":"Pirates","extra":"“Yo, ho, yo, ho, a pirate's life for me…” —Pirates of the Caribbean","sets":"Expansion Set 2, Party Set"},</v>
      </c>
    </row>
    <row r="649">
      <c r="A649" s="8" t="str">
        <f>IFERROR(__xludf.DUMMYFUNCTION("""COMPUTED_VALUE"""),"Pizza")</f>
        <v>Pizza</v>
      </c>
      <c r="B649" s="8" t="str">
        <f>IFERROR(__xludf.DUMMYFUNCTION("""COMPUTED_VALUE"""),"Cheese, sausage, pepperoni, onions, and mushrooms. Pick your toppings!")</f>
        <v>Cheese, sausage, pepperoni, onions, and mushrooms. Pick your toppings!</v>
      </c>
      <c r="C649" s="13" t="str">
        <f>IFERROR(__xludf.DUMMYFUNCTION("""COMPUTED_VALUE"""),"""jswu"":{""label"":""Pizza"",""extra"":""Cheese, sausage, pepperoni, onions, and mushrooms. Pick your toppings!"",""sets"":""Junior""},")</f>
        <v>"jswu":{"label":"Pizza","extra":"Cheese, sausage, pepperoni, onions, and mushrooms. Pick your toppings!","sets":"Junior"},</v>
      </c>
    </row>
    <row r="650">
      <c r="A650" s="8" t="str">
        <f>IFERROR(__xludf.DUMMYFUNCTION("""COMPUTED_VALUE"""),"Planting Flowers")</f>
        <v>Planting Flowers</v>
      </c>
      <c r="B650" s="8" t="str">
        <f>IFERROR(__xludf.DUMMYFUNCTION("""COMPUTED_VALUE"""),"“April showers bring May flowers.”")</f>
        <v>“April showers bring May flowers.”</v>
      </c>
      <c r="C650" s="13" t="str">
        <f>IFERROR(__xludf.DUMMYFUNCTION("""COMPUTED_VALUE"""),"""rnyi"":{""label"":""Planting Flowers"",""extra"":""“April showers bring May flowers.”"",""sets"":""Junior 9+ (1st) &amp; (2nd)""},")</f>
        <v>"rnyi":{"label":"Planting Flowers","extra":"“April showers bring May flowers.”","sets":"Junior 9+ (1st) &amp; (2nd)"},</v>
      </c>
    </row>
    <row r="651">
      <c r="A651" s="8" t="str">
        <f>IFERROR(__xludf.DUMMYFUNCTION("""COMPUTED_VALUE"""),"Play-Doh")</f>
        <v>Play-Doh</v>
      </c>
      <c r="B651" s="8" t="str">
        <f>IFERROR(__xludf.DUMMYFUNCTION("""COMPUTED_VALUE"""),"A colorful clay-like dough used for making shapes.")</f>
        <v>A colorful clay-like dough used for making shapes.</v>
      </c>
      <c r="C651" s="13" t="str">
        <f>IFERROR(__xludf.DUMMYFUNCTION("""COMPUTED_VALUE"""),"""zjft"":{""label"":""Play-Doh"",""extra"":""A colorful clay-like dough used for making shapes."",""sets"":""Junior""},")</f>
        <v>"zjft":{"label":"Play-Doh","extra":"A colorful clay-like dough used for making shapes.","sets":"Junior"},</v>
      </c>
    </row>
    <row r="652">
      <c r="A652" s="8" t="str">
        <f>IFERROR(__xludf.DUMMYFUNCTION("""COMPUTED_VALUE"""),"Playgrounds")</f>
        <v>Playgrounds</v>
      </c>
      <c r="B652" s="8" t="str">
        <f>IFERROR(__xludf.DUMMYFUNCTION("""COMPUTED_VALUE"""),"Some playgrounds have slides, swings, and sandboxes.")</f>
        <v>Some playgrounds have slides, swings, and sandboxes.</v>
      </c>
      <c r="C652" s="13" t="str">
        <f>IFERROR(__xludf.DUMMYFUNCTION("""COMPUTED_VALUE"""),"""fbct"":{""label"":""Playgrounds"",""extra"":""Some playgrounds have slides, swings, and sandboxes."",""sets"":""Junior""},")</f>
        <v>"fbct":{"label":"Playgrounds","extra":"Some playgrounds have slides, swings, and sandboxes.","sets":"Junior"},</v>
      </c>
    </row>
    <row r="653">
      <c r="A653" s="8" t="str">
        <f>IFERROR(__xludf.DUMMYFUNCTION("""COMPUTED_VALUE"""),"Playing Checkers")</f>
        <v>Playing Checkers</v>
      </c>
      <c r="B653" s="8" t="str">
        <f>IFERROR(__xludf.DUMMYFUNCTION("""COMPUTED_VALUE"""),"A game for two using a checkerboard and 24 round game pieces. Jump, jump, jump..KING ME!")</f>
        <v>A game for two using a checkerboard and 24 round game pieces. Jump, jump, jump..KING ME!</v>
      </c>
      <c r="C653" s="13" t="str">
        <f>IFERROR(__xludf.DUMMYFUNCTION("""COMPUTED_VALUE"""),"""sgyx"":{""label"":""Playing Checkers"",""extra"":""A game for two using a checkerboard and 24 round game pieces. Jump, jump, jump..KING ME!"",""sets"":""Junior""},")</f>
        <v>"sgyx":{"label":"Playing Checkers","extra":"A game for two using a checkerboard and 24 round game pieces. Jump, jump, jump..KING ME!","sets":"Junior"},</v>
      </c>
    </row>
    <row r="654">
      <c r="A654" s="8" t="str">
        <f>IFERROR(__xludf.DUMMYFUNCTION("""COMPUTED_VALUE"""),"Playing Golf")</f>
        <v>Playing Golf</v>
      </c>
      <c r="B654" s="8" t="str">
        <f>IFERROR(__xludf.DUMMYFUNCTION("""COMPUTED_VALUE"""),"For stress reduction. Now, get that head down and straighten your arm!")</f>
        <v>For stress reduction. Now, get that head down and straighten your arm!</v>
      </c>
      <c r="C654" s="13" t="str">
        <f>IFERROR(__xludf.DUMMYFUNCTION("""COMPUTED_VALUE"""),"""ftxj"":{""label"":""Playing Golf"",""extra"":""For stress reduction. Now, get that head down and straighten your arm!"",""sets"":""Expansion Set 3, Party Expansion 1""},")</f>
        <v>"ftxj":{"label":"Playing Golf","extra":"For stress reduction. Now, get that head down and straighten your arm!","sets":"Expansion Set 3, Party Expansion 1"},</v>
      </c>
    </row>
    <row r="655">
      <c r="A655" s="8" t="str">
        <f>IFERROR(__xludf.DUMMYFUNCTION("""COMPUTED_VALUE"""),"Pluto")</f>
        <v>Pluto</v>
      </c>
      <c r="B655" s="8" t="str">
        <f>IFERROR(__xludf.DUMMYFUNCTION("""COMPUTED_VALUE"""),"The ninth planet in the Solar System, or Mickey Mouse’s dog.")</f>
        <v>The ninth planet in the Solar System, or Mickey Mouse’s dog.</v>
      </c>
      <c r="C655" s="13" t="str">
        <f>IFERROR(__xludf.DUMMYFUNCTION("""COMPUTED_VALUE"""),"""mksq"":{""label"":""Pluto"",""extra"":""The ninth planet in the Solar System, or Mickey Mouse’s dog."",""sets"":""Junior 9+ (2nd)""},")</f>
        <v>"mksq":{"label":"Pluto","extra":"The ninth planet in the Solar System, or Mickey Mouse’s dog.","sets":"Junior 9+ (2nd)"},</v>
      </c>
    </row>
    <row r="656">
      <c r="A656" s="8" t="str">
        <f>IFERROR(__xludf.DUMMYFUNCTION("""COMPUTED_VALUE"""),"Poison Ivy")</f>
        <v>Poison Ivy</v>
      </c>
      <c r="B656" s="8" t="str">
        <f>IFERROR(__xludf.DUMMYFUNCTION("""COMPUTED_VALUE"""),"Itching for a walk in the woods?")</f>
        <v>Itching for a walk in the woods?</v>
      </c>
      <c r="C656" s="13" t="str">
        <f>IFERROR(__xludf.DUMMYFUNCTION("""COMPUTED_VALUE"""),"""urss"":{""label"":""Poison Ivy"",""extra"":""Itching for a walk in the woods?"",""sets"":""Expansion Set 1, Party Set""},")</f>
        <v>"urss":{"label":"Poison Ivy","extra":"Itching for a walk in the woods?","sets":"Expansion Set 1, Party Set"},</v>
      </c>
    </row>
    <row r="657">
      <c r="A657" s="8" t="str">
        <f>IFERROR(__xludf.DUMMYFUNCTION("""COMPUTED_VALUE"""),"Pole Vaulting")</f>
        <v>Pole Vaulting</v>
      </c>
      <c r="B657" s="8" t="str">
        <f>IFERROR(__xludf.DUMMYFUNCTION("""COMPUTED_VALUE"""),"The sport where you can reach new heights.")</f>
        <v>The sport where you can reach new heights.</v>
      </c>
      <c r="C657" s="13" t="str">
        <f>IFERROR(__xludf.DUMMYFUNCTION("""COMPUTED_VALUE"""),"""ghkm"":{""label"":""Pole Vaulting"",""extra"":""The sport where you can reach new heights."",""sets"":""Expansion Set 3, Party Expansion 1""},")</f>
        <v>"ghkm":{"label":"Pole Vaulting","extra":"The sport where you can reach new heights.","sets":"Expansion Set 3, Party Expansion 1"},</v>
      </c>
    </row>
    <row r="658">
      <c r="A658" s="8" t="str">
        <f>IFERROR(__xludf.DUMMYFUNCTION("""COMPUTED_VALUE"""),"Pomp &amp; Circumstance")</f>
        <v>Pomp &amp; Circumstance</v>
      </c>
      <c r="B658" s="8" t="str">
        <f>IFERROR(__xludf.DUMMYFUNCTION("""COMPUTED_VALUE"""),"La-de-da.")</f>
        <v>La-de-da.</v>
      </c>
      <c r="C658" s="13" t="str">
        <f>IFERROR(__xludf.DUMMYFUNCTION("""COMPUTED_VALUE"""),"""trxy"":{""label"":""Pomp &amp; Circumstance"",""extra"":""La-de-da."",""sets"":""Expansion Set 4, Party Expansion 1""},")</f>
        <v>"trxy":{"label":"Pomp &amp; Circumstance","extra":"La-de-da.","sets":"Expansion Set 4, Party Expansion 1"},</v>
      </c>
    </row>
    <row r="659">
      <c r="A659" s="8" t="str">
        <f>IFERROR(__xludf.DUMMYFUNCTION("""COMPUTED_VALUE"""),"Popcorn")</f>
        <v>Popcorn</v>
      </c>
      <c r="B659" s="8" t="str">
        <f>IFERROR(__xludf.DUMMYFUNCTION("""COMPUTED_VALUE"""),"Air poppers are for air heads… I say bring on the butter!")</f>
        <v>Air poppers are for air heads… I say bring on the butter!</v>
      </c>
      <c r="C659" s="13" t="str">
        <f>IFERROR(__xludf.DUMMYFUNCTION("""COMPUTED_VALUE"""),"""wded"":{""label"":""Popcorn"",""extra"":""Air poppers are for air heads… I say bring on the butter!"",""sets"":""Expansion Set 2, Party Set""},")</f>
        <v>"wded":{"label":"Popcorn","extra":"Air poppers are for air heads… I say bring on the butter!","sets":"Expansion Set 2, Party Set"},</v>
      </c>
    </row>
    <row r="660">
      <c r="A660" s="8" t="str">
        <f>IFERROR(__xludf.DUMMYFUNCTION("""COMPUTED_VALUE"""),"Porcupines")</f>
        <v>Porcupines</v>
      </c>
      <c r="B660" s="8" t="str">
        <f>IFERROR(__xludf.DUMMYFUNCTION("""COMPUTED_VALUE"""),"Quill-bearing rodents that can leave you in a prickly situation.")</f>
        <v>Quill-bearing rodents that can leave you in a prickly situation.</v>
      </c>
      <c r="C660" s="13" t="str">
        <f>IFERROR(__xludf.DUMMYFUNCTION("""COMPUTED_VALUE"""),"""heqd"":{""label"":""Porcupines"",""extra"":""Quill-bearing rodents that can leave you in a prickly situation."",""sets"":""Expansion Set 3, Party Expansion 1""},")</f>
        <v>"heqd":{"label":"Porcupines","extra":"Quill-bearing rodents that can leave you in a prickly situation.","sets":"Expansion Set 3, Party Expansion 1"},</v>
      </c>
    </row>
    <row r="661">
      <c r="A661" s="8" t="str">
        <f>IFERROR(__xludf.DUMMYFUNCTION("""COMPUTED_VALUE"""),"Pork &amp; Beans")</f>
        <v>Pork &amp; Beans</v>
      </c>
      <c r="B661" s="8" t="str">
        <f>IFERROR(__xludf.DUMMYFUNCTION("""COMPUTED_VALUE"""),"Rustle us up some grub, Cookie.")</f>
        <v>Rustle us up some grub, Cookie.</v>
      </c>
      <c r="C661" s="13" t="str">
        <f>IFERROR(__xludf.DUMMYFUNCTION("""COMPUTED_VALUE"""),"""rnta"":{""label"":""Pork &amp; Beans"",""extra"":""Rustle us up some grub, Cookie."",""sets"":""Expansion Set 4, Party Expansion 1""},")</f>
        <v>"rnta":{"label":"Pork &amp; Beans","extra":"Rustle us up some grub, Cookie.","sets":"Expansion Set 4, Party Expansion 1"},</v>
      </c>
    </row>
    <row r="662">
      <c r="A662" s="8" t="str">
        <f>IFERROR(__xludf.DUMMYFUNCTION("""COMPUTED_VALUE"""),"Potato Chips")</f>
        <v>Potato Chips</v>
      </c>
      <c r="B662" s="8" t="str">
        <f>IFERROR(__xludf.DUMMYFUNCTION("""COMPUTED_VALUE"""),"Plain, sour cream and onion, ranch, or barbecue chips.")</f>
        <v>Plain, sour cream and onion, ranch, or barbecue chips.</v>
      </c>
      <c r="C662" s="13" t="str">
        <f>IFERROR(__xludf.DUMMYFUNCTION("""COMPUTED_VALUE"""),"""jnsj"":{""label"":""Potato Chips"",""extra"":""Plain, sour cream and onion, ranch, or barbecue chips."",""sets"":""Junior 9+ (1st) &amp; (2nd)""},")</f>
        <v>"jnsj":{"label":"Potato Chips","extra":"Plain, sour cream and onion, ranch, or barbecue chips.","sets":"Junior 9+ (1st) &amp; (2nd)"},</v>
      </c>
    </row>
    <row r="663">
      <c r="A663" s="8" t="str">
        <f>IFERROR(__xludf.DUMMYFUNCTION("""COMPUTED_VALUE"""),"Pounding Nails")</f>
        <v>Pounding Nails</v>
      </c>
      <c r="B663" s="8" t="str">
        <f>IFERROR(__xludf.DUMMYFUNCTION("""COMPUTED_VALUE"""),"Use a hammer and watch your fingers.")</f>
        <v>Use a hammer and watch your fingers.</v>
      </c>
      <c r="C663" s="13" t="str">
        <f>IFERROR(__xludf.DUMMYFUNCTION("""COMPUTED_VALUE"""),"""jcjb"":{""label"":""Pounding Nails"",""extra"":""Use a hammer and watch your fingers."",""sets"":""Junior""},")</f>
        <v>"jcjb":{"label":"Pounding Nails","extra":"Use a hammer and watch your fingers.","sets":"Junior"},</v>
      </c>
    </row>
    <row r="664">
      <c r="A664" s="8" t="str">
        <f>IFERROR(__xludf.DUMMYFUNCTION("""COMPUTED_VALUE"""),"Power Drills")</f>
        <v>Power Drills</v>
      </c>
      <c r="B664" s="8" t="str">
        <f>IFERROR(__xludf.DUMMYFUNCTION("""COMPUTED_VALUE"""),"Carpenters use them, and so do dentists.")</f>
        <v>Carpenters use them, and so do dentists.</v>
      </c>
      <c r="C664" s="13" t="str">
        <f>IFERROR(__xludf.DUMMYFUNCTION("""COMPUTED_VALUE"""),"""xefs"":{""label"":""Power Drills"",""extra"":""Carpenters use them, and so do dentists."",""sets"":""Junior 9+ (2nd)""},")</f>
        <v>"xefs":{"label":"Power Drills","extra":"Carpenters use them, and so do dentists.","sets":"Junior 9+ (2nd)"},</v>
      </c>
    </row>
    <row r="665">
      <c r="A665" s="8" t="str">
        <f>IFERROR(__xludf.DUMMYFUNCTION("""COMPUTED_VALUE"""),"Power Rangers")</f>
        <v>Power Rangers</v>
      </c>
      <c r="B665" s="8" t="str">
        <f>IFERROR(__xludf.DUMMYFUNCTION("""COMPUTED_VALUE"""),"A television series about a group of teens fighting evil space aliens.")</f>
        <v>A television series about a group of teens fighting evil space aliens.</v>
      </c>
      <c r="C665" s="13" t="str">
        <f>IFERROR(__xludf.DUMMYFUNCTION("""COMPUTED_VALUE"""),"""vkne"":{""label"":""Power Rangers"",""extra"":""A television series about a group of teens fighting evil space aliens."",""sets"":""Junior 9+ (2nd)""},")</f>
        <v>"vkne":{"label":"Power Rangers","extra":"A television series about a group of teens fighting evil space aliens.","sets":"Junior 9+ (2nd)"},</v>
      </c>
    </row>
    <row r="666">
      <c r="A666" s="8" t="str">
        <f>IFERROR(__xludf.DUMMYFUNCTION("""COMPUTED_VALUE"""),"President Bush")</f>
        <v>President Bush</v>
      </c>
      <c r="B666" s="8" t="str">
        <f>IFERROR(__xludf.DUMMYFUNCTION("""COMPUTED_VALUE"""),"1946-, 43rd president of the United States.")</f>
        <v>1946-, 43rd president of the United States.</v>
      </c>
      <c r="C666" s="13" t="str">
        <f>IFERROR(__xludf.DUMMYFUNCTION("""COMPUTED_VALUE"""),"""qxpl"":{""label"":""President Bush"",""extra"":""1946-, 43rd president of the United States."",""sets"":""Expansion Set 3, Party Expansion 1""},")</f>
        <v>"qxpl":{"label":"President Bush","extra":"1946-, 43rd president of the United States.","sets":"Expansion Set 3, Party Expansion 1"},</v>
      </c>
    </row>
    <row r="667">
      <c r="A667" s="8" t="str">
        <f>IFERROR(__xludf.DUMMYFUNCTION("""COMPUTED_VALUE"""),"Pretzels")</f>
        <v>Pretzels</v>
      </c>
      <c r="B667" s="8" t="str">
        <f>IFERROR(__xludf.DUMMYFUNCTION("""COMPUTED_VALUE"""),"Pretzels were first made in Germany. Available straight, twisted, or knotted.")</f>
        <v>Pretzels were first made in Germany. Available straight, twisted, or knotted.</v>
      </c>
      <c r="C667" s="13" t="str">
        <f>IFERROR(__xludf.DUMMYFUNCTION("""COMPUTED_VALUE"""),"""rtcb"":{""label"":""Pretzels"",""extra"":""Pretzels were first made in Germany. Available straight, twisted, or knotted."",""sets"":""Junior 9+ (2nd)""},")</f>
        <v>"rtcb":{"label":"Pretzels","extra":"Pretzels were first made in Germany. Available straight, twisted, or knotted.","sets":"Junior 9+ (2nd)"},</v>
      </c>
    </row>
    <row r="668">
      <c r="A668" s="8" t="str">
        <f>IFERROR(__xludf.DUMMYFUNCTION("""COMPUTED_VALUE"""),"Pride &amp; Prejudice")</f>
        <v>Pride &amp; Prejudice</v>
      </c>
      <c r="B668" s="8" t="str">
        <f>IFERROR(__xludf.DUMMYFUNCTION("""COMPUTED_VALUE"""),"Jane Austin's 1813 classic novel expounding on the consequences of pride.")</f>
        <v>Jane Austin's 1813 classic novel expounding on the consequences of pride.</v>
      </c>
      <c r="C668" s="13" t="str">
        <f>IFERROR(__xludf.DUMMYFUNCTION("""COMPUTED_VALUE"""),"""pjsj"":{""label"":""Pride &amp; Prejudice"",""extra"":""Jane Austin's 1813 classic novel expounding on the consequences of pride."",""sets"":""Expansion Set 4, Party Expansion 1""},")</f>
        <v>"pjsj":{"label":"Pride &amp; Prejudice","extra":"Jane Austin's 1813 classic novel expounding on the consequences of pride.","sets":"Expansion Set 4, Party Expansion 1"},</v>
      </c>
    </row>
    <row r="669">
      <c r="A669" s="8" t="str">
        <f>IFERROR(__xludf.DUMMYFUNCTION("""COMPUTED_VALUE"""),"Prince Charming")</f>
        <v>Prince Charming</v>
      </c>
      <c r="B669" s="8" t="str">
        <f>IFERROR(__xludf.DUMMYFUNCTION("""COMPUTED_VALUE"""),"The perfect man… mythical, of course.")</f>
        <v>The perfect man… mythical, of course.</v>
      </c>
      <c r="C669" s="13" t="str">
        <f>IFERROR(__xludf.DUMMYFUNCTION("""COMPUTED_VALUE"""),"""fedf"":{""label"":""Prince Charming"",""extra"":""The perfect man… mythical, of course."",""sets"":""Expansion Set 2, Party Set""},")</f>
        <v>"fedf":{"label":"Prince Charming","extra":"The perfect man… mythical, of course.","sets":"Expansion Set 2, Party Set"},</v>
      </c>
    </row>
    <row r="670">
      <c r="A670" s="8" t="str">
        <f>IFERROR(__xludf.DUMMYFUNCTION("""COMPUTED_VALUE"""),"Pulling Weeds")</f>
        <v>Pulling Weeds</v>
      </c>
      <c r="B670" s="8" t="str">
        <f>IFERROR(__xludf.DUMMYFUNCTION("""COMPUTED_VALUE"""),"It’s either this or chemical warfare.")</f>
        <v>It’s either this or chemical warfare.</v>
      </c>
      <c r="C670" s="13" t="str">
        <f>IFERROR(__xludf.DUMMYFUNCTION("""COMPUTED_VALUE"""),"""uyim"":{""label"":""Pulling Weeds"",""extra"":""It’s either this or chemical warfare."",""sets"":""Expansion Set 1, Party Set""},")</f>
        <v>"uyim":{"label":"Pulling Weeds","extra":"It’s either this or chemical warfare.","sets":"Expansion Set 1, Party Set"},</v>
      </c>
    </row>
    <row r="671">
      <c r="A671" s="8" t="str">
        <f>IFERROR(__xludf.DUMMYFUNCTION("""COMPUTED_VALUE"""),"Pumpkins")</f>
        <v>Pumpkins</v>
      </c>
      <c r="B671" s="8" t="str">
        <f>IFERROR(__xludf.DUMMYFUNCTION("""COMPUTED_VALUE"""),"Bake it or carve it. Pumpkins are actually a fruit!")</f>
        <v>Bake it or carve it. Pumpkins are actually a fruit!</v>
      </c>
      <c r="C671" s="13" t="str">
        <f>IFERROR(__xludf.DUMMYFUNCTION("""COMPUTED_VALUE"""),"""{gvn"":{""label"":""Pumpkins"",""extra"":""Bake it or carve it. Pumpkins are actually a fruit!"",""sets"":""Junior 9+ (1st) &amp; (2nd)""},")</f>
        <v>"{gvn":{"label":"Pumpkins","extra":"Bake it or carve it. Pumpkins are actually a fruit!","sets":"Junior 9+ (1st) &amp; (2nd)"},</v>
      </c>
    </row>
    <row r="672">
      <c r="A672" s="8" t="str">
        <f>IFERROR(__xludf.DUMMYFUNCTION("""COMPUTED_VALUE"""),"Puppets")</f>
        <v>Puppets</v>
      </c>
      <c r="B672" s="8" t="str">
        <f>IFERROR(__xludf.DUMMYFUNCTION("""COMPUTED_VALUE"""),"Finger puppets, hand puppets and string puppets. Kermit the Frog is a rod puppet.")</f>
        <v>Finger puppets, hand puppets and string puppets. Kermit the Frog is a rod puppet.</v>
      </c>
      <c r="C672" s="13" t="str">
        <f>IFERROR(__xludf.DUMMYFUNCTION("""COMPUTED_VALUE"""),"""pfni"":{""label"":""Puppets"",""extra"":""Finger puppets, hand puppets and string puppets. Kermit the Frog is a rod puppet."",""sets"":""Junior 9+ (1st) &amp; (2nd)""},")</f>
        <v>"pfni":{"label":"Puppets","extra":"Finger puppets, hand puppets and string puppets. Kermit the Frog is a rod puppet.","sets":"Junior 9+ (1st) &amp; (2nd)"},</v>
      </c>
    </row>
    <row r="673">
      <c r="A673" s="8" t="str">
        <f>IFERROR(__xludf.DUMMYFUNCTION("""COMPUTED_VALUE"""),"Puppies")</f>
        <v>Puppies</v>
      </c>
      <c r="B673" s="8" t="str">
        <f>IFERROR(__xludf.DUMMYFUNCTION("""COMPUTED_VALUE"""),"Young dogs. They’ll chew on your shoes and bark all night.")</f>
        <v>Young dogs. They’ll chew on your shoes and bark all night.</v>
      </c>
      <c r="C673" s="13" t="str">
        <f>IFERROR(__xludf.DUMMYFUNCTION("""COMPUTED_VALUE"""),"""oxlk"":{""label"":""Puppies"",""extra"":""Young dogs. They’ll chew on your shoes and bark all night."",""sets"":""Junior""},")</f>
        <v>"oxlk":{"label":"Puppies","extra":"Young dogs. They’ll chew on your shoes and bark all night.","sets":"Junior"},</v>
      </c>
    </row>
    <row r="674">
      <c r="A674" s="8" t="str">
        <f>IFERROR(__xludf.DUMMYFUNCTION("""COMPUTED_VALUE"""),"Queen Elizabeth II")</f>
        <v>Queen Elizabeth II</v>
      </c>
      <c r="B674" s="8" t="str">
        <f>IFERROR(__xludf.DUMMYFUNCTION("""COMPUTED_VALUE"""),"1926-, Queen of the United Kingdom and Northern Ireland since 1952. Shame about the kids, though…")</f>
        <v>1926-, Queen of the United Kingdom and Northern Ireland since 1952. Shame about the kids, though…</v>
      </c>
      <c r="C674" s="13" t="str">
        <f>IFERROR(__xludf.DUMMYFUNCTION("""COMPUTED_VALUE"""),"""stly"":{""label"":""Queen Elizabeth II"",""extra"":""1926-, Queen of the United Kingdom and Northern Ireland since 1952. Shame about the kids, though…"",""sets"":""Expansion Set 3, Party Expansion 1""},")</f>
        <v>"stly":{"label":"Queen Elizabeth II","extra":"1926-, Queen of the United Kingdom and Northern Ireland since 1952. Shame about the kids, though…","sets":"Expansion Set 3, Party Expansion 1"},</v>
      </c>
    </row>
    <row r="675">
      <c r="A675" s="8" t="str">
        <f>IFERROR(__xludf.DUMMYFUNCTION("""COMPUTED_VALUE"""),"R &amp; B")</f>
        <v>R &amp; B</v>
      </c>
      <c r="B675" s="8" t="str">
        <f>IFERROR(__xludf.DUMMYFUNCTION("""COMPUTED_VALUE"""),"Rhythm and Blues.")</f>
        <v>Rhythm and Blues.</v>
      </c>
      <c r="C675" s="13" t="str">
        <f>IFERROR(__xludf.DUMMYFUNCTION("""COMPUTED_VALUE"""),"""zswl"":{""label"":""R &amp; B"",""extra"":""Rhythm and Blues."",""sets"":""Expansion Set 4, Party Expansion 1""},")</f>
        <v>"zswl":{"label":"R &amp; B","extra":"Rhythm and Blues.","sets":"Expansion Set 4, Party Expansion 1"},</v>
      </c>
    </row>
    <row r="676">
      <c r="A676" s="8" t="str">
        <f>IFERROR(__xludf.DUMMYFUNCTION("""COMPUTED_VALUE"""),"R &amp; D")</f>
        <v>R &amp; D</v>
      </c>
      <c r="B676" s="8" t="str">
        <f>IFERROR(__xludf.DUMMYFUNCTION("""COMPUTED_VALUE"""),"Research and Development.")</f>
        <v>Research and Development.</v>
      </c>
      <c r="C676" s="13" t="str">
        <f>IFERROR(__xludf.DUMMYFUNCTION("""COMPUTED_VALUE"""),"""cclu"":{""label"":""R &amp; D"",""extra"":""Research and Development."",""sets"":""Expansion Set 4, Party Expansion 1""},")</f>
        <v>"cclu":{"label":"R &amp; D","extra":"Research and Development.","sets":"Expansion Set 4, Party Expansion 1"},</v>
      </c>
    </row>
    <row r="677">
      <c r="A677" s="8" t="str">
        <f>IFERROR(__xludf.DUMMYFUNCTION("""COMPUTED_VALUE"""),"R &amp; R")</f>
        <v>R &amp; R</v>
      </c>
      <c r="B677" s="8" t="str">
        <f>IFERROR(__xludf.DUMMYFUNCTION("""COMPUTED_VALUE"""),"Rest and relaxation, recreation, or could be recuperation.")</f>
        <v>Rest and relaxation, recreation, or could be recuperation.</v>
      </c>
      <c r="C677" s="13" t="str">
        <f>IFERROR(__xludf.DUMMYFUNCTION("""COMPUTED_VALUE"""),"""igch"":{""label"":""R &amp; R"",""extra"":""Rest and relaxation, recreation, or could be recuperation."",""sets"":""Expansion Set 4, Party Expansion 1""},")</f>
        <v>"igch":{"label":"R &amp; R","extra":"Rest and relaxation, recreation, or could be recuperation.","sets":"Expansion Set 4, Party Expansion 1"},</v>
      </c>
    </row>
    <row r="678">
      <c r="A678" s="8" t="str">
        <f>IFERROR(__xludf.DUMMYFUNCTION("""COMPUTED_VALUE"""),"Rabbits")</f>
        <v>Rabbits</v>
      </c>
      <c r="B678" s="8" t="str">
        <f>IFERROR(__xludf.DUMMYFUNCTION("""COMPUTED_VALUE"""),"Small, furry animals with long ears and short, fluffy tails. They like carrots and other vegetables.")</f>
        <v>Small, furry animals with long ears and short, fluffy tails. They like carrots and other vegetables.</v>
      </c>
      <c r="C678" s="13" t="str">
        <f>IFERROR(__xludf.DUMMYFUNCTION("""COMPUTED_VALUE"""),"""fhsa"":{""label"":""Rabbits"",""extra"":""Small, furry animals with long ears and short, fluffy tails. They like carrots and other vegetables."",""sets"":""Junior""},")</f>
        <v>"fhsa":{"label":"Rabbits","extra":"Small, furry animals with long ears and short, fluffy tails. They like carrots and other vegetables.","sets":"Junior"},</v>
      </c>
    </row>
    <row r="679">
      <c r="A679" s="8" t="str">
        <f>IFERROR(__xludf.DUMMYFUNCTION("""COMPUTED_VALUE"""),"Raccoons")</f>
        <v>Raccoons</v>
      </c>
      <c r="B679" s="8" t="str">
        <f>IFERROR(__xludf.DUMMYFUNCTION("""COMPUTED_VALUE"""),"They come out at night. The dark fur around their eyes looks like a mask.")</f>
        <v>They come out at night. The dark fur around their eyes looks like a mask.</v>
      </c>
      <c r="C679" s="13" t="str">
        <f>IFERROR(__xludf.DUMMYFUNCTION("""COMPUTED_VALUE"""),"""khfj"":{""label"":""Raccoons"",""extra"":""They come out at night. The dark fur around their eyes looks like a mask."",""sets"":""Junior""},")</f>
        <v>"khfj":{"label":"Raccoons","extra":"They come out at night. The dark fur around their eyes looks like a mask.","sets":"Junior"},</v>
      </c>
    </row>
    <row r="680">
      <c r="A680" s="8" t="str">
        <f>IFERROR(__xludf.DUMMYFUNCTION("""COMPUTED_VALUE"""),"Race Car Drivers")</f>
        <v>Race Car Drivers</v>
      </c>
      <c r="B680" s="8" t="str">
        <f>IFERROR(__xludf.DUMMYFUNCTION("""COMPUTED_VALUE"""),"Start your engines!")</f>
        <v>Start your engines!</v>
      </c>
      <c r="C680" s="13" t="str">
        <f>IFERROR(__xludf.DUMMYFUNCTION("""COMPUTED_VALUE"""),"""snoz"":{""label"":""Race Car Drivers"",""extra"":""Start your engines!"",""sets"":""Junior 9+ (2nd)""},")</f>
        <v>"snoz":{"label":"Race Car Drivers","extra":"Start your engines!","sets":"Junior 9+ (2nd)"},</v>
      </c>
    </row>
    <row r="681">
      <c r="A681" s="8" t="str">
        <f>IFERROR(__xludf.DUMMYFUNCTION("""COMPUTED_VALUE"""),"Radios")</f>
        <v>Radios</v>
      </c>
      <c r="B681" s="8" t="str">
        <f>IFERROR(__xludf.DUMMYFUNCTION("""COMPUTED_VALUE"""),"In the 1940s, before television, families gathered together to listen to the radio.")</f>
        <v>In the 1940s, before television, families gathered together to listen to the radio.</v>
      </c>
      <c r="C681" s="13" t="str">
        <f>IFERROR(__xludf.DUMMYFUNCTION("""COMPUTED_VALUE"""),"""klfh"":{""label"":""Radios"",""extra"":""In the 1940s, before television, families gathered together to listen to the radio."",""sets"":""Junior 9+ (1st) &amp; (2nd)""},")</f>
        <v>"klfh":{"label":"Radios","extra":"In the 1940s, before television, families gathered together to listen to the radio.","sets":"Junior 9+ (1st) &amp; (2nd)"},</v>
      </c>
    </row>
    <row r="682">
      <c r="A682" s="8" t="str">
        <f>IFERROR(__xludf.DUMMYFUNCTION("""COMPUTED_VALUE"""),"Raggedy Ann")</f>
        <v>Raggedy Ann</v>
      </c>
      <c r="B682" s="8" t="str">
        <f>IFERROR(__xludf.DUMMYFUNCTION("""COMPUTED_VALUE"""),"A little red-headed rag doll with a triangle shaped nose.")</f>
        <v>A little red-headed rag doll with a triangle shaped nose.</v>
      </c>
      <c r="C682" s="13" t="str">
        <f>IFERROR(__xludf.DUMMYFUNCTION("""COMPUTED_VALUE"""),"""qjiv"":{""label"":""Raggedy Ann"",""extra"":""A little red-headed rag doll with a triangle shaped nose."",""sets"":""Junior""},")</f>
        <v>"qjiv":{"label":"Raggedy Ann","extra":"A little red-headed rag doll with a triangle shaped nose.","sets":"Junior"},</v>
      </c>
    </row>
    <row r="683">
      <c r="A683" s="8" t="str">
        <f>IFERROR(__xludf.DUMMYFUNCTION("""COMPUTED_VALUE"""),"Rain")</f>
        <v>Rain</v>
      </c>
      <c r="B683" s="8" t="str">
        <f>IFERROR(__xludf.DUMMYFUNCTION("""COMPUTED_VALUE"""),"“When the rain comes, they run and hide their heads; they might as well be dead.” —The Beatles")</f>
        <v>“When the rain comes, they run and hide their heads; they might as well be dead.” —The Beatles</v>
      </c>
      <c r="C683" s="13" t="str">
        <f>IFERROR(__xludf.DUMMYFUNCTION("""COMPUTED_VALUE"""),"""yske"":{""label"":""Rain"",""extra"":""“When the rain comes, they run and hide their heads; they might as well be dead.” —The Beatles"",""sets"":""Basic Set, Party Set""},")</f>
        <v>"yske":{"label":"Rain","extra":"“When the rain comes, they run and hide their heads; they might as well be dead.” —The Beatles","sets":"Basic Set, Party Set"},</v>
      </c>
    </row>
    <row r="684">
      <c r="A684" s="8" t="str">
        <f>IFERROR(__xludf.DUMMYFUNCTION("""COMPUTED_VALUE"""),"Rain Forests")</f>
        <v>Rain Forests</v>
      </c>
      <c r="B684" s="8" t="str">
        <f>IFERROR(__xludf.DUMMYFUNCTION("""COMPUTED_VALUE"""),"There is heavy rainfall throughout the year and lots of bugs.")</f>
        <v>There is heavy rainfall throughout the year and lots of bugs.</v>
      </c>
      <c r="C684" s="13" t="str">
        <f>IFERROR(__xludf.DUMMYFUNCTION("""COMPUTED_VALUE"""),"""tu{j"":{""label"":""Rain Forests"",""extra"":""There is heavy rainfall throughout the year and lots of bugs."",""sets"":""Junior 9+ (2nd)""},")</f>
        <v>"tu{j":{"label":"Rain Forests","extra":"There is heavy rainfall throughout the year and lots of bugs.","sets":"Junior 9+ (2nd)"},</v>
      </c>
    </row>
    <row r="685">
      <c r="A685" s="8" t="str">
        <f>IFERROR(__xludf.DUMMYFUNCTION("""COMPUTED_VALUE"""),"Rainbows")</f>
        <v>Rainbows</v>
      </c>
      <c r="B685" s="8" t="str">
        <f>IFERROR(__xludf.DUMMYFUNCTION("""COMPUTED_VALUE"""),"“Someday we’ll find it / The Rainbow Connection / The lovers, the dreamers and me…” —Kermit the Frog")</f>
        <v>“Someday we’ll find it / The Rainbow Connection / The lovers, the dreamers and me…” —Kermit the Frog</v>
      </c>
      <c r="C685" s="13" t="str">
        <f>IFERROR(__xludf.DUMMYFUNCTION("""COMPUTED_VALUE"""),"""hvdc"":{""label"":""Rainbows"",""extra"":""“Someday we’ll find it / The Rainbow Connection / The lovers, the dreamers and me…” —Kermit the Frog"",""sets"":""Expansion Set 1, Party Set""},")</f>
        <v>"hvdc":{"label":"Rainbows","extra":"“Someday we’ll find it / The Rainbow Connection / The lovers, the dreamers and me…” —Kermit the Frog","sets":"Expansion Set 1, Party Set"},</v>
      </c>
    </row>
    <row r="686">
      <c r="A686" s="8" t="str">
        <f>IFERROR(__xludf.DUMMYFUNCTION("""COMPUTED_VALUE"""),"Raisins")</f>
        <v>Raisins</v>
      </c>
      <c r="B686" s="8" t="str">
        <f>IFERROR(__xludf.DUMMYFUNCTION("""COMPUTED_VALUE"""),"They’re just dried grapes.")</f>
        <v>They’re just dried grapes.</v>
      </c>
      <c r="C686" s="13" t="str">
        <f>IFERROR(__xludf.DUMMYFUNCTION("""COMPUTED_VALUE"""),"""nskl"":{""label"":""Raisins"",""extra"":""They’re just dried grapes."",""sets"":""Junior 9+ (2nd)""},")</f>
        <v>"nskl":{"label":"Raisins","extra":"They’re just dried grapes.","sets":"Junior 9+ (2nd)"},</v>
      </c>
    </row>
    <row r="687">
      <c r="A687" s="8" t="str">
        <f>IFERROR(__xludf.DUMMYFUNCTION("""COMPUTED_VALUE"""),"Raking Leaves")</f>
        <v>Raking Leaves</v>
      </c>
      <c r="B687" s="8" t="str">
        <f>IFERROR(__xludf.DUMMYFUNCTION("""COMPUTED_VALUE"""),"Maybe they’ll all just blow away!")</f>
        <v>Maybe they’ll all just blow away!</v>
      </c>
      <c r="C687" s="13" t="str">
        <f>IFERROR(__xludf.DUMMYFUNCTION("""COMPUTED_VALUE"""),"""blkp"":{""label"":""Raking Leaves"",""extra"":""Maybe they’ll all just blow away!"",""sets"":""Junior 9+ (2nd)""},")</f>
        <v>"blkp":{"label":"Raking Leaves","extra":"Maybe they’ll all just blow away!","sets":"Junior 9+ (2nd)"},</v>
      </c>
    </row>
    <row r="688">
      <c r="A688" s="8" t="str">
        <f>IFERROR(__xludf.DUMMYFUNCTION("""COMPUTED_VALUE"""),"Ramona")</f>
        <v>Ramona</v>
      </c>
      <c r="B688" s="8" t="str">
        <f>IFERROR(__xludf.DUMMYFUNCTION("""COMPUTED_VALUE"""),"Main character in Beverly Cleary’s “Ramona the Pest” and other books in the series.")</f>
        <v>Main character in Beverly Cleary’s “Ramona the Pest” and other books in the series.</v>
      </c>
      <c r="C688" s="13" t="str">
        <f>IFERROR(__xludf.DUMMYFUNCTION("""COMPUTED_VALUE"""),"""cylo"":{""label"":""Ramona"",""extra"":""Main character in Beverly Cleary’s “Ramona the Pest” and other books in the series."",""sets"":""Junior 9+ (1st) &amp; (2nd)""},")</f>
        <v>"cylo":{"label":"Ramona","extra":"Main character in Beverly Cleary’s “Ramona the Pest” and other books in the series.","sets":"Junior 9+ (1st) &amp; (2nd)"},</v>
      </c>
    </row>
    <row r="689">
      <c r="A689" s="8" t="str">
        <f>IFERROR(__xludf.DUMMYFUNCTION("""COMPUTED_VALUE"""),"Rats")</f>
        <v>Rats</v>
      </c>
      <c r="B689" s="8" t="str">
        <f>IFERROR(__xludf.DUMMYFUNCTION("""COMPUTED_VALUE"""),"Gray or brown animals that look like very large mice. Usually pet rats are white.")</f>
        <v>Gray or brown animals that look like very large mice. Usually pet rats are white.</v>
      </c>
      <c r="C689" s="13" t="str">
        <f>IFERROR(__xludf.DUMMYFUNCTION("""COMPUTED_VALUE"""),"""wqll"":{""label"":""Rats"",""extra"":""Gray or brown animals that look like very large mice. Usually pet rats are white."",""sets"":""Junior""},")</f>
        <v>"wqll":{"label":"Rats","extra":"Gray or brown animals that look like very large mice. Usually pet rats are white.","sets":"Junior"},</v>
      </c>
    </row>
    <row r="690">
      <c r="A690" s="8" t="str">
        <f>IFERROR(__xludf.DUMMYFUNCTION("""COMPUTED_VALUE"""),"Reading &amp; Writing")</f>
        <v>Reading &amp; Writing</v>
      </c>
      <c r="B690" s="8" t="str">
        <f>IFERROR(__xludf.DUMMYFUNCTION("""COMPUTED_VALUE"""),"Old-fashioned skill, amazingly still useful today.")</f>
        <v>Old-fashioned skill, amazingly still useful today.</v>
      </c>
      <c r="C690" s="13" t="str">
        <f>IFERROR(__xludf.DUMMYFUNCTION("""COMPUTED_VALUE"""),"""huon"":{""label"":""Reading &amp; Writing"",""extra"":""Old-fashioned skill, amazingly still useful today."",""sets"":""Expansion Set 4, Party Expansion 1""},")</f>
        <v>"huon":{"label":"Reading &amp; Writing","extra":"Old-fashioned skill, amazingly still useful today.","sets":"Expansion Set 4, Party Expansion 1"},</v>
      </c>
    </row>
    <row r="691">
      <c r="A691" s="8" t="str">
        <f>IFERROR(__xludf.DUMMYFUNCTION("""COMPUTED_VALUE"""),"Reading A Book")</f>
        <v>Reading A Book</v>
      </c>
      <c r="B691" s="8" t="str">
        <f>IFERROR(__xludf.DUMMYFUNCTION("""COMPUTED_VALUE"""),"A good book is like traveling to a new world.")</f>
        <v>A good book is like traveling to a new world.</v>
      </c>
      <c r="C691" s="13" t="str">
        <f>IFERROR(__xludf.DUMMYFUNCTION("""COMPUTED_VALUE"""),"""wxwr"":{""label"":""Reading A Book"",""extra"":""A good book is like traveling to a new world."",""sets"":""Junior""},")</f>
        <v>"wxwr":{"label":"Reading A Book","extra":"A good book is like traveling to a new world.","sets":"Junior"},</v>
      </c>
    </row>
    <row r="692">
      <c r="A692" s="8" t="str">
        <f>IFERROR(__xludf.DUMMYFUNCTION("""COMPUTED_VALUE"""),"Recess")</f>
        <v>Recess</v>
      </c>
      <c r="B692" s="8" t="str">
        <f>IFERROR(__xludf.DUMMYFUNCTION("""COMPUTED_VALUE"""),"My favorite subject in school!")</f>
        <v>My favorite subject in school!</v>
      </c>
      <c r="C692" s="13" t="str">
        <f>IFERROR(__xludf.DUMMYFUNCTION("""COMPUTED_VALUE"""),"""zove"":{""label"":""Recess"",""extra"":""My favorite subject in school!"",""sets"":""Junior""},")</f>
        <v>"zove":{"label":"Recess","extra":"My favorite subject in school!","sets":"Junior"},</v>
      </c>
    </row>
    <row r="693">
      <c r="A693" s="8" t="str">
        <f>IFERROR(__xludf.DUMMYFUNCTION("""COMPUTED_VALUE"""),"Red Roses")</f>
        <v>Red Roses</v>
      </c>
      <c r="B693" s="8" t="str">
        <f>IFERROR(__xludf.DUMMYFUNCTION("""COMPUTED_VALUE"""),"Red roses are a symbol of love.")</f>
        <v>Red roses are a symbol of love.</v>
      </c>
      <c r="C693" s="13" t="str">
        <f>IFERROR(__xludf.DUMMYFUNCTION("""COMPUTED_VALUE"""),"""mqzo"":{""label"":""Red Roses"",""extra"":""Red roses are a symbol of love."",""sets"":""Junior 9+ (1st) &amp; (2nd)""},")</f>
        <v>"mqzo":{"label":"Red Roses","extra":"Red roses are a symbol of love.","sets":"Junior 9+ (1st) &amp; (2nd)"},</v>
      </c>
    </row>
    <row r="694">
      <c r="A694" s="8" t="str">
        <f>IFERROR(__xludf.DUMMYFUNCTION("""COMPUTED_VALUE"""),"Regis &amp;…")</f>
        <v>Regis &amp;…</v>
      </c>
      <c r="B694" s="8" t="str">
        <f>IFERROR(__xludf.DUMMYFUNCTION("""COMPUTED_VALUE"""),"Kathy Lee or Kelly your choice.")</f>
        <v>Kathy Lee or Kelly your choice.</v>
      </c>
      <c r="C694" s="13" t="str">
        <f>IFERROR(__xludf.DUMMYFUNCTION("""COMPUTED_VALUE"""),"""xgde"":{""label"":""Regis &amp;…"",""extra"":""Kathy Lee or Kelly your choice."",""sets"":""Expansion Set 4, Party Expansion 1""},")</f>
        <v>"xgde":{"label":"Regis &amp;…","extra":"Kathy Lee or Kelly your choice.","sets":"Expansion Set 4, Party Expansion 1"},</v>
      </c>
    </row>
    <row r="695">
      <c r="A695" s="8" t="str">
        <f>IFERROR(__xludf.DUMMYFUNCTION("""COMPUTED_VALUE"""),"Restaurants")</f>
        <v>Restaurants</v>
      </c>
      <c r="B695" s="8" t="str">
        <f>IFERROR(__xludf.DUMMYFUNCTION("""COMPUTED_VALUE"""),"It’s good to try new things!")</f>
        <v>It’s good to try new things!</v>
      </c>
      <c r="C695" s="13" t="str">
        <f>IFERROR(__xludf.DUMMYFUNCTION("""COMPUTED_VALUE"""),"""licl"":{""label"":""Restaurants"",""extra"":""It’s good to try new things!"",""sets"":""Junior 9+ (2nd)""},")</f>
        <v>"licl":{"label":"Restaurants","extra":"It’s good to try new things!","sets":"Junior 9+ (2nd)"},</v>
      </c>
    </row>
    <row r="696">
      <c r="A696" s="8" t="str">
        <f>IFERROR(__xludf.DUMMYFUNCTION("""COMPUTED_VALUE"""),"Rice")</f>
        <v>Rice</v>
      </c>
      <c r="B696" s="8" t="str">
        <f>IFERROR(__xludf.DUMMYFUNCTION("""COMPUTED_VALUE"""),"A grain grown for food. Rice can be white, brown or black.")</f>
        <v>A grain grown for food. Rice can be white, brown or black.</v>
      </c>
      <c r="C696" s="13" t="str">
        <f>IFERROR(__xludf.DUMMYFUNCTION("""COMPUTED_VALUE"""),"""mzif"":{""label"":""Rice"",""extra"":""A grain grown for food. Rice can be white, brown or black."",""sets"":""Junior 9+ (1st) &amp; (2nd)""},")</f>
        <v>"mzif":{"label":"Rice","extra":"A grain grown for food. Rice can be white, brown or black.","sets":"Junior 9+ (1st) &amp; (2nd)"},</v>
      </c>
    </row>
    <row r="697">
      <c r="A697" s="8" t="str">
        <f>IFERROR(__xludf.DUMMYFUNCTION("""COMPUTED_VALUE"""),"Rice &amp; Beans")</f>
        <v>Rice &amp; Beans</v>
      </c>
      <c r="B697" s="8" t="str">
        <f>IFERROR(__xludf.DUMMYFUNCTION("""COMPUTED_VALUE"""),"South-of-the-border meat &amp; potatoes.")</f>
        <v>South-of-the-border meat &amp; potatoes.</v>
      </c>
      <c r="C697" s="13" t="str">
        <f>IFERROR(__xludf.DUMMYFUNCTION("""COMPUTED_VALUE"""),"""eaaj"":{""label"":""Rice &amp; Beans"",""extra"":""South-of-the-border meat &amp; potatoes."",""sets"":""Expansion Set 4, Party Expansion 1""},")</f>
        <v>"eaaj":{"label":"Rice &amp; Beans","extra":"South-of-the-border meat &amp; potatoes.","sets":"Expansion Set 4, Party Expansion 1"},</v>
      </c>
    </row>
    <row r="698">
      <c r="A698" s="8" t="str">
        <f>IFERROR(__xludf.DUMMYFUNCTION("""COMPUTED_VALUE"""),"Rice Krispies Treats")</f>
        <v>Rice Krispies Treats</v>
      </c>
      <c r="B698" s="8" t="str">
        <f>IFERROR(__xludf.DUMMYFUNCTION("""COMPUTED_VALUE"""),"How could you go wrong with Rice Krispies, marshmallows, and butter.")</f>
        <v>How could you go wrong with Rice Krispies, marshmallows, and butter.</v>
      </c>
      <c r="C698" s="13" t="str">
        <f>IFERROR(__xludf.DUMMYFUNCTION("""COMPUTED_VALUE"""),"""xfkk"":{""label"":""Rice Krispies Treats"",""extra"":""How could you go wrong with Rice Krispies, marshmallows, and butter."",""sets"":""Expansion Set 3, Party Expansion 1""},")</f>
        <v>"xfkk":{"label":"Rice Krispies Treats","extra":"How could you go wrong with Rice Krispies, marshmallows, and butter.","sets":"Expansion Set 3, Party Expansion 1"},</v>
      </c>
    </row>
    <row r="699">
      <c r="A699" s="8" t="str">
        <f>IFERROR(__xludf.DUMMYFUNCTION("""COMPUTED_VALUE"""),"Richard Simmons")</f>
        <v>Richard Simmons</v>
      </c>
      <c r="B699" s="8" t="str">
        <f>IFERROR(__xludf.DUMMYFUNCTION("""COMPUTED_VALUE"""),"1948-, American fitness guru famous for his extroverted style, short shorts and Sweatin'’ to the Oldies.")</f>
        <v>1948-, American fitness guru famous for his extroverted style, short shorts and Sweatin'’ to the Oldies.</v>
      </c>
      <c r="C699" s="13" t="str">
        <f>IFERROR(__xludf.DUMMYFUNCTION("""COMPUTED_VALUE"""),"""fmmi"":{""label"":""Richard Simmons"",""extra"":""1948-, American fitness guru famous for his extroverted style, short shorts and Sweatin'’ to the Oldies."",""sets"":""Expansion Set 3, Party Expansion 1""},")</f>
        <v>"fmmi":{"label":"Richard Simmons","extra":"1948-, American fitness guru famous for his extroverted style, short shorts and Sweatin'’ to the Oldies.","sets":"Expansion Set 3, Party Expansion 1"},</v>
      </c>
    </row>
    <row r="700">
      <c r="A700" s="8" t="str">
        <f>IFERROR(__xludf.DUMMYFUNCTION("""COMPUTED_VALUE"""),"Riding A Bike")</f>
        <v>Riding A Bike</v>
      </c>
      <c r="B700" s="8" t="str">
        <f>IFERROR(__xludf.DUMMYFUNCTION("""COMPUTED_VALUE"""),"Remember to wear your helmet.")</f>
        <v>Remember to wear your helmet.</v>
      </c>
      <c r="C700" s="13" t="str">
        <f>IFERROR(__xludf.DUMMYFUNCTION("""COMPUTED_VALUE"""),"""wvpr"":{""label"":""Riding A Bike"",""extra"":""Remember to wear your helmet."",""sets"":""Junior""},")</f>
        <v>"wvpr":{"label":"Riding A Bike","extra":"Remember to wear your helmet.","sets":"Junior"},</v>
      </c>
    </row>
    <row r="701">
      <c r="A701" s="8" t="str">
        <f>IFERROR(__xludf.DUMMYFUNCTION("""COMPUTED_VALUE"""),"Riding A Horse")</f>
        <v>Riding A Horse</v>
      </c>
      <c r="B701" s="8" t="str">
        <f>IFERROR(__xludf.DUMMYFUNCTION("""COMPUTED_VALUE"""),"Grab the reins and hang on!")</f>
        <v>Grab the reins and hang on!</v>
      </c>
      <c r="C701" s="13" t="str">
        <f>IFERROR(__xludf.DUMMYFUNCTION("""COMPUTED_VALUE"""),"""trlh"":{""label"":""Riding A Horse"",""extra"":""Grab the reins and hang on!"",""sets"":""Junior""},")</f>
        <v>"trlh":{"label":"Riding A Horse","extra":"Grab the reins and hang on!","sets":"Junior"},</v>
      </c>
    </row>
    <row r="702">
      <c r="A702" s="8" t="str">
        <f>IFERROR(__xludf.DUMMYFUNCTION("""COMPUTED_VALUE"""),"Riding A Scooter")</f>
        <v>Riding A Scooter</v>
      </c>
      <c r="B702" s="8" t="str">
        <f>IFERROR(__xludf.DUMMYFUNCTION("""COMPUTED_VALUE"""),"Where are the brakes?")</f>
        <v>Where are the brakes?</v>
      </c>
      <c r="C702" s="13" t="str">
        <f>IFERROR(__xludf.DUMMYFUNCTION("""COMPUTED_VALUE"""),"""hxel"":{""label"":""Riding A Scooter"",""extra"":""Where are the brakes?"",""sets"":""Junior 9+ (2nd)""},")</f>
        <v>"hxel":{"label":"Riding A Scooter","extra":"Where are the brakes?","sets":"Junior 9+ (2nd)"},</v>
      </c>
    </row>
    <row r="703">
      <c r="A703" s="8" t="str">
        <f>IFERROR(__xludf.DUMMYFUNCTION("""COMPUTED_VALUE"""),"Rio De Janeiro")</f>
        <v>Rio De Janeiro</v>
      </c>
      <c r="B703" s="8" t="str">
        <f>IFERROR(__xludf.DUMMYFUNCTION("""COMPUTED_VALUE"""),"Vibrant Brazilian city and home to Carnival. Blame it on Rio!")</f>
        <v>Vibrant Brazilian city and home to Carnival. Blame it on Rio!</v>
      </c>
      <c r="C703" s="13" t="str">
        <f>IFERROR(__xludf.DUMMYFUNCTION("""COMPUTED_VALUE"""),"""zfzx"":{""label"":""Rio De Janeiro"",""extra"":""Vibrant Brazilian city and home to Carnival. Blame it on Rio!"",""sets"":""Expansion Set 3, Party Expansion 1""},")</f>
        <v>"zfzx":{"label":"Rio De Janeiro","extra":"Vibrant Brazilian city and home to Carnival. Blame it on Rio!","sets":"Expansion Set 3, Party Expansion 1"},</v>
      </c>
    </row>
    <row r="704">
      <c r="A704" s="8" t="str">
        <f>IFERROR(__xludf.DUMMYFUNCTION("""COMPUTED_VALUE"""),"Rivers")</f>
        <v>Rivers</v>
      </c>
      <c r="B704" s="8" t="str">
        <f>IFERROR(__xludf.DUMMYFUNCTION("""COMPUTED_VALUE"""),"Can you spell Mississippi?")</f>
        <v>Can you spell Mississippi?</v>
      </c>
      <c r="C704" s="13" t="str">
        <f>IFERROR(__xludf.DUMMYFUNCTION("""COMPUTED_VALUE"""),"""vngj"":{""label"":""Rivers"",""extra"":""Can you spell Mississippi?"",""sets"":""Junior""},")</f>
        <v>"vngj":{"label":"Rivers","extra":"Can you spell Mississippi?","sets":"Junior"},</v>
      </c>
    </row>
    <row r="705">
      <c r="A705" s="8" t="str">
        <f>IFERROR(__xludf.DUMMYFUNCTION("""COMPUTED_VALUE"""),"Road Rage")</f>
        <v>Road Rage</v>
      </c>
      <c r="B705" s="8" t="str">
        <f>IFERROR(__xludf.DUMMYFUNCTION("""COMPUTED_VALUE"""),"Ten years ago we complained about potholes. NOW we’re dodging pot-shots.")</f>
        <v>Ten years ago we complained about potholes. NOW we’re dodging pot-shots.</v>
      </c>
      <c r="C705" s="13" t="str">
        <f>IFERROR(__xludf.DUMMYFUNCTION("""COMPUTED_VALUE"""),"""pxef"":{""label"":""Road Rage"",""extra"":""Ten years ago we complained about potholes. NOW we’re dodging pot-shots."",""sets"":""Expansion Set 3, Party Expansion 1""},")</f>
        <v>"pxef":{"label":"Road Rage","extra":"Ten years ago we complained about potholes. NOW we’re dodging pot-shots.","sets":"Expansion Set 3, Party Expansion 1"},</v>
      </c>
    </row>
    <row r="706">
      <c r="A706" s="8" t="str">
        <f>IFERROR(__xludf.DUMMYFUNCTION("""COMPUTED_VALUE"""),"Robin Hood")</f>
        <v>Robin Hood</v>
      </c>
      <c r="B706" s="8" t="str">
        <f>IFERROR(__xludf.DUMMYFUNCTION("""COMPUTED_VALUE"""),"Legendary British outlaw who stole from the rich and gave to the poor, known for his courage, skill, and Merry Men.")</f>
        <v>Legendary British outlaw who stole from the rich and gave to the poor, known for his courage, skill, and Merry Men.</v>
      </c>
      <c r="C706" s="13" t="str">
        <f>IFERROR(__xludf.DUMMYFUNCTION("""COMPUTED_VALUE"""),"""svsz"":{""label"":""Robin Hood"",""extra"":""Legendary British outlaw who stole from the rich and gave to the poor, known for his courage, skill, and Merry Men."",""sets"":""Expansion Set 3, Party Expansion 1""},")</f>
        <v>"svsz":{"label":"Robin Hood","extra":"Legendary British outlaw who stole from the rich and gave to the poor, known for his courage, skill, and Merry Men.","sets":"Expansion Set 3, Party Expansion 1"},</v>
      </c>
    </row>
    <row r="707">
      <c r="A707" s="8" t="str">
        <f>IFERROR(__xludf.DUMMYFUNCTION("""COMPUTED_VALUE"""),"Robots")</f>
        <v>Robots</v>
      </c>
      <c r="B707" s="8" t="str">
        <f>IFERROR(__xludf.DUMMYFUNCTION("""COMPUTED_VALUE"""),"They should make a robot that does homework.")</f>
        <v>They should make a robot that does homework.</v>
      </c>
      <c r="C707" s="13" t="str">
        <f>IFERROR(__xludf.DUMMYFUNCTION("""COMPUTED_VALUE"""),"""wnpw"":{""label"":""Robots"",""extra"":""They should make a robot that does homework."",""sets"":""Junior 9+ (1st) &amp; (2nd)""},")</f>
        <v>"wnpw":{"label":"Robots","extra":"They should make a robot that does homework.","sets":"Junior 9+ (1st) &amp; (2nd)"},</v>
      </c>
    </row>
    <row r="708">
      <c r="A708" s="8" t="str">
        <f>IFERROR(__xludf.DUMMYFUNCTION("""COMPUTED_VALUE"""),"Rock &amp; Roll")</f>
        <v>Rock &amp; Roll</v>
      </c>
      <c r="B708" s="8" t="str">
        <f>IFERROR(__xludf.DUMMYFUNCTION("""COMPUTED_VALUE"""),"It’ll never die. Unlike Rock and Roll musicians.")</f>
        <v>It’ll never die. Unlike Rock and Roll musicians.</v>
      </c>
      <c r="C708" s="13" t="str">
        <f>IFERROR(__xludf.DUMMYFUNCTION("""COMPUTED_VALUE"""),"""ulqb"":{""label"":""Rock &amp; Roll"",""extra"":""It’ll never die. Unlike Rock and Roll musicians."",""sets"":""Expansion Set 4, Party Expansion 1""},")</f>
        <v>"ulqb":{"label":"Rock &amp; Roll","extra":"It’ll never die. Unlike Rock and Roll musicians.","sets":"Expansion Set 4, Party Expansion 1"},</v>
      </c>
    </row>
    <row r="709">
      <c r="A709" s="8" t="str">
        <f>IFERROR(__xludf.DUMMYFUNCTION("""COMPUTED_VALUE"""),"Rock Candy")</f>
        <v>Rock Candy</v>
      </c>
      <c r="B709" s="8" t="str">
        <f>IFERROR(__xludf.DUMMYFUNCTION("""COMPUTED_VALUE"""),"Large, clear sugar crystals- rock hard!")</f>
        <v>Large, clear sugar crystals- rock hard!</v>
      </c>
      <c r="C709" s="13" t="str">
        <f>IFERROR(__xludf.DUMMYFUNCTION("""COMPUTED_VALUE"""),"""xkek"":{""label"":""Rock Candy"",""extra"":""Large, clear sugar crystals- rock hard!"",""sets"":""Junior 9+ (2nd)""},")</f>
        <v>"xkek":{"label":"Rock Candy","extra":"Large, clear sugar crystals- rock hard!","sets":"Junior 9+ (2nd)"},</v>
      </c>
    </row>
    <row r="710">
      <c r="A710" s="8" t="str">
        <f>IFERROR(__xludf.DUMMYFUNCTION("""COMPUTED_VALUE"""),"Rock Concerts")</f>
        <v>Rock Concerts</v>
      </c>
      <c r="B710" s="8" t="str">
        <f>IFERROR(__xludf.DUMMYFUNCTION("""COMPUTED_VALUE"""),"Not on a school night!")</f>
        <v>Not on a school night!</v>
      </c>
      <c r="C710" s="13" t="str">
        <f>IFERROR(__xludf.DUMMYFUNCTION("""COMPUTED_VALUE"""),"""kbnz"":{""label"":""Rock Concerts"",""extra"":""Not on a school night!"",""sets"":""Junior 9+ (2nd)""},")</f>
        <v>"kbnz":{"label":"Rock Concerts","extra":"Not on a school night!","sets":"Junior 9+ (2nd)"},</v>
      </c>
    </row>
    <row r="711">
      <c r="A711" s="8" t="str">
        <f>IFERROR(__xludf.DUMMYFUNCTION("""COMPUTED_VALUE"""),"Rock Stars")</f>
        <v>Rock Stars</v>
      </c>
      <c r="B711" s="8" t="str">
        <f>IFERROR(__xludf.DUMMYFUNCTION("""COMPUTED_VALUE"""),"Even the guys wear make-up!")</f>
        <v>Even the guys wear make-up!</v>
      </c>
      <c r="C711" s="13" t="str">
        <f>IFERROR(__xludf.DUMMYFUNCTION("""COMPUTED_VALUE"""),"""xtji"":{""label"":""Rock Stars"",""extra"":""Even the guys wear make-up!"",""sets"":""Junior 9+ (2nd)""},")</f>
        <v>"xtji":{"label":"Rock Stars","extra":"Even the guys wear make-up!","sets":"Junior 9+ (2nd)"},</v>
      </c>
    </row>
    <row r="712">
      <c r="A712" s="8" t="str">
        <f>IFERROR(__xludf.DUMMYFUNCTION("""COMPUTED_VALUE"""),"Rocking Chairs")</f>
        <v>Rocking Chairs</v>
      </c>
      <c r="B712" s="8" t="str">
        <f>IFERROR(__xludf.DUMMYFUNCTION("""COMPUTED_VALUE"""),"Rock-a-bye baby.")</f>
        <v>Rock-a-bye baby.</v>
      </c>
      <c r="C712" s="13" t="str">
        <f>IFERROR(__xludf.DUMMYFUNCTION("""COMPUTED_VALUE"""),"""pvfj"":{""label"":""Rocking Chairs"",""extra"":""Rock-a-bye baby."",""sets"":""Junior 9+ (1st) &amp; (2nd)""},")</f>
        <v>"pvfj":{"label":"Rocking Chairs","extra":"Rock-a-bye baby.","sets":"Junior 9+ (1st) &amp; (2nd)"},</v>
      </c>
    </row>
    <row r="713">
      <c r="A713" s="8" t="str">
        <f>IFERROR(__xludf.DUMMYFUNCTION("""COMPUTED_VALUE"""),"Rocks")</f>
        <v>Rocks</v>
      </c>
      <c r="B713" s="8" t="str">
        <f>IFERROR(__xludf.DUMMYFUNCTION("""COMPUTED_VALUE"""),"Rock collectors are sometimes called rockhounds.")</f>
        <v>Rock collectors are sometimes called rockhounds.</v>
      </c>
      <c r="C713" s="13" t="str">
        <f>IFERROR(__xludf.DUMMYFUNCTION("""COMPUTED_VALUE"""),"""gsyg"":{""label"":""Rocks"",""extra"":""Rock collectors are sometimes called rockhounds."",""sets"":""Junior 9+ (1st) &amp; (2nd)""},")</f>
        <v>"gsyg":{"label":"Rocks","extra":"Rock collectors are sometimes called rockhounds.","sets":"Junior 9+ (1st) &amp; (2nd)"},</v>
      </c>
    </row>
    <row r="714">
      <c r="A714" s="8" t="str">
        <f>IFERROR(__xludf.DUMMYFUNCTION("""COMPUTED_VALUE"""),"Rogers &amp; Hammerstein")</f>
        <v>Rogers &amp; Hammerstein</v>
      </c>
      <c r="B714" s="8" t="str">
        <f>IFERROR(__xludf.DUMMYFUNCTION("""COMPUTED_VALUE"""),"Kings of the Broadway Musical: “The Sound of Music,” “The King and I,” “South Pacific,” and many, many more.")</f>
        <v>Kings of the Broadway Musical: “The Sound of Music,” “The King and I,” “South Pacific,” and many, many more.</v>
      </c>
      <c r="C714" s="13" t="str">
        <f>IFERROR(__xludf.DUMMYFUNCTION("""COMPUTED_VALUE"""),"""yqkf"":{""label"":""Rogers &amp; Hammerstein"",""extra"":""Kings of the Broadway Musical: “The Sound of Music,” “The King and I,” “South Pacific,” and many, many more."",""sets"":""Expansion Set 4, Party Expansion 1""},")</f>
        <v>"yqkf":{"label":"Rogers &amp; Hammerstein","extra":"Kings of the Broadway Musical: “The Sound of Music,” “The King and I,” “South Pacific,” and many, many more.","sets":"Expansion Set 4, Party Expansion 1"},</v>
      </c>
    </row>
    <row r="715">
      <c r="A715" s="8" t="str">
        <f>IFERROR(__xludf.DUMMYFUNCTION("""COMPUTED_VALUE"""),"Roller Coaster")</f>
        <v>Roller Coaster</v>
      </c>
      <c r="B715" s="8" t="str">
        <f>IFERROR(__xludf.DUMMYFUNCTION("""COMPUTED_VALUE"""),"Roller coaster cars can go more than 70 miles per hour.")</f>
        <v>Roller coaster cars can go more than 70 miles per hour.</v>
      </c>
      <c r="C715" s="13" t="str">
        <f>IFERROR(__xludf.DUMMYFUNCTION("""COMPUTED_VALUE"""),"""bvjc"":{""label"":""Roller Coaster"",""extra"":""Roller coaster cars can go more than 70 miles per hour."",""sets"":""Junior 9+ (1st) &amp; (2nd)""},")</f>
        <v>"bvjc":{"label":"Roller Coaster","extra":"Roller coaster cars can go more than 70 miles per hour.","sets":"Junior 9+ (1st) &amp; (2nd)"},</v>
      </c>
    </row>
    <row r="716">
      <c r="A716" s="8" t="str">
        <f>IFERROR(__xludf.DUMMYFUNCTION("""COMPUTED_VALUE"""),"Rollerblading")</f>
        <v>Rollerblading</v>
      </c>
      <c r="B716" s="8" t="str">
        <f>IFERROR(__xludf.DUMMYFUNCTION("""COMPUTED_VALUE"""),"Faster than walking.")</f>
        <v>Faster than walking.</v>
      </c>
      <c r="C716" s="13" t="str">
        <f>IFERROR(__xludf.DUMMYFUNCTION("""COMPUTED_VALUE"""),"""ojni"":{""label"":""Rollerblading"",""extra"":""Faster than walking."",""sets"":""Junior 9+ (1st) &amp; (2nd)""},")</f>
        <v>"ojni":{"label":"Rollerblading","extra":"Faster than walking.","sets":"Junior 9+ (1st) &amp; (2nd)"},</v>
      </c>
    </row>
    <row r="717">
      <c r="A717" s="8" t="str">
        <f>IFERROR(__xludf.DUMMYFUNCTION("""COMPUTED_VALUE"""),"Ronald McDonald")</f>
        <v>Ronald McDonald</v>
      </c>
      <c r="B717" s="8" t="str">
        <f>IFERROR(__xludf.DUMMYFUNCTION("""COMPUTED_VALUE"""),"The clown from McDonald’s restaurants.")</f>
        <v>The clown from McDonald’s restaurants.</v>
      </c>
      <c r="C717" s="13" t="str">
        <f>IFERROR(__xludf.DUMMYFUNCTION("""COMPUTED_VALUE"""),"""q{zt"":{""label"":""Ronald McDonald"",""extra"":""The clown from McDonald’s restaurants."",""sets"":""Junior""},")</f>
        <v>"q{zt":{"label":"Ronald McDonald","extra":"The clown from McDonald’s restaurants.","sets":"Junior"},</v>
      </c>
    </row>
    <row r="718">
      <c r="A718" s="8" t="str">
        <f>IFERROR(__xludf.DUMMYFUNCTION("""COMPUTED_VALUE"""),"Roosters")</f>
        <v>Roosters</v>
      </c>
      <c r="B718" s="8" t="str">
        <f>IFERROR(__xludf.DUMMYFUNCTION("""COMPUTED_VALUE"""),"The barnyard alarm clock.")</f>
        <v>The barnyard alarm clock.</v>
      </c>
      <c r="C718" s="13" t="str">
        <f>IFERROR(__xludf.DUMMYFUNCTION("""COMPUTED_VALUE"""),"""grsd"":{""label"":""Roosters"",""extra"":""The barnyard alarm clock."",""sets"":""Junior 9+ (2nd)""},")</f>
        <v>"grsd":{"label":"Roosters","extra":"The barnyard alarm clock.","sets":"Junior 9+ (2nd)"},</v>
      </c>
    </row>
    <row r="719">
      <c r="A719" s="8" t="str">
        <f>IFERROR(__xludf.DUMMYFUNCTION("""COMPUTED_VALUE"""),"Root Beer")</f>
        <v>Root Beer</v>
      </c>
      <c r="B719" s="8" t="str">
        <f>IFERROR(__xludf.DUMMYFUNCTION("""COMPUTED_VALUE"""),"A sweet, brown drink that is fizzy and foamy. Add ice cream to make a root beer float!")</f>
        <v>A sweet, brown drink that is fizzy and foamy. Add ice cream to make a root beer float!</v>
      </c>
      <c r="C719" s="13" t="str">
        <f>IFERROR(__xludf.DUMMYFUNCTION("""COMPUTED_VALUE"""),"""ltbw"":{""label"":""Root Beer"",""extra"":""A sweet, brown drink that is fizzy and foamy. Add ice cream to make a root beer float!"",""sets"":""Junior""},")</f>
        <v>"ltbw":{"label":"Root Beer","extra":"A sweet, brown drink that is fizzy and foamy. Add ice cream to make a root beer float!","sets":"Junior"},</v>
      </c>
    </row>
    <row r="720">
      <c r="A720" s="8" t="str">
        <f>IFERROR(__xludf.DUMMYFUNCTION("""COMPUTED_VALUE"""),"Rope Burns")</f>
        <v>Rope Burns</v>
      </c>
      <c r="B720" s="8" t="str">
        <f>IFERROR(__xludf.DUMMYFUNCTION("""COMPUTED_VALUE"""),"You were playing WHAT?")</f>
        <v>You were playing WHAT?</v>
      </c>
      <c r="C720" s="13" t="str">
        <f>IFERROR(__xludf.DUMMYFUNCTION("""COMPUTED_VALUE"""),"""thtu"":{""label"":""Rope Burns"",""extra"":""You were playing WHAT?"",""sets"":""Expansion Set 3, Party Expansion 1""},")</f>
        <v>"thtu":{"label":"Rope Burns","extra":"You were playing WHAT?","sets":"Expansion Set 3, Party Expansion 1"},</v>
      </c>
    </row>
    <row r="721">
      <c r="A721" s="8" t="str">
        <f>IFERROR(__xludf.DUMMYFUNCTION("""COMPUTED_VALUE"""),"Running A Marathon")</f>
        <v>Running A Marathon</v>
      </c>
      <c r="B721" s="8" t="str">
        <f>IFERROR(__xludf.DUMMYFUNCTION("""COMPUTED_VALUE"""),"26 miles, 385 yards: the distance run by a Greek soldier from the town of Marathon to Athens in 490 BC.")</f>
        <v>26 miles, 385 yards: the distance run by a Greek soldier from the town of Marathon to Athens in 490 BC.</v>
      </c>
      <c r="C721" s="13" t="str">
        <f>IFERROR(__xludf.DUMMYFUNCTION("""COMPUTED_VALUE"""),"""njiq"":{""label"":""Running A Marathon"",""extra"":""26 miles, 385 yards: the distance run by a Greek soldier from the town of Marathon to Athens in 490 BC."",""sets"":""Basic Set, Party Set""},")</f>
        <v>"njiq":{"label":"Running A Marathon","extra":"26 miles, 385 yards: the distance run by a Greek soldier from the town of Marathon to Athens in 490 BC.","sets":"Basic Set, Party Set"},</v>
      </c>
    </row>
    <row r="722">
      <c r="A722" s="8" t="str">
        <f>IFERROR(__xludf.DUMMYFUNCTION("""COMPUTED_VALUE"""),"Rusty Nails")</f>
        <v>Rusty Nails</v>
      </c>
      <c r="B722" s="8" t="str">
        <f>IFERROR(__xludf.DUMMYFUNCTION("""COMPUTED_VALUE"""),"Good name for a country western singer.")</f>
        <v>Good name for a country western singer.</v>
      </c>
      <c r="C722" s="13" t="str">
        <f>IFERROR(__xludf.DUMMYFUNCTION("""COMPUTED_VALUE"""),"""keme"":{""label"":""Rusty Nails"",""extra"":""Good name for a country western singer."",""sets"":""Expansion Set 3, Party Expansion 1""},")</f>
        <v>"keme":{"label":"Rusty Nails","extra":"Good name for a country western singer.","sets":"Expansion Set 3, Party Expansion 1"},</v>
      </c>
    </row>
    <row r="723">
      <c r="A723" s="8" t="str">
        <f>IFERROR(__xludf.DUMMYFUNCTION("""COMPUTED_VALUE"""),"Sailors")</f>
        <v>Sailors</v>
      </c>
      <c r="B723" s="8" t="str">
        <f>IFERROR(__xludf.DUMMYFUNCTION("""COMPUTED_VALUE"""),"Get seasick? Don't become a sailor.")</f>
        <v>Get seasick? Don't become a sailor.</v>
      </c>
      <c r="C723" s="13" t="str">
        <f>IFERROR(__xludf.DUMMYFUNCTION("""COMPUTED_VALUE"""),"""zknp"":{""label"":""Sailors"",""extra"":""Get seasick? Don't become a sailor."",""sets"":""Junior 9+ (2nd)""},")</f>
        <v>"zknp":{"label":"Sailors","extra":"Get seasick? Don't become a sailor.","sets":"Junior 9+ (2nd)"},</v>
      </c>
    </row>
    <row r="724">
      <c r="A724" s="8" t="str">
        <f>IFERROR(__xludf.DUMMYFUNCTION("""COMPUTED_VALUE"""),"Salads")</f>
        <v>Salads</v>
      </c>
      <c r="B724" s="8" t="str">
        <f>IFERROR(__xludf.DUMMYFUNCTION("""COMPUTED_VALUE"""),"Fruit salads, pasta salads, potato salads, and lettuce salads.")</f>
        <v>Fruit salads, pasta salads, potato salads, and lettuce salads.</v>
      </c>
      <c r="C724" s="13" t="str">
        <f>IFERROR(__xludf.DUMMYFUNCTION("""COMPUTED_VALUE"""),"""uon{"":{""label"":""Salads"",""extra"":""Fruit salads, pasta salads, potato salads, and lettuce salads."",""sets"":""Junior 9+ (1st) &amp; (2nd)""},")</f>
        <v>"uon{":{"label":"Salads","extra":"Fruit salads, pasta salads, potato salads, and lettuce salads.","sets":"Junior 9+ (1st) &amp; (2nd)"},</v>
      </c>
    </row>
    <row r="725">
      <c r="A725" s="8" t="str">
        <f>IFERROR(__xludf.DUMMYFUNCTION("""COMPUTED_VALUE"""),"Salt")</f>
        <v>Salt</v>
      </c>
      <c r="B725" s="8" t="str">
        <f>IFERROR(__xludf.DUMMYFUNCTION("""COMPUTED_VALUE"""),"In ancient times salt was valuable. In fact, it was used as money.")</f>
        <v>In ancient times salt was valuable. In fact, it was used as money.</v>
      </c>
      <c r="C725" s="13" t="str">
        <f>IFERROR(__xludf.DUMMYFUNCTION("""COMPUTED_VALUE"""),"""jepy"":{""label"":""Salt"",""extra"":""In ancient times salt was valuable. In fact, it was used as money."",""sets"":""Junior 9+ (1st) &amp; (2nd)""},")</f>
        <v>"jepy":{"label":"Salt","extra":"In ancient times salt was valuable. In fact, it was used as money.","sets":"Junior 9+ (1st) &amp; (2nd)"},</v>
      </c>
    </row>
    <row r="726">
      <c r="A726" s="8" t="str">
        <f>IFERROR(__xludf.DUMMYFUNCTION("""COMPUTED_VALUE"""),"Salt &amp; Pepper")</f>
        <v>Salt &amp; Pepper</v>
      </c>
      <c r="B726" s="8" t="str">
        <f>IFERROR(__xludf.DUMMYFUNCTION("""COMPUTED_VALUE"""),"“Pump it up a notch! BAM! ” —Emeril Lagasse.")</f>
        <v>“Pump it up a notch! BAM! ” —Emeril Lagasse.</v>
      </c>
      <c r="C726" s="13" t="str">
        <f>IFERROR(__xludf.DUMMYFUNCTION("""COMPUTED_VALUE"""),"""pmkf"":{""label"":""Salt &amp; Pepper"",""extra"":""“Pump it up a notch! BAM! ” —Emeril Lagasse."",""sets"":""Expansion Set 4, Party Expansion 1""},")</f>
        <v>"pmkf":{"label":"Salt &amp; Pepper","extra":"“Pump it up a notch! BAM! ” —Emeril Lagasse.","sets":"Expansion Set 4, Party Expansion 1"},</v>
      </c>
    </row>
    <row r="727">
      <c r="A727" s="8" t="str">
        <f>IFERROR(__xludf.DUMMYFUNCTION("""COMPUTED_VALUE"""),"Sand")</f>
        <v>Sand</v>
      </c>
      <c r="B727" s="8" t="str">
        <f>IFERROR(__xludf.DUMMYFUNCTION("""COMPUTED_VALUE"""),"The desert, the dunes, the beach, and in your shoes.")</f>
        <v>The desert, the dunes, the beach, and in your shoes.</v>
      </c>
      <c r="C727" s="13" t="str">
        <f>IFERROR(__xludf.DUMMYFUNCTION("""COMPUTED_VALUE"""),"""kdjz"":{""label"":""Sand"",""extra"":""The desert, the dunes, the beach, and in your shoes."",""sets"":""Junior 9+ (1st) &amp; (2nd)""},")</f>
        <v>"kdjz":{"label":"Sand","extra":"The desert, the dunes, the beach, and in your shoes.","sets":"Junior 9+ (1st) &amp; (2nd)"},</v>
      </c>
    </row>
    <row r="728">
      <c r="A728" s="8" t="str">
        <f>IFERROR(__xludf.DUMMYFUNCTION("""COMPUTED_VALUE"""),"Sand &amp; Surf")</f>
        <v>Sand &amp; Surf</v>
      </c>
      <c r="B728" s="8" t="str">
        <f>IFERROR(__xludf.DUMMYFUNCTION("""COMPUTED_VALUE"""),"Life’s a beach!")</f>
        <v>Life’s a beach!</v>
      </c>
      <c r="C728" s="13" t="str">
        <f>IFERROR(__xludf.DUMMYFUNCTION("""COMPUTED_VALUE"""),"""hose"":{""label"":""Sand &amp; Surf"",""extra"":""Life’s a beach!"",""sets"":""Expansion Set 4, Party Expansion 1""},")</f>
        <v>"hose":{"label":"Sand &amp; Surf","extra":"Life’s a beach!","sets":"Expansion Set 4, Party Expansion 1"},</v>
      </c>
    </row>
    <row r="729">
      <c r="A729" s="8" t="str">
        <f>IFERROR(__xludf.DUMMYFUNCTION("""COMPUTED_VALUE"""),"Sand Castles")</f>
        <v>Sand Castles</v>
      </c>
      <c r="B729" s="8" t="str">
        <f>IFERROR(__xludf.DUMMYFUNCTION("""COMPUTED_VALUE"""),"No dogs allowed.")</f>
        <v>No dogs allowed.</v>
      </c>
      <c r="C729" s="13" t="str">
        <f>IFERROR(__xludf.DUMMYFUNCTION("""COMPUTED_VALUE"""),"""qlck"":{""label"":""Sand Castles"",""extra"":""No dogs allowed."",""sets"":""Junior 9+ (2nd)""},")</f>
        <v>"qlck":{"label":"Sand Castles","extra":"No dogs allowed.","sets":"Junior 9+ (2nd)"},</v>
      </c>
    </row>
    <row r="730">
      <c r="A730" s="8" t="str">
        <f>IFERROR(__xludf.DUMMYFUNCTION("""COMPUTED_VALUE"""),"Sandra Bullock")</f>
        <v>Sandra Bullock</v>
      </c>
      <c r="B730" s="8" t="str">
        <f>IFERROR(__xludf.DUMMYFUNCTION("""COMPUTED_VALUE"""),"1964-, American actor who starred in “Speed,” “Miss Congeniality,” and “While You Were Sleeping.” The classic girl-next-door.")</f>
        <v>1964-, American actor who starred in “Speed,” “Miss Congeniality,” and “While You Were Sleeping.” The classic girl-next-door.</v>
      </c>
      <c r="C730" s="13" t="str">
        <f>IFERROR(__xludf.DUMMYFUNCTION("""COMPUTED_VALUE"""),"""yitg"":{""label"":""Sandra Bullock"",""extra"":""1964-, American actor who starred in “Speed,” “Miss Congeniality,” and “While You Were Sleeping.” The classic girl-next-door."",""sets"":""Expansion Set 3, Party Expansion 1""},")</f>
        <v>"yitg":{"label":"Sandra Bullock","extra":"1964-, American actor who starred in “Speed,” “Miss Congeniality,” and “While You Were Sleeping.” The classic girl-next-door.","sets":"Expansion Set 3, Party Expansion 1"},</v>
      </c>
    </row>
    <row r="731">
      <c r="A731" s="8" t="str">
        <f>IFERROR(__xludf.DUMMYFUNCTION("""COMPUTED_VALUE"""),"Scented Candles")</f>
        <v>Scented Candles</v>
      </c>
      <c r="B731" s="8" t="str">
        <f>IFERROR(__xludf.DUMMYFUNCTION("""COMPUTED_VALUE"""),"You didn’t have to BAKE an apple pie just light a candle.")</f>
        <v>You didn’t have to BAKE an apple pie just light a candle.</v>
      </c>
      <c r="C731" s="13" t="str">
        <f>IFERROR(__xludf.DUMMYFUNCTION("""COMPUTED_VALUE"""),"""orpr"":{""label"":""Scented Candles"",""extra"":""You didn’t have to BAKE an apple pie just light a candle."",""sets"":""Expansion Set 3, Party Expansion 1""},")</f>
        <v>"orpr":{"label":"Scented Candles","extra":"You didn’t have to BAKE an apple pie just light a candle.","sets":"Expansion Set 3, Party Expansion 1"},</v>
      </c>
    </row>
    <row r="732">
      <c r="A732" s="8" t="str">
        <f>IFERROR(__xludf.DUMMYFUNCTION("""COMPUTED_VALUE"""),"School Buses")</f>
        <v>School Buses</v>
      </c>
      <c r="B732" s="8" t="str">
        <f>IFERROR(__xludf.DUMMYFUNCTION("""COMPUTED_VALUE"""),"Large, yellow buses used to take children to school.")</f>
        <v>Large, yellow buses used to take children to school.</v>
      </c>
      <c r="C732" s="13" t="str">
        <f>IFERROR(__xludf.DUMMYFUNCTION("""COMPUTED_VALUE"""),"""bvjb"":{""label"":""School Buses"",""extra"":""Large, yellow buses used to take children to school."",""sets"":""Junior""},")</f>
        <v>"bvjb":{"label":"School Buses","extra":"Large, yellow buses used to take children to school.","sets":"Junior"},</v>
      </c>
    </row>
    <row r="733">
      <c r="A733" s="8" t="str">
        <f>IFERROR(__xludf.DUMMYFUNCTION("""COMPUTED_VALUE"""),"School Lunch")</f>
        <v>School Lunch</v>
      </c>
      <c r="B733" s="8" t="str">
        <f>IFERROR(__xludf.DUMMYFUNCTION("""COMPUTED_VALUE"""),"Hot lunch, cold lunch, or bring your own lunch.")</f>
        <v>Hot lunch, cold lunch, or bring your own lunch.</v>
      </c>
      <c r="C733" s="13" t="str">
        <f>IFERROR(__xludf.DUMMYFUNCTION("""COMPUTED_VALUE"""),"""dbgl"":{""label"":""School Lunch"",""extra"":""Hot lunch, cold lunch, or bring your own lunch."",""sets"":""Junior 9+ (1st) &amp; (2nd)""},")</f>
        <v>"dbgl":{"label":"School Lunch","extra":"Hot lunch, cold lunch, or bring your own lunch.","sets":"Junior 9+ (1st) &amp; (2nd)"},</v>
      </c>
    </row>
    <row r="734">
      <c r="A734" s="8" t="str">
        <f>IFERROR(__xludf.DUMMYFUNCTION("""COMPUTED_VALUE"""),"School Pictures")</f>
        <v>School Pictures</v>
      </c>
      <c r="B734" s="8" t="str">
        <f>IFERROR(__xludf.DUMMYFUNCTION("""COMPUTED_VALUE"""),"How do I look?")</f>
        <v>How do I look?</v>
      </c>
      <c r="C734" s="13" t="str">
        <f>IFERROR(__xludf.DUMMYFUNCTION("""COMPUTED_VALUE"""),"""zepd"":{""label"":""School Pictures"",""extra"":""How do I look?"",""sets"":""Junior 9+ (2nd)""},")</f>
        <v>"zepd":{"label":"School Pictures","extra":"How do I look?","sets":"Junior 9+ (2nd)"},</v>
      </c>
    </row>
    <row r="735">
      <c r="A735" s="8" t="str">
        <f>IFERROR(__xludf.DUMMYFUNCTION("""COMPUTED_VALUE"""),"Science Experiments")</f>
        <v>Science Experiments</v>
      </c>
      <c r="B735" s="8" t="str">
        <f>IFERROR(__xludf.DUMMYFUNCTION("""COMPUTED_VALUE"""),"Your science experiment? I thought it was dinner!")</f>
        <v>Your science experiment? I thought it was dinner!</v>
      </c>
      <c r="C735" s="13" t="str">
        <f>IFERROR(__xludf.DUMMYFUNCTION("""COMPUTED_VALUE"""),"""tkof"":{""label"":""Science Experiments"",""extra"":""Your science experiment? I thought it was dinner!"",""sets"":""Junior 9+ (2nd)""},")</f>
        <v>"tkof":{"label":"Science Experiments","extra":"Your science experiment? I thought it was dinner!","sets":"Junior 9+ (2nd)"},</v>
      </c>
    </row>
    <row r="736">
      <c r="A736" s="8" t="str">
        <f>IFERROR(__xludf.DUMMYFUNCTION("""COMPUTED_VALUE"""),"Science Tests")</f>
        <v>Science Tests</v>
      </c>
      <c r="B736" s="8" t="str">
        <f>IFERROR(__xludf.DUMMYFUNCTION("""COMPUTED_VALUE"""),"Multiple choice or essay.")</f>
        <v>Multiple choice or essay.</v>
      </c>
      <c r="C736" s="13" t="str">
        <f>IFERROR(__xludf.DUMMYFUNCTION("""COMPUTED_VALUE"""),"""ngfi"":{""label"":""Science Tests"",""extra"":""Multiple choice or essay."",""sets"":""Junior 9+ (2nd)""},")</f>
        <v>"ngfi":{"label":"Science Tests","extra":"Multiple choice or essay.","sets":"Junior 9+ (2nd)"},</v>
      </c>
    </row>
    <row r="737">
      <c r="A737" s="8" t="str">
        <f>IFERROR(__xludf.DUMMYFUNCTION("""COMPUTED_VALUE"""),"Scientists")</f>
        <v>Scientists</v>
      </c>
      <c r="B737" s="8" t="str">
        <f>IFERROR(__xludf.DUMMYFUNCTION("""COMPUTED_VALUE"""),"Scientists study astronomy, biology, chemistry, geology, and other stuff.")</f>
        <v>Scientists study astronomy, biology, chemistry, geology, and other stuff.</v>
      </c>
      <c r="C737" s="13" t="str">
        <f>IFERROR(__xludf.DUMMYFUNCTION("""COMPUTED_VALUE"""),"""yuoc"":{""label"":""Scientists"",""extra"":""Scientists study astronomy, biology, chemistry, geology, and other stuff."",""sets"":""Junior 9+ (1st) &amp; (2nd)""},")</f>
        <v>"yuoc":{"label":"Scientists","extra":"Scientists study astronomy, biology, chemistry, geology, and other stuff.","sets":"Junior 9+ (1st) &amp; (2nd)"},</v>
      </c>
    </row>
    <row r="738">
      <c r="A738" s="8" t="str">
        <f>IFERROR(__xludf.DUMMYFUNCTION("""COMPUTED_VALUE"""),"Scooby-Doo")</f>
        <v>Scooby-Doo</v>
      </c>
      <c r="B738" s="8" t="str">
        <f>IFERROR(__xludf.DUMMYFUNCTION("""COMPUTED_VALUE"""),"TV cartoon dog who helps solve crimes. “Scooby-Doo, where are you?”")</f>
        <v>TV cartoon dog who helps solve crimes. “Scooby-Doo, where are you?”</v>
      </c>
      <c r="C738" s="13" t="str">
        <f>IFERROR(__xludf.DUMMYFUNCTION("""COMPUTED_VALUE"""),"""jzhp"":{""label"":""Scooby-Doo"",""extra"":""TV cartoon dog who helps solve crimes. “Scooby-Doo, where are you?”"",""sets"":""Junior 9+ (1st) &amp; (2nd)""},")</f>
        <v>"jzhp":{"label":"Scooby-Doo","extra":"TV cartoon dog who helps solve crimes. “Scooby-Doo, where are you?”","sets":"Junior 9+ (1st) &amp; (2nd)"},</v>
      </c>
    </row>
    <row r="739">
      <c r="A739" s="8" t="str">
        <f>IFERROR(__xludf.DUMMYFUNCTION("""COMPUTED_VALUE"""),"Screaming")</f>
        <v>Screaming</v>
      </c>
      <c r="B739" s="8" t="str">
        <f>IFERROR(__xludf.DUMMYFUNCTION("""COMPUTED_VALUE"""),"NOT SO LOUD!")</f>
        <v>NOT SO LOUD!</v>
      </c>
      <c r="C739" s="13" t="str">
        <f>IFERROR(__xludf.DUMMYFUNCTION("""COMPUTED_VALUE"""),"""swef"":{""label"":""Screaming"",""extra"":""NOT SO LOUD!"",""sets"":""Junior""},")</f>
        <v>"swef":{"label":"Screaming","extra":"NOT SO LOUD!","sets":"Junior"},</v>
      </c>
    </row>
    <row r="740">
      <c r="A740" s="8" t="str">
        <f>IFERROR(__xludf.DUMMYFUNCTION("""COMPUTED_VALUE"""),"Seashells")</f>
        <v>Seashells</v>
      </c>
      <c r="B740" s="8" t="str">
        <f>IFERROR(__xludf.DUMMYFUNCTION("""COMPUTED_VALUE"""),"The outer shells of sea animals. You can find them on the beach.")</f>
        <v>The outer shells of sea animals. You can find them on the beach.</v>
      </c>
      <c r="C740" s="13" t="str">
        <f>IFERROR(__xludf.DUMMYFUNCTION("""COMPUTED_VALUE"""),"""vthe"":{""label"":""Seashells"",""extra"":""The outer shells of sea animals. You can find them on the beach."",""sets"":""Junior""},")</f>
        <v>"vthe":{"label":"Seashells","extra":"The outer shells of sea animals. You can find them on the beach.","sets":"Junior"},</v>
      </c>
    </row>
    <row r="741">
      <c r="A741" s="8" t="str">
        <f>IFERROR(__xludf.DUMMYFUNCTION("""COMPUTED_VALUE"""),"Sesame Street")</f>
        <v>Sesame Street</v>
      </c>
      <c r="B741" s="8" t="str">
        <f>IFERROR(__xludf.DUMMYFUNCTION("""COMPUTED_VALUE"""),"Children’s television show featuring Big Bird. “Can you tell me how to get to Sesame Street?”")</f>
        <v>Children’s television show featuring Big Bird. “Can you tell me how to get to Sesame Street?”</v>
      </c>
      <c r="C741" s="13" t="str">
        <f>IFERROR(__xludf.DUMMYFUNCTION("""COMPUTED_VALUE"""),"""wxvu"":{""label"":""Sesame Street"",""extra"":""Children’s television show featuring Big Bird. “Can you tell me how to get to Sesame Street?”"",""sets"":""Junior""},")</f>
        <v>"wxvu":{"label":"Sesame Street","extra":"Children’s television show featuring Big Bird. “Can you tell me how to get to Sesame Street?”","sets":"Junior"},</v>
      </c>
    </row>
    <row r="742">
      <c r="A742" s="8" t="str">
        <f>IFERROR(__xludf.DUMMYFUNCTION("""COMPUTED_VALUE"""),"Shake &amp; Bake")</f>
        <v>Shake &amp; Bake</v>
      </c>
      <c r="B742" s="8" t="str">
        <f>IFERROR(__xludf.DUMMYFUNCTION("""COMPUTED_VALUE"""),"…and eat.")</f>
        <v>…and eat.</v>
      </c>
      <c r="C742" s="13" t="str">
        <f>IFERROR(__xludf.DUMMYFUNCTION("""COMPUTED_VALUE"""),"""hnzy"":{""label"":""Shake &amp; Bake"",""extra"":""…and eat."",""sets"":""Expansion Set 4, Party Expansion 1""},")</f>
        <v>"hnzy":{"label":"Shake &amp; Bake","extra":"…and eat.","sets":"Expansion Set 4, Party Expansion 1"},</v>
      </c>
    </row>
    <row r="743">
      <c r="A743" s="8" t="str">
        <f>IFERROR(__xludf.DUMMYFUNCTION("""COMPUTED_VALUE"""),"Sharks")</f>
        <v>Sharks</v>
      </c>
      <c r="B743" s="8" t="str">
        <f>IFERROR(__xludf.DUMMYFUNCTION("""COMPUTED_VALUE"""),"Meat-eating fish known for their speed, sharp teeth, and the large fins on their backs.")</f>
        <v>Meat-eating fish known for their speed, sharp teeth, and the large fins on their backs.</v>
      </c>
      <c r="C743" s="13" t="str">
        <f>IFERROR(__xludf.DUMMYFUNCTION("""COMPUTED_VALUE"""),"""enhc"":{""label"":""Sharks"",""extra"":""Meat-eating fish known for their speed, sharp teeth, and the large fins on their backs."",""sets"":""Junior""},")</f>
        <v>"enhc":{"label":"Sharks","extra":"Meat-eating fish known for their speed, sharp teeth, and the large fins on their backs.","sets":"Junior"},</v>
      </c>
    </row>
    <row r="744">
      <c r="A744" s="8" t="str">
        <f>IFERROR(__xludf.DUMMYFUNCTION("""COMPUTED_VALUE"""),"Sharp Knives")</f>
        <v>Sharp Knives</v>
      </c>
      <c r="B744" s="8" t="str">
        <f>IFERROR(__xludf.DUMMYFUNCTION("""COMPUTED_VALUE"""),"Found in kitchen drawers, tackle boxes and butcher shops.")</f>
        <v>Found in kitchen drawers, tackle boxes and butcher shops.</v>
      </c>
      <c r="C744" s="13" t="str">
        <f>IFERROR(__xludf.DUMMYFUNCTION("""COMPUTED_VALUE"""),"""srru"":{""label"":""Sharp Knives"",""extra"":""Found in kitchen drawers, tackle boxes and butcher shops."",""sets"":""Junior 9+ (2nd)""},")</f>
        <v>"srru":{"label":"Sharp Knives","extra":"Found in kitchen drawers, tackle boxes and butcher shops.","sets":"Junior 9+ (2nd)"},</v>
      </c>
    </row>
    <row r="745">
      <c r="A745" s="8" t="str">
        <f>IFERROR(__xludf.DUMMYFUNCTION("""COMPUTED_VALUE"""),"Shave &amp; A Haircut")</f>
        <v>Shave &amp; A Haircut</v>
      </c>
      <c r="B745" s="8" t="str">
        <f>IFERROR(__xludf.DUMMYFUNCTION("""COMPUTED_VALUE"""),"Two bits.")</f>
        <v>Two bits.</v>
      </c>
      <c r="C745" s="13" t="str">
        <f>IFERROR(__xludf.DUMMYFUNCTION("""COMPUTED_VALUE"""),"""axew"":{""label"":""Shave &amp; A Haircut"",""extra"":""Two bits."",""sets"":""Expansion Set 4, Party Expansion 1""},")</f>
        <v>"axew":{"label":"Shave &amp; A Haircut","extra":"Two bits.","sets":"Expansion Set 4, Party Expansion 1"},</v>
      </c>
    </row>
    <row r="746">
      <c r="A746" s="8" t="str">
        <f>IFERROR(__xludf.DUMMYFUNCTION("""COMPUTED_VALUE"""),"Ships")</f>
        <v>Ships</v>
      </c>
      <c r="B746" s="8" t="str">
        <f>IFERROR(__xludf.DUMMYFUNCTION("""COMPUTED_VALUE"""),"Battleships, cruise ships, freighters, and oil tankers.")</f>
        <v>Battleships, cruise ships, freighters, and oil tankers.</v>
      </c>
      <c r="C746" s="13" t="str">
        <f>IFERROR(__xludf.DUMMYFUNCTION("""COMPUTED_VALUE"""),"""lrpy"":{""label"":""Ships"",""extra"":""Battleships, cruise ships, freighters, and oil tankers."",""sets"":""Junior 9+ (1st) &amp; (2nd)""},")</f>
        <v>"lrpy":{"label":"Ships","extra":"Battleships, cruise ships, freighters, and oil tankers.","sets":"Junior 9+ (1st) &amp; (2nd)"},</v>
      </c>
    </row>
    <row r="747">
      <c r="A747" s="8" t="str">
        <f>IFERROR(__xludf.DUMMYFUNCTION("""COMPUTED_VALUE"""),"Shipwrecks")</f>
        <v>Shipwrecks</v>
      </c>
      <c r="B747" s="8" t="str">
        <f>IFERROR(__xludf.DUMMYFUNCTION("""COMPUTED_VALUE"""),"“The lake it is said never gives up her dead…” —The Wreck of the Edmund Fitzgerald")</f>
        <v>“The lake it is said never gives up her dead…” —The Wreck of the Edmund Fitzgerald</v>
      </c>
      <c r="C747" s="13" t="str">
        <f>IFERROR(__xludf.DUMMYFUNCTION("""COMPUTED_VALUE"""),"""meei"":{""label"":""Shipwrecks"",""extra"":""“The lake it is said never gives up her dead…” —The Wreck of the Edmund Fitzgerald"",""sets"":""Expansion Set 3, Party Expansion 1""},")</f>
        <v>"meei":{"label":"Shipwrecks","extra":"“The lake it is said never gives up her dead…” —The Wreck of the Edmund Fitzgerald","sets":"Expansion Set 3, Party Expansion 1"},</v>
      </c>
    </row>
    <row r="748">
      <c r="A748" s="8" t="str">
        <f>IFERROR(__xludf.DUMMYFUNCTION("""COMPUTED_VALUE"""),"Shoplifting")</f>
        <v>Shoplifting</v>
      </c>
      <c r="B748" s="8" t="str">
        <f>IFERROR(__xludf.DUMMYFUNCTION("""COMPUTED_VALUE"""),"It's stealing and it's against the law.")</f>
        <v>It's stealing and it's against the law.</v>
      </c>
      <c r="C748" s="13" t="str">
        <f>IFERROR(__xludf.DUMMYFUNCTION("""COMPUTED_VALUE"""),"""zvfi"":{""label"":""Shoplifting"",""extra"":""It's stealing and it's against the law."",""sets"":""Junior 9+ (2nd)""},")</f>
        <v>"zvfi":{"label":"Shoplifting","extra":"It's stealing and it's against the law.","sets":"Junior 9+ (2nd)"},</v>
      </c>
    </row>
    <row r="749">
      <c r="A749" s="8" t="str">
        <f>IFERROR(__xludf.DUMMYFUNCTION("""COMPUTED_VALUE"""),"Shopping")</f>
        <v>Shopping</v>
      </c>
      <c r="B749" s="8" t="str">
        <f>IFERROR(__xludf.DUMMYFUNCTION("""COMPUTED_VALUE"""),"It’s shopping-whether you buy something or not.")</f>
        <v>It’s shopping-whether you buy something or not.</v>
      </c>
      <c r="C749" s="13" t="str">
        <f>IFERROR(__xludf.DUMMYFUNCTION("""COMPUTED_VALUE"""),"""hzqf"":{""label"":""Shopping"",""extra"":""It’s shopping-whether you buy something or not."",""sets"":""Junior 9+ (2nd)""},")</f>
        <v>"hzqf":{"label":"Shopping","extra":"It’s shopping-whether you buy something or not.","sets":"Junior 9+ (2nd)"},</v>
      </c>
    </row>
    <row r="750">
      <c r="A750" s="8" t="str">
        <f>IFERROR(__xludf.DUMMYFUNCTION("""COMPUTED_VALUE"""),"Shrimp")</f>
        <v>Shrimp</v>
      </c>
      <c r="B750" s="8" t="str">
        <f>IFERROR(__xludf.DUMMYFUNCTION("""COMPUTED_VALUE"""),"Tiny to jumbo- they come in all sizes.")</f>
        <v>Tiny to jumbo- they come in all sizes.</v>
      </c>
      <c r="C750" s="13" t="str">
        <f>IFERROR(__xludf.DUMMYFUNCTION("""COMPUTED_VALUE"""),"""nype"":{""label"":""Shrimp"",""extra"":""Tiny to jumbo- they come in all sizes."",""sets"":""Junior 9+ (2nd)""},")</f>
        <v>"nype":{"label":"Shrimp","extra":"Tiny to jumbo- they come in all sizes.","sets":"Junior 9+ (2nd)"},</v>
      </c>
    </row>
    <row r="751">
      <c r="A751" s="8" t="str">
        <f>IFERROR(__xludf.DUMMYFUNCTION("""COMPUTED_VALUE"""),"Sin &amp; Redemption")</f>
        <v>Sin &amp; Redemption</v>
      </c>
      <c r="B751" s="8" t="str">
        <f>IFERROR(__xludf.DUMMYFUNCTION("""COMPUTED_VALUE"""),"Everybody deserves a second chance.")</f>
        <v>Everybody deserves a second chance.</v>
      </c>
      <c r="C751" s="13" t="str">
        <f>IFERROR(__xludf.DUMMYFUNCTION("""COMPUTED_VALUE"""),"""wctd"":{""label"":""Sin &amp; Redemption"",""extra"":""Everybody deserves a second chance."",""sets"":""Expansion Set 4, Party Expansion 1""},")</f>
        <v>"wctd":{"label":"Sin &amp; Redemption","extra":"Everybody deserves a second chance.","sets":"Expansion Set 4, Party Expansion 1"},</v>
      </c>
    </row>
    <row r="752">
      <c r="A752" s="8" t="str">
        <f>IFERROR(__xludf.DUMMYFUNCTION("""COMPUTED_VALUE"""),"Singing")</f>
        <v>Singing</v>
      </c>
      <c r="B752" s="8" t="str">
        <f>IFERROR(__xludf.DUMMYFUNCTION("""COMPUTED_VALUE"""),"Making music with your voice. La-la-la.")</f>
        <v>Making music with your voice. La-la-la.</v>
      </c>
      <c r="C752" s="13" t="str">
        <f>IFERROR(__xludf.DUMMYFUNCTION("""COMPUTED_VALUE"""),"""uufs"":{""label"":""Singing"",""extra"":""Making music with your voice. La-la-la."",""sets"":""Junior""},")</f>
        <v>"uufs":{"label":"Singing","extra":"Making music with your voice. La-la-la.","sets":"Junior"},</v>
      </c>
    </row>
    <row r="753">
      <c r="A753" s="8" t="str">
        <f>IFERROR(__xludf.DUMMYFUNCTION("""COMPUTED_VALUE"""),"Sisters")</f>
        <v>Sisters</v>
      </c>
      <c r="B753" s="8" t="str">
        <f>IFERROR(__xludf.DUMMYFUNCTION("""COMPUTED_VALUE"""),"Sister, sister!")</f>
        <v>Sister, sister!</v>
      </c>
      <c r="C753" s="13" t="str">
        <f>IFERROR(__xludf.DUMMYFUNCTION("""COMPUTED_VALUE"""),"""nm{x"":{""label"":""Sisters"",""extra"":""Sister, sister!"",""sets"":""Junior 9+ (1st) &amp; (2nd)""},")</f>
        <v>"nm{x":{"label":"Sisters","extra":"Sister, sister!","sets":"Junior 9+ (1st) &amp; (2nd)"},</v>
      </c>
    </row>
    <row r="754">
      <c r="A754" s="8" t="str">
        <f>IFERROR(__xludf.DUMMYFUNCTION("""COMPUTED_VALUE"""),"Sitcoms")</f>
        <v>Sitcoms</v>
      </c>
      <c r="B754" s="8" t="str">
        <f>IFERROR(__xludf.DUMMYFUNCTION("""COMPUTED_VALUE"""),"If they're so funny, WHY THE LAUGH TRACK?")</f>
        <v>If they're so funny, WHY THE LAUGH TRACK?</v>
      </c>
      <c r="C754" s="13" t="str">
        <f>IFERROR(__xludf.DUMMYFUNCTION("""COMPUTED_VALUE"""),"""dfqg"":{""label"":""Sitcoms"",""extra"":""If they're so funny, WHY THE LAUGH TRACK?"",""sets"":""Expansion Set 3, Party Expansion 1""},")</f>
        <v>"dfqg":{"label":"Sitcoms","extra":"If they're so funny, WHY THE LAUGH TRACK?","sets":"Expansion Set 3, Party Expansion 1"},</v>
      </c>
    </row>
    <row r="755">
      <c r="A755" s="8" t="str">
        <f>IFERROR(__xludf.DUMMYFUNCTION("""COMPUTED_VALUE"""),"Skateboarding")</f>
        <v>Skateboarding</v>
      </c>
      <c r="B755" s="8" t="str">
        <f>IFERROR(__xludf.DUMMYFUNCTION("""COMPUTED_VALUE"""),"It’s just going downhill… down stairs… down ramps…")</f>
        <v>It’s just going downhill… down stairs… down ramps…</v>
      </c>
      <c r="C755" s="13" t="str">
        <f>IFERROR(__xludf.DUMMYFUNCTION("""COMPUTED_VALUE"""),"""ihlg"":{""label"":""Skateboarding"",""extra"":""It’s just going downhill… down stairs… down ramps…"",""sets"":""Basic Set, Party Set""},")</f>
        <v>"ihlg":{"label":"Skateboarding","extra":"It’s just going downhill… down stairs… down ramps…","sets":"Basic Set, Party Set"},</v>
      </c>
    </row>
    <row r="756">
      <c r="A756" s="8" t="str">
        <f>IFERROR(__xludf.DUMMYFUNCTION("""COMPUTED_VALUE"""),"Skeletons")</f>
        <v>Skeletons</v>
      </c>
      <c r="B756" s="8" t="str">
        <f>IFERROR(__xludf.DUMMYFUNCTION("""COMPUTED_VALUE"""),"There are 206 bones in the human body. Count them!")</f>
        <v>There are 206 bones in the human body. Count them!</v>
      </c>
      <c r="C756" s="13" t="str">
        <f>IFERROR(__xludf.DUMMYFUNCTION("""COMPUTED_VALUE"""),"""dxyp"":{""label"":""Skeletons"",""extra"":""There are 206 bones in the human body. Count them!"",""sets"":""Junior 9+ (2nd)""},")</f>
        <v>"dxyp":{"label":"Skeletons","extra":"There are 206 bones in the human body. Count them!","sets":"Junior 9+ (2nd)"},</v>
      </c>
    </row>
    <row r="757">
      <c r="A757" s="8" t="str">
        <f>IFERROR(__xludf.DUMMYFUNCTION("""COMPUTED_VALUE"""),"Skin &amp; Bones")</f>
        <v>Skin &amp; Bones</v>
      </c>
      <c r="B757" s="8" t="str">
        <f>IFERROR(__xludf.DUMMYFUNCTION("""COMPUTED_VALUE"""),"What would you be without them?")</f>
        <v>What would you be without them?</v>
      </c>
      <c r="C757" s="13" t="str">
        <f>IFERROR(__xludf.DUMMYFUNCTION("""COMPUTED_VALUE"""),"""msrh"":{""label"":""Skin &amp; Bones"",""extra"":""What would you be without them?"",""sets"":""Expansion Set 4, Party Expansion 1""},")</f>
        <v>"msrh":{"label":"Skin &amp; Bones","extra":"What would you be without them?","sets":"Expansion Set 4, Party Expansion 1"},</v>
      </c>
    </row>
    <row r="758">
      <c r="A758" s="8" t="str">
        <f>IFERROR(__xludf.DUMMYFUNCTION("""COMPUTED_VALUE"""),"Skinned Knees")</f>
        <v>Skinned Knees</v>
      </c>
      <c r="B758" s="8" t="str">
        <f>IFERROR(__xludf.DUMMYFUNCTION("""COMPUTED_VALUE"""),"Ouch! Ouch! OUCH!")</f>
        <v>Ouch! Ouch! OUCH!</v>
      </c>
      <c r="C758" s="13" t="str">
        <f>IFERROR(__xludf.DUMMYFUNCTION("""COMPUTED_VALUE"""),"""oykk"":{""label"":""Skinned Knees"",""extra"":""Ouch! Ouch! OUCH!"",""sets"":""Junior 9+ (1st) &amp; (2nd)""},")</f>
        <v>"oykk":{"label":"Skinned Knees","extra":"Ouch! Ouch! OUCH!","sets":"Junior 9+ (1st) &amp; (2nd)"},</v>
      </c>
    </row>
    <row r="759">
      <c r="A759" s="8" t="str">
        <f>IFERROR(__xludf.DUMMYFUNCTION("""COMPUTED_VALUE"""),"Skunks")</f>
        <v>Skunks</v>
      </c>
      <c r="B759" s="8" t="str">
        <f>IFERROR(__xludf.DUMMYFUNCTION("""COMPUTED_VALUE"""),"Black, bushy-tailed animals with one or two white stripes down their backs. Stinky!")</f>
        <v>Black, bushy-tailed animals with one or two white stripes down their backs. Stinky!</v>
      </c>
      <c r="C759" s="13" t="str">
        <f>IFERROR(__xludf.DUMMYFUNCTION("""COMPUTED_VALUE"""),"""pemi"":{""label"":""Skunks"",""extra"":""Black, bushy-tailed animals with one or two white stripes down their backs. Stinky!"",""sets"":""Junior""},")</f>
        <v>"pemi":{"label":"Skunks","extra":"Black, bushy-tailed animals with one or two white stripes down their backs. Stinky!","sets":"Junior"},</v>
      </c>
    </row>
    <row r="760">
      <c r="A760" s="8" t="str">
        <f>IFERROR(__xludf.DUMMYFUNCTION("""COMPUTED_VALUE"""),"Slash &amp; Burn")</f>
        <v>Slash &amp; Burn</v>
      </c>
      <c r="B760" s="8" t="str">
        <f>IFERROR(__xludf.DUMMYFUNCTION("""COMPUTED_VALUE"""),"And there goes another rain forest…")</f>
        <v>And there goes another rain forest…</v>
      </c>
      <c r="C760" s="13" t="str">
        <f>IFERROR(__xludf.DUMMYFUNCTION("""COMPUTED_VALUE"""),"""awiz"":{""label"":""Slash &amp; Burn"",""extra"":""And there goes another rain forest…"",""sets"":""Expansion Set 4, Party Expansion 1""},")</f>
        <v>"awiz":{"label":"Slash &amp; Burn","extra":"And there goes another rain forest…","sets":"Expansion Set 4, Party Expansion 1"},</v>
      </c>
    </row>
    <row r="761">
      <c r="A761" s="8" t="str">
        <f>IFERROR(__xludf.DUMMYFUNCTION("""COMPUTED_VALUE"""),"Sledding")</f>
        <v>Sledding</v>
      </c>
      <c r="B761" s="8" t="str">
        <f>IFERROR(__xludf.DUMMYFUNCTION("""COMPUTED_VALUE"""),"It would be more fun if you didn't have to climb back up the hill.")</f>
        <v>It would be more fun if you didn't have to climb back up the hill.</v>
      </c>
      <c r="C761" s="13" t="str">
        <f>IFERROR(__xludf.DUMMYFUNCTION("""COMPUTED_VALUE"""),"""cqdz"":{""label"":""Sledding"",""extra"":""It would be more fun if you didn't have to climb back up the hill."",""sets"":""Junior""},")</f>
        <v>"cqdz":{"label":"Sledding","extra":"It would be more fun if you didn't have to climb back up the hill.","sets":"Junior"},</v>
      </c>
    </row>
    <row r="762">
      <c r="A762" s="8" t="str">
        <f>IFERROR(__xludf.DUMMYFUNCTION("""COMPUTED_VALUE"""),"Sleep")</f>
        <v>Sleep</v>
      </c>
      <c r="B762" s="8" t="str">
        <f>IFERROR(__xludf.DUMMYFUNCTION("""COMPUTED_VALUE"""),"“Don’t let the bedbugs bite.”")</f>
        <v>“Don’t let the bedbugs bite.”</v>
      </c>
      <c r="C762" s="13" t="str">
        <f>IFERROR(__xludf.DUMMYFUNCTION("""COMPUTED_VALUE"""),"""dfml"":{""label"":""Sleep"",""extra"":""“Don’t let the bedbugs bite.”"",""sets"":""Junior""},")</f>
        <v>"dfml":{"label":"Sleep","extra":"“Don’t let the bedbugs bite.”","sets":"Junior"},</v>
      </c>
    </row>
    <row r="763">
      <c r="A763" s="8" t="str">
        <f>IFERROR(__xludf.DUMMYFUNCTION("""COMPUTED_VALUE"""),"Sleepovers")</f>
        <v>Sleepovers</v>
      </c>
      <c r="B763" s="8" t="str">
        <f>IFERROR(__xludf.DUMMYFUNCTION("""COMPUTED_VALUE"""),"If you don’t sleep, is it still a sleepover?")</f>
        <v>If you don’t sleep, is it still a sleepover?</v>
      </c>
      <c r="C763" s="13" t="str">
        <f>IFERROR(__xludf.DUMMYFUNCTION("""COMPUTED_VALUE"""),"""ropr"":{""label"":""Sleepovers"",""extra"":""If you don’t sleep, is it still a sleepover?"",""sets"":""Junior 9+ (1st) &amp; (2nd)""},")</f>
        <v>"ropr":{"label":"Sleepovers","extra":"If you don’t sleep, is it still a sleepover?","sets":"Junior 9+ (1st) &amp; (2nd)"},</v>
      </c>
    </row>
    <row r="764">
      <c r="A764" s="8" t="str">
        <f>IFERROR(__xludf.DUMMYFUNCTION("""COMPUTED_VALUE"""),"Slice &amp; Dice")</f>
        <v>Slice &amp; Dice</v>
      </c>
      <c r="B764" s="8" t="str">
        <f>IFERROR(__xludf.DUMMYFUNCTION("""COMPUTED_VALUE"""),"A sharp knife is a safe knife.")</f>
        <v>A sharp knife is a safe knife.</v>
      </c>
      <c r="C764" s="13" t="str">
        <f>IFERROR(__xludf.DUMMYFUNCTION("""COMPUTED_VALUE"""),"""gufz"":{""label"":""Slice &amp; Dice"",""extra"":""A sharp knife is a safe knife."",""sets"":""Expansion Set 4, Party Expansion 1""},")</f>
        <v>"gufz":{"label":"Slice &amp; Dice","extra":"A sharp knife is a safe knife.","sets":"Expansion Set 4, Party Expansion 1"},</v>
      </c>
    </row>
    <row r="765">
      <c r="A765" s="8" t="str">
        <f>IFERROR(__xludf.DUMMYFUNCTION("""COMPUTED_VALUE"""),"Slip &amp; Fall")</f>
        <v>Slip &amp; Fall</v>
      </c>
      <c r="B765" s="8" t="str">
        <f>IFERROR(__xludf.DUMMYFUNCTION("""COMPUTED_VALUE"""),"Watch out for… too late!")</f>
        <v>Watch out for… too late!</v>
      </c>
      <c r="C765" s="13" t="str">
        <f>IFERROR(__xludf.DUMMYFUNCTION("""COMPUTED_VALUE"""),"""gmfq"":{""label"":""Slip &amp; Fall"",""extra"":""Watch out for… too late!"",""sets"":""Expansion Set 4, Party Expansion 1""},")</f>
        <v>"gmfq":{"label":"Slip &amp; Fall","extra":"Watch out for… too late!","sets":"Expansion Set 4, Party Expansion 1"},</v>
      </c>
    </row>
    <row r="766">
      <c r="A766" s="8" t="str">
        <f>IFERROR(__xludf.DUMMYFUNCTION("""COMPUTED_VALUE"""),"Smith &amp; Wesson")</f>
        <v>Smith &amp; Wesson</v>
      </c>
      <c r="B766" s="8" t="str">
        <f>IFERROR(__xludf.DUMMYFUNCTION("""COMPUTED_VALUE"""),"Firearms when ready!")</f>
        <v>Firearms when ready!</v>
      </c>
      <c r="C766" s="13" t="str">
        <f>IFERROR(__xludf.DUMMYFUNCTION("""COMPUTED_VALUE"""),"""mhiv"":{""label"":""Smith &amp; Wesson"",""extra"":""Firearms when ready!"",""sets"":""Expansion Set 4, Party Expansion 1""},")</f>
        <v>"mhiv":{"label":"Smith &amp; Wesson","extra":"Firearms when ready!","sets":"Expansion Set 4, Party Expansion 1"},</v>
      </c>
    </row>
    <row r="767">
      <c r="A767" s="8" t="str">
        <f>IFERROR(__xludf.DUMMYFUNCTION("""COMPUTED_VALUE"""),"Smoke")</f>
        <v>Smoke</v>
      </c>
      <c r="B767" s="8" t="str">
        <f>IFERROR(__xludf.DUMMYFUNCTION("""COMPUTED_VALUE"""),"“Where there's smoke, there's fire!”")</f>
        <v>“Where there's smoke, there's fire!”</v>
      </c>
      <c r="C767" s="13" t="str">
        <f>IFERROR(__xludf.DUMMYFUNCTION("""COMPUTED_VALUE"""),"""kckz"":{""label"":""Smoke"",""extra"":""“Where there's smoke, there's fire!”"",""sets"":""Junior""},")</f>
        <v>"kckz":{"label":"Smoke","extra":"“Where there's smoke, there's fire!”","sets":"Junior"},</v>
      </c>
    </row>
    <row r="768">
      <c r="A768" s="8" t="str">
        <f>IFERROR(__xludf.DUMMYFUNCTION("""COMPUTED_VALUE"""),"Smoke &amp; Mirrors")</f>
        <v>Smoke &amp; Mirrors</v>
      </c>
      <c r="B768" s="8" t="str">
        <f>IFERROR(__xludf.DUMMYFUNCTION("""COMPUTED_VALUE"""),"That’s how we do it!")</f>
        <v>That’s how we do it!</v>
      </c>
      <c r="C768" s="13" t="str">
        <f>IFERROR(__xludf.DUMMYFUNCTION("""COMPUTED_VALUE"""),"""hwgk"":{""label"":""Smoke &amp; Mirrors"",""extra"":""That’s how we do it!"",""sets"":""Expansion Set 4, Party Expansion 1""},")</f>
        <v>"hwgk":{"label":"Smoke &amp; Mirrors","extra":"That’s how we do it!","sets":"Expansion Set 4, Party Expansion 1"},</v>
      </c>
    </row>
    <row r="769">
      <c r="A769" s="8" t="str">
        <f>IFERROR(__xludf.DUMMYFUNCTION("""COMPUTED_VALUE"""),"Snakes")</f>
        <v>Snakes</v>
      </c>
      <c r="B769" s="8" t="str">
        <f>IFERROR(__xludf.DUMMYFUNCTION("""COMPUTED_VALUE"""),"Surprising, snakes move rapidly without legs. Also surprising, they find OTHER snakes attractive.")</f>
        <v>Surprising, snakes move rapidly without legs. Also surprising, they find OTHER snakes attractive.</v>
      </c>
      <c r="C769" s="13" t="str">
        <f>IFERROR(__xludf.DUMMYFUNCTION("""COMPUTED_VALUE"""),"""inxj"":{""label"":""Snakes"",""extra"":""Surprising, snakes move rapidly without legs. Also surprising, they find OTHER snakes attractive."",""sets"":""Basic Set, Party Set""},")</f>
        <v>"inxj":{"label":"Snakes","extra":"Surprising, snakes move rapidly without legs. Also surprising, they find OTHER snakes attractive.","sets":"Basic Set, Party Set"},</v>
      </c>
    </row>
    <row r="770">
      <c r="A770" s="8" t="str">
        <f>IFERROR(__xludf.DUMMYFUNCTION("""COMPUTED_VALUE"""),"Sneezing")</f>
        <v>Sneezing</v>
      </c>
      <c r="B770" s="8" t="str">
        <f>IFERROR(__xludf.DUMMYFUNCTION("""COMPUTED_VALUE"""),"Ah-ah-ah-choo!")</f>
        <v>Ah-ah-ah-choo!</v>
      </c>
      <c r="C770" s="13" t="str">
        <f>IFERROR(__xludf.DUMMYFUNCTION("""COMPUTED_VALUE"""),"""zwrt"":{""label"":""Sneezing"",""extra"":""Ah-ah-ah-choo!"",""sets"":""Junior 9+ (1st) &amp; (2nd)""},")</f>
        <v>"zwrt":{"label":"Sneezing","extra":"Ah-ah-ah-choo!","sets":"Junior 9+ (1st) &amp; (2nd)"},</v>
      </c>
    </row>
    <row r="771">
      <c r="A771" s="8" t="str">
        <f>IFERROR(__xludf.DUMMYFUNCTION("""COMPUTED_VALUE"""),"Snips &amp; Snails")</f>
        <v>Snips &amp; Snails</v>
      </c>
      <c r="B771" s="8" t="str">
        <f>IFERROR(__xludf.DUMMYFUNCTION("""COMPUTED_VALUE"""),"And puppy dog tails.")</f>
        <v>And puppy dog tails.</v>
      </c>
      <c r="C771" s="13" t="str">
        <f>IFERROR(__xludf.DUMMYFUNCTION("""COMPUTED_VALUE"""),"""htnz"":{""label"":""Snips &amp; Snails"",""extra"":""And puppy dog tails."",""sets"":""Expansion Set 4, Party Expansion 1""},")</f>
        <v>"htnz":{"label":"Snips &amp; Snails","extra":"And puppy dog tails.","sets":"Expansion Set 4, Party Expansion 1"},</v>
      </c>
    </row>
    <row r="772">
      <c r="A772" s="8" t="str">
        <f>IFERROR(__xludf.DUMMYFUNCTION("""COMPUTED_VALUE"""),"Snoopy")</f>
        <v>Snoopy</v>
      </c>
      <c r="B772" s="8" t="str">
        <f>IFERROR(__xludf.DUMMYFUNCTION("""COMPUTED_VALUE"""),"The little, white beagle from the “Peanuts” cartoon.")</f>
        <v>The little, white beagle from the “Peanuts” cartoon.</v>
      </c>
      <c r="C772" s="13" t="str">
        <f>IFERROR(__xludf.DUMMYFUNCTION("""COMPUTED_VALUE"""),"""mwej"":{""label"":""Snoopy"",""extra"":""The little, white beagle from the “Peanuts” cartoon."",""sets"":""Junior""},")</f>
        <v>"mwej":{"label":"Snoopy","extra":"The little, white beagle from the “Peanuts” cartoon.","sets":"Junior"},</v>
      </c>
    </row>
    <row r="773">
      <c r="A773" s="8" t="str">
        <f>IFERROR(__xludf.DUMMYFUNCTION("""COMPUTED_VALUE"""),"Snoopy &amp; The Red Barron")</f>
        <v>Snoopy &amp; The Red Barron</v>
      </c>
      <c r="B773" s="8" t="str">
        <f>IFERROR(__xludf.DUMMYFUNCTION("""COMPUTED_VALUE"""),"Characters in the Peanuts comic strip. Talk about a dog fight!")</f>
        <v>Characters in the Peanuts comic strip. Talk about a dog fight!</v>
      </c>
      <c r="C773" s="13" t="str">
        <f>IFERROR(__xludf.DUMMYFUNCTION("""COMPUTED_VALUE"""),"""gzkx"":{""label"":""Snoopy &amp; The Red Barron"",""extra"":""Characters in the Peanuts comic strip. Talk about a dog fight!"",""sets"":""Expansion Set 4, Party Expansion 1""},")</f>
        <v>"gzkx":{"label":"Snoopy &amp; The Red Barron","extra":"Characters in the Peanuts comic strip. Talk about a dog fight!","sets":"Expansion Set 4, Party Expansion 1"},</v>
      </c>
    </row>
    <row r="774">
      <c r="A774" s="8" t="str">
        <f>IFERROR(__xludf.DUMMYFUNCTION("""COMPUTED_VALUE"""),"Snow Cones")</f>
        <v>Snow Cones</v>
      </c>
      <c r="B774" s="8" t="str">
        <f>IFERROR(__xludf.DUMMYFUNCTION("""COMPUTED_VALUE"""),"You don’t have to wait for snow.")</f>
        <v>You don’t have to wait for snow.</v>
      </c>
      <c r="C774" s="13" t="str">
        <f>IFERROR(__xludf.DUMMYFUNCTION("""COMPUTED_VALUE"""),"""ckol"":{""label"":""Snow Cones"",""extra"":""You don’t have to wait for snow."",""sets"":""Junior 9+ (1st) &amp; (2nd)""},")</f>
        <v>"ckol":{"label":"Snow Cones","extra":"You don’t have to wait for snow.","sets":"Junior 9+ (1st) &amp; (2nd)"},</v>
      </c>
    </row>
    <row r="775">
      <c r="A775" s="8" t="str">
        <f>IFERROR(__xludf.DUMMYFUNCTION("""COMPUTED_VALUE"""),"Snow White")</f>
        <v>Snow White</v>
      </c>
      <c r="B775" s="8" t="str">
        <f>IFERROR(__xludf.DUMMYFUNCTION("""COMPUTED_VALUE"""),"“Mirror, mirror, on the wall, who is the fairest of them all?”")</f>
        <v>“Mirror, mirror, on the wall, who is the fairest of them all?”</v>
      </c>
      <c r="C775" s="13" t="str">
        <f>IFERROR(__xludf.DUMMYFUNCTION("""COMPUTED_VALUE"""),"""bcrr"":{""label"":""Snow White"",""extra"":""“Mirror, mirror, on the wall, who is the fairest of them all?”"",""sets"":""Junior""},")</f>
        <v>"bcrr":{"label":"Snow White","extra":"“Mirror, mirror, on the wall, who is the fairest of them all?”","sets":"Junior"},</v>
      </c>
    </row>
    <row r="776">
      <c r="A776" s="8" t="str">
        <f>IFERROR(__xludf.DUMMYFUNCTION("""COMPUTED_VALUE"""),"Snowballs")</f>
        <v>Snowballs</v>
      </c>
      <c r="B776" s="8" t="str">
        <f>IFERROR(__xludf.DUMMYFUNCTION("""COMPUTED_VALUE"""),"Just right for throwing!")</f>
        <v>Just right for throwing!</v>
      </c>
      <c r="C776" s="13" t="str">
        <f>IFERROR(__xludf.DUMMYFUNCTION("""COMPUTED_VALUE"""),"""irbf"":{""label"":""Snowballs"",""extra"":""Just right for throwing!"",""sets"":""Junior""},")</f>
        <v>"irbf":{"label":"Snowballs","extra":"Just right for throwing!","sets":"Junior"},</v>
      </c>
    </row>
    <row r="777">
      <c r="A777" s="8" t="str">
        <f>IFERROR(__xludf.DUMMYFUNCTION("""COMPUTED_VALUE"""),"Snowboarding")</f>
        <v>Snowboarding</v>
      </c>
      <c r="B777" s="8" t="str">
        <f>IFERROR(__xludf.DUMMYFUNCTION("""COMPUTED_VALUE"""),"Snowboarding was declared an official Olympic sport in 1994.")</f>
        <v>Snowboarding was declared an official Olympic sport in 1994.</v>
      </c>
      <c r="C777" s="13" t="str">
        <f>IFERROR(__xludf.DUMMYFUNCTION("""COMPUTED_VALUE"""),"""oyjl"":{""label"":""Snowboarding"",""extra"":""Snowboarding was declared an official Olympic sport in 1994."",""sets"":""Junior 9+ (2nd)""},")</f>
        <v>"oyjl":{"label":"Snowboarding","extra":"Snowboarding was declared an official Olympic sport in 1994.","sets":"Junior 9+ (2nd)"},</v>
      </c>
    </row>
    <row r="778">
      <c r="A778" s="8" t="str">
        <f>IFERROR(__xludf.DUMMYFUNCTION("""COMPUTED_VALUE"""),"Snowflakes")</f>
        <v>Snowflakes</v>
      </c>
      <c r="B778" s="8" t="str">
        <f>IFERROR(__xludf.DUMMYFUNCTION("""COMPUTED_VALUE"""),"They say each one is different, but who would know?")</f>
        <v>They say each one is different, but who would know?</v>
      </c>
      <c r="C778" s="13" t="str">
        <f>IFERROR(__xludf.DUMMYFUNCTION("""COMPUTED_VALUE"""),"""kmch"":{""label"":""Snowflakes"",""extra"":""They say each one is different, but who would know?"",""sets"":""Junior 9+ (2nd)""},")</f>
        <v>"kmch":{"label":"Snowflakes","extra":"They say each one is different, but who would know?","sets":"Junior 9+ (2nd)"},</v>
      </c>
    </row>
    <row r="779">
      <c r="A779" s="8" t="str">
        <f>IFERROR(__xludf.DUMMYFUNCTION("""COMPUTED_VALUE"""),"Snowstorm")</f>
        <v>Snowstorm</v>
      </c>
      <c r="B779" s="8" t="str">
        <f>IFERROR(__xludf.DUMMYFUNCTION("""COMPUTED_VALUE"""),"Lots of snow blowing around. Maybe school will be closed!")</f>
        <v>Lots of snow blowing around. Maybe school will be closed!</v>
      </c>
      <c r="C779" s="13" t="str">
        <f>IFERROR(__xludf.DUMMYFUNCTION("""COMPUTED_VALUE"""),"""jtix"":{""label"":""Snowstorm"",""extra"":""Lots of snow blowing around. Maybe school will be closed!"",""sets"":""Junior""},")</f>
        <v>"jtix":{"label":"Snowstorm","extra":"Lots of snow blowing around. Maybe school will be closed!","sets":"Junior"},</v>
      </c>
    </row>
    <row r="780">
      <c r="A780" s="8" t="str">
        <f>IFERROR(__xludf.DUMMYFUNCTION("""COMPUTED_VALUE"""),"Soccer")</f>
        <v>Soccer</v>
      </c>
      <c r="B780" s="8" t="str">
        <f>IFERROR(__xludf.DUMMYFUNCTION("""COMPUTED_VALUE"""),"A favorite team sport for kids. KICK IT!")</f>
        <v>A favorite team sport for kids. KICK IT!</v>
      </c>
      <c r="C780" s="13" t="str">
        <f>IFERROR(__xludf.DUMMYFUNCTION("""COMPUTED_VALUE"""),"""jyyq"":{""label"":""Soccer"",""extra"":""A favorite team sport for kids. KICK IT!"",""sets"":""Junior""},")</f>
        <v>"jyyq":{"label":"Soccer","extra":"A favorite team sport for kids. KICK IT!","sets":"Junior"},</v>
      </c>
    </row>
    <row r="781">
      <c r="A781" s="8" t="str">
        <f>IFERROR(__xludf.DUMMYFUNCTION("""COMPUTED_VALUE"""),"Soldiers")</f>
        <v>Soldiers</v>
      </c>
      <c r="B781" s="8" t="str">
        <f>IFERROR(__xludf.DUMMYFUNCTION("""COMPUTED_VALUE"""),"Men and women who serve in the military.")</f>
        <v>Men and women who serve in the military.</v>
      </c>
      <c r="C781" s="13" t="str">
        <f>IFERROR(__xludf.DUMMYFUNCTION("""COMPUTED_VALUE"""),"""fzjk"":{""label"":""Soldiers"",""extra"":""Men and women who serve in the military."",""sets"":""Junior 9+ (1st) &amp; (2nd)""},")</f>
        <v>"fzjk":{"label":"Soldiers","extra":"Men and women who serve in the military.","sets":"Junior 9+ (1st) &amp; (2nd)"},</v>
      </c>
    </row>
    <row r="782">
      <c r="A782" s="8" t="str">
        <f>IFERROR(__xludf.DUMMYFUNCTION("""COMPUTED_VALUE"""),"Space &amp; Time")</f>
        <v>Space &amp; Time</v>
      </c>
      <c r="B782" s="8" t="str">
        <f>IFERROR(__xludf.DUMMYFUNCTION("""COMPUTED_VALUE"""),"Infinite.")</f>
        <v>Infinite.</v>
      </c>
      <c r="C782" s="13" t="str">
        <f>IFERROR(__xludf.DUMMYFUNCTION("""COMPUTED_VALUE"""),"""yydu"":{""label"":""Space &amp; Time"",""extra"":""Infinite."",""sets"":""Expansion Set 4, Party Expansion 1""},")</f>
        <v>"yydu":{"label":"Space &amp; Time","extra":"Infinite.","sets":"Expansion Set 4, Party Expansion 1"},</v>
      </c>
    </row>
    <row r="783">
      <c r="A783" s="8" t="str">
        <f>IFERROR(__xludf.DUMMYFUNCTION("""COMPUTED_VALUE"""),"Spaghetti")</f>
        <v>Spaghetti</v>
      </c>
      <c r="B783" s="8" t="str">
        <f>IFERROR(__xludf.DUMMYFUNCTION("""COMPUTED_VALUE"""),"Looks like a plate of worms!")</f>
        <v>Looks like a plate of worms!</v>
      </c>
      <c r="C783" s="13" t="str">
        <f>IFERROR(__xludf.DUMMYFUNCTION("""COMPUTED_VALUE"""),"""tvqh"":{""label"":""Spaghetti"",""extra"":""Looks like a plate of worms!"",""sets"":""Junior""},")</f>
        <v>"tvqh":{"label":"Spaghetti","extra":"Looks like a plate of worms!","sets":"Junior"},</v>
      </c>
    </row>
    <row r="784">
      <c r="A784" s="8" t="str">
        <f>IFERROR(__xludf.DUMMYFUNCTION("""COMPUTED_VALUE"""),"Sparklers")</f>
        <v>Sparklers</v>
      </c>
      <c r="B784" s="8" t="str">
        <f>IFERROR(__xludf.DUMMYFUNCTION("""COMPUTED_VALUE"""),"They'’e still fireworks!")</f>
        <v>They'’e still fireworks!</v>
      </c>
      <c r="C784" s="13" t="str">
        <f>IFERROR(__xludf.DUMMYFUNCTION("""COMPUTED_VALUE"""),"""bjzp"":{""label"":""Sparklers"",""extra"":""They'’e still fireworks!"",""sets"":""Junior 9+ (2nd)""},")</f>
        <v>"bjzp":{"label":"Sparklers","extra":"They'’e still fireworks!","sets":"Junior 9+ (2nd)"},</v>
      </c>
    </row>
    <row r="785">
      <c r="A785" s="8" t="str">
        <f>IFERROR(__xludf.DUMMYFUNCTION("""COMPUTED_VALUE"""),"Spelling Bees")</f>
        <v>Spelling Bees</v>
      </c>
      <c r="B785" s="8" t="str">
        <f>IFERROR(__xludf.DUMMYFUNCTION("""COMPUTED_VALUE"""),"Spelling contests. They have nothing to do with bees.")</f>
        <v>Spelling contests. They have nothing to do with bees.</v>
      </c>
      <c r="C785" s="13" t="str">
        <f>IFERROR(__xludf.DUMMYFUNCTION("""COMPUTED_VALUE"""),"""zuml"":{""label"":""Spelling Bees"",""extra"":""Spelling contests. They have nothing to do with bees."",""sets"":""Junior 9+ (1st) &amp; (2nd)""},")</f>
        <v>"zuml":{"label":"Spelling Bees","extra":"Spelling contests. They have nothing to do with bees.","sets":"Junior 9+ (1st) &amp; (2nd)"},</v>
      </c>
    </row>
    <row r="786">
      <c r="A786" s="8" t="str">
        <f>IFERROR(__xludf.DUMMYFUNCTION("""COMPUTED_VALUE"""),"Spider-Man")</f>
        <v>Spider-Man</v>
      </c>
      <c r="B786" s="8" t="str">
        <f>IFERROR(__xludf.DUMMYFUNCTION("""COMPUTED_VALUE"""),"He’s a student. He’s a superhuman crime fighter. He's Spider-Man!")</f>
        <v>He’s a student. He’s a superhuman crime fighter. He's Spider-Man!</v>
      </c>
      <c r="C786" s="13" t="str">
        <f>IFERROR(__xludf.DUMMYFUNCTION("""COMPUTED_VALUE"""),"""idgx"":{""label"":""Spider-Man"",""extra"":""He’s a student. He’s a superhuman crime fighter. He's Spider-Man!"",""sets"":""Junior 9+ (2nd)""},")</f>
        <v>"idgx":{"label":"Spider-Man","extra":"He’s a student. He’s a superhuman crime fighter. He's Spider-Man!","sets":"Junior 9+ (2nd)"},</v>
      </c>
    </row>
    <row r="787">
      <c r="A787" s="8" t="str">
        <f>IFERROR(__xludf.DUMMYFUNCTION("""COMPUTED_VALUE"""),"Spiders")</f>
        <v>Spiders</v>
      </c>
      <c r="B787" s="8" t="str">
        <f>IFERROR(__xludf.DUMMYFUNCTION("""COMPUTED_VALUE"""),"They have eight legs and they spin webs to catch their food.")</f>
        <v>They have eight legs and they spin webs to catch their food.</v>
      </c>
      <c r="C787" s="13" t="str">
        <f>IFERROR(__xludf.DUMMYFUNCTION("""COMPUTED_VALUE"""),"""oppl"":{""label"":""Spiders"",""extra"":""They have eight legs and they spin webs to catch their food."",""sets"":""Junior""},")</f>
        <v>"oppl":{"label":"Spiders","extra":"They have eight legs and they spin webs to catch their food.","sets":"Junior"},</v>
      </c>
    </row>
    <row r="788">
      <c r="A788" s="8" t="str">
        <f>IFERROR(__xludf.DUMMYFUNCTION("""COMPUTED_VALUE"""),"Spiders &amp; Snakes")</f>
        <v>Spiders &amp; Snakes</v>
      </c>
      <c r="B788" s="8" t="str">
        <f>IFERROR(__xludf.DUMMYFUNCTION("""COMPUTED_VALUE"""),"Creepy! Legs or no legs.")</f>
        <v>Creepy! Legs or no legs.</v>
      </c>
      <c r="C788" s="13" t="str">
        <f>IFERROR(__xludf.DUMMYFUNCTION("""COMPUTED_VALUE"""),"""soex"":{""label"":""Spiders &amp; Snakes"",""extra"":""Creepy! Legs or no legs."",""sets"":""Expansion Set 4, Party Expansion 1""},")</f>
        <v>"soex":{"label":"Spiders &amp; Snakes","extra":"Creepy! Legs or no legs.","sets":"Expansion Set 4, Party Expansion 1"},</v>
      </c>
    </row>
    <row r="789">
      <c r="A789" s="8" t="str">
        <f>IFERROR(__xludf.DUMMYFUNCTION("""COMPUTED_VALUE"""),"Spinach")</f>
        <v>Spinach</v>
      </c>
      <c r="B789" s="8" t="str">
        <f>IFERROR(__xludf.DUMMYFUNCTION("""COMPUTED_VALUE"""),"Raw or cooked- it’s full of vitamins.")</f>
        <v>Raw or cooked- it’s full of vitamins.</v>
      </c>
      <c r="C789" s="13" t="str">
        <f>IFERROR(__xludf.DUMMYFUNCTION("""COMPUTED_VALUE"""),"""rehd"":{""label"":""Spinach"",""extra"":""Raw or cooked- it’s full of vitamins."",""sets"":""Junior 9+ (2nd)""},")</f>
        <v>"rehd":{"label":"Spinach","extra":"Raw or cooked- it’s full of vitamins.","sets":"Junior 9+ (2nd)"},</v>
      </c>
    </row>
    <row r="790">
      <c r="A790" s="8" t="str">
        <f>IFERROR(__xludf.DUMMYFUNCTION("""COMPUTED_VALUE"""),"Spit")</f>
        <v>Spit</v>
      </c>
      <c r="B790" s="8" t="str">
        <f>IFERROR(__xludf.DUMMYFUNCTION("""COMPUTED_VALUE"""),"Ladies and gentlemen, straight from the Salivary Glands…")</f>
        <v>Ladies and gentlemen, straight from the Salivary Glands…</v>
      </c>
      <c r="C790" s="13" t="str">
        <f>IFERROR(__xludf.DUMMYFUNCTION("""COMPUTED_VALUE"""),"""ofyu"":{""label"":""Spit"",""extra"":""Ladies and gentlemen, straight from the Salivary Glands…"",""sets"":""Basic Set, Party Set""},")</f>
        <v>"ofyu":{"label":"Spit","extra":"Ladies and gentlemen, straight from the Salivary Glands…","sets":"Basic Set, Party Set"},</v>
      </c>
    </row>
    <row r="791">
      <c r="A791" s="8" t="str">
        <f>IFERROR(__xludf.DUMMYFUNCTION("""COMPUTED_VALUE"""),"Spit &amp; Polish")</f>
        <v>Spit &amp; Polish</v>
      </c>
      <c r="B791" s="8" t="str">
        <f>IFERROR(__xludf.DUMMYFUNCTION("""COMPUTED_VALUE"""),"We could do with less spit and more polish.")</f>
        <v>We could do with less spit and more polish.</v>
      </c>
      <c r="C791" s="13" t="str">
        <f>IFERROR(__xludf.DUMMYFUNCTION("""COMPUTED_VALUE"""),"""eebn"":{""label"":""Spit &amp; Polish"",""extra"":""We could do with less spit and more polish."",""sets"":""Expansion Set 4, Party Expansion 1""},")</f>
        <v>"eebn":{"label":"Spit &amp; Polish","extra":"We could do with less spit and more polish.","sets":"Expansion Set 4, Party Expansion 1"},</v>
      </c>
    </row>
    <row r="792">
      <c r="A792" s="8" t="str">
        <f>IFERROR(__xludf.DUMMYFUNCTION("""COMPUTED_VALUE"""),"Square Dancing")</f>
        <v>Square Dancing</v>
      </c>
      <c r="B792" s="8" t="str">
        <f>IFERROR(__xludf.DUMMYFUNCTION("""COMPUTED_VALUE"""),"“Swing your partner!”")</f>
        <v>“Swing your partner!”</v>
      </c>
      <c r="C792" s="13" t="str">
        <f>IFERROR(__xludf.DUMMYFUNCTION("""COMPUTED_VALUE"""),"""cuue"":{""label"":""Square Dancing"",""extra"":""“Swing your partner!”"",""sets"":""Junior 9+ (2nd)""},")</f>
        <v>"cuue":{"label":"Square Dancing","extra":"“Swing your partner!”","sets":"Junior 9+ (2nd)"},</v>
      </c>
    </row>
    <row r="793">
      <c r="A793" s="8" t="str">
        <f>IFERROR(__xludf.DUMMYFUNCTION("""COMPUTED_VALUE"""),"Squirrels")</f>
        <v>Squirrels</v>
      </c>
      <c r="B793" s="8" t="str">
        <f>IFERROR(__xludf.DUMMYFUNCTION("""COMPUTED_VALUE"""),"Small animals with big brown eyes and bushy tails. They like nuts and can run on telephone lines.")</f>
        <v>Small animals with big brown eyes and bushy tails. They like nuts and can run on telephone lines.</v>
      </c>
      <c r="C793" s="13" t="str">
        <f>IFERROR(__xludf.DUMMYFUNCTION("""COMPUTED_VALUE"""),"""soqu"":{""label"":""Squirrels"",""extra"":""Small animals with big brown eyes and bushy tails. They like nuts and can run on telephone lines."",""sets"":""Junior""},")</f>
        <v>"soqu":{"label":"Squirrels","extra":"Small animals with big brown eyes and bushy tails. They like nuts and can run on telephone lines.","sets":"Junior"},</v>
      </c>
    </row>
    <row r="794">
      <c r="A794" s="8" t="str">
        <f>IFERROR(__xludf.DUMMYFUNCTION("""COMPUTED_VALUE"""),"Stalactites &amp; Stalagmites")</f>
        <v>Stalactites &amp; Stalagmites</v>
      </c>
      <c r="B794" s="8" t="str">
        <f>IFERROR(__xludf.DUMMYFUNCTION("""COMPUTED_VALUE"""),"The ups and downs of spelunking.")</f>
        <v>The ups and downs of spelunking.</v>
      </c>
      <c r="C794" s="13" t="str">
        <f>IFERROR(__xludf.DUMMYFUNCTION("""COMPUTED_VALUE"""),"""vzne"":{""label"":""Stalactites &amp; Stalagmites"",""extra"":""The ups and downs of spelunking."",""sets"":""Expansion Set 4, Party Expansion 1""},")</f>
        <v>"vzne":{"label":"Stalactites &amp; Stalagmites","extra":"The ups and downs of spelunking.","sets":"Expansion Set 4, Party Expansion 1"},</v>
      </c>
    </row>
    <row r="795">
      <c r="A795" s="8" t="str">
        <f>IFERROR(__xludf.DUMMYFUNCTION("""COMPUTED_VALUE"""),"Stamp Collecting")</f>
        <v>Stamp Collecting</v>
      </c>
      <c r="B795" s="8" t="str">
        <f>IFERROR(__xludf.DUMMYFUNCTION("""COMPUTED_VALUE"""),"If you can't lick ’em, collect ’em.")</f>
        <v>If you can't lick ’em, collect ’em.</v>
      </c>
      <c r="C795" s="13" t="str">
        <f>IFERROR(__xludf.DUMMYFUNCTION("""COMPUTED_VALUE"""),"""vsi{"":{""label"":""Stamp Collecting"",""extra"":""If you can't lick ’em, collect ’em."",""sets"":""Expansion Set 3, Party Expansion 1""},")</f>
        <v>"vsi{":{"label":"Stamp Collecting","extra":"If you can't lick ’em, collect ’em.","sets":"Expansion Set 3, Party Expansion 1"},</v>
      </c>
    </row>
    <row r="796">
      <c r="A796" s="8" t="str">
        <f>IFERROR(__xludf.DUMMYFUNCTION("""COMPUTED_VALUE"""),"Starfish")</f>
        <v>Starfish</v>
      </c>
      <c r="B796" s="8" t="str">
        <f>IFERROR(__xludf.DUMMYFUNCTION("""COMPUTED_VALUE"""),"A star-shaped sea creature with five or more arms. If one breaks off, another arm will grow.")</f>
        <v>A star-shaped sea creature with five or more arms. If one breaks off, another arm will grow.</v>
      </c>
      <c r="C796" s="13" t="str">
        <f>IFERROR(__xludf.DUMMYFUNCTION("""COMPUTED_VALUE"""),"""{bhn"":{""label"":""Starfish"",""extra"":""A star-shaped sea creature with five or more arms. If one breaks off, another arm will grow."",""sets"":""Junior 9+ (1st) &amp; (2nd)""},")</f>
        <v>"{bhn":{"label":"Starfish","extra":"A star-shaped sea creature with five or more arms. If one breaks off, another arm will grow.","sets":"Junior 9+ (1st) &amp; (2nd)"},</v>
      </c>
    </row>
    <row r="797">
      <c r="A797" s="8" t="str">
        <f>IFERROR(__xludf.DUMMYFUNCTION("""COMPUTED_VALUE"""),"Stars")</f>
        <v>Stars</v>
      </c>
      <c r="B797" s="8" t="str">
        <f>IFERROR(__xludf.DUMMYFUNCTION("""COMPUTED_VALUE"""),"Points of sparkling light that you can see in the night sky. Make a wish!")</f>
        <v>Points of sparkling light that you can see in the night sky. Make a wish!</v>
      </c>
      <c r="C797" s="13" t="str">
        <f>IFERROR(__xludf.DUMMYFUNCTION("""COMPUTED_VALUE"""),"""vsyh"":{""label"":""Stars"",""extra"":""Points of sparkling light that you can see in the night sky. Make a wish!"",""sets"":""Junior""},")</f>
        <v>"vsyh":{"label":"Stars","extra":"Points of sparkling light that you can see in the night sky. Make a wish!","sets":"Junior"},</v>
      </c>
    </row>
    <row r="798">
      <c r="A798" s="8" t="str">
        <f>IFERROR(__xludf.DUMMYFUNCTION("""COMPUTED_VALUE"""),"Stars &amp; Stripes")</f>
        <v>Stars &amp; Stripes</v>
      </c>
      <c r="B798" s="8" t="str">
        <f>IFERROR(__xludf.DUMMYFUNCTION("""COMPUTED_VALUE"""),"Three cheers for the red, white, and blue!")</f>
        <v>Three cheers for the red, white, and blue!</v>
      </c>
      <c r="C798" s="13" t="str">
        <f>IFERROR(__xludf.DUMMYFUNCTION("""COMPUTED_VALUE"""),"""gubc"":{""label"":""Stars &amp; Stripes"",""extra"":""Three cheers for the red, white, and blue!"",""sets"":""Expansion Set 4, Party Expansion 1""},")</f>
        <v>"gubc":{"label":"Stars &amp; Stripes","extra":"Three cheers for the red, white, and blue!","sets":"Expansion Set 4, Party Expansion 1"},</v>
      </c>
    </row>
    <row r="799">
      <c r="A799" s="8" t="str">
        <f>IFERROR(__xludf.DUMMYFUNCTION("""COMPUTED_VALUE"""),"Sticks &amp; Stones")</f>
        <v>Sticks &amp; Stones</v>
      </c>
      <c r="B799" s="8" t="str">
        <f>IFERROR(__xludf.DUMMYFUNCTION("""COMPUTED_VALUE"""),"When words are not enough.")</f>
        <v>When words are not enough.</v>
      </c>
      <c r="C799" s="13" t="str">
        <f>IFERROR(__xludf.DUMMYFUNCTION("""COMPUTED_VALUE"""),"""flky"":{""label"":""Sticks &amp; Stones"",""extra"":""When words are not enough."",""sets"":""Expansion Set 4, Party Expansion 1""},")</f>
        <v>"flky":{"label":"Sticks &amp; Stones","extra":"When words are not enough.","sets":"Expansion Set 4, Party Expansion 1"},</v>
      </c>
    </row>
    <row r="800">
      <c r="A800" s="8" t="str">
        <f>IFERROR(__xludf.DUMMYFUNCTION("""COMPUTED_VALUE"""),"Stocks &amp; Bonds")</f>
        <v>Stocks &amp; Bonds</v>
      </c>
      <c r="B800" s="8" t="str">
        <f>IFERROR(__xludf.DUMMYFUNCTION("""COMPUTED_VALUE"""),"At least they'’e worth the paper they're printed on… We hope.")</f>
        <v>At least they'’e worth the paper they're printed on… We hope.</v>
      </c>
      <c r="C800" s="13" t="str">
        <f>IFERROR(__xludf.DUMMYFUNCTION("""COMPUTED_VALUE"""),"""onbm"":{""label"":""Stocks &amp; Bonds"",""extra"":""At least they'’e worth the paper they're printed on… We hope."",""sets"":""Expansion Set 4, Party Expansion 1""},")</f>
        <v>"onbm":{"label":"Stocks &amp; Bonds","extra":"At least they'’e worth the paper they're printed on… We hope.","sets":"Expansion Set 4, Party Expansion 1"},</v>
      </c>
    </row>
    <row r="801">
      <c r="A801" s="8" t="str">
        <f>IFERROR(__xludf.DUMMYFUNCTION("""COMPUTED_VALUE"""),"Stomach Ache")</f>
        <v>Stomach Ache</v>
      </c>
      <c r="B801" s="8" t="str">
        <f>IFERROR(__xludf.DUMMYFUNCTION("""COMPUTED_VALUE"""),"You ate the whole thing?")</f>
        <v>You ate the whole thing?</v>
      </c>
      <c r="C801" s="13" t="str">
        <f>IFERROR(__xludf.DUMMYFUNCTION("""COMPUTED_VALUE"""),"""cfeg"":{""label"":""Stomach Ache"",""extra"":""You ate the whole thing?"",""sets"":""Junior 9+ (2nd)""},")</f>
        <v>"cfeg":{"label":"Stomach Ache","extra":"You ate the whole thing?","sets":"Junior 9+ (2nd)"},</v>
      </c>
    </row>
    <row r="802">
      <c r="A802" s="8" t="str">
        <f>IFERROR(__xludf.DUMMYFUNCTION("""COMPUTED_VALUE"""),"Stop Signs")</f>
        <v>Stop Signs</v>
      </c>
      <c r="B802" s="8" t="str">
        <f>IFERROR(__xludf.DUMMYFUNCTION("""COMPUTED_VALUE"""),"Gee, Officer, I THOUGHT it was green!")</f>
        <v>Gee, Officer, I THOUGHT it was green!</v>
      </c>
      <c r="C802" s="13" t="str">
        <f>IFERROR(__xludf.DUMMYFUNCTION("""COMPUTED_VALUE"""),"""iilb"":{""label"":""Stop Signs"",""extra"":""Gee, Officer, I THOUGHT it was green!"",""sets"":""Expansion Set 3, Party Expansion 1""},")</f>
        <v>"iilb":{"label":"Stop Signs","extra":"Gee, Officer, I THOUGHT it was green!","sets":"Expansion Set 3, Party Expansion 1"},</v>
      </c>
    </row>
    <row r="803">
      <c r="A803" s="8" t="str">
        <f>IFERROR(__xludf.DUMMYFUNCTION("""COMPUTED_VALUE"""),"Strained Peas")</f>
        <v>Strained Peas</v>
      </c>
      <c r="B803" s="8" t="str">
        <f>IFERROR(__xludf.DUMMYFUNCTION("""COMPUTED_VALUE"""),"The strain comes when you have to eat them.")</f>
        <v>The strain comes when you have to eat them.</v>
      </c>
      <c r="C803" s="13" t="str">
        <f>IFERROR(__xludf.DUMMYFUNCTION("""COMPUTED_VALUE"""),"""yydp"":{""label"":""Strained Peas"",""extra"":""The strain comes when you have to eat them."",""sets"":""Expansion Set 3, Party Expansion 1""},")</f>
        <v>"yydp":{"label":"Strained Peas","extra":"The strain comes when you have to eat them.","sets":"Expansion Set 3, Party Expansion 1"},</v>
      </c>
    </row>
    <row r="804">
      <c r="A804" s="8" t="str">
        <f>IFERROR(__xludf.DUMMYFUNCTION("""COMPUTED_VALUE"""),"Strawberries")</f>
        <v>Strawberries</v>
      </c>
      <c r="B804" s="8" t="str">
        <f>IFERROR(__xludf.DUMMYFUNCTION("""COMPUTED_VALUE"""),"Strawberry shortcake!")</f>
        <v>Strawberry shortcake!</v>
      </c>
      <c r="C804" s="13" t="str">
        <f>IFERROR(__xludf.DUMMYFUNCTION("""COMPUTED_VALUE"""),"""wgic"":{""label"":""Strawberries"",""extra"":""Strawberry shortcake!"",""sets"":""Junior 9+ (2nd)""},")</f>
        <v>"wgic":{"label":"Strawberries","extra":"Strawberry shortcake!","sets":"Junior 9+ (2nd)"},</v>
      </c>
    </row>
    <row r="805">
      <c r="A805" s="8" t="str">
        <f>IFERROR(__xludf.DUMMYFUNCTION("""COMPUTED_VALUE"""),"Street Mimes")</f>
        <v>Street Mimes</v>
      </c>
      <c r="B805" s="8" t="str">
        <f>IFERROR(__xludf.DUMMYFUNCTION("""COMPUTED_VALUE"""),"A mime is a terrible thing to waste. On second thought…")</f>
        <v>A mime is a terrible thing to waste. On second thought…</v>
      </c>
      <c r="C805" s="13" t="str">
        <f>IFERROR(__xludf.DUMMYFUNCTION("""COMPUTED_VALUE"""),"""xjsz"":{""label"":""Street Mimes"",""extra"":""A mime is a terrible thing to waste. On second thought…"",""sets"":""Expansion Set 3, Party Expansion 1""},")</f>
        <v>"xjsz":{"label":"Street Mimes","extra":"A mime is a terrible thing to waste. On second thought…","sets":"Expansion Set 3, Party Expansion 1"},</v>
      </c>
    </row>
    <row r="806">
      <c r="A806" s="8" t="str">
        <f>IFERROR(__xludf.DUMMYFUNCTION("""COMPUTED_VALUE"""),"Stretch Limos")</f>
        <v>Stretch Limos</v>
      </c>
      <c r="B806" s="8" t="str">
        <f>IFERROR(__xludf.DUMMYFUNCTION("""COMPUTED_VALUE"""),"Stretch your legs, stretch your wallet.")</f>
        <v>Stretch your legs, stretch your wallet.</v>
      </c>
      <c r="C806" s="13" t="str">
        <f>IFERROR(__xludf.DUMMYFUNCTION("""COMPUTED_VALUE"""),"""iquh"":{""label"":""Stretch Limos"",""extra"":""Stretch your legs, stretch your wallet."",""sets"":""Expansion Set 3, Party Expansion 1""},")</f>
        <v>"iquh":{"label":"Stretch Limos","extra":"Stretch your legs, stretch your wallet.","sets":"Expansion Set 3, Party Expansion 1"},</v>
      </c>
    </row>
    <row r="807">
      <c r="A807" s="8" t="str">
        <f>IFERROR(__xludf.DUMMYFUNCTION("""COMPUTED_VALUE"""),"Strip Malls")</f>
        <v>Strip Malls</v>
      </c>
      <c r="B807" s="8" t="str">
        <f>IFERROR(__xludf.DUMMYFUNCTION("""COMPUTED_VALUE"""),"Almost as attractive as stip mines.")</f>
        <v>Almost as attractive as stip mines.</v>
      </c>
      <c r="C807" s="13" t="str">
        <f>IFERROR(__xludf.DUMMYFUNCTION("""COMPUTED_VALUE"""),"""jhos"":{""label"":""Strip Malls"",""extra"":""Almost as attractive as stip mines."",""sets"":""Expansion Set 3, Party Expansion 1""},")</f>
        <v>"jhos":{"label":"Strip Malls","extra":"Almost as attractive as stip mines.","sets":"Expansion Set 3, Party Expansion 1"},</v>
      </c>
    </row>
    <row r="808">
      <c r="A808" s="8" t="str">
        <f>IFERROR(__xludf.DUMMYFUNCTION("""COMPUTED_VALUE"""),"Stuart Little")</f>
        <v>Stuart Little</v>
      </c>
      <c r="B808" s="8" t="str">
        <f>IFERROR(__xludf.DUMMYFUNCTION("""COMPUTED_VALUE"""),"A clever little mouse who is a character in a book and a movie.")</f>
        <v>A clever little mouse who is a character in a book and a movie.</v>
      </c>
      <c r="C808" s="13" t="str">
        <f>IFERROR(__xludf.DUMMYFUNCTION("""COMPUTED_VALUE"""),"""hv{f"":{""label"":""Stuart Little"",""extra"":""A clever little mouse who is a character in a book and a movie."",""sets"":""Junior""},")</f>
        <v>"hv{f":{"label":"Stuart Little","extra":"A clever little mouse who is a character in a book and a movie.","sets":"Junior"},</v>
      </c>
    </row>
    <row r="809">
      <c r="A809" s="8" t="str">
        <f>IFERROR(__xludf.DUMMYFUNCTION("""COMPUTED_VALUE"""),"Substitute Teachers")</f>
        <v>Substitute Teachers</v>
      </c>
      <c r="B809" s="8" t="str">
        <f>IFERROR(__xludf.DUMMYFUNCTION("""COMPUTED_VALUE"""),"“Ms. Jones lets us eat candy and get drinks whenever we want!”")</f>
        <v>“Ms. Jones lets us eat candy and get drinks whenever we want!”</v>
      </c>
      <c r="C809" s="13" t="str">
        <f>IFERROR(__xludf.DUMMYFUNCTION("""COMPUTED_VALUE"""),"""fpwu"":{""label"":""Substitute Teachers"",""extra"":""“Ms. Jones lets us eat candy and get drinks whenever we want!”"",""sets"":""Junior 9+ (2nd)""},")</f>
        <v>"fpwu":{"label":"Substitute Teachers","extra":"“Ms. Jones lets us eat candy and get drinks whenever we want!”","sets":"Junior 9+ (2nd)"},</v>
      </c>
    </row>
    <row r="810">
      <c r="A810" s="8" t="str">
        <f>IFERROR(__xludf.DUMMYFUNCTION("""COMPUTED_VALUE"""),"Sugar")</f>
        <v>Sugar</v>
      </c>
      <c r="B810" s="8" t="str">
        <f>IFERROR(__xludf.DUMMYFUNCTION("""COMPUTED_VALUE"""),"“Sugar is sweet and so are you.”")</f>
        <v>“Sugar is sweet and so are you.”</v>
      </c>
      <c r="C810" s="13" t="str">
        <f>IFERROR(__xludf.DUMMYFUNCTION("""COMPUTED_VALUE"""),"""hogi"":{""label"":""Sugar"",""extra"":""“Sugar is sweet and so are you.”"",""sets"":""Junior 9+ (2nd)""},")</f>
        <v>"hogi":{"label":"Sugar","extra":"“Sugar is sweet and so are you.”","sets":"Junior 9+ (2nd)"},</v>
      </c>
    </row>
    <row r="811">
      <c r="A811" s="8" t="str">
        <f>IFERROR(__xludf.DUMMYFUNCTION("""COMPUTED_VALUE"""),"Sugar &amp; Spice")</f>
        <v>Sugar &amp; Spice</v>
      </c>
      <c r="B811" s="8" t="str">
        <f>IFERROR(__xludf.DUMMYFUNCTION("""COMPUTED_VALUE"""),"And everything nice.")</f>
        <v>And everything nice.</v>
      </c>
      <c r="C811" s="13" t="str">
        <f>IFERROR(__xludf.DUMMYFUNCTION("""COMPUTED_VALUE"""),"""llwf"":{""label"":""Sugar &amp; Spice"",""extra"":""And everything nice."",""sets"":""Expansion Set 4, Party Expansion 1""},")</f>
        <v>"llwf":{"label":"Sugar &amp; Spice","extra":"And everything nice.","sets":"Expansion Set 4, Party Expansion 1"},</v>
      </c>
    </row>
    <row r="812">
      <c r="A812" s="8" t="str">
        <f>IFERROR(__xludf.DUMMYFUNCTION("""COMPUTED_VALUE"""),"Suit &amp; Tie")</f>
        <v>Suit &amp; Tie</v>
      </c>
      <c r="B812" s="8" t="str">
        <f>IFERROR(__xludf.DUMMYFUNCTION("""COMPUTED_VALUE"""),"It’s business as usual!")</f>
        <v>It’s business as usual!</v>
      </c>
      <c r="C812" s="13" t="str">
        <f>IFERROR(__xludf.DUMMYFUNCTION("""COMPUTED_VALUE"""),"""uazq"":{""label"":""Suit &amp; Tie"",""extra"":""It’s business as usual!"",""sets"":""Expansion Set 4, Party Expansion 1""},")</f>
        <v>"uazq":{"label":"Suit &amp; Tie","extra":"It’s business as usual!","sets":"Expansion Set 4, Party Expansion 1"},</v>
      </c>
    </row>
    <row r="813">
      <c r="A813" s="8" t="str">
        <f>IFERROR(__xludf.DUMMYFUNCTION("""COMPUTED_VALUE"""),"Summer Camp")</f>
        <v>Summer Camp</v>
      </c>
      <c r="B813" s="8" t="str">
        <f>IFERROR(__xludf.DUMMYFUNCTION("""COMPUTED_VALUE"""),"If the bugs don’t get you, the poison ivy will!")</f>
        <v>If the bugs don’t get you, the poison ivy will!</v>
      </c>
      <c r="C813" s="13" t="str">
        <f>IFERROR(__xludf.DUMMYFUNCTION("""COMPUTED_VALUE"""),"""svxm"":{""label"":""Summer Camp"",""extra"":""If the bugs don’t get you, the poison ivy will!"",""sets"":""Expansion Set 1, Party Set""},")</f>
        <v>"svxm":{"label":"Summer Camp","extra":"If the bugs don’t get you, the poison ivy will!","sets":"Expansion Set 1, Party Set"},</v>
      </c>
    </row>
    <row r="814">
      <c r="A814" s="8" t="str">
        <f>IFERROR(__xludf.DUMMYFUNCTION("""COMPUTED_VALUE"""),"Sumo Wrestlers")</f>
        <v>Sumo Wrestlers</v>
      </c>
      <c r="B814" s="8" t="str">
        <f>IFERROR(__xludf.DUMMYFUNCTION("""COMPUTED_VALUE"""),"Wrestlers usually weigh 300-400 pounds and win this Japanese form of wrestling by forcing an opponent out of the ring.")</f>
        <v>Wrestlers usually weigh 300-400 pounds and win this Japanese form of wrestling by forcing an opponent out of the ring.</v>
      </c>
      <c r="C814" s="13" t="str">
        <f>IFERROR(__xludf.DUMMYFUNCTION("""COMPUTED_VALUE"""),"""nalo"":{""label"":""Sumo Wrestlers"",""extra"":""Wrestlers usually weigh 300-400 pounds and win this Japanese form of wrestling by forcing an opponent out of the ring."",""sets"":""Expansion Set 3, Party Expansion 1""},")</f>
        <v>"nalo":{"label":"Sumo Wrestlers","extra":"Wrestlers usually weigh 300-400 pounds and win this Japanese form of wrestling by forcing an opponent out of the ring.","sets":"Expansion Set 3, Party Expansion 1"},</v>
      </c>
    </row>
    <row r="815">
      <c r="A815" s="8" t="str">
        <f>IFERROR(__xludf.DUMMYFUNCTION("""COMPUTED_VALUE"""),"Sunburns")</f>
        <v>Sunburns</v>
      </c>
      <c r="B815" s="8" t="str">
        <f>IFERROR(__xludf.DUMMYFUNCTION("""COMPUTED_VALUE"""),"Next time, use some sunscreen.")</f>
        <v>Next time, use some sunscreen.</v>
      </c>
      <c r="C815" s="13" t="str">
        <f>IFERROR(__xludf.DUMMYFUNCTION("""COMPUTED_VALUE"""),"""nrso"":{""label"":""Sunburns"",""extra"":""Next time, use some sunscreen."",""sets"":""Junior 9+ (1st) &amp; (2nd)""},")</f>
        <v>"nrso":{"label":"Sunburns","extra":"Next time, use some sunscreen.","sets":"Junior 9+ (1st) &amp; (2nd)"},</v>
      </c>
    </row>
    <row r="816">
      <c r="A816" s="8" t="str">
        <f>IFERROR(__xludf.DUMMYFUNCTION("""COMPUTED_VALUE"""),"Sunflower")</f>
        <v>Sunflower</v>
      </c>
      <c r="B816" s="8" t="str">
        <f>IFERROR(__xludf.DUMMYFUNCTION("""COMPUTED_VALUE"""),"Tall plants with large, yellow flowers. Toast the seeds for a tasty snack.")</f>
        <v>Tall plants with large, yellow flowers. Toast the seeds for a tasty snack.</v>
      </c>
      <c r="C816" s="13" t="str">
        <f>IFERROR(__xludf.DUMMYFUNCTION("""COMPUTED_VALUE"""),"""ohhz"":{""label"":""Sunflower"",""extra"":""Tall plants with large, yellow flowers. Toast the seeds for a tasty snack."",""sets"":""Junior""},")</f>
        <v>"ohhz":{"label":"Sunflower","extra":"Tall plants with large, yellow flowers. Toast the seeds for a tasty snack.","sets":"Junior"},</v>
      </c>
    </row>
    <row r="817">
      <c r="A817" s="8" t="str">
        <f>IFERROR(__xludf.DUMMYFUNCTION("""COMPUTED_VALUE"""),"Sunken Ships")</f>
        <v>Sunken Ships</v>
      </c>
      <c r="B817" s="8" t="str">
        <f>IFERROR(__xludf.DUMMYFUNCTION("""COMPUTED_VALUE"""),"Early ships would often sink in battles or bad weather.")</f>
        <v>Early ships would often sink in battles or bad weather.</v>
      </c>
      <c r="C817" s="13" t="str">
        <f>IFERROR(__xludf.DUMMYFUNCTION("""COMPUTED_VALUE"""),"""nihj"":{""label"":""Sunken Ships"",""extra"":""Early ships would often sink in battles or bad weather."",""sets"":""Junior 9+ (2nd)""},")</f>
        <v>"nihj":{"label":"Sunken Ships","extra":"Early ships would often sink in battles or bad weather.","sets":"Junior 9+ (2nd)"},</v>
      </c>
    </row>
    <row r="818">
      <c r="A818" s="8" t="str">
        <f>IFERROR(__xludf.DUMMYFUNCTION("""COMPUTED_VALUE"""),"Sunshine")</f>
        <v>Sunshine</v>
      </c>
      <c r="B818" s="8" t="str">
        <f>IFERROR(__xludf.DUMMYFUNCTION("""COMPUTED_VALUE"""),"Warms the Earth and helps plants to grow.")</f>
        <v>Warms the Earth and helps plants to grow.</v>
      </c>
      <c r="C818" s="13" t="str">
        <f>IFERROR(__xludf.DUMMYFUNCTION("""COMPUTED_VALUE"""),"""bbbl"":{""label"":""Sunshine"",""extra"":""Warms the Earth and helps plants to grow."",""sets"":""Junior""},")</f>
        <v>"bbbl":{"label":"Sunshine","extra":"Warms the Earth and helps plants to grow.","sets":"Junior"},</v>
      </c>
    </row>
    <row r="819">
      <c r="A819" s="8" t="str">
        <f>IFERROR(__xludf.DUMMYFUNCTION("""COMPUTED_VALUE"""),"Superman")</f>
        <v>Superman</v>
      </c>
      <c r="B819" s="8" t="str">
        <f>IFERROR(__xludf.DUMMYFUNCTION("""COMPUTED_VALUE"""),"Faster than a speeding bullet!")</f>
        <v>Faster than a speeding bullet!</v>
      </c>
      <c r="C819" s="13" t="str">
        <f>IFERROR(__xludf.DUMMYFUNCTION("""COMPUTED_VALUE"""),"""eoun"":{""label"":""Superman"",""extra"":""Faster than a speeding bullet!"",""sets"":""Junior 9+ (1st) &amp; (2nd)""},")</f>
        <v>"eoun":{"label":"Superman","extra":"Faster than a speeding bullet!","sets":"Junior 9+ (1st) &amp; (2nd)"},</v>
      </c>
    </row>
    <row r="820">
      <c r="A820" s="8" t="str">
        <f>IFERROR(__xludf.DUMMYFUNCTION("""COMPUTED_VALUE"""),"Supermarkets")</f>
        <v>Supermarkets</v>
      </c>
      <c r="B820" s="8" t="str">
        <f>IFERROR(__xludf.DUMMYFUNCTION("""COMPUTED_VALUE"""),"It’s a meat market, bakery, flower shop, and toy store- all in one!")</f>
        <v>It’s a meat market, bakery, flower shop, and toy store- all in one!</v>
      </c>
      <c r="C820" s="13" t="str">
        <f>IFERROR(__xludf.DUMMYFUNCTION("""COMPUTED_VALUE"""),"""mdey"":{""label"":""Supermarkets"",""extra"":""It’s a meat market, bakery, flower shop, and toy store- all in one!"",""sets"":""Junior 9+ (2nd)""},")</f>
        <v>"mdey":{"label":"Supermarkets","extra":"It’s a meat market, bakery, flower shop, and toy store- all in one!","sets":"Junior 9+ (2nd)"},</v>
      </c>
    </row>
    <row r="821">
      <c r="A821" s="8" t="str">
        <f>IFERROR(__xludf.DUMMYFUNCTION("""COMPUTED_VALUE"""),"Surf &amp; Turf")</f>
        <v>Surf &amp; Turf</v>
      </c>
      <c r="B821" s="8" t="str">
        <f>IFERROR(__xludf.DUMMYFUNCTION("""COMPUTED_VALUE"""),"Steak and lobster. No need to choose.")</f>
        <v>Steak and lobster. No need to choose.</v>
      </c>
      <c r="C821" s="13" t="str">
        <f>IFERROR(__xludf.DUMMYFUNCTION("""COMPUTED_VALUE"""),"""cgzx"":{""label"":""Surf &amp; Turf"",""extra"":""Steak and lobster. No need to choose."",""sets"":""Expansion Set 4, Party Expansion 1""},")</f>
        <v>"cgzx":{"label":"Surf &amp; Turf","extra":"Steak and lobster. No need to choose.","sets":"Expansion Set 4, Party Expansion 1"},</v>
      </c>
    </row>
    <row r="822">
      <c r="A822" s="8" t="str">
        <f>IFERROR(__xludf.DUMMYFUNCTION("""COMPUTED_VALUE"""),"Surfing")</f>
        <v>Surfing</v>
      </c>
      <c r="B822" s="8" t="str">
        <f>IFERROR(__xludf.DUMMYFUNCTION("""COMPUTED_VALUE"""),"The waves or the web.")</f>
        <v>The waves or the web.</v>
      </c>
      <c r="C822" s="13" t="str">
        <f>IFERROR(__xludf.DUMMYFUNCTION("""COMPUTED_VALUE"""),"""wpwq"":{""label"":""Surfing"",""extra"":""The waves or the web."",""sets"":""Junior 9+ (2nd)""},")</f>
        <v>"wpwq":{"label":"Surfing","extra":"The waves or the web.","sets":"Junior 9+ (2nd)"},</v>
      </c>
    </row>
    <row r="823">
      <c r="A823" s="8" t="str">
        <f>IFERROR(__xludf.DUMMYFUNCTION("""COMPUTED_VALUE"""),"Surprise Parties")</f>
        <v>Surprise Parties</v>
      </c>
      <c r="B823" s="8" t="str">
        <f>IFERROR(__xludf.DUMMYFUNCTION("""COMPUTED_VALUE"""),"SURPRISE! Oh. He had a heart condition… that WAS a surprise…")</f>
        <v>SURPRISE! Oh. He had a heart condition… that WAS a surprise…</v>
      </c>
      <c r="C823" s="13" t="str">
        <f>IFERROR(__xludf.DUMMYFUNCTION("""COMPUTED_VALUE"""),"""ldrv"":{""label"":""Surprise Parties"",""extra"":""SURPRISE! Oh. He had a heart condition… that WAS a surprise…"",""sets"":""Expansion Set 3, Party Expansion 1""},")</f>
        <v>"ldrv":{"label":"Surprise Parties","extra":"SURPRISE! Oh. He had a heart condition… that WAS a surprise…","sets":"Expansion Set 3, Party Expansion 1"},</v>
      </c>
    </row>
    <row r="824">
      <c r="A824" s="8" t="str">
        <f>IFERROR(__xludf.DUMMYFUNCTION("""COMPUTED_VALUE"""),"Surprise Parties")</f>
        <v>Surprise Parties</v>
      </c>
      <c r="B824" s="8" t="str">
        <f>IFERROR(__xludf.DUMMYFUNCTION("""COMPUTED_VALUE"""),"Everybody hide!")</f>
        <v>Everybody hide!</v>
      </c>
      <c r="C824" s="13" t="str">
        <f>IFERROR(__xludf.DUMMYFUNCTION("""COMPUTED_VALUE"""),"""tyqa"":{""label"":""Surprise Parties"",""extra"":""Everybody hide!"",""sets"":""Junior 9+ (2nd)""},")</f>
        <v>"tyqa":{"label":"Surprise Parties","extra":"Everybody hide!","sets":"Junior 9+ (2nd)"},</v>
      </c>
    </row>
    <row r="825">
      <c r="A825" s="8" t="str">
        <f>IFERROR(__xludf.DUMMYFUNCTION("""COMPUTED_VALUE"""),"Swamps")</f>
        <v>Swamps</v>
      </c>
      <c r="B825" s="8" t="str">
        <f>IFERROR(__xludf.DUMMYFUNCTION("""COMPUTED_VALUE"""),"Wet, spongy land, often covered with water. A great place to live- if you’re a mosquito.")</f>
        <v>Wet, spongy land, often covered with water. A great place to live- if you’re a mosquito.</v>
      </c>
      <c r="C825" s="13" t="str">
        <f>IFERROR(__xludf.DUMMYFUNCTION("""COMPUTED_VALUE"""),"""bdmp"":{""label"":""Swamps"",""extra"":""Wet, spongy land, often covered with water. A great place to live- if you’re a mosquito."",""sets"":""Junior 9+ (2nd)""},")</f>
        <v>"bdmp":{"label":"Swamps","extra":"Wet, spongy land, often covered with water. A great place to live- if you’re a mosquito.","sets":"Junior 9+ (2nd)"},</v>
      </c>
    </row>
    <row r="826">
      <c r="A826" s="8" t="str">
        <f>IFERROR(__xludf.DUMMYFUNCTION("""COMPUTED_VALUE"""),"Swans")</f>
        <v>Swans</v>
      </c>
      <c r="B826" s="8" t="str">
        <f>IFERROR(__xludf.DUMMYFUNCTION("""COMPUTED_VALUE"""),"The “Ugly Duckling” was actually a baby swan.")</f>
        <v>The “Ugly Duckling” was actually a baby swan.</v>
      </c>
      <c r="C826" s="13" t="str">
        <f>IFERROR(__xludf.DUMMYFUNCTION("""COMPUTED_VALUE"""),"""zljz"":{""label"":""Swans"",""extra"":""The “Ugly Duckling” was actually a baby swan."",""sets"":""Junior 9+ (2nd)""},")</f>
        <v>"zljz":{"label":"Swans","extra":"The “Ugly Duckling” was actually a baby swan.","sets":"Junior 9+ (2nd)"},</v>
      </c>
    </row>
    <row r="827">
      <c r="A827" s="8" t="str">
        <f>IFERROR(__xludf.DUMMYFUNCTION("""COMPUTED_VALUE"""),"Swimming")</f>
        <v>Swimming</v>
      </c>
      <c r="B827" s="8" t="str">
        <f>IFERROR(__xludf.DUMMYFUNCTION("""COMPUTED_VALUE"""),"A great way to cool down on a hot summer day!")</f>
        <v>A great way to cool down on a hot summer day!</v>
      </c>
      <c r="C827" s="13" t="str">
        <f>IFERROR(__xludf.DUMMYFUNCTION("""COMPUTED_VALUE"""),"""iwue"":{""label"":""Swimming"",""extra"":""A great way to cool down on a hot summer day!"",""sets"":""Junior""},")</f>
        <v>"iwue":{"label":"Swimming","extra":"A great way to cool down on a hot summer day!","sets":"Junior"},</v>
      </c>
    </row>
    <row r="828">
      <c r="A828" s="8" t="str">
        <f>IFERROR(__xludf.DUMMYFUNCTION("""COMPUTED_VALUE"""),"Swiss Chocolate")</f>
        <v>Swiss Chocolate</v>
      </c>
      <c r="B828" s="8" t="str">
        <f>IFERROR(__xludf.DUMMYFUNCTION("""COMPUTED_VALUE"""),"“What use are cartridges in battle? I always carry chocolate instead.” —George Bernard Shaw")</f>
        <v>“What use are cartridges in battle? I always carry chocolate instead.” —George Bernard Shaw</v>
      </c>
      <c r="C828" s="13" t="str">
        <f>IFERROR(__xludf.DUMMYFUNCTION("""COMPUTED_VALUE"""),"""rbkk"":{""label"":""Swiss Chocolate"",""extra"":""“What use are cartridges in battle? I always carry chocolate instead.” —George Bernard Shaw"",""sets"":""Basic Set, Party Set""},")</f>
        <v>"rbkk":{"label":"Swiss Chocolate","extra":"“What use are cartridges in battle? I always carry chocolate instead.” —George Bernard Shaw","sets":"Basic Set, Party Set"},</v>
      </c>
    </row>
    <row r="829">
      <c r="A829" s="8" t="str">
        <f>IFERROR(__xludf.DUMMYFUNCTION("""COMPUTED_VALUE"""),"Swordfighting")</f>
        <v>Swordfighting</v>
      </c>
      <c r="B829" s="8" t="str">
        <f>IFERROR(__xludf.DUMMYFUNCTION("""COMPUTED_VALUE"""),"As a sport, sword fighting is called “Fencing.” It is an Olympic event.")</f>
        <v>As a sport, sword fighting is called “Fencing.” It is an Olympic event.</v>
      </c>
      <c r="C829" s="13" t="str">
        <f>IFERROR(__xludf.DUMMYFUNCTION("""COMPUTED_VALUE"""),"""cnvp"":{""label"":""Swordfighting"",""extra"":""As a sport, sword fighting is called “Fencing.” It is an Olympic event."",""sets"":""Junior 9+ (2nd)""},")</f>
        <v>"cnvp":{"label":"Swordfighting","extra":"As a sport, sword fighting is called “Fencing.” It is an Olympic event.","sets":"Junior 9+ (2nd)"},</v>
      </c>
    </row>
    <row r="830">
      <c r="A830" s="8" t="str">
        <f>IFERROR(__xludf.DUMMYFUNCTION("""COMPUTED_VALUE"""),"Tacos")</f>
        <v>Tacos</v>
      </c>
      <c r="B830" s="8" t="str">
        <f>IFERROR(__xludf.DUMMYFUNCTION("""COMPUTED_VALUE"""),"Meat, cheese, and hot sauce all wrapped up in a tortilla.")</f>
        <v>Meat, cheese, and hot sauce all wrapped up in a tortilla.</v>
      </c>
      <c r="C830" s="13" t="str">
        <f>IFERROR(__xludf.DUMMYFUNCTION("""COMPUTED_VALUE"""),"""mgqo"":{""label"":""Tacos"",""extra"":""Meat, cheese, and hot sauce all wrapped up in a tortilla."",""sets"":""Junior 9+ (2nd)""},")</f>
        <v>"mgqo":{"label":"Tacos","extra":"Meat, cheese, and hot sauce all wrapped up in a tortilla.","sets":"Junior 9+ (2nd)"},</v>
      </c>
    </row>
    <row r="831">
      <c r="A831" s="8" t="str">
        <f>IFERROR(__xludf.DUMMYFUNCTION("""COMPUTED_VALUE"""),"Taking A Bath")</f>
        <v>Taking A Bath</v>
      </c>
      <c r="B831" s="8" t="str">
        <f>IFERROR(__xludf.DUMMYFUNCTION("""COMPUTED_VALUE"""),"Don’t Forget the bubbles and toys.")</f>
        <v>Don’t Forget the bubbles and toys.</v>
      </c>
      <c r="C831" s="13" t="str">
        <f>IFERROR(__xludf.DUMMYFUNCTION("""COMPUTED_VALUE"""),"""tzfo"":{""label"":""Taking A Bath"",""extra"":""Don’t Forget the bubbles and toys."",""sets"":""Junior""},")</f>
        <v>"tzfo":{"label":"Taking A Bath","extra":"Don’t Forget the bubbles and toys.","sets":"Junior"},</v>
      </c>
    </row>
    <row r="832">
      <c r="A832" s="8" t="str">
        <f>IFERROR(__xludf.DUMMYFUNCTION("""COMPUTED_VALUE"""),"Taking A Shower")</f>
        <v>Taking A Shower</v>
      </c>
      <c r="B832" s="8" t="str">
        <f>IFERROR(__xludf.DUMMYFUNCTION("""COMPUTED_VALUE"""),"That’ll wake you up.")</f>
        <v>That’ll wake you up.</v>
      </c>
      <c r="C832" s="13" t="str">
        <f>IFERROR(__xludf.DUMMYFUNCTION("""COMPUTED_VALUE"""),"""wudv"":{""label"":""Taking A Shower"",""extra"":""That’ll wake you up."",""sets"":""Junior 9+ (2nd)""},")</f>
        <v>"wudv":{"label":"Taking A Shower","extra":"That’ll wake you up.","sets":"Junior 9+ (2nd)"},</v>
      </c>
    </row>
    <row r="833">
      <c r="A833" s="8" t="str">
        <f>IFERROR(__xludf.DUMMYFUNCTION("""COMPUTED_VALUE"""),"Tarred &amp; Feathered")</f>
        <v>Tarred &amp; Feathered</v>
      </c>
      <c r="B833" s="8" t="str">
        <f>IFERROR(__xludf.DUMMYFUNCTION("""COMPUTED_VALUE"""),"It’s a sticky situation.")</f>
        <v>It’s a sticky situation.</v>
      </c>
      <c r="C833" s="13" t="str">
        <f>IFERROR(__xludf.DUMMYFUNCTION("""COMPUTED_VALUE"""),"""hqsd"":{""label"":""Tarred &amp; Feathered"",""extra"":""It’s a sticky situation."",""sets"":""Expansion Set 4, Party Expansion 1""},")</f>
        <v>"hqsd":{"label":"Tarred &amp; Feathered","extra":"It’s a sticky situation.","sets":"Expansion Set 4, Party Expansion 1"},</v>
      </c>
    </row>
    <row r="834">
      <c r="A834" s="8" t="str">
        <f>IFERROR(__xludf.DUMMYFUNCTION("""COMPUTED_VALUE"""),"Tarzan &amp; Jane")</f>
        <v>Tarzan &amp; Jane</v>
      </c>
      <c r="B834" s="8" t="str">
        <f>IFERROR(__xludf.DUMMYFUNCTION("""COMPUTED_VALUE"""),"He went ape over her.")</f>
        <v>He went ape over her.</v>
      </c>
      <c r="C834" s="13" t="str">
        <f>IFERROR(__xludf.DUMMYFUNCTION("""COMPUTED_VALUE"""),"""jyme"":{""label"":""Tarzan &amp; Jane"",""extra"":""He went ape over her."",""sets"":""Expansion Set 4, Party Expansion 1""},")</f>
        <v>"jyme":{"label":"Tarzan &amp; Jane","extra":"He went ape over her.","sets":"Expansion Set 4, Party Expansion 1"},</v>
      </c>
    </row>
    <row r="835">
      <c r="A835" s="8" t="str">
        <f>IFERROR(__xludf.DUMMYFUNCTION("""COMPUTED_VALUE"""),"Tattoo Parlors")</f>
        <v>Tattoo Parlors</v>
      </c>
      <c r="B835" s="8" t="str">
        <f>IFERROR(__xludf.DUMMYFUNCTION("""COMPUTED_VALUE"""),"“With nothing to show but this brand new tattoo… how I got it here I haven't a clue.” —Jimmy Buffett")</f>
        <v>“With nothing to show but this brand new tattoo… how I got it here I haven't a clue.” —Jimmy Buffett</v>
      </c>
      <c r="C835" s="13" t="str">
        <f>IFERROR(__xludf.DUMMYFUNCTION("""COMPUTED_VALUE"""),"""nuvx"":{""label"":""Tattoo Parlors"",""extra"":""“With nothing to show but this brand new tattoo… how I got it here I haven't a clue.” —Jimmy Buffett"",""sets"":""Expansion Set 3, Party Expansion 1""},")</f>
        <v>"nuvx":{"label":"Tattoo Parlors","extra":"“With nothing to show but this brand new tattoo… how I got it here I haven't a clue.” —Jimmy Buffett","sets":"Expansion Set 3, Party Expansion 1"},</v>
      </c>
    </row>
    <row r="836">
      <c r="A836" s="8" t="str">
        <f>IFERROR(__xludf.DUMMYFUNCTION("""COMPUTED_VALUE"""),"Tea &amp; Crumpets")</f>
        <v>Tea &amp; Crumpets</v>
      </c>
      <c r="B836" s="8" t="str">
        <f>IFERROR(__xludf.DUMMYFUNCTION("""COMPUTED_VALUE"""),"Upper-crust toast &amp; jelly.")</f>
        <v>Upper-crust toast &amp; jelly.</v>
      </c>
      <c r="C836" s="13" t="str">
        <f>IFERROR(__xludf.DUMMYFUNCTION("""COMPUTED_VALUE"""),"""svni"":{""label"":""Tea &amp; Crumpets"",""extra"":""Upper-crust toast &amp; jelly."",""sets"":""Expansion Set 4, Party Expansion 1""},")</f>
        <v>"svni":{"label":"Tea &amp; Crumpets","extra":"Upper-crust toast &amp; jelly.","sets":"Expansion Set 4, Party Expansion 1"},</v>
      </c>
    </row>
    <row r="837">
      <c r="A837" s="8" t="str">
        <f>IFERROR(__xludf.DUMMYFUNCTION("""COMPUTED_VALUE"""),"Teachers")</f>
        <v>Teachers</v>
      </c>
      <c r="B837" s="8" t="str">
        <f>IFERROR(__xludf.DUMMYFUNCTION("""COMPUTED_VALUE"""),"“What do you mean, you didn’t know there was a test today?”")</f>
        <v>“What do you mean, you didn’t know there was a test today?”</v>
      </c>
      <c r="C837" s="13" t="str">
        <f>IFERROR(__xludf.DUMMYFUNCTION("""COMPUTED_VALUE"""),"""ec{p"":{""label"":""Teachers"",""extra"":""“What do you mean, you didn’t know there was a test today?”"",""sets"":""Junior 9+ (1st) &amp; (2nd)""},")</f>
        <v>"ec{p":{"label":"Teachers","extra":"“What do you mean, you didn’t know there was a test today?”","sets":"Junior 9+ (1st) &amp; (2nd)"},</v>
      </c>
    </row>
    <row r="838">
      <c r="A838" s="8" t="str">
        <f>IFERROR(__xludf.DUMMYFUNCTION("""COMPUTED_VALUE"""),"Teenagers")</f>
        <v>Teenagers</v>
      </c>
      <c r="B838" s="8" t="str">
        <f>IFERROR(__xludf.DUMMYFUNCTION("""COMPUTED_VALUE"""),"Ages thirteen to nineteen.")</f>
        <v>Ages thirteen to nineteen.</v>
      </c>
      <c r="C838" s="13" t="str">
        <f>IFERROR(__xludf.DUMMYFUNCTION("""COMPUTED_VALUE"""),"""kdce"":{""label"":""Teenagers"",""extra"":""Ages thirteen to nineteen."",""sets"":""Junior 9+ (1st) &amp; (2nd)""},")</f>
        <v>"kdce":{"label":"Teenagers","extra":"Ages thirteen to nineteen.","sets":"Junior 9+ (1st) &amp; (2nd)"},</v>
      </c>
    </row>
    <row r="839">
      <c r="A839" s="8" t="str">
        <f>IFERROR(__xludf.DUMMYFUNCTION("""COMPUTED_VALUE"""),"Teeth")</f>
        <v>Teeth</v>
      </c>
      <c r="B839" s="8" t="str">
        <f>IFERROR(__xludf.DUMMYFUNCTION("""COMPUTED_VALUE"""),"Adults have 32 permanent teeth.")</f>
        <v>Adults have 32 permanent teeth.</v>
      </c>
      <c r="C839" s="13" t="str">
        <f>IFERROR(__xludf.DUMMYFUNCTION("""COMPUTED_VALUE"""),"""jcsy"":{""label"":""Teeth"",""extra"":""Adults have 32 permanent teeth."",""sets"":""Junior 9+ (1st) &amp; (2nd)""},")</f>
        <v>"jcsy":{"label":"Teeth","extra":"Adults have 32 permanent teeth.","sets":"Junior 9+ (1st) &amp; (2nd)"},</v>
      </c>
    </row>
    <row r="840">
      <c r="A840" s="8" t="str">
        <f>IFERROR(__xludf.DUMMYFUNCTION("""COMPUTED_VALUE"""),"Television")</f>
        <v>Television</v>
      </c>
      <c r="B840" s="8" t="str">
        <f>IFERROR(__xludf.DUMMYFUNCTION("""COMPUTED_VALUE"""),"If you get your homework done…")</f>
        <v>If you get your homework done…</v>
      </c>
      <c r="C840" s="13" t="str">
        <f>IFERROR(__xludf.DUMMYFUNCTION("""COMPUTED_VALUE"""),"""znfr"":{""label"":""Television"",""extra"":""If you get your homework done…"",""sets"":""Junior 9+ (2nd)""},")</f>
        <v>"znfr":{"label":"Television","extra":"If you get your homework done…","sets":"Junior 9+ (2nd)"},</v>
      </c>
    </row>
    <row r="841">
      <c r="A841" s="8" t="str">
        <f>IFERROR(__xludf.DUMMYFUNCTION("""COMPUTED_VALUE"""),"Telling Scary Stories")</f>
        <v>Telling Scary Stories</v>
      </c>
      <c r="B841" s="8" t="str">
        <f>IFERROR(__xludf.DUMMYFUNCTION("""COMPUTED_VALUE"""),"“It was a dark and stormy night…”")</f>
        <v>“It was a dark and stormy night…”</v>
      </c>
      <c r="C841" s="13" t="str">
        <f>IFERROR(__xludf.DUMMYFUNCTION("""COMPUTED_VALUE"""),"""ddkv"":{""label"":""Telling Scary Stories"",""extra"":""“It was a dark and stormy night…”"",""sets"":""Junior 9+ (1st) &amp; (2nd)""},")</f>
        <v>"ddkv":{"label":"Telling Scary Stories","extra":"“It was a dark and stormy night…”","sets":"Junior 9+ (1st) &amp; (2nd)"},</v>
      </c>
    </row>
    <row r="842">
      <c r="A842" s="8" t="str">
        <f>IFERROR(__xludf.DUMMYFUNCTION("""COMPUTED_VALUE"""),"Tents")</f>
        <v>Tents</v>
      </c>
      <c r="B842" s="8" t="str">
        <f>IFERROR(__xludf.DUMMYFUNCTION("""COMPUTED_VALUE"""),"A pup tent will hold one or two people, but a circus tent can hold hundreds.")</f>
        <v>A pup tent will hold one or two people, but a circus tent can hold hundreds.</v>
      </c>
      <c r="C842" s="13" t="str">
        <f>IFERROR(__xludf.DUMMYFUNCTION("""COMPUTED_VALUE"""),"""kxll"":{""label"":""Tents"",""extra"":""A pup tent will hold one or two people, but a circus tent can hold hundreds."",""sets"":""Junior 9+ (1st) &amp; (2nd)""},")</f>
        <v>"kxll":{"label":"Tents","extra":"A pup tent will hold one or two people, but a circus tent can hold hundreds.","sets":"Junior 9+ (1st) &amp; (2nd)"},</v>
      </c>
    </row>
    <row r="843">
      <c r="A843" s="8" t="str">
        <f>IFERROR(__xludf.DUMMYFUNCTION("""COMPUTED_VALUE"""),"Thanksgiving Day")</f>
        <v>Thanksgiving Day</v>
      </c>
      <c r="B843" s="8" t="str">
        <f>IFERROR(__xludf.DUMMYFUNCTION("""COMPUTED_VALUE"""),"A harvest festival celebrated on the fourth Thursday in November in the U.S.")</f>
        <v>A harvest festival celebrated on the fourth Thursday in November in the U.S.</v>
      </c>
      <c r="C843" s="13" t="str">
        <f>IFERROR(__xludf.DUMMYFUNCTION("""COMPUTED_VALUE"""),"""hsrt"":{""label"":""Thanksgiving Day"",""extra"":""A harvest festival celebrated on the fourth Thursday in November in the U.S."",""sets"":""Junior 9+ (1st) &amp; (2nd)""},")</f>
        <v>"hsrt":{"label":"Thanksgiving Day","extra":"A harvest festival celebrated on the fourth Thursday in November in the U.S.","sets":"Junior 9+ (1st) &amp; (2nd)"},</v>
      </c>
    </row>
    <row r="844">
      <c r="A844" s="8" t="str">
        <f>IFERROR(__xludf.DUMMYFUNCTION("""COMPUTED_VALUE"""),"The 1920s")</f>
        <v>The 1920s</v>
      </c>
      <c r="B844" s="8" t="str">
        <f>IFERROR(__xludf.DUMMYFUNCTION("""COMPUTED_VALUE"""),"Pros: the Jazz Age. Cons: Presidents who look like librarians.")</f>
        <v>Pros: the Jazz Age. Cons: Presidents who look like librarians.</v>
      </c>
      <c r="C844" s="13" t="str">
        <f>IFERROR(__xludf.DUMMYFUNCTION("""COMPUTED_VALUE"""),"""otvj"":{""label"":""The 1920s"",""extra"":""Pros: the Jazz Age. Cons: Presidents who look like librarians."",""sets"":""Basic Set, Party Set""},")</f>
        <v>"otvj":{"label":"The 1920s","extra":"Pros: the Jazz Age. Cons: Presidents who look like librarians.","sets":"Basic Set, Party Set"},</v>
      </c>
    </row>
    <row r="845">
      <c r="A845" s="8" t="str">
        <f>IFERROR(__xludf.DUMMYFUNCTION("""COMPUTED_VALUE"""),"The 1950s")</f>
        <v>The 1950s</v>
      </c>
      <c r="B845" s="8" t="str">
        <f>IFERROR(__xludf.DUMMYFUNCTION("""COMPUTED_VALUE"""),"Pros: Barbies, barbecues, and bikinis. Cons: McCarthy, the Korean War, television.")</f>
        <v>Pros: Barbies, barbecues, and bikinis. Cons: McCarthy, the Korean War, television.</v>
      </c>
      <c r="C845" s="13" t="str">
        <f>IFERROR(__xludf.DUMMYFUNCTION("""COMPUTED_VALUE"""),"""o{ya"":{""label"":""The 1950s"",""extra"":""Pros: Barbies, barbecues, and bikinis. Cons: McCarthy, the Korean War, television."",""sets"":""Basic Set, Party Set""},")</f>
        <v>"o{ya":{"label":"The 1950s","extra":"Pros: Barbies, barbecues, and bikinis. Cons: McCarthy, the Korean War, television.","sets":"Basic Set, Party Set"},</v>
      </c>
    </row>
    <row r="846">
      <c r="A846" s="8" t="str">
        <f>IFERROR(__xludf.DUMMYFUNCTION("""COMPUTED_VALUE"""),"The 1960s")</f>
        <v>The 1960s</v>
      </c>
      <c r="B846" s="8" t="str">
        <f>IFERROR(__xludf.DUMMYFUNCTION("""COMPUTED_VALUE"""),"Pros: the Moon Lsnding, the music. Cons: hippies who refuse to believe they’re over.")</f>
        <v>Pros: the Moon Lsnding, the music. Cons: hippies who refuse to believe they’re over.</v>
      </c>
      <c r="C846" s="13" t="str">
        <f>IFERROR(__xludf.DUMMYFUNCTION("""COMPUTED_VALUE"""),"""xesf"":{""label"":""The 1960s"",""extra"":""Pros: the Moon Lsnding, the music. Cons: hippies who refuse to believe they’re over."",""sets"":""Basic Set, Party Set""},")</f>
        <v>"xesf":{"label":"The 1960s","extra":"Pros: the Moon Lsnding, the music. Cons: hippies who refuse to believe they’re over.","sets":"Basic Set, Party Set"},</v>
      </c>
    </row>
    <row r="847">
      <c r="A847" s="8" t="str">
        <f>IFERROR(__xludf.DUMMYFUNCTION("""COMPUTED_VALUE"""),"The 1970s")</f>
        <v>The 1970s</v>
      </c>
      <c r="B847" s="8" t="str">
        <f>IFERROR(__xludf.DUMMYFUNCTION("""COMPUTED_VALUE"""),"Pros… uh… pros… uh… GIVE US A MINUTE, OKAY?")</f>
        <v>Pros… uh… pros… uh… GIVE US A MINUTE, OKAY?</v>
      </c>
      <c r="C847" s="13" t="str">
        <f>IFERROR(__xludf.DUMMYFUNCTION("""COMPUTED_VALUE"""),"""bzxe"":{""label"":""The 1970s"",""extra"":""Pros… uh… pros… uh… GIVE US A MINUTE, OKAY?"",""sets"":""Basic Set, Party Set""},")</f>
        <v>"bzxe":{"label":"The 1970s","extra":"Pros… uh… pros… uh… GIVE US A MINUTE, OKAY?","sets":"Basic Set, Party Set"},</v>
      </c>
    </row>
    <row r="848">
      <c r="A848" s="8" t="str">
        <f>IFERROR(__xludf.DUMMYFUNCTION("""COMPUTED_VALUE"""),"The 1980s")</f>
        <v>The 1980s</v>
      </c>
      <c r="B848" s="8" t="str">
        <f>IFERROR(__xludf.DUMMYFUNCTION("""COMPUTED_VALUE"""),"Pros: meant the end of the 1970s. Cons: ’80s nostalgia.")</f>
        <v>Pros: meant the end of the 1970s. Cons: ’80s nostalgia.</v>
      </c>
      <c r="C848" s="13" t="str">
        <f>IFERROR(__xludf.DUMMYFUNCTION("""COMPUTED_VALUE"""),"""oxoi"":{""label"":""The 1980s"",""extra"":""Pros: meant the end of the 1970s. Cons: ’80s nostalgia."",""sets"":""Basic Set, Party Set""},")</f>
        <v>"oxoi":{"label":"The 1980s","extra":"Pros: meant the end of the 1970s. Cons: ’80s nostalgia.","sets":"Basic Set, Party Set"},</v>
      </c>
    </row>
    <row r="849">
      <c r="A849" s="8" t="str">
        <f>IFERROR(__xludf.DUMMYFUNCTION("""COMPUTED_VALUE"""),"The 1990s")</f>
        <v>The 1990s</v>
      </c>
      <c r="B849" s="8" t="str">
        <f>IFERROR(__xludf.DUMMYFUNCTION("""COMPUTED_VALUE"""),"Dot-coms, Clinton and designer coffee. The good old days.")</f>
        <v>Dot-coms, Clinton and designer coffee. The good old days.</v>
      </c>
      <c r="C849" s="13" t="str">
        <f>IFERROR(__xludf.DUMMYFUNCTION("""COMPUTED_VALUE"""),"""grwu"":{""label"":""The 1990s"",""extra"":""Dot-coms, Clinton and designer coffee. The good old days."",""sets"":""Expansion Set 3, Party Expansion 1""},")</f>
        <v>"grwu":{"label":"The 1990s","extra":"Dot-coms, Clinton and designer coffee. The good old days.","sets":"Expansion Set 3, Party Expansion 1"},</v>
      </c>
    </row>
    <row r="850">
      <c r="A850" s="8" t="str">
        <f>IFERROR(__xludf.DUMMYFUNCTION("""COMPUTED_VALUE"""),"The 21st Century")</f>
        <v>The 21st Century</v>
      </c>
      <c r="B850" s="8" t="str">
        <f>IFERROR(__xludf.DUMMYFUNCTION("""COMPUTED_VALUE"""),"The future is NOW!")</f>
        <v>The future is NOW!</v>
      </c>
      <c r="C850" s="13" t="str">
        <f>IFERROR(__xludf.DUMMYFUNCTION("""COMPUTED_VALUE"""),"""hvty"":{""label"":""The 21st Century"",""extra"":""The future is NOW!"",""sets"":""Basic Set, Party Set""},")</f>
        <v>"hvty":{"label":"The 21st Century","extra":"The future is NOW!","sets":"Basic Set, Party Set"},</v>
      </c>
    </row>
    <row r="851">
      <c r="A851" s="8" t="str">
        <f>IFERROR(__xludf.DUMMYFUNCTION("""COMPUTED_VALUE"""),"The Atlantic &amp; Pacific")</f>
        <v>The Atlantic &amp; Pacific</v>
      </c>
      <c r="B851" s="8" t="str">
        <f>IFERROR(__xludf.DUMMYFUNCTION("""COMPUTED_VALUE"""),"Oceans apart.")</f>
        <v>Oceans apart.</v>
      </c>
      <c r="C851" s="13" t="str">
        <f>IFERROR(__xludf.DUMMYFUNCTION("""COMPUTED_VALUE"""),"""xwc{"":{""label"":""The Atlantic &amp; Pacific"",""extra"":""Oceans apart."",""sets"":""Expansion Set 4, Party Expansion 1""},")</f>
        <v>"xwc{":{"label":"The Atlantic &amp; Pacific","extra":"Oceans apart.","sets":"Expansion Set 4, Party Expansion 1"},</v>
      </c>
    </row>
    <row r="852">
      <c r="A852" s="8" t="str">
        <f>IFERROR(__xludf.DUMMYFUNCTION("""COMPUTED_VALUE"""),"The Beach")</f>
        <v>The Beach</v>
      </c>
      <c r="B852" s="8" t="str">
        <f>IFERROR(__xludf.DUMMYFUNCTION("""COMPUTED_VALUE"""),"A day at the beach is no day at the beach, ya know?")</f>
        <v>A day at the beach is no day at the beach, ya know?</v>
      </c>
      <c r="C852" s="13" t="str">
        <f>IFERROR(__xludf.DUMMYFUNCTION("""COMPUTED_VALUE"""),"""sczr"":{""label"":""The Beach"",""extra"":""A day at the beach is no day at the beach, ya know?"",""sets"":""Basic Set, Party Set""},")</f>
        <v>"sczr":{"label":"The Beach","extra":"A day at the beach is no day at the beach, ya know?","sets":"Basic Set, Party Set"},</v>
      </c>
    </row>
    <row r="853">
      <c r="A853" s="8" t="str">
        <f>IFERROR(__xludf.DUMMYFUNCTION("""COMPUTED_VALUE"""),"The Beatles")</f>
        <v>The Beatles</v>
      </c>
      <c r="B853" s="8" t="str">
        <f>IFERROR(__xludf.DUMMYFUNCTION("""COMPUTED_VALUE"""),"1960s British band. Only the most revolutionary, influential and universally acclaimed group of the 20th century. That's all.")</f>
        <v>1960s British band. Only the most revolutionary, influential and universally acclaimed group of the 20th century. That's all.</v>
      </c>
      <c r="C853" s="13" t="str">
        <f>IFERROR(__xludf.DUMMYFUNCTION("""COMPUTED_VALUE"""),"""tvc{"":{""label"":""The Beatles"",""extra"":""1960s British band. Only the most revolutionary, influential and universally acclaimed group of the 20th century. That's all."",""sets"":""Basic Set, Party Set""},")</f>
        <v>"tvc{":{"label":"The Beatles","extra":"1960s British band. Only the most revolutionary, influential and universally acclaimed group of the 20th century. That's all.","sets":"Basic Set, Party Set"},</v>
      </c>
    </row>
    <row r="854">
      <c r="A854" s="8" t="str">
        <f>IFERROR(__xludf.DUMMYFUNCTION("""COMPUTED_VALUE"""),"The Big Dipper")</f>
        <v>The Big Dipper</v>
      </c>
      <c r="B854" s="8" t="str">
        <f>IFERROR(__xludf.DUMMYFUNCTION("""COMPUTED_VALUE"""),"Group of stars in the Northern sky that form part of the constellation Ursa Major.")</f>
        <v>Group of stars in the Northern sky that form part of the constellation Ursa Major.</v>
      </c>
      <c r="C854" s="13" t="str">
        <f>IFERROR(__xludf.DUMMYFUNCTION("""COMPUTED_VALUE"""),"""sbrj"":{""label"":""The Big Dipper"",""extra"":""Group of stars in the Northern sky that form part of the constellation Ursa Major."",""sets"":""Expansion Set 3, Party Expansion 1""},")</f>
        <v>"sbrj":{"label":"The Big Dipper","extra":"Group of stars in the Northern sky that form part of the constellation Ursa Major.","sets":"Expansion Set 3, Party Expansion 1"},</v>
      </c>
    </row>
    <row r="855">
      <c r="A855" s="8" t="str">
        <f>IFERROR(__xludf.DUMMYFUNCTION("""COMPUTED_VALUE"""),"The Birds &amp; The Bees")</f>
        <v>The Birds &amp; The Bees</v>
      </c>
      <c r="B855" s="8" t="str">
        <f>IFERROR(__xludf.DUMMYFUNCTION("""COMPUTED_VALUE"""),"We’ll tell you about them sometime.")</f>
        <v>We’ll tell you about them sometime.</v>
      </c>
      <c r="C855" s="13" t="str">
        <f>IFERROR(__xludf.DUMMYFUNCTION("""COMPUTED_VALUE"""),"""ckac"":{""label"":""The Birds &amp; The Bees"",""extra"":""We’ll tell you about them sometime."",""sets"":""Expansion Set 4, Party Expansion 1""},")</f>
        <v>"ckac":{"label":"The Birds &amp; The Bees","extra":"We’ll tell you about them sometime.","sets":"Expansion Set 4, Party Expansion 1"},</v>
      </c>
    </row>
    <row r="856">
      <c r="A856" s="8" t="str">
        <f>IFERROR(__xludf.DUMMYFUNCTION("""COMPUTED_VALUE"""),"The Chicken &amp; The Egg")</f>
        <v>The Chicken &amp; The Egg</v>
      </c>
      <c r="B856" s="8" t="str">
        <f>IFERROR(__xludf.DUMMYFUNCTION("""COMPUTED_VALUE"""),"Which came first? The egg. Look it up!")</f>
        <v>Which came first? The egg. Look it up!</v>
      </c>
      <c r="C856" s="13" t="str">
        <f>IFERROR(__xludf.DUMMYFUNCTION("""COMPUTED_VALUE"""),"""ykas"":{""label"":""The Chicken &amp; The Egg"",""extra"":""Which came first? The egg. Look it up!"",""sets"":""Expansion Set 4, Party Expansion 1""},")</f>
        <v>"ykas":{"label":"The Chicken &amp; The Egg","extra":"Which came first? The egg. Look it up!","sets":"Expansion Set 4, Party Expansion 1"},</v>
      </c>
    </row>
    <row r="857">
      <c r="A857" s="8" t="str">
        <f>IFERROR(__xludf.DUMMYFUNCTION("""COMPUTED_VALUE"""),"The Circus")</f>
        <v>The Circus</v>
      </c>
      <c r="B857" s="8" t="str">
        <f>IFERROR(__xludf.DUMMYFUNCTION("""COMPUTED_VALUE"""),"A show featuring trained animals, clowns and acrobats.")</f>
        <v>A show featuring trained animals, clowns and acrobats.</v>
      </c>
      <c r="C857" s="13" t="str">
        <f>IFERROR(__xludf.DUMMYFUNCTION("""COMPUTED_VALUE"""),"""mgbg"":{""label"":""The Circus"",""extra"":""A show featuring trained animals, clowns and acrobats."",""sets"":""Junior""},")</f>
        <v>"mgbg":{"label":"The Circus","extra":"A show featuring trained animals, clowns and acrobats.","sets":"Junior"},</v>
      </c>
    </row>
    <row r="858">
      <c r="A858" s="8" t="str">
        <f>IFERROR(__xludf.DUMMYFUNCTION("""COMPUTED_VALUE"""),"The Dalai Lama")</f>
        <v>The Dalai Lama</v>
      </c>
      <c r="B858" s="8" t="str">
        <f>IFERROR(__xludf.DUMMYFUNCTION("""COMPUTED_VALUE"""),"Title of the leader of Tibetan Buddhism, in exile since 1959. Hello, Dalai!")</f>
        <v>Title of the leader of Tibetan Buddhism, in exile since 1959. Hello, Dalai!</v>
      </c>
      <c r="C858" s="13" t="str">
        <f>IFERROR(__xludf.DUMMYFUNCTION("""COMPUTED_VALUE"""),"""oycd"":{""label"":""The Dalai Lama"",""extra"":""Title of the leader of Tibetan Buddhism, in exile since 1959. Hello, Dalai!"",""sets"":""Expansion Set 3, Party Expansion 1""},")</f>
        <v>"oycd":{"label":"The Dalai Lama","extra":"Title of the leader of Tibetan Buddhism, in exile since 1959. Hello, Dalai!","sets":"Expansion Set 3, Party Expansion 1"},</v>
      </c>
    </row>
    <row r="859">
      <c r="A859" s="8" t="str">
        <f>IFERROR(__xludf.DUMMYFUNCTION("""COMPUTED_VALUE"""),"The Dixie Chicks")</f>
        <v>The Dixie Chicks</v>
      </c>
      <c r="B859" s="8" t="str">
        <f>IFERROR(__xludf.DUMMYFUNCTION("""COMPUTED_VALUE"""),"Female country and western band with pop leanings. Winners of multiple Country Music Association awards. Goodbye, Earl!")</f>
        <v>Female country and western band with pop leanings. Winners of multiple Country Music Association awards. Goodbye, Earl!</v>
      </c>
      <c r="C859" s="13" t="str">
        <f>IFERROR(__xludf.DUMMYFUNCTION("""COMPUTED_VALUE"""),"""onlm"":{""label"":""The Dixie Chicks"",""extra"":""Female country and western band with pop leanings. Winners of multiple Country Music Association awards. Goodbye, Earl!"",""sets"":""Expansion Set 3, Party Expansion 1""},")</f>
        <v>"onlm":{"label":"The Dixie Chicks","extra":"Female country and western band with pop leanings. Winners of multiple Country Music Association awards. Goodbye, Earl!","sets":"Expansion Set 3, Party Expansion 1"},</v>
      </c>
    </row>
    <row r="860">
      <c r="A860" s="8" t="str">
        <f>IFERROR(__xludf.DUMMYFUNCTION("""COMPUTED_VALUE"""),"The Earth")</f>
        <v>The Earth</v>
      </c>
      <c r="B860" s="8" t="str">
        <f>IFERROR(__xludf.DUMMYFUNCTION("""COMPUTED_VALUE"""),"Third planet from the sun. Home to Earthlings.")</f>
        <v>Third planet from the sun. Home to Earthlings.</v>
      </c>
      <c r="C860" s="13" t="str">
        <f>IFERROR(__xludf.DUMMYFUNCTION("""COMPUTED_VALUE"""),"""wade"":{""label"":""The Earth"",""extra"":""Third planet from the sun. Home to Earthlings."",""sets"":""Junior 9+ (1st) &amp; (2nd)""},")</f>
        <v>"wade":{"label":"The Earth","extra":"Third planet from the sun. Home to Earthlings.","sets":"Junior 9+ (1st) &amp; (2nd)"},</v>
      </c>
    </row>
    <row r="861">
      <c r="A861" s="8" t="str">
        <f>IFERROR(__xludf.DUMMYFUNCTION("""COMPUTED_VALUE"""),"The First Day Of School")</f>
        <v>The First Day Of School</v>
      </c>
      <c r="B861" s="8" t="str">
        <f>IFERROR(__xludf.DUMMYFUNCTION("""COMPUTED_VALUE"""),"Get your backpack, your lunch, and get going!")</f>
        <v>Get your backpack, your lunch, and get going!</v>
      </c>
      <c r="C861" s="13" t="str">
        <f>IFERROR(__xludf.DUMMYFUNCTION("""COMPUTED_VALUE"""),"""typi"":{""label"":""The First Day Of School"",""extra"":""Get your backpack, your lunch, and get going!"",""sets"":""Junior""},")</f>
        <v>"typi":{"label":"The First Day Of School","extra":"Get your backpack, your lunch, and get going!","sets":"Junior"},</v>
      </c>
    </row>
    <row r="862">
      <c r="A862" s="8" t="str">
        <f>IFERROR(__xludf.DUMMYFUNCTION("""COMPUTED_VALUE"""),"The Graveyard Shift")</f>
        <v>The Graveyard Shift</v>
      </c>
      <c r="B862" s="8" t="str">
        <f>IFERROR(__xludf.DUMMYFUNCTION("""COMPUTED_VALUE"""),"It WILL be the death of me…")</f>
        <v>It WILL be the death of me…</v>
      </c>
      <c r="C862" s="13" t="str">
        <f>IFERROR(__xludf.DUMMYFUNCTION("""COMPUTED_VALUE"""),"""h{ru"":{""label"":""The Graveyard Shift"",""extra"":""It WILL be the death of me…"",""sets"":""Expansion Set 3, Party Expansion 1""},")</f>
        <v>"h{ru":{"label":"The Graveyard Shift","extra":"It WILL be the death of me…","sets":"Expansion Set 3, Party Expansion 1"},</v>
      </c>
    </row>
    <row r="863">
      <c r="A863" s="8" t="str">
        <f>IFERROR(__xludf.DUMMYFUNCTION("""COMPUTED_VALUE"""),"The Great Barrier Reef")</f>
        <v>The Great Barrier Reef</v>
      </c>
      <c r="B863" s="8" t="str">
        <f>IFERROR(__xludf.DUMMYFUNCTION("""COMPUTED_VALUE"""),"Coral reefs, shoals and islets off the northern coast of Australia. Scuba heaven.")</f>
        <v>Coral reefs, shoals and islets off the northern coast of Australia. Scuba heaven.</v>
      </c>
      <c r="C863" s="13" t="str">
        <f>IFERROR(__xludf.DUMMYFUNCTION("""COMPUTED_VALUE"""),"""yepq"":{""label"":""The Great Barrier Reef"",""extra"":""Coral reefs, shoals and islets off the northern coast of Australia. Scuba heaven."",""sets"":""Expansion Set 3, Party Expansion 1""},")</f>
        <v>"yepq":{"label":"The Great Barrier Reef","extra":"Coral reefs, shoals and islets off the northern coast of Australia. Scuba heaven.","sets":"Expansion Set 3, Party Expansion 1"},</v>
      </c>
    </row>
    <row r="864">
      <c r="A864" s="8" t="str">
        <f>IFERROR(__xludf.DUMMYFUNCTION("""COMPUTED_VALUE"""),"The Great Wall Of China")</f>
        <v>The Great Wall Of China</v>
      </c>
      <c r="B864" s="8" t="str">
        <f>IFERROR(__xludf.DUMMYFUNCTION("""COMPUTED_VALUE"""),"A 1500 mile long wall across northern China. Built for fortification but better for tourism.")</f>
        <v>A 1500 mile long wall across northern China. Built for fortification but better for tourism.</v>
      </c>
      <c r="C864" s="13" t="str">
        <f>IFERROR(__xludf.DUMMYFUNCTION("""COMPUTED_VALUE"""),"""qcze"":{""label"":""The Great Wall Of China"",""extra"":""A 1500 mile long wall across northern China. Built for fortification but better for tourism."",""sets"":""Expansion Set 3, Party Expansion 1""},")</f>
        <v>"qcze":{"label":"The Great Wall Of China","extra":"A 1500 mile long wall across northern China. Built for fortification but better for tourism.","sets":"Expansion Set 3, Party Expansion 1"},</v>
      </c>
    </row>
    <row r="865">
      <c r="A865" s="8" t="str">
        <f>IFERROR(__xludf.DUMMYFUNCTION("""COMPUTED_VALUE"""),"The Ice Age")</f>
        <v>The Ice Age</v>
      </c>
      <c r="B865" s="8" t="str">
        <f>IFERROR(__xludf.DUMMYFUNCTION("""COMPUTED_VALUE"""),"Polarity analysis of deep-sea sediment suggests the Pleistocene age began more than 1.8 million years ago. Bla-bla-bla.")</f>
        <v>Polarity analysis of deep-sea sediment suggests the Pleistocene age began more than 1.8 million years ago. Bla-bla-bla.</v>
      </c>
      <c r="C865" s="13" t="str">
        <f>IFERROR(__xludf.DUMMYFUNCTION("""COMPUTED_VALUE"""),"""legg"":{""label"":""The Ice Age"",""extra"":""Polarity analysis of deep-sea sediment suggests the Pleistocene age began more than 1.8 million years ago. Bla-bla-bla."",""sets"":""Expansion Set 3, Party Expansion 1""},")</f>
        <v>"legg":{"label":"The Ice Age","extra":"Polarity analysis of deep-sea sediment suggests the Pleistocene age began more than 1.8 million years ago. Bla-bla-bla.","sets":"Expansion Set 3, Party Expansion 1"},</v>
      </c>
    </row>
    <row r="866">
      <c r="A866" s="8" t="str">
        <f>IFERROR(__xludf.DUMMYFUNCTION("""COMPUTED_VALUE"""),"The Judge")</f>
        <v>The Judge</v>
      </c>
      <c r="B866" s="8" t="str">
        <f>IFERROR(__xludf.DUMMYFUNCTION("""COMPUTED_VALUE"""),"Smile when you play this card.")</f>
        <v>Smile when you play this card.</v>
      </c>
      <c r="C866" s="13" t="str">
        <f>IFERROR(__xludf.DUMMYFUNCTION("""COMPUTED_VALUE"""),"""myds"":{""label"":""The Judge"",""extra"":""Smile when you play this card."",""sets"":""Expansion Set 3, Party Expansion 1""},")</f>
        <v>"myds":{"label":"The Judge","extra":"Smile when you play this card.","sets":"Expansion Set 3, Party Expansion 1"},</v>
      </c>
    </row>
    <row r="867">
      <c r="A867" s="8" t="str">
        <f>IFERROR(__xludf.DUMMYFUNCTION("""COMPUTED_VALUE"""),"The Last Day Of School")</f>
        <v>The Last Day Of School</v>
      </c>
      <c r="B867" s="8" t="str">
        <f>IFERROR(__xludf.DUMMYFUNCTION("""COMPUTED_VALUE"""),"Almost as good as a birthday!")</f>
        <v>Almost as good as a birthday!</v>
      </c>
      <c r="C867" s="13" t="str">
        <f>IFERROR(__xludf.DUMMYFUNCTION("""COMPUTED_VALUE"""),"""fgax"":{""label"":""The Last Day Of School"",""extra"":""Almost as good as a birthday!"",""sets"":""Junior 9+ (1st) &amp; (2nd)""},")</f>
        <v>"fgax":{"label":"The Last Day Of School","extra":"Almost as good as a birthday!","sets":"Junior 9+ (1st) &amp; (2nd)"},</v>
      </c>
    </row>
    <row r="868">
      <c r="A868" s="8" t="str">
        <f>IFERROR(__xludf.DUMMYFUNCTION("""COMPUTED_VALUE"""),"The Library")</f>
        <v>The Library</v>
      </c>
      <c r="B868" s="8" t="str">
        <f>IFERROR(__xludf.DUMMYFUNCTION("""COMPUTED_VALUE"""),"Books, magazines, newspapers, tapes, and computers. SHHHH!")</f>
        <v>Books, magazines, newspapers, tapes, and computers. SHHHH!</v>
      </c>
      <c r="C868" s="13" t="str">
        <f>IFERROR(__xludf.DUMMYFUNCTION("""COMPUTED_VALUE"""),"""lgbw"":{""label"":""The Library"",""extra"":""Books, magazines, newspapers, tapes, and computers. SHHHH!"",""sets"":""Junior 9+ (1st) &amp; (2nd)""},")</f>
        <v>"lgbw":{"label":"The Library","extra":"Books, magazines, newspapers, tapes, and computers. SHHHH!","sets":"Junior 9+ (1st) &amp; (2nd)"},</v>
      </c>
    </row>
    <row r="869">
      <c r="A869" s="8" t="str">
        <f>IFERROR(__xludf.DUMMYFUNCTION("""COMPUTED_VALUE"""),"The Little Mermaid")</f>
        <v>The Little Mermaid</v>
      </c>
      <c r="B869" s="8" t="str">
        <f>IFERROR(__xludf.DUMMYFUNCTION("""COMPUTED_VALUE"""),"A character in a folktale who gave up her home under the sea so that she could live on land.")</f>
        <v>A character in a folktale who gave up her home under the sea so that she could live on land.</v>
      </c>
      <c r="C869" s="13" t="str">
        <f>IFERROR(__xludf.DUMMYFUNCTION("""COMPUTED_VALUE"""),"""ynhg"":{""label"":""The Little Mermaid"",""extra"":""A character in a folktale who gave up her home under the sea so that she could live on land."",""sets"":""Junior""},")</f>
        <v>"ynhg":{"label":"The Little Mermaid","extra":"A character in a folktale who gave up her home under the sea so that she could live on land.","sets":"Junior"},</v>
      </c>
    </row>
    <row r="870">
      <c r="A870" s="8" t="str">
        <f>IFERROR(__xludf.DUMMYFUNCTION("""COMPUTED_VALUE"""),"The Lunchroom")</f>
        <v>The Lunchroom</v>
      </c>
      <c r="B870" s="8" t="str">
        <f>IFERROR(__xludf.DUMMYFUNCTION("""COMPUTED_VALUE"""),"What's for lunch?")</f>
        <v>What's for lunch?</v>
      </c>
      <c r="C870" s="13" t="str">
        <f>IFERROR(__xludf.DUMMYFUNCTION("""COMPUTED_VALUE"""),"""o{{y"":{""label"":""The Lunchroom"",""extra"":""What's for lunch?"",""sets"":""Junior 9+ (2nd)""},")</f>
        <v>"o{{y":{"label":"The Lunchroom","extra":"What's for lunch?","sets":"Junior 9+ (2nd)"},</v>
      </c>
    </row>
    <row r="871">
      <c r="A871" s="8" t="str">
        <f>IFERROR(__xludf.DUMMYFUNCTION("""COMPUTED_VALUE"""),"The Mall")</f>
        <v>The Mall</v>
      </c>
      <c r="B871" s="8" t="str">
        <f>IFERROR(__xludf.DUMMYFUNCTION("""COMPUTED_VALUE"""),"Great place to shop and meet friends.")</f>
        <v>Great place to shop and meet friends.</v>
      </c>
      <c r="C871" s="13" t="str">
        <f>IFERROR(__xludf.DUMMYFUNCTION("""COMPUTED_VALUE"""),"""hmoe"":{""label"":""The Mall"",""extra"":""Great place to shop and meet friends."",""sets"":""Junior 9+ (1st) &amp; (2nd)""},")</f>
        <v>"hmoe":{"label":"The Mall","extra":"Great place to shop and meet friends.","sets":"Junior 9+ (1st) &amp; (2nd)"},</v>
      </c>
    </row>
    <row r="872">
      <c r="A872" s="8" t="str">
        <f>IFERROR(__xludf.DUMMYFUNCTION("""COMPUTED_VALUE"""),"The Moon")</f>
        <v>The Moon</v>
      </c>
      <c r="B872" s="8" t="str">
        <f>IFERROR(__xludf.DUMMYFUNCTION("""COMPUTED_VALUE"""),"There’s a new moon and there’s a full moon, and sometimes there’s a man in the moon.")</f>
        <v>There’s a new moon and there’s a full moon, and sometimes there’s a man in the moon.</v>
      </c>
      <c r="C872" s="13" t="str">
        <f>IFERROR(__xludf.DUMMYFUNCTION("""COMPUTED_VALUE"""),"""yf{q"":{""label"":""The Moon"",""extra"":""There’s a new moon and there’s a full moon, and sometimes there’s a man in the moon."",""sets"":""Junior 9+ (1st) &amp; (2nd)""},")</f>
        <v>"yf{q":{"label":"The Moon","extra":"There’s a new moon and there’s a full moon, and sometimes there’s a man in the moon.","sets":"Junior 9+ (1st) &amp; (2nd)"},</v>
      </c>
    </row>
    <row r="873">
      <c r="A873" s="8" t="str">
        <f>IFERROR(__xludf.DUMMYFUNCTION("""COMPUTED_VALUE"""),"The Mounties")</f>
        <v>The Mounties</v>
      </c>
      <c r="B873" s="8" t="str">
        <f>IFERROR(__xludf.DUMMYFUNCTION("""COMPUTED_VALUE"""),"The Royal Canadian Mounted Police. They always get their man.")</f>
        <v>The Royal Canadian Mounted Police. They always get their man.</v>
      </c>
      <c r="C873" s="13" t="str">
        <f>IFERROR(__xludf.DUMMYFUNCTION("""COMPUTED_VALUE"""),"""ppnz"":{""label"":""The Mounties"",""extra"":""The Royal Canadian Mounted Police. They always get their man."",""sets"":""Expansion Set 3, Party Expansion 1""},")</f>
        <v>"ppnz":{"label":"The Mounties","extra":"The Royal Canadian Mounted Police. They always get their man.","sets":"Expansion Set 3, Party Expansion 1"},</v>
      </c>
    </row>
    <row r="874">
      <c r="A874" s="8" t="str">
        <f>IFERROR(__xludf.DUMMYFUNCTION("""COMPUTED_VALUE"""),"The North Pole")</f>
        <v>The North Pole</v>
      </c>
      <c r="B874" s="8" t="str">
        <f>IFERROR(__xludf.DUMMYFUNCTION("""COMPUTED_VALUE"""),"Things can only go south from here…")</f>
        <v>Things can only go south from here…</v>
      </c>
      <c r="C874" s="13" t="str">
        <f>IFERROR(__xludf.DUMMYFUNCTION("""COMPUTED_VALUE"""),"""vdc{"":{""label"":""The North Pole"",""extra"":""Things can only go south from here…"",""sets"":""Expansion Set 3, Party Expansion 1""},")</f>
        <v>"vdc{":{"label":"The North Pole","extra":"Things can only go south from here…","sets":"Expansion Set 3, Party Expansion 1"},</v>
      </c>
    </row>
    <row r="875">
      <c r="A875" s="8" t="str">
        <f>IFERROR(__xludf.DUMMYFUNCTION("""COMPUTED_VALUE"""),"The Ocean")</f>
        <v>The Ocean</v>
      </c>
      <c r="B875" s="8" t="str">
        <f>IFERROR(__xludf.DUMMYFUNCTION("""COMPUTED_VALUE"""),"Almost three-fourths of the Earth’s surface is covered by the four oceans.")</f>
        <v>Almost three-fourths of the Earth’s surface is covered by the four oceans.</v>
      </c>
      <c r="C875" s="13" t="str">
        <f>IFERROR(__xludf.DUMMYFUNCTION("""COMPUTED_VALUE"""),"""mlog"":{""label"":""The Ocean"",""extra"":""Almost three-fourths of the Earth’s surface is covered by the four oceans."",""sets"":""Junior 9+ (1st) &amp; (2nd)""},")</f>
        <v>"mlog":{"label":"The Ocean","extra":"Almost three-fourths of the Earth’s surface is covered by the four oceans.","sets":"Junior 9+ (1st) &amp; (2nd)"},</v>
      </c>
    </row>
    <row r="876">
      <c r="A876" s="8" t="str">
        <f>IFERROR(__xludf.DUMMYFUNCTION("""COMPUTED_VALUE"""),"The Police")</f>
        <v>The Police</v>
      </c>
      <c r="B876" s="8" t="str">
        <f>IFERROR(__xludf.DUMMYFUNCTION("""COMPUTED_VALUE"""),"They keep order and arrest those who break the law.")</f>
        <v>They keep order and arrest those who break the law.</v>
      </c>
      <c r="C876" s="13" t="str">
        <f>IFERROR(__xludf.DUMMYFUNCTION("""COMPUTED_VALUE"""),"""bxun"":{""label"":""The Police"",""extra"":""They keep order and arrest those who break the law."",""sets"":""Junior 9+ (1st) &amp; (2nd)""},")</f>
        <v>"bxun":{"label":"The Police","extra":"They keep order and arrest those who break the law.","sets":"Junior 9+ (1st) &amp; (2nd)"},</v>
      </c>
    </row>
    <row r="877">
      <c r="A877" s="8" t="str">
        <f>IFERROR(__xludf.DUMMYFUNCTION("""COMPUTED_VALUE"""),"The President")</f>
        <v>The President</v>
      </c>
      <c r="B877" s="8" t="str">
        <f>IFERROR(__xludf.DUMMYFUNCTION("""COMPUTED_VALUE"""),"A U.S. president must be at least 35 years old and a natural born citizen.")</f>
        <v>A U.S. president must be at least 35 years old and a natural born citizen.</v>
      </c>
      <c r="C877" s="13" t="str">
        <f>IFERROR(__xludf.DUMMYFUNCTION("""COMPUTED_VALUE"""),"""gcqv"":{""label"":""The President"",""extra"":""A U.S. president must be at least 35 years old and a natural born citizen."",""sets"":""Junior 9+ (1st) &amp; (2nd)""},")</f>
        <v>"gcqv":{"label":"The President","extra":"A U.S. president must be at least 35 years old and a natural born citizen.","sets":"Junior 9+ (1st) &amp; (2nd)"},</v>
      </c>
    </row>
    <row r="878">
      <c r="A878" s="8" t="str">
        <f>IFERROR(__xludf.DUMMYFUNCTION("""COMPUTED_VALUE"""),"The Princess &amp; The Pea")</f>
        <v>The Princess &amp; The Pea</v>
      </c>
      <c r="B878" s="8" t="str">
        <f>IFERROR(__xludf.DUMMYFUNCTION("""COMPUTED_VALUE"""),"The true test of a princess, fairy tale or otherwise.")</f>
        <v>The true test of a princess, fairy tale or otherwise.</v>
      </c>
      <c r="C878" s="13" t="str">
        <f>IFERROR(__xludf.DUMMYFUNCTION("""COMPUTED_VALUE"""),"""wfeb"":{""label"":""The Princess &amp; The Pea"",""extra"":""The true test of a princess, fairy tale or otherwise."",""sets"":""Expansion Set 4, Party Expansion 1""},")</f>
        <v>"wfeb":{"label":"The Princess &amp; The Pea","extra":"The true test of a princess, fairy tale or otherwise.","sets":"Expansion Set 4, Party Expansion 1"},</v>
      </c>
    </row>
    <row r="879">
      <c r="A879" s="8" t="str">
        <f>IFERROR(__xludf.DUMMYFUNCTION("""COMPUTED_VALUE"""),"The Scarlet Letter")</f>
        <v>The Scarlet Letter</v>
      </c>
      <c r="B879" s="8" t="str">
        <f>IFERROR(__xludf.DUMMYFUNCTION("""COMPUTED_VALUE"""),"Hawthorne’s 1845 novel about Puritan New England, moral conflicts, guilt, and down-right nastiness. (It was an “A”.)")</f>
        <v>Hawthorne’s 1845 novel about Puritan New England, moral conflicts, guilt, and down-right nastiness. (It was an “A”.)</v>
      </c>
      <c r="C879" s="13" t="str">
        <f>IFERROR(__xludf.DUMMYFUNCTION("""COMPUTED_VALUE"""),"""dqci"":{""label"":""The Scarlet Letter"",""extra"":""Hawthorne’s 1845 novel about Puritan New England, moral conflicts, guilt, and down-right nastiness. (It was an “A”.)"",""sets"":""Expansion Set 3, Party Expansion 1""},")</f>
        <v>"dqci":{"label":"The Scarlet Letter","extra":"Hawthorne’s 1845 novel about Puritan New England, moral conflicts, guilt, and down-right nastiness. (It was an “A”.)","sets":"Expansion Set 3, Party Expansion 1"},</v>
      </c>
    </row>
    <row r="880">
      <c r="A880" s="8" t="str">
        <f>IFERROR(__xludf.DUMMYFUNCTION("""COMPUTED_VALUE"""),"The Statue Of Liberty")</f>
        <v>The Statue Of Liberty</v>
      </c>
      <c r="B880" s="8" t="str">
        <f>IFERROR(__xludf.DUMMYFUNCTION("""COMPUTED_VALUE"""),"“Lady Liberty” was a gift to the U.S. from the people of France.")</f>
        <v>“Lady Liberty” was a gift to the U.S. from the people of France.</v>
      </c>
      <c r="C880" s="13" t="str">
        <f>IFERROR(__xludf.DUMMYFUNCTION("""COMPUTED_VALUE"""),"""xxud"":{""label"":""The Statue Of Liberty"",""extra"":""“Lady Liberty” was a gift to the U.S. from the people of France."",""sets"":""Junior 9+ (2nd)""},")</f>
        <v>"xxud":{"label":"The Statue Of Liberty","extra":"“Lady Liberty” was a gift to the U.S. from the people of France.","sets":"Junior 9+ (2nd)"},</v>
      </c>
    </row>
    <row r="881">
      <c r="A881" s="8" t="str">
        <f>IFERROR(__xludf.DUMMYFUNCTION("""COMPUTED_VALUE"""),"The Symphony")</f>
        <v>The Symphony</v>
      </c>
      <c r="B881" s="8" t="str">
        <f>IFERROR(__xludf.DUMMYFUNCTION("""COMPUTED_VALUE"""),"It’s music to our ears.")</f>
        <v>It’s music to our ears.</v>
      </c>
      <c r="C881" s="13" t="str">
        <f>IFERROR(__xludf.DUMMYFUNCTION("""COMPUTED_VALUE"""),"""cfel"":{""label"":""The Symphony"",""extra"":""It’s music to our ears."",""sets"":""Expansion Set 3, Party Expansion 1""},")</f>
        <v>"cfel":{"label":"The Symphony","extra":"It’s music to our ears.","sets":"Expansion Set 3, Party Expansion 1"},</v>
      </c>
    </row>
    <row r="882">
      <c r="A882" s="8" t="str">
        <f>IFERROR(__xludf.DUMMYFUNCTION("""COMPUTED_VALUE"""),"The Three Stooges")</f>
        <v>The Three Stooges</v>
      </c>
      <c r="B882" s="8" t="str">
        <f>IFERROR(__xludf.DUMMYFUNCTION("""COMPUTED_VALUE"""),"Nyuk, nyuk, nyuk. A wiseguy, eh?")</f>
        <v>Nyuk, nyuk, nyuk. A wiseguy, eh?</v>
      </c>
      <c r="C882" s="13" t="str">
        <f>IFERROR(__xludf.DUMMYFUNCTION("""COMPUTED_VALUE"""),"""hx{c"":{""label"":""The Three Stooges"",""extra"":""Nyuk, nyuk, nyuk. A wiseguy, eh?"",""sets"":""Expansion Set 3, Party Expansion 1""},")</f>
        <v>"hx{c":{"label":"The Three Stooges","extra":"Nyuk, nyuk, nyuk. A wiseguy, eh?","sets":"Expansion Set 3, Party Expansion 1"},</v>
      </c>
    </row>
    <row r="883">
      <c r="A883" s="8" t="str">
        <f>IFERROR(__xludf.DUMMYFUNCTION("""COMPUTED_VALUE"""),"The U.S. Constitution")</f>
        <v>The U.S. Constitution</v>
      </c>
      <c r="B883" s="8" t="str">
        <f>IFERROR(__xludf.DUMMYFUNCTION("""COMPUTED_VALUE"""),"We the people…")</f>
        <v>We the people…</v>
      </c>
      <c r="C883" s="13" t="str">
        <f>IFERROR(__xludf.DUMMYFUNCTION("""COMPUTED_VALUE"""),"""lljc"":{""label"":""The U.S. Constitution"",""extra"":""We the people…"",""sets"":""Expansion Set 3, Party Expansion 1""},")</f>
        <v>"lljc":{"label":"The U.S. Constitution","extra":"We the people…","sets":"Expansion Set 3, Party Expansion 1"},</v>
      </c>
    </row>
    <row r="884">
      <c r="A884" s="8" t="str">
        <f>IFERROR(__xludf.DUMMYFUNCTION("""COMPUTED_VALUE"""),"The Young &amp; The Restless")</f>
        <v>The Young &amp; The Restless</v>
      </c>
      <c r="B884" s="8" t="str">
        <f>IFERROR(__xludf.DUMMYFUNCTION("""COMPUTED_VALUE"""),"Launched in 1973, this soap opera isn’t young, but it’s still restless.")</f>
        <v>Launched in 1973, this soap opera isn’t young, but it’s still restless.</v>
      </c>
      <c r="C884" s="13" t="str">
        <f>IFERROR(__xludf.DUMMYFUNCTION("""COMPUTED_VALUE"""),"""yhis"":{""label"":""The Young &amp; The Restless"",""extra"":""Launched in 1973, this soap opera isn’t young, but it’s still restless."",""sets"":""Expansion Set 4, Party Expansion 1""},")</f>
        <v>"yhis":{"label":"The Young &amp; The Restless","extra":"Launched in 1973, this soap opera isn’t young, but it’s still restless.","sets":"Expansion Set 4, Party Expansion 1"},</v>
      </c>
    </row>
    <row r="885">
      <c r="A885" s="8" t="str">
        <f>IFERROR(__xludf.DUMMYFUNCTION("""COMPUTED_VALUE"""),"The Zoo")</f>
        <v>The Zoo</v>
      </c>
      <c r="B885" s="8" t="str">
        <f>IFERROR(__xludf.DUMMYFUNCTION("""COMPUTED_VALUE"""),"“Oh! Lions and tigers and bears. Oh my.”")</f>
        <v>“Oh! Lions and tigers and bears. Oh my.”</v>
      </c>
      <c r="C885" s="13" t="str">
        <f>IFERROR(__xludf.DUMMYFUNCTION("""COMPUTED_VALUE"""),"""jmuc"":{""label"":""The Zoo"",""extra"":""“Oh! Lions and tigers and bears. Oh my.”"",""sets"":""Junior""},")</f>
        <v>"jmuc":{"label":"The Zoo","extra":"“Oh! Lions and tigers and bears. Oh my.”","sets":"Junior"},</v>
      </c>
    </row>
    <row r="886">
      <c r="A886" s="8" t="str">
        <f>IFERROR(__xludf.DUMMYFUNCTION("""COMPUTED_VALUE"""),"Throwing Rocks")</f>
        <v>Throwing Rocks</v>
      </c>
      <c r="B886" s="8" t="str">
        <f>IFERROR(__xludf.DUMMYFUNCTION("""COMPUTED_VALUE"""),"Be careful so that you don't break any windows.")</f>
        <v>Be careful so that you don't break any windows.</v>
      </c>
      <c r="C886" s="13" t="str">
        <f>IFERROR(__xludf.DUMMYFUNCTION("""COMPUTED_VALUE"""),"""rjps"":{""label"":""Throwing Rocks"",""extra"":""Be careful so that you don't break any windows."",""sets"":""Junior""},")</f>
        <v>"rjps":{"label":"Throwing Rocks","extra":"Be careful so that you don't break any windows.","sets":"Junior"},</v>
      </c>
    </row>
    <row r="887">
      <c r="A887" s="8" t="str">
        <f>IFERROR(__xludf.DUMMYFUNCTION("""COMPUTED_VALUE"""),"Throwing Up")</f>
        <v>Throwing Up</v>
      </c>
      <c r="B887" s="8" t="str">
        <f>IFERROR(__xludf.DUMMYFUNCTION("""COMPUTED_VALUE"""),"It’s proof that you really are sick.")</f>
        <v>It’s proof that you really are sick.</v>
      </c>
      <c r="C887" s="13" t="str">
        <f>IFERROR(__xludf.DUMMYFUNCTION("""COMPUTED_VALUE"""),"""sxqk"":{""label"":""Throwing Up"",""extra"":""It’s proof that you really are sick."",""sets"":""Junior""},")</f>
        <v>"sxqk":{"label":"Throwing Up","extra":"It’s proof that you really are sick.","sets":"Junior"},</v>
      </c>
    </row>
    <row r="888">
      <c r="A888" s="8" t="str">
        <f>IFERROR(__xludf.DUMMYFUNCTION("""COMPUTED_VALUE"""),"Thunder")</f>
        <v>Thunder</v>
      </c>
      <c r="B888" s="8" t="str">
        <f>IFERROR(__xludf.DUMMYFUNCTION("""COMPUTED_VALUE"""),"A booming sound wave created by the heat from lightning.")</f>
        <v>A booming sound wave created by the heat from lightning.</v>
      </c>
      <c r="C888" s="13" t="str">
        <f>IFERROR(__xludf.DUMMYFUNCTION("""COMPUTED_VALUE"""),"""qpvz"":{""label"":""Thunder"",""extra"":""A booming sound wave created by the heat from lightning."",""sets"":""Junior 9+ (1st) &amp; (2nd)""},")</f>
        <v>"qpvz":{"label":"Thunder","extra":"A booming sound wave created by the heat from lightning.","sets":"Junior 9+ (1st) &amp; (2nd)"},</v>
      </c>
    </row>
    <row r="889">
      <c r="A889" s="8" t="str">
        <f>IFERROR(__xludf.DUMMYFUNCTION("""COMPUTED_VALUE"""),"Thunder &amp; Lightning")</f>
        <v>Thunder &amp; Lightning</v>
      </c>
      <c r="B889" s="8" t="str">
        <f>IFERROR(__xludf.DUMMYFUNCTION("""COMPUTED_VALUE"""),"Nature’s fireworks.")</f>
        <v>Nature’s fireworks.</v>
      </c>
      <c r="C889" s="13" t="str">
        <f>IFERROR(__xludf.DUMMYFUNCTION("""COMPUTED_VALUE"""),"""clpv"":{""label"":""Thunder &amp; Lightning"",""extra"":""Nature’s fireworks."",""sets"":""Expansion Set 4, Party Expansion 1""},")</f>
        <v>"clpv":{"label":"Thunder &amp; Lightning","extra":"Nature’s fireworks.","sets":"Expansion Set 4, Party Expansion 1"},</v>
      </c>
    </row>
    <row r="890">
      <c r="A890" s="8" t="str">
        <f>IFERROR(__xludf.DUMMYFUNCTION("""COMPUTED_VALUE"""),"Thunderstorms")</f>
        <v>Thunderstorms</v>
      </c>
      <c r="B890" s="8" t="str">
        <f>IFERROR(__xludf.DUMMYFUNCTION("""COMPUTED_VALUE"""),"Don’t stand under a tree if you hear thunder!")</f>
        <v>Don’t stand under a tree if you hear thunder!</v>
      </c>
      <c r="C890" s="13" t="str">
        <f>IFERROR(__xludf.DUMMYFUNCTION("""COMPUTED_VALUE"""),"""uebw"":{""label"":""Thunderstorms"",""extra"":""Don’t stand under a tree if you hear thunder!"",""sets"":""Junior""},")</f>
        <v>"uebw":{"label":"Thunderstorms","extra":"Don’t stand under a tree if you hear thunder!","sets":"Junior"},</v>
      </c>
    </row>
    <row r="891">
      <c r="A891" s="8" t="str">
        <f>IFERROR(__xludf.DUMMYFUNCTION("""COMPUTED_VALUE"""),"Tightrope Walking")</f>
        <v>Tightrope Walking</v>
      </c>
      <c r="B891" s="8" t="str">
        <f>IFERROR(__xludf.DUMMYFUNCTION("""COMPUTED_VALUE"""),"If you get really good, you can join the circus.")</f>
        <v>If you get really good, you can join the circus.</v>
      </c>
      <c r="C891" s="13" t="str">
        <f>IFERROR(__xludf.DUMMYFUNCTION("""COMPUTED_VALUE"""),"""jzcc"":{""label"":""Tightrope Walking"",""extra"":""If you get really good, you can join the circus."",""sets"":""Junior 9+ (2nd)""},")</f>
        <v>"jzcc":{"label":"Tightrope Walking","extra":"If you get really good, you can join the circus.","sets":"Junior 9+ (2nd)"},</v>
      </c>
    </row>
    <row r="892">
      <c r="A892" s="8" t="str">
        <f>IFERROR(__xludf.DUMMYFUNCTION("""COMPUTED_VALUE"""),"Timbuktu")</f>
        <v>Timbuktu</v>
      </c>
      <c r="B892" s="8" t="str">
        <f>IFERROR(__xludf.DUMMYFUNCTION("""COMPUTED_VALUE"""),"City of 20,000 located in the West African nation of Mali. The official name is Tombouctou. From here to Timbuktu.")</f>
        <v>City of 20,000 located in the West African nation of Mali. The official name is Tombouctou. From here to Timbuktu.</v>
      </c>
      <c r="C892" s="13" t="str">
        <f>IFERROR(__xludf.DUMMYFUNCTION("""COMPUTED_VALUE"""),"""mfcf"":{""label"":""Timbuktu"",""extra"":""City of 20,000 located in the West African nation of Mali. The official name is Tombouctou. From here to Timbuktu."",""sets"":""Expansion Set 3, Party Expansion 1""},")</f>
        <v>"mfcf":{"label":"Timbuktu","extra":"City of 20,000 located in the West African nation of Mali. The official name is Tombouctou. From here to Timbuktu.","sets":"Expansion Set 3, Party Expansion 1"},</v>
      </c>
    </row>
    <row r="893">
      <c r="A893" s="8" t="str">
        <f>IFERROR(__xludf.DUMMYFUNCTION("""COMPUTED_VALUE"""),"Time Travel")</f>
        <v>Time Travel</v>
      </c>
      <c r="B893" s="8" t="str">
        <f>IFERROR(__xludf.DUMMYFUNCTION("""COMPUTED_VALUE"""),"“What do you mean I missed my connection in the 14th Century?”")</f>
        <v>“What do you mean I missed my connection in the 14th Century?”</v>
      </c>
      <c r="C893" s="13" t="str">
        <f>IFERROR(__xludf.DUMMYFUNCTION("""COMPUTED_VALUE"""),"""vpio"":{""label"":""Time Travel"",""extra"":""“What do you mean I missed my connection in the 14th Century?”"",""sets"":""Expansion Set 3, Party Expansion 1""},")</f>
        <v>"vpio":{"label":"Time Travel","extra":"“What do you mean I missed my connection in the 14th Century?”","sets":"Expansion Set 3, Party Expansion 1"},</v>
      </c>
    </row>
    <row r="894">
      <c r="A894" s="8" t="str">
        <f>IFERROR(__xludf.DUMMYFUNCTION("""COMPUTED_VALUE"""),"Toasted Marshmallows")</f>
        <v>Toasted Marshmallows</v>
      </c>
      <c r="B894" s="8" t="str">
        <f>IFERROR(__xludf.DUMMYFUNCTION("""COMPUTED_VALUE"""),"Add chocolate and graham crackers and you'll wish you had s’more.")</f>
        <v>Add chocolate and graham crackers and you'll wish you had s’more.</v>
      </c>
      <c r="C894" s="13" t="str">
        <f>IFERROR(__xludf.DUMMYFUNCTION("""COMPUTED_VALUE"""),"""lbmk"":{""label"":""Toasted Marshmallows"",""extra"":""Add chocolate and graham crackers and you'll wish you had s’more."",""sets"":""Junior 9+ (1st) &amp; (2nd)""},")</f>
        <v>"lbmk":{"label":"Toasted Marshmallows","extra":"Add chocolate and graham crackers and you'll wish you had s’more.","sets":"Junior 9+ (1st) &amp; (2nd)"},</v>
      </c>
    </row>
    <row r="895">
      <c r="A895" s="8" t="str">
        <f>IFERROR(__xludf.DUMMYFUNCTION("""COMPUTED_VALUE"""),"Toenails")</f>
        <v>Toenails</v>
      </c>
      <c r="B895" s="8" t="str">
        <f>IFERROR(__xludf.DUMMYFUNCTION("""COMPUTED_VALUE"""),"A horse’s foot is actually a toe. The hoof is a toenail.")</f>
        <v>A horse’s foot is actually a toe. The hoof is a toenail.</v>
      </c>
      <c r="C895" s="13" t="str">
        <f>IFERROR(__xludf.DUMMYFUNCTION("""COMPUTED_VALUE"""),"""ogzq"":{""label"":""Toenails"",""extra"":""A horse’s foot is actually a toe. The hoof is a toenail."",""sets"":""Junior 9+ (1st) &amp; (2nd)""},")</f>
        <v>"ogzq":{"label":"Toenails","extra":"A horse’s foot is actually a toe. The hoof is a toenail.","sets":"Junior 9+ (1st) &amp; (2nd)"},</v>
      </c>
    </row>
    <row r="896">
      <c r="A896" s="8" t="str">
        <f>IFERROR(__xludf.DUMMYFUNCTION("""COMPUTED_VALUE"""),"Tom &amp; Jerry")</f>
        <v>Tom &amp; Jerry</v>
      </c>
      <c r="B896" s="8" t="str">
        <f>IFERROR(__xludf.DUMMYFUNCTION("""COMPUTED_VALUE"""),"A good chaser.")</f>
        <v>A good chaser.</v>
      </c>
      <c r="C896" s="13" t="str">
        <f>IFERROR(__xludf.DUMMYFUNCTION("""COMPUTED_VALUE"""),"""h{gs"":{""label"":""Tom &amp; Jerry"",""extra"":""A good chaser."",""sets"":""Expansion Set 4, Party Expansion 1""},")</f>
        <v>"h{gs":{"label":"Tom &amp; Jerry","extra":"A good chaser.","sets":"Expansion Set 4, Party Expansion 1"},</v>
      </c>
    </row>
    <row r="897">
      <c r="A897" s="8" t="str">
        <f>IFERROR(__xludf.DUMMYFUNCTION("""COMPUTED_VALUE"""),"Tomato Soup")</f>
        <v>Tomato Soup</v>
      </c>
      <c r="B897" s="8" t="str">
        <f>IFERROR(__xludf.DUMMYFUNCTION("""COMPUTED_VALUE"""),"Good with cheese sandwiches.")</f>
        <v>Good with cheese sandwiches.</v>
      </c>
      <c r="C897" s="13" t="str">
        <f>IFERROR(__xludf.DUMMYFUNCTION("""COMPUTED_VALUE"""),"""klzc"":{""label"":""Tomato Soup"",""extra"":""Good with cheese sandwiches."",""sets"":""Junior 9+ (1st) &amp; (2nd)""},")</f>
        <v>"klzc":{"label":"Tomato Soup","extra":"Good with cheese sandwiches.","sets":"Junior 9+ (1st) &amp; (2nd)"},</v>
      </c>
    </row>
    <row r="898">
      <c r="A898" s="8" t="str">
        <f>IFERROR(__xludf.DUMMYFUNCTION("""COMPUTED_VALUE"""),"Tomatoes")</f>
        <v>Tomatoes</v>
      </c>
      <c r="B898" s="8" t="str">
        <f>IFERROR(__xludf.DUMMYFUNCTION("""COMPUTED_VALUE"""),"Most people don't know that a tomato is a fruit.")</f>
        <v>Most people don't know that a tomato is a fruit.</v>
      </c>
      <c r="C898" s="13" t="str">
        <f>IFERROR(__xludf.DUMMYFUNCTION("""COMPUTED_VALUE"""),"""dtrx"":{""label"":""Tomatoes"",""extra"":""Most people don't know that a tomato is a fruit."",""sets"":""Junior""},")</f>
        <v>"dtrx":{"label":"Tomatoes","extra":"Most people don't know that a tomato is a fruit.","sets":"Junior"},</v>
      </c>
    </row>
    <row r="899">
      <c r="A899" s="8" t="str">
        <f>IFERROR(__xludf.DUMMYFUNCTION("""COMPUTED_VALUE"""),"Tooth Fairy")</f>
        <v>Tooth Fairy</v>
      </c>
      <c r="B899" s="8" t="str">
        <f>IFERROR(__xludf.DUMMYFUNCTION("""COMPUTED_VALUE"""),"Who knows what they do with all those baby teeth.")</f>
        <v>Who knows what they do with all those baby teeth.</v>
      </c>
      <c r="C899" s="13" t="str">
        <f>IFERROR(__xludf.DUMMYFUNCTION("""COMPUTED_VALUE"""),"""esvb"":{""label"":""Tooth Fairy"",""extra"":""Who knows what they do with all those baby teeth."",""sets"":""Junior 9+ (1st) &amp; (2nd)""},")</f>
        <v>"esvb":{"label":"Tooth Fairy","extra":"Who knows what they do with all those baby teeth.","sets":"Junior 9+ (1st) &amp; (2nd)"},</v>
      </c>
    </row>
    <row r="900">
      <c r="A900" s="8" t="str">
        <f>IFERROR(__xludf.DUMMYFUNCTION("""COMPUTED_VALUE"""),"Toothpaste")</f>
        <v>Toothpaste</v>
      </c>
      <c r="B900" s="8" t="str">
        <f>IFERROR(__xludf.DUMMYFUNCTION("""COMPUTED_VALUE"""),"Brush and spit!")</f>
        <v>Brush and spit!</v>
      </c>
      <c r="C900" s="13" t="str">
        <f>IFERROR(__xludf.DUMMYFUNCTION("""COMPUTED_VALUE"""),"""qglu"":{""label"":""Toothpaste"",""extra"":""Brush and spit!"",""sets"":""Junior 9+ (2nd)""},")</f>
        <v>"qglu":{"label":"Toothpaste","extra":"Brush and spit!","sets":"Junior 9+ (2nd)"},</v>
      </c>
    </row>
    <row r="901">
      <c r="A901" s="8" t="str">
        <f>IFERROR(__xludf.DUMMYFUNCTION("""COMPUTED_VALUE"""),"Toy Poodles")</f>
        <v>Toy Poodles</v>
      </c>
      <c r="B901" s="8" t="str">
        <f>IFERROR(__xludf.DUMMYFUNCTION("""COMPUTED_VALUE"""),"They are less than ten inches tall, from their shoulders to the floor.")</f>
        <v>They are less than ten inches tall, from their shoulders to the floor.</v>
      </c>
      <c r="C901" s="13" t="str">
        <f>IFERROR(__xludf.DUMMYFUNCTION("""COMPUTED_VALUE"""),"""epvv"":{""label"":""Toy Poodles"",""extra"":""They are less than ten inches tall, from their shoulders to the floor."",""sets"":""Junior 9+ (2nd)""},")</f>
        <v>"epvv":{"label":"Toy Poodles","extra":"They are less than ten inches tall, from their shoulders to the floor.","sets":"Junior 9+ (2nd)"},</v>
      </c>
    </row>
    <row r="902">
      <c r="A902" s="8" t="str">
        <f>IFERROR(__xludf.DUMMYFUNCTION("""COMPUTED_VALUE"""),"Toys")</f>
        <v>Toys</v>
      </c>
      <c r="B902" s="8" t="str">
        <f>IFERROR(__xludf.DUMMYFUNCTION("""COMPUTED_VALUE"""),"Stuffed animals, action figures, dolls, balls, and lots more. Everyone loves toys!")</f>
        <v>Stuffed animals, action figures, dolls, balls, and lots more. Everyone loves toys!</v>
      </c>
      <c r="C902" s="13" t="str">
        <f>IFERROR(__xludf.DUMMYFUNCTION("""COMPUTED_VALUE"""),"""vxsb"":{""label"":""Toys"",""extra"":""Stuffed animals, action figures, dolls, balls, and lots more. Everyone loves toys!"",""sets"":""Junior""},")</f>
        <v>"vxsb":{"label":"Toys","extra":"Stuffed animals, action figures, dolls, balls, and lots more. Everyone loves toys!","sets":"Junior"},</v>
      </c>
    </row>
    <row r="903">
      <c r="A903" s="8" t="str">
        <f>IFERROR(__xludf.DUMMYFUNCTION("""COMPUTED_VALUE"""),"Track &amp; Field")</f>
        <v>Track &amp; Field</v>
      </c>
      <c r="B903" s="8" t="str">
        <f>IFERROR(__xludf.DUMMYFUNCTION("""COMPUTED_VALUE"""),"It’s eventful.")</f>
        <v>It’s eventful.</v>
      </c>
      <c r="C903" s="13" t="str">
        <f>IFERROR(__xludf.DUMMYFUNCTION("""COMPUTED_VALUE"""),"""zgtb"":{""label"":""Track &amp; Field"",""extra"":""It’s eventful."",""sets"":""Expansion Set 4, Party Expansion 1""},")</f>
        <v>"zgtb":{"label":"Track &amp; Field","extra":"It’s eventful.","sets":"Expansion Set 4, Party Expansion 1"},</v>
      </c>
    </row>
    <row r="904">
      <c r="A904" s="8" t="str">
        <f>IFERROR(__xludf.DUMMYFUNCTION("""COMPUTED_VALUE"""),"Tractors")</f>
        <v>Tractors</v>
      </c>
      <c r="B904" s="8" t="str">
        <f>IFERROR(__xludf.DUMMYFUNCTION("""COMPUTED_VALUE"""),"“She thinks My Tractor’s Sexy.” —Kenny Chesney")</f>
        <v>“She thinks My Tractor’s Sexy.” —Kenny Chesney</v>
      </c>
      <c r="C904" s="13" t="str">
        <f>IFERROR(__xludf.DUMMYFUNCTION("""COMPUTED_VALUE"""),"""hapm"":{""label"":""Tractors"",""extra"":""“She thinks My Tractor’s Sexy.” —Kenny Chesney"",""sets"":""Expansion Set 3, Party Expansion 1""},")</f>
        <v>"hapm":{"label":"Tractors","extra":"“She thinks My Tractor’s Sexy.” —Kenny Chesney","sets":"Expansion Set 3, Party Expansion 1"},</v>
      </c>
    </row>
    <row r="905">
      <c r="A905" s="8" t="str">
        <f>IFERROR(__xludf.DUMMYFUNCTION("""COMPUTED_VALUE"""),"Training Wheels")</f>
        <v>Training Wheels</v>
      </c>
      <c r="B905" s="8" t="str">
        <f>IFERROR(__xludf.DUMMYFUNCTION("""COMPUTED_VALUE"""),"It’s a four-wheeler.")</f>
        <v>It’s a four-wheeler.</v>
      </c>
      <c r="C905" s="13" t="str">
        <f>IFERROR(__xludf.DUMMYFUNCTION("""COMPUTED_VALUE"""),"""twfw"":{""label"":""Training Wheels"",""extra"":""It’s a four-wheeler."",""sets"":""Junior 9+ (2nd)""},")</f>
        <v>"twfw":{"label":"Training Wheels","extra":"It’s a four-wheeler.","sets":"Junior 9+ (2nd)"},</v>
      </c>
    </row>
    <row r="906">
      <c r="A906" s="8" t="str">
        <f>IFERROR(__xludf.DUMMYFUNCTION("""COMPUTED_VALUE"""),"Trains")</f>
        <v>Trains</v>
      </c>
      <c r="B906" s="8" t="str">
        <f>IFERROR(__xludf.DUMMYFUNCTION("""COMPUTED_VALUE"""),"“The Little Engine That Could” is a story about a train that climbs over a mountain.")</f>
        <v>“The Little Engine That Could” is a story about a train that climbs over a mountain.</v>
      </c>
      <c r="C906" s="13" t="str">
        <f>IFERROR(__xludf.DUMMYFUNCTION("""COMPUTED_VALUE"""),"""gnvj"":{""label"":""Trains"",""extra"":""“The Little Engine That Could” is a story about a train that climbs over a mountain."",""sets"":""Junior""},")</f>
        <v>"gnvj":{"label":"Trains","extra":"“The Little Engine That Could” is a story about a train that climbs over a mountain.","sets":"Junior"},</v>
      </c>
    </row>
    <row r="907">
      <c r="A907" s="8" t="str">
        <f>IFERROR(__xludf.DUMMYFUNCTION("""COMPUTED_VALUE"""),"Treasure Hunting")</f>
        <v>Treasure Hunting</v>
      </c>
      <c r="B907" s="8" t="str">
        <f>IFERROR(__xludf.DUMMYFUNCTION("""COMPUTED_VALUE"""),"Gold Doubloons! Gold Doubloons! AT A YARD SALE?")</f>
        <v>Gold Doubloons! Gold Doubloons! AT A YARD SALE?</v>
      </c>
      <c r="C907" s="13" t="str">
        <f>IFERROR(__xludf.DUMMYFUNCTION("""COMPUTED_VALUE"""),"""gwjh"":{""label"":""Treasure Hunting"",""extra"":""Gold Doubloons! Gold Doubloons! AT A YARD SALE?"",""sets"":""Expansion Set 3, Party Expansion 1""},")</f>
        <v>"gwjh":{"label":"Treasure Hunting","extra":"Gold Doubloons! Gold Doubloons! AT A YARD SALE?","sets":"Expansion Set 3, Party Expansion 1"},</v>
      </c>
    </row>
    <row r="908">
      <c r="A908" s="8" t="str">
        <f>IFERROR(__xludf.DUMMYFUNCTION("""COMPUTED_VALUE"""),"Treehouse")</f>
        <v>Treehouse</v>
      </c>
      <c r="B908" s="8" t="str">
        <f>IFERROR(__xludf.DUMMYFUNCTION("""COMPUTED_VALUE"""),"A playhouse built in a tree. The Swiss Family Robinson lived in a treehouse on an island")</f>
        <v>A playhouse built in a tree. The Swiss Family Robinson lived in a treehouse on an island</v>
      </c>
      <c r="C908" s="13" t="str">
        <f>IFERROR(__xludf.DUMMYFUNCTION("""COMPUTED_VALUE"""),"""zyve"":{""label"":""Treehouse"",""extra"":""A playhouse built in a tree. The Swiss Family Robinson lived in a treehouse on an island"",""sets"":""Junior""},")</f>
        <v>"zyve":{"label":"Treehouse","extra":"A playhouse built in a tree. The Swiss Family Robinson lived in a treehouse on an island","sets":"Junior"},</v>
      </c>
    </row>
    <row r="909">
      <c r="A909" s="8" t="str">
        <f>IFERROR(__xludf.DUMMYFUNCTION("""COMPUTED_VALUE"""),"Trees")</f>
        <v>Trees</v>
      </c>
      <c r="B909" s="8" t="str">
        <f>IFERROR(__xludf.DUMMYFUNCTION("""COMPUTED_VALUE"""),"Some redwood trees in California are over 300 feet tall and thousands of years old.")</f>
        <v>Some redwood trees in California are over 300 feet tall and thousands of years old.</v>
      </c>
      <c r="C909" s="13" t="str">
        <f>IFERROR(__xludf.DUMMYFUNCTION("""COMPUTED_VALUE"""),"""skgg"":{""label"":""Trees"",""extra"":""Some redwood trees in California are over 300 feet tall and thousands of years old."",""sets"":""Junior 9+ (1st) &amp; (2nd)""},")</f>
        <v>"skgg":{"label":"Trees","extra":"Some redwood trees in California are over 300 feet tall and thousands of years old.","sets":"Junior 9+ (1st) &amp; (2nd)"},</v>
      </c>
    </row>
    <row r="910">
      <c r="A910" s="8" t="str">
        <f>IFERROR(__xludf.DUMMYFUNCTION("""COMPUTED_VALUE"""),"Trekkies")</f>
        <v>Trekkies</v>
      </c>
      <c r="B910" s="8" t="str">
        <f>IFERROR(__xludf.DUMMYFUNCTION("""COMPUTED_VALUE"""),"Beam them up, PLEASE!")</f>
        <v>Beam them up, PLEASE!</v>
      </c>
      <c r="C910" s="13" t="str">
        <f>IFERROR(__xludf.DUMMYFUNCTION("""COMPUTED_VALUE"""),"""kyyo"":{""label"":""Trekkies"",""extra"":""Beam them up, PLEASE!"",""sets"":""Expansion Set 3, Party Expansion 1""},")</f>
        <v>"kyyo":{"label":"Trekkies","extra":"Beam them up, PLEASE!","sets":"Expansion Set 3, Party Expansion 1"},</v>
      </c>
    </row>
    <row r="911">
      <c r="A911" s="8" t="str">
        <f>IFERROR(__xludf.DUMMYFUNCTION("""COMPUTED_VALUE"""),"Truck Drivers")</f>
        <v>Truck Drivers</v>
      </c>
      <c r="B911" s="8" t="str">
        <f>IFERROR(__xludf.DUMMYFUNCTION("""COMPUTED_VALUE"""),"See the country- or at least see the highways.")</f>
        <v>See the country- or at least see the highways.</v>
      </c>
      <c r="C911" s="13" t="str">
        <f>IFERROR(__xludf.DUMMYFUNCTION("""COMPUTED_VALUE"""),"""izyl"":{""label"":""Truck Drivers"",""extra"":""See the country- or at least see the highways."",""sets"":""Junior 9+ (2nd)""},")</f>
        <v>"izyl":{"label":"Truck Drivers","extra":"See the country- or at least see the highways.","sets":"Junior 9+ (2nd)"},</v>
      </c>
    </row>
    <row r="912">
      <c r="A912" s="8" t="str">
        <f>IFERROR(__xludf.DUMMYFUNCTION("""COMPUTED_VALUE"""),"Truth &amp; Justice")</f>
        <v>Truth &amp; Justice</v>
      </c>
      <c r="B912" s="8" t="str">
        <f>IFERROR(__xludf.DUMMYFUNCTION("""COMPUTED_VALUE"""),"Sounds good on paper.")</f>
        <v>Sounds good on paper.</v>
      </c>
      <c r="C912" s="13" t="str">
        <f>IFERROR(__xludf.DUMMYFUNCTION("""COMPUTED_VALUE"""),"""sgin"":{""label"":""Truth &amp; Justice"",""extra"":""Sounds good on paper."",""sets"":""Expansion Set 4, Party Expansion 1""},")</f>
        <v>"sgin":{"label":"Truth &amp; Justice","extra":"Sounds good on paper.","sets":"Expansion Set 4, Party Expansion 1"},</v>
      </c>
    </row>
    <row r="913">
      <c r="A913" s="8" t="str">
        <f>IFERROR(__xludf.DUMMYFUNCTION("""COMPUTED_VALUE"""),"Tulips")</f>
        <v>Tulips</v>
      </c>
      <c r="B913" s="8" t="str">
        <f>IFERROR(__xludf.DUMMYFUNCTION("""COMPUTED_VALUE"""),"A sign of spring!")</f>
        <v>A sign of spring!</v>
      </c>
      <c r="C913" s="13" t="str">
        <f>IFERROR(__xludf.DUMMYFUNCTION("""COMPUTED_VALUE"""),"""bipy"":{""label"":""Tulips"",""extra"":""A sign of spring!"",""sets"":""Junior 9+ (2nd)""},")</f>
        <v>"bipy":{"label":"Tulips","extra":"A sign of spring!","sets":"Junior 9+ (2nd)"},</v>
      </c>
    </row>
    <row r="914">
      <c r="A914" s="8" t="str">
        <f>IFERROR(__xludf.DUMMYFUNCTION("""COMPUTED_VALUE"""),"Turkey &amp; Stuffing")</f>
        <v>Turkey &amp; Stuffing</v>
      </c>
      <c r="B914" s="8" t="str">
        <f>IFERROR(__xludf.DUMMYFUNCTION("""COMPUTED_VALUE"""),"Get stuffed.")</f>
        <v>Get stuffed.</v>
      </c>
      <c r="C914" s="13" t="str">
        <f>IFERROR(__xludf.DUMMYFUNCTION("""COMPUTED_VALUE"""),"""krfo"":{""label"":""Turkey &amp; Stuffing"",""extra"":""Get stuffed."",""sets"":""Expansion Set 4, Party Expansion 1""},")</f>
        <v>"krfo":{"label":"Turkey &amp; Stuffing","extra":"Get stuffed.","sets":"Expansion Set 4, Party Expansion 1"},</v>
      </c>
    </row>
    <row r="915">
      <c r="A915" s="8" t="str">
        <f>IFERROR(__xludf.DUMMYFUNCTION("""COMPUTED_VALUE"""),"Turkeys")</f>
        <v>Turkeys</v>
      </c>
      <c r="B915" s="8" t="str">
        <f>IFERROR(__xludf.DUMMYFUNCTION("""COMPUTED_VALUE"""),"Large birds raised for food. Popular at Thanksgiving.")</f>
        <v>Large birds raised for food. Popular at Thanksgiving.</v>
      </c>
      <c r="C915" s="13" t="str">
        <f>IFERROR(__xludf.DUMMYFUNCTION("""COMPUTED_VALUE"""),"""xxhj"":{""label"":""Turkeys"",""extra"":""Large birds raised for food. Popular at Thanksgiving."",""sets"":""Junior 9+ (1st) &amp; (2nd)""},")</f>
        <v>"xxhj":{"label":"Turkeys","extra":"Large birds raised for food. Popular at Thanksgiving.","sets":"Junior 9+ (1st) &amp; (2nd)"},</v>
      </c>
    </row>
    <row r="916">
      <c r="A916" s="8" t="str">
        <f>IFERROR(__xludf.DUMMYFUNCTION("""COMPUTED_VALUE"""),"Turtles")</f>
        <v>Turtles</v>
      </c>
      <c r="B916" s="8" t="str">
        <f>IFERROR(__xludf.DUMMYFUNCTION("""COMPUTED_VALUE"""),"They pull their legs and heads inside their shells for safety.")</f>
        <v>They pull their legs and heads inside their shells for safety.</v>
      </c>
      <c r="C916" s="13" t="str">
        <f>IFERROR(__xludf.DUMMYFUNCTION("""COMPUTED_VALUE"""),"""fqyo"":{""label"":""Turtles"",""extra"":""They pull their legs and heads inside their shells for safety."",""sets"":""Junior""},")</f>
        <v>"fqyo":{"label":"Turtles","extra":"They pull their legs and heads inside their shells for safety.","sets":"Junior"},</v>
      </c>
    </row>
    <row r="917">
      <c r="A917" s="8" t="str">
        <f>IFERROR(__xludf.DUMMYFUNCTION("""COMPUTED_VALUE"""),"Umbrella Drinks")</f>
        <v>Umbrella Drinks</v>
      </c>
      <c r="B917" s="8" t="str">
        <f>IFERROR(__xludf.DUMMYFUNCTION("""COMPUTED_VALUE"""),"Extra fruit, please!")</f>
        <v>Extra fruit, please!</v>
      </c>
      <c r="C917" s="13" t="str">
        <f>IFERROR(__xludf.DUMMYFUNCTION("""COMPUTED_VALUE"""),"""ogmj"":{""label"":""Umbrella Drinks"",""extra"":""Extra fruit, please!"",""sets"":""Expansion Set 3, Party Expansion 1""},")</f>
        <v>"ogmj":{"label":"Umbrella Drinks","extra":"Extra fruit, please!","sets":"Expansion Set 3, Party Expansion 1"},</v>
      </c>
    </row>
    <row r="918">
      <c r="A918" s="8" t="str">
        <f>IFERROR(__xludf.DUMMYFUNCTION("""COMPUTED_VALUE"""),"Umbrellas")</f>
        <v>Umbrellas</v>
      </c>
      <c r="B918" s="8" t="str">
        <f>IFERROR(__xludf.DUMMYFUNCTION("""COMPUTED_VALUE"""),"“Rain, rain, go away, come again another day.”")</f>
        <v>“Rain, rain, go away, come again another day.”</v>
      </c>
      <c r="C918" s="13" t="str">
        <f>IFERROR(__xludf.DUMMYFUNCTION("""COMPUTED_VALUE"""),"""pjfi"":{""label"":""Umbrellas"",""extra"":""“Rain, rain, go away, come again another day.”"",""sets"":""Junior 9+ (2nd)""},")</f>
        <v>"pjfi":{"label":"Umbrellas","extra":"“Rain, rain, go away, come again another day.”","sets":"Junior 9+ (2nd)"},</v>
      </c>
    </row>
    <row r="919">
      <c r="A919" s="8" t="str">
        <f>IFERROR(__xludf.DUMMYFUNCTION("""COMPUTED_VALUE"""),"Under My Bed")</f>
        <v>Under My Bed</v>
      </c>
      <c r="B919" s="8" t="str">
        <f>IFERROR(__xludf.DUMMYFUNCTION("""COMPUTED_VALUE"""),"A good place to hide, if it’s not too messy.")</f>
        <v>A good place to hide, if it’s not too messy.</v>
      </c>
      <c r="C919" s="13" t="str">
        <f>IFERROR(__xludf.DUMMYFUNCTION("""COMPUTED_VALUE"""),"""jygj"":{""label"":""Under My Bed"",""extra"":""A good place to hide, if it’s not too messy."",""sets"":""Junior""},")</f>
        <v>"jygj":{"label":"Under My Bed","extra":"A good place to hide, if it’s not too messy.","sets":"Junior"},</v>
      </c>
    </row>
    <row r="920">
      <c r="A920" s="8" t="str">
        <f>IFERROR(__xludf.DUMMYFUNCTION("""COMPUTED_VALUE"""),"Underwear")</f>
        <v>Underwear</v>
      </c>
      <c r="B920" s="8" t="str">
        <f>IFERROR(__xludf.DUMMYFUNCTION("""COMPUTED_VALUE"""),"Keep it clean!")</f>
        <v>Keep it clean!</v>
      </c>
      <c r="C920" s="13" t="str">
        <f>IFERROR(__xludf.DUMMYFUNCTION("""COMPUTED_VALUE"""),"""kbnp"":{""label"":""Underwear"",""extra"":""Keep it clean!"",""sets"":""Junior 9+ (2nd)""},")</f>
        <v>"kbnp":{"label":"Underwear","extra":"Keep it clean!","sets":"Junior 9+ (2nd)"},</v>
      </c>
    </row>
    <row r="921">
      <c r="A921" s="8" t="str">
        <f>IFERROR(__xludf.DUMMYFUNCTION("""COMPUTED_VALUE"""),"Unicorns")</f>
        <v>Unicorns</v>
      </c>
      <c r="B921" s="8" t="str">
        <f>IFERROR(__xludf.DUMMYFUNCTION("""COMPUTED_VALUE"""),"Imaginary horse-like animals. A long, pointed horn grown from the middle of their foreheads.")</f>
        <v>Imaginary horse-like animals. A long, pointed horn grown from the middle of their foreheads.</v>
      </c>
      <c r="C921" s="13" t="str">
        <f>IFERROR(__xludf.DUMMYFUNCTION("""COMPUTED_VALUE"""),"""ijev"":{""label"":""Unicorns"",""extra"":""Imaginary horse-like animals. A long, pointed horn grown from the middle of their foreheads."",""sets"":""Junior 9+ (1st) &amp; (2nd)""},")</f>
        <v>"ijev":{"label":"Unicorns","extra":"Imaginary horse-like animals. A long, pointed horn grown from the middle of their foreheads.","sets":"Junior 9+ (1st) &amp; (2nd)"},</v>
      </c>
    </row>
    <row r="922">
      <c r="A922" s="8" t="str">
        <f>IFERROR(__xludf.DUMMYFUNCTION("""COMPUTED_VALUE"""),"United States")</f>
        <v>United States</v>
      </c>
      <c r="B922" s="8" t="str">
        <f>IFERROR(__xludf.DUMMYFUNCTION("""COMPUTED_VALUE"""),"It's about 2,500 miles, from sea to shining sea.")</f>
        <v>It's about 2,500 miles, from sea to shining sea.</v>
      </c>
      <c r="C922" s="13" t="str">
        <f>IFERROR(__xludf.DUMMYFUNCTION("""COMPUTED_VALUE"""),"""mpyy"":{""label"":""United States"",""extra"":""It's about 2,500 miles, from sea to shining sea."",""sets"":""Junior 9+ (2nd)""},")</f>
        <v>"mpyy":{"label":"United States","extra":"It's about 2,500 miles, from sea to shining sea.","sets":"Junior 9+ (2nd)"},</v>
      </c>
    </row>
    <row r="923">
      <c r="A923" s="8" t="str">
        <f>IFERROR(__xludf.DUMMYFUNCTION("""COMPUTED_VALUE"""),"Urban Sprawl")</f>
        <v>Urban Sprawl</v>
      </c>
      <c r="B923" s="8" t="str">
        <f>IFERROR(__xludf.DUMMYFUNCTION("""COMPUTED_VALUE"""),"Oh give me a home where the edge of town roams…")</f>
        <v>Oh give me a home where the edge of town roams…</v>
      </c>
      <c r="C923" s="13" t="str">
        <f>IFERROR(__xludf.DUMMYFUNCTION("""COMPUTED_VALUE"""),"""ygul"":{""label"":""Urban Sprawl"",""extra"":""Oh give me a home where the edge of town roams…"",""sets"":""Expansion Set 3, Party Expansion 1""},")</f>
        <v>"ygul":{"label":"Urban Sprawl","extra":"Oh give me a home where the edge of town roams…","sets":"Expansion Set 3, Party Expansion 1"},</v>
      </c>
    </row>
    <row r="924">
      <c r="A924" s="8" t="str">
        <f>IFERROR(__xludf.DUMMYFUNCTION("""COMPUTED_VALUE"""),"Vacuum Cleaners")</f>
        <v>Vacuum Cleaners</v>
      </c>
      <c r="B924" s="8" t="str">
        <f>IFERROR(__xludf.DUMMYFUNCTION("""COMPUTED_VALUE"""),"It’s a dirty job!")</f>
        <v>It’s a dirty job!</v>
      </c>
      <c r="C924" s="13" t="str">
        <f>IFERROR(__xludf.DUMMYFUNCTION("""COMPUTED_VALUE"""),"""szpt"":{""label"":""Vacuum Cleaners"",""extra"":""It’s a dirty job!"",""sets"":""Junior 9+ (2nd)""},")</f>
        <v>"szpt":{"label":"Vacuum Cleaners","extra":"It’s a dirty job!","sets":"Junior 9+ (2nd)"},</v>
      </c>
    </row>
    <row r="925">
      <c r="A925" s="8" t="str">
        <f>IFERROR(__xludf.DUMMYFUNCTION("""COMPUTED_VALUE"""),"Valentine's Day")</f>
        <v>Valentine's Day</v>
      </c>
      <c r="B925" s="8" t="str">
        <f>IFERROR(__xludf.DUMMYFUNCTION("""COMPUTED_VALUE"""),"Will you be my Valentine?")</f>
        <v>Will you be my Valentine?</v>
      </c>
      <c r="C925" s="13" t="str">
        <f>IFERROR(__xludf.DUMMYFUNCTION("""COMPUTED_VALUE"""),"""rtvk"":{""label"":""Valentine's Day"",""extra"":""Will you be my Valentine?"",""sets"":""Junior 9+ (1st) &amp; (2nd)""},")</f>
        <v>"rtvk":{"label":"Valentine's Day","extra":"Will you be my Valentine?","sets":"Junior 9+ (1st) &amp; (2nd)"},</v>
      </c>
    </row>
    <row r="926">
      <c r="A926" s="8" t="str">
        <f>IFERROR(__xludf.DUMMYFUNCTION("""COMPUTED_VALUE"""),"Vanilla Pudding")</f>
        <v>Vanilla Pudding</v>
      </c>
      <c r="B926" s="8" t="str">
        <f>IFERROR(__xludf.DUMMYFUNCTION("""COMPUTED_VALUE"""),"Now available frozen, on a stick.")</f>
        <v>Now available frozen, on a stick.</v>
      </c>
      <c r="C926" s="13" t="str">
        <f>IFERROR(__xludf.DUMMYFUNCTION("""COMPUTED_VALUE"""),"""cblo"":{""label"":""Vanilla Pudding"",""extra"":""Now available frozen, on a stick."",""sets"":""Junior 9+ (1st) &amp; (2nd)""},")</f>
        <v>"cblo":{"label":"Vanilla Pudding","extra":"Now available frozen, on a stick.","sets":"Junior 9+ (1st) &amp; (2nd)"},</v>
      </c>
    </row>
    <row r="927">
      <c r="A927" s="8" t="str">
        <f>IFERROR(__xludf.DUMMYFUNCTION("""COMPUTED_VALUE"""),"Velcro")</f>
        <v>Velcro</v>
      </c>
      <c r="B927" s="8" t="str">
        <f>IFERROR(__xludf.DUMMYFUNCTION("""COMPUTED_VALUE"""),"A hook-and-loop fastener that can really grab you.")</f>
        <v>A hook-and-loop fastener that can really grab you.</v>
      </c>
      <c r="C927" s="13" t="str">
        <f>IFERROR(__xludf.DUMMYFUNCTION("""COMPUTED_VALUE"""),"""qaxs"":{""label"":""Velcro"",""extra"":""A hook-and-loop fastener that can really grab you."",""sets"":""Expansion Set 3, Party Expansion 1""},")</f>
        <v>"qaxs":{"label":"Velcro","extra":"A hook-and-loop fastener that can really grab you.","sets":"Expansion Set 3, Party Expansion 1"},</v>
      </c>
    </row>
    <row r="928">
      <c r="A928" s="8" t="str">
        <f>IFERROR(__xludf.DUMMYFUNCTION("""COMPUTED_VALUE"""),"Venus &amp; Mars")</f>
        <v>Venus &amp; Mars</v>
      </c>
      <c r="B928" s="8" t="str">
        <f>IFERROR(__xludf.DUMMYFUNCTION("""COMPUTED_VALUE"""),"As different as men &amp; women.")</f>
        <v>As different as men &amp; women.</v>
      </c>
      <c r="C928" s="13" t="str">
        <f>IFERROR(__xludf.DUMMYFUNCTION("""COMPUTED_VALUE"""),"""zhho"":{""label"":""Venus &amp; Mars"",""extra"":""As different as men &amp; women."",""sets"":""Expansion Set 4, Party Expansion 1""},")</f>
        <v>"zhho":{"label":"Venus &amp; Mars","extra":"As different as men &amp; women.","sets":"Expansion Set 4, Party Expansion 1"},</v>
      </c>
    </row>
    <row r="929">
      <c r="A929" s="8" t="str">
        <f>IFERROR(__xludf.DUMMYFUNCTION("""COMPUTED_VALUE"""),"Video Games")</f>
        <v>Video Games</v>
      </c>
      <c r="B929" s="8" t="str">
        <f>IFERROR(__xludf.DUMMYFUNCTION("""COMPUTED_VALUE"""),"I told you ten hours a day was too much!")</f>
        <v>I told you ten hours a day was too much!</v>
      </c>
      <c r="C929" s="13" t="str">
        <f>IFERROR(__xludf.DUMMYFUNCTION("""COMPUTED_VALUE"""),"""smcr"":{""label"":""Video Games"",""extra"":""I told you ten hours a day was too much!"",""sets"":""Junior 9+ (1st) &amp; (2nd)""},")</f>
        <v>"smcr":{"label":"Video Games","extra":"I told you ten hours a day was too much!","sets":"Junior 9+ (1st) &amp; (2nd)"},</v>
      </c>
    </row>
    <row r="930">
      <c r="A930" s="8" t="str">
        <f>IFERROR(__xludf.DUMMYFUNCTION("""COMPUTED_VALUE"""),"Volcanoes")</f>
        <v>Volcanoes</v>
      </c>
      <c r="B930" s="8" t="str">
        <f>IFERROR(__xludf.DUMMYFUNCTION("""COMPUTED_VALUE"""),"Vents in the crust of the earth from which steam, debris and molten rock spew, with explosive results.")</f>
        <v>Vents in the crust of the earth from which steam, debris and molten rock spew, with explosive results.</v>
      </c>
      <c r="C930" s="13" t="str">
        <f>IFERROR(__xludf.DUMMYFUNCTION("""COMPUTED_VALUE"""),"""ittz"":{""label"":""Volcanoes"",""extra"":""Vents in the crust of the earth from which steam, debris and molten rock spew, with explosive results."",""sets"":""Expansion Set 3, Party Expansion 1""},")</f>
        <v>"ittz":{"label":"Volcanoes","extra":"Vents in the crust of the earth from which steam, debris and molten rock spew, with explosive results.","sets":"Expansion Set 3, Party Expansion 1"},</v>
      </c>
    </row>
    <row r="931">
      <c r="A931" s="8" t="str">
        <f>IFERROR(__xludf.DUMMYFUNCTION("""COMPUTED_VALUE"""),"Volleyball")</f>
        <v>Volleyball</v>
      </c>
      <c r="B931" s="8" t="str">
        <f>IFERROR(__xludf.DUMMYFUNCTION("""COMPUTED_VALUE"""),"Spike it!")</f>
        <v>Spike it!</v>
      </c>
      <c r="C931" s="13" t="str">
        <f>IFERROR(__xludf.DUMMYFUNCTION("""COMPUTED_VALUE"""),"""rfds"":{""label"":""Volleyball"",""extra"":""Spike it!"",""sets"":""Junior 9+ (1st) &amp; (2nd)""},")</f>
        <v>"rfds":{"label":"Volleyball","extra":"Spike it!","sets":"Junior 9+ (1st) &amp; (2nd)"},</v>
      </c>
    </row>
    <row r="932">
      <c r="A932" s="8" t="str">
        <f>IFERROR(__xludf.DUMMYFUNCTION("""COMPUTED_VALUE"""),"Waffles")</f>
        <v>Waffles</v>
      </c>
      <c r="B932" s="8" t="str">
        <f>IFERROR(__xludf.DUMMYFUNCTION("""COMPUTED_VALUE"""),"Like pancakes with built-in syrup cups.")</f>
        <v>Like pancakes with built-in syrup cups.</v>
      </c>
      <c r="C932" s="13" t="str">
        <f>IFERROR(__xludf.DUMMYFUNCTION("""COMPUTED_VALUE"""),"""mdzn"":{""label"":""Waffles"",""extra"":""Like pancakes with built-in syrup cups."",""sets"":""Junior 9+ (2nd)""},")</f>
        <v>"mdzn":{"label":"Waffles","extra":"Like pancakes with built-in syrup cups.","sets":"Junior 9+ (2nd)"},</v>
      </c>
    </row>
    <row r="933">
      <c r="A933" s="8" t="str">
        <f>IFERROR(__xludf.DUMMYFUNCTION("""COMPUTED_VALUE"""),"Walking The Dog")</f>
        <v>Walking The Dog</v>
      </c>
      <c r="B933" s="8" t="str">
        <f>IFERROR(__xludf.DUMMYFUNCTION("""COMPUTED_VALUE"""),"It's good exercise.")</f>
        <v>It's good exercise.</v>
      </c>
      <c r="C933" s="13" t="str">
        <f>IFERROR(__xludf.DUMMYFUNCTION("""COMPUTED_VALUE"""),"""ihwh"":{""label"":""Walking The Dog"",""extra"":""It's good exercise."",""sets"":""Junior 9+ (1st) &amp; (2nd)""},")</f>
        <v>"ihwh":{"label":"Walking The Dog","extra":"It's good exercise.","sets":"Junior 9+ (1st) &amp; (2nd)"},</v>
      </c>
    </row>
    <row r="934">
      <c r="A934" s="8" t="str">
        <f>IFERROR(__xludf.DUMMYFUNCTION("""COMPUTED_VALUE"""),"Warts")</f>
        <v>Warts</v>
      </c>
      <c r="B934" s="8" t="str">
        <f>IFERROR(__xludf.DUMMYFUNCTION("""COMPUTED_VALUE"""),"Small, hard lumps that grow on the skin. Anyone can get them, not just witches.")</f>
        <v>Small, hard lumps that grow on the skin. Anyone can get them, not just witches.</v>
      </c>
      <c r="C934" s="13" t="str">
        <f>IFERROR(__xludf.DUMMYFUNCTION("""COMPUTED_VALUE"""),"""{xfm"":{""label"":""Warts"",""extra"":""Small, hard lumps that grow on the skin. Anyone can get them, not just witches."",""sets"":""Junior 9+ (1st) &amp; (2nd)""},")</f>
        <v>"{xfm":{"label":"Warts","extra":"Small, hard lumps that grow on the skin. Anyone can get them, not just witches.","sets":"Junior 9+ (1st) &amp; (2nd)"},</v>
      </c>
    </row>
    <row r="935">
      <c r="A935" s="8" t="str">
        <f>IFERROR(__xludf.DUMMYFUNCTION("""COMPUTED_VALUE"""),"Washer &amp; Dryer")</f>
        <v>Washer &amp; Dryer</v>
      </c>
      <c r="B935" s="8" t="str">
        <f>IFERROR(__xludf.DUMMYFUNCTION("""COMPUTED_VALUE"""),"Take them out for a spin.")</f>
        <v>Take them out for a spin.</v>
      </c>
      <c r="C935" s="13" t="str">
        <f>IFERROR(__xludf.DUMMYFUNCTION("""COMPUTED_VALUE"""),"""qftj"":{""label"":""Washer &amp; Dryer"",""extra"":""Take them out for a spin."",""sets"":""Expansion Set 4, Party Expansion 1""},")</f>
        <v>"qftj":{"label":"Washer &amp; Dryer","extra":"Take them out for a spin.","sets":"Expansion Set 4, Party Expansion 1"},</v>
      </c>
    </row>
    <row r="936">
      <c r="A936" s="8" t="str">
        <f>IFERROR(__xludf.DUMMYFUNCTION("""COMPUTED_VALUE"""),"Washington, DC")</f>
        <v>Washington, DC</v>
      </c>
      <c r="B936" s="8" t="str">
        <f>IFERROR(__xludf.DUMMYFUNCTION("""COMPUTED_VALUE"""),"City named after George Washington, it's the capital of the United States.")</f>
        <v>City named after George Washington, it's the capital of the United States.</v>
      </c>
      <c r="C936" s="13" t="str">
        <f>IFERROR(__xludf.DUMMYFUNCTION("""COMPUTED_VALUE"""),"""domd"":{""label"":""Washington, DC"",""extra"":""City named after George Washington, it's the capital of the United States."",""sets"":""Junior 9+ (2nd)""},")</f>
        <v>"domd":{"label":"Washington, DC","extra":"City named after George Washington, it's the capital of the United States.","sets":"Junior 9+ (2nd)"},</v>
      </c>
    </row>
    <row r="937">
      <c r="A937" s="8" t="str">
        <f>IFERROR(__xludf.DUMMYFUNCTION("""COMPUTED_VALUE"""),"Watching Cartoons")</f>
        <v>Watching Cartoons</v>
      </c>
      <c r="B937" s="8" t="str">
        <f>IFERROR(__xludf.DUMMYFUNCTION("""COMPUTED_VALUE"""),"Not just for kids.")</f>
        <v>Not just for kids.</v>
      </c>
      <c r="C937" s="13" t="str">
        <f>IFERROR(__xludf.DUMMYFUNCTION("""COMPUTED_VALUE"""),"""vbnz"":{""label"":""Watching Cartoons"",""extra"":""Not just for kids."",""sets"":""Junior 9+ (2nd)""},")</f>
        <v>"vbnz":{"label":"Watching Cartoons","extra":"Not just for kids.","sets":"Junior 9+ (2nd)"},</v>
      </c>
    </row>
    <row r="938">
      <c r="A938" s="8" t="str">
        <f>IFERROR(__xludf.DUMMYFUNCTION("""COMPUTED_VALUE"""),"Watching TV")</f>
        <v>Watching TV</v>
      </c>
      <c r="B938" s="8" t="str">
        <f>IFERROR(__xludf.DUMMYFUNCTION("""COMPUTED_VALUE"""),"Cartoons and commercials, movies, commercials, shows, commercials, sports, and commercials.")</f>
        <v>Cartoons and commercials, movies, commercials, shows, commercials, sports, and commercials.</v>
      </c>
      <c r="C938" s="13" t="str">
        <f>IFERROR(__xludf.DUMMYFUNCTION("""COMPUTED_VALUE"""),"""waix"":{""label"":""Watching TV"",""extra"":""Cartoons and commercials, movies, commercials, shows, commercials, sports, and commercials."",""sets"":""Junior""},")</f>
        <v>"waix":{"label":"Watching TV","extra":"Cartoons and commercials, movies, commercials, shows, commercials, sports, and commercials.","sets":"Junior"},</v>
      </c>
    </row>
    <row r="939">
      <c r="A939" s="8" t="str">
        <f>IFERROR(__xludf.DUMMYFUNCTION("""COMPUTED_VALUE"""),"Water")</f>
        <v>Water</v>
      </c>
      <c r="B939" s="8" t="str">
        <f>IFERROR(__xludf.DUMMYFUNCTION("""COMPUTED_VALUE"""),"Pure water has no color, taste or smell. So, if it smells funny, don't drink it.")</f>
        <v>Pure water has no color, taste or smell. So, if it smells funny, don't drink it.</v>
      </c>
      <c r="C939" s="13" t="str">
        <f>IFERROR(__xludf.DUMMYFUNCTION("""COMPUTED_VALUE"""),"""fiax"":{""label"":""Water"",""extra"":""Pure water has no color, taste or smell. So, if it smells funny, don't drink it."",""sets"":""Junior 9+ (1st) &amp; (2nd)""},")</f>
        <v>"fiax":{"label":"Water","extra":"Pure water has no color, taste or smell. So, if it smells funny, don't drink it.","sets":"Junior 9+ (1st) &amp; (2nd)"},</v>
      </c>
    </row>
    <row r="940">
      <c r="A940" s="8" t="str">
        <f>IFERROR(__xludf.DUMMYFUNCTION("""COMPUTED_VALUE"""),"Water Baloons")</f>
        <v>Water Baloons</v>
      </c>
      <c r="B940" s="8" t="str">
        <f>IFERROR(__xludf.DUMMYFUNCTION("""COMPUTED_VALUE"""),"I'll fill them and you tie them.")</f>
        <v>I'll fill them and you tie them.</v>
      </c>
      <c r="C940" s="13" t="str">
        <f>IFERROR(__xludf.DUMMYFUNCTION("""COMPUTED_VALUE"""),"""xmot"":{""label"":""Water Baloons"",""extra"":""I'll fill them and you tie them."",""sets"":""Junior 9+ (2nd)""},")</f>
        <v>"xmot":{"label":"Water Baloons","extra":"I'll fill them and you tie them.","sets":"Junior 9+ (2nd)"},</v>
      </c>
    </row>
    <row r="941">
      <c r="A941" s="8" t="str">
        <f>IFERROR(__xludf.DUMMYFUNCTION("""COMPUTED_VALUE"""),"Water Guns")</f>
        <v>Water Guns</v>
      </c>
      <c r="B941" s="8" t="str">
        <f>IFERROR(__xludf.DUMMYFUNCTION("""COMPUTED_VALUE"""),"Don't take them to school!")</f>
        <v>Don't take them to school!</v>
      </c>
      <c r="C941" s="13" t="str">
        <f>IFERROR(__xludf.DUMMYFUNCTION("""COMPUTED_VALUE"""),"""jduf"":{""label"":""Water Guns"",""extra"":""Don't take them to school!"",""sets"":""Junior 9+ (1st) &amp; (2nd)""},")</f>
        <v>"jduf":{"label":"Water Guns","extra":"Don't take them to school!","sets":"Junior 9+ (1st) &amp; (2nd)"},</v>
      </c>
    </row>
    <row r="942">
      <c r="A942" s="8" t="str">
        <f>IFERROR(__xludf.DUMMYFUNCTION("""COMPUTED_VALUE"""),"Water Skiing")</f>
        <v>Water Skiing</v>
      </c>
      <c r="B942" s="8" t="str">
        <f>IFERROR(__xludf.DUMMYFUNCTION("""COMPUTED_VALUE"""),"Try it on one ski.")</f>
        <v>Try it on one ski.</v>
      </c>
      <c r="C942" s="13" t="str">
        <f>IFERROR(__xludf.DUMMYFUNCTION("""COMPUTED_VALUE"""),"""qvfq"":{""label"":""Water Skiing"",""extra"":""Try it on one ski."",""sets"":""Junior 9+ (1st) &amp; (2nd)""},")</f>
        <v>"qvfq":{"label":"Water Skiing","extra":"Try it on one ski.","sets":"Junior 9+ (1st) &amp; (2nd)"},</v>
      </c>
    </row>
    <row r="943">
      <c r="A943" s="8" t="str">
        <f>IFERROR(__xludf.DUMMYFUNCTION("""COMPUTED_VALUE"""),"Waterfalls")</f>
        <v>Waterfalls</v>
      </c>
      <c r="B943" s="8" t="str">
        <f>IFERROR(__xludf.DUMMYFUNCTION("""COMPUTED_VALUE"""),"“Don't go chasing waterfalls…” —TLC")</f>
        <v>“Don't go chasing waterfalls…” —TLC</v>
      </c>
      <c r="C943" s="13" t="str">
        <f>IFERROR(__xludf.DUMMYFUNCTION("""COMPUTED_VALUE"""),"""myw{"":{""label"":""Waterfalls"",""extra"":""“Don't go chasing waterfalls…” —TLC"",""sets"":""Expansion Set 2, Party Set""},")</f>
        <v>"myw{":{"label":"Waterfalls","extra":"“Don't go chasing waterfalls…” —TLC","sets":"Expansion Set 2, Party Set"},</v>
      </c>
    </row>
    <row r="944">
      <c r="A944" s="8" t="str">
        <f>IFERROR(__xludf.DUMMYFUNCTION("""COMPUTED_VALUE"""),"Watermelon")</f>
        <v>Watermelon</v>
      </c>
      <c r="B944" s="8" t="str">
        <f>IFERROR(__xludf.DUMMYFUNCTION("""COMPUTED_VALUE"""),"How far can you spit the seeds?")</f>
        <v>How far can you spit the seeds?</v>
      </c>
      <c r="C944" s="13" t="str">
        <f>IFERROR(__xludf.DUMMYFUNCTION("""COMPUTED_VALUE"""),"""cbey"":{""label"":""Watermelon"",""extra"":""How far can you spit the seeds?"",""sets"":""Junior""},")</f>
        <v>"cbey":{"label":"Watermelon","extra":"How far can you spit the seeds?","sets":"Junior"},</v>
      </c>
    </row>
    <row r="945">
      <c r="A945" s="8" t="str">
        <f>IFERROR(__xludf.DUMMYFUNCTION("""COMPUTED_VALUE"""),"Waterparks")</f>
        <v>Waterparks</v>
      </c>
      <c r="B945" s="8" t="str">
        <f>IFERROR(__xludf.DUMMYFUNCTION("""COMPUTED_VALUE"""),"Wet and wild!")</f>
        <v>Wet and wild!</v>
      </c>
      <c r="C945" s="13" t="str">
        <f>IFERROR(__xludf.DUMMYFUNCTION("""COMPUTED_VALUE"""),"""fshg"":{""label"":""Waterparks"",""extra"":""Wet and wild!"",""sets"":""Junior 9+ (1st) &amp; (2nd)""},")</f>
        <v>"fshg":{"label":"Waterparks","extra":"Wet and wild!","sets":"Junior 9+ (1st) &amp; (2nd)"},</v>
      </c>
    </row>
    <row r="946">
      <c r="A946" s="8" t="str">
        <f>IFERROR(__xludf.DUMMYFUNCTION("""COMPUTED_VALUE"""),"Waxing The Floor")</f>
        <v>Waxing The Floor</v>
      </c>
      <c r="B946" s="8" t="str">
        <f>IFERROR(__xludf.DUMMYFUNCTION("""COMPUTED_VALUE"""),"It's a pain in the neck, and back, and knees…")</f>
        <v>It's a pain in the neck, and back, and knees…</v>
      </c>
      <c r="C946" s="13" t="str">
        <f>IFERROR(__xludf.DUMMYFUNCTION("""COMPUTED_VALUE"""),"""bsld"":{""label"":""Waxing The Floor"",""extra"":""It's a pain in the neck, and back, and knees…"",""sets"":""Expansion Set 3, Party Expansion 1""},")</f>
        <v>"bsld":{"label":"Waxing The Floor","extra":"It's a pain in the neck, and back, and knees…","sets":"Expansion Set 3, Party Expansion 1"},</v>
      </c>
    </row>
    <row r="947">
      <c r="A947" s="8" t="str">
        <f>IFERROR(__xludf.DUMMYFUNCTION("""COMPUTED_VALUE"""),"Weddings")</f>
        <v>Weddings</v>
      </c>
      <c r="B947" s="8" t="str">
        <f>IFERROR(__xludf.DUMMYFUNCTION("""COMPUTED_VALUE"""),"Here comes the bride!")</f>
        <v>Here comes the bride!</v>
      </c>
      <c r="C947" s="13" t="str">
        <f>IFERROR(__xludf.DUMMYFUNCTION("""COMPUTED_VALUE"""),"""dzme"":{""label"":""Weddings"",""extra"":""Here comes the bride!"",""sets"":""Junior""},")</f>
        <v>"dzme":{"label":"Weddings","extra":"Here comes the bride!","sets":"Junior"},</v>
      </c>
    </row>
    <row r="948">
      <c r="A948" s="8" t="str">
        <f>IFERROR(__xludf.DUMMYFUNCTION("""COMPUTED_VALUE"""),"Weed &amp; Feed")</f>
        <v>Weed &amp; Feed</v>
      </c>
      <c r="B948" s="8" t="str">
        <f>IFERROR(__xludf.DUMMYFUNCTION("""COMPUTED_VALUE"""),"Make sure the grass is greener on YOUR side of the fence.")</f>
        <v>Make sure the grass is greener on YOUR side of the fence.</v>
      </c>
      <c r="C948" s="13" t="str">
        <f>IFERROR(__xludf.DUMMYFUNCTION("""COMPUTED_VALUE"""),"""jpdk"":{""label"":""Weed &amp; Feed"",""extra"":""Make sure the grass is greener on YOUR side of the fence."",""sets"":""Expansion Set 4, Party Expansion 1""},")</f>
        <v>"jpdk":{"label":"Weed &amp; Feed","extra":"Make sure the grass is greener on YOUR side of the fence.","sets":"Expansion Set 4, Party Expansion 1"},</v>
      </c>
    </row>
    <row r="949">
      <c r="A949" s="8" t="str">
        <f>IFERROR(__xludf.DUMMYFUNCTION("""COMPUTED_VALUE"""),"Weird Al Yankovic")</f>
        <v>Weird Al Yankovic</v>
      </c>
      <c r="B949" s="8" t="str">
        <f>IFERROR(__xludf.DUMMYFUNCTION("""COMPUTED_VALUE"""),"1959-, American musical humorist, born Alfred Matthew Yankovic, which is nothing to laugh about…")</f>
        <v>1959-, American musical humorist, born Alfred Matthew Yankovic, which is nothing to laugh about…</v>
      </c>
      <c r="C949" s="13" t="str">
        <f>IFERROR(__xludf.DUMMYFUNCTION("""COMPUTED_VALUE"""),"""koyb"":{""label"":""Weird Al Yankovic"",""extra"":""1959-, American musical humorist, born Alfred Matthew Yankovic, which is nothing to laugh about…"",""sets"":""Expansion Set 3, Party Expansion 1""},")</f>
        <v>"koyb":{"label":"Weird Al Yankovic","extra":"1959-, American musical humorist, born Alfred Matthew Yankovic, which is nothing to laugh about…","sets":"Expansion Set 3, Party Expansion 1"},</v>
      </c>
    </row>
    <row r="950">
      <c r="A950" s="8" t="str">
        <f>IFERROR(__xludf.DUMMYFUNCTION("""COMPUTED_VALUE"""),"Whales")</f>
        <v>Whales</v>
      </c>
      <c r="B950" s="8" t="str">
        <f>IFERROR(__xludf.DUMMYFUNCTION("""COMPUTED_VALUE"""),"Very large animals that live in oceans. They squirt water from a blowhole.")</f>
        <v>Very large animals that live in oceans. They squirt water from a blowhole.</v>
      </c>
      <c r="C950" s="13" t="str">
        <f>IFERROR(__xludf.DUMMYFUNCTION("""COMPUTED_VALUE"""),"""wymx"":{""label"":""Whales"",""extra"":""Very large animals that live in oceans. They squirt water from a blowhole."",""sets"":""Junior""},")</f>
        <v>"wymx":{"label":"Whales","extra":"Very large animals that live in oceans. They squirt water from a blowhole.","sets":"Junior"},</v>
      </c>
    </row>
    <row r="951">
      <c r="A951" s="8" t="str">
        <f>IFERROR(__xludf.DUMMYFUNCTION("""COMPUTED_VALUE"""),"Whipped Cream")</f>
        <v>Whipped Cream</v>
      </c>
      <c r="B951" s="8" t="str">
        <f>IFERROR(__xludf.DUMMYFUNCTION("""COMPUTED_VALUE"""),"Great on strawberry shortcake, banana splits, chocolate pudding…")</f>
        <v>Great on strawberry shortcake, banana splits, chocolate pudding…</v>
      </c>
      <c r="C951" s="13" t="str">
        <f>IFERROR(__xludf.DUMMYFUNCTION("""COMPUTED_VALUE"""),"""bisp"":{""label"":""Whipped Cream"",""extra"":""Great on strawberry shortcake, banana splits, chocolate pudding…"",""sets"":""Expansion Set 1, Party Set""},")</f>
        <v>"bisp":{"label":"Whipped Cream","extra":"Great on strawberry shortcake, banana splits, chocolate pudding…","sets":"Expansion Set 1, Party Set"},</v>
      </c>
    </row>
    <row r="952">
      <c r="A952" s="8" t="str">
        <f>IFERROR(__xludf.DUMMYFUNCTION("""COMPUTED_VALUE"""),"White Bread")</f>
        <v>White Bread</v>
      </c>
      <c r="B952" s="8" t="str">
        <f>IFERROR(__xludf.DUMMYFUNCTION("""COMPUTED_VALUE"""),"Plain and simple.")</f>
        <v>Plain and simple.</v>
      </c>
      <c r="C952" s="13" t="str">
        <f>IFERROR(__xludf.DUMMYFUNCTION("""COMPUTED_VALUE"""),"""nzwz"":{""label"":""White Bread"",""extra"":""Plain and simple."",""sets"":""Junior 9+ (2nd)""},")</f>
        <v>"nzwz":{"label":"White Bread","extra":"Plain and simple.","sets":"Junior 9+ (2nd)"},</v>
      </c>
    </row>
    <row r="953">
      <c r="A953" s="8" t="str">
        <f>IFERROR(__xludf.DUMMYFUNCTION("""COMPUTED_VALUE"""),"White Collar Crime")</f>
        <v>White Collar Crime</v>
      </c>
      <c r="B953" s="8" t="str">
        <f>IFERROR(__xludf.DUMMYFUNCTION("""COMPUTED_VALUE"""),"Three strikes and you're OUT… to a cozy little low-level detention facility with a pool and tennis court.")</f>
        <v>Three strikes and you're OUT… to a cozy little low-level detention facility with a pool and tennis court.</v>
      </c>
      <c r="C953" s="13" t="str">
        <f>IFERROR(__xludf.DUMMYFUNCTION("""COMPUTED_VALUE"""),"""fpce"":{""label"":""White Collar Crime"",""extra"":""Three strikes and you're OUT… to a cozy little low-level detention facility with a pool and tennis court."",""sets"":""Expansion Set 3, Party Expansion 1""},")</f>
        <v>"fpce":{"label":"White Collar Crime","extra":"Three strikes and you're OUT… to a cozy little low-level detention facility with a pool and tennis court.","sets":"Expansion Set 3, Party Expansion 1"},</v>
      </c>
    </row>
    <row r="954">
      <c r="A954" s="8" t="str">
        <f>IFERROR(__xludf.DUMMYFUNCTION("""COMPUTED_VALUE"""),"Winnie The Pooh")</f>
        <v>Winnie The Pooh</v>
      </c>
      <c r="B954" s="8" t="str">
        <f>IFERROR(__xludf.DUMMYFUNCTION("""COMPUTED_VALUE"""),"There's never enough honey for Pooh Bear!")</f>
        <v>There's never enough honey for Pooh Bear!</v>
      </c>
      <c r="C954" s="13" t="str">
        <f>IFERROR(__xludf.DUMMYFUNCTION("""COMPUTED_VALUE"""),"""{kjk"":{""label"":""Winnie The Pooh"",""extra"":""There's never enough honey for Pooh Bear!"",""sets"":""Junior""},")</f>
        <v>"{kjk":{"label":"Winnie The Pooh","extra":"There's never enough honey for Pooh Bear!","sets":"Junior"},</v>
      </c>
    </row>
    <row r="955">
      <c r="A955" s="8" t="str">
        <f>IFERROR(__xludf.DUMMYFUNCTION("""COMPUTED_VALUE"""),"Winning A Trophy")</f>
        <v>Winning A Trophy</v>
      </c>
      <c r="B955" s="8" t="str">
        <f>IFERROR(__xludf.DUMMYFUNCTION("""COMPUTED_VALUE"""),"Congratulations!")</f>
        <v>Congratulations!</v>
      </c>
      <c r="C955" s="13" t="str">
        <f>IFERROR(__xludf.DUMMYFUNCTION("""COMPUTED_VALUE"""),"""aizt"":{""label"":""Winning A Trophy"",""extra"":""Congratulations!"",""sets"":""Junior 9+ (1st) &amp; (2nd)""},")</f>
        <v>"aizt":{"label":"Winning A Trophy","extra":"Congratulations!","sets":"Junior 9+ (1st) &amp; (2nd)"},</v>
      </c>
    </row>
    <row r="956">
      <c r="A956" s="8" t="str">
        <f>IFERROR(__xludf.DUMMYFUNCTION("""COMPUTED_VALUE"""),"Winter")</f>
        <v>Winter</v>
      </c>
      <c r="B956" s="8" t="str">
        <f>IFERROR(__xludf.DUMMYFUNCTION("""COMPUTED_VALUE"""),"The coldest season of the year.")</f>
        <v>The coldest season of the year.</v>
      </c>
      <c r="C956" s="13" t="str">
        <f>IFERROR(__xludf.DUMMYFUNCTION("""COMPUTED_VALUE"""),"""cjed"":{""label"":""Winter"",""extra"":""The coldest season of the year."",""sets"":""Junior 9+ (1st) &amp; (2nd)""},")</f>
        <v>"cjed":{"label":"Winter","extra":"The coldest season of the year.","sets":"Junior 9+ (1st) &amp; (2nd)"},</v>
      </c>
    </row>
    <row r="957">
      <c r="A957" s="8" t="str">
        <f>IFERROR(__xludf.DUMMYFUNCTION("""COMPUTED_VALUE"""),"Wishbone")</f>
        <v>Wishbone</v>
      </c>
      <c r="B957" s="8" t="str">
        <f>IFERROR(__xludf.DUMMYFUNCTION("""COMPUTED_VALUE"""),"Star of television and over 50 books. Wishbone is a Jack Russell terrier.")</f>
        <v>Star of television and over 50 books. Wishbone is a Jack Russell terrier.</v>
      </c>
      <c r="C957" s="13" t="str">
        <f>IFERROR(__xludf.DUMMYFUNCTION("""COMPUTED_VALUE"""),"""lepk"":{""label"":""Wishbone"",""extra"":""Star of television and over 50 books. Wishbone is a Jack Russell terrier."",""sets"":""Junior 9+ (1st) &amp; (2nd)""},")</f>
        <v>"lepk":{"label":"Wishbone","extra":"Star of television and over 50 books. Wishbone is a Jack Russell terrier.","sets":"Junior 9+ (1st) &amp; (2nd)"},</v>
      </c>
    </row>
    <row r="958">
      <c r="A958" s="8" t="str">
        <f>IFERROR(__xludf.DUMMYFUNCTION("""COMPUTED_VALUE"""),"Witches")</f>
        <v>Witches</v>
      </c>
      <c r="B958" s="8" t="str">
        <f>IFERROR(__xludf.DUMMYFUNCTION("""COMPUTED_VALUE"""),"They are famous for their pointy noses, black hats and broomsticks.")</f>
        <v>They are famous for their pointy noses, black hats and broomsticks.</v>
      </c>
      <c r="C958" s="13" t="str">
        <f>IFERROR(__xludf.DUMMYFUNCTION("""COMPUTED_VALUE"""),"""tjnt"":{""label"":""Witches"",""extra"":""They are famous for their pointy noses, black hats and broomsticks."",""sets"":""Junior""},")</f>
        <v>"tjnt":{"label":"Witches","extra":"They are famous for their pointy noses, black hats and broomsticks.","sets":"Junior"},</v>
      </c>
    </row>
    <row r="959">
      <c r="A959" s="8" t="str">
        <f>IFERROR(__xludf.DUMMYFUNCTION("""COMPUTED_VALUE"""),"Woodpeckers")</f>
        <v>Woodpeckers</v>
      </c>
      <c r="B959" s="8" t="str">
        <f>IFERROR(__xludf.DUMMYFUNCTION("""COMPUTED_VALUE"""),"They find insects to eat by pecking holes in wood with their beaks.")</f>
        <v>They find insects to eat by pecking holes in wood with their beaks.</v>
      </c>
      <c r="C959" s="13" t="str">
        <f>IFERROR(__xludf.DUMMYFUNCTION("""COMPUTED_VALUE"""),"""zide"":{""label"":""Woodpeckers"",""extra"":""They find insects to eat by pecking holes in wood with their beaks."",""sets"":""Junior 9+ (2nd)""},")</f>
        <v>"zide":{"label":"Woodpeckers","extra":"They find insects to eat by pecking holes in wood with their beaks.","sets":"Junior 9+ (2nd)"},</v>
      </c>
    </row>
    <row r="960">
      <c r="A960" s="8" t="str">
        <f>IFERROR(__xludf.DUMMYFUNCTION("""COMPUTED_VALUE"""),"Woolly Mammoth")</f>
        <v>Woolly Mammoth</v>
      </c>
      <c r="B960" s="8" t="str">
        <f>IFERROR(__xludf.DUMMYFUNCTION("""COMPUTED_VALUE"""),"These large hairy elephants are now extinct.")</f>
        <v>These large hairy elephants are now extinct.</v>
      </c>
      <c r="C960" s="13" t="str">
        <f>IFERROR(__xludf.DUMMYFUNCTION("""COMPUTED_VALUE"""),"""dnui"":{""label"":""Woolly Mammoth"",""extra"":""These large hairy elephants are now extinct."",""sets"":""Junior 9+ (2nd)""},")</f>
        <v>"dnui":{"label":"Woolly Mammoth","extra":"These large hairy elephants are now extinct.","sets":"Junior 9+ (2nd)"},</v>
      </c>
    </row>
    <row r="961">
      <c r="A961" s="8" t="str">
        <f>IFERROR(__xludf.DUMMYFUNCTION("""COMPUTED_VALUE"""),"Working Out")</f>
        <v>Working Out</v>
      </c>
      <c r="B961" s="8" t="str">
        <f>IFERROR(__xludf.DUMMYFUNCTION("""COMPUTED_VALUE"""),"No pain, no gain.")</f>
        <v>No pain, no gain.</v>
      </c>
      <c r="C961" s="13" t="str">
        <f>IFERROR(__xludf.DUMMYFUNCTION("""COMPUTED_VALUE"""),"""mjiu"":{""label"":""Working Out"",""extra"":""No pain, no gain."",""sets"":""Expansion Set 3, Party Expansion 1""},")</f>
        <v>"mjiu":{"label":"Working Out","extra":"No pain, no gain.","sets":"Expansion Set 3, Party Expansion 1"},</v>
      </c>
    </row>
    <row r="962">
      <c r="A962" s="8" t="str">
        <f>IFERROR(__xludf.DUMMYFUNCTION("""COMPUTED_VALUE"""),"Worms")</f>
        <v>Worms</v>
      </c>
      <c r="B962" s="8" t="str">
        <f>IFERROR(__xludf.DUMMYFUNCTION("""COMPUTED_VALUE"""),"A favorite food of robins.")</f>
        <v>A favorite food of robins.</v>
      </c>
      <c r="C962" s="13" t="str">
        <f>IFERROR(__xludf.DUMMYFUNCTION("""COMPUTED_VALUE"""),"""emvz"":{""label"":""Worms"",""extra"":""A favorite food of robins."",""sets"":""Junior""},")</f>
        <v>"emvz":{"label":"Worms","extra":"A favorite food of robins.","sets":"Junior"},</v>
      </c>
    </row>
    <row r="963">
      <c r="A963" s="8" t="str">
        <f>IFERROR(__xludf.DUMMYFUNCTION("""COMPUTED_VALUE"""),"Wrestling")</f>
        <v>Wrestling</v>
      </c>
      <c r="B963" s="8" t="str">
        <f>IFERROR(__xludf.DUMMYFUNCTION("""COMPUTED_VALUE"""),"A sport where two people try to force each other to the ground. No hitting allowed.")</f>
        <v>A sport where two people try to force each other to the ground. No hitting allowed.</v>
      </c>
      <c r="C963" s="13" t="str">
        <f>IFERROR(__xludf.DUMMYFUNCTION("""COMPUTED_VALUE"""),"""zpfi"":{""label"":""Wrestling"",""extra"":""A sport where two people try to force each other to the ground. No hitting allowed."",""sets"":""Junior 9+ (1st) &amp; (2nd)""},")</f>
        <v>"zpfi":{"label":"Wrestling","extra":"A sport where two people try to force each other to the ground. No hitting allowed.","sets":"Junior 9+ (1st) &amp; (2nd)"},</v>
      </c>
    </row>
    <row r="964">
      <c r="A964" s="8" t="str">
        <f>IFERROR(__xludf.DUMMYFUNCTION("""COMPUTED_VALUE"""),"Writing A Letter")</f>
        <v>Writing A Letter</v>
      </c>
      <c r="B964" s="8" t="str">
        <f>IFERROR(__xludf.DUMMYFUNCTION("""COMPUTED_VALUE"""),"Dear Mom, How are you? I am fine.")</f>
        <v>Dear Mom, How are you? I am fine.</v>
      </c>
      <c r="C964" s="13" t="str">
        <f>IFERROR(__xludf.DUMMYFUNCTION("""COMPUTED_VALUE"""),"""junw"":{""label"":""Writing A Letter"",""extra"":""Dear Mom, How are you? I am fine."",""sets"":""Junior 9+ (1st) &amp; (2nd)""},")</f>
        <v>"junw":{"label":"Writing A Letter","extra":"Dear Mom, How are you? I am fine.","sets":"Junior 9+ (1st) &amp; (2nd)"},</v>
      </c>
    </row>
    <row r="965">
      <c r="A965" s="8" t="str">
        <f>IFERROR(__xludf.DUMMYFUNCTION("""COMPUTED_VALUE"""),"Yin &amp; Yang")</f>
        <v>Yin &amp; Yang</v>
      </c>
      <c r="B965" s="8" t="str">
        <f>IFERROR(__xludf.DUMMYFUNCTION("""COMPUTED_VALUE"""),"Two elements that oppose each other and give life balance. If you're lucky.")</f>
        <v>Two elements that oppose each other and give life balance. If you're lucky.</v>
      </c>
      <c r="C965" s="13" t="str">
        <f>IFERROR(__xludf.DUMMYFUNCTION("""COMPUTED_VALUE"""),"""gous"":{""label"":""Yin &amp; Yang"",""extra"":""Two elements that oppose each other and give life balance. If you're lucky."",""sets"":""Expansion Set 4, Party Expansion 1""},")</f>
        <v>"gous":{"label":"Yin &amp; Yang","extra":"Two elements that oppose each other and give life balance. If you're lucky.","sets":"Expansion Set 4, Party Expansion 1"},</v>
      </c>
    </row>
    <row r="966">
      <c r="A966" s="8" t="str">
        <f>IFERROR(__xludf.DUMMYFUNCTION("""COMPUTED_VALUE"""),"Yo-Yos")</f>
        <v>Yo-Yos</v>
      </c>
      <c r="B966" s="8" t="str">
        <f>IFERROR(__xludf.DUMMYFUNCTION("""COMPUTED_VALUE"""),"There are lots of tricks that you can do with a yo-yo.")</f>
        <v>There are lots of tricks that you can do with a yo-yo.</v>
      </c>
      <c r="C966" s="13" t="str">
        <f>IFERROR(__xludf.DUMMYFUNCTION("""COMPUTED_VALUE"""),"""gqkv"":{""label"":""Yo-Yos"",""extra"":""There are lots of tricks that you can do with a yo-yo."",""sets"":""Junior""},")</f>
        <v>"gqkv":{"label":"Yo-Yos","extra":"There are lots of tricks that you can do with a yo-yo.","sets":"Junior"},</v>
      </c>
    </row>
    <row r="967">
      <c r="A967" s="8" t="str">
        <f>IFERROR(__xludf.DUMMYFUNCTION("""COMPUTED_VALUE"""),"Zebras")</f>
        <v>Zebras</v>
      </c>
      <c r="B967" s="8" t="str">
        <f>IFERROR(__xludf.DUMMYFUNCTION("""COMPUTED_VALUE"""),"The stripes on each zebra are in a slightly different pattern.")</f>
        <v>The stripes on each zebra are in a slightly different pattern.</v>
      </c>
      <c r="C967" s="13" t="str">
        <f>IFERROR(__xludf.DUMMYFUNCTION("""COMPUTED_VALUE"""),"""mxcz"":{""label"":""Zebras"",""extra"":""The stripes on each zebra are in a slightly different pattern."",""sets"":""Junior 9+ (2nd)""},")</f>
        <v>"mxcz":{"label":"Zebras","extra":"The stripes on each zebra are in a slightly different pattern.","sets":"Junior 9+ (2nd)"},</v>
      </c>
    </row>
    <row r="968">
      <c r="A968" s="8" t="str">
        <f>IFERROR(__xludf.DUMMYFUNCTION("""COMPUTED_VALUE"""),"Zippers")</f>
        <v>Zippers</v>
      </c>
      <c r="B968" s="8" t="str">
        <f>IFERROR(__xludf.DUMMYFUNCTION("""COMPUTED_VALUE"""),"Zip it, zip it good.")</f>
        <v>Zip it, zip it good.</v>
      </c>
      <c r="C968" s="13" t="str">
        <f>IFERROR(__xludf.DUMMYFUNCTION("""COMPUTED_VALUE"""),"""cprr"":{""label"":""Zippers"",""extra"":""Zip it, zip it good."",""sets"":""Expansion Set 3, Party Expansion 1""},")</f>
        <v>"cprr":{"label":"Zippers","extra":"Zip it, zip it good.","sets":"Expansion Set 3, Party Expansion 1"},</v>
      </c>
    </row>
    <row r="969">
      <c r="A969" s="8" t="str">
        <f>IFERROR(__xludf.DUMMYFUNCTION("""COMPUTED_VALUE"""),"Zombies")</f>
        <v>Zombies</v>
      </c>
      <c r="B969" s="8" t="str">
        <f>IFERROR(__xludf.DUMMYFUNCTION("""COMPUTED_VALUE"""),"Undead ghouls that feed off of brains. So WE'RE safe…")</f>
        <v>Undead ghouls that feed off of brains. So WE'RE safe…</v>
      </c>
      <c r="C969" s="13" t="str">
        <f>IFERROR(__xludf.DUMMYFUNCTION("""COMPUTED_VALUE"""),"""owp{"":{""label"":""Zombies"",""extra"":""Undead ghouls that feed off of brains. So WE'RE safe…"",""sets"":""Expansion Set 3, Party Expansion 1""},")</f>
        <v>"owp{":{"label":"Zombies","extra":"Undead ghouls that feed off of brains. So WE'RE safe…","sets":"Expansion Set 3, Party Expansion 1"},</v>
      </c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  <row r="1003">
      <c r="C1003" s="13"/>
    </row>
    <row r="1004">
      <c r="C1004" s="13"/>
    </row>
    <row r="1005">
      <c r="C1005" s="13"/>
    </row>
    <row r="1006">
      <c r="C1006" s="13"/>
    </row>
    <row r="1007">
      <c r="C1007" s="13"/>
    </row>
    <row r="1008">
      <c r="C1008" s="13"/>
    </row>
    <row r="1009">
      <c r="C1009" s="13"/>
    </row>
    <row r="1010">
      <c r="C1010" s="13"/>
    </row>
    <row r="1011">
      <c r="C1011" s="13"/>
    </row>
    <row r="1012">
      <c r="C1012" s="13"/>
    </row>
    <row r="1013">
      <c r="C1013" s="13"/>
    </row>
    <row r="1014">
      <c r="C1014" s="13"/>
    </row>
    <row r="1015">
      <c r="C1015" s="13"/>
    </row>
    <row r="1016">
      <c r="C1016" s="13"/>
    </row>
    <row r="1017">
      <c r="C1017" s="13"/>
    </row>
    <row r="1018">
      <c r="C1018" s="13"/>
    </row>
    <row r="1019">
      <c r="C1019" s="13"/>
    </row>
    <row r="1020">
      <c r="C1020" s="13"/>
    </row>
    <row r="1021">
      <c r="C1021" s="13"/>
    </row>
    <row r="1022">
      <c r="C1022" s="13"/>
    </row>
    <row r="1023">
      <c r="C1023" s="13"/>
    </row>
    <row r="1024">
      <c r="C1024" s="13"/>
    </row>
    <row r="1025">
      <c r="C1025" s="13"/>
    </row>
    <row r="1026">
      <c r="C1026" s="13"/>
    </row>
    <row r="1027">
      <c r="C1027" s="13"/>
    </row>
    <row r="1028">
      <c r="C1028" s="13"/>
    </row>
    <row r="1029">
      <c r="C1029" s="13"/>
    </row>
    <row r="1030">
      <c r="C1030" s="13"/>
    </row>
    <row r="1031">
      <c r="C1031" s="13"/>
    </row>
    <row r="1032">
      <c r="C1032" s="13"/>
    </row>
    <row r="1033">
      <c r="C1033" s="13"/>
    </row>
    <row r="1034">
      <c r="C1034" s="13"/>
    </row>
    <row r="1035">
      <c r="C1035" s="13"/>
    </row>
    <row r="1036">
      <c r="C1036" s="13"/>
    </row>
    <row r="1037">
      <c r="C1037" s="13"/>
    </row>
    <row r="1038">
      <c r="C1038" s="13"/>
    </row>
    <row r="1039">
      <c r="C1039" s="13"/>
    </row>
    <row r="1040">
      <c r="C1040" s="13"/>
    </row>
    <row r="1041">
      <c r="C1041" s="13"/>
    </row>
    <row r="1042">
      <c r="C1042" s="13"/>
    </row>
    <row r="1043">
      <c r="C1043" s="13"/>
    </row>
    <row r="1044">
      <c r="C1044" s="13"/>
    </row>
    <row r="1045">
      <c r="C1045" s="13"/>
    </row>
    <row r="1046">
      <c r="C1046" s="13"/>
    </row>
    <row r="1047">
      <c r="C1047" s="13"/>
    </row>
    <row r="1048">
      <c r="C1048" s="13"/>
    </row>
    <row r="1049">
      <c r="C1049" s="13"/>
    </row>
    <row r="1050">
      <c r="C1050" s="13"/>
    </row>
    <row r="1051">
      <c r="C1051" s="13"/>
    </row>
    <row r="1052">
      <c r="C1052" s="13"/>
    </row>
    <row r="1053">
      <c r="C1053" s="13"/>
    </row>
    <row r="1054">
      <c r="C1054" s="13"/>
    </row>
    <row r="1055">
      <c r="C1055" s="13"/>
    </row>
    <row r="1056">
      <c r="C1056" s="13"/>
    </row>
    <row r="1057">
      <c r="C1057" s="13"/>
    </row>
    <row r="1058">
      <c r="C1058" s="13"/>
    </row>
    <row r="1059">
      <c r="C1059" s="13"/>
    </row>
    <row r="1060">
      <c r="C1060" s="13"/>
    </row>
    <row r="1061">
      <c r="C1061" s="13"/>
    </row>
    <row r="1062">
      <c r="C1062" s="13"/>
    </row>
    <row r="1063">
      <c r="C1063" s="13"/>
    </row>
    <row r="1064">
      <c r="C1064" s="13"/>
    </row>
    <row r="1065">
      <c r="C1065" s="13"/>
    </row>
    <row r="1066">
      <c r="C1066" s="13"/>
    </row>
    <row r="1067">
      <c r="C1067" s="13"/>
    </row>
    <row r="1068">
      <c r="C1068" s="13"/>
    </row>
    <row r="1069">
      <c r="C1069" s="13"/>
    </row>
    <row r="1070">
      <c r="C1070" s="13"/>
    </row>
    <row r="1071">
      <c r="C1071" s="13"/>
    </row>
    <row r="1072">
      <c r="C1072" s="13"/>
    </row>
    <row r="1073">
      <c r="C1073" s="13"/>
    </row>
    <row r="1074">
      <c r="C1074" s="13"/>
    </row>
    <row r="1075">
      <c r="C1075" s="13"/>
    </row>
    <row r="1076">
      <c r="C1076" s="13"/>
    </row>
    <row r="1077">
      <c r="C1077" s="13"/>
    </row>
    <row r="1078">
      <c r="C1078" s="13"/>
    </row>
    <row r="1079">
      <c r="C1079" s="13"/>
    </row>
    <row r="1080">
      <c r="C1080" s="13"/>
    </row>
    <row r="1081">
      <c r="C1081" s="13"/>
    </row>
    <row r="1082">
      <c r="C1082" s="13"/>
    </row>
    <row r="1083">
      <c r="C1083" s="13"/>
    </row>
    <row r="1084">
      <c r="C1084" s="13"/>
    </row>
    <row r="1085">
      <c r="C1085" s="13"/>
    </row>
    <row r="1086">
      <c r="C1086" s="13"/>
    </row>
    <row r="1087">
      <c r="C1087" s="13"/>
    </row>
    <row r="1088">
      <c r="C1088" s="13"/>
    </row>
    <row r="1089">
      <c r="C1089" s="13"/>
    </row>
    <row r="1090">
      <c r="C1090" s="13"/>
    </row>
    <row r="1091">
      <c r="C1091" s="13"/>
    </row>
    <row r="1092">
      <c r="C1092" s="13"/>
    </row>
    <row r="1093">
      <c r="C1093" s="13"/>
    </row>
    <row r="1094">
      <c r="C1094" s="13"/>
    </row>
    <row r="1095">
      <c r="C1095" s="13"/>
    </row>
    <row r="1096">
      <c r="C1096" s="13"/>
    </row>
    <row r="1097">
      <c r="C1097" s="13"/>
    </row>
    <row r="1098">
      <c r="C1098" s="13"/>
    </row>
    <row r="1099">
      <c r="C1099" s="13"/>
    </row>
    <row r="1100">
      <c r="C1100" s="13"/>
    </row>
    <row r="1101">
      <c r="C1101" s="13"/>
    </row>
    <row r="1102">
      <c r="C1102" s="13"/>
    </row>
    <row r="1103">
      <c r="C1103" s="13"/>
    </row>
    <row r="1104">
      <c r="C1104" s="13"/>
    </row>
    <row r="1105">
      <c r="C1105" s="13"/>
    </row>
    <row r="1106">
      <c r="C1106" s="13"/>
    </row>
    <row r="1107">
      <c r="C1107" s="13"/>
    </row>
    <row r="1108">
      <c r="C1108" s="13"/>
    </row>
    <row r="1109">
      <c r="C1109" s="13"/>
    </row>
    <row r="1110">
      <c r="C1110" s="13"/>
    </row>
    <row r="1111">
      <c r="C1111" s="13"/>
    </row>
    <row r="1112">
      <c r="C1112" s="13"/>
    </row>
    <row r="1113">
      <c r="C1113" s="13"/>
    </row>
    <row r="1114">
      <c r="C1114" s="13"/>
    </row>
    <row r="1115">
      <c r="C1115" s="13"/>
    </row>
    <row r="1116">
      <c r="C1116" s="13"/>
    </row>
    <row r="1117">
      <c r="C1117" s="13"/>
    </row>
    <row r="1118">
      <c r="C1118" s="13"/>
    </row>
    <row r="1119">
      <c r="C1119" s="13"/>
    </row>
    <row r="1120">
      <c r="C1120" s="13"/>
    </row>
    <row r="1121">
      <c r="C1121" s="13"/>
    </row>
    <row r="1122">
      <c r="C1122" s="13"/>
    </row>
    <row r="1123">
      <c r="C1123" s="13"/>
    </row>
    <row r="1124">
      <c r="C1124" s="13"/>
    </row>
    <row r="1125">
      <c r="C1125" s="13"/>
    </row>
    <row r="1126">
      <c r="C1126" s="13"/>
    </row>
    <row r="1127">
      <c r="C1127" s="13"/>
    </row>
    <row r="1128">
      <c r="C1128" s="13"/>
    </row>
    <row r="1129">
      <c r="C1129" s="13"/>
    </row>
    <row r="1130">
      <c r="C1130" s="13"/>
    </row>
    <row r="1131">
      <c r="C1131" s="13"/>
    </row>
    <row r="1132">
      <c r="C1132" s="13"/>
    </row>
    <row r="1133">
      <c r="C1133" s="13"/>
    </row>
    <row r="1134">
      <c r="C1134" s="13"/>
    </row>
    <row r="1135">
      <c r="C1135" s="13"/>
    </row>
    <row r="1136">
      <c r="C1136" s="13"/>
    </row>
    <row r="1137">
      <c r="C1137" s="13"/>
    </row>
    <row r="1138">
      <c r="C1138" s="13"/>
    </row>
    <row r="1139">
      <c r="C1139" s="13"/>
    </row>
    <row r="1140">
      <c r="C1140" s="13"/>
    </row>
    <row r="1141">
      <c r="C1141" s="13"/>
    </row>
    <row r="1142">
      <c r="C1142" s="13"/>
    </row>
    <row r="1143">
      <c r="C1143" s="13"/>
    </row>
    <row r="1144">
      <c r="C1144" s="13"/>
    </row>
    <row r="1145">
      <c r="C1145" s="13"/>
    </row>
    <row r="1146">
      <c r="C1146" s="13"/>
    </row>
    <row r="1147">
      <c r="C1147" s="13"/>
    </row>
    <row r="1148">
      <c r="C1148" s="13"/>
    </row>
    <row r="1149">
      <c r="C1149" s="13"/>
    </row>
    <row r="1150">
      <c r="C1150" s="13"/>
    </row>
    <row r="1151">
      <c r="C1151" s="13"/>
    </row>
    <row r="1152">
      <c r="C1152" s="13"/>
    </row>
    <row r="1153">
      <c r="C1153" s="13"/>
    </row>
    <row r="1154">
      <c r="C1154" s="13"/>
    </row>
    <row r="1155">
      <c r="C1155" s="13"/>
    </row>
    <row r="1156">
      <c r="C1156" s="13"/>
    </row>
    <row r="1157">
      <c r="C1157" s="13"/>
    </row>
    <row r="1158">
      <c r="C1158" s="13"/>
    </row>
    <row r="1159">
      <c r="C1159" s="13"/>
    </row>
    <row r="1160">
      <c r="C1160" s="13"/>
    </row>
    <row r="1161">
      <c r="C1161" s="13"/>
    </row>
    <row r="1162">
      <c r="C1162" s="13"/>
    </row>
    <row r="1163">
      <c r="C1163" s="13"/>
    </row>
    <row r="1164">
      <c r="C1164" s="13"/>
    </row>
    <row r="1165">
      <c r="C1165" s="13"/>
    </row>
    <row r="1166">
      <c r="C1166" s="13"/>
    </row>
    <row r="1167">
      <c r="C1167" s="13"/>
    </row>
    <row r="1168">
      <c r="C1168" s="13"/>
    </row>
    <row r="1169">
      <c r="C1169" s="13"/>
    </row>
    <row r="1170">
      <c r="C1170" s="13"/>
    </row>
    <row r="1171">
      <c r="C1171" s="13"/>
    </row>
    <row r="1172">
      <c r="C1172" s="13"/>
    </row>
    <row r="1173">
      <c r="C1173" s="13"/>
    </row>
    <row r="1174">
      <c r="C1174" s="13"/>
    </row>
    <row r="1175">
      <c r="C1175" s="13"/>
    </row>
    <row r="1176">
      <c r="C1176" s="13"/>
    </row>
    <row r="1177">
      <c r="C1177" s="13"/>
    </row>
    <row r="1178">
      <c r="C1178" s="13"/>
    </row>
    <row r="1179">
      <c r="C1179" s="13"/>
    </row>
    <row r="1180">
      <c r="C1180" s="13"/>
    </row>
    <row r="1181">
      <c r="C1181" s="13"/>
    </row>
    <row r="1182">
      <c r="C1182" s="13"/>
    </row>
    <row r="1183">
      <c r="C1183" s="13"/>
    </row>
    <row r="1184">
      <c r="C1184" s="13"/>
    </row>
    <row r="1185">
      <c r="C1185" s="13"/>
    </row>
    <row r="1186">
      <c r="C1186" s="13"/>
    </row>
    <row r="1187">
      <c r="C1187" s="13"/>
    </row>
    <row r="1188">
      <c r="C1188" s="13"/>
    </row>
    <row r="1189">
      <c r="C1189" s="13"/>
    </row>
    <row r="1190">
      <c r="C1190" s="13"/>
    </row>
    <row r="1191">
      <c r="C1191" s="13"/>
    </row>
    <row r="1192">
      <c r="C1192" s="13"/>
    </row>
    <row r="1193">
      <c r="C1193" s="13"/>
    </row>
    <row r="1194">
      <c r="C1194" s="13"/>
    </row>
    <row r="1195">
      <c r="C1195" s="13"/>
    </row>
    <row r="1196">
      <c r="C1196" s="13"/>
    </row>
    <row r="1197">
      <c r="C1197" s="13"/>
    </row>
    <row r="1198">
      <c r="C1198" s="13"/>
    </row>
    <row r="1199">
      <c r="C1199" s="13"/>
    </row>
    <row r="1200">
      <c r="C1200" s="13"/>
    </row>
    <row r="1201">
      <c r="C1201" s="13"/>
    </row>
    <row r="1202">
      <c r="C1202" s="13"/>
    </row>
    <row r="1203">
      <c r="C1203" s="13"/>
    </row>
    <row r="1204">
      <c r="C1204" s="13"/>
    </row>
    <row r="1205">
      <c r="C1205" s="13"/>
    </row>
    <row r="1206">
      <c r="C1206" s="13"/>
    </row>
    <row r="1207">
      <c r="C1207" s="13"/>
    </row>
    <row r="1208">
      <c r="C1208" s="13"/>
    </row>
    <row r="1209">
      <c r="C1209" s="13"/>
    </row>
    <row r="1210">
      <c r="C1210" s="13"/>
    </row>
    <row r="1211">
      <c r="C1211" s="13"/>
    </row>
    <row r="1212">
      <c r="C1212" s="13"/>
    </row>
    <row r="1213">
      <c r="C1213" s="13"/>
    </row>
    <row r="1214">
      <c r="C1214" s="13"/>
    </row>
    <row r="1215">
      <c r="C1215" s="13"/>
    </row>
    <row r="1216">
      <c r="C1216" s="13"/>
    </row>
    <row r="1217">
      <c r="C1217" s="13"/>
    </row>
    <row r="1218">
      <c r="C1218" s="13"/>
    </row>
    <row r="1219">
      <c r="C1219" s="13"/>
    </row>
    <row r="1220">
      <c r="C1220" s="13"/>
    </row>
    <row r="1221">
      <c r="C1221" s="13"/>
    </row>
    <row r="1222">
      <c r="C1222" s="13"/>
    </row>
    <row r="1223">
      <c r="C1223" s="13"/>
    </row>
    <row r="1224">
      <c r="C1224" s="13"/>
    </row>
    <row r="1225">
      <c r="C1225" s="13"/>
    </row>
    <row r="1226">
      <c r="C1226" s="13"/>
    </row>
    <row r="1227">
      <c r="C1227" s="13"/>
    </row>
    <row r="1228">
      <c r="C1228" s="13"/>
    </row>
    <row r="1229">
      <c r="C1229" s="13"/>
    </row>
    <row r="1230">
      <c r="C1230" s="13"/>
    </row>
    <row r="1231">
      <c r="C1231" s="13"/>
    </row>
    <row r="1232">
      <c r="C1232" s="13"/>
    </row>
    <row r="1233">
      <c r="C1233" s="13"/>
    </row>
    <row r="1234">
      <c r="C1234" s="13"/>
    </row>
    <row r="1235">
      <c r="C1235" s="13"/>
    </row>
    <row r="1236">
      <c r="C1236" s="13"/>
    </row>
    <row r="1237">
      <c r="C1237" s="13"/>
    </row>
    <row r="1238">
      <c r="C1238" s="13"/>
    </row>
    <row r="1239">
      <c r="C1239" s="13"/>
    </row>
    <row r="1240">
      <c r="C1240" s="13"/>
    </row>
    <row r="1241">
      <c r="C1241" s="13"/>
    </row>
    <row r="1242">
      <c r="C1242" s="13"/>
    </row>
    <row r="1243">
      <c r="C1243" s="13"/>
    </row>
    <row r="1244">
      <c r="C1244" s="13"/>
    </row>
    <row r="1245">
      <c r="C1245" s="13"/>
    </row>
    <row r="1246">
      <c r="C1246" s="13"/>
    </row>
    <row r="1247">
      <c r="C1247" s="13"/>
    </row>
    <row r="1248">
      <c r="C1248" s="13"/>
    </row>
    <row r="1249">
      <c r="C1249" s="13"/>
    </row>
    <row r="1250">
      <c r="C1250" s="13"/>
    </row>
    <row r="1251">
      <c r="C1251" s="13"/>
    </row>
    <row r="1252">
      <c r="C1252" s="13"/>
    </row>
    <row r="1253">
      <c r="C1253" s="13"/>
    </row>
    <row r="1254">
      <c r="C1254" s="13"/>
    </row>
    <row r="1255">
      <c r="C1255" s="13"/>
    </row>
    <row r="1256">
      <c r="C1256" s="13"/>
    </row>
    <row r="1257">
      <c r="C1257" s="13"/>
    </row>
    <row r="1258">
      <c r="C1258" s="13"/>
    </row>
    <row r="1259">
      <c r="C1259" s="13"/>
    </row>
    <row r="1260">
      <c r="C1260" s="13"/>
    </row>
    <row r="1261">
      <c r="C1261" s="13"/>
    </row>
    <row r="1262">
      <c r="C1262" s="13"/>
    </row>
    <row r="1263">
      <c r="C1263" s="13"/>
    </row>
    <row r="1264">
      <c r="C1264" s="13"/>
    </row>
    <row r="1265">
      <c r="C1265" s="13"/>
    </row>
    <row r="1266">
      <c r="C1266" s="13"/>
    </row>
    <row r="1267">
      <c r="C1267" s="13"/>
    </row>
    <row r="1268">
      <c r="C1268" s="13"/>
    </row>
    <row r="1269">
      <c r="C1269" s="13"/>
    </row>
    <row r="1270">
      <c r="C1270" s="13"/>
    </row>
    <row r="1271">
      <c r="C1271" s="13"/>
    </row>
    <row r="1272">
      <c r="C1272" s="13"/>
    </row>
    <row r="1273">
      <c r="C1273" s="13"/>
    </row>
    <row r="1274">
      <c r="C1274" s="13"/>
    </row>
    <row r="1275">
      <c r="C1275" s="13"/>
    </row>
    <row r="1276">
      <c r="C1276" s="13"/>
    </row>
    <row r="1277">
      <c r="C1277" s="13"/>
    </row>
    <row r="1278">
      <c r="C1278" s="13"/>
    </row>
    <row r="1279">
      <c r="C1279" s="13"/>
    </row>
    <row r="1280">
      <c r="C1280" s="13"/>
    </row>
    <row r="1281">
      <c r="C1281" s="13"/>
    </row>
    <row r="1282">
      <c r="C1282" s="13"/>
    </row>
    <row r="1283">
      <c r="C1283" s="13"/>
    </row>
    <row r="1284">
      <c r="C1284" s="13"/>
    </row>
    <row r="1285">
      <c r="C1285" s="13"/>
    </row>
    <row r="1286">
      <c r="C1286" s="13"/>
    </row>
    <row r="1287">
      <c r="C1287" s="13"/>
    </row>
    <row r="1288">
      <c r="C1288" s="13"/>
    </row>
    <row r="1289">
      <c r="C1289" s="13"/>
    </row>
    <row r="1290">
      <c r="C1290" s="13"/>
    </row>
    <row r="1291">
      <c r="C1291" s="13"/>
    </row>
    <row r="1292">
      <c r="C1292" s="13"/>
    </row>
    <row r="1293">
      <c r="C1293" s="13"/>
    </row>
    <row r="1294">
      <c r="C1294" s="13"/>
    </row>
    <row r="1295">
      <c r="C1295" s="13"/>
    </row>
    <row r="1296">
      <c r="C1296" s="13"/>
    </row>
    <row r="1297">
      <c r="C1297" s="13"/>
    </row>
    <row r="1298">
      <c r="C1298" s="13"/>
    </row>
    <row r="1299">
      <c r="C1299" s="13"/>
    </row>
    <row r="1300">
      <c r="C1300" s="13"/>
    </row>
    <row r="1301">
      <c r="C1301" s="13"/>
    </row>
    <row r="1302">
      <c r="C1302" s="13"/>
    </row>
    <row r="1303">
      <c r="C1303" s="13"/>
    </row>
    <row r="1304">
      <c r="C1304" s="13"/>
    </row>
    <row r="1305">
      <c r="C1305" s="13"/>
    </row>
    <row r="1306">
      <c r="C1306" s="13"/>
    </row>
    <row r="1307">
      <c r="C1307" s="13"/>
    </row>
    <row r="1308">
      <c r="C1308" s="13"/>
    </row>
    <row r="1309">
      <c r="C1309" s="13"/>
    </row>
    <row r="1310">
      <c r="C1310" s="13"/>
    </row>
    <row r="1311">
      <c r="C1311" s="13"/>
    </row>
    <row r="1312">
      <c r="C1312" s="13"/>
    </row>
    <row r="1313">
      <c r="C1313" s="13"/>
    </row>
    <row r="1314">
      <c r="C1314" s="13"/>
    </row>
    <row r="1315">
      <c r="C1315" s="13"/>
    </row>
    <row r="1316">
      <c r="C1316" s="13"/>
    </row>
    <row r="1317">
      <c r="C1317" s="13"/>
    </row>
    <row r="1318">
      <c r="C1318" s="13"/>
    </row>
    <row r="1319">
      <c r="C1319" s="13"/>
    </row>
    <row r="1320">
      <c r="C1320" s="13"/>
    </row>
    <row r="1321">
      <c r="C1321" s="13"/>
    </row>
    <row r="1322">
      <c r="C1322" s="13"/>
    </row>
    <row r="1323">
      <c r="C1323" s="13"/>
    </row>
    <row r="1324">
      <c r="C1324" s="13"/>
    </row>
    <row r="1325">
      <c r="C1325" s="13"/>
    </row>
    <row r="1326">
      <c r="C1326" s="13"/>
    </row>
    <row r="1327">
      <c r="C1327" s="13"/>
    </row>
    <row r="1328">
      <c r="C1328" s="13"/>
    </row>
    <row r="1329">
      <c r="C1329" s="13"/>
    </row>
    <row r="1330">
      <c r="C1330" s="13"/>
    </row>
    <row r="1331">
      <c r="C1331" s="13"/>
    </row>
    <row r="1332">
      <c r="C1332" s="13"/>
    </row>
    <row r="1333">
      <c r="C1333" s="13"/>
    </row>
    <row r="1334">
      <c r="C1334" s="13"/>
    </row>
    <row r="1335">
      <c r="C1335" s="13"/>
    </row>
    <row r="1336">
      <c r="C1336" s="13"/>
    </row>
    <row r="1337">
      <c r="C1337" s="13"/>
    </row>
    <row r="1338">
      <c r="C1338" s="13"/>
    </row>
    <row r="1339">
      <c r="C1339" s="13"/>
    </row>
    <row r="1340">
      <c r="C1340" s="13"/>
    </row>
    <row r="1341">
      <c r="C1341" s="13"/>
    </row>
    <row r="1342">
      <c r="C1342" s="13"/>
    </row>
    <row r="1343">
      <c r="C1343" s="13"/>
    </row>
    <row r="1344">
      <c r="C1344" s="13"/>
    </row>
    <row r="1345">
      <c r="C1345" s="13"/>
    </row>
    <row r="1346">
      <c r="C1346" s="13"/>
    </row>
    <row r="1347">
      <c r="C1347" s="13"/>
    </row>
    <row r="1348">
      <c r="C1348" s="13"/>
    </row>
    <row r="1349">
      <c r="C1349" s="13"/>
    </row>
    <row r="1350">
      <c r="C1350" s="13"/>
    </row>
    <row r="1351">
      <c r="C1351" s="13"/>
    </row>
    <row r="1352">
      <c r="C1352" s="13"/>
    </row>
    <row r="1353">
      <c r="C1353" s="13"/>
    </row>
    <row r="1354">
      <c r="C1354" s="13"/>
    </row>
    <row r="1355">
      <c r="C1355" s="13"/>
    </row>
    <row r="1356">
      <c r="C1356" s="13"/>
    </row>
    <row r="1357">
      <c r="C1357" s="13"/>
    </row>
    <row r="1358">
      <c r="C1358" s="13"/>
    </row>
    <row r="1359">
      <c r="C1359" s="13"/>
    </row>
    <row r="1360">
      <c r="C1360" s="13"/>
    </row>
    <row r="1361">
      <c r="C1361" s="13"/>
    </row>
    <row r="1362">
      <c r="C1362" s="13"/>
    </row>
    <row r="1363">
      <c r="C1363" s="13"/>
    </row>
    <row r="1364">
      <c r="C1364" s="13"/>
    </row>
    <row r="1365">
      <c r="C1365" s="13"/>
    </row>
    <row r="1366">
      <c r="C1366" s="13"/>
    </row>
    <row r="1367">
      <c r="C1367" s="13"/>
    </row>
    <row r="1368">
      <c r="C1368" s="13"/>
    </row>
    <row r="1369">
      <c r="C1369" s="13"/>
    </row>
    <row r="1370">
      <c r="C1370" s="13"/>
    </row>
    <row r="1371">
      <c r="C1371" s="13"/>
    </row>
    <row r="1372">
      <c r="C1372" s="13"/>
    </row>
    <row r="1373">
      <c r="C1373" s="13"/>
    </row>
    <row r="1374">
      <c r="C1374" s="13"/>
    </row>
    <row r="1375">
      <c r="C1375" s="13"/>
    </row>
    <row r="1376">
      <c r="C1376" s="13"/>
    </row>
    <row r="1377">
      <c r="C1377" s="13"/>
    </row>
    <row r="1378">
      <c r="C1378" s="13"/>
    </row>
    <row r="1379">
      <c r="C1379" s="13"/>
    </row>
    <row r="1380">
      <c r="C1380" s="13"/>
    </row>
    <row r="1381">
      <c r="C1381" s="13"/>
    </row>
    <row r="1382">
      <c r="C1382" s="13"/>
    </row>
    <row r="1383">
      <c r="C1383" s="13"/>
    </row>
    <row r="1384">
      <c r="C1384" s="13"/>
    </row>
    <row r="1385">
      <c r="C1385" s="13"/>
    </row>
    <row r="1386">
      <c r="C1386" s="13"/>
    </row>
    <row r="1387">
      <c r="C1387" s="13"/>
    </row>
    <row r="1388">
      <c r="C1388" s="13"/>
    </row>
    <row r="1389">
      <c r="C1389" s="13"/>
    </row>
    <row r="1390">
      <c r="C1390" s="13"/>
    </row>
    <row r="1391">
      <c r="C1391" s="13"/>
    </row>
    <row r="1392">
      <c r="C1392" s="13"/>
    </row>
    <row r="1393">
      <c r="C1393" s="13"/>
    </row>
    <row r="1394">
      <c r="C1394" s="13"/>
    </row>
    <row r="1395">
      <c r="C1395" s="13"/>
    </row>
    <row r="1396">
      <c r="C1396" s="13"/>
    </row>
    <row r="1397">
      <c r="C1397" s="13"/>
    </row>
    <row r="1398">
      <c r="C1398" s="13"/>
    </row>
    <row r="1399">
      <c r="C1399" s="13"/>
    </row>
    <row r="1400">
      <c r="C1400" s="13"/>
    </row>
    <row r="1401">
      <c r="C1401" s="13"/>
    </row>
    <row r="1402">
      <c r="C1402" s="13"/>
    </row>
    <row r="1403">
      <c r="C1403" s="13"/>
    </row>
    <row r="1404">
      <c r="C1404" s="13"/>
    </row>
    <row r="1405">
      <c r="C1405" s="13"/>
    </row>
    <row r="1406">
      <c r="C1406" s="13"/>
    </row>
    <row r="1407">
      <c r="C1407" s="13"/>
    </row>
    <row r="1408">
      <c r="C1408" s="13"/>
    </row>
    <row r="1409">
      <c r="C1409" s="13"/>
    </row>
    <row r="1410">
      <c r="C1410" s="13"/>
    </row>
    <row r="1411">
      <c r="C1411" s="13"/>
    </row>
    <row r="1412">
      <c r="C1412" s="13"/>
    </row>
    <row r="1413">
      <c r="C1413" s="13"/>
    </row>
    <row r="1414">
      <c r="C1414" s="13"/>
    </row>
    <row r="1415">
      <c r="C1415" s="13"/>
    </row>
    <row r="1416">
      <c r="C1416" s="13"/>
    </row>
    <row r="1417">
      <c r="C1417" s="13"/>
    </row>
    <row r="1418">
      <c r="C1418" s="13"/>
    </row>
    <row r="1419">
      <c r="C1419" s="13"/>
    </row>
    <row r="1420">
      <c r="C1420" s="13"/>
    </row>
    <row r="1421">
      <c r="C1421" s="13"/>
    </row>
    <row r="1422">
      <c r="C1422" s="13"/>
    </row>
    <row r="1423">
      <c r="C1423" s="13"/>
    </row>
    <row r="1424">
      <c r="C1424" s="13"/>
    </row>
    <row r="1425">
      <c r="C1425" s="13"/>
    </row>
    <row r="1426">
      <c r="C1426" s="13"/>
    </row>
    <row r="1427">
      <c r="C1427" s="13"/>
    </row>
    <row r="1428">
      <c r="C1428" s="13"/>
    </row>
    <row r="1429">
      <c r="C1429" s="13"/>
    </row>
    <row r="1430">
      <c r="C1430" s="13"/>
    </row>
    <row r="1431">
      <c r="C1431" s="13"/>
    </row>
    <row r="1432">
      <c r="C1432" s="13"/>
    </row>
    <row r="1433">
      <c r="C1433" s="13"/>
    </row>
    <row r="1434">
      <c r="C1434" s="13"/>
    </row>
    <row r="1435">
      <c r="C1435" s="13"/>
    </row>
    <row r="1436">
      <c r="C1436" s="13"/>
    </row>
    <row r="1437">
      <c r="C1437" s="13"/>
    </row>
    <row r="1438">
      <c r="C1438" s="13"/>
    </row>
    <row r="1439">
      <c r="C1439" s="13"/>
    </row>
    <row r="1440">
      <c r="C1440" s="13"/>
    </row>
    <row r="1441">
      <c r="C1441" s="13"/>
    </row>
    <row r="1442">
      <c r="C1442" s="13"/>
    </row>
    <row r="1443">
      <c r="C1443" s="13"/>
    </row>
    <row r="1444">
      <c r="C1444" s="13"/>
    </row>
    <row r="1445">
      <c r="C1445" s="13"/>
    </row>
    <row r="1446">
      <c r="C1446" s="13"/>
    </row>
    <row r="1447">
      <c r="C1447" s="13"/>
    </row>
    <row r="1448">
      <c r="C1448" s="13"/>
    </row>
    <row r="1449">
      <c r="C1449" s="13"/>
    </row>
    <row r="1450">
      <c r="C1450" s="13"/>
    </row>
    <row r="1451">
      <c r="C1451" s="13"/>
    </row>
    <row r="1452">
      <c r="C1452" s="13"/>
    </row>
    <row r="1453">
      <c r="C1453" s="13"/>
    </row>
    <row r="1454">
      <c r="C1454" s="13"/>
    </row>
    <row r="1455">
      <c r="C1455" s="13"/>
    </row>
    <row r="1456">
      <c r="C1456" s="13"/>
    </row>
    <row r="1457">
      <c r="C1457" s="13"/>
    </row>
    <row r="1458">
      <c r="C1458" s="13"/>
    </row>
    <row r="1459">
      <c r="C1459" s="13"/>
    </row>
    <row r="1460">
      <c r="C1460" s="13"/>
    </row>
    <row r="1461">
      <c r="C1461" s="13"/>
    </row>
    <row r="1462">
      <c r="C1462" s="13"/>
    </row>
    <row r="1463">
      <c r="C1463" s="13"/>
    </row>
    <row r="1464">
      <c r="C1464" s="13"/>
    </row>
    <row r="1465">
      <c r="C1465" s="13"/>
    </row>
    <row r="1466">
      <c r="C1466" s="13"/>
    </row>
    <row r="1467">
      <c r="C1467" s="13"/>
    </row>
    <row r="1468">
      <c r="C1468" s="13"/>
    </row>
    <row r="1469">
      <c r="C1469" s="13"/>
    </row>
    <row r="1470">
      <c r="C1470" s="13"/>
    </row>
    <row r="1471">
      <c r="C1471" s="13"/>
    </row>
    <row r="1472">
      <c r="C1472" s="13"/>
    </row>
    <row r="1473">
      <c r="C1473" s="13"/>
    </row>
    <row r="1474">
      <c r="C1474" s="13"/>
    </row>
    <row r="1475">
      <c r="C1475" s="13"/>
    </row>
    <row r="1476">
      <c r="C1476" s="13"/>
    </row>
    <row r="1477">
      <c r="C1477" s="13"/>
    </row>
    <row r="1478">
      <c r="C1478" s="13"/>
    </row>
    <row r="1479">
      <c r="C1479" s="13"/>
    </row>
    <row r="1480">
      <c r="C1480" s="13"/>
    </row>
    <row r="1481">
      <c r="C1481" s="13"/>
    </row>
    <row r="1482">
      <c r="C1482" s="13"/>
    </row>
    <row r="1483">
      <c r="C1483" s="13"/>
    </row>
    <row r="1484">
      <c r="C1484" s="13"/>
    </row>
    <row r="1485">
      <c r="C1485" s="13"/>
    </row>
    <row r="1486">
      <c r="C1486" s="13"/>
    </row>
    <row r="1487">
      <c r="C1487" s="13"/>
    </row>
    <row r="1488">
      <c r="C1488" s="13"/>
    </row>
    <row r="1489">
      <c r="C1489" s="13"/>
    </row>
    <row r="1490">
      <c r="C1490" s="13"/>
    </row>
    <row r="1491">
      <c r="C1491" s="13"/>
    </row>
    <row r="1492">
      <c r="C1492" s="13"/>
    </row>
    <row r="1493">
      <c r="C1493" s="13"/>
    </row>
    <row r="1494">
      <c r="C1494" s="13"/>
    </row>
    <row r="1495">
      <c r="C1495" s="13"/>
    </row>
    <row r="1496">
      <c r="C1496" s="13"/>
    </row>
    <row r="1497">
      <c r="C1497" s="13"/>
    </row>
    <row r="1498">
      <c r="C1498" s="13"/>
    </row>
    <row r="1499">
      <c r="C1499" s="13"/>
    </row>
    <row r="1500">
      <c r="C1500" s="13"/>
    </row>
    <row r="1501">
      <c r="C1501" s="13"/>
    </row>
    <row r="1502">
      <c r="C1502" s="13"/>
    </row>
    <row r="1503">
      <c r="C1503" s="13"/>
    </row>
    <row r="1504">
      <c r="C1504" s="13"/>
    </row>
    <row r="1505">
      <c r="C1505" s="13"/>
    </row>
    <row r="1506">
      <c r="C1506" s="13"/>
    </row>
    <row r="1507">
      <c r="C1507" s="13"/>
    </row>
    <row r="1508">
      <c r="C1508" s="13"/>
    </row>
    <row r="1509">
      <c r="C1509" s="13"/>
    </row>
    <row r="1510">
      <c r="C1510" s="13"/>
    </row>
    <row r="1511">
      <c r="C1511" s="13"/>
    </row>
    <row r="1512">
      <c r="C1512" s="13"/>
    </row>
    <row r="1513">
      <c r="C1513" s="13"/>
    </row>
    <row r="1514">
      <c r="C1514" s="13"/>
    </row>
    <row r="1515">
      <c r="C1515" s="13"/>
    </row>
    <row r="1516">
      <c r="C1516" s="13"/>
    </row>
    <row r="1517">
      <c r="C1517" s="13"/>
    </row>
    <row r="1518">
      <c r="C1518" s="13"/>
    </row>
    <row r="1519">
      <c r="C1519" s="13"/>
    </row>
    <row r="1520">
      <c r="C1520" s="13"/>
    </row>
    <row r="1521">
      <c r="C1521" s="13"/>
    </row>
    <row r="1522">
      <c r="C1522" s="13"/>
    </row>
    <row r="1523">
      <c r="C1523" s="13"/>
    </row>
    <row r="1524">
      <c r="C1524" s="13"/>
    </row>
    <row r="1525">
      <c r="C1525" s="13"/>
    </row>
    <row r="1526">
      <c r="C1526" s="13"/>
    </row>
    <row r="1527">
      <c r="C1527" s="13"/>
    </row>
    <row r="1528">
      <c r="C1528" s="13"/>
    </row>
    <row r="1529">
      <c r="C1529" s="13"/>
    </row>
    <row r="1530">
      <c r="C1530" s="13"/>
    </row>
    <row r="1531">
      <c r="C1531" s="13"/>
    </row>
    <row r="1532">
      <c r="C1532" s="13"/>
    </row>
    <row r="1533">
      <c r="C1533" s="13"/>
    </row>
    <row r="1534">
      <c r="C1534" s="13"/>
    </row>
    <row r="1535">
      <c r="C1535" s="13"/>
    </row>
    <row r="1536">
      <c r="C1536" s="13"/>
    </row>
    <row r="1537">
      <c r="C1537" s="13"/>
    </row>
    <row r="1538">
      <c r="C1538" s="13"/>
    </row>
    <row r="1539">
      <c r="C1539" s="13"/>
    </row>
    <row r="1540">
      <c r="C1540" s="13"/>
    </row>
    <row r="1541">
      <c r="C1541" s="13"/>
    </row>
    <row r="1542">
      <c r="C1542" s="13"/>
    </row>
    <row r="1543">
      <c r="C1543" s="13"/>
    </row>
    <row r="1544">
      <c r="C1544" s="13"/>
    </row>
    <row r="1545">
      <c r="C1545" s="13"/>
    </row>
    <row r="1546">
      <c r="C1546" s="13"/>
    </row>
    <row r="1547">
      <c r="C1547" s="13"/>
    </row>
    <row r="1548">
      <c r="C1548" s="13"/>
    </row>
    <row r="1549">
      <c r="C1549" s="13"/>
    </row>
    <row r="1550">
      <c r="C1550" s="13"/>
    </row>
    <row r="1551">
      <c r="C1551" s="13"/>
    </row>
    <row r="1552">
      <c r="C1552" s="13"/>
    </row>
    <row r="1553">
      <c r="C1553" s="13"/>
    </row>
    <row r="1554">
      <c r="C1554" s="13"/>
    </row>
    <row r="1555">
      <c r="C1555" s="13"/>
    </row>
    <row r="1556">
      <c r="C1556" s="13"/>
    </row>
    <row r="1557">
      <c r="C1557" s="13"/>
    </row>
    <row r="1558">
      <c r="C1558" s="13"/>
    </row>
    <row r="1559">
      <c r="C1559" s="13"/>
    </row>
    <row r="1560">
      <c r="C1560" s="13"/>
    </row>
    <row r="1561">
      <c r="C1561" s="13"/>
    </row>
    <row r="1562">
      <c r="C1562" s="13"/>
    </row>
    <row r="1563">
      <c r="C1563" s="13"/>
    </row>
    <row r="1564">
      <c r="C1564" s="13"/>
    </row>
    <row r="1565">
      <c r="C1565" s="13"/>
    </row>
    <row r="1566">
      <c r="C1566" s="13"/>
    </row>
    <row r="1567">
      <c r="C1567" s="13"/>
    </row>
    <row r="1568">
      <c r="C1568" s="13"/>
    </row>
    <row r="1569">
      <c r="C1569" s="13"/>
    </row>
    <row r="1570">
      <c r="C1570" s="13"/>
    </row>
    <row r="1571">
      <c r="C1571" s="13"/>
    </row>
    <row r="1572">
      <c r="C1572" s="13"/>
    </row>
    <row r="1573">
      <c r="C1573" s="13"/>
    </row>
    <row r="1574">
      <c r="C1574" s="13"/>
    </row>
    <row r="1575">
      <c r="C1575" s="13"/>
    </row>
    <row r="1576">
      <c r="C1576" s="13"/>
    </row>
    <row r="1577">
      <c r="C1577" s="13"/>
    </row>
    <row r="1578">
      <c r="C1578" s="13"/>
    </row>
    <row r="1579">
      <c r="C1579" s="13"/>
    </row>
    <row r="1580">
      <c r="C1580" s="13"/>
    </row>
    <row r="1581">
      <c r="C1581" s="13"/>
    </row>
    <row r="1582">
      <c r="C1582" s="13"/>
    </row>
    <row r="1583">
      <c r="C1583" s="13"/>
    </row>
    <row r="1584">
      <c r="C1584" s="13"/>
    </row>
    <row r="1585">
      <c r="C1585" s="13"/>
    </row>
    <row r="1586">
      <c r="C1586" s="13"/>
    </row>
    <row r="1587">
      <c r="C1587" s="13"/>
    </row>
    <row r="1588">
      <c r="C1588" s="13"/>
    </row>
    <row r="1589">
      <c r="C1589" s="13"/>
    </row>
    <row r="1590">
      <c r="C1590" s="13"/>
    </row>
    <row r="1591">
      <c r="C1591" s="13"/>
    </row>
    <row r="1592">
      <c r="C1592" s="13"/>
    </row>
    <row r="1593">
      <c r="C1593" s="13"/>
    </row>
    <row r="1594">
      <c r="C1594" s="13"/>
    </row>
    <row r="1595">
      <c r="C1595" s="13"/>
    </row>
    <row r="1596">
      <c r="C1596" s="13"/>
    </row>
    <row r="1597">
      <c r="C1597" s="13"/>
    </row>
    <row r="1598">
      <c r="C1598" s="13"/>
    </row>
    <row r="1599">
      <c r="C1599" s="13"/>
    </row>
    <row r="1600">
      <c r="C1600" s="13"/>
    </row>
    <row r="1601">
      <c r="C1601" s="13"/>
    </row>
    <row r="1602">
      <c r="C1602" s="13"/>
    </row>
    <row r="1603">
      <c r="C1603" s="13"/>
    </row>
    <row r="1604">
      <c r="C1604" s="13"/>
    </row>
    <row r="1605">
      <c r="C1605" s="13"/>
    </row>
    <row r="1606">
      <c r="C1606" s="13"/>
    </row>
    <row r="1607">
      <c r="C1607" s="13"/>
    </row>
    <row r="1608">
      <c r="C1608" s="13"/>
    </row>
    <row r="1609">
      <c r="C1609" s="13"/>
    </row>
    <row r="1610">
      <c r="C1610" s="13"/>
    </row>
    <row r="1611">
      <c r="C1611" s="13"/>
    </row>
    <row r="1612">
      <c r="C1612" s="13"/>
    </row>
    <row r="1613">
      <c r="C1613" s="13"/>
    </row>
    <row r="1614">
      <c r="C1614" s="13"/>
    </row>
    <row r="1615">
      <c r="C1615" s="13"/>
    </row>
    <row r="1616">
      <c r="C1616" s="13"/>
    </row>
    <row r="1617">
      <c r="C1617" s="13"/>
    </row>
    <row r="1618">
      <c r="C1618" s="13"/>
    </row>
    <row r="1619">
      <c r="C1619" s="13"/>
    </row>
    <row r="1620">
      <c r="C1620" s="13"/>
    </row>
    <row r="1621">
      <c r="C1621" s="13"/>
    </row>
    <row r="1622">
      <c r="C1622" s="13"/>
    </row>
    <row r="1623">
      <c r="C1623" s="13"/>
    </row>
    <row r="1624">
      <c r="C1624" s="13"/>
    </row>
    <row r="1625">
      <c r="C1625" s="13"/>
    </row>
    <row r="1626">
      <c r="C1626" s="13"/>
    </row>
    <row r="1627">
      <c r="C1627" s="13"/>
    </row>
    <row r="1628">
      <c r="C1628" s="13"/>
    </row>
    <row r="1629">
      <c r="C1629" s="13"/>
    </row>
    <row r="1630">
      <c r="C1630" s="13"/>
    </row>
    <row r="1631">
      <c r="C1631" s="13"/>
    </row>
    <row r="1632">
      <c r="C1632" s="13"/>
    </row>
    <row r="1633">
      <c r="C1633" s="13"/>
    </row>
    <row r="1634">
      <c r="C1634" s="13"/>
    </row>
    <row r="1635">
      <c r="C1635" s="13"/>
    </row>
    <row r="1636">
      <c r="C1636" s="13"/>
    </row>
    <row r="1637">
      <c r="C1637" s="13"/>
    </row>
    <row r="1638">
      <c r="C1638" s="13"/>
    </row>
    <row r="1639">
      <c r="C1639" s="13"/>
    </row>
    <row r="1640">
      <c r="C1640" s="13"/>
    </row>
    <row r="1641">
      <c r="C1641" s="13"/>
    </row>
    <row r="1642">
      <c r="C1642" s="13"/>
    </row>
    <row r="1643">
      <c r="C1643" s="13"/>
    </row>
    <row r="1644">
      <c r="C1644" s="13"/>
    </row>
    <row r="1645">
      <c r="C1645" s="13"/>
    </row>
    <row r="1646">
      <c r="C1646" s="13"/>
    </row>
    <row r="1647">
      <c r="C1647" s="13"/>
    </row>
    <row r="1648">
      <c r="C1648" s="13"/>
    </row>
    <row r="1649">
      <c r="C1649" s="13"/>
    </row>
    <row r="1650">
      <c r="C1650" s="13"/>
    </row>
    <row r="1651">
      <c r="C1651" s="13"/>
    </row>
    <row r="1652">
      <c r="C1652" s="13"/>
    </row>
    <row r="1653">
      <c r="C1653" s="13"/>
    </row>
    <row r="1654">
      <c r="C1654" s="13"/>
    </row>
    <row r="1655">
      <c r="C1655" s="13"/>
    </row>
    <row r="1656">
      <c r="C1656" s="13"/>
    </row>
    <row r="1657">
      <c r="C1657" s="13"/>
    </row>
    <row r="1658">
      <c r="C1658" s="13"/>
    </row>
    <row r="1659">
      <c r="C1659" s="13"/>
    </row>
    <row r="1660">
      <c r="C1660" s="13"/>
    </row>
    <row r="1661">
      <c r="C1661" s="13"/>
    </row>
    <row r="1662">
      <c r="C1662" s="13"/>
    </row>
    <row r="1663">
      <c r="C1663" s="13"/>
    </row>
    <row r="1664">
      <c r="C1664" s="13"/>
    </row>
    <row r="1665">
      <c r="C1665" s="13"/>
    </row>
    <row r="1666">
      <c r="C1666" s="13"/>
    </row>
    <row r="1667">
      <c r="C1667" s="13"/>
    </row>
    <row r="1668">
      <c r="C1668" s="13"/>
    </row>
    <row r="1669">
      <c r="C1669" s="13"/>
    </row>
    <row r="1670">
      <c r="C1670" s="13"/>
    </row>
    <row r="1671">
      <c r="C1671" s="13"/>
    </row>
    <row r="1672">
      <c r="C1672" s="13"/>
    </row>
    <row r="1673">
      <c r="C1673" s="13"/>
    </row>
    <row r="1674">
      <c r="C1674" s="13"/>
    </row>
    <row r="1675">
      <c r="C1675" s="13"/>
    </row>
    <row r="1676">
      <c r="C1676" s="13"/>
    </row>
    <row r="1677">
      <c r="C1677" s="13"/>
    </row>
    <row r="1678">
      <c r="C1678" s="13"/>
    </row>
    <row r="1679">
      <c r="C1679" s="13"/>
    </row>
    <row r="1680">
      <c r="C1680" s="13"/>
    </row>
    <row r="1681">
      <c r="C1681" s="13"/>
    </row>
    <row r="1682">
      <c r="C1682" s="13"/>
    </row>
    <row r="1683">
      <c r="C1683" s="13"/>
    </row>
    <row r="1684">
      <c r="C1684" s="13"/>
    </row>
    <row r="1685">
      <c r="C1685" s="13"/>
    </row>
    <row r="1686">
      <c r="C1686" s="13"/>
    </row>
    <row r="1687">
      <c r="C1687" s="13"/>
    </row>
    <row r="1688">
      <c r="C1688" s="13"/>
    </row>
    <row r="1689">
      <c r="C1689" s="13"/>
    </row>
    <row r="1690">
      <c r="C1690" s="13"/>
    </row>
    <row r="1691">
      <c r="C1691" s="13"/>
    </row>
    <row r="1692">
      <c r="C1692" s="13"/>
    </row>
    <row r="1693">
      <c r="C1693" s="13"/>
    </row>
    <row r="1694">
      <c r="C1694" s="13"/>
    </row>
    <row r="1695">
      <c r="C1695" s="13"/>
    </row>
    <row r="1696">
      <c r="C1696" s="13"/>
    </row>
    <row r="1697">
      <c r="C1697" s="13"/>
    </row>
    <row r="1698">
      <c r="C1698" s="13"/>
    </row>
    <row r="1699">
      <c r="C1699" s="13"/>
    </row>
    <row r="1700">
      <c r="C1700" s="13"/>
    </row>
    <row r="1701">
      <c r="C1701" s="13"/>
    </row>
    <row r="1702">
      <c r="C1702" s="13"/>
    </row>
    <row r="1703">
      <c r="C1703" s="13"/>
    </row>
    <row r="1704">
      <c r="C1704" s="13"/>
    </row>
    <row r="1705">
      <c r="C1705" s="13"/>
    </row>
    <row r="1706">
      <c r="C1706" s="13"/>
    </row>
    <row r="1707">
      <c r="C1707" s="13"/>
    </row>
    <row r="1708">
      <c r="C1708" s="13"/>
    </row>
    <row r="1709">
      <c r="C1709" s="13"/>
    </row>
    <row r="1710">
      <c r="C1710" s="13"/>
    </row>
    <row r="1711">
      <c r="C1711" s="13"/>
    </row>
    <row r="1712">
      <c r="C1712" s="13"/>
    </row>
    <row r="1713">
      <c r="C1713" s="13"/>
    </row>
    <row r="1714">
      <c r="C1714" s="13"/>
    </row>
    <row r="1715">
      <c r="C1715" s="13"/>
    </row>
    <row r="1716">
      <c r="C1716" s="13"/>
    </row>
    <row r="1717">
      <c r="C1717" s="13"/>
    </row>
    <row r="1718">
      <c r="C1718" s="13"/>
    </row>
    <row r="1719">
      <c r="C1719" s="13"/>
    </row>
    <row r="1720">
      <c r="C1720" s="13"/>
    </row>
    <row r="1721">
      <c r="C1721" s="13"/>
    </row>
    <row r="1722">
      <c r="C1722" s="13"/>
    </row>
    <row r="1723">
      <c r="C1723" s="13"/>
    </row>
    <row r="1724">
      <c r="C1724" s="13"/>
    </row>
    <row r="1725">
      <c r="C1725" s="13"/>
    </row>
    <row r="1726">
      <c r="C1726" s="13"/>
    </row>
    <row r="1727">
      <c r="C1727" s="13"/>
    </row>
    <row r="1728">
      <c r="C1728" s="13"/>
    </row>
    <row r="1729">
      <c r="C1729" s="13"/>
    </row>
    <row r="1730">
      <c r="C1730" s="13"/>
    </row>
    <row r="1731">
      <c r="C1731" s="13"/>
    </row>
    <row r="1732">
      <c r="C1732" s="13"/>
    </row>
    <row r="1733">
      <c r="C1733" s="13"/>
    </row>
    <row r="1734">
      <c r="C1734" s="13"/>
    </row>
    <row r="1735">
      <c r="C1735" s="13"/>
    </row>
    <row r="1736">
      <c r="C1736" s="13"/>
    </row>
    <row r="1737">
      <c r="C1737" s="13"/>
    </row>
    <row r="1738">
      <c r="C1738" s="13"/>
    </row>
    <row r="1739">
      <c r="C1739" s="13"/>
    </row>
    <row r="1740">
      <c r="C1740" s="13"/>
    </row>
    <row r="1741">
      <c r="C1741" s="13"/>
    </row>
    <row r="1742">
      <c r="C1742" s="13"/>
    </row>
    <row r="1743">
      <c r="C1743" s="13"/>
    </row>
    <row r="1744">
      <c r="C1744" s="13"/>
    </row>
    <row r="1745">
      <c r="C1745" s="13"/>
    </row>
    <row r="1746">
      <c r="C1746" s="13"/>
    </row>
    <row r="1747">
      <c r="C1747" s="13"/>
    </row>
    <row r="1748">
      <c r="C1748" s="13"/>
    </row>
    <row r="1749">
      <c r="C1749" s="13"/>
    </row>
    <row r="1750">
      <c r="C1750" s="13"/>
    </row>
    <row r="1751">
      <c r="C1751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IFERROR(__xludf.DUMMYFUNCTION("filter(Grn!B3:D1000,(Grn!I3:I1000&gt;=(23))+(Grn!J3:J1000&gt;=(41)))"),"Clear")</f>
        <v>Clear</v>
      </c>
      <c r="B2" s="8" t="str">
        <f>IFERROR(__xludf.DUMMYFUNCTION("""COMPUTED_VALUE"""),"(understandable, uncluttered, transparent) ")</f>
        <v>(understandable, uncluttered, transparent) </v>
      </c>
      <c r="C2" s="13" t="str">
        <f>IFERROR(__xludf.DUMMYFUNCTION("""COMPUTED_VALUE"""),"""wztf"":{""label"":""Clear"",""extra"":""(understandable, uncluttered, transparent) "",""sets"":""Expansion Set 1""},")</f>
        <v>"wztf":{"label":"Clear","extra":"(understandable, uncluttered, transparent) ","sets":"Expansion Set 1"},</v>
      </c>
    </row>
    <row r="3">
      <c r="A3" s="8" t="str">
        <f>IFERROR(__xludf.DUMMYFUNCTION("""COMPUTED_VALUE"""),"Foot Loose &amp; Fancy Free")</f>
        <v>Foot Loose &amp; Fancy Free</v>
      </c>
      <c r="B3" s="8" t="str">
        <f>IFERROR(__xludf.DUMMYFUNCTION("""COMPUTED_VALUE"""),"(lighthearted, carefree, spontaneous) ")</f>
        <v>(lighthearted, carefree, spontaneous) </v>
      </c>
      <c r="C3" s="13" t="str">
        <f>IFERROR(__xludf.DUMMYFUNCTION("""COMPUTED_VALUE"""),"""gsdx"":{""label"":""Foot Loose &amp; Fancy Free"",""extra"":""(lighthearted, carefree, spontaneous) "",""sets"":""Expansion Set 4, Party Expansion 1""},")</f>
        <v>"gsdx":{"label":"Foot Loose &amp; Fancy Free","extra":"(lighthearted, carefree, spontaneous) ","sets":"Expansion Set 4, Party Expansion 1"},</v>
      </c>
    </row>
    <row r="4">
      <c r="A4" s="8" t="str">
        <f>IFERROR(__xludf.DUMMYFUNCTION("""COMPUTED_VALUE"""),"Irresistible")</f>
        <v>Irresistible</v>
      </c>
      <c r="B4" s="8" t="str">
        <f>IFERROR(__xludf.DUMMYFUNCTION("""COMPUTED_VALUE"""),"(overpowering, overwhelming, compelling) ")</f>
        <v>(overpowering, overwhelming, compelling) </v>
      </c>
      <c r="C4" s="13" t="str">
        <f>IFERROR(__xludf.DUMMYFUNCTION("""COMPUTED_VALUE"""),"""wwfv"":{""label"":""Irresistible"",""extra"":""(overpowering, overwhelming, compelling) "",""sets"":""Expansion Set 2, Party Set""},")</f>
        <v>"wwfv":{"label":"Irresistible","extra":"(overpowering, overwhelming, compelling) ","sets":"Expansion Set 2, Party Set"},</v>
      </c>
    </row>
    <row r="5">
      <c r="A5" s="8" t="str">
        <f>IFERROR(__xludf.DUMMYFUNCTION("""COMPUTED_VALUE"""),"Misunderstood")</f>
        <v>Misunderstood</v>
      </c>
      <c r="B5" s="8" t="str">
        <f>IFERROR(__xludf.DUMMYFUNCTION("""COMPUTED_VALUE"""),"(not grasped, not learned, not absorbed) ")</f>
        <v>(not grasped, not learned, not absorbed) </v>
      </c>
      <c r="C5" s="13" t="str">
        <f>IFERROR(__xludf.DUMMYFUNCTION("""COMPUTED_VALUE"""),"""oxog"":{""label"":""Misunderstood"",""extra"":""(not grasped, not learned, not absorbed) "",""sets"":""Basic Set, Party Set""},")</f>
        <v>"oxog":{"label":"Misunderstood","extra":"(not grasped, not learned, not absorbed) ","sets":"Basic Set, Party Set"},</v>
      </c>
    </row>
    <row r="6">
      <c r="A6" s="8" t="str">
        <f>IFERROR(__xludf.DUMMYFUNCTION("""COMPUTED_VALUE"""),"Radical")</f>
        <v>Radical</v>
      </c>
      <c r="B6" s="8" t="str">
        <f>IFERROR(__xludf.DUMMYFUNCTION("""COMPUTED_VALUE"""),"(unconventional, revolutionary, extreme) ")</f>
        <v>(unconventional, revolutionary, extreme) </v>
      </c>
      <c r="C6" s="13" t="str">
        <f>IFERROR(__xludf.DUMMYFUNCTION("""COMPUTED_VALUE"""),"""maum"":{""label"":""Radical"",""extra"":""(unconventional, revolutionary, extreme) "",""sets"":""Basic Set, Party Set""},")</f>
        <v>"maum":{"label":"Radical","extra":"(unconventional, revolutionary, extreme) ","sets":"Basic Set, Party Set"},</v>
      </c>
    </row>
    <row r="7">
      <c r="A7" s="8" t="str">
        <f>IFERROR(__xludf.DUMMYFUNCTION("""COMPUTED_VALUE"""),"Stereotyped")</f>
        <v>Stereotyped</v>
      </c>
      <c r="B7" s="8" t="str">
        <f>IFERROR(__xludf.DUMMYFUNCTION("""COMPUTED_VALUE"""),"(pigeonholed, caricatured, characterized) ")</f>
        <v>(pigeonholed, caricatured, characterized) </v>
      </c>
      <c r="C7" s="13" t="str">
        <f>IFERROR(__xludf.DUMMYFUNCTION("""COMPUTED_VALUE"""),"""nrfl"":{""label"":""Stereotyped"",""extra"":""(pigeonholed, caricatured, characterized) "",""sets"":""Basic Set, Party Set""},")</f>
        <v>"nrfl":{"label":"Stereotyped","extra":"(pigeonholed, caricatured, characterized) ","sets":"Basic Set, Party Set"},</v>
      </c>
    </row>
    <row r="8">
      <c r="A8" s="8" t="str">
        <f>IFERROR(__xludf.DUMMYFUNCTION("""COMPUTED_VALUE"""),"Worldly")</f>
        <v>Worldly</v>
      </c>
      <c r="B8" s="8" t="str">
        <f>IFERROR(__xludf.DUMMYFUNCTION("""COMPUTED_VALUE"""),"(experienced, sophisticated, materialistic) ")</f>
        <v>(experienced, sophisticated, materialistic) </v>
      </c>
      <c r="C8" s="13" t="str">
        <f>IFERROR(__xludf.DUMMYFUNCTION("""COMPUTED_VALUE"""),"""eugp"":{""label"":""Worldly"",""extra"":""(experienced, sophisticated, materialistic) "",""sets"":""Expansion Set 1, Party Set""},")</f>
        <v>"eugp":{"label":"Worldly","extra":"(experienced, sophisticated, materialistic) ","sets":"Expansion Set 1, Party Set"},</v>
      </c>
    </row>
    <row r="9">
      <c r="C9" s="13"/>
    </row>
    <row r="10">
      <c r="C10" s="13"/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11.1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IFERROR(__xludf.DUMMYFUNCTION("filter(Red!B3:D1751,(Red!I3:I1751&gt;=(24))+(Red!J3:J1751&gt;=(143)))"),"Big Macs")</f>
        <v>Big Macs</v>
      </c>
      <c r="B2" s="8" t="str">
        <f>IFERROR(__xludf.DUMMYFUNCTION("""COMPUTED_VALUE"""),"T w o  a l l  b e e f  p a t t i e s  s p e c i a l  s a u c e  l e t t u c e  c h e e s e  p i c k l e s  o n i o n s  o n  a  s e s a m e  s e e d  b u n .")</f>
        <v>T w o  a l l  b e e f  p a t t i e s  s p e c i a l  s a u c e  l e t t u c e  c h e e s e  p i c k l e s  o n i o n s  o n  a  s e s a m e  s e e d  b u n .</v>
      </c>
      <c r="C2" s="13" t="str">
        <f>IFERROR(__xludf.DUMMYFUNCTION("""COMPUTED_VALUE"""),"""t{ih"":{""label"":""Big Macs"",""extra"":""T w o  a l l  b e e f  p a t t i e s  s p e c i a l  s a u c e  l e t t u c e  c h e e s e  p i c k l e s  o n i o n s  o n  a  s e s a m e  s e e d  b u n ."",""sets"":""Expansion Set 2, Party Set""},")</f>
        <v>"t{ih":{"label":"Big Macs","extra":"T w o  a l l  b e e f  p a t t i e s  s p e c i a l  s a u c e  l e t t u c e  c h e e s e  p i c k l e s  o n i o n s  o n  a  s e s a m e  s e e d  b u n .","sets":"Expansion Set 2, Party Set"},</v>
      </c>
    </row>
    <row r="3">
      <c r="A3" s="8" t="str">
        <f>IFERROR(__xludf.DUMMYFUNCTION("""COMPUTED_VALUE"""),"Chewing Your Fingernails")</f>
        <v>Chewing Your Fingernails</v>
      </c>
      <c r="B3" s="8" t="str">
        <f>IFERROR(__xludf.DUMMYFUNCTION("""COMPUTED_VALUE"""),"Hungry?")</f>
        <v>Hungry?</v>
      </c>
      <c r="C3" s="13" t="str">
        <f>IFERROR(__xludf.DUMMYFUNCTION("""COMPUTED_VALUE"""),"""gxzs"":{""label"":""Chewing Your Fingernails"",""extra"":""Hungry?"",""sets"":""Junior 9+ (2nd)""},")</f>
        <v>"gxzs":{"label":"Chewing Your Fingernails","extra":"Hungry?","sets":"Junior 9+ (2nd)"},</v>
      </c>
    </row>
    <row r="4">
      <c r="A4" s="8" t="str">
        <f>IFERROR(__xludf.DUMMYFUNCTION("""COMPUTED_VALUE"""),"Jimmy Stewart")</f>
        <v>Jimmy Stewart</v>
      </c>
      <c r="B4" s="8" t="str">
        <f>IFERROR(__xludf.DUMMYFUNCTION("""COMPUTED_VALUE"""),"1908-97, America’s favorite self-image. “Mr. Smith Goes to Washington,” “Rear Window,” “Vertigo,” and “It’s a Wonderful Life,” …and it probably was.")</f>
        <v>1908-97, America’s favorite self-image. “Mr. Smith Goes to Washington,” “Rear Window,” “Vertigo,” and “It’s a Wonderful Life,” …and it probably was.</v>
      </c>
      <c r="C4" s="13" t="str">
        <f>IFERROR(__xludf.DUMMYFUNCTION("""COMPUTED_VALUE"""),"""iszk"":{""label"":""Jimmy Stewart"",""extra"":""1908-97, America’s favorite self-image. “Mr. Smith Goes to Washington,” “Rear Window,” “Vertigo,” and “It’s a Wonderful Life,” …and it probably was."",""sets"":""Expansion Set 2, Party Set""},")</f>
        <v>"iszk":{"label":"Jimmy Stewart","extra":"1908-97, America’s favorite self-image. “Mr. Smith Goes to Washington,” “Rear Window,” “Vertigo,” and “It’s a Wonderful Life,” …and it probably was.","sets":"Expansion Set 2, Party Set"},</v>
      </c>
    </row>
    <row r="5">
      <c r="A5" s="8" t="str">
        <f>IFERROR(__xludf.DUMMYFUNCTION("""COMPUTED_VALUE"""),"Jupiter")</f>
        <v>Jupiter</v>
      </c>
      <c r="B5" s="8" t="str">
        <f>IFERROR(__xludf.DUMMYFUNCTION("""COMPUTED_VALUE"""),"Story Problem: If one year on Jupiter equals 11.86 Earth years, and one day equals 9.92 Earth hours, how many Earth hours are there in a Jupiter year?")</f>
        <v>Story Problem: If one year on Jupiter equals 11.86 Earth years, and one day equals 9.92 Earth hours, how many Earth hours are there in a Jupiter year?</v>
      </c>
      <c r="C5" s="13" t="str">
        <f>IFERROR(__xludf.DUMMYFUNCTION("""COMPUTED_VALUE"""),"""j{gm"":{""label"":""Jupiter"",""extra"":""Story Problem: If one year on Jupiter equals 11.86 Earth years, and one day equals 9.92 Earth hours, how many Earth hours are there in a Jupiter year?"",""sets"":""Expansion Set 2, Party Set""},")</f>
        <v>"j{gm":{"label":"Jupiter","extra":"Story Problem: If one year on Jupiter equals 11.86 Earth years, and one day equals 9.92 Earth hours, how many Earth hours are there in a Jupiter year?","sets":"Expansion Set 2, Party Set"},</v>
      </c>
    </row>
    <row r="6">
      <c r="A6" s="8" t="str">
        <f>IFERROR(__xludf.DUMMYFUNCTION("""COMPUTED_VALUE"""),"Linguine With Clam Sauce")</f>
        <v>Linguine With Clam Sauce</v>
      </c>
      <c r="B6" s="8" t="str">
        <f>IFERROR(__xludf.DUMMYFUNCTION("""COMPUTED_VALUE"""),"Pass the parmesan…")</f>
        <v>Pass the parmesan…</v>
      </c>
      <c r="C6" s="13" t="str">
        <f>IFERROR(__xludf.DUMMYFUNCTION("""COMPUTED_VALUE"""),"""xfqv"":{""label"":""Linguine With Clam Sauce"",""extra"":""Pass the parmesan…"",""sets"":""Expansion Set 3, Party Expansion 1""},")</f>
        <v>"xfqv":{"label":"Linguine With Clam Sauce","extra":"Pass the parmesan…","sets":"Expansion Set 3, Party Expansion 1"},</v>
      </c>
    </row>
    <row r="7">
      <c r="A7" s="8" t="str">
        <f>IFERROR(__xludf.DUMMYFUNCTION("""COMPUTED_VALUE"""),"Stalactites &amp; Stalagmites")</f>
        <v>Stalactites &amp; Stalagmites</v>
      </c>
      <c r="B7" s="8" t="str">
        <f>IFERROR(__xludf.DUMMYFUNCTION("""COMPUTED_VALUE"""),"The ups and downs of spelunking.")</f>
        <v>The ups and downs of spelunking.</v>
      </c>
      <c r="C7" s="13" t="str">
        <f>IFERROR(__xludf.DUMMYFUNCTION("""COMPUTED_VALUE"""),"""vzne"":{""label"":""Stalactites &amp; Stalagmites"",""extra"":""The ups and downs of spelunking."",""sets"":""Expansion Set 4, Party Expansion 1""},")</f>
        <v>"vzne":{"label":"Stalactites &amp; Stalagmites","extra":"The ups and downs of spelunking.","sets":"Expansion Set 4, Party Expansion 1"},</v>
      </c>
    </row>
    <row r="8">
      <c r="A8" s="8" t="str">
        <f>IFERROR(__xludf.DUMMYFUNCTION("""COMPUTED_VALUE"""),"The Young &amp; The Restless")</f>
        <v>The Young &amp; The Restless</v>
      </c>
      <c r="B8" s="8" t="str">
        <f>IFERROR(__xludf.DUMMYFUNCTION("""COMPUTED_VALUE"""),"Launched in 1973, this soap opera isn’t young, but it’s still restless.")</f>
        <v>Launched in 1973, this soap opera isn’t young, but it’s still restless.</v>
      </c>
      <c r="C8" s="13" t="str">
        <f>IFERROR(__xludf.DUMMYFUNCTION("""COMPUTED_VALUE"""),"""yhis"":{""label"":""The Young &amp; The Restless"",""extra"":""Launched in 1973, this soap opera isn’t young, but it’s still restless."",""sets"":""Expansion Set 4, Party Expansion 1""},")</f>
        <v>"yhis":{"label":"The Young &amp; The Restless","extra":"Launched in 1973, this soap opera isn’t young, but it’s still restless.","sets":"Expansion Set 4, Party Expansion 1"},</v>
      </c>
    </row>
    <row r="9">
      <c r="A9" s="8" t="str">
        <f>IFERROR(__xludf.DUMMYFUNCTION("""COMPUTED_VALUE"""),"Vincent Van Gogh")</f>
        <v>Vincent Van Gogh</v>
      </c>
      <c r="B9" s="8" t="str">
        <f>IFERROR(__xludf.DUMMYFUNCTION("""COMPUTED_VALUE"""),"1853-90, Dutch post-impressionist painter known for dramatic sunflowers and self-portraits. Only one of his paintings sold during his lifetime.")</f>
        <v>1853-90, Dutch post-impressionist painter known for dramatic sunflowers and self-portraits. Only one of his paintings sold during his lifetime.</v>
      </c>
      <c r="C9" s="13" t="str">
        <f>IFERROR(__xludf.DUMMYFUNCTION("""COMPUTED_VALUE"""),"""ccti"":{""label"":""Vincent Van Gogh"",""extra"":""1853-90, Dutch post-impressionist painter known for dramatic sunflowers and self-portraits. Only one of his paintings sold during his lifetime."",""sets"":""Expansion Set 2, Party Set""},")</f>
        <v>"ccti":{"label":"Vincent Van Gogh","extra":"1853-90, Dutch post-impressionist painter known for dramatic sunflowers and self-portraits. Only one of his paintings sold during his lifetime.","sets":"Expansion Set 2, Party Set"},</v>
      </c>
    </row>
    <row r="10">
      <c r="C10" s="13"/>
    </row>
    <row r="11">
      <c r="C11" s="13"/>
    </row>
    <row r="12">
      <c r="C12" s="13"/>
    </row>
    <row r="13">
      <c r="C13" s="13"/>
    </row>
    <row r="14">
      <c r="C14" s="13"/>
    </row>
    <row r="15">
      <c r="C15" s="13"/>
    </row>
    <row r="16">
      <c r="C16" s="13"/>
    </row>
    <row r="17">
      <c r="C17" s="13"/>
    </row>
    <row r="18">
      <c r="C18" s="13"/>
    </row>
    <row r="19">
      <c r="C19" s="13"/>
    </row>
    <row r="20">
      <c r="C20" s="13"/>
    </row>
    <row r="21">
      <c r="C21" s="13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  <row r="1003">
      <c r="C1003" s="13"/>
    </row>
    <row r="1004">
      <c r="C1004" s="13"/>
    </row>
    <row r="1005">
      <c r="C1005" s="13"/>
    </row>
    <row r="1006">
      <c r="C1006" s="13"/>
    </row>
    <row r="1007">
      <c r="C1007" s="13"/>
    </row>
    <row r="1008">
      <c r="C1008" s="13"/>
    </row>
    <row r="1009">
      <c r="C1009" s="13"/>
    </row>
    <row r="1010">
      <c r="C1010" s="13"/>
    </row>
    <row r="1011">
      <c r="C1011" s="13"/>
    </row>
    <row r="1012">
      <c r="C1012" s="13"/>
    </row>
    <row r="1013">
      <c r="C1013" s="13"/>
    </row>
    <row r="1014">
      <c r="C1014" s="13"/>
    </row>
    <row r="1015">
      <c r="C1015" s="13"/>
    </row>
    <row r="1016">
      <c r="C1016" s="13"/>
    </row>
    <row r="1017">
      <c r="C1017" s="13"/>
    </row>
    <row r="1018">
      <c r="C1018" s="13"/>
    </row>
    <row r="1019">
      <c r="C1019" s="13"/>
    </row>
    <row r="1020">
      <c r="C1020" s="13"/>
    </row>
    <row r="1021">
      <c r="C1021" s="13"/>
    </row>
    <row r="1022">
      <c r="C1022" s="13"/>
    </row>
    <row r="1023">
      <c r="C1023" s="13"/>
    </row>
    <row r="1024">
      <c r="C1024" s="13"/>
    </row>
    <row r="1025">
      <c r="C1025" s="13"/>
    </row>
    <row r="1026">
      <c r="C1026" s="13"/>
    </row>
    <row r="1027">
      <c r="C1027" s="13"/>
    </row>
    <row r="1028">
      <c r="C1028" s="13"/>
    </row>
    <row r="1029">
      <c r="C1029" s="13"/>
    </row>
    <row r="1030">
      <c r="C1030" s="13"/>
    </row>
    <row r="1031">
      <c r="C1031" s="13"/>
    </row>
    <row r="1032">
      <c r="C1032" s="13"/>
    </row>
    <row r="1033">
      <c r="C1033" s="13"/>
    </row>
    <row r="1034">
      <c r="C1034" s="13"/>
    </row>
    <row r="1035">
      <c r="C1035" s="13"/>
    </row>
    <row r="1036">
      <c r="C1036" s="13"/>
    </row>
    <row r="1037">
      <c r="C1037" s="13"/>
    </row>
    <row r="1038">
      <c r="C1038" s="13"/>
    </row>
    <row r="1039">
      <c r="C1039" s="13"/>
    </row>
    <row r="1040">
      <c r="C1040" s="13"/>
    </row>
    <row r="1041">
      <c r="C1041" s="13"/>
    </row>
    <row r="1042">
      <c r="C1042" s="13"/>
    </row>
    <row r="1043">
      <c r="C1043" s="13"/>
    </row>
    <row r="1044">
      <c r="C1044" s="13"/>
    </row>
    <row r="1045">
      <c r="C1045" s="13"/>
    </row>
    <row r="1046">
      <c r="C1046" s="13"/>
    </row>
    <row r="1047">
      <c r="C1047" s="13"/>
    </row>
    <row r="1048">
      <c r="C1048" s="13"/>
    </row>
    <row r="1049">
      <c r="C1049" s="13"/>
    </row>
    <row r="1050">
      <c r="C1050" s="13"/>
    </row>
    <row r="1051">
      <c r="C1051" s="13"/>
    </row>
    <row r="1052">
      <c r="C1052" s="13"/>
    </row>
    <row r="1053">
      <c r="C1053" s="13"/>
    </row>
    <row r="1054">
      <c r="C1054" s="13"/>
    </row>
    <row r="1055">
      <c r="C1055" s="13"/>
    </row>
    <row r="1056">
      <c r="C1056" s="13"/>
    </row>
    <row r="1057">
      <c r="C1057" s="13"/>
    </row>
    <row r="1058">
      <c r="C1058" s="13"/>
    </row>
    <row r="1059">
      <c r="C1059" s="13"/>
    </row>
    <row r="1060">
      <c r="C1060" s="13"/>
    </row>
    <row r="1061">
      <c r="C1061" s="13"/>
    </row>
    <row r="1062">
      <c r="C1062" s="13"/>
    </row>
    <row r="1063">
      <c r="C1063" s="13"/>
    </row>
    <row r="1064">
      <c r="C1064" s="13"/>
    </row>
    <row r="1065">
      <c r="C1065" s="13"/>
    </row>
    <row r="1066">
      <c r="C1066" s="13"/>
    </row>
    <row r="1067">
      <c r="C1067" s="13"/>
    </row>
    <row r="1068">
      <c r="C1068" s="13"/>
    </row>
    <row r="1069">
      <c r="C1069" s="13"/>
    </row>
    <row r="1070">
      <c r="C1070" s="13"/>
    </row>
    <row r="1071">
      <c r="C1071" s="13"/>
    </row>
    <row r="1072">
      <c r="C1072" s="13"/>
    </row>
    <row r="1073">
      <c r="C1073" s="13"/>
    </row>
    <row r="1074">
      <c r="C1074" s="13"/>
    </row>
    <row r="1075">
      <c r="C1075" s="13"/>
    </row>
    <row r="1076">
      <c r="C1076" s="13"/>
    </row>
    <row r="1077">
      <c r="C1077" s="13"/>
    </row>
    <row r="1078">
      <c r="C1078" s="13"/>
    </row>
    <row r="1079">
      <c r="C1079" s="13"/>
    </row>
    <row r="1080">
      <c r="C1080" s="13"/>
    </row>
    <row r="1081">
      <c r="C1081" s="13"/>
    </row>
    <row r="1082">
      <c r="C1082" s="13"/>
    </row>
    <row r="1083">
      <c r="C1083" s="13"/>
    </row>
    <row r="1084">
      <c r="C1084" s="13"/>
    </row>
    <row r="1085">
      <c r="C1085" s="13"/>
    </row>
    <row r="1086">
      <c r="C1086" s="13"/>
    </row>
    <row r="1087">
      <c r="C1087" s="13"/>
    </row>
    <row r="1088">
      <c r="C1088" s="13"/>
    </row>
    <row r="1089">
      <c r="C1089" s="13"/>
    </row>
    <row r="1090">
      <c r="C1090" s="13"/>
    </row>
    <row r="1091">
      <c r="C1091" s="13"/>
    </row>
    <row r="1092">
      <c r="C1092" s="13"/>
    </row>
    <row r="1093">
      <c r="C1093" s="13"/>
    </row>
    <row r="1094">
      <c r="C1094" s="13"/>
    </row>
    <row r="1095">
      <c r="C1095" s="13"/>
    </row>
    <row r="1096">
      <c r="C1096" s="13"/>
    </row>
    <row r="1097">
      <c r="C1097" s="13"/>
    </row>
    <row r="1098">
      <c r="C1098" s="13"/>
    </row>
    <row r="1099">
      <c r="C1099" s="13"/>
    </row>
    <row r="1100">
      <c r="C1100" s="13"/>
    </row>
    <row r="1101">
      <c r="C1101" s="13"/>
    </row>
    <row r="1102">
      <c r="C1102" s="13"/>
    </row>
    <row r="1103">
      <c r="C1103" s="13"/>
    </row>
    <row r="1104">
      <c r="C1104" s="13"/>
    </row>
    <row r="1105">
      <c r="C1105" s="13"/>
    </row>
    <row r="1106">
      <c r="C1106" s="13"/>
    </row>
    <row r="1107">
      <c r="C1107" s="13"/>
    </row>
    <row r="1108">
      <c r="C1108" s="13"/>
    </row>
    <row r="1109">
      <c r="C1109" s="13"/>
    </row>
    <row r="1110">
      <c r="C1110" s="13"/>
    </row>
    <row r="1111">
      <c r="C1111" s="13"/>
    </row>
    <row r="1112">
      <c r="C1112" s="13"/>
    </row>
    <row r="1113">
      <c r="C1113" s="13"/>
    </row>
    <row r="1114">
      <c r="C1114" s="13"/>
    </row>
    <row r="1115">
      <c r="C1115" s="13"/>
    </row>
    <row r="1116">
      <c r="C1116" s="13"/>
    </row>
    <row r="1117">
      <c r="C1117" s="13"/>
    </row>
    <row r="1118">
      <c r="C1118" s="13"/>
    </row>
    <row r="1119">
      <c r="C1119" s="13"/>
    </row>
    <row r="1120">
      <c r="C1120" s="13"/>
    </row>
    <row r="1121">
      <c r="C1121" s="13"/>
    </row>
    <row r="1122">
      <c r="C1122" s="13"/>
    </row>
    <row r="1123">
      <c r="C1123" s="13"/>
    </row>
    <row r="1124">
      <c r="C1124" s="13"/>
    </row>
    <row r="1125">
      <c r="C1125" s="13"/>
    </row>
    <row r="1126">
      <c r="C1126" s="13"/>
    </row>
    <row r="1127">
      <c r="C1127" s="13"/>
    </row>
    <row r="1128">
      <c r="C1128" s="13"/>
    </row>
    <row r="1129">
      <c r="C1129" s="13"/>
    </row>
    <row r="1130">
      <c r="C1130" s="13"/>
    </row>
    <row r="1131">
      <c r="C1131" s="13"/>
    </row>
    <row r="1132">
      <c r="C1132" s="13"/>
    </row>
    <row r="1133">
      <c r="C1133" s="13"/>
    </row>
    <row r="1134">
      <c r="C1134" s="13"/>
    </row>
    <row r="1135">
      <c r="C1135" s="13"/>
    </row>
    <row r="1136">
      <c r="C1136" s="13"/>
    </row>
    <row r="1137">
      <c r="C1137" s="13"/>
    </row>
    <row r="1138">
      <c r="C1138" s="13"/>
    </row>
    <row r="1139">
      <c r="C1139" s="13"/>
    </row>
    <row r="1140">
      <c r="C1140" s="13"/>
    </row>
    <row r="1141">
      <c r="C1141" s="13"/>
    </row>
    <row r="1142">
      <c r="C1142" s="13"/>
    </row>
    <row r="1143">
      <c r="C1143" s="13"/>
    </row>
    <row r="1144">
      <c r="C1144" s="13"/>
    </row>
    <row r="1145">
      <c r="C1145" s="13"/>
    </row>
    <row r="1146">
      <c r="C1146" s="13"/>
    </row>
    <row r="1147">
      <c r="C1147" s="13"/>
    </row>
    <row r="1148">
      <c r="C1148" s="13"/>
    </row>
    <row r="1149">
      <c r="C1149" s="13"/>
    </row>
    <row r="1150">
      <c r="C1150" s="13"/>
    </row>
    <row r="1151">
      <c r="C1151" s="13"/>
    </row>
    <row r="1152">
      <c r="C1152" s="13"/>
    </row>
    <row r="1153">
      <c r="C1153" s="13"/>
    </row>
    <row r="1154">
      <c r="C1154" s="13"/>
    </row>
    <row r="1155">
      <c r="C1155" s="13"/>
    </row>
    <row r="1156">
      <c r="C1156" s="13"/>
    </row>
    <row r="1157">
      <c r="C1157" s="13"/>
    </row>
    <row r="1158">
      <c r="C1158" s="13"/>
    </row>
    <row r="1159">
      <c r="C1159" s="13"/>
    </row>
    <row r="1160">
      <c r="C1160" s="13"/>
    </row>
    <row r="1161">
      <c r="C1161" s="13"/>
    </row>
    <row r="1162">
      <c r="C1162" s="13"/>
    </row>
    <row r="1163">
      <c r="C1163" s="13"/>
    </row>
    <row r="1164">
      <c r="C1164" s="13"/>
    </row>
    <row r="1165">
      <c r="C1165" s="13"/>
    </row>
    <row r="1166">
      <c r="C1166" s="13"/>
    </row>
    <row r="1167">
      <c r="C1167" s="13"/>
    </row>
    <row r="1168">
      <c r="C1168" s="13"/>
    </row>
    <row r="1169">
      <c r="C1169" s="13"/>
    </row>
    <row r="1170">
      <c r="C1170" s="13"/>
    </row>
    <row r="1171">
      <c r="C1171" s="13"/>
    </row>
    <row r="1172">
      <c r="C1172" s="13"/>
    </row>
    <row r="1173">
      <c r="C1173" s="13"/>
    </row>
    <row r="1174">
      <c r="C1174" s="13"/>
    </row>
    <row r="1175">
      <c r="C1175" s="13"/>
    </row>
    <row r="1176">
      <c r="C1176" s="13"/>
    </row>
    <row r="1177">
      <c r="C1177" s="13"/>
    </row>
    <row r="1178">
      <c r="C1178" s="13"/>
    </row>
    <row r="1179">
      <c r="C1179" s="13"/>
    </row>
    <row r="1180">
      <c r="C1180" s="13"/>
    </row>
    <row r="1181">
      <c r="C1181" s="13"/>
    </row>
    <row r="1182">
      <c r="C1182" s="13"/>
    </row>
    <row r="1183">
      <c r="C1183" s="13"/>
    </row>
    <row r="1184">
      <c r="C1184" s="13"/>
    </row>
    <row r="1185">
      <c r="C1185" s="13"/>
    </row>
    <row r="1186">
      <c r="C1186" s="13"/>
    </row>
    <row r="1187">
      <c r="C1187" s="13"/>
    </row>
    <row r="1188">
      <c r="C1188" s="13"/>
    </row>
    <row r="1189">
      <c r="C1189" s="13"/>
    </row>
    <row r="1190">
      <c r="C1190" s="13"/>
    </row>
    <row r="1191">
      <c r="C1191" s="13"/>
    </row>
    <row r="1192">
      <c r="C1192" s="13"/>
    </row>
    <row r="1193">
      <c r="C1193" s="13"/>
    </row>
    <row r="1194">
      <c r="C1194" s="13"/>
    </row>
    <row r="1195">
      <c r="C1195" s="13"/>
    </row>
    <row r="1196">
      <c r="C1196" s="13"/>
    </row>
    <row r="1197">
      <c r="C1197" s="13"/>
    </row>
    <row r="1198">
      <c r="C1198" s="13"/>
    </row>
    <row r="1199">
      <c r="C1199" s="13"/>
    </row>
    <row r="1200">
      <c r="C1200" s="13"/>
    </row>
    <row r="1201">
      <c r="C1201" s="13"/>
    </row>
    <row r="1202">
      <c r="C1202" s="13"/>
    </row>
    <row r="1203">
      <c r="C1203" s="13"/>
    </row>
    <row r="1204">
      <c r="C1204" s="13"/>
    </row>
    <row r="1205">
      <c r="C1205" s="13"/>
    </row>
    <row r="1206">
      <c r="C1206" s="13"/>
    </row>
    <row r="1207">
      <c r="C1207" s="13"/>
    </row>
    <row r="1208">
      <c r="C1208" s="13"/>
    </row>
    <row r="1209">
      <c r="C1209" s="13"/>
    </row>
    <row r="1210">
      <c r="C1210" s="13"/>
    </row>
    <row r="1211">
      <c r="C1211" s="13"/>
    </row>
    <row r="1212">
      <c r="C1212" s="13"/>
    </row>
    <row r="1213">
      <c r="C1213" s="13"/>
    </row>
    <row r="1214">
      <c r="C1214" s="13"/>
    </row>
    <row r="1215">
      <c r="C1215" s="13"/>
    </row>
    <row r="1216">
      <c r="C1216" s="13"/>
    </row>
    <row r="1217">
      <c r="C1217" s="13"/>
    </row>
    <row r="1218">
      <c r="C1218" s="13"/>
    </row>
    <row r="1219">
      <c r="C1219" s="13"/>
    </row>
    <row r="1220">
      <c r="C1220" s="13"/>
    </row>
    <row r="1221">
      <c r="C1221" s="13"/>
    </row>
    <row r="1222">
      <c r="C1222" s="13"/>
    </row>
    <row r="1223">
      <c r="C1223" s="13"/>
    </row>
    <row r="1224">
      <c r="C1224" s="13"/>
    </row>
    <row r="1225">
      <c r="C1225" s="13"/>
    </row>
    <row r="1226">
      <c r="C1226" s="13"/>
    </row>
    <row r="1227">
      <c r="C1227" s="13"/>
    </row>
    <row r="1228">
      <c r="C1228" s="13"/>
    </row>
    <row r="1229">
      <c r="C1229" s="13"/>
    </row>
    <row r="1230">
      <c r="C1230" s="13"/>
    </row>
    <row r="1231">
      <c r="C1231" s="13"/>
    </row>
    <row r="1232">
      <c r="C1232" s="13"/>
    </row>
    <row r="1233">
      <c r="C1233" s="13"/>
    </row>
    <row r="1234">
      <c r="C1234" s="13"/>
    </row>
    <row r="1235">
      <c r="C1235" s="13"/>
    </row>
    <row r="1236">
      <c r="C1236" s="13"/>
    </row>
    <row r="1237">
      <c r="C1237" s="13"/>
    </row>
    <row r="1238">
      <c r="C1238" s="13"/>
    </row>
    <row r="1239">
      <c r="C1239" s="13"/>
    </row>
    <row r="1240">
      <c r="C1240" s="13"/>
    </row>
    <row r="1241">
      <c r="C1241" s="13"/>
    </row>
    <row r="1242">
      <c r="C1242" s="13"/>
    </row>
    <row r="1243">
      <c r="C1243" s="13"/>
    </row>
    <row r="1244">
      <c r="C1244" s="13"/>
    </row>
    <row r="1245">
      <c r="C1245" s="13"/>
    </row>
    <row r="1246">
      <c r="C1246" s="13"/>
    </row>
    <row r="1247">
      <c r="C1247" s="13"/>
    </row>
    <row r="1248">
      <c r="C1248" s="13"/>
    </row>
    <row r="1249">
      <c r="C1249" s="13"/>
    </row>
    <row r="1250">
      <c r="C1250" s="13"/>
    </row>
    <row r="1251">
      <c r="C1251" s="13"/>
    </row>
    <row r="1252">
      <c r="C1252" s="13"/>
    </row>
    <row r="1253">
      <c r="C1253" s="13"/>
    </row>
    <row r="1254">
      <c r="C1254" s="13"/>
    </row>
    <row r="1255">
      <c r="C1255" s="13"/>
    </row>
    <row r="1256">
      <c r="C1256" s="13"/>
    </row>
    <row r="1257">
      <c r="C1257" s="13"/>
    </row>
    <row r="1258">
      <c r="C1258" s="13"/>
    </row>
    <row r="1259">
      <c r="C1259" s="13"/>
    </row>
    <row r="1260">
      <c r="C1260" s="13"/>
    </row>
    <row r="1261">
      <c r="C1261" s="13"/>
    </row>
    <row r="1262">
      <c r="C1262" s="13"/>
    </row>
    <row r="1263">
      <c r="C1263" s="13"/>
    </row>
    <row r="1264">
      <c r="C1264" s="13"/>
    </row>
    <row r="1265">
      <c r="C1265" s="13"/>
    </row>
    <row r="1266">
      <c r="C1266" s="13"/>
    </row>
    <row r="1267">
      <c r="C1267" s="13"/>
    </row>
    <row r="1268">
      <c r="C1268" s="13"/>
    </row>
    <row r="1269">
      <c r="C1269" s="13"/>
    </row>
    <row r="1270">
      <c r="C1270" s="13"/>
    </row>
    <row r="1271">
      <c r="C1271" s="13"/>
    </row>
    <row r="1272">
      <c r="C1272" s="13"/>
    </row>
    <row r="1273">
      <c r="C1273" s="13"/>
    </row>
    <row r="1274">
      <c r="C1274" s="13"/>
    </row>
    <row r="1275">
      <c r="C1275" s="13"/>
    </row>
    <row r="1276">
      <c r="C1276" s="13"/>
    </row>
    <row r="1277">
      <c r="C1277" s="13"/>
    </row>
    <row r="1278">
      <c r="C1278" s="13"/>
    </row>
    <row r="1279">
      <c r="C1279" s="13"/>
    </row>
    <row r="1280">
      <c r="C1280" s="13"/>
    </row>
    <row r="1281">
      <c r="C1281" s="13"/>
    </row>
    <row r="1282">
      <c r="C1282" s="13"/>
    </row>
    <row r="1283">
      <c r="C1283" s="13"/>
    </row>
    <row r="1284">
      <c r="C1284" s="13"/>
    </row>
    <row r="1285">
      <c r="C1285" s="13"/>
    </row>
    <row r="1286">
      <c r="C1286" s="13"/>
    </row>
    <row r="1287">
      <c r="C1287" s="13"/>
    </row>
    <row r="1288">
      <c r="C1288" s="13"/>
    </row>
    <row r="1289">
      <c r="C1289" s="13"/>
    </row>
    <row r="1290">
      <c r="C1290" s="13"/>
    </row>
    <row r="1291">
      <c r="C1291" s="13"/>
    </row>
    <row r="1292">
      <c r="C1292" s="13"/>
    </row>
    <row r="1293">
      <c r="C1293" s="13"/>
    </row>
    <row r="1294">
      <c r="C1294" s="13"/>
    </row>
    <row r="1295">
      <c r="C1295" s="13"/>
    </row>
    <row r="1296">
      <c r="C1296" s="13"/>
    </row>
    <row r="1297">
      <c r="C1297" s="13"/>
    </row>
    <row r="1298">
      <c r="C1298" s="13"/>
    </row>
    <row r="1299">
      <c r="C1299" s="13"/>
    </row>
    <row r="1300">
      <c r="C1300" s="13"/>
    </row>
    <row r="1301">
      <c r="C1301" s="13"/>
    </row>
    <row r="1302">
      <c r="C1302" s="13"/>
    </row>
    <row r="1303">
      <c r="C1303" s="13"/>
    </row>
    <row r="1304">
      <c r="C1304" s="13"/>
    </row>
    <row r="1305">
      <c r="C1305" s="13"/>
    </row>
    <row r="1306">
      <c r="C1306" s="13"/>
    </row>
    <row r="1307">
      <c r="C1307" s="13"/>
    </row>
    <row r="1308">
      <c r="C1308" s="13"/>
    </row>
    <row r="1309">
      <c r="C1309" s="13"/>
    </row>
    <row r="1310">
      <c r="C1310" s="13"/>
    </row>
    <row r="1311">
      <c r="C1311" s="13"/>
    </row>
    <row r="1312">
      <c r="C1312" s="13"/>
    </row>
    <row r="1313">
      <c r="C1313" s="13"/>
    </row>
    <row r="1314">
      <c r="C1314" s="13"/>
    </row>
    <row r="1315">
      <c r="C1315" s="13"/>
    </row>
    <row r="1316">
      <c r="C1316" s="13"/>
    </row>
    <row r="1317">
      <c r="C1317" s="13"/>
    </row>
    <row r="1318">
      <c r="C1318" s="13"/>
    </row>
    <row r="1319">
      <c r="C1319" s="13"/>
    </row>
    <row r="1320">
      <c r="C1320" s="13"/>
    </row>
    <row r="1321">
      <c r="C1321" s="13"/>
    </row>
    <row r="1322">
      <c r="C1322" s="13"/>
    </row>
    <row r="1323">
      <c r="C1323" s="13"/>
    </row>
    <row r="1324">
      <c r="C1324" s="13"/>
    </row>
    <row r="1325">
      <c r="C1325" s="13"/>
    </row>
    <row r="1326">
      <c r="C1326" s="13"/>
    </row>
    <row r="1327">
      <c r="C1327" s="13"/>
    </row>
    <row r="1328">
      <c r="C1328" s="13"/>
    </row>
    <row r="1329">
      <c r="C1329" s="13"/>
    </row>
    <row r="1330">
      <c r="C1330" s="13"/>
    </row>
    <row r="1331">
      <c r="C1331" s="13"/>
    </row>
    <row r="1332">
      <c r="C1332" s="13"/>
    </row>
    <row r="1333">
      <c r="C1333" s="13"/>
    </row>
    <row r="1334">
      <c r="C1334" s="13"/>
    </row>
    <row r="1335">
      <c r="C1335" s="13"/>
    </row>
    <row r="1336">
      <c r="C1336" s="13"/>
    </row>
    <row r="1337">
      <c r="C1337" s="13"/>
    </row>
    <row r="1338">
      <c r="C1338" s="13"/>
    </row>
    <row r="1339">
      <c r="C1339" s="13"/>
    </row>
    <row r="1340">
      <c r="C1340" s="13"/>
    </row>
    <row r="1341">
      <c r="C1341" s="13"/>
    </row>
    <row r="1342">
      <c r="C1342" s="13"/>
    </row>
    <row r="1343">
      <c r="C1343" s="13"/>
    </row>
    <row r="1344">
      <c r="C1344" s="13"/>
    </row>
    <row r="1345">
      <c r="C1345" s="13"/>
    </row>
    <row r="1346">
      <c r="C1346" s="13"/>
    </row>
    <row r="1347">
      <c r="C1347" s="13"/>
    </row>
    <row r="1348">
      <c r="C1348" s="13"/>
    </row>
    <row r="1349">
      <c r="C1349" s="13"/>
    </row>
    <row r="1350">
      <c r="C1350" s="13"/>
    </row>
    <row r="1351">
      <c r="C1351" s="13"/>
    </row>
    <row r="1352">
      <c r="C1352" s="13"/>
    </row>
    <row r="1353">
      <c r="C1353" s="13"/>
    </row>
    <row r="1354">
      <c r="C1354" s="13"/>
    </row>
    <row r="1355">
      <c r="C1355" s="13"/>
    </row>
    <row r="1356">
      <c r="C1356" s="13"/>
    </row>
    <row r="1357">
      <c r="C1357" s="13"/>
    </row>
    <row r="1358">
      <c r="C1358" s="13"/>
    </row>
    <row r="1359">
      <c r="C1359" s="13"/>
    </row>
    <row r="1360">
      <c r="C1360" s="13"/>
    </row>
    <row r="1361">
      <c r="C1361" s="13"/>
    </row>
    <row r="1362">
      <c r="C1362" s="13"/>
    </row>
    <row r="1363">
      <c r="C1363" s="13"/>
    </row>
    <row r="1364">
      <c r="C1364" s="13"/>
    </row>
    <row r="1365">
      <c r="C1365" s="13"/>
    </row>
    <row r="1366">
      <c r="C1366" s="13"/>
    </row>
    <row r="1367">
      <c r="C1367" s="13"/>
    </row>
    <row r="1368">
      <c r="C1368" s="13"/>
    </row>
    <row r="1369">
      <c r="C1369" s="13"/>
    </row>
    <row r="1370">
      <c r="C1370" s="13"/>
    </row>
    <row r="1371">
      <c r="C1371" s="13"/>
    </row>
    <row r="1372">
      <c r="C1372" s="13"/>
    </row>
    <row r="1373">
      <c r="C1373" s="13"/>
    </row>
    <row r="1374">
      <c r="C1374" s="13"/>
    </row>
    <row r="1375">
      <c r="C1375" s="13"/>
    </row>
    <row r="1376">
      <c r="C1376" s="13"/>
    </row>
    <row r="1377">
      <c r="C1377" s="13"/>
    </row>
    <row r="1378">
      <c r="C1378" s="13"/>
    </row>
    <row r="1379">
      <c r="C1379" s="13"/>
    </row>
    <row r="1380">
      <c r="C1380" s="13"/>
    </row>
    <row r="1381">
      <c r="C1381" s="13"/>
    </row>
    <row r="1382">
      <c r="C1382" s="13"/>
    </row>
    <row r="1383">
      <c r="C1383" s="13"/>
    </row>
    <row r="1384">
      <c r="C1384" s="13"/>
    </row>
    <row r="1385">
      <c r="C1385" s="13"/>
    </row>
    <row r="1386">
      <c r="C1386" s="13"/>
    </row>
    <row r="1387">
      <c r="C1387" s="13"/>
    </row>
    <row r="1388">
      <c r="C1388" s="13"/>
    </row>
    <row r="1389">
      <c r="C1389" s="13"/>
    </row>
    <row r="1390">
      <c r="C1390" s="13"/>
    </row>
    <row r="1391">
      <c r="C1391" s="13"/>
    </row>
    <row r="1392">
      <c r="C1392" s="13"/>
    </row>
    <row r="1393">
      <c r="C1393" s="13"/>
    </row>
    <row r="1394">
      <c r="C1394" s="13"/>
    </row>
    <row r="1395">
      <c r="C1395" s="13"/>
    </row>
    <row r="1396">
      <c r="C1396" s="13"/>
    </row>
    <row r="1397">
      <c r="C1397" s="13"/>
    </row>
    <row r="1398">
      <c r="C1398" s="13"/>
    </row>
    <row r="1399">
      <c r="C1399" s="13"/>
    </row>
    <row r="1400">
      <c r="C1400" s="13"/>
    </row>
    <row r="1401">
      <c r="C1401" s="13"/>
    </row>
    <row r="1402">
      <c r="C1402" s="13"/>
    </row>
    <row r="1403">
      <c r="C1403" s="13"/>
    </row>
    <row r="1404">
      <c r="C1404" s="13"/>
    </row>
    <row r="1405">
      <c r="C1405" s="13"/>
    </row>
    <row r="1406">
      <c r="C1406" s="13"/>
    </row>
    <row r="1407">
      <c r="C1407" s="13"/>
    </row>
    <row r="1408">
      <c r="C1408" s="13"/>
    </row>
    <row r="1409">
      <c r="C1409" s="13"/>
    </row>
    <row r="1410">
      <c r="C1410" s="13"/>
    </row>
    <row r="1411">
      <c r="C1411" s="13"/>
    </row>
    <row r="1412">
      <c r="C1412" s="13"/>
    </row>
    <row r="1413">
      <c r="C1413" s="13"/>
    </row>
    <row r="1414">
      <c r="C1414" s="13"/>
    </row>
    <row r="1415">
      <c r="C1415" s="13"/>
    </row>
    <row r="1416">
      <c r="C1416" s="13"/>
    </row>
    <row r="1417">
      <c r="C1417" s="13"/>
    </row>
    <row r="1418">
      <c r="C1418" s="13"/>
    </row>
    <row r="1419">
      <c r="C1419" s="13"/>
    </row>
    <row r="1420">
      <c r="C1420" s="13"/>
    </row>
    <row r="1421">
      <c r="C1421" s="13"/>
    </row>
    <row r="1422">
      <c r="C1422" s="13"/>
    </row>
    <row r="1423">
      <c r="C1423" s="13"/>
    </row>
    <row r="1424">
      <c r="C1424" s="13"/>
    </row>
    <row r="1425">
      <c r="C1425" s="13"/>
    </row>
    <row r="1426">
      <c r="C1426" s="13"/>
    </row>
    <row r="1427">
      <c r="C1427" s="13"/>
    </row>
    <row r="1428">
      <c r="C1428" s="13"/>
    </row>
    <row r="1429">
      <c r="C1429" s="13"/>
    </row>
    <row r="1430">
      <c r="C1430" s="13"/>
    </row>
    <row r="1431">
      <c r="C1431" s="13"/>
    </row>
    <row r="1432">
      <c r="C1432" s="13"/>
    </row>
    <row r="1433">
      <c r="C1433" s="13"/>
    </row>
    <row r="1434">
      <c r="C1434" s="13"/>
    </row>
    <row r="1435">
      <c r="C1435" s="13"/>
    </row>
    <row r="1436">
      <c r="C1436" s="13"/>
    </row>
    <row r="1437">
      <c r="C1437" s="13"/>
    </row>
    <row r="1438">
      <c r="C1438" s="13"/>
    </row>
    <row r="1439">
      <c r="C1439" s="13"/>
    </row>
    <row r="1440">
      <c r="C1440" s="13"/>
    </row>
    <row r="1441">
      <c r="C1441" s="13"/>
    </row>
    <row r="1442">
      <c r="C1442" s="13"/>
    </row>
    <row r="1443">
      <c r="C1443" s="13"/>
    </row>
    <row r="1444">
      <c r="C1444" s="13"/>
    </row>
    <row r="1445">
      <c r="C1445" s="13"/>
    </row>
    <row r="1446">
      <c r="C1446" s="13"/>
    </row>
    <row r="1447">
      <c r="C1447" s="13"/>
    </row>
    <row r="1448">
      <c r="C1448" s="13"/>
    </row>
    <row r="1449">
      <c r="C1449" s="13"/>
    </row>
    <row r="1450">
      <c r="C1450" s="13"/>
    </row>
    <row r="1451">
      <c r="C1451" s="13"/>
    </row>
    <row r="1452">
      <c r="C1452" s="13"/>
    </row>
    <row r="1453">
      <c r="C1453" s="13"/>
    </row>
    <row r="1454">
      <c r="C1454" s="13"/>
    </row>
    <row r="1455">
      <c r="C1455" s="13"/>
    </row>
    <row r="1456">
      <c r="C1456" s="13"/>
    </row>
    <row r="1457">
      <c r="C1457" s="13"/>
    </row>
    <row r="1458">
      <c r="C1458" s="13"/>
    </row>
    <row r="1459">
      <c r="C1459" s="13"/>
    </row>
    <row r="1460">
      <c r="C1460" s="13"/>
    </row>
    <row r="1461">
      <c r="C1461" s="13"/>
    </row>
    <row r="1462">
      <c r="C1462" s="13"/>
    </row>
    <row r="1463">
      <c r="C1463" s="13"/>
    </row>
    <row r="1464">
      <c r="C1464" s="13"/>
    </row>
    <row r="1465">
      <c r="C1465" s="13"/>
    </row>
    <row r="1466">
      <c r="C1466" s="13"/>
    </row>
    <row r="1467">
      <c r="C1467" s="13"/>
    </row>
    <row r="1468">
      <c r="C1468" s="13"/>
    </row>
    <row r="1469">
      <c r="C1469" s="13"/>
    </row>
    <row r="1470">
      <c r="C1470" s="13"/>
    </row>
    <row r="1471">
      <c r="C1471" s="13"/>
    </row>
    <row r="1472">
      <c r="C1472" s="13"/>
    </row>
    <row r="1473">
      <c r="C1473" s="13"/>
    </row>
    <row r="1474">
      <c r="C1474" s="13"/>
    </row>
    <row r="1475">
      <c r="C1475" s="13"/>
    </row>
    <row r="1476">
      <c r="C1476" s="13"/>
    </row>
    <row r="1477">
      <c r="C1477" s="13"/>
    </row>
    <row r="1478">
      <c r="C1478" s="13"/>
    </row>
    <row r="1479">
      <c r="C1479" s="13"/>
    </row>
    <row r="1480">
      <c r="C1480" s="13"/>
    </row>
    <row r="1481">
      <c r="C1481" s="13"/>
    </row>
    <row r="1482">
      <c r="C1482" s="13"/>
    </row>
    <row r="1483">
      <c r="C1483" s="13"/>
    </row>
    <row r="1484">
      <c r="C1484" s="13"/>
    </row>
    <row r="1485">
      <c r="C1485" s="13"/>
    </row>
    <row r="1486">
      <c r="C1486" s="13"/>
    </row>
    <row r="1487">
      <c r="C1487" s="13"/>
    </row>
    <row r="1488">
      <c r="C1488" s="13"/>
    </row>
    <row r="1489">
      <c r="C1489" s="13"/>
    </row>
    <row r="1490">
      <c r="C1490" s="13"/>
    </row>
    <row r="1491">
      <c r="C1491" s="13"/>
    </row>
    <row r="1492">
      <c r="C1492" s="13"/>
    </row>
    <row r="1493">
      <c r="C1493" s="13"/>
    </row>
    <row r="1494">
      <c r="C1494" s="13"/>
    </row>
    <row r="1495">
      <c r="C1495" s="13"/>
    </row>
    <row r="1496">
      <c r="C1496" s="13"/>
    </row>
    <row r="1497">
      <c r="C1497" s="13"/>
    </row>
    <row r="1498">
      <c r="C1498" s="13"/>
    </row>
    <row r="1499">
      <c r="C1499" s="13"/>
    </row>
    <row r="1500">
      <c r="C1500" s="13"/>
    </row>
    <row r="1501">
      <c r="C1501" s="13"/>
    </row>
    <row r="1502">
      <c r="C1502" s="13"/>
    </row>
    <row r="1503">
      <c r="C1503" s="13"/>
    </row>
    <row r="1504">
      <c r="C1504" s="13"/>
    </row>
    <row r="1505">
      <c r="C1505" s="13"/>
    </row>
    <row r="1506">
      <c r="C1506" s="13"/>
    </row>
    <row r="1507">
      <c r="C1507" s="13"/>
    </row>
    <row r="1508">
      <c r="C1508" s="13"/>
    </row>
    <row r="1509">
      <c r="C1509" s="13"/>
    </row>
    <row r="1510">
      <c r="C1510" s="13"/>
    </row>
    <row r="1511">
      <c r="C1511" s="13"/>
    </row>
    <row r="1512">
      <c r="C1512" s="13"/>
    </row>
    <row r="1513">
      <c r="C1513" s="13"/>
    </row>
    <row r="1514">
      <c r="C1514" s="13"/>
    </row>
    <row r="1515">
      <c r="C1515" s="13"/>
    </row>
    <row r="1516">
      <c r="C1516" s="13"/>
    </row>
    <row r="1517">
      <c r="C1517" s="13"/>
    </row>
    <row r="1518">
      <c r="C1518" s="13"/>
    </row>
    <row r="1519">
      <c r="C1519" s="13"/>
    </row>
    <row r="1520">
      <c r="C1520" s="13"/>
    </row>
    <row r="1521">
      <c r="C1521" s="13"/>
    </row>
    <row r="1522">
      <c r="C1522" s="13"/>
    </row>
    <row r="1523">
      <c r="C1523" s="13"/>
    </row>
    <row r="1524">
      <c r="C1524" s="13"/>
    </row>
    <row r="1525">
      <c r="C1525" s="13"/>
    </row>
    <row r="1526">
      <c r="C1526" s="13"/>
    </row>
    <row r="1527">
      <c r="C1527" s="13"/>
    </row>
    <row r="1528">
      <c r="C1528" s="13"/>
    </row>
    <row r="1529">
      <c r="C1529" s="13"/>
    </row>
    <row r="1530">
      <c r="C1530" s="13"/>
    </row>
    <row r="1531">
      <c r="C1531" s="13"/>
    </row>
    <row r="1532">
      <c r="C1532" s="13"/>
    </row>
    <row r="1533">
      <c r="C1533" s="13"/>
    </row>
    <row r="1534">
      <c r="C1534" s="13"/>
    </row>
    <row r="1535">
      <c r="C1535" s="13"/>
    </row>
    <row r="1536">
      <c r="C1536" s="13"/>
    </row>
    <row r="1537">
      <c r="C1537" s="13"/>
    </row>
    <row r="1538">
      <c r="C1538" s="13"/>
    </row>
    <row r="1539">
      <c r="C1539" s="13"/>
    </row>
    <row r="1540">
      <c r="C1540" s="13"/>
    </row>
    <row r="1541">
      <c r="C1541" s="13"/>
    </row>
    <row r="1542">
      <c r="C1542" s="13"/>
    </row>
    <row r="1543">
      <c r="C1543" s="13"/>
    </row>
    <row r="1544">
      <c r="C1544" s="13"/>
    </row>
    <row r="1545">
      <c r="C1545" s="13"/>
    </row>
    <row r="1546">
      <c r="C1546" s="13"/>
    </row>
    <row r="1547">
      <c r="C1547" s="13"/>
    </row>
    <row r="1548">
      <c r="C1548" s="13"/>
    </row>
    <row r="1549">
      <c r="C1549" s="13"/>
    </row>
    <row r="1550">
      <c r="C1550" s="13"/>
    </row>
    <row r="1551">
      <c r="C1551" s="13"/>
    </row>
    <row r="1552">
      <c r="C1552" s="13"/>
    </row>
    <row r="1553">
      <c r="C1553" s="13"/>
    </row>
    <row r="1554">
      <c r="C1554" s="13"/>
    </row>
    <row r="1555">
      <c r="C1555" s="13"/>
    </row>
    <row r="1556">
      <c r="C1556" s="13"/>
    </row>
    <row r="1557">
      <c r="C1557" s="13"/>
    </row>
    <row r="1558">
      <c r="C1558" s="13"/>
    </row>
    <row r="1559">
      <c r="C1559" s="13"/>
    </row>
    <row r="1560">
      <c r="C1560" s="13"/>
    </row>
    <row r="1561">
      <c r="C1561" s="13"/>
    </row>
    <row r="1562">
      <c r="C1562" s="13"/>
    </row>
    <row r="1563">
      <c r="C1563" s="13"/>
    </row>
    <row r="1564">
      <c r="C1564" s="13"/>
    </row>
    <row r="1565">
      <c r="C1565" s="13"/>
    </row>
    <row r="1566">
      <c r="C1566" s="13"/>
    </row>
    <row r="1567">
      <c r="C1567" s="13"/>
    </row>
    <row r="1568">
      <c r="C1568" s="13"/>
    </row>
    <row r="1569">
      <c r="C1569" s="13"/>
    </row>
    <row r="1570">
      <c r="C1570" s="13"/>
    </row>
    <row r="1571">
      <c r="C1571" s="13"/>
    </row>
    <row r="1572">
      <c r="C1572" s="13"/>
    </row>
    <row r="1573">
      <c r="C1573" s="13"/>
    </row>
    <row r="1574">
      <c r="C1574" s="13"/>
    </row>
    <row r="1575">
      <c r="C1575" s="13"/>
    </row>
    <row r="1576">
      <c r="C1576" s="13"/>
    </row>
    <row r="1577">
      <c r="C1577" s="13"/>
    </row>
    <row r="1578">
      <c r="C1578" s="13"/>
    </row>
    <row r="1579">
      <c r="C1579" s="13"/>
    </row>
    <row r="1580">
      <c r="C1580" s="13"/>
    </row>
    <row r="1581">
      <c r="C1581" s="13"/>
    </row>
    <row r="1582">
      <c r="C1582" s="13"/>
    </row>
    <row r="1583">
      <c r="C1583" s="13"/>
    </row>
    <row r="1584">
      <c r="C1584" s="13"/>
    </row>
    <row r="1585">
      <c r="C1585" s="13"/>
    </row>
    <row r="1586">
      <c r="C1586" s="13"/>
    </row>
    <row r="1587">
      <c r="C1587" s="13"/>
    </row>
    <row r="1588">
      <c r="C1588" s="13"/>
    </row>
    <row r="1589">
      <c r="C1589" s="13"/>
    </row>
    <row r="1590">
      <c r="C1590" s="13"/>
    </row>
    <row r="1591">
      <c r="C1591" s="13"/>
    </row>
    <row r="1592">
      <c r="C1592" s="13"/>
    </row>
    <row r="1593">
      <c r="C1593" s="13"/>
    </row>
    <row r="1594">
      <c r="C1594" s="13"/>
    </row>
    <row r="1595">
      <c r="C1595" s="13"/>
    </row>
    <row r="1596">
      <c r="C1596" s="13"/>
    </row>
    <row r="1597">
      <c r="C1597" s="13"/>
    </row>
    <row r="1598">
      <c r="C1598" s="13"/>
    </row>
    <row r="1599">
      <c r="C1599" s="13"/>
    </row>
    <row r="1600">
      <c r="C1600" s="13"/>
    </row>
    <row r="1601">
      <c r="C1601" s="13"/>
    </row>
    <row r="1602">
      <c r="C1602" s="13"/>
    </row>
    <row r="1603">
      <c r="C1603" s="13"/>
    </row>
    <row r="1604">
      <c r="C1604" s="13"/>
    </row>
    <row r="1605">
      <c r="C1605" s="13"/>
    </row>
    <row r="1606">
      <c r="C1606" s="13"/>
    </row>
    <row r="1607">
      <c r="C1607" s="13"/>
    </row>
    <row r="1608">
      <c r="C1608" s="13"/>
    </row>
    <row r="1609">
      <c r="C1609" s="13"/>
    </row>
    <row r="1610">
      <c r="C1610" s="13"/>
    </row>
    <row r="1611">
      <c r="C1611" s="13"/>
    </row>
    <row r="1612">
      <c r="C1612" s="13"/>
    </row>
    <row r="1613">
      <c r="C1613" s="13"/>
    </row>
    <row r="1614">
      <c r="C1614" s="13"/>
    </row>
    <row r="1615">
      <c r="C1615" s="13"/>
    </row>
    <row r="1616">
      <c r="C1616" s="13"/>
    </row>
    <row r="1617">
      <c r="C1617" s="13"/>
    </row>
    <row r="1618">
      <c r="C1618" s="13"/>
    </row>
    <row r="1619">
      <c r="C1619" s="13"/>
    </row>
    <row r="1620">
      <c r="C1620" s="13"/>
    </row>
    <row r="1621">
      <c r="C1621" s="13"/>
    </row>
    <row r="1622">
      <c r="C1622" s="13"/>
    </row>
    <row r="1623">
      <c r="C1623" s="13"/>
    </row>
    <row r="1624">
      <c r="C1624" s="13"/>
    </row>
    <row r="1625">
      <c r="C1625" s="13"/>
    </row>
    <row r="1626">
      <c r="C1626" s="13"/>
    </row>
    <row r="1627">
      <c r="C1627" s="13"/>
    </row>
    <row r="1628">
      <c r="C1628" s="13"/>
    </row>
    <row r="1629">
      <c r="C1629" s="13"/>
    </row>
    <row r="1630">
      <c r="C1630" s="13"/>
    </row>
    <row r="1631">
      <c r="C1631" s="13"/>
    </row>
    <row r="1632">
      <c r="C1632" s="13"/>
    </row>
    <row r="1633">
      <c r="C1633" s="13"/>
    </row>
    <row r="1634">
      <c r="C1634" s="13"/>
    </row>
    <row r="1635">
      <c r="C1635" s="13"/>
    </row>
    <row r="1636">
      <c r="C1636" s="13"/>
    </row>
    <row r="1637">
      <c r="C1637" s="13"/>
    </row>
    <row r="1638">
      <c r="C1638" s="13"/>
    </row>
    <row r="1639">
      <c r="C1639" s="13"/>
    </row>
    <row r="1640">
      <c r="C1640" s="13"/>
    </row>
    <row r="1641">
      <c r="C1641" s="13"/>
    </row>
    <row r="1642">
      <c r="C1642" s="13"/>
    </row>
    <row r="1643">
      <c r="C1643" s="13"/>
    </row>
    <row r="1644">
      <c r="C1644" s="13"/>
    </row>
    <row r="1645">
      <c r="C1645" s="13"/>
    </row>
    <row r="1646">
      <c r="C1646" s="13"/>
    </row>
    <row r="1647">
      <c r="C1647" s="13"/>
    </row>
    <row r="1648">
      <c r="C1648" s="13"/>
    </row>
    <row r="1649">
      <c r="C1649" s="13"/>
    </row>
    <row r="1650">
      <c r="C1650" s="13"/>
    </row>
    <row r="1651">
      <c r="C1651" s="13"/>
    </row>
    <row r="1652">
      <c r="C1652" s="13"/>
    </row>
    <row r="1653">
      <c r="C1653" s="13"/>
    </row>
    <row r="1654">
      <c r="C1654" s="13"/>
    </row>
    <row r="1655">
      <c r="C1655" s="13"/>
    </row>
    <row r="1656">
      <c r="C1656" s="13"/>
    </row>
    <row r="1657">
      <c r="C1657" s="13"/>
    </row>
    <row r="1658">
      <c r="C1658" s="13"/>
    </row>
    <row r="1659">
      <c r="C1659" s="13"/>
    </row>
    <row r="1660">
      <c r="C1660" s="13"/>
    </row>
    <row r="1661">
      <c r="C1661" s="13"/>
    </row>
    <row r="1662">
      <c r="C1662" s="13"/>
    </row>
    <row r="1663">
      <c r="C1663" s="13"/>
    </row>
    <row r="1664">
      <c r="C1664" s="13"/>
    </row>
    <row r="1665">
      <c r="C1665" s="13"/>
    </row>
    <row r="1666">
      <c r="C1666" s="13"/>
    </row>
    <row r="1667">
      <c r="C1667" s="13"/>
    </row>
    <row r="1668">
      <c r="C1668" s="13"/>
    </row>
    <row r="1669">
      <c r="C1669" s="13"/>
    </row>
    <row r="1670">
      <c r="C1670" s="13"/>
    </row>
    <row r="1671">
      <c r="C1671" s="13"/>
    </row>
    <row r="1672">
      <c r="C1672" s="13"/>
    </row>
    <row r="1673">
      <c r="C1673" s="13"/>
    </row>
    <row r="1674">
      <c r="C1674" s="13"/>
    </row>
    <row r="1675">
      <c r="C1675" s="13"/>
    </row>
    <row r="1676">
      <c r="C1676" s="13"/>
    </row>
    <row r="1677">
      <c r="C1677" s="13"/>
    </row>
    <row r="1678">
      <c r="C1678" s="13"/>
    </row>
    <row r="1679">
      <c r="C1679" s="13"/>
    </row>
    <row r="1680">
      <c r="C1680" s="13"/>
    </row>
    <row r="1681">
      <c r="C1681" s="13"/>
    </row>
    <row r="1682">
      <c r="C1682" s="13"/>
    </row>
    <row r="1683">
      <c r="C1683" s="13"/>
    </row>
    <row r="1684">
      <c r="C1684" s="13"/>
    </row>
    <row r="1685">
      <c r="C1685" s="13"/>
    </row>
    <row r="1686">
      <c r="C1686" s="13"/>
    </row>
    <row r="1687">
      <c r="C1687" s="13"/>
    </row>
    <row r="1688">
      <c r="C1688" s="13"/>
    </row>
    <row r="1689">
      <c r="C1689" s="13"/>
    </row>
    <row r="1690">
      <c r="C1690" s="13"/>
    </row>
    <row r="1691">
      <c r="C1691" s="13"/>
    </row>
    <row r="1692">
      <c r="C1692" s="13"/>
    </row>
    <row r="1693">
      <c r="C1693" s="13"/>
    </row>
    <row r="1694">
      <c r="C1694" s="13"/>
    </row>
    <row r="1695">
      <c r="C1695" s="13"/>
    </row>
    <row r="1696">
      <c r="C1696" s="13"/>
    </row>
    <row r="1697">
      <c r="C1697" s="13"/>
    </row>
    <row r="1698">
      <c r="C1698" s="13"/>
    </row>
    <row r="1699">
      <c r="C1699" s="13"/>
    </row>
    <row r="1700">
      <c r="C1700" s="13"/>
    </row>
    <row r="1701">
      <c r="C1701" s="13"/>
    </row>
    <row r="1702">
      <c r="C1702" s="13"/>
    </row>
    <row r="1703">
      <c r="C1703" s="13"/>
    </row>
    <row r="1704">
      <c r="C1704" s="13"/>
    </row>
    <row r="1705">
      <c r="C1705" s="13"/>
    </row>
    <row r="1706">
      <c r="C1706" s="13"/>
    </row>
    <row r="1707">
      <c r="C1707" s="13"/>
    </row>
    <row r="1708">
      <c r="C1708" s="13"/>
    </row>
    <row r="1709">
      <c r="C1709" s="13"/>
    </row>
    <row r="1710">
      <c r="C1710" s="13"/>
    </row>
    <row r="1711">
      <c r="C1711" s="13"/>
    </row>
    <row r="1712">
      <c r="C1712" s="13"/>
    </row>
    <row r="1713">
      <c r="C1713" s="13"/>
    </row>
    <row r="1714">
      <c r="C1714" s="13"/>
    </row>
    <row r="1715">
      <c r="C1715" s="13"/>
    </row>
    <row r="1716">
      <c r="C1716" s="13"/>
    </row>
    <row r="1717">
      <c r="C1717" s="13"/>
    </row>
    <row r="1718">
      <c r="C1718" s="13"/>
    </row>
    <row r="1719">
      <c r="C1719" s="13"/>
    </row>
    <row r="1720">
      <c r="C1720" s="13"/>
    </row>
    <row r="1721">
      <c r="C1721" s="13"/>
    </row>
    <row r="1722">
      <c r="C1722" s="13"/>
    </row>
    <row r="1723">
      <c r="C1723" s="13"/>
    </row>
    <row r="1724">
      <c r="C1724" s="13"/>
    </row>
    <row r="1725">
      <c r="C1725" s="13"/>
    </row>
    <row r="1726">
      <c r="C1726" s="13"/>
    </row>
    <row r="1727">
      <c r="C1727" s="13"/>
    </row>
    <row r="1728">
      <c r="C1728" s="13"/>
    </row>
    <row r="1729">
      <c r="C1729" s="13"/>
    </row>
    <row r="1730">
      <c r="C1730" s="13"/>
    </row>
    <row r="1731">
      <c r="C1731" s="13"/>
    </row>
    <row r="1732">
      <c r="C1732" s="13"/>
    </row>
    <row r="1733">
      <c r="C1733" s="13"/>
    </row>
    <row r="1734">
      <c r="C1734" s="13"/>
    </row>
    <row r="1735">
      <c r="C1735" s="13"/>
    </row>
    <row r="1736">
      <c r="C1736" s="13"/>
    </row>
    <row r="1737">
      <c r="C1737" s="13"/>
    </row>
    <row r="1738">
      <c r="C1738" s="13"/>
    </row>
    <row r="1739">
      <c r="C1739" s="13"/>
    </row>
    <row r="1740">
      <c r="C1740" s="13"/>
    </row>
    <row r="1741">
      <c r="C1741" s="13"/>
    </row>
    <row r="1742">
      <c r="C1742" s="13"/>
    </row>
    <row r="1743">
      <c r="C1743" s="13"/>
    </row>
    <row r="1744">
      <c r="C1744" s="13"/>
    </row>
    <row r="1745">
      <c r="C1745" s="13"/>
    </row>
    <row r="1746">
      <c r="C1746" s="13"/>
    </row>
    <row r="1747">
      <c r="C1747" s="13"/>
    </row>
    <row r="1748">
      <c r="C1748" s="13"/>
    </row>
    <row r="1749">
      <c r="C1749" s="13"/>
    </row>
    <row r="1750">
      <c r="C1750" s="13"/>
    </row>
    <row r="1751">
      <c r="C1751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IFERROR(__xludf.DUMMYFUNCTION("filter(Grn!B3:D1000,search(""Party Set"",Grn!H3:H1000))"),"Absurd")</f>
        <v>Absurd</v>
      </c>
      <c r="B2" s="8" t="str">
        <f>IFERROR(__xludf.DUMMYFUNCTION("""COMPUTED_VALUE"""),"(ridiculous, senseless, foolish) ")</f>
        <v>(ridiculous, senseless, foolish) </v>
      </c>
      <c r="C2" s="13" t="str">
        <f>IFERROR(__xludf.DUMMYFUNCTION("""COMPUTED_VALUE"""),"""ubyt"":{""label"":""Absurd"",""extra"":""(ridiculous, senseless, foolish) "",""sets"":""Expansion Set 2, Party Set""},")</f>
        <v>"ubyt":{"label":"Absurd","extra":"(ridiculous, senseless, foolish) ","sets":"Expansion Set 2, Party Set"},</v>
      </c>
    </row>
    <row r="3">
      <c r="A3" s="8" t="str">
        <f>IFERROR(__xludf.DUMMYFUNCTION("""COMPUTED_VALUE"""),"Addictive")</f>
        <v>Addictive</v>
      </c>
      <c r="B3" s="8" t="str">
        <f>IFERROR(__xludf.DUMMYFUNCTION("""COMPUTED_VALUE"""),"(obsessive, consuming, captivating) ")</f>
        <v>(obsessive, consuming, captivating) </v>
      </c>
      <c r="C3" s="13" t="str">
        <f>IFERROR(__xludf.DUMMYFUNCTION("""COMPUTED_VALUE"""),"""isjc"":{""label"":""Addictive"",""extra"":""(obsessive, consuming, captivating) "",""sets"":""Expansion Set 1, Party Set""},")</f>
        <v>"isjc":{"label":"Addictive","extra":"(obsessive, consuming, captivating) ","sets":"Expansion Set 1, Party Set"},</v>
      </c>
    </row>
    <row r="4">
      <c r="A4" s="8" t="str">
        <f>IFERROR(__xludf.DUMMYFUNCTION("""COMPUTED_VALUE"""),"Adorable")</f>
        <v>Adorable</v>
      </c>
      <c r="B4" s="8" t="str">
        <f>IFERROR(__xludf.DUMMYFUNCTION("""COMPUTED_VALUE"""),"(lovable, charming, delightful) ")</f>
        <v>(lovable, charming, delightful) </v>
      </c>
      <c r="C4" s="13" t="str">
        <f>IFERROR(__xludf.DUMMYFUNCTION("""COMPUTED_VALUE"""),"""goab"":{""label"":""Adorable"",""extra"":""(lovable, charming, delightful) "",""sets"":""Basic Set, Party Set""},")</f>
        <v>"goab":{"label":"Adorable","extra":"(lovable, charming, delightful) ","sets":"Basic Set, Party Set"},</v>
      </c>
    </row>
    <row r="5">
      <c r="A5" s="8" t="str">
        <f>IFERROR(__xludf.DUMMYFUNCTION("""COMPUTED_VALUE"""),"Aged")</f>
        <v>Aged</v>
      </c>
      <c r="B5" s="8" t="str">
        <f>IFERROR(__xludf.DUMMYFUNCTION("""COMPUTED_VALUE"""),"(old, ancient, mature) ")</f>
        <v>(old, ancient, mature) </v>
      </c>
      <c r="C5" s="13" t="str">
        <f>IFERROR(__xludf.DUMMYFUNCTION("""COMPUTED_VALUE"""),"""mlcj"":{""label"":""Aged"",""extra"":""(old, ancient, mature) "",""sets"":""Expansion Set 2, Party Set""},")</f>
        <v>"mlcj":{"label":"Aged","extra":"(old, ancient, mature) ","sets":"Expansion Set 2, Party Set"},</v>
      </c>
    </row>
    <row r="6">
      <c r="A6" s="8" t="str">
        <f>IFERROR(__xludf.DUMMYFUNCTION("""COMPUTED_VALUE"""),"American")</f>
        <v>American</v>
      </c>
      <c r="B6" s="8" t="str">
        <f>IFERROR(__xludf.DUMMYFUNCTION("""COMPUTED_VALUE"""),"(U.S. Citizen, Yankee, Apple Pie) ")</f>
        <v>(U.S. Citizen, Yankee, Apple Pie) </v>
      </c>
      <c r="C6" s="13" t="str">
        <f>IFERROR(__xludf.DUMMYFUNCTION("""COMPUTED_VALUE"""),"""nrif"":{""label"":""American"",""extra"":""(U.S. Citizen, Yankee, Apple Pie) "",""sets"":""Expansion Set 2, Party Set""},")</f>
        <v>"nrif":{"label":"American","extra":"(U.S. Citizen, Yankee, Apple Pie) ","sets":"Expansion Set 2, Party Set"},</v>
      </c>
    </row>
    <row r="7">
      <c r="A7" s="8" t="str">
        <f>IFERROR(__xludf.DUMMYFUNCTION("""COMPUTED_VALUE"""),"Ancient")</f>
        <v>Ancient</v>
      </c>
      <c r="B7" s="8" t="str">
        <f>IFERROR(__xludf.DUMMYFUNCTION("""COMPUTED_VALUE"""),"(elderly, old, antique) ")</f>
        <v>(elderly, old, antique) </v>
      </c>
      <c r="C7" s="13" t="str">
        <f>IFERROR(__xludf.DUMMYFUNCTION("""COMPUTED_VALUE"""),"""uvnf"":{""label"":""Ancient"",""extra"":""(elderly, old, antique) "",""sets"":""Basic Set, Party Set""},")</f>
        <v>"uvnf":{"label":"Ancient","extra":"(elderly, old, antique) ","sets":"Basic Set, Party Set"},</v>
      </c>
    </row>
    <row r="8">
      <c r="A8" s="8" t="str">
        <f>IFERROR(__xludf.DUMMYFUNCTION("""COMPUTED_VALUE"""),"Animated")</f>
        <v>Animated</v>
      </c>
      <c r="B8" s="8" t="str">
        <f>IFERROR(__xludf.DUMMYFUNCTION("""COMPUTED_VALUE"""),"(lively, exuberant, spirited) ")</f>
        <v>(lively, exuberant, spirited) </v>
      </c>
      <c r="C8" s="13" t="str">
        <f>IFERROR(__xludf.DUMMYFUNCTION("""COMPUTED_VALUE"""),"""kqkj"":{""label"":""Animated"",""extra"":""(lively, exuberant, spirited) "",""sets"":""Basic Set, Party Set""},")</f>
        <v>"kqkj":{"label":"Animated","extra":"(lively, exuberant, spirited) ","sets":"Basic Set, Party Set"},</v>
      </c>
    </row>
    <row r="9">
      <c r="A9" s="8" t="str">
        <f>IFERROR(__xludf.DUMMYFUNCTION("""COMPUTED_VALUE"""),"Annoying")</f>
        <v>Annoying</v>
      </c>
      <c r="B9" s="8" t="str">
        <f>IFERROR(__xludf.DUMMYFUNCTION("""COMPUTED_VALUE"""),"(irritating, bothersome, teasing) ")</f>
        <v>(irritating, bothersome, teasing) </v>
      </c>
      <c r="C9" s="13" t="str">
        <f>IFERROR(__xludf.DUMMYFUNCTION("""COMPUTED_VALUE"""),"""vmzo"":{""label"":""Annoying"",""extra"":""(irritating, bothersome, teasing) "",""sets"":""Expansion Set 1, Party Set""},")</f>
        <v>"vmzo":{"label":"Annoying","extra":"(irritating, bothersome, teasing) ","sets":"Expansion Set 1, Party Set"},</v>
      </c>
    </row>
    <row r="10">
      <c r="A10" s="8" t="str">
        <f>IFERROR(__xludf.DUMMYFUNCTION("""COMPUTED_VALUE"""),"Appetizing")</f>
        <v>Appetizing</v>
      </c>
      <c r="B10" s="8" t="str">
        <f>IFERROR(__xludf.DUMMYFUNCTION("""COMPUTED_VALUE"""),"(appealing, tasty, flavorful) ")</f>
        <v>(appealing, tasty, flavorful) </v>
      </c>
      <c r="C10" s="13" t="str">
        <f>IFERROR(__xludf.DUMMYFUNCTION("""COMPUTED_VALUE"""),"""aaqt"":{""label"":""Appetizing"",""extra"":""(appealing, tasty, flavorful) "",""sets"":""Expansion Set 2, Party Set""},")</f>
        <v>"aaqt":{"label":"Appetizing","extra":"(appealing, tasty, flavorful) ","sets":"Expansion Set 2, Party Set"},</v>
      </c>
    </row>
    <row r="11">
      <c r="A11" s="8" t="str">
        <f>IFERROR(__xludf.DUMMYFUNCTION("""COMPUTED_VALUE"""),"Arrogant")</f>
        <v>Arrogant</v>
      </c>
      <c r="B11" s="8" t="str">
        <f>IFERROR(__xludf.DUMMYFUNCTION("""COMPUTED_VALUE"""),"(egotistical, overconfident, conceited) ")</f>
        <v>(egotistical, overconfident, conceited) </v>
      </c>
      <c r="C11" s="13" t="str">
        <f>IFERROR(__xludf.DUMMYFUNCTION("""COMPUTED_VALUE"""),"""gqob"":{""label"":""Arrogant"",""extra"":""(egotistical, overconfident, conceited) "",""sets"":""Basic Set, Party Set""},")</f>
        <v>"gqob":{"label":"Arrogant","extra":"(egotistical, overconfident, conceited) ","sets":"Basic Set, Party Set"},</v>
      </c>
    </row>
    <row r="12">
      <c r="A12" s="8" t="str">
        <f>IFERROR(__xludf.DUMMYFUNCTION("""COMPUTED_VALUE"""),"Awesome")</f>
        <v>Awesome</v>
      </c>
      <c r="B12" s="8" t="str">
        <f>IFERROR(__xludf.DUMMYFUNCTION("""COMPUTED_VALUE"""),"(amazing, remarkable, majestic) ")</f>
        <v>(amazing, remarkable, majestic) </v>
      </c>
      <c r="C12" s="13" t="str">
        <f>IFERROR(__xludf.DUMMYFUNCTION("""COMPUTED_VALUE"""),"""bhgv"":{""label"":""Awesome"",""extra"":""(amazing, remarkable, majestic) "",""sets"":""Expansion Set 1, Party Set""},")</f>
        <v>"bhgv":{"label":"Awesome","extra":"(amazing, remarkable, majestic) ","sets":"Expansion Set 1, Party Set"},</v>
      </c>
    </row>
    <row r="13">
      <c r="A13" s="8" t="str">
        <f>IFERROR(__xludf.DUMMYFUNCTION("""COMPUTED_VALUE"""),"Awkward")</f>
        <v>Awkward</v>
      </c>
      <c r="B13" s="8" t="str">
        <f>IFERROR(__xludf.DUMMYFUNCTION("""COMPUTED_VALUE"""),"(clumsy, bumbling, uncoordinated) ")</f>
        <v>(clumsy, bumbling, uncoordinated) </v>
      </c>
      <c r="C13" s="13" t="str">
        <f>IFERROR(__xludf.DUMMYFUNCTION("""COMPUTED_VALUE"""),"""butp"":{""label"":""Awkward"",""extra"":""(clumsy, bumbling, uncoordinated) "",""sets"":""Basic Set, Party Set""},")</f>
        <v>"butp":{"label":"Awkward","extra":"(clumsy, bumbling, uncoordinated) ","sets":"Basic Set, Party Set"},</v>
      </c>
    </row>
    <row r="14">
      <c r="A14" s="8" t="str">
        <f>IFERROR(__xludf.DUMMYFUNCTION("""COMPUTED_VALUE"""),"Believable")</f>
        <v>Believable</v>
      </c>
      <c r="B14" s="8" t="str">
        <f>IFERROR(__xludf.DUMMYFUNCTION("""COMPUTED_VALUE"""),"(trustworthy, credible, convincing) ")</f>
        <v>(trustworthy, credible, convincing) </v>
      </c>
      <c r="C14" s="13" t="str">
        <f>IFERROR(__xludf.DUMMYFUNCTION("""COMPUTED_VALUE"""),"""bedd"":{""label"":""Believable"",""extra"":""(trustworthy, credible, convincing) "",""sets"":""Expansion Set 1, Party Set""},")</f>
        <v>"bedd":{"label":"Believable","extra":"(trustworthy, credible, convincing) ","sets":"Expansion Set 1, Party Set"},</v>
      </c>
    </row>
    <row r="15">
      <c r="A15" s="8" t="str">
        <f>IFERROR(__xludf.DUMMYFUNCTION("""COMPUTED_VALUE"""),"Bogus")</f>
        <v>Bogus</v>
      </c>
      <c r="B15" s="8" t="str">
        <f>IFERROR(__xludf.DUMMYFUNCTION("""COMPUTED_VALUE"""),"(fraudulent, phony, insincere) ")</f>
        <v>(fraudulent, phony, insincere) </v>
      </c>
      <c r="C15" s="13" t="str">
        <f>IFERROR(__xludf.DUMMYFUNCTION("""COMPUTED_VALUE"""),"""wotx"":{""label"":""Bogus"",""extra"":""(fraudulent, phony, insincere) "",""sets"":""Expansion Set 1, Party Set""},")</f>
        <v>"wotx":{"label":"Bogus","extra":"(fraudulent, phony, insincere) ","sets":"Expansion Set 1, Party Set"},</v>
      </c>
    </row>
    <row r="16">
      <c r="A16" s="8" t="str">
        <f>IFERROR(__xludf.DUMMYFUNCTION("""COMPUTED_VALUE"""),"Boisterous")</f>
        <v>Boisterous</v>
      </c>
      <c r="B16" s="8" t="str">
        <f>IFERROR(__xludf.DUMMYFUNCTION("""COMPUTED_VALUE"""),"(loud, rambunctious, rowdy) ")</f>
        <v>(loud, rambunctious, rowdy) </v>
      </c>
      <c r="C16" s="13" t="str">
        <f>IFERROR(__xludf.DUMMYFUNCTION("""COMPUTED_VALUE"""),"""zqui"":{""label"":""Boisterous"",""extra"":""(loud, rambunctious, rowdy) "",""sets"":""Basic Set, Party Set""},")</f>
        <v>"zqui":{"label":"Boisterous","extra":"(loud, rambunctious, rowdy) ","sets":"Basic Set, Party Set"},</v>
      </c>
    </row>
    <row r="17">
      <c r="A17" s="8" t="str">
        <f>IFERROR(__xludf.DUMMYFUNCTION("""COMPUTED_VALUE"""),"Bold")</f>
        <v>Bold</v>
      </c>
      <c r="B17" s="8" t="str">
        <f>IFERROR(__xludf.DUMMYFUNCTION("""COMPUTED_VALUE"""),"(daring, brave, courageous) ")</f>
        <v>(daring, brave, courageous) </v>
      </c>
      <c r="C17" s="13" t="str">
        <f>IFERROR(__xludf.DUMMYFUNCTION("""COMPUTED_VALUE"""),"""vbqa"":{""label"":""Bold"",""extra"":""(daring, brave, courageous) "",""sets"":""Expansion Set 1, Party Set""},")</f>
        <v>"vbqa":{"label":"Bold","extra":"(daring, brave, courageous) ","sets":"Expansion Set 1, Party Set"},</v>
      </c>
    </row>
    <row r="18">
      <c r="A18" s="8" t="str">
        <f>IFERROR(__xludf.DUMMYFUNCTION("""COMPUTED_VALUE"""),"Boring")</f>
        <v>Boring</v>
      </c>
      <c r="B18" s="8" t="str">
        <f>IFERROR(__xludf.DUMMYFUNCTION("""COMPUTED_VALUE"""),"(dull, tedious, monotonous) ")</f>
        <v>(dull, tedious, monotonous) </v>
      </c>
      <c r="C18" s="13" t="str">
        <f>IFERROR(__xludf.DUMMYFUNCTION("""COMPUTED_VALUE"""),"""itho"":{""label"":""Boring"",""extra"":""(dull, tedious, monotonous) "",""sets"":""Basic Set, Party Set""},")</f>
        <v>"itho":{"label":"Boring","extra":"(dull, tedious, monotonous) ","sets":"Basic Set, Party Set"},</v>
      </c>
    </row>
    <row r="19">
      <c r="A19" s="8" t="str">
        <f>IFERROR(__xludf.DUMMYFUNCTION("""COMPUTED_VALUE"""),"Bright")</f>
        <v>Bright</v>
      </c>
      <c r="B19" s="8" t="str">
        <f>IFERROR(__xludf.DUMMYFUNCTION("""COMPUTED_VALUE"""),"(brilliant, radiant, shiny) ")</f>
        <v>(brilliant, radiant, shiny) </v>
      </c>
      <c r="C19" s="13" t="str">
        <f>IFERROR(__xludf.DUMMYFUNCTION("""COMPUTED_VALUE"""),"""xnpl"":{""label"":""Bright"",""extra"":""(brilliant, radiant, shiny) "",""sets"":""Expansion Set 1, Party Set""},")</f>
        <v>"xnpl":{"label":"Bright","extra":"(brilliant, radiant, shiny) ","sets":"Expansion Set 1, Party Set"},</v>
      </c>
    </row>
    <row r="20">
      <c r="A20" s="8" t="str">
        <f>IFERROR(__xludf.DUMMYFUNCTION("""COMPUTED_VALUE"""),"Brilliant")</f>
        <v>Brilliant</v>
      </c>
      <c r="B20" s="8" t="str">
        <f>IFERROR(__xludf.DUMMYFUNCTION("""COMPUTED_VALUE"""),"(dazzling, gleaming, intelligent) ")</f>
        <v>(dazzling, gleaming, intelligent) </v>
      </c>
      <c r="C20" s="13" t="str">
        <f>IFERROR(__xludf.DUMMYFUNCTION("""COMPUTED_VALUE"""),"""gmcf"":{""label"":""Brilliant"",""extra"":""(dazzling, gleaming, intelligent) "",""sets"":""Basic Set, Party Set""},")</f>
        <v>"gmcf":{"label":"Brilliant","extra":"(dazzling, gleaming, intelligent) ","sets":"Basic Set, Party Set"},</v>
      </c>
    </row>
    <row r="21">
      <c r="A21" s="8" t="str">
        <f>IFERROR(__xludf.DUMMYFUNCTION("""COMPUTED_VALUE"""),"Busy")</f>
        <v>Busy</v>
      </c>
      <c r="B21" s="8" t="str">
        <f>IFERROR(__xludf.DUMMYFUNCTION("""COMPUTED_VALUE"""),"(occupied, meddlesome, engrossed) ")</f>
        <v>(occupied, meddlesome, engrossed) </v>
      </c>
      <c r="C21" s="13" t="str">
        <f>IFERROR(__xludf.DUMMYFUNCTION("""COMPUTED_VALUE"""),"""cqfe"":{""label"":""Busy"",""extra"":""(occupied, meddlesome, engrossed) "",""sets"":""Expansion Set 2, Party Set""},")</f>
        <v>"cqfe":{"label":"Busy","extra":"(occupied, meddlesome, engrossed) ","sets":"Expansion Set 2, Party Set"},</v>
      </c>
    </row>
    <row r="22">
      <c r="A22" s="8" t="str">
        <f>IFERROR(__xludf.DUMMYFUNCTION("""COMPUTED_VALUE"""),"Calm")</f>
        <v>Calm</v>
      </c>
      <c r="B22" s="8" t="str">
        <f>IFERROR(__xludf.DUMMYFUNCTION("""COMPUTED_VALUE"""),"(peaceful, tranquil, placid) ")</f>
        <v>(peaceful, tranquil, placid) </v>
      </c>
      <c r="C22" s="13" t="str">
        <f>IFERROR(__xludf.DUMMYFUNCTION("""COMPUTED_VALUE"""),"""clus"":{""label"":""Calm"",""extra"":""(peaceful, tranquil, placid) "",""sets"":""Basic Set, Party Set""},")</f>
        <v>"clus":{"label":"Calm","extra":"(peaceful, tranquil, placid) ","sets":"Basic Set, Party Set"},</v>
      </c>
    </row>
    <row r="23">
      <c r="A23" s="8" t="str">
        <f>IFERROR(__xludf.DUMMYFUNCTION("""COMPUTED_VALUE"""),"Casual")</f>
        <v>Casual</v>
      </c>
      <c r="B23" s="8" t="str">
        <f>IFERROR(__xludf.DUMMYFUNCTION("""COMPUTED_VALUE"""),"(easygoing, blase, nonchalant) ")</f>
        <v>(easygoing, blase, nonchalant) </v>
      </c>
      <c r="C23" s="13" t="str">
        <f>IFERROR(__xludf.DUMMYFUNCTION("""COMPUTED_VALUE"""),"""nawv"":{""label"":""Casual"",""extra"":""(easygoing, blase, nonchalant) "",""sets"":""Basic Set, Party Set""},")</f>
        <v>"nawv":{"label":"Casual","extra":"(easygoing, blase, nonchalant) ","sets":"Basic Set, Party Set"},</v>
      </c>
    </row>
    <row r="24">
      <c r="A24" s="8" t="str">
        <f>IFERROR(__xludf.DUMMYFUNCTION("""COMPUTED_VALUE"""),"Charismatic")</f>
        <v>Charismatic</v>
      </c>
      <c r="B24" s="8" t="str">
        <f>IFERROR(__xludf.DUMMYFUNCTION("""COMPUTED_VALUE"""),"(alluring, magnetic, charming) ")</f>
        <v>(alluring, magnetic, charming) </v>
      </c>
      <c r="C24" s="13" t="str">
        <f>IFERROR(__xludf.DUMMYFUNCTION("""COMPUTED_VALUE"""),"""mqqh"":{""label"":""Charismatic"",""extra"":""(alluring, magnetic, charming) "",""sets"":""Expansion Set 2, Party Set""},")</f>
        <v>"mqqh":{"label":"Charismatic","extra":"(alluring, magnetic, charming) ","sets":"Expansion Set 2, Party Set"},</v>
      </c>
    </row>
    <row r="25">
      <c r="A25" s="8" t="str">
        <f>IFERROR(__xludf.DUMMYFUNCTION("""COMPUTED_VALUE"""),"Charming")</f>
        <v>Charming</v>
      </c>
      <c r="B25" s="8" t="str">
        <f>IFERROR(__xludf.DUMMYFUNCTION("""COMPUTED_VALUE"""),"(captivating, enchanting, fascinating) ")</f>
        <v>(captivating, enchanting, fascinating) </v>
      </c>
      <c r="C25" s="13" t="str">
        <f>IFERROR(__xludf.DUMMYFUNCTION("""COMPUTED_VALUE"""),"""wfte"":{""label"":""Charming"",""extra"":""(captivating, enchanting, fascinating) "",""sets"":""Basic Set, Party Set""},")</f>
        <v>"wfte":{"label":"Charming","extra":"(captivating, enchanting, fascinating) ","sets":"Basic Set, Party Set"},</v>
      </c>
    </row>
    <row r="26">
      <c r="A26" s="8" t="str">
        <f>IFERROR(__xludf.DUMMYFUNCTION("""COMPUTED_VALUE"""),"Cheesy")</f>
        <v>Cheesy</v>
      </c>
      <c r="B26" s="8" t="str">
        <f>IFERROR(__xludf.DUMMYFUNCTION("""COMPUTED_VALUE"""),"(trashy, tawdry, far-fetched) ")</f>
        <v>(trashy, tawdry, far-fetched) </v>
      </c>
      <c r="C26" s="13" t="str">
        <f>IFERROR(__xludf.DUMMYFUNCTION("""COMPUTED_VALUE"""),"""cvde"":{""label"":""Cheesy"",""extra"":""(trashy, tawdry, far-fetched) "",""sets"":""Basic Set, Party Set""},")</f>
        <v>"cvde":{"label":"Cheesy","extra":"(trashy, tawdry, far-fetched) ","sets":"Basic Set, Party Set"},</v>
      </c>
    </row>
    <row r="27">
      <c r="A27" s="8" t="str">
        <f>IFERROR(__xludf.DUMMYFUNCTION("""COMPUTED_VALUE"""),"Chewy")</f>
        <v>Chewy</v>
      </c>
      <c r="B27" s="8" t="str">
        <f>IFERROR(__xludf.DUMMYFUNCTION("""COMPUTED_VALUE"""),"(gummy, rubbery, stringy) ")</f>
        <v>(gummy, rubbery, stringy) </v>
      </c>
      <c r="C27" s="13" t="str">
        <f>IFERROR(__xludf.DUMMYFUNCTION("""COMPUTED_VALUE"""),"""uivm"":{""label"":""Chewy"",""extra"":""(gummy, rubbery, stringy) "",""sets"":""Expansion Set 1, Party Set""},")</f>
        <v>"uivm":{"label":"Chewy","extra":"(gummy, rubbery, stringy) ","sets":"Expansion Set 1, Party Set"},</v>
      </c>
    </row>
    <row r="28">
      <c r="A28" s="8" t="str">
        <f>IFERROR(__xludf.DUMMYFUNCTION("""COMPUTED_VALUE"""),"Chunky")</f>
        <v>Chunky</v>
      </c>
      <c r="B28" s="8" t="str">
        <f>IFERROR(__xludf.DUMMYFUNCTION("""COMPUTED_VALUE"""),"(lumpy, chubby, bumpy) ")</f>
        <v>(lumpy, chubby, bumpy) </v>
      </c>
      <c r="C28" s="13" t="str">
        <f>IFERROR(__xludf.DUMMYFUNCTION("""COMPUTED_VALUE"""),"""eghm"":{""label"":""Chunky"",""extra"":""(lumpy, chubby, bumpy) "",""sets"":""Expansion Set 1, Party Set""},")</f>
        <v>"eghm":{"label":"Chunky","extra":"(lumpy, chubby, bumpy) ","sets":"Expansion Set 1, Party Set"},</v>
      </c>
    </row>
    <row r="29">
      <c r="A29" s="8" t="str">
        <f>IFERROR(__xludf.DUMMYFUNCTION("""COMPUTED_VALUE"""),"Classic")</f>
        <v>Classic</v>
      </c>
      <c r="B29" s="8" t="str">
        <f>IFERROR(__xludf.DUMMYFUNCTION("""COMPUTED_VALUE"""),"(timeless, definitive, vintage) ")</f>
        <v>(timeless, definitive, vintage) </v>
      </c>
      <c r="C29" s="13" t="str">
        <f>IFERROR(__xludf.DUMMYFUNCTION("""COMPUTED_VALUE"""),"""jrjd"":{""label"":""Classic"",""extra"":""(timeless, definitive, vintage) "",""sets"":""Expansion Set 1, Party Set""},")</f>
        <v>"jrjd":{"label":"Classic","extra":"(timeless, definitive, vintage) ","sets":"Expansion Set 1, Party Set"},</v>
      </c>
    </row>
    <row r="30">
      <c r="A30" s="8" t="str">
        <f>IFERROR(__xludf.DUMMYFUNCTION("""COMPUTED_VALUE"""),"Clean")</f>
        <v>Clean</v>
      </c>
      <c r="B30" s="8" t="str">
        <f>IFERROR(__xludf.DUMMYFUNCTION("""COMPUTED_VALUE"""),"(washed, pure, tidy) ")</f>
        <v>(washed, pure, tidy) </v>
      </c>
      <c r="C30" s="13" t="str">
        <f>IFERROR(__xludf.DUMMYFUNCTION("""COMPUTED_VALUE"""),"""nccv"":{""label"":""Clean"",""extra"":""(washed, pure, tidy) "",""sets"":""Expansion Set 2, Party Set""},")</f>
        <v>"nccv":{"label":"Clean","extra":"(washed, pure, tidy) ","sets":"Expansion Set 2, Party Set"},</v>
      </c>
    </row>
    <row r="31">
      <c r="A31" s="8" t="str">
        <f>IFERROR(__xludf.DUMMYFUNCTION("""COMPUTED_VALUE"""),"Clueless")</f>
        <v>Clueless</v>
      </c>
      <c r="B31" s="8" t="str">
        <f>IFERROR(__xludf.DUMMYFUNCTION("""COMPUTED_VALUE"""),"(unaware, oblivious, ignorant) ")</f>
        <v>(unaware, oblivious, ignorant) </v>
      </c>
      <c r="C31" s="13" t="str">
        <f>IFERROR(__xludf.DUMMYFUNCTION("""COMPUTED_VALUE"""),"""bkvc"":{""label"":""Clueless"",""extra"":""(unaware, oblivious, ignorant) "",""sets"":""Expansion Set 1, Party Set""},")</f>
        <v>"bkvc":{"label":"Clueless","extra":"(unaware, oblivious, ignorant) ","sets":"Expansion Set 1, Party Set"},</v>
      </c>
    </row>
    <row r="32">
      <c r="A32" s="8" t="str">
        <f>IFERROR(__xludf.DUMMYFUNCTION("""COMPUTED_VALUE"""),"Cold")</f>
        <v>Cold</v>
      </c>
      <c r="B32" s="8" t="str">
        <f>IFERROR(__xludf.DUMMYFUNCTION("""COMPUTED_VALUE"""),"(chilly, icy, aloof) ")</f>
        <v>(chilly, icy, aloof) </v>
      </c>
      <c r="C32" s="13" t="str">
        <f>IFERROR(__xludf.DUMMYFUNCTION("""COMPUTED_VALUE"""),"""mvpj"":{""label"":""Cold"",""extra"":""(chilly, icy, aloof) "",""sets"":""Expansion Set 2, Party Set""},")</f>
        <v>"mvpj":{"label":"Cold","extra":"(chilly, icy, aloof) ","sets":"Expansion Set 2, Party Set"},</v>
      </c>
    </row>
    <row r="33">
      <c r="A33" s="8" t="str">
        <f>IFERROR(__xludf.DUMMYFUNCTION("""COMPUTED_VALUE"""),"Colorful")</f>
        <v>Colorful</v>
      </c>
      <c r="B33" s="8" t="str">
        <f>IFERROR(__xludf.DUMMYFUNCTION("""COMPUTED_VALUE"""),"(vivid, brilliant, kaleidoscopic) ")</f>
        <v>(vivid, brilliant, kaleidoscopic) </v>
      </c>
      <c r="C33" s="13" t="str">
        <f>IFERROR(__xludf.DUMMYFUNCTION("""COMPUTED_VALUE"""),"""bkhe"":{""label"":""Colorful"",""extra"":""(vivid, brilliant, kaleidoscopic) "",""sets"":""Basic Set, Party Set""},")</f>
        <v>"bkhe":{"label":"Colorful","extra":"(vivid, brilliant, kaleidoscopic) ","sets":"Basic Set, Party Set"},</v>
      </c>
    </row>
    <row r="34">
      <c r="A34" s="8" t="str">
        <f>IFERROR(__xludf.DUMMYFUNCTION("""COMPUTED_VALUE"""),"Comfortable")</f>
        <v>Comfortable</v>
      </c>
      <c r="B34" s="8" t="str">
        <f>IFERROR(__xludf.DUMMYFUNCTION("""COMPUTED_VALUE"""),"(cozy, snug, restful) ")</f>
        <v>(cozy, snug, restful) </v>
      </c>
      <c r="C34" s="13" t="str">
        <f>IFERROR(__xludf.DUMMYFUNCTION("""COMPUTED_VALUE"""),"""dylt"":{""label"":""Comfortable"",""extra"":""(cozy, snug, restful) "",""sets"":""Expansion Set 2, Party Set""},")</f>
        <v>"dylt":{"label":"Comfortable","extra":"(cozy, snug, restful) ","sets":"Expansion Set 2, Party Set"},</v>
      </c>
    </row>
    <row r="35">
      <c r="A35" s="8" t="str">
        <f>IFERROR(__xludf.DUMMYFUNCTION("""COMPUTED_VALUE"""),"Comical")</f>
        <v>Comical</v>
      </c>
      <c r="B35" s="8" t="str">
        <f>IFERROR(__xludf.DUMMYFUNCTION("""COMPUTED_VALUE"""),"(funny, hilarious, amusing) ")</f>
        <v>(funny, hilarious, amusing) </v>
      </c>
      <c r="C35" s="13" t="str">
        <f>IFERROR(__xludf.DUMMYFUNCTION("""COMPUTED_VALUE"""),"""wlfg"":{""label"":""Comical"",""extra"":""(funny, hilarious, amusing) "",""sets"":""Expansion Set 2, Party Set""},")</f>
        <v>"wlfg":{"label":"Comical","extra":"(funny, hilarious, amusing) ","sets":"Expansion Set 2, Party Set"},</v>
      </c>
    </row>
    <row r="36">
      <c r="A36" s="8" t="str">
        <f>IFERROR(__xludf.DUMMYFUNCTION("""COMPUTED_VALUE"""),"Complicated")</f>
        <v>Complicated</v>
      </c>
      <c r="B36" s="8" t="str">
        <f>IFERROR(__xludf.DUMMYFUNCTION("""COMPUTED_VALUE"""),"(difficult, complex, involved) ")</f>
        <v>(difficult, complex, involved) </v>
      </c>
      <c r="C36" s="13" t="str">
        <f>IFERROR(__xludf.DUMMYFUNCTION("""COMPUTED_VALUE"""),"""fwhr"":{""label"":""Complicated"",""extra"":""(difficult, complex, involved) "",""sets"":""Expansion Set 1, Party Set""},")</f>
        <v>"fwhr":{"label":"Complicated","extra":"(difficult, complex, involved) ","sets":"Expansion Set 1, Party Set"},</v>
      </c>
    </row>
    <row r="37">
      <c r="A37" s="8" t="str">
        <f>IFERROR(__xludf.DUMMYFUNCTION("""COMPUTED_VALUE"""),"Confused")</f>
        <v>Confused</v>
      </c>
      <c r="B37" s="8" t="str">
        <f>IFERROR(__xludf.DUMMYFUNCTION("""COMPUTED_VALUE"""),"(muddled, bewildered, perplexed) ")</f>
        <v>(muddled, bewildered, perplexed) </v>
      </c>
      <c r="C37" s="13" t="str">
        <f>IFERROR(__xludf.DUMMYFUNCTION("""COMPUTED_VALUE"""),"""bmps"":{""label"":""Confused"",""extra"":""(muddled, bewildered, perplexed) "",""sets"":""Expansion Set 1, Party Set""},")</f>
        <v>"bmps":{"label":"Confused","extra":"(muddled, bewildered, perplexed) ","sets":"Expansion Set 1, Party Set"},</v>
      </c>
    </row>
    <row r="38">
      <c r="A38" s="8" t="str">
        <f>IFERROR(__xludf.DUMMYFUNCTION("""COMPUTED_VALUE"""),"Cool")</f>
        <v>Cool</v>
      </c>
      <c r="B38" s="8" t="str">
        <f>IFERROR(__xludf.DUMMYFUNCTION("""COMPUTED_VALUE"""),"(chilly, hip, cold-blooded) ")</f>
        <v>(chilly, hip, cold-blooded) </v>
      </c>
      <c r="C38" s="13" t="str">
        <f>IFERROR(__xludf.DUMMYFUNCTION("""COMPUTED_VALUE"""),"""dfns"":{""label"":""Cool"",""extra"":""(chilly, hip, cold-blooded) "",""sets"":""Basic Set, Party Set""},")</f>
        <v>"dfns":{"label":"Cool","extra":"(chilly, hip, cold-blooded) ","sets":"Basic Set, Party Set"},</v>
      </c>
    </row>
    <row r="39">
      <c r="A39" s="8" t="str">
        <f>IFERROR(__xludf.DUMMYFUNCTION("""COMPUTED_VALUE"""),"Corrupt")</f>
        <v>Corrupt</v>
      </c>
      <c r="B39" s="8" t="str">
        <f>IFERROR(__xludf.DUMMYFUNCTION("""COMPUTED_VALUE"""),"(dishonest, underhanded, shady) ")</f>
        <v>(dishonest, underhanded, shady) </v>
      </c>
      <c r="C39" s="13" t="str">
        <f>IFERROR(__xludf.DUMMYFUNCTION("""COMPUTED_VALUE"""),"""hmwr"":{""label"":""Corrupt"",""extra"":""(dishonest, underhanded, shady) "",""sets"":""Basic Set, Party Set""},")</f>
        <v>"hmwr":{"label":"Corrupt","extra":"(dishonest, underhanded, shady) ","sets":"Basic Set, Party Set"},</v>
      </c>
    </row>
    <row r="40">
      <c r="A40" s="8" t="str">
        <f>IFERROR(__xludf.DUMMYFUNCTION("""COMPUTED_VALUE"""),"Cosmic")</f>
        <v>Cosmic</v>
      </c>
      <c r="B40" s="8" t="str">
        <f>IFERROR(__xludf.DUMMYFUNCTION("""COMPUTED_VALUE"""),"(limitless, planetary, far out) ")</f>
        <v>(limitless, planetary, far out) </v>
      </c>
      <c r="C40" s="13" t="str">
        <f>IFERROR(__xludf.DUMMYFUNCTION("""COMPUTED_VALUE"""),"""qewx"":{""label"":""Cosmic"",""extra"":""(limitless, planetary, far out) "",""sets"":""Expansion Set 2, Party Set""},")</f>
        <v>"qewx":{"label":"Cosmic","extra":"(limitless, planetary, far out) ","sets":"Expansion Set 2, Party Set"},</v>
      </c>
    </row>
    <row r="41">
      <c r="A41" s="8" t="str">
        <f>IFERROR(__xludf.DUMMYFUNCTION("""COMPUTED_VALUE"""),"Cosmopolitan")</f>
        <v>Cosmopolitan</v>
      </c>
      <c r="B41" s="8" t="str">
        <f>IFERROR(__xludf.DUMMYFUNCTION("""COMPUTED_VALUE"""),"(sophisticated, urbane, well-informed)")</f>
        <v>(sophisticated, urbane, well-informed)</v>
      </c>
      <c r="C41" s="13" t="str">
        <f>IFERROR(__xludf.DUMMYFUNCTION("""COMPUTED_VALUE"""),"""jcaf"":{""label"":""Cosmopolitan"",""extra"":""(sophisticated, urbane, well-informed)"",""sets"":""Party Set""},")</f>
        <v>"jcaf":{"label":"Cosmopolitan","extra":"(sophisticated, urbane, well-informed)","sets":"Party Set"},</v>
      </c>
    </row>
    <row r="42">
      <c r="A42" s="8" t="str">
        <f>IFERROR(__xludf.DUMMYFUNCTION("""COMPUTED_VALUE"""),"Courageous")</f>
        <v>Courageous</v>
      </c>
      <c r="B42" s="8" t="str">
        <f>IFERROR(__xludf.DUMMYFUNCTION("""COMPUTED_VALUE"""),"(brave, gallant, dauntless) ")</f>
        <v>(brave, gallant, dauntless) </v>
      </c>
      <c r="C42" s="13" t="str">
        <f>IFERROR(__xludf.DUMMYFUNCTION("""COMPUTED_VALUE"""),"""wbgv"":{""label"":""Courageous"",""extra"":""(brave, gallant, dauntless) "",""sets"":""Basic Set, Party Set""},")</f>
        <v>"wbgv":{"label":"Courageous","extra":"(brave, gallant, dauntless) ","sets":"Basic Set, Party Set"},</v>
      </c>
    </row>
    <row r="43">
      <c r="A43" s="8" t="str">
        <f>IFERROR(__xludf.DUMMYFUNCTION("""COMPUTED_VALUE"""),"Cowardly")</f>
        <v>Cowardly</v>
      </c>
      <c r="B43" s="8" t="str">
        <f>IFERROR(__xludf.DUMMYFUNCTION("""COMPUTED_VALUE"""),"(fearful, afraid, spineless) ")</f>
        <v>(fearful, afraid, spineless) </v>
      </c>
      <c r="C43" s="13" t="str">
        <f>IFERROR(__xludf.DUMMYFUNCTION("""COMPUTED_VALUE"""),"""hdis"":{""label"":""Cowardly"",""extra"":""(fearful, afraid, spineless) "",""sets"":""Expansion Set 1, Party Set""},")</f>
        <v>"hdis":{"label":"Cowardly","extra":"(fearful, afraid, spineless) ","sets":"Expansion Set 1, Party Set"},</v>
      </c>
    </row>
    <row r="44">
      <c r="A44" s="8" t="str">
        <f>IFERROR(__xludf.DUMMYFUNCTION("""COMPUTED_VALUE"""),"Cranky")</f>
        <v>Cranky</v>
      </c>
      <c r="B44" s="8" t="str">
        <f>IFERROR(__xludf.DUMMYFUNCTION("""COMPUTED_VALUE"""),"(crabby, cantankerous, grouchy) ")</f>
        <v>(crabby, cantankerous, grouchy) </v>
      </c>
      <c r="C44" s="13" t="str">
        <f>IFERROR(__xludf.DUMMYFUNCTION("""COMPUTED_VALUE"""),"""tufn"":{""label"":""Cranky"",""extra"":""(crabby, cantankerous, grouchy) "",""sets"":""Expansion Set 2, Party Set""},")</f>
        <v>"tufn":{"label":"Cranky","extra":"(crabby, cantankerous, grouchy) ","sets":"Expansion Set 2, Party Set"},</v>
      </c>
    </row>
    <row r="45">
      <c r="A45" s="8" t="str">
        <f>IFERROR(__xludf.DUMMYFUNCTION("""COMPUTED_VALUE"""),"Crazed")</f>
        <v>Crazed</v>
      </c>
      <c r="B45" s="8" t="str">
        <f>IFERROR(__xludf.DUMMYFUNCTION("""COMPUTED_VALUE"""),"(insane, wild, deranged) ")</f>
        <v>(insane, wild, deranged) </v>
      </c>
      <c r="C45" s="13" t="str">
        <f>IFERROR(__xludf.DUMMYFUNCTION("""COMPUTED_VALUE"""),"""ujwn"":{""label"":""Crazed"",""extra"":""(insane, wild, deranged) "",""sets"":""Basic Set, Party Set""},")</f>
        <v>"ujwn":{"label":"Crazed","extra":"(insane, wild, deranged) ","sets":"Basic Set, Party Set"},</v>
      </c>
    </row>
    <row r="46">
      <c r="A46" s="8" t="str">
        <f>IFERROR(__xludf.DUMMYFUNCTION("""COMPUTED_VALUE"""),"Crazy")</f>
        <v>Crazy</v>
      </c>
      <c r="B46" s="8" t="str">
        <f>IFERROR(__xludf.DUMMYFUNCTION("""COMPUTED_VALUE"""),"(insane, bizarre, wacky) ")</f>
        <v>(insane, bizarre, wacky) </v>
      </c>
      <c r="C46" s="13" t="str">
        <f>IFERROR(__xludf.DUMMYFUNCTION("""COMPUTED_VALUE"""),"""qqyo"":{""label"":""Crazy"",""extra"":""(insane, bizarre, wacky) "",""sets"":""Expansion Set 1, Party Set""},")</f>
        <v>"qqyo":{"label":"Crazy","extra":"(insane, bizarre, wacky) ","sets":"Expansion Set 1, Party Set"},</v>
      </c>
    </row>
    <row r="47">
      <c r="A47" s="8" t="str">
        <f>IFERROR(__xludf.DUMMYFUNCTION("""COMPUTED_VALUE"""),"Creative")</f>
        <v>Creative</v>
      </c>
      <c r="B47" s="8" t="str">
        <f>IFERROR(__xludf.DUMMYFUNCTION("""COMPUTED_VALUE"""),"(imaginative, artistic, original) ")</f>
        <v>(imaginative, artistic, original) </v>
      </c>
      <c r="C47" s="13" t="str">
        <f>IFERROR(__xludf.DUMMYFUNCTION("""COMPUTED_VALUE"""),"""yvyi"":{""label"":""Creative"",""extra"":""(imaginative, artistic, original) "",""sets"":""Basic Set, Party Set""},")</f>
        <v>"yvyi":{"label":"Creative","extra":"(imaginative, artistic, original) ","sets":"Basic Set, Party Set"},</v>
      </c>
    </row>
    <row r="48">
      <c r="A48" s="8" t="str">
        <f>IFERROR(__xludf.DUMMYFUNCTION("""COMPUTED_VALUE"""),"Creepy")</f>
        <v>Creepy</v>
      </c>
      <c r="B48" s="8" t="str">
        <f>IFERROR(__xludf.DUMMYFUNCTION("""COMPUTED_VALUE"""),"(frightening, slithering, scary) ")</f>
        <v>(frightening, slithering, scary) </v>
      </c>
      <c r="C48" s="13" t="str">
        <f>IFERROR(__xludf.DUMMYFUNCTION("""COMPUTED_VALUE"""),"""rpjm"":{""label"":""Creepy"",""extra"":""(frightening, slithering, scary) "",""sets"":""Basic Set, Party Set""},")</f>
        <v>"rpjm":{"label":"Creepy","extra":"(frightening, slithering, scary) ","sets":"Basic Set, Party Set"},</v>
      </c>
    </row>
    <row r="49">
      <c r="A49" s="8" t="str">
        <f>IFERROR(__xludf.DUMMYFUNCTION("""COMPUTED_VALUE"""),"Cruel")</f>
        <v>Cruel</v>
      </c>
      <c r="B49" s="8" t="str">
        <f>IFERROR(__xludf.DUMMYFUNCTION("""COMPUTED_VALUE"""),"(mean, harsh, merciless)")</f>
        <v>(mean, harsh, merciless)</v>
      </c>
      <c r="C49" s="13" t="str">
        <f>IFERROR(__xludf.DUMMYFUNCTION("""COMPUTED_VALUE"""),"""cnds"":{""label"":""Cruel"",""extra"":""(mean, harsh, merciless)"",""sets"":""Party Set""},")</f>
        <v>"cnds":{"label":"Cruel","extra":"(mean, harsh, merciless)","sets":"Party Set"},</v>
      </c>
    </row>
    <row r="50">
      <c r="A50" s="8" t="str">
        <f>IFERROR(__xludf.DUMMYFUNCTION("""COMPUTED_VALUE"""),"Cuddly")</f>
        <v>Cuddly</v>
      </c>
      <c r="B50" s="8" t="str">
        <f>IFERROR(__xludf.DUMMYFUNCTION("""COMPUTED_VALUE"""),"(loving, tender, huggable) ")</f>
        <v>(loving, tender, huggable) </v>
      </c>
      <c r="C50" s="13" t="str">
        <f>IFERROR(__xludf.DUMMYFUNCTION("""COMPUTED_VALUE"""),"""wgix"":{""label"":""Cuddly"",""extra"":""(loving, tender, huggable) "",""sets"":""Basic Set, Party Set""},")</f>
        <v>"wgix":{"label":"Cuddly","extra":"(loving, tender, huggable) ","sets":"Basic Set, Party Set"},</v>
      </c>
    </row>
    <row r="51">
      <c r="A51" s="8" t="str">
        <f>IFERROR(__xludf.DUMMYFUNCTION("""COMPUTED_VALUE"""),"Cute")</f>
        <v>Cute</v>
      </c>
      <c r="B51" s="8" t="str">
        <f>IFERROR(__xludf.DUMMYFUNCTION("""COMPUTED_VALUE"""),"(pretty, perky, delightful) ")</f>
        <v>(pretty, perky, delightful) </v>
      </c>
      <c r="C51" s="13" t="str">
        <f>IFERROR(__xludf.DUMMYFUNCTION("""COMPUTED_VALUE"""),"""kfxs"":{""label"":""Cute"",""extra"":""(pretty, perky, delightful) "",""sets"":""Expansion Set 2, Party Set""},")</f>
        <v>"kfxs":{"label":"Cute","extra":"(pretty, perky, delightful) ","sets":"Expansion Set 2, Party Set"},</v>
      </c>
    </row>
    <row r="52">
      <c r="A52" s="8" t="str">
        <f>IFERROR(__xludf.DUMMYFUNCTION("""COMPUTED_VALUE"""),"Dainty")</f>
        <v>Dainty</v>
      </c>
      <c r="B52" s="8" t="str">
        <f>IFERROR(__xludf.DUMMYFUNCTION("""COMPUTED_VALUE"""),"(delicate, fragile, thin) ")</f>
        <v>(delicate, fragile, thin) </v>
      </c>
      <c r="C52" s="13" t="str">
        <f>IFERROR(__xludf.DUMMYFUNCTION("""COMPUTED_VALUE"""),"""wuzn"":{""label"":""Dainty"",""extra"":""(delicate, fragile, thin) "",""sets"":""Basic Set, Party Set""},")</f>
        <v>"wuzn":{"label":"Dainty","extra":"(delicate, fragile, thin) ","sets":"Basic Set, Party Set"},</v>
      </c>
    </row>
    <row r="53">
      <c r="A53" s="8" t="str">
        <f>IFERROR(__xludf.DUMMYFUNCTION("""COMPUTED_VALUE"""),"Dangerous")</f>
        <v>Dangerous</v>
      </c>
      <c r="B53" s="8" t="str">
        <f>IFERROR(__xludf.DUMMYFUNCTION("""COMPUTED_VALUE"""),"(risky, chancy, hazardous) ")</f>
        <v>(risky, chancy, hazardous) </v>
      </c>
      <c r="C53" s="13" t="str">
        <f>IFERROR(__xludf.DUMMYFUNCTION("""COMPUTED_VALUE"""),"""cbpr"":{""label"":""Dangerous"",""extra"":""(risky, chancy, hazardous) "",""sets"":""Basic Set, Party Set""},")</f>
        <v>"cbpr":{"label":"Dangerous","extra":"(risky, chancy, hazardous) ","sets":"Basic Set, Party Set"},</v>
      </c>
    </row>
    <row r="54">
      <c r="A54" s="8" t="str">
        <f>IFERROR(__xludf.DUMMYFUNCTION("""COMPUTED_VALUE"""),"Dead")</f>
        <v>Dead</v>
      </c>
      <c r="B54" s="8" t="str">
        <f>IFERROR(__xludf.DUMMYFUNCTION("""COMPUTED_VALUE"""),"(deceased, expired, unresponsive) ")</f>
        <v>(deceased, expired, unresponsive) </v>
      </c>
      <c r="C54" s="13" t="str">
        <f>IFERROR(__xludf.DUMMYFUNCTION("""COMPUTED_VALUE"""),"""tlud"":{""label"":""Dead"",""extra"":""(deceased, expired, unresponsive) "",""sets"":""Expansion Set 2, Party Set""},")</f>
        <v>"tlud":{"label":"Dead","extra":"(deceased, expired, unresponsive) ","sets":"Expansion Set 2, Party Set"},</v>
      </c>
    </row>
    <row r="55">
      <c r="A55" s="8" t="str">
        <f>IFERROR(__xludf.DUMMYFUNCTION("""COMPUTED_VALUE"""),"Deadly")</f>
        <v>Deadly</v>
      </c>
      <c r="B55" s="8" t="str">
        <f>IFERROR(__xludf.DUMMYFUNCTION("""COMPUTED_VALUE"""),"(fatal, lethal, murderous) ")</f>
        <v>(fatal, lethal, murderous) </v>
      </c>
      <c r="C55" s="13" t="str">
        <f>IFERROR(__xludf.DUMMYFUNCTION("""COMPUTED_VALUE"""),"""bedx"":{""label"":""Deadly"",""extra"":""(fatal, lethal, murderous) "",""sets"":""Expansion Set 1, Party Set""},")</f>
        <v>"bedx":{"label":"Deadly","extra":"(fatal, lethal, murderous) ","sets":"Expansion Set 1, Party Set"},</v>
      </c>
    </row>
    <row r="56">
      <c r="A56" s="8" t="str">
        <f>IFERROR(__xludf.DUMMYFUNCTION("""COMPUTED_VALUE"""),"Delicate")</f>
        <v>Delicate</v>
      </c>
      <c r="B56" s="8" t="str">
        <f>IFERROR(__xludf.DUMMYFUNCTION("""COMPUTED_VALUE"""),"(dainty, tender, elegant) ")</f>
        <v>(dainty, tender, elegant) </v>
      </c>
      <c r="C56" s="13" t="str">
        <f>IFERROR(__xludf.DUMMYFUNCTION("""COMPUTED_VALUE"""),"""pjng"":{""label"":""Delicate"",""extra"":""(dainty, tender, elegant) "",""sets"":""Basic Set, Party Set""},")</f>
        <v>"pjng":{"label":"Delicate","extra":"(dainty, tender, elegant) ","sets":"Basic Set, Party Set"},</v>
      </c>
    </row>
    <row r="57">
      <c r="A57" s="8" t="str">
        <f>IFERROR(__xludf.DUMMYFUNCTION("""COMPUTED_VALUE"""),"Delicious")</f>
        <v>Delicious</v>
      </c>
      <c r="B57" s="8" t="str">
        <f>IFERROR(__xludf.DUMMYFUNCTION("""COMPUTED_VALUE"""),"(tasty, pleasing, appetizing) ")</f>
        <v>(tasty, pleasing, appetizing) </v>
      </c>
      <c r="C57" s="13" t="str">
        <f>IFERROR(__xludf.DUMMYFUNCTION("""COMPUTED_VALUE"""),"""ymgu"":{""label"":""Delicious"",""extra"":""(tasty, pleasing, appetizing) "",""sets"":""Basic Set, Party Set""},")</f>
        <v>"ymgu":{"label":"Delicious","extra":"(tasty, pleasing, appetizing) ","sets":"Basic Set, Party Set"},</v>
      </c>
    </row>
    <row r="58">
      <c r="A58" s="8" t="str">
        <f>IFERROR(__xludf.DUMMYFUNCTION("""COMPUTED_VALUE"""),"Delightful")</f>
        <v>Delightful</v>
      </c>
      <c r="B58" s="8" t="str">
        <f>IFERROR(__xludf.DUMMYFUNCTION("""COMPUTED_VALUE"""),"(pleasing, enjoyable, charming) ")</f>
        <v>(pleasing, enjoyable, charming) </v>
      </c>
      <c r="C58" s="13" t="str">
        <f>IFERROR(__xludf.DUMMYFUNCTION("""COMPUTED_VALUE"""),"""ixmi"":{""label"":""Delightful"",""extra"":""(pleasing, enjoyable, charming) "",""sets"":""Expansion Set 1, Party Set""},")</f>
        <v>"ixmi":{"label":"Delightful","extra":"(pleasing, enjoyable, charming) ","sets":"Expansion Set 1, Party Set"},</v>
      </c>
    </row>
    <row r="59">
      <c r="A59" s="8" t="str">
        <f>IFERROR(__xludf.DUMMYFUNCTION("""COMPUTED_VALUE"""),"Demanding")</f>
        <v>Demanding</v>
      </c>
      <c r="B59" s="8" t="str">
        <f>IFERROR(__xludf.DUMMYFUNCTION("""COMPUTED_VALUE"""),"(difficult, exacting, bothersome) ")</f>
        <v>(difficult, exacting, bothersome) </v>
      </c>
      <c r="C59" s="13" t="str">
        <f>IFERROR(__xludf.DUMMYFUNCTION("""COMPUTED_VALUE"""),"""dxgw"":{""label"":""Demanding"",""extra"":""(difficult, exacting, bothersome) "",""sets"":""Basic Set, Party Set""},")</f>
        <v>"dxgw":{"label":"Demanding","extra":"(difficult, exacting, bothersome) ","sets":"Basic Set, Party Set"},</v>
      </c>
    </row>
    <row r="60">
      <c r="A60" s="8" t="str">
        <f>IFERROR(__xludf.DUMMYFUNCTION("""COMPUTED_VALUE"""),"Depressing")</f>
        <v>Depressing</v>
      </c>
      <c r="B60" s="8" t="str">
        <f>IFERROR(__xludf.DUMMYFUNCTION("""COMPUTED_VALUE"""),"(dismal, gloomy, sad) ")</f>
        <v>(dismal, gloomy, sad) </v>
      </c>
      <c r="C60" s="13" t="str">
        <f>IFERROR(__xludf.DUMMYFUNCTION("""COMPUTED_VALUE"""),"""yhld"":{""label"":""Depressing"",""extra"":""(dismal, gloomy, sad) "",""sets"":""Expansion Set 2, Party Set""},")</f>
        <v>"yhld":{"label":"Depressing","extra":"(dismal, gloomy, sad) ","sets":"Expansion Set 2, Party Set"},</v>
      </c>
    </row>
    <row r="61">
      <c r="A61" s="8" t="str">
        <f>IFERROR(__xludf.DUMMYFUNCTION("""COMPUTED_VALUE"""),"Desperate")</f>
        <v>Desperate</v>
      </c>
      <c r="B61" s="8" t="str">
        <f>IFERROR(__xludf.DUMMYFUNCTION("""COMPUTED_VALUE"""),"(frantic, headlong, reckless) ")</f>
        <v>(frantic, headlong, reckless) </v>
      </c>
      <c r="C61" s="13" t="str">
        <f>IFERROR(__xludf.DUMMYFUNCTION("""COMPUTED_VALUE"""),"""dymr"":{""label"":""Desperate"",""extra"":""(frantic, headlong, reckless) "",""sets"":""Basic Set, Party Set""},")</f>
        <v>"dymr":{"label":"Desperate","extra":"(frantic, headlong, reckless) ","sets":"Basic Set, Party Set"},</v>
      </c>
    </row>
    <row r="62">
      <c r="A62" s="8" t="str">
        <f>IFERROR(__xludf.DUMMYFUNCTION("""COMPUTED_VALUE"""),"Dignified")</f>
        <v>Dignified</v>
      </c>
      <c r="B62" s="8" t="str">
        <f>IFERROR(__xludf.DUMMYFUNCTION("""COMPUTED_VALUE"""),"(stately, honorable, distinguished) ")</f>
        <v>(stately, honorable, distinguished) </v>
      </c>
      <c r="C62" s="13" t="str">
        <f>IFERROR(__xludf.DUMMYFUNCTION("""COMPUTED_VALUE"""),"""trdw"":{""label"":""Dignified"",""extra"":""(stately, honorable, distinguished) "",""sets"":""Expansion Set 1, Party Set""},")</f>
        <v>"trdw":{"label":"Dignified","extra":"(stately, honorable, distinguished) ","sets":"Expansion Set 1, Party Set"},</v>
      </c>
    </row>
    <row r="63">
      <c r="A63" s="8" t="str">
        <f>IFERROR(__xludf.DUMMYFUNCTION("""COMPUTED_VALUE"""),"Dirty")</f>
        <v>Dirty</v>
      </c>
      <c r="B63" s="8" t="str">
        <f>IFERROR(__xludf.DUMMYFUNCTION("""COMPUTED_VALUE"""),"(unclean, soiled, impure) ")</f>
        <v>(unclean, soiled, impure) </v>
      </c>
      <c r="C63" s="13" t="str">
        <f>IFERROR(__xludf.DUMMYFUNCTION("""COMPUTED_VALUE"""),"""hbek"":{""label"":""Dirty"",""extra"":""(unclean, soiled, impure) "",""sets"":""Expansion Set 2, Party Set""},")</f>
        <v>"hbek":{"label":"Dirty","extra":"(unclean, soiled, impure) ","sets":"Expansion Set 2, Party Set"},</v>
      </c>
    </row>
    <row r="64">
      <c r="A64" s="8" t="str">
        <f>IFERROR(__xludf.DUMMYFUNCTION("""COMPUTED_VALUE"""),"Distinguished")</f>
        <v>Distinguished</v>
      </c>
      <c r="B64" s="8" t="str">
        <f>IFERROR(__xludf.DUMMYFUNCTION("""COMPUTED_VALUE"""),"(dignified, extraordinary, acclaimed) ")</f>
        <v>(dignified, extraordinary, acclaimed) </v>
      </c>
      <c r="C64" s="13" t="str">
        <f>IFERROR(__xludf.DUMMYFUNCTION("""COMPUTED_VALUE"""),"""axea"":{""label"":""Distinguished"",""extra"":""(dignified, extraordinary, acclaimed) "",""sets"":""Basic Set, Party Set""},")</f>
        <v>"axea":{"label":"Distinguished","extra":"(dignified, extraordinary, acclaimed) ","sets":"Basic Set, Party Set"},</v>
      </c>
    </row>
    <row r="65">
      <c r="A65" s="8" t="str">
        <f>IFERROR(__xludf.DUMMYFUNCTION("""COMPUTED_VALUE"""),"Disturbing")</f>
        <v>Disturbing</v>
      </c>
      <c r="B65" s="8" t="str">
        <f>IFERROR(__xludf.DUMMYFUNCTION("""COMPUTED_VALUE"""),"(unsettling, troubling, worrisome) ")</f>
        <v>(unsettling, troubling, worrisome) </v>
      </c>
      <c r="C65" s="13" t="str">
        <f>IFERROR(__xludf.DUMMYFUNCTION("""COMPUTED_VALUE"""),"""svjq"":{""label"":""Disturbing"",""extra"":""(unsettling, troubling, worrisome) "",""sets"":""Expansion Set 1, Party Set""},")</f>
        <v>"svjq":{"label":"Disturbing","extra":"(unsettling, troubling, worrisome) ","sets":"Expansion Set 1, Party Set"},</v>
      </c>
    </row>
    <row r="66">
      <c r="A66" s="8" t="str">
        <f>IFERROR(__xludf.DUMMYFUNCTION("""COMPUTED_VALUE"""),"Dramatic")</f>
        <v>Dramatic</v>
      </c>
      <c r="B66" s="8" t="str">
        <f>IFERROR(__xludf.DUMMYFUNCTION("""COMPUTED_VALUE"""),"(exciting, sensational, theatrical) ")</f>
        <v>(exciting, sensational, theatrical) </v>
      </c>
      <c r="C66" s="13" t="str">
        <f>IFERROR(__xludf.DUMMYFUNCTION("""COMPUTED_VALUE"""),"""rcue"":{""label"":""Dramatic"",""extra"":""(exciting, sensational, theatrical) "",""sets"":""Basic Set, Party Set""},")</f>
        <v>"rcue":{"label":"Dramatic","extra":"(exciting, sensational, theatrical) ","sets":"Basic Set, Party Set"},</v>
      </c>
    </row>
    <row r="67">
      <c r="A67" s="8" t="str">
        <f>IFERROR(__xludf.DUMMYFUNCTION("""COMPUTED_VALUE"""),"Dreamy")</f>
        <v>Dreamy</v>
      </c>
      <c r="B67" s="8" t="str">
        <f>IFERROR(__xludf.DUMMYFUNCTION("""COMPUTED_VALUE"""),"(fanciful, whimsical, heavenly) ")</f>
        <v>(fanciful, whimsical, heavenly) </v>
      </c>
      <c r="C67" s="13" t="str">
        <f>IFERROR(__xludf.DUMMYFUNCTION("""COMPUTED_VALUE"""),"""eixy"":{""label"":""Dreamy"",""extra"":""(fanciful, whimsical, heavenly) "",""sets"":""Expansion Set 1, Party Set""},")</f>
        <v>"eixy":{"label":"Dreamy","extra":"(fanciful, whimsical, heavenly) ","sets":"Expansion Set 1, Party Set"},</v>
      </c>
    </row>
    <row r="68">
      <c r="A68" s="8" t="str">
        <f>IFERROR(__xludf.DUMMYFUNCTION("""COMPUTED_VALUE"""),"Dull")</f>
        <v>Dull</v>
      </c>
      <c r="B68" s="8" t="str">
        <f>IFERROR(__xludf.DUMMYFUNCTION("""COMPUTED_VALUE"""),"(boring, stupid, blunt)")</f>
        <v>(boring, stupid, blunt)</v>
      </c>
      <c r="C68" s="13" t="str">
        <f>IFERROR(__xludf.DUMMYFUNCTION("""COMPUTED_VALUE"""),"""insn"":{""label"":""Dull"",""extra"":""(boring, stupid, blunt)"",""sets"":""Party Set""},")</f>
        <v>"insn":{"label":"Dull","extra":"(boring, stupid, blunt)","sets":"Party Set"},</v>
      </c>
    </row>
    <row r="69">
      <c r="A69" s="8" t="str">
        <f>IFERROR(__xludf.DUMMYFUNCTION("""COMPUTED_VALUE"""),"Dysfunctional")</f>
        <v>Dysfunctional</v>
      </c>
      <c r="B69" s="8" t="str">
        <f>IFERROR(__xludf.DUMMYFUNCTION("""COMPUTED_VALUE"""),"(impaired, damaged, maladjusted) ")</f>
        <v>(impaired, damaged, maladjusted) </v>
      </c>
      <c r="C69" s="13" t="str">
        <f>IFERROR(__xludf.DUMMYFUNCTION("""COMPUTED_VALUE"""),"""jthr"":{""label"":""Dysfunctional"",""extra"":""(impaired, damaged, maladjusted) "",""sets"":""Expansion Set 2, Party Set""},")</f>
        <v>"jthr":{"label":"Dysfunctional","extra":"(impaired, damaged, maladjusted) ","sets":"Expansion Set 2, Party Set"},</v>
      </c>
    </row>
    <row r="70">
      <c r="A70" s="8" t="str">
        <f>IFERROR(__xludf.DUMMYFUNCTION("""COMPUTED_VALUE"""),"Earthy")</f>
        <v>Earthy</v>
      </c>
      <c r="B70" s="8" t="str">
        <f>IFERROR(__xludf.DUMMYFUNCTION("""COMPUTED_VALUE"""),"(unrefined, natural, crude) ")</f>
        <v>(unrefined, natural, crude) </v>
      </c>
      <c r="C70" s="13" t="str">
        <f>IFERROR(__xludf.DUMMYFUNCTION("""COMPUTED_VALUE"""),"""vmfp"":{""label"":""Earthy"",""extra"":""(unrefined, natural, crude) "",""sets"":""Basic Set, Party Set""},")</f>
        <v>"vmfp":{"label":"Earthy","extra":"(unrefined, natural, crude) ","sets":"Basic Set, Party Set"},</v>
      </c>
    </row>
    <row r="71">
      <c r="A71" s="8" t="str">
        <f>IFERROR(__xludf.DUMMYFUNCTION("""COMPUTED_VALUE"""),"Easy")</f>
        <v>Easy</v>
      </c>
      <c r="B71" s="8" t="str">
        <f>IFERROR(__xludf.DUMMYFUNCTION("""COMPUTED_VALUE"""),"(effortless, gentle, promiscuous) ")</f>
        <v>(effortless, gentle, promiscuous) </v>
      </c>
      <c r="C71" s="13" t="str">
        <f>IFERROR(__xludf.DUMMYFUNCTION("""COMPUTED_VALUE"""),"""bhek"":{""label"":""Easy"",""extra"":""(effortless, gentle, promiscuous) "",""sets"":""Basic Set, Party Set""},")</f>
        <v>"bhek":{"label":"Easy","extra":"(effortless, gentle, promiscuous) ","sets":"Basic Set, Party Set"},</v>
      </c>
    </row>
    <row r="72">
      <c r="A72" s="8" t="str">
        <f>IFERROR(__xludf.DUMMYFUNCTION("""COMPUTED_VALUE"""),"Eccentric")</f>
        <v>Eccentric</v>
      </c>
      <c r="B72" s="8" t="str">
        <f>IFERROR(__xludf.DUMMYFUNCTION("""COMPUTED_VALUE"""),"(peculiar, odd, bizarre) ")</f>
        <v>(peculiar, odd, bizarre) </v>
      </c>
      <c r="C72" s="13" t="str">
        <f>IFERROR(__xludf.DUMMYFUNCTION("""COMPUTED_VALUE"""),"""rvug"":{""label"":""Eccentric"",""extra"":""(peculiar, odd, bizarre) "",""sets"":""Expansion Set 2, Party Set""},")</f>
        <v>"rvug":{"label":"Eccentric","extra":"(peculiar, odd, bizarre) ","sets":"Expansion Set 2, Party Set"},</v>
      </c>
    </row>
    <row r="73">
      <c r="A73" s="8" t="str">
        <f>IFERROR(__xludf.DUMMYFUNCTION("""COMPUTED_VALUE"""),"Elitist")</f>
        <v>Elitist</v>
      </c>
      <c r="B73" s="8" t="str">
        <f>IFERROR(__xludf.DUMMYFUNCTION("""COMPUTED_VALUE"""),"(snobbish, arrogant, smug) ")</f>
        <v>(snobbish, arrogant, smug) </v>
      </c>
      <c r="C73" s="13" t="str">
        <f>IFERROR(__xludf.DUMMYFUNCTION("""COMPUTED_VALUE"""),"""tyfy"":{""label"":""Elitist"",""extra"":""(snobbish, arrogant, smug) "",""sets"":""Expansion Set 2, Party Set""},")</f>
        <v>"tyfy":{"label":"Elitist","extra":"(snobbish, arrogant, smug) ","sets":"Expansion Set 2, Party Set"},</v>
      </c>
    </row>
    <row r="74">
      <c r="A74" s="8" t="str">
        <f>IFERROR(__xludf.DUMMYFUNCTION("""COMPUTED_VALUE"""),"Emotional")</f>
        <v>Emotional</v>
      </c>
      <c r="B74" s="8" t="str">
        <f>IFERROR(__xludf.DUMMYFUNCTION("""COMPUTED_VALUE"""),"(passionate, moving, volatile) ")</f>
        <v>(passionate, moving, volatile) </v>
      </c>
      <c r="C74" s="13" t="str">
        <f>IFERROR(__xludf.DUMMYFUNCTION("""COMPUTED_VALUE"""),"""erlx"":{""label"":""Emotional"",""extra"":""(passionate, moving, volatile) "",""sets"":""Expansion Set 2, Party Set""},")</f>
        <v>"erlx":{"label":"Emotional","extra":"(passionate, moving, volatile) ","sets":"Expansion Set 2, Party Set"},</v>
      </c>
    </row>
    <row r="75">
      <c r="A75" s="8" t="str">
        <f>IFERROR(__xludf.DUMMYFUNCTION("""COMPUTED_VALUE"""),"Eternal")</f>
        <v>Eternal</v>
      </c>
      <c r="B75" s="8" t="str">
        <f>IFERROR(__xludf.DUMMYFUNCTION("""COMPUTED_VALUE"""),"(timeless, immortal, perpetual) ")</f>
        <v>(timeless, immortal, perpetual) </v>
      </c>
      <c r="C75" s="13" t="str">
        <f>IFERROR(__xludf.DUMMYFUNCTION("""COMPUTED_VALUE"""),"""dfth"":{""label"":""Eternal"",""extra"":""(timeless, immortal, perpetual) "",""sets"":""Expansion Set 2, Party Set""},")</f>
        <v>"dfth":{"label":"Eternal","extra":"(timeless, immortal, perpetual) ","sets":"Expansion Set 2, Party Set"},</v>
      </c>
    </row>
    <row r="76">
      <c r="A76" s="8" t="str">
        <f>IFERROR(__xludf.DUMMYFUNCTION("""COMPUTED_VALUE"""),"European")</f>
        <v>European</v>
      </c>
      <c r="B76" s="8" t="str">
        <f>IFERROR(__xludf.DUMMYFUNCTION("""COMPUTED_VALUE"""),"(of Europe, from Europe, about Europe) ")</f>
        <v>(of Europe, from Europe, about Europe) </v>
      </c>
      <c r="C76" s="13" t="str">
        <f>IFERROR(__xludf.DUMMYFUNCTION("""COMPUTED_VALUE"""),"""qhyd"":{""label"":""European"",""extra"":""(of Europe, from Europe, about Europe) "",""sets"":""Expansion Set 2, Party Set""},")</f>
        <v>"qhyd":{"label":"European","extra":"(of Europe, from Europe, about Europe) ","sets":"Expansion Set 2, Party Set"},</v>
      </c>
    </row>
    <row r="77">
      <c r="A77" s="8" t="str">
        <f>IFERROR(__xludf.DUMMYFUNCTION("""COMPUTED_VALUE"""),"Exciting")</f>
        <v>Exciting</v>
      </c>
      <c r="B77" s="8" t="str">
        <f>IFERROR(__xludf.DUMMYFUNCTION("""COMPUTED_VALUE"""),"(thrilling, breathtaking, arousing) ")</f>
        <v>(thrilling, breathtaking, arousing) </v>
      </c>
      <c r="C77" s="13" t="str">
        <f>IFERROR(__xludf.DUMMYFUNCTION("""COMPUTED_VALUE"""),"""qmie"":{""label"":""Exciting"",""extra"":""(thrilling, breathtaking, arousing) "",""sets"":""Expansion Set 1, Party Set""},")</f>
        <v>"qmie":{"label":"Exciting","extra":"(thrilling, breathtaking, arousing) ","sets":"Expansion Set 1, Party Set"},</v>
      </c>
    </row>
    <row r="78">
      <c r="A78" s="8" t="str">
        <f>IFERROR(__xludf.DUMMYFUNCTION("""COMPUTED_VALUE"""),"Exhausting")</f>
        <v>Exhausting</v>
      </c>
      <c r="B78" s="8" t="str">
        <f>IFERROR(__xludf.DUMMYFUNCTION("""COMPUTED_VALUE"""),"(weakening, tiring, draining) ")</f>
        <v>(weakening, tiring, draining) </v>
      </c>
      <c r="C78" s="13" t="str">
        <f>IFERROR(__xludf.DUMMYFUNCTION("""COMPUTED_VALUE"""),"""qqje"":{""label"":""Exhausting"",""extra"":""(weakening, tiring, draining) "",""sets"":""Expansion Set 2, Party Set""},")</f>
        <v>"qqje":{"label":"Exhausting","extra":"(weakening, tiring, draining) ","sets":"Expansion Set 2, Party Set"},</v>
      </c>
    </row>
    <row r="79">
      <c r="A79" s="8" t="str">
        <f>IFERROR(__xludf.DUMMYFUNCTION("""COMPUTED_VALUE"""),"Expensive")</f>
        <v>Expensive</v>
      </c>
      <c r="B79" s="8" t="str">
        <f>IFERROR(__xludf.DUMMYFUNCTION("""COMPUTED_VALUE"""),"(costly, valuable, exorbitant) ")</f>
        <v>(costly, valuable, exorbitant) </v>
      </c>
      <c r="C79" s="13" t="str">
        <f>IFERROR(__xludf.DUMMYFUNCTION("""COMPUTED_VALUE"""),"""gkss"":{""label"":""Expensive"",""extra"":""(costly, valuable, exorbitant) "",""sets"":""Basic Set, Party Set""},")</f>
        <v>"gkss":{"label":"Expensive","extra":"(costly, valuable, exorbitant) ","sets":"Basic Set, Party Set"},</v>
      </c>
    </row>
    <row r="80">
      <c r="A80" s="8" t="str">
        <f>IFERROR(__xludf.DUMMYFUNCTION("""COMPUTED_VALUE"""),"Explosive")</f>
        <v>Explosive</v>
      </c>
      <c r="B80" s="8" t="str">
        <f>IFERROR(__xludf.DUMMYFUNCTION("""COMPUTED_VALUE"""),"(bursting, blasting, dangerous) ")</f>
        <v>(bursting, blasting, dangerous) </v>
      </c>
      <c r="C80" s="13" t="str">
        <f>IFERROR(__xludf.DUMMYFUNCTION("""COMPUTED_VALUE"""),"""ywqg"":{""label"":""Explosive"",""extra"":""(bursting, blasting, dangerous) "",""sets"":""Expansion Set 1, Party Set""},")</f>
        <v>"ywqg":{"label":"Explosive","extra":"(bursting, blasting, dangerous) ","sets":"Expansion Set 1, Party Set"},</v>
      </c>
    </row>
    <row r="81">
      <c r="A81" s="8" t="str">
        <f>IFERROR(__xludf.DUMMYFUNCTION("""COMPUTED_VALUE"""),"Exquisite")</f>
        <v>Exquisite</v>
      </c>
      <c r="B81" s="8" t="str">
        <f>IFERROR(__xludf.DUMMYFUNCTION("""COMPUTED_VALUE"""),"(excellent, refined, flawless) ")</f>
        <v>(excellent, refined, flawless) </v>
      </c>
      <c r="C81" s="13" t="str">
        <f>IFERROR(__xludf.DUMMYFUNCTION("""COMPUTED_VALUE"""),"""igdd"":{""label"":""Exquisite"",""extra"":""(excellent, refined, flawless) "",""sets"":""Expansion Set 2, Party Set""},")</f>
        <v>"igdd":{"label":"Exquisite","extra":"(excellent, refined, flawless) ","sets":"Expansion Set 2, Party Set"},</v>
      </c>
    </row>
    <row r="82">
      <c r="A82" s="8" t="str">
        <f>IFERROR(__xludf.DUMMYFUNCTION("""COMPUTED_VALUE"""),"Extreme")</f>
        <v>Extreme</v>
      </c>
      <c r="B82" s="8" t="str">
        <f>IFERROR(__xludf.DUMMYFUNCTION("""COMPUTED_VALUE"""),"(exceptional, superlative, radical) ")</f>
        <v>(exceptional, superlative, radical) </v>
      </c>
      <c r="C82" s="13" t="str">
        <f>IFERROR(__xludf.DUMMYFUNCTION("""COMPUTED_VALUE"""),"""euzn"":{""label"":""Extreme"",""extra"":""(exceptional, superlative, radical) "",""sets"":""Basic Set, Party Set""},")</f>
        <v>"euzn":{"label":"Extreme","extra":"(exceptional, superlative, radical) ","sets":"Basic Set, Party Set"},</v>
      </c>
    </row>
    <row r="83">
      <c r="A83" s="8" t="str">
        <f>IFERROR(__xludf.DUMMYFUNCTION("""COMPUTED_VALUE"""),"Fabulous")</f>
        <v>Fabulous</v>
      </c>
      <c r="B83" s="8" t="str">
        <f>IFERROR(__xludf.DUMMYFUNCTION("""COMPUTED_VALUE"""),"(marvelous, wonderful, incredible) ")</f>
        <v>(marvelous, wonderful, incredible) </v>
      </c>
      <c r="C83" s="13" t="str">
        <f>IFERROR(__xludf.DUMMYFUNCTION("""COMPUTED_VALUE"""),"""xrfc"":{""label"":""Fabulous"",""extra"":""(marvelous, wonderful, incredible) "",""sets"":""Basic Set, Party Set""},")</f>
        <v>"xrfc":{"label":"Fabulous","extra":"(marvelous, wonderful, incredible) ","sets":"Basic Set, Party Set"},</v>
      </c>
    </row>
    <row r="84">
      <c r="A84" s="8" t="str">
        <f>IFERROR(__xludf.DUMMYFUNCTION("""COMPUTED_VALUE"""),"Fake")</f>
        <v>Fake</v>
      </c>
      <c r="B84" s="8" t="str">
        <f>IFERROR(__xludf.DUMMYFUNCTION("""COMPUTED_VALUE"""),"(unreal, counterfeit, deceptive) ")</f>
        <v>(unreal, counterfeit, deceptive) </v>
      </c>
      <c r="C84" s="13" t="str">
        <f>IFERROR(__xludf.DUMMYFUNCTION("""COMPUTED_VALUE"""),"""ikts"":{""label"":""Fake"",""extra"":""(unreal, counterfeit, deceptive) "",""sets"":""Expansion Set 2, Party Set""},")</f>
        <v>"ikts":{"label":"Fake","extra":"(unreal, counterfeit, deceptive) ","sets":"Expansion Set 2, Party Set"},</v>
      </c>
    </row>
    <row r="85">
      <c r="A85" s="8" t="str">
        <f>IFERROR(__xludf.DUMMYFUNCTION("""COMPUTED_VALUE"""),"Fancy")</f>
        <v>Fancy</v>
      </c>
      <c r="B85" s="8" t="str">
        <f>IFERROR(__xludf.DUMMYFUNCTION("""COMPUTED_VALUE"""),"(showy, ornate, decorated) ")</f>
        <v>(showy, ornate, decorated) </v>
      </c>
      <c r="C85" s="13" t="str">
        <f>IFERROR(__xludf.DUMMYFUNCTION("""COMPUTED_VALUE"""),"""ehut"":{""label"":""Fancy"",""extra"":""(showy, ornate, decorated) "",""sets"":""Expansion Set 1, Party Set""},")</f>
        <v>"ehut":{"label":"Fancy","extra":"(showy, ornate, decorated) ","sets":"Expansion Set 1, Party Set"},</v>
      </c>
    </row>
    <row r="86">
      <c r="A86" s="8" t="str">
        <f>IFERROR(__xludf.DUMMYFUNCTION("""COMPUTED_VALUE"""),"Fantastic")</f>
        <v>Fantastic</v>
      </c>
      <c r="B86" s="8" t="str">
        <f>IFERROR(__xludf.DUMMYFUNCTION("""COMPUTED_VALUE"""),"(awesome, outrageous, imaginary) ")</f>
        <v>(awesome, outrageous, imaginary) </v>
      </c>
      <c r="C86" s="13" t="str">
        <f>IFERROR(__xludf.DUMMYFUNCTION("""COMPUTED_VALUE"""),"""jrdb"":{""label"":""Fantastic"",""extra"":""(awesome, outrageous, imaginary) "",""sets"":""Expansion Set 1, Party Set""},")</f>
        <v>"jrdb":{"label":"Fantastic","extra":"(awesome, outrageous, imaginary) ","sets":"Expansion Set 1, Party Set"},</v>
      </c>
    </row>
    <row r="87">
      <c r="A87" s="8" t="str">
        <f>IFERROR(__xludf.DUMMYFUNCTION("""COMPUTED_VALUE"""),"Feminine")</f>
        <v>Feminine</v>
      </c>
      <c r="B87" s="8" t="str">
        <f>IFERROR(__xludf.DUMMYFUNCTION("""COMPUTED_VALUE"""),"(womanly, ladylike, unmanly) ")</f>
        <v>(womanly, ladylike, unmanly) </v>
      </c>
      <c r="C87" s="13" t="str">
        <f>IFERROR(__xludf.DUMMYFUNCTION("""COMPUTED_VALUE"""),"""npos"":{""label"":""Feminine"",""extra"":""(womanly, ladylike, unmanly) "",""sets"":""Basic Set, Party Set""},")</f>
        <v>"npos":{"label":"Feminine","extra":"(womanly, ladylike, unmanly) ","sets":"Basic Set, Party Set"},</v>
      </c>
    </row>
    <row r="88">
      <c r="A88" s="8" t="str">
        <f>IFERROR(__xludf.DUMMYFUNCTION("""COMPUTED_VALUE"""),"Filthy")</f>
        <v>Filthy</v>
      </c>
      <c r="B88" s="8" t="str">
        <f>IFERROR(__xludf.DUMMYFUNCTION("""COMPUTED_VALUE"""),"(dirty, foul, unclean) ")</f>
        <v>(dirty, foul, unclean) </v>
      </c>
      <c r="C88" s="13" t="str">
        <f>IFERROR(__xludf.DUMMYFUNCTION("""COMPUTED_VALUE"""),"""elky"":{""label"":""Filthy"",""extra"":""(dirty, foul, unclean) "",""sets"":""Basic Set, Party Set""},")</f>
        <v>"elky":{"label":"Filthy","extra":"(dirty, foul, unclean) ","sets":"Basic Set, Party Set"},</v>
      </c>
    </row>
    <row r="89">
      <c r="A89" s="8" t="str">
        <f>IFERROR(__xludf.DUMMYFUNCTION("""COMPUTED_VALUE"""),"Flirtatious")</f>
        <v>Flirtatious</v>
      </c>
      <c r="B89" s="8" t="str">
        <f>IFERROR(__xludf.DUMMYFUNCTION("""COMPUTED_VALUE"""),"(brazen, saucy, forward) ")</f>
        <v>(brazen, saucy, forward) </v>
      </c>
      <c r="C89" s="13" t="str">
        <f>IFERROR(__xludf.DUMMYFUNCTION("""COMPUTED_VALUE"""),"""leco"":{""label"":""Flirtatious"",""extra"":""(brazen, saucy, forward) "",""sets"":""Basic Set, Party Set""},")</f>
        <v>"leco":{"label":"Flirtatious","extra":"(brazen, saucy, forward) ","sets":"Basic Set, Party Set"},</v>
      </c>
    </row>
    <row r="90">
      <c r="A90" s="8" t="str">
        <f>IFERROR(__xludf.DUMMYFUNCTION("""COMPUTED_VALUE"""),"Foreign")</f>
        <v>Foreign</v>
      </c>
      <c r="B90" s="8" t="str">
        <f>IFERROR(__xludf.DUMMYFUNCTION("""COMPUTED_VALUE"""),"(alien, unfamiliar, exotic) ")</f>
        <v>(alien, unfamiliar, exotic) </v>
      </c>
      <c r="C90" s="13" t="str">
        <f>IFERROR(__xludf.DUMMYFUNCTION("""COMPUTED_VALUE"""),"""hmdg"":{""label"":""Foreign"",""extra"":""(alien, unfamiliar, exotic) "",""sets"":""Expansion Set 1, Party Set""},")</f>
        <v>"hmdg":{"label":"Foreign","extra":"(alien, unfamiliar, exotic) ","sets":"Expansion Set 1, Party Set"},</v>
      </c>
    </row>
    <row r="91">
      <c r="A91" s="8" t="str">
        <f>IFERROR(__xludf.DUMMYFUNCTION("""COMPUTED_VALUE"""),"Fragrant")</f>
        <v>Fragrant</v>
      </c>
      <c r="B91" s="8" t="str">
        <f>IFERROR(__xludf.DUMMYFUNCTION("""COMPUTED_VALUE"""),"(aromatic, odorous, perfumed) ")</f>
        <v>(aromatic, odorous, perfumed) </v>
      </c>
      <c r="C91" s="13" t="str">
        <f>IFERROR(__xludf.DUMMYFUNCTION("""COMPUTED_VALUE"""),"""mxgo"":{""label"":""Fragrant"",""extra"":""(aromatic, odorous, perfumed) "",""sets"":""Basic Set, Party Set""},")</f>
        <v>"mxgo":{"label":"Fragrant","extra":"(aromatic, odorous, perfumed) ","sets":"Basic Set, Party Set"},</v>
      </c>
    </row>
    <row r="92">
      <c r="A92" s="8" t="str">
        <f>IFERROR(__xludf.DUMMYFUNCTION("""COMPUTED_VALUE"""),"Frazzled")</f>
        <v>Frazzled</v>
      </c>
      <c r="B92" s="8" t="str">
        <f>IFERROR(__xludf.DUMMYFUNCTION("""COMPUTED_VALUE"""),"(exhausted, frayed, worn) ")</f>
        <v>(exhausted, frayed, worn) </v>
      </c>
      <c r="C92" s="13" t="str">
        <f>IFERROR(__xludf.DUMMYFUNCTION("""COMPUTED_VALUE"""),"""syov"":{""label"":""Frazzled"",""extra"":""(exhausted, frayed, worn) "",""sets"":""Basic Set, Party Set""},")</f>
        <v>"syov":{"label":"Frazzled","extra":"(exhausted, frayed, worn) ","sets":"Basic Set, Party Set"},</v>
      </c>
    </row>
    <row r="93">
      <c r="A93" s="8" t="str">
        <f>IFERROR(__xludf.DUMMYFUNCTION("""COMPUTED_VALUE"""),"Fresh")</f>
        <v>Fresh</v>
      </c>
      <c r="B93" s="8" t="str">
        <f>IFERROR(__xludf.DUMMYFUNCTION("""COMPUTED_VALUE"""),"(new, original, good) ")</f>
        <v>(new, original, good) </v>
      </c>
      <c r="C93" s="13" t="str">
        <f>IFERROR(__xludf.DUMMYFUNCTION("""COMPUTED_VALUE"""),"""ulaw"":{""label"":""Fresh"",""extra"":""(new, original, good) "",""sets"":""Basic Set, Party Set""},")</f>
        <v>"ulaw":{"label":"Fresh","extra":"(new, original, good) ","sets":"Basic Set, Party Set"},</v>
      </c>
    </row>
    <row r="94">
      <c r="A94" s="8" t="str">
        <f>IFERROR(__xludf.DUMMYFUNCTION("""COMPUTED_VALUE"""),"Friendly")</f>
        <v>Friendly</v>
      </c>
      <c r="B94" s="8" t="str">
        <f>IFERROR(__xludf.DUMMYFUNCTION("""COMPUTED_VALUE"""),"(affectionate, comforting, welcoming) ")</f>
        <v>(affectionate, comforting, welcoming) </v>
      </c>
      <c r="C94" s="13" t="str">
        <f>IFERROR(__xludf.DUMMYFUNCTION("""COMPUTED_VALUE"""),"""pabe"":{""label"":""Friendly"",""extra"":""(affectionate, comforting, welcoming) "",""sets"":""Expansion Set 2, Party Set""},")</f>
        <v>"pabe":{"label":"Friendly","extra":"(affectionate, comforting, welcoming) ","sets":"Expansion Set 2, Party Set"},</v>
      </c>
    </row>
    <row r="95">
      <c r="A95" s="8" t="str">
        <f>IFERROR(__xludf.DUMMYFUNCTION("""COMPUTED_VALUE"""),"Frightening")</f>
        <v>Frightening</v>
      </c>
      <c r="B95" s="8" t="str">
        <f>IFERROR(__xludf.DUMMYFUNCTION("""COMPUTED_VALUE"""),"(scary, horrifying, awesome) ")</f>
        <v>(scary, horrifying, awesome) </v>
      </c>
      <c r="C95" s="13" t="str">
        <f>IFERROR(__xludf.DUMMYFUNCTION("""COMPUTED_VALUE"""),"""rpcr"":{""label"":""Frightening"",""extra"":""(scary, horrifying, awesome) "",""sets"":""Basic Set, Party Set""},")</f>
        <v>"rpcr":{"label":"Frightening","extra":"(scary, horrifying, awesome) ","sets":"Basic Set, Party Set"},</v>
      </c>
    </row>
    <row r="96">
      <c r="A96" s="8" t="str">
        <f>IFERROR(__xludf.DUMMYFUNCTION("""COMPUTED_VALUE"""),"Frivolous")</f>
        <v>Frivolous</v>
      </c>
      <c r="B96" s="8" t="str">
        <f>IFERROR(__xludf.DUMMYFUNCTION("""COMPUTED_VALUE"""),"(trivial, silly, shallow)")</f>
        <v>(trivial, silly, shallow)</v>
      </c>
      <c r="C96" s="13" t="str">
        <f>IFERROR(__xludf.DUMMYFUNCTION("""COMPUTED_VALUE"""),"""jnsq"":{""label"":""Frivolous"",""extra"":""(trivial, silly, shallow)"",""sets"":""Party Set""},")</f>
        <v>"jnsq":{"label":"Frivolous","extra":"(trivial, silly, shallow)","sets":"Party Set"},</v>
      </c>
    </row>
    <row r="97">
      <c r="A97" s="8" t="str">
        <f>IFERROR(__xludf.DUMMYFUNCTION("""COMPUTED_VALUE"""),"Funky")</f>
        <v>Funky</v>
      </c>
      <c r="B97" s="8" t="str">
        <f>IFERROR(__xludf.DUMMYFUNCTION("""COMPUTED_VALUE"""),"(groovy, psychedelic, hip) ")</f>
        <v>(groovy, psychedelic, hip) </v>
      </c>
      <c r="C97" s="13" t="str">
        <f>IFERROR(__xludf.DUMMYFUNCTION("""COMPUTED_VALUE"""),"""nlsn"":{""label"":""Funky"",""extra"":""(groovy, psychedelic, hip) "",""sets"":""Expansion Set 1, Party Set""},")</f>
        <v>"nlsn":{"label":"Funky","extra":"(groovy, psychedelic, hip) ","sets":"Expansion Set 1, Party Set"},</v>
      </c>
    </row>
    <row r="98">
      <c r="A98" s="8" t="str">
        <f>IFERROR(__xludf.DUMMYFUNCTION("""COMPUTED_VALUE"""),"Funny")</f>
        <v>Funny</v>
      </c>
      <c r="B98" s="8" t="str">
        <f>IFERROR(__xludf.DUMMYFUNCTION("""COMPUTED_VALUE"""),"(amusing, comic, odd) ")</f>
        <v>(amusing, comic, odd) </v>
      </c>
      <c r="C98" s="13" t="str">
        <f>IFERROR(__xludf.DUMMYFUNCTION("""COMPUTED_VALUE"""),"""hnfn"":{""label"":""Funny"",""extra"":""(amusing, comic, odd) "",""sets"":""Expansion Set 1, Party Set""},")</f>
        <v>"hnfn":{"label":"Funny","extra":"(amusing, comic, odd) ","sets":"Expansion Set 1, Party Set"},</v>
      </c>
    </row>
    <row r="99">
      <c r="A99" s="8" t="str">
        <f>IFERROR(__xludf.DUMMYFUNCTION("""COMPUTED_VALUE"""),"Furious")</f>
        <v>Furious</v>
      </c>
      <c r="B99" s="8" t="str">
        <f>IFERROR(__xludf.DUMMYFUNCTION("""COMPUTED_VALUE"""),"(angry, raging, wild) ")</f>
        <v>(angry, raging, wild) </v>
      </c>
      <c r="C99" s="13" t="str">
        <f>IFERROR(__xludf.DUMMYFUNCTION("""COMPUTED_VALUE"""),"""ikzh"":{""label"":""Furious"",""extra"":""(angry, raging, wild) "",""sets"":""Expansion Set 1, Party Set""},")</f>
        <v>"ikzh":{"label":"Furious","extra":"(angry, raging, wild) ","sets":"Expansion Set 1, Party Set"},</v>
      </c>
    </row>
    <row r="100">
      <c r="A100" s="8" t="str">
        <f>IFERROR(__xludf.DUMMYFUNCTION("""COMPUTED_VALUE"""),"Fuzzy")</f>
        <v>Fuzzy</v>
      </c>
      <c r="B100" s="8" t="str">
        <f>IFERROR(__xludf.DUMMYFUNCTION("""COMPUTED_VALUE"""),"(downy, unclear, furry) ")</f>
        <v>(downy, unclear, furry) </v>
      </c>
      <c r="C100" s="13" t="str">
        <f>IFERROR(__xludf.DUMMYFUNCTION("""COMPUTED_VALUE"""),"""whaf"":{""label"":""Fuzzy"",""extra"":""(downy, unclear, furry) "",""sets"":""Expansion Set 2, Party Set""},")</f>
        <v>"whaf":{"label":"Fuzzy","extra":"(downy, unclear, furry) ","sets":"Expansion Set 2, Party Set"},</v>
      </c>
    </row>
    <row r="101">
      <c r="A101" s="8" t="str">
        <f>IFERROR(__xludf.DUMMYFUNCTION("""COMPUTED_VALUE"""),"Glamorous")</f>
        <v>Glamorous</v>
      </c>
      <c r="B101" s="8" t="str">
        <f>IFERROR(__xludf.DUMMYFUNCTION("""COMPUTED_VALUE"""),"(beautiful, dazzling, stylish) ")</f>
        <v>(beautiful, dazzling, stylish) </v>
      </c>
      <c r="C101" s="13" t="str">
        <f>IFERROR(__xludf.DUMMYFUNCTION("""COMPUTED_VALUE"""),"""ipir"":{""label"":""Glamorous"",""extra"":""(beautiful, dazzling, stylish) "",""sets"":""Expansion Set 1, Party Set""},")</f>
        <v>"ipir":{"label":"Glamorous","extra":"(beautiful, dazzling, stylish) ","sets":"Expansion Set 1, Party Set"},</v>
      </c>
    </row>
    <row r="102">
      <c r="A102" s="8" t="str">
        <f>IFERROR(__xludf.DUMMYFUNCTION("""COMPUTED_VALUE"""),"Glitzy")</f>
        <v>Glitzy</v>
      </c>
      <c r="B102" s="8" t="str">
        <f>IFERROR(__xludf.DUMMYFUNCTION("""COMPUTED_VALUE"""),"(flashy, showy, gaudy) ")</f>
        <v>(flashy, showy, gaudy) </v>
      </c>
      <c r="C102" s="13" t="str">
        <f>IFERROR(__xludf.DUMMYFUNCTION("""COMPUTED_VALUE"""),"""kjnn"":{""label"":""Glitzy"",""extra"":""(flashy, showy, gaudy) "",""sets"":""Expansion Set 2, Party Set""},")</f>
        <v>"kjnn":{"label":"Glitzy","extra":"(flashy, showy, gaudy) ","sets":"Expansion Set 2, Party Set"},</v>
      </c>
    </row>
    <row r="103">
      <c r="A103" s="8" t="str">
        <f>IFERROR(__xludf.DUMMYFUNCTION("""COMPUTED_VALUE"""),"Global")</f>
        <v>Global</v>
      </c>
      <c r="B103" s="8" t="str">
        <f>IFERROR(__xludf.DUMMYFUNCTION("""COMPUTED_VALUE"""),"(world-wide, spherical, universal) ")</f>
        <v>(world-wide, spherical, universal) </v>
      </c>
      <c r="C103" s="13" t="str">
        <f>IFERROR(__xludf.DUMMYFUNCTION("""COMPUTED_VALUE"""),"""kigt"":{""label"":""Global"",""extra"":""(world-wide, spherical, universal) "",""sets"":""Expansion Set 2, Party Set""},")</f>
        <v>"kigt":{"label":"Global","extra":"(world-wide, spherical, universal) ","sets":"Expansion Set 2, Party Set"},</v>
      </c>
    </row>
    <row r="104">
      <c r="A104" s="8" t="str">
        <f>IFERROR(__xludf.DUMMYFUNCTION("""COMPUTED_VALUE"""),"Glorious")</f>
        <v>Glorious</v>
      </c>
      <c r="B104" s="8" t="str">
        <f>IFERROR(__xludf.DUMMYFUNCTION("""COMPUTED_VALUE"""),"(magnificent, delightful, splendid) ")</f>
        <v>(magnificent, delightful, splendid) </v>
      </c>
      <c r="C104" s="13" t="str">
        <f>IFERROR(__xludf.DUMMYFUNCTION("""COMPUTED_VALUE"""),"""flyx"":{""label"":""Glorious"",""extra"":""(magnificent, delightful, splendid) "",""sets"":""Expansion Set 2, Party Set""},")</f>
        <v>"flyx":{"label":"Glorious","extra":"(magnificent, delightful, splendid) ","sets":"Expansion Set 2, Party Set"},</v>
      </c>
    </row>
    <row r="105">
      <c r="A105" s="8" t="str">
        <f>IFERROR(__xludf.DUMMYFUNCTION("""COMPUTED_VALUE"""),"Goody-Goody")</f>
        <v>Goody-Goody</v>
      </c>
      <c r="B105" s="8" t="str">
        <f>IFERROR(__xludf.DUMMYFUNCTION("""COMPUTED_VALUE"""),"(sweet, well-behaved, virtuous) ")</f>
        <v>(sweet, well-behaved, virtuous) </v>
      </c>
      <c r="C105" s="13" t="str">
        <f>IFERROR(__xludf.DUMMYFUNCTION("""COMPUTED_VALUE"""),"""lcjx"":{""label"":""Goody-Goody"",""extra"":""(sweet, well-behaved, virtuous) "",""sets"":""Expansion Set 2, Party Set""},")</f>
        <v>"lcjx":{"label":"Goody-Goody","extra":"(sweet, well-behaved, virtuous) ","sets":"Expansion Set 2, Party Set"},</v>
      </c>
    </row>
    <row r="106">
      <c r="A106" s="8" t="str">
        <f>IFERROR(__xludf.DUMMYFUNCTION("""COMPUTED_VALUE"""),"Graceful")</f>
        <v>Graceful</v>
      </c>
      <c r="B106" s="8" t="str">
        <f>IFERROR(__xludf.DUMMYFUNCTION("""COMPUTED_VALUE"""),"(elegant, supple, limber) ")</f>
        <v>(elegant, supple, limber) </v>
      </c>
      <c r="C106" s="13" t="str">
        <f>IFERROR(__xludf.DUMMYFUNCTION("""COMPUTED_VALUE"""),"""yiio"":{""label"":""Graceful"",""extra"":""(elegant, supple, limber) "",""sets"":""Basic Set, Party Set""},")</f>
        <v>"yiio":{"label":"Graceful","extra":"(elegant, supple, limber) ","sets":"Basic Set, Party Set"},</v>
      </c>
    </row>
    <row r="107">
      <c r="A107" s="8" t="str">
        <f>IFERROR(__xludf.DUMMYFUNCTION("""COMPUTED_VALUE"""),"Handsome")</f>
        <v>Handsome</v>
      </c>
      <c r="B107" s="8" t="str">
        <f>IFERROR(__xludf.DUMMYFUNCTION("""COMPUTED_VALUE"""),"(attractive, elegant, fine) ")</f>
        <v>(attractive, elegant, fine) </v>
      </c>
      <c r="C107" s="13" t="str">
        <f>IFERROR(__xludf.DUMMYFUNCTION("""COMPUTED_VALUE"""),"""qovt"":{""label"":""Handsome"",""extra"":""(attractive, elegant, fine) "",""sets"":""Basic Set, Party Set""},")</f>
        <v>"qovt":{"label":"Handsome","extra":"(attractive, elegant, fine) ","sets":"Basic Set, Party Set"},</v>
      </c>
    </row>
    <row r="108">
      <c r="A108" s="8" t="str">
        <f>IFERROR(__xludf.DUMMYFUNCTION("""COMPUTED_VALUE"""),"Hardworking")</f>
        <v>Hardworking</v>
      </c>
      <c r="B108" s="8" t="str">
        <f>IFERROR(__xludf.DUMMYFUNCTION("""COMPUTED_VALUE"""),"(industrious, diligent, busy) ")</f>
        <v>(industrious, diligent, busy) </v>
      </c>
      <c r="C108" s="13" t="str">
        <f>IFERROR(__xludf.DUMMYFUNCTION("""COMPUTED_VALUE"""),"""uvpy"":{""label"":""Hardworking"",""extra"":""(industrious, diligent, busy) "",""sets"":""Basic Set, Party Set""},")</f>
        <v>"uvpy":{"label":"Hardworking","extra":"(industrious, diligent, busy) ","sets":"Basic Set, Party Set"},</v>
      </c>
    </row>
    <row r="109">
      <c r="A109" s="8" t="str">
        <f>IFERROR(__xludf.DUMMYFUNCTION("""COMPUTED_VALUE"""),"Harmful")</f>
        <v>Harmful</v>
      </c>
      <c r="B109" s="8" t="str">
        <f>IFERROR(__xludf.DUMMYFUNCTION("""COMPUTED_VALUE"""),"(hurtful, unhealthy, damaging) ")</f>
        <v>(hurtful, unhealthy, damaging) </v>
      </c>
      <c r="C109" s="13" t="str">
        <f>IFERROR(__xludf.DUMMYFUNCTION("""COMPUTED_VALUE"""),"""eebx"":{""label"":""Harmful"",""extra"":""(hurtful, unhealthy, damaging) "",""sets"":""Expansion Set 1, Party Set""},")</f>
        <v>"eebx":{"label":"Harmful","extra":"(hurtful, unhealthy, damaging) ","sets":"Expansion Set 1, Party Set"},</v>
      </c>
    </row>
    <row r="110">
      <c r="A110" s="8" t="str">
        <f>IFERROR(__xludf.DUMMYFUNCTION("""COMPUTED_VALUE"""),"Haunting")</f>
        <v>Haunting</v>
      </c>
      <c r="B110" s="8" t="str">
        <f>IFERROR(__xludf.DUMMYFUNCTION("""COMPUTED_VALUE"""),"(unforgettable, bewitching, unearthly) ")</f>
        <v>(unforgettable, bewitching, unearthly) </v>
      </c>
      <c r="C110" s="13" t="str">
        <f>IFERROR(__xludf.DUMMYFUNCTION("""COMPUTED_VALUE"""),"""pyyp"":{""label"":""Haunting"",""extra"":""(unforgettable, bewitching, unearthly) "",""sets"":""Expansion Set 2, Party Set""},")</f>
        <v>"pyyp":{"label":"Haunting","extra":"(unforgettable, bewitching, unearthly) ","sets":"Expansion Set 2, Party Set"},</v>
      </c>
    </row>
    <row r="111">
      <c r="A111" s="8" t="str">
        <f>IFERROR(__xludf.DUMMYFUNCTION("""COMPUTED_VALUE"""),"Healthy")</f>
        <v>Healthy</v>
      </c>
      <c r="B111" s="8" t="str">
        <f>IFERROR(__xludf.DUMMYFUNCTION("""COMPUTED_VALUE"""),"(hearty, robust, wholesome) ")</f>
        <v>(hearty, robust, wholesome) </v>
      </c>
      <c r="C111" s="13" t="str">
        <f>IFERROR(__xludf.DUMMYFUNCTION("""COMPUTED_VALUE"""),"""dtjr"":{""label"":""Healthy"",""extra"":""(hearty, robust, wholesome) "",""sets"":""Expansion Set 2, Party Set""},")</f>
        <v>"dtjr":{"label":"Healthy","extra":"(hearty, robust, wholesome) ","sets":"Expansion Set 2, Party Set"},</v>
      </c>
    </row>
    <row r="112">
      <c r="A112" s="8" t="str">
        <f>IFERROR(__xludf.DUMMYFUNCTION("""COMPUTED_VALUE"""),"Heartless")</f>
        <v>Heartless</v>
      </c>
      <c r="B112" s="8" t="str">
        <f>IFERROR(__xludf.DUMMYFUNCTION("""COMPUTED_VALUE"""),"(insensitive, cruel, uncaring) ")</f>
        <v>(insensitive, cruel, uncaring) </v>
      </c>
      <c r="C112" s="13" t="str">
        <f>IFERROR(__xludf.DUMMYFUNCTION("""COMPUTED_VALUE"""),"""jfpo"":{""label"":""Heartless"",""extra"":""(insensitive, cruel, uncaring) "",""sets"":""Expansion Set 1, Party Set""},")</f>
        <v>"jfpo":{"label":"Heartless","extra":"(insensitive, cruel, uncaring) ","sets":"Expansion Set 1, Party Set"},</v>
      </c>
    </row>
    <row r="113">
      <c r="A113" s="8" t="str">
        <f>IFERROR(__xludf.DUMMYFUNCTION("""COMPUTED_VALUE"""),"Hilarious")</f>
        <v>Hilarious</v>
      </c>
      <c r="B113" s="8" t="str">
        <f>IFERROR(__xludf.DUMMYFUNCTION("""COMPUTED_VALUE"""),"(funny, witty, amusing) ")</f>
        <v>(funny, witty, amusing) </v>
      </c>
      <c r="C113" s="13" t="str">
        <f>IFERROR(__xludf.DUMMYFUNCTION("""COMPUTED_VALUE"""),"""teji"":{""label"":""Hilarious"",""extra"":""(funny, witty, amusing) "",""sets"":""Basic Set, Party Set""},")</f>
        <v>"teji":{"label":"Hilarious","extra":"(funny, witty, amusing) ","sets":"Basic Set, Party Set"},</v>
      </c>
    </row>
    <row r="114">
      <c r="A114" s="8" t="str">
        <f>IFERROR(__xludf.DUMMYFUNCTION("""COMPUTED_VALUE"""),"Honorable")</f>
        <v>Honorable</v>
      </c>
      <c r="B114" s="8" t="str">
        <f>IFERROR(__xludf.DUMMYFUNCTION("""COMPUTED_VALUE"""),"(honest, just, virtuous) ")</f>
        <v>(honest, just, virtuous) </v>
      </c>
      <c r="C114" s="13" t="str">
        <f>IFERROR(__xludf.DUMMYFUNCTION("""COMPUTED_VALUE"""),"""sbxe"":{""label"":""Honorable"",""extra"":""(honest, just, virtuous) "",""sets"":""Basic Set, Party Set""},")</f>
        <v>"sbxe":{"label":"Honorable","extra":"(honest, just, virtuous) ","sets":"Basic Set, Party Set"},</v>
      </c>
    </row>
    <row r="115">
      <c r="A115" s="8" t="str">
        <f>IFERROR(__xludf.DUMMYFUNCTION("""COMPUTED_VALUE"""),"Hopeless")</f>
        <v>Hopeless</v>
      </c>
      <c r="B115" s="8" t="str">
        <f>IFERROR(__xludf.DUMMYFUNCTION("""COMPUTED_VALUE"""),"(pessimistic, desperate, downhearted) ")</f>
        <v>(pessimistic, desperate, downhearted) </v>
      </c>
      <c r="C115" s="13" t="str">
        <f>IFERROR(__xludf.DUMMYFUNCTION("""COMPUTED_VALUE"""),"""eybw"":{""label"":""Hopeless"",""extra"":""(pessimistic, desperate, downhearted) "",""sets"":""Basic Set, Party Set""},")</f>
        <v>"eybw":{"label":"Hopeless","extra":"(pessimistic, desperate, downhearted) ","sets":"Basic Set, Party Set"},</v>
      </c>
    </row>
    <row r="116">
      <c r="A116" s="8" t="str">
        <f>IFERROR(__xludf.DUMMYFUNCTION("""COMPUTED_VALUE"""),"Horrifying")</f>
        <v>Horrifying</v>
      </c>
      <c r="B116" s="8" t="str">
        <f>IFERROR(__xludf.DUMMYFUNCTION("""COMPUTED_VALUE"""),"(offensive, abominable, disgusting) ")</f>
        <v>(offensive, abominable, disgusting) </v>
      </c>
      <c r="C116" s="13" t="str">
        <f>IFERROR(__xludf.DUMMYFUNCTION("""COMPUTED_VALUE"""),"""xpuk"":{""label"":""Horrifying"",""extra"":""(offensive, abominable, disgusting) "",""sets"":""Basic Set, Party Set""},")</f>
        <v>"xpuk":{"label":"Horrifying","extra":"(offensive, abominable, disgusting) ","sets":"Basic Set, Party Set"},</v>
      </c>
    </row>
    <row r="117">
      <c r="A117" s="8" t="str">
        <f>IFERROR(__xludf.DUMMYFUNCTION("""COMPUTED_VALUE"""),"Hostile")</f>
        <v>Hostile</v>
      </c>
      <c r="B117" s="8" t="str">
        <f>IFERROR(__xludf.DUMMYFUNCTION("""COMPUTED_VALUE"""),"(antagonistic, aggressive, warlike) ")</f>
        <v>(antagonistic, aggressive, warlike) </v>
      </c>
      <c r="C117" s="13" t="str">
        <f>IFERROR(__xludf.DUMMYFUNCTION("""COMPUTED_VALUE"""),"""zsgg"":{""label"":""Hostile"",""extra"":""(antagonistic, aggressive, warlike) "",""sets"":""Basic Set, Party Set""},")</f>
        <v>"zsgg":{"label":"Hostile","extra":"(antagonistic, aggressive, warlike) ","sets":"Basic Set, Party Set"},</v>
      </c>
    </row>
    <row r="118">
      <c r="A118" s="8" t="str">
        <f>IFERROR(__xludf.DUMMYFUNCTION("""COMPUTED_VALUE"""),"Hot")</f>
        <v>Hot</v>
      </c>
      <c r="B118" s="8" t="str">
        <f>IFERROR(__xludf.DUMMYFUNCTION("""COMPUTED_VALUE"""),"(blazing, heated, spicy) ")</f>
        <v>(blazing, heated, spicy) </v>
      </c>
      <c r="C118" s="13" t="str">
        <f>IFERROR(__xludf.DUMMYFUNCTION("""COMPUTED_VALUE"""),"""lrpt"":{""label"":""Hot"",""extra"":""(blazing, heated, spicy) "",""sets"":""Expansion Set 1, Party Set""},")</f>
        <v>"lrpt":{"label":"Hot","extra":"(blazing, heated, spicy) ","sets":"Expansion Set 1, Party Set"},</v>
      </c>
    </row>
    <row r="119">
      <c r="A119" s="8" t="str">
        <f>IFERROR(__xludf.DUMMYFUNCTION("""COMPUTED_VALUE"""),"Idiotic")</f>
        <v>Idiotic</v>
      </c>
      <c r="B119" s="8" t="str">
        <f>IFERROR(__xludf.DUMMYFUNCTION("""COMPUTED_VALUE"""),"(foolish, dumb, moronic) ")</f>
        <v>(foolish, dumb, moronic) </v>
      </c>
      <c r="C119" s="13" t="str">
        <f>IFERROR(__xludf.DUMMYFUNCTION("""COMPUTED_VALUE"""),"""glrc"":{""label"":""Idiotic"",""extra"":""(foolish, dumb, moronic) "",""sets"":""Basic Set, Party Set""},")</f>
        <v>"glrc":{"label":"Idiotic","extra":"(foolish, dumb, moronic) ","sets":"Basic Set, Party Set"},</v>
      </c>
    </row>
    <row r="120">
      <c r="A120" s="8" t="str">
        <f>IFERROR(__xludf.DUMMYFUNCTION("""COMPUTED_VALUE"""),"Important")</f>
        <v>Important</v>
      </c>
      <c r="B120" s="8" t="str">
        <f>IFERROR(__xludf.DUMMYFUNCTION("""COMPUTED_VALUE"""),"(significant, substantial, momentous) ")</f>
        <v>(significant, substantial, momentous) </v>
      </c>
      <c r="C120" s="13" t="str">
        <f>IFERROR(__xludf.DUMMYFUNCTION("""COMPUTED_VALUE"""),"""gneg"":{""label"":""Important"",""extra"":""(significant, substantial, momentous) "",""sets"":""Basic Set, Party Set""},")</f>
        <v>"gneg":{"label":"Important","extra":"(significant, substantial, momentous) ","sets":"Basic Set, Party Set"},</v>
      </c>
    </row>
    <row r="121">
      <c r="A121" s="8" t="str">
        <f>IFERROR(__xludf.DUMMYFUNCTION("""COMPUTED_VALUE"""),"Industrious")</f>
        <v>Industrious</v>
      </c>
      <c r="B121" s="8" t="str">
        <f>IFERROR(__xludf.DUMMYFUNCTION("""COMPUTED_VALUE"""),"(diligent, busy, hard-working) ")</f>
        <v>(diligent, busy, hard-working) </v>
      </c>
      <c r="C121" s="13" t="str">
        <f>IFERROR(__xludf.DUMMYFUNCTION("""COMPUTED_VALUE"""),"""xbed"":{""label"":""Industrious"",""extra"":""(diligent, busy, hard-working) "",""sets"":""Basic Set, Party Set""},")</f>
        <v>"xbed":{"label":"Industrious","extra":"(diligent, busy, hard-working) ","sets":"Basic Set, Party Set"},</v>
      </c>
    </row>
    <row r="122">
      <c r="A122" s="8" t="str">
        <f>IFERROR(__xludf.DUMMYFUNCTION("""COMPUTED_VALUE"""),"Influential")</f>
        <v>Influential</v>
      </c>
      <c r="B122" s="8" t="str">
        <f>IFERROR(__xludf.DUMMYFUNCTION("""COMPUTED_VALUE"""),"(powerful, prominent, important) ")</f>
        <v>(powerful, prominent, important) </v>
      </c>
      <c r="C122" s="13" t="str">
        <f>IFERROR(__xludf.DUMMYFUNCTION("""COMPUTED_VALUE"""),"""jelm"":{""label"":""Influential"",""extra"":""(powerful, prominent, important) "",""sets"":""Basic Set, Party Set""},")</f>
        <v>"jelm":{"label":"Influential","extra":"(powerful, prominent, important) ","sets":"Basic Set, Party Set"},</v>
      </c>
    </row>
    <row r="123">
      <c r="A123" s="8" t="str">
        <f>IFERROR(__xludf.DUMMYFUNCTION("""COMPUTED_VALUE"""),"Innocent")</f>
        <v>Innocent</v>
      </c>
      <c r="B123" s="8" t="str">
        <f>IFERROR(__xludf.DUMMYFUNCTION("""COMPUTED_VALUE"""),"(guiltless, pure, naive) ")</f>
        <v>(guiltless, pure, naive) </v>
      </c>
      <c r="C123" s="13" t="str">
        <f>IFERROR(__xludf.DUMMYFUNCTION("""COMPUTED_VALUE"""),"""uqzl"":{""label"":""Innocent"",""extra"":""(guiltless, pure, naive) "",""sets"":""Expansion Set 2, Party Set""},")</f>
        <v>"uqzl":{"label":"Innocent","extra":"(guiltless, pure, naive) ","sets":"Expansion Set 2, Party Set"},</v>
      </c>
    </row>
    <row r="124">
      <c r="A124" s="8" t="str">
        <f>IFERROR(__xludf.DUMMYFUNCTION("""COMPUTED_VALUE"""),"Insane")</f>
        <v>Insane</v>
      </c>
      <c r="B124" s="8" t="str">
        <f>IFERROR(__xludf.DUMMYFUNCTION("""COMPUTED_VALUE"""),"(psychotic, deranged, mad) ")</f>
        <v>(psychotic, deranged, mad) </v>
      </c>
      <c r="C124" s="13" t="str">
        <f>IFERROR(__xludf.DUMMYFUNCTION("""COMPUTED_VALUE"""),"""xjpp"":{""label"":""Insane"",""extra"":""(psychotic, deranged, mad) "",""sets"":""Expansion Set 2, Party Set""},")</f>
        <v>"xjpp":{"label":"Insane","extra":"(psychotic, deranged, mad) ","sets":"Expansion Set 2, Party Set"},</v>
      </c>
    </row>
    <row r="125">
      <c r="A125" s="8" t="str">
        <f>IFERROR(__xludf.DUMMYFUNCTION("""COMPUTED_VALUE"""),"Inspirational")</f>
        <v>Inspirational</v>
      </c>
      <c r="B125" s="8" t="str">
        <f>IFERROR(__xludf.DUMMYFUNCTION("""COMPUTED_VALUE"""),"(exhilarating, inspiring, stimulating) ")</f>
        <v>(exhilarating, inspiring, stimulating) </v>
      </c>
      <c r="C125" s="13" t="str">
        <f>IFERROR(__xludf.DUMMYFUNCTION("""COMPUTED_VALUE"""),"""jlfe"":{""label"":""Inspirational"",""extra"":""(exhilarating, inspiring, stimulating) "",""sets"":""Basic Set, Party Set""},")</f>
        <v>"jlfe":{"label":"Inspirational","extra":"(exhilarating, inspiring, stimulating) ","sets":"Basic Set, Party Set"},</v>
      </c>
    </row>
    <row r="126">
      <c r="A126" s="8" t="str">
        <f>IFERROR(__xludf.DUMMYFUNCTION("""COMPUTED_VALUE"""),"Insulting")</f>
        <v>Insulting</v>
      </c>
      <c r="B126" s="8" t="str">
        <f>IFERROR(__xludf.DUMMYFUNCTION("""COMPUTED_VALUE"""),"(offending, discourteous, rude) ")</f>
        <v>(offending, discourteous, rude) </v>
      </c>
      <c r="C126" s="13" t="str">
        <f>IFERROR(__xludf.DUMMYFUNCTION("""COMPUTED_VALUE"""),"""auku"":{""label"":""Insulting"",""extra"":""(offending, discourteous, rude) "",""sets"":""Expansion Set 2, Party Set""},")</f>
        <v>"auku":{"label":"Insulting","extra":"(offending, discourteous, rude) ","sets":"Expansion Set 2, Party Set"},</v>
      </c>
    </row>
    <row r="127">
      <c r="A127" s="8" t="str">
        <f>IFERROR(__xludf.DUMMYFUNCTION("""COMPUTED_VALUE"""),"Intelligent")</f>
        <v>Intelligent</v>
      </c>
      <c r="B127" s="8" t="str">
        <f>IFERROR(__xludf.DUMMYFUNCTION("""COMPUTED_VALUE"""),"(bright, smart, brainy) ")</f>
        <v>(bright, smart, brainy) </v>
      </c>
      <c r="C127" s="13" t="str">
        <f>IFERROR(__xludf.DUMMYFUNCTION("""COMPUTED_VALUE"""),"""kksh"":{""label"":""Intelligent"",""extra"":""(bright, smart, brainy) "",""sets"":""Expansion Set 1, Party Set""},")</f>
        <v>"kksh":{"label":"Intelligent","extra":"(bright, smart, brainy) ","sets":"Expansion Set 1, Party Set"},</v>
      </c>
    </row>
    <row r="128">
      <c r="A128" s="8" t="str">
        <f>IFERROR(__xludf.DUMMYFUNCTION("""COMPUTED_VALUE"""),"Intense")</f>
        <v>Intense</v>
      </c>
      <c r="B128" s="8" t="str">
        <f>IFERROR(__xludf.DUMMYFUNCTION("""COMPUTED_VALUE"""),"(extreme, passionate, strained) ")</f>
        <v>(extreme, passionate, strained) </v>
      </c>
      <c r="C128" s="13" t="str">
        <f>IFERROR(__xludf.DUMMYFUNCTION("""COMPUTED_VALUE"""),"""dwek"":{""label"":""Intense"",""extra"":""(extreme, passionate, strained) "",""sets"":""Expansion Set 1, Party Set""},")</f>
        <v>"dwek":{"label":"Intense","extra":"(extreme, passionate, strained) ","sets":"Expansion Set 1, Party Set"},</v>
      </c>
    </row>
    <row r="129">
      <c r="A129" s="8" t="str">
        <f>IFERROR(__xludf.DUMMYFUNCTION("""COMPUTED_VALUE"""),"Irresistible")</f>
        <v>Irresistible</v>
      </c>
      <c r="B129" s="8" t="str">
        <f>IFERROR(__xludf.DUMMYFUNCTION("""COMPUTED_VALUE"""),"(overpowering, overwhelming, compelling) ")</f>
        <v>(overpowering, overwhelming, compelling) </v>
      </c>
      <c r="C129" s="13" t="str">
        <f>IFERROR(__xludf.DUMMYFUNCTION("""COMPUTED_VALUE"""),"""wwfv"":{""label"":""Irresistible"",""extra"":""(overpowering, overwhelming, compelling) "",""sets"":""Expansion Set 2, Party Set""},")</f>
        <v>"wwfv":{"label":"Irresistible","extra":"(overpowering, overwhelming, compelling) ","sets":"Expansion Set 2, Party Set"},</v>
      </c>
    </row>
    <row r="130">
      <c r="A130" s="8" t="str">
        <f>IFERROR(__xludf.DUMMYFUNCTION("""COMPUTED_VALUE"""),"Irritating")</f>
        <v>Irritating</v>
      </c>
      <c r="B130" s="8" t="str">
        <f>IFERROR(__xludf.DUMMYFUNCTION("""COMPUTED_VALUE"""),"(annoying, troublesome, provoking) ")</f>
        <v>(annoying, troublesome, provoking) </v>
      </c>
      <c r="C130" s="13" t="str">
        <f>IFERROR(__xludf.DUMMYFUNCTION("""COMPUTED_VALUE"""),"""dwsv"":{""label"":""Irritating"",""extra"":""(annoying, troublesome, provoking) "",""sets"":""Expansion Set 1, Party Set""},")</f>
        <v>"dwsv":{"label":"Irritating","extra":"(annoying, troublesome, provoking) ","sets":"Expansion Set 1, Party Set"},</v>
      </c>
    </row>
    <row r="131">
      <c r="A131" s="8" t="str">
        <f>IFERROR(__xludf.DUMMYFUNCTION("""COMPUTED_VALUE"""),"Juicy")</f>
        <v>Juicy</v>
      </c>
      <c r="B131" s="8" t="str">
        <f>IFERROR(__xludf.DUMMYFUNCTION("""COMPUTED_VALUE"""),"(drippy, luscious, tantalizing) ")</f>
        <v>(drippy, luscious, tantalizing) </v>
      </c>
      <c r="C131" s="13" t="str">
        <f>IFERROR(__xludf.DUMMYFUNCTION("""COMPUTED_VALUE"""),"""yhhz"":{""label"":""Juicy"",""extra"":""(drippy, luscious, tantalizing) "",""sets"":""Expansion Set 1, Party Set""},")</f>
        <v>"yhhz":{"label":"Juicy","extra":"(drippy, luscious, tantalizing) ","sets":"Expansion Set 1, Party Set"},</v>
      </c>
    </row>
    <row r="132">
      <c r="A132" s="8" t="str">
        <f>IFERROR(__xludf.DUMMYFUNCTION("""COMPUTED_VALUE"""),"Lazy")</f>
        <v>Lazy</v>
      </c>
      <c r="B132" s="8" t="str">
        <f>IFERROR(__xludf.DUMMYFUNCTION("""COMPUTED_VALUE"""),"(lifeless, apathetic, weary) ")</f>
        <v>(lifeless, apathetic, weary) </v>
      </c>
      <c r="C132" s="13" t="str">
        <f>IFERROR(__xludf.DUMMYFUNCTION("""COMPUTED_VALUE"""),"""hwpv"":{""label"":""Lazy"",""extra"":""(lifeless, apathetic, weary) "",""sets"":""Expansion Set 2, Party Set""},")</f>
        <v>"hwpv":{"label":"Lazy","extra":"(lifeless, apathetic, weary) ","sets":"Expansion Set 2, Party Set"},</v>
      </c>
    </row>
    <row r="133">
      <c r="A133" s="8" t="str">
        <f>IFERROR(__xludf.DUMMYFUNCTION("""COMPUTED_VALUE"""),"Legendary")</f>
        <v>Legendary</v>
      </c>
      <c r="B133" s="8" t="str">
        <f>IFERROR(__xludf.DUMMYFUNCTION("""COMPUTED_VALUE"""),"(famous, distinctive, prominent) ")</f>
        <v>(famous, distinctive, prominent) </v>
      </c>
      <c r="C133" s="13" t="str">
        <f>IFERROR(__xludf.DUMMYFUNCTION("""COMPUTED_VALUE"""),"""gvix"":{""label"":""Legendary"",""extra"":""(famous, distinctive, prominent) "",""sets"":""Expansion Set 2, Party Set""},")</f>
        <v>"gvix":{"label":"Legendary","extra":"(famous, distinctive, prominent) ","sets":"Expansion Set 2, Party Set"},</v>
      </c>
    </row>
    <row r="134">
      <c r="A134" s="8" t="str">
        <f>IFERROR(__xludf.DUMMYFUNCTION("""COMPUTED_VALUE"""),"Loud")</f>
        <v>Loud</v>
      </c>
      <c r="B134" s="8" t="str">
        <f>IFERROR(__xludf.DUMMYFUNCTION("""COMPUTED_VALUE"""),"(noisy, boisterous, deafening) ")</f>
        <v>(noisy, boisterous, deafening) </v>
      </c>
      <c r="C134" s="13" t="str">
        <f>IFERROR(__xludf.DUMMYFUNCTION("""COMPUTED_VALUE"""),"""kpbw"":{""label"":""Loud"",""extra"":""(noisy, boisterous, deafening) "",""sets"":""Basic Set, Party Set""},")</f>
        <v>"kpbw":{"label":"Loud","extra":"(noisy, boisterous, deafening) ","sets":"Basic Set, Party Set"},</v>
      </c>
    </row>
    <row r="135">
      <c r="A135" s="8" t="str">
        <f>IFERROR(__xludf.DUMMYFUNCTION("""COMPUTED_VALUE"""),"Lovable")</f>
        <v>Lovable</v>
      </c>
      <c r="B135" s="8" t="str">
        <f>IFERROR(__xludf.DUMMYFUNCTION("""COMPUTED_VALUE"""),"(adorable, endearing, cuddly) ")</f>
        <v>(adorable, endearing, cuddly) </v>
      </c>
      <c r="C135" s="13" t="str">
        <f>IFERROR(__xludf.DUMMYFUNCTION("""COMPUTED_VALUE"""),"""fyov"":{""label"":""Lovable"",""extra"":""(adorable, endearing, cuddly) "",""sets"":""Expansion Set 1, Party Set""},")</f>
        <v>"fyov":{"label":"Lovable","extra":"(adorable, endearing, cuddly) ","sets":"Expansion Set 1, Party Set"},</v>
      </c>
    </row>
    <row r="136">
      <c r="A136" s="8" t="str">
        <f>IFERROR(__xludf.DUMMYFUNCTION("""COMPUTED_VALUE"""),"Lucky")</f>
        <v>Lucky</v>
      </c>
      <c r="B136" s="8" t="str">
        <f>IFERROR(__xludf.DUMMYFUNCTION("""COMPUTED_VALUE"""),"(fortunate, serendipitous, favored) ")</f>
        <v>(fortunate, serendipitous, favored) </v>
      </c>
      <c r="C136" s="13" t="str">
        <f>IFERROR(__xludf.DUMMYFUNCTION("""COMPUTED_VALUE"""),"""zume"":{""label"":""Lucky"",""extra"":""(fortunate, serendipitous, favored) "",""sets"":""Basic Set, Party Set""},")</f>
        <v>"zume":{"label":"Lucky","extra":"(fortunate, serendipitous, favored) ","sets":"Basic Set, Party Set"},</v>
      </c>
    </row>
    <row r="137">
      <c r="A137" s="8" t="str">
        <f>IFERROR(__xludf.DUMMYFUNCTION("""COMPUTED_VALUE"""),"Luscious")</f>
        <v>Luscious</v>
      </c>
      <c r="B137" s="8" t="str">
        <f>IFERROR(__xludf.DUMMYFUNCTION("""COMPUTED_VALUE"""),"(delicious, savory, juicy) ")</f>
        <v>(delicious, savory, juicy) </v>
      </c>
      <c r="C137" s="13" t="str">
        <f>IFERROR(__xludf.DUMMYFUNCTION("""COMPUTED_VALUE"""),"""pyqr"":{""label"":""Luscious"",""extra"":""(delicious, savory, juicy) "",""sets"":""Basic Set, Party Set""},")</f>
        <v>"pyqr":{"label":"Luscious","extra":"(delicious, savory, juicy) ","sets":"Basic Set, Party Set"},</v>
      </c>
    </row>
    <row r="138">
      <c r="A138" s="8" t="str">
        <f>IFERROR(__xludf.DUMMYFUNCTION("""COMPUTED_VALUE"""),"Luxurious")</f>
        <v>Luxurious</v>
      </c>
      <c r="B138" s="8" t="str">
        <f>IFERROR(__xludf.DUMMYFUNCTION("""COMPUTED_VALUE"""),"(opulent, lavish, sumptuous) ")</f>
        <v>(opulent, lavish, sumptuous) </v>
      </c>
      <c r="C138" s="13" t="str">
        <f>IFERROR(__xludf.DUMMYFUNCTION("""COMPUTED_VALUE"""),"""vogv"":{""label"":""Luxurious"",""extra"":""(opulent, lavish, sumptuous) "",""sets"":""Basic Set, Party Set""},")</f>
        <v>"vogv":{"label":"Luxurious","extra":"(opulent, lavish, sumptuous) ","sets":"Basic Set, Party Set"},</v>
      </c>
    </row>
    <row r="139">
      <c r="A139" s="8" t="str">
        <f>IFERROR(__xludf.DUMMYFUNCTION("""COMPUTED_VALUE"""),"Magical")</f>
        <v>Magical</v>
      </c>
      <c r="B139" s="8" t="str">
        <f>IFERROR(__xludf.DUMMYFUNCTION("""COMPUTED_VALUE"""),"(enchanting, miraculous, marvelous) ")</f>
        <v>(enchanting, miraculous, marvelous) </v>
      </c>
      <c r="C139" s="13" t="str">
        <f>IFERROR(__xludf.DUMMYFUNCTION("""COMPUTED_VALUE"""),"""cnam"":{""label"":""Magical"",""extra"":""(enchanting, miraculous, marvelous) "",""sets"":""Basic Set, Party Set""},")</f>
        <v>"cnam":{"label":"Magical","extra":"(enchanting, miraculous, marvelous) ","sets":"Basic Set, Party Set"},</v>
      </c>
    </row>
    <row r="140">
      <c r="A140" s="8" t="str">
        <f>IFERROR(__xludf.DUMMYFUNCTION("""COMPUTED_VALUE"""),"Manly")</f>
        <v>Manly</v>
      </c>
      <c r="B140" s="8" t="str">
        <f>IFERROR(__xludf.DUMMYFUNCTION("""COMPUTED_VALUE"""),"(masculine, virile, strong) ")</f>
        <v>(masculine, virile, strong) </v>
      </c>
      <c r="C140" s="13" t="str">
        <f>IFERROR(__xludf.DUMMYFUNCTION("""COMPUTED_VALUE"""),"""goqa"":{""label"":""Manly"",""extra"":""(masculine, virile, strong) "",""sets"":""Expansion Set 2, Party Set""},")</f>
        <v>"goqa":{"label":"Manly","extra":"(masculine, virile, strong) ","sets":"Expansion Set 2, Party Set"},</v>
      </c>
    </row>
    <row r="141">
      <c r="A141" s="8" t="str">
        <f>IFERROR(__xludf.DUMMYFUNCTION("""COMPUTED_VALUE"""),"Masculine")</f>
        <v>Masculine</v>
      </c>
      <c r="B141" s="8" t="str">
        <f>IFERROR(__xludf.DUMMYFUNCTION("""COMPUTED_VALUE"""),"(male, manly, virile) ")</f>
        <v>(male, manly, virile) </v>
      </c>
      <c r="C141" s="13" t="str">
        <f>IFERROR(__xludf.DUMMYFUNCTION("""COMPUTED_VALUE"""),"""whfi"":{""label"":""Masculine"",""extra"":""(male, manly, virile) "",""sets"":""Basic Set, Party Set""},")</f>
        <v>"whfi":{"label":"Masculine","extra":"(male, manly, virile) ","sets":"Basic Set, Party Set"},</v>
      </c>
    </row>
    <row r="142">
      <c r="A142" s="8" t="str">
        <f>IFERROR(__xludf.DUMMYFUNCTION("""COMPUTED_VALUE"""),"Meek")</f>
        <v>Meek</v>
      </c>
      <c r="B142" s="8" t="str">
        <f>IFERROR(__xludf.DUMMYFUNCTION("""COMPUTED_VALUE"""),"(shy, mild, timid) ")</f>
        <v>(shy, mild, timid) </v>
      </c>
      <c r="C142" s="13" t="str">
        <f>IFERROR(__xludf.DUMMYFUNCTION("""COMPUTED_VALUE"""),"""vhzn"":{""label"":""Meek"",""extra"":""(shy, mild, timid) "",""sets"":""Expansion Set 2, Party Set""},")</f>
        <v>"vhzn":{"label":"Meek","extra":"(shy, mild, timid) ","sets":"Expansion Set 2, Party Set"},</v>
      </c>
    </row>
    <row r="143">
      <c r="A143" s="8" t="str">
        <f>IFERROR(__xludf.DUMMYFUNCTION("""COMPUTED_VALUE"""),"Melodramatic")</f>
        <v>Melodramatic</v>
      </c>
      <c r="B143" s="8" t="str">
        <f>IFERROR(__xludf.DUMMYFUNCTION("""COMPUTED_VALUE"""),"(theatrical, sensational, showy)")</f>
        <v>(theatrical, sensational, showy)</v>
      </c>
      <c r="C143" s="13" t="str">
        <f>IFERROR(__xludf.DUMMYFUNCTION("""COMPUTED_VALUE"""),"""vcwm"":{""label"":""Melodramatic"",""extra"":""(theatrical, sensational, showy)"",""sets"":""Party Set""},")</f>
        <v>"vcwm":{"label":"Melodramatic","extra":"(theatrical, sensational, showy)","sets":"Party Set"},</v>
      </c>
    </row>
    <row r="144">
      <c r="A144" s="8" t="str">
        <f>IFERROR(__xludf.DUMMYFUNCTION("""COMPUTED_VALUE"""),"Mischievous")</f>
        <v>Mischievous</v>
      </c>
      <c r="B144" s="8" t="str">
        <f>IFERROR(__xludf.DUMMYFUNCTION("""COMPUTED_VALUE"""),"(naughty, prankish, sly) ")</f>
        <v>(naughty, prankish, sly) </v>
      </c>
      <c r="C144" s="13" t="str">
        <f>IFERROR(__xludf.DUMMYFUNCTION("""COMPUTED_VALUE"""),"""myuv"":{""label"":""Mischievous"",""extra"":""(naughty, prankish, sly) "",""sets"":""Basic Set, Party Set""},")</f>
        <v>"myuv":{"label":"Mischievous","extra":"(naughty, prankish, sly) ","sets":"Basic Set, Party Set"},</v>
      </c>
    </row>
    <row r="145">
      <c r="A145" s="8" t="str">
        <f>IFERROR(__xludf.DUMMYFUNCTION("""COMPUTED_VALUE"""),"Miserable")</f>
        <v>Miserable</v>
      </c>
      <c r="B145" s="8" t="str">
        <f>IFERROR(__xludf.DUMMYFUNCTION("""COMPUTED_VALUE"""),"(wretched, pitiful, forlorn) ")</f>
        <v>(wretched, pitiful, forlorn) </v>
      </c>
      <c r="C145" s="13" t="str">
        <f>IFERROR(__xludf.DUMMYFUNCTION("""COMPUTED_VALUE"""),"""ahvs"":{""label"":""Miserable"",""extra"":""(wretched, pitiful, forlorn) "",""sets"":""Expansion Set 2, Party Set""},")</f>
        <v>"ahvs":{"label":"Miserable","extra":"(wretched, pitiful, forlorn) ","sets":"Expansion Set 2, Party Set"},</v>
      </c>
    </row>
    <row r="146">
      <c r="A146" s="8" t="str">
        <f>IFERROR(__xludf.DUMMYFUNCTION("""COMPUTED_VALUE"""),"Misunderstood")</f>
        <v>Misunderstood</v>
      </c>
      <c r="B146" s="8" t="str">
        <f>IFERROR(__xludf.DUMMYFUNCTION("""COMPUTED_VALUE"""),"(not grasped, not learned, not absorbed) ")</f>
        <v>(not grasped, not learned, not absorbed) </v>
      </c>
      <c r="C146" s="13" t="str">
        <f>IFERROR(__xludf.DUMMYFUNCTION("""COMPUTED_VALUE"""),"""oxog"":{""label"":""Misunderstood"",""extra"":""(not grasped, not learned, not absorbed) "",""sets"":""Basic Set, Party Set""},")</f>
        <v>"oxog":{"label":"Misunderstood","extra":"(not grasped, not learned, not absorbed) ","sets":"Basic Set, Party Set"},</v>
      </c>
    </row>
    <row r="147">
      <c r="A147" s="8" t="str">
        <f>IFERROR(__xludf.DUMMYFUNCTION("""COMPUTED_VALUE"""),"Mysterious")</f>
        <v>Mysterious</v>
      </c>
      <c r="B147" s="8" t="str">
        <f>IFERROR(__xludf.DUMMYFUNCTION("""COMPUTED_VALUE"""),"(secretive, puzzling, strange) ")</f>
        <v>(secretive, puzzling, strange) </v>
      </c>
      <c r="C147" s="13" t="str">
        <f>IFERROR(__xludf.DUMMYFUNCTION("""COMPUTED_VALUE"""),"""sbrf"":{""label"":""Mysterious"",""extra"":""(secretive, puzzling, strange) "",""sets"":""Expansion Set 1, Party Set""},")</f>
        <v>"sbrf":{"label":"Mysterious","extra":"(secretive, puzzling, strange) ","sets":"Expansion Set 1, Party Set"},</v>
      </c>
    </row>
    <row r="148">
      <c r="A148" s="8" t="str">
        <f>IFERROR(__xludf.DUMMYFUNCTION("""COMPUTED_VALUE"""),"Mystical")</f>
        <v>Mystical</v>
      </c>
      <c r="B148" s="8" t="str">
        <f>IFERROR(__xludf.DUMMYFUNCTION("""COMPUTED_VALUE"""),"(spiritual, secretive, esoteric) ")</f>
        <v>(spiritual, secretive, esoteric) </v>
      </c>
      <c r="C148" s="13" t="str">
        <f>IFERROR(__xludf.DUMMYFUNCTION("""COMPUTED_VALUE"""),"""lpeq"":{""label"":""Mystical"",""extra"":""(spiritual, secretive, esoteric) "",""sets"":""Expansion Set 2, Party Set""},")</f>
        <v>"lpeq":{"label":"Mystical","extra":"(spiritual, secretive, esoteric) ","sets":"Expansion Set 2, Party Set"},</v>
      </c>
    </row>
    <row r="149">
      <c r="A149" s="8" t="str">
        <f>IFERROR(__xludf.DUMMYFUNCTION("""COMPUTED_VALUE"""),"Naive")</f>
        <v>Naive</v>
      </c>
      <c r="B149" s="8" t="str">
        <f>IFERROR(__xludf.DUMMYFUNCTION("""COMPUTED_VALUE"""),"(unsophisticated, childlike, simple) ")</f>
        <v>(unsophisticated, childlike, simple) </v>
      </c>
      <c r="C149" s="13" t="str">
        <f>IFERROR(__xludf.DUMMYFUNCTION("""COMPUTED_VALUE"""),"""unnf"":{""label"":""Naive"",""extra"":""(unsophisticated, childlike, simple) "",""sets"":""Expansion Set 1, Party Set""},")</f>
        <v>"unnf":{"label":"Naive","extra":"(unsophisticated, childlike, simple) ","sets":"Expansion Set 1, Party Set"},</v>
      </c>
    </row>
    <row r="150">
      <c r="A150" s="8" t="str">
        <f>IFERROR(__xludf.DUMMYFUNCTION("""COMPUTED_VALUE"""),"Nasty")</f>
        <v>Nasty</v>
      </c>
      <c r="B150" s="8" t="str">
        <f>IFERROR(__xludf.DUMMYFUNCTION("""COMPUTED_VALUE"""),"(mean, inclement, offensive) ")</f>
        <v>(mean, inclement, offensive) </v>
      </c>
      <c r="C150" s="13" t="str">
        <f>IFERROR(__xludf.DUMMYFUNCTION("""COMPUTED_VALUE"""),"""lfcq"":{""label"":""Nasty"",""extra"":""(mean, inclement, offensive) "",""sets"":""Basic Set, Party Set""},")</f>
        <v>"lfcq":{"label":"Nasty","extra":"(mean, inclement, offensive) ","sets":"Basic Set, Party Set"},</v>
      </c>
    </row>
    <row r="151">
      <c r="A151" s="8" t="str">
        <f>IFERROR(__xludf.DUMMYFUNCTION("""COMPUTED_VALUE"""),"Natural")</f>
        <v>Natural</v>
      </c>
      <c r="B151" s="8" t="str">
        <f>IFERROR(__xludf.DUMMYFUNCTION("""COMPUTED_VALUE"""),"(pure, simple, unadorned) ")</f>
        <v>(pure, simple, unadorned) </v>
      </c>
      <c r="C151" s="13" t="str">
        <f>IFERROR(__xludf.DUMMYFUNCTION("""COMPUTED_VALUE"""),"""tqgn"":{""label"":""Natural"",""extra"":""(pure, simple, unadorned) "",""sets"":""Expansion Set 1, Party Set""},")</f>
        <v>"tqgn":{"label":"Natural","extra":"(pure, simple, unadorned) ","sets":"Expansion Set 1, Party Set"},</v>
      </c>
    </row>
    <row r="152">
      <c r="A152" s="8" t="str">
        <f>IFERROR(__xludf.DUMMYFUNCTION("""COMPUTED_VALUE"""),"Neat")</f>
        <v>Neat</v>
      </c>
      <c r="B152" s="8" t="str">
        <f>IFERROR(__xludf.DUMMYFUNCTION("""COMPUTED_VALUE"""),"(tidy, orderly, cool) ")</f>
        <v>(tidy, orderly, cool) </v>
      </c>
      <c r="C152" s="13" t="str">
        <f>IFERROR(__xludf.DUMMYFUNCTION("""COMPUTED_VALUE"""),"""fumw"":{""label"":""Neat"",""extra"":""(tidy, orderly, cool) "",""sets"":""Expansion Set 2, Party Set""},")</f>
        <v>"fumw":{"label":"Neat","extra":"(tidy, orderly, cool) ","sets":"Expansion Set 2, Party Set"},</v>
      </c>
    </row>
    <row r="153">
      <c r="A153" s="8" t="str">
        <f>IFERROR(__xludf.DUMMYFUNCTION("""COMPUTED_VALUE"""),"Neglected")</f>
        <v>Neglected</v>
      </c>
      <c r="B153" s="8" t="str">
        <f>IFERROR(__xludf.DUMMYFUNCTION("""COMPUTED_VALUE"""),"(ignored, disregarded, rejected) ")</f>
        <v>(ignored, disregarded, rejected) </v>
      </c>
      <c r="C153" s="13" t="str">
        <f>IFERROR(__xludf.DUMMYFUNCTION("""COMPUTED_VALUE"""),"""necr"":{""label"":""Neglected"",""extra"":""(ignored, disregarded, rejected) "",""sets"":""Expansion Set 2, Party Set""},")</f>
        <v>"necr":{"label":"Neglected","extra":"(ignored, disregarded, rejected) ","sets":"Expansion Set 2, Party Set"},</v>
      </c>
    </row>
    <row r="154">
      <c r="A154" s="8" t="str">
        <f>IFERROR(__xludf.DUMMYFUNCTION("""COMPUTED_VALUE"""),"Nerdy")</f>
        <v>Nerdy</v>
      </c>
      <c r="B154" s="8" t="str">
        <f>IFERROR(__xludf.DUMMYFUNCTION("""COMPUTED_VALUE"""),"(unhip, uncool, dorky) ")</f>
        <v>(unhip, uncool, dorky) </v>
      </c>
      <c r="C154" s="13" t="str">
        <f>IFERROR(__xludf.DUMMYFUNCTION("""COMPUTED_VALUE"""),"""xjxb"":{""label"":""Nerdy"",""extra"":""(unhip, uncool, dorky) "",""sets"":""Basic Set, Party Set""},")</f>
        <v>"xjxb":{"label":"Nerdy","extra":"(unhip, uncool, dorky) ","sets":"Basic Set, Party Set"},</v>
      </c>
    </row>
    <row r="155">
      <c r="A155" s="8" t="str">
        <f>IFERROR(__xludf.DUMMYFUNCTION("""COMPUTED_VALUE"""),"Normal")</f>
        <v>Normal</v>
      </c>
      <c r="B155" s="8" t="str">
        <f>IFERROR(__xludf.DUMMYFUNCTION("""COMPUTED_VALUE"""),"(usual, common, ordinary) ")</f>
        <v>(usual, common, ordinary) </v>
      </c>
      <c r="C155" s="13" t="str">
        <f>IFERROR(__xludf.DUMMYFUNCTION("""COMPUTED_VALUE"""),"""babv"":{""label"":""Normal"",""extra"":""(usual, common, ordinary) "",""sets"":""Basic Set, Party Set""},")</f>
        <v>"babv":{"label":"Normal","extra":"(usual, common, ordinary) ","sets":"Basic Set, Party Set"},</v>
      </c>
    </row>
    <row r="156">
      <c r="A156" s="8" t="str">
        <f>IFERROR(__xludf.DUMMYFUNCTION("""COMPUTED_VALUE"""),"Obnoxious")</f>
        <v>Obnoxious</v>
      </c>
      <c r="B156" s="8" t="str">
        <f>IFERROR(__xludf.DUMMYFUNCTION("""COMPUTED_VALUE"""),"(offensive, repulsive, annoying) ")</f>
        <v>(offensive, repulsive, annoying) </v>
      </c>
      <c r="C156" s="13" t="str">
        <f>IFERROR(__xludf.DUMMYFUNCTION("""COMPUTED_VALUE"""),"""kdcd"":{""label"":""Obnoxious"",""extra"":""(offensive, repulsive, annoying) "",""sets"":""Basic Set, Party Set""},")</f>
        <v>"kdcd":{"label":"Obnoxious","extra":"(offensive, repulsive, annoying) ","sets":"Basic Set, Party Set"},</v>
      </c>
    </row>
    <row r="157">
      <c r="A157" s="8" t="str">
        <f>IFERROR(__xludf.DUMMYFUNCTION("""COMPUTED_VALUE"""),"Odd")</f>
        <v>Odd</v>
      </c>
      <c r="B157" s="8" t="str">
        <f>IFERROR(__xludf.DUMMYFUNCTION("""COMPUTED_VALUE"""),"(different, eccentric, bizarre) ")</f>
        <v>(different, eccentric, bizarre) </v>
      </c>
      <c r="C157" s="13" t="str">
        <f>IFERROR(__xludf.DUMMYFUNCTION("""COMPUTED_VALUE"""),"""edot"":{""label"":""Odd"",""extra"":""(different, eccentric, bizarre) "",""sets"":""Basic Set, Party Set""},")</f>
        <v>"edot":{"label":"Odd","extra":"(different, eccentric, bizarre) ","sets":"Basic Set, Party Set"},</v>
      </c>
    </row>
    <row r="158">
      <c r="A158" s="8" t="str">
        <f>IFERROR(__xludf.DUMMYFUNCTION("""COMPUTED_VALUE"""),"Offensive")</f>
        <v>Offensive</v>
      </c>
      <c r="B158" s="8" t="str">
        <f>IFERROR(__xludf.DUMMYFUNCTION("""COMPUTED_VALUE"""),"(insulting, vulgar, attacking) ")</f>
        <v>(insulting, vulgar, attacking) </v>
      </c>
      <c r="C158" s="13" t="str">
        <f>IFERROR(__xludf.DUMMYFUNCTION("""COMPUTED_VALUE"""),"""crgq"":{""label"":""Offensive"",""extra"":""(insulting, vulgar, attacking) "",""sets"":""Basic Set, Party Set""},")</f>
        <v>"crgq":{"label":"Offensive","extra":"(insulting, vulgar, attacking) ","sets":"Basic Set, Party Set"},</v>
      </c>
    </row>
    <row r="159">
      <c r="A159" s="8" t="str">
        <f>IFERROR(__xludf.DUMMYFUNCTION("""COMPUTED_VALUE"""),"Ordinary")</f>
        <v>Ordinary</v>
      </c>
      <c r="B159" s="8" t="str">
        <f>IFERROR(__xludf.DUMMYFUNCTION("""COMPUTED_VALUE"""),"(usual, common, plain) ")</f>
        <v>(usual, common, plain) </v>
      </c>
      <c r="C159" s="13" t="str">
        <f>IFERROR(__xludf.DUMMYFUNCTION("""COMPUTED_VALUE"""),"""ieoi"":{""label"":""Ordinary"",""extra"":""(usual, common, plain) "",""sets"":""Basic Set (2001 Printing Forward), Party Set""},")</f>
        <v>"ieoi":{"label":"Ordinary","extra":"(usual, common, plain) ","sets":"Basic Set (2001 Printing Forward), Party Set"},</v>
      </c>
    </row>
    <row r="160">
      <c r="A160" s="8" t="str">
        <f>IFERROR(__xludf.DUMMYFUNCTION("""COMPUTED_VALUE"""),"Organic")</f>
        <v>Organic</v>
      </c>
      <c r="B160" s="8" t="str">
        <f>IFERROR(__xludf.DUMMYFUNCTION("""COMPUTED_VALUE"""),"(natural, clean, biological) ")</f>
        <v>(natural, clean, biological) </v>
      </c>
      <c r="C160" s="13" t="str">
        <f>IFERROR(__xludf.DUMMYFUNCTION("""COMPUTED_VALUE"""),"""uemx"":{""label"":""Organic"",""extra"":""(natural, clean, biological) "",""sets"":""Expansion Set 2, Party Set""},")</f>
        <v>"uemx":{"label":"Organic","extra":"(natural, clean, biological) ","sets":"Expansion Set 2, Party Set"},</v>
      </c>
    </row>
    <row r="161">
      <c r="A161" s="8" t="str">
        <f>IFERROR(__xludf.DUMMYFUNCTION("""COMPUTED_VALUE"""),"Outrageous")</f>
        <v>Outrageous</v>
      </c>
      <c r="B161" s="8" t="str">
        <f>IFERROR(__xludf.DUMMYFUNCTION("""COMPUTED_VALUE"""),"(shocking, scandalous, disgraceful) ")</f>
        <v>(shocking, scandalous, disgraceful) </v>
      </c>
      <c r="C161" s="13" t="str">
        <f>IFERROR(__xludf.DUMMYFUNCTION("""COMPUTED_VALUE"""),"""tcxk"":{""label"":""Outrageous"",""extra"":""(shocking, scandalous, disgraceful) "",""sets"":""Basic Set, Party Set""},")</f>
        <v>"tcxk":{"label":"Outrageous","extra":"(shocking, scandalous, disgraceful) ","sets":"Basic Set, Party Set"},</v>
      </c>
    </row>
    <row r="162">
      <c r="A162" s="8" t="str">
        <f>IFERROR(__xludf.DUMMYFUNCTION("""COMPUTED_VALUE"""),"Overwhelming")</f>
        <v>Overwhelming</v>
      </c>
      <c r="B162" s="8" t="str">
        <f>IFERROR(__xludf.DUMMYFUNCTION("""COMPUTED_VALUE"""),"(exhaustive, breathtaking, monumental) ")</f>
        <v>(exhaustive, breathtaking, monumental) </v>
      </c>
      <c r="C162" s="13" t="str">
        <f>IFERROR(__xludf.DUMMYFUNCTION("""COMPUTED_VALUE"""),"""bqec"":{""label"":""Overwhelming"",""extra"":""(exhaustive, breathtaking, monumental) "",""sets"":""Expansion Set 1, Party Set""},")</f>
        <v>"bqec":{"label":"Overwhelming","extra":"(exhaustive, breathtaking, monumental) ","sets":"Expansion Set 1, Party Set"},</v>
      </c>
    </row>
    <row r="163">
      <c r="A163" s="8" t="str">
        <f>IFERROR(__xludf.DUMMYFUNCTION("""COMPUTED_VALUE"""),"Painful")</f>
        <v>Painful</v>
      </c>
      <c r="B163" s="8" t="str">
        <f>IFERROR(__xludf.DUMMYFUNCTION("""COMPUTED_VALUE"""),"(hurtful, agonizing, unbearable) ")</f>
        <v>(hurtful, agonizing, unbearable) </v>
      </c>
      <c r="C163" s="13" t="str">
        <f>IFERROR(__xludf.DUMMYFUNCTION("""COMPUTED_VALUE"""),"""dpmm"":{""label"":""Painful"",""extra"":""(hurtful, agonizing, unbearable) "",""sets"":""Expansion Set 1, Party Set""},")</f>
        <v>"dpmm":{"label":"Painful","extra":"(hurtful, agonizing, unbearable) ","sets":"Expansion Set 1, Party Set"},</v>
      </c>
    </row>
    <row r="164">
      <c r="A164" s="8" t="str">
        <f>IFERROR(__xludf.DUMMYFUNCTION("""COMPUTED_VALUE"""),"Pathetic")</f>
        <v>Pathetic</v>
      </c>
      <c r="B164" s="8" t="str">
        <f>IFERROR(__xludf.DUMMYFUNCTION("""COMPUTED_VALUE"""),"(pitiful, distressing, heart-rending) ")</f>
        <v>(pitiful, distressing, heart-rending) </v>
      </c>
      <c r="C164" s="13" t="str">
        <f>IFERROR(__xludf.DUMMYFUNCTION("""COMPUTED_VALUE"""),"""rlex"":{""label"":""Pathetic"",""extra"":""(pitiful, distressing, heart-rending) "",""sets"":""Expansion Set 2, Party Set""},")</f>
        <v>"rlex":{"label":"Pathetic","extra":"(pitiful, distressing, heart-rending) ","sets":"Expansion Set 2, Party Set"},</v>
      </c>
    </row>
    <row r="165">
      <c r="A165" s="8" t="str">
        <f>IFERROR(__xludf.DUMMYFUNCTION("""COMPUTED_VALUE"""),"Patriotic")</f>
        <v>Patriotic</v>
      </c>
      <c r="B165" s="8" t="str">
        <f>IFERROR(__xludf.DUMMYFUNCTION("""COMPUTED_VALUE"""),"(nationalistic, loyal, public-spirited) ")</f>
        <v>(nationalistic, loyal, public-spirited) </v>
      </c>
      <c r="C165" s="13" t="str">
        <f>IFERROR(__xludf.DUMMYFUNCTION("""COMPUTED_VALUE"""),"""vugw"":{""label"":""Patriotic"",""extra"":""(nationalistic, loyal, public-spirited) "",""sets"":""Basic Set, Party Set""},")</f>
        <v>"vugw":{"label":"Patriotic","extra":"(nationalistic, loyal, public-spirited) ","sets":"Basic Set, Party Set"},</v>
      </c>
    </row>
    <row r="166">
      <c r="A166" s="8" t="str">
        <f>IFERROR(__xludf.DUMMYFUNCTION("""COMPUTED_VALUE"""),"Peaceful")</f>
        <v>Peaceful</v>
      </c>
      <c r="B166" s="8" t="str">
        <f>IFERROR(__xludf.DUMMYFUNCTION("""COMPUTED_VALUE"""),"(serene, restful, calm) ")</f>
        <v>(serene, restful, calm) </v>
      </c>
      <c r="C166" s="13" t="str">
        <f>IFERROR(__xludf.DUMMYFUNCTION("""COMPUTED_VALUE"""),"""xbdc"":{""label"":""Peaceful"",""extra"":""(serene, restful, calm) "",""sets"":""Expansion Set 1, Party Set""},")</f>
        <v>"xbdc":{"label":"Peaceful","extra":"(serene, restful, calm) ","sets":"Expansion Set 1, Party Set"},</v>
      </c>
    </row>
    <row r="167">
      <c r="A167" s="8" t="str">
        <f>IFERROR(__xludf.DUMMYFUNCTION("""COMPUTED_VALUE"""),"Perfect")</f>
        <v>Perfect</v>
      </c>
      <c r="B167" s="8" t="str">
        <f>IFERROR(__xludf.DUMMYFUNCTION("""COMPUTED_VALUE"""),"(faultless, consummate, exact) ")</f>
        <v>(faultless, consummate, exact) </v>
      </c>
      <c r="C167" s="13" t="str">
        <f>IFERROR(__xludf.DUMMYFUNCTION("""COMPUTED_VALUE"""),"""gzlo"":{""label"":""Perfect"",""extra"":""(faultless, consummate, exact) "",""sets"":""Basic Set, Party Set""},")</f>
        <v>"gzlo":{"label":"Perfect","extra":"(faultless, consummate, exact) ","sets":"Basic Set, Party Set"},</v>
      </c>
    </row>
    <row r="168">
      <c r="A168" s="8" t="str">
        <f>IFERROR(__xludf.DUMMYFUNCTION("""COMPUTED_VALUE"""),"Philosophical")</f>
        <v>Philosophical</v>
      </c>
      <c r="B168" s="8" t="str">
        <f>IFERROR(__xludf.DUMMYFUNCTION("""COMPUTED_VALUE"""),"(thoughtful, contemplative, wise) ")</f>
        <v>(thoughtful, contemplative, wise) </v>
      </c>
      <c r="C168" s="13" t="str">
        <f>IFERROR(__xludf.DUMMYFUNCTION("""COMPUTED_VALUE"""),"""oqpp"":{""label"":""Philosophical"",""extra"":""(thoughtful, contemplative, wise) "",""sets"":""Expansion Set 1, Party Set""},")</f>
        <v>"oqpp":{"label":"Philosophical","extra":"(thoughtful, contemplative, wise) ","sets":"Expansion Set 1, Party Set"},</v>
      </c>
    </row>
    <row r="169">
      <c r="A169" s="8" t="str">
        <f>IFERROR(__xludf.DUMMYFUNCTION("""COMPUTED_VALUE"""),"Phony")</f>
        <v>Phony</v>
      </c>
      <c r="B169" s="8" t="str">
        <f>IFERROR(__xludf.DUMMYFUNCTION("""COMPUTED_VALUE"""),"(false, artificial, imitation) ")</f>
        <v>(false, artificial, imitation) </v>
      </c>
      <c r="C169" s="13" t="str">
        <f>IFERROR(__xludf.DUMMYFUNCTION("""COMPUTED_VALUE"""),"""ikaq"":{""label"":""Phony"",""extra"":""(false, artificial, imitation) "",""sets"":""Basic Set, Party Set""},")</f>
        <v>"ikaq":{"label":"Phony","extra":"(false, artificial, imitation) ","sets":"Basic Set, Party Set"},</v>
      </c>
    </row>
    <row r="170">
      <c r="A170" s="8" t="str">
        <f>IFERROR(__xludf.DUMMYFUNCTION("""COMPUTED_VALUE"""),"Playful")</f>
        <v>Playful</v>
      </c>
      <c r="B170" s="8" t="str">
        <f>IFERROR(__xludf.DUMMYFUNCTION("""COMPUTED_VALUE"""),"(fun, frisky, entertaining) ")</f>
        <v>(fun, frisky, entertaining) </v>
      </c>
      <c r="C170" s="13" t="str">
        <f>IFERROR(__xludf.DUMMYFUNCTION("""COMPUTED_VALUE"""),"""rvpw"":{""label"":""Playful"",""extra"":""(fun, frisky, entertaining) "",""sets"":""Expansion Set 1, Party Set""},")</f>
        <v>"rvpw":{"label":"Playful","extra":"(fun, frisky, entertaining) ","sets":"Expansion Set 1, Party Set"},</v>
      </c>
    </row>
    <row r="171">
      <c r="A171" s="8" t="str">
        <f>IFERROR(__xludf.DUMMYFUNCTION("""COMPUTED_VALUE"""),"Popular")</f>
        <v>Popular</v>
      </c>
      <c r="B171" s="8" t="str">
        <f>IFERROR(__xludf.DUMMYFUNCTION("""COMPUTED_VALUE"""),"(well-liked, accepted, preferred) ")</f>
        <v>(well-liked, accepted, preferred) </v>
      </c>
      <c r="C171" s="13" t="str">
        <f>IFERROR(__xludf.DUMMYFUNCTION("""COMPUTED_VALUE"""),"""wamd"":{""label"":""Popular"",""extra"":""(well-liked, accepted, preferred) "",""sets"":""Expansion Set 2, Party Set""},")</f>
        <v>"wamd":{"label":"Popular","extra":"(well-liked, accepted, preferred) ","sets":"Expansion Set 2, Party Set"},</v>
      </c>
    </row>
    <row r="172">
      <c r="A172" s="8" t="str">
        <f>IFERROR(__xludf.DUMMYFUNCTION("""COMPUTED_VALUE"""),"Powerful")</f>
        <v>Powerful</v>
      </c>
      <c r="B172" s="8" t="str">
        <f>IFERROR(__xludf.DUMMYFUNCTION("""COMPUTED_VALUE"""),"(strong, forceful, robust) ")</f>
        <v>(strong, forceful, robust) </v>
      </c>
      <c r="C172" s="13" t="str">
        <f>IFERROR(__xludf.DUMMYFUNCTION("""COMPUTED_VALUE"""),"""ndrl"":{""label"":""Powerful"",""extra"":""(strong, forceful, robust) "",""sets"":""Basic Set, Party Set""},")</f>
        <v>"ndrl":{"label":"Powerful","extra":"(strong, forceful, robust) ","sets":"Basic Set, Party Set"},</v>
      </c>
    </row>
    <row r="173">
      <c r="A173" s="8" t="str">
        <f>IFERROR(__xludf.DUMMYFUNCTION("""COMPUTED_VALUE"""),"Primitive")</f>
        <v>Primitive</v>
      </c>
      <c r="B173" s="8" t="str">
        <f>IFERROR(__xludf.DUMMYFUNCTION("""COMPUTED_VALUE"""),"(prehistoric, primal, uncivilized) ")</f>
        <v>(prehistoric, primal, uncivilized) </v>
      </c>
      <c r="C173" s="13" t="str">
        <f>IFERROR(__xludf.DUMMYFUNCTION("""COMPUTED_VALUE"""),"""fxbt"":{""label"":""Primitive"",""extra"":""(prehistoric, primal, uncivilized) "",""sets"":""Basic Set, Party Set""},")</f>
        <v>"fxbt":{"label":"Primitive","extra":"(prehistoric, primal, uncivilized) ","sets":"Basic Set, Party Set"},</v>
      </c>
    </row>
    <row r="174">
      <c r="A174" s="8" t="str">
        <f>IFERROR(__xludf.DUMMYFUNCTION("""COMPUTED_VALUE"""),"Principled")</f>
        <v>Principled</v>
      </c>
      <c r="B174" s="8" t="str">
        <f>IFERROR(__xludf.DUMMYFUNCTION("""COMPUTED_VALUE"""),"(conscientious, ethical, scrupulous) ")</f>
        <v>(conscientious, ethical, scrupulous) </v>
      </c>
      <c r="C174" s="13" t="str">
        <f>IFERROR(__xludf.DUMMYFUNCTION("""COMPUTED_VALUE"""),"""equi"":{""label"":""Principled"",""extra"":""(conscientious, ethical, scrupulous) "",""sets"":""Basic Set, Party Set""},")</f>
        <v>"equi":{"label":"Principled","extra":"(conscientious, ethical, scrupulous) ","sets":"Basic Set, Party Set"},</v>
      </c>
    </row>
    <row r="175">
      <c r="A175" s="8" t="str">
        <f>IFERROR(__xludf.DUMMYFUNCTION("""COMPUTED_VALUE"""),"Profound")</f>
        <v>Profound</v>
      </c>
      <c r="B175" s="8" t="str">
        <f>IFERROR(__xludf.DUMMYFUNCTION("""COMPUTED_VALUE"""),"(deep, wise, thoughtful) ")</f>
        <v>(deep, wise, thoughtful) </v>
      </c>
      <c r="C175" s="13" t="str">
        <f>IFERROR(__xludf.DUMMYFUNCTION("""COMPUTED_VALUE"""),"""cpqe"":{""label"":""Profound"",""extra"":""(deep, wise, thoughtful) "",""sets"":""Basic Set, Party Set""},")</f>
        <v>"cpqe":{"label":"Profound","extra":"(deep, wise, thoughtful) ","sets":"Basic Set, Party Set"},</v>
      </c>
    </row>
    <row r="176">
      <c r="A176" s="8" t="str">
        <f>IFERROR(__xludf.DUMMYFUNCTION("""COMPUTED_VALUE"""),"Puffy")</f>
        <v>Puffy</v>
      </c>
      <c r="B176" s="8" t="str">
        <f>IFERROR(__xludf.DUMMYFUNCTION("""COMPUTED_VALUE"""),"(swollen, billowy, bloated) ")</f>
        <v>(swollen, billowy, bloated) </v>
      </c>
      <c r="C176" s="13" t="str">
        <f>IFERROR(__xludf.DUMMYFUNCTION("""COMPUTED_VALUE"""),"""rukb"":{""label"":""Puffy"",""extra"":""(swollen, billowy, bloated) "",""sets"":""Expansion Set 2, Party Set""},")</f>
        <v>"rukb":{"label":"Puffy","extra":"(swollen, billowy, bloated) ","sets":"Expansion Set 2, Party Set"},</v>
      </c>
    </row>
    <row r="177">
      <c r="A177" s="8" t="str">
        <f>IFERROR(__xludf.DUMMYFUNCTION("""COMPUTED_VALUE"""),"Pure")</f>
        <v>Pure</v>
      </c>
      <c r="B177" s="8" t="str">
        <f>IFERROR(__xludf.DUMMYFUNCTION("""COMPUTED_VALUE"""),"(innocent, unadulterated, chaste) ")</f>
        <v>(innocent, unadulterated, chaste) </v>
      </c>
      <c r="C177" s="13" t="str">
        <f>IFERROR(__xludf.DUMMYFUNCTION("""COMPUTED_VALUE"""),"""lytm"":{""label"":""Pure"",""extra"":""(innocent, unadulterated, chaste) "",""sets"":""Basic Set, Party Set""},")</f>
        <v>"lytm":{"label":"Pure","extra":"(innocent, unadulterated, chaste) ","sets":"Basic Set, Party Set"},</v>
      </c>
    </row>
    <row r="178">
      <c r="A178" s="8" t="str">
        <f>IFERROR(__xludf.DUMMYFUNCTION("""COMPUTED_VALUE"""),"Quiet")</f>
        <v>Quiet</v>
      </c>
      <c r="B178" s="8" t="str">
        <f>IFERROR(__xludf.DUMMYFUNCTION("""COMPUTED_VALUE"""),"(peaceful, silent, calm) ")</f>
        <v>(peaceful, silent, calm) </v>
      </c>
      <c r="C178" s="13" t="str">
        <f>IFERROR(__xludf.DUMMYFUNCTION("""COMPUTED_VALUE"""),"""rucl"":{""label"":""Quiet"",""extra"":""(peaceful, silent, calm) "",""sets"":""Expansion Set 2, Party Set""},")</f>
        <v>"rucl":{"label":"Quiet","extra":"(peaceful, silent, calm) ","sets":"Expansion Set 2, Party Set"},</v>
      </c>
    </row>
    <row r="179">
      <c r="A179" s="8" t="str">
        <f>IFERROR(__xludf.DUMMYFUNCTION("""COMPUTED_VALUE"""),"Radiant")</f>
        <v>Radiant</v>
      </c>
      <c r="B179" s="8" t="str">
        <f>IFERROR(__xludf.DUMMYFUNCTION("""COMPUTED_VALUE"""),"(shining, glowing, sparkling) ")</f>
        <v>(shining, glowing, sparkling) </v>
      </c>
      <c r="C179" s="13" t="str">
        <f>IFERROR(__xludf.DUMMYFUNCTION("""COMPUTED_VALUE"""),"""eevk"":{""label"":""Radiant"",""extra"":""(shining, glowing, sparkling) "",""sets"":""Expansion Set 1, Party Set""},")</f>
        <v>"eevk":{"label":"Radiant","extra":"(shining, glowing, sparkling) ","sets":"Expansion Set 1, Party Set"},</v>
      </c>
    </row>
    <row r="180">
      <c r="A180" s="8" t="str">
        <f>IFERROR(__xludf.DUMMYFUNCTION("""COMPUTED_VALUE"""),"Radical")</f>
        <v>Radical</v>
      </c>
      <c r="B180" s="8" t="str">
        <f>IFERROR(__xludf.DUMMYFUNCTION("""COMPUTED_VALUE"""),"(unconventional, revolutionary, extreme) ")</f>
        <v>(unconventional, revolutionary, extreme) </v>
      </c>
      <c r="C180" s="13" t="str">
        <f>IFERROR(__xludf.DUMMYFUNCTION("""COMPUTED_VALUE"""),"""maum"":{""label"":""Radical"",""extra"":""(unconventional, revolutionary, extreme) "",""sets"":""Basic Set, Party Set""},")</f>
        <v>"maum":{"label":"Radical","extra":"(unconventional, revolutionary, extreme) ","sets":"Basic Set, Party Set"},</v>
      </c>
    </row>
    <row r="181">
      <c r="A181" s="8" t="str">
        <f>IFERROR(__xludf.DUMMYFUNCTION("""COMPUTED_VALUE"""),"Rare")</f>
        <v>Rare</v>
      </c>
      <c r="B181" s="8" t="str">
        <f>IFERROR(__xludf.DUMMYFUNCTION("""COMPUTED_VALUE"""),"(scarce, unusual, half-cooked) ")</f>
        <v>(scarce, unusual, half-cooked) </v>
      </c>
      <c r="C181" s="13" t="str">
        <f>IFERROR(__xludf.DUMMYFUNCTION("""COMPUTED_VALUE"""),"""oyol"":{""label"":""Rare"",""extra"":""(scarce, unusual, half-cooked) "",""sets"":""Expansion Set 1, Party Set""},")</f>
        <v>"oyol":{"label":"Rare","extra":"(scarce, unusual, half-cooked) ","sets":"Expansion Set 1, Party Set"},</v>
      </c>
    </row>
    <row r="182">
      <c r="A182" s="8" t="str">
        <f>IFERROR(__xludf.DUMMYFUNCTION("""COMPUTED_VALUE"""),"Realistic")</f>
        <v>Realistic</v>
      </c>
      <c r="B182" s="8" t="str">
        <f>IFERROR(__xludf.DUMMYFUNCTION("""COMPUTED_VALUE"""),"(authentic, lifelike, reasonable) ")</f>
        <v>(authentic, lifelike, reasonable) </v>
      </c>
      <c r="C182" s="13" t="str">
        <f>IFERROR(__xludf.DUMMYFUNCTION("""COMPUTED_VALUE"""),"""gebs"":{""label"":""Realistic"",""extra"":""(authentic, lifelike, reasonable) "",""sets"":""Expansion Set 1, Party Set""},")</f>
        <v>"gebs":{"label":"Realistic","extra":"(authentic, lifelike, reasonable) ","sets":"Expansion Set 1, Party Set"},</v>
      </c>
    </row>
    <row r="183">
      <c r="A183" s="8" t="str">
        <f>IFERROR(__xludf.DUMMYFUNCTION("""COMPUTED_VALUE"""),"Refined")</f>
        <v>Refined</v>
      </c>
      <c r="B183" s="8" t="str">
        <f>IFERROR(__xludf.DUMMYFUNCTION("""COMPUTED_VALUE"""),"(well-bred, purified, cultivated) ")</f>
        <v>(well-bred, purified, cultivated) </v>
      </c>
      <c r="C183" s="13" t="str">
        <f>IFERROR(__xludf.DUMMYFUNCTION("""COMPUTED_VALUE"""),"""acoq"":{""label"":""Refined"",""extra"":""(well-bred, purified, cultivated) "",""sets"":""Expansion Set 2, Party Set""},")</f>
        <v>"acoq":{"label":"Refined","extra":"(well-bred, purified, cultivated) ","sets":"Expansion Set 2, Party Set"},</v>
      </c>
    </row>
    <row r="184">
      <c r="A184" s="8" t="str">
        <f>IFERROR(__xludf.DUMMYFUNCTION("""COMPUTED_VALUE"""),"Refreshing")</f>
        <v>Refreshing</v>
      </c>
      <c r="B184" s="8" t="str">
        <f>IFERROR(__xludf.DUMMYFUNCTION("""COMPUTED_VALUE"""),"(brisk, invigorating, rejuvenating) ")</f>
        <v>(brisk, invigorating, rejuvenating) </v>
      </c>
      <c r="C184" s="13" t="str">
        <f>IFERROR(__xludf.DUMMYFUNCTION("""COMPUTED_VALUE"""),"""mtpn"":{""label"":""Refreshing"",""extra"":""(brisk, invigorating, rejuvenating) "",""sets"":""Expansion Set 1, Party Set""},")</f>
        <v>"mtpn":{"label":"Refreshing","extra":"(brisk, invigorating, rejuvenating) ","sets":"Expansion Set 1, Party Set"},</v>
      </c>
    </row>
    <row r="185">
      <c r="A185" s="8" t="str">
        <f>IFERROR(__xludf.DUMMYFUNCTION("""COMPUTED_VALUE"""),"Relaxing")</f>
        <v>Relaxing</v>
      </c>
      <c r="B185" s="8" t="str">
        <f>IFERROR(__xludf.DUMMYFUNCTION("""COMPUTED_VALUE"""),"(restful, calming, peaceful) ")</f>
        <v>(restful, calming, peaceful) </v>
      </c>
      <c r="C185" s="13" t="str">
        <f>IFERROR(__xludf.DUMMYFUNCTION("""COMPUTED_VALUE"""),"""uour"":{""label"":""Relaxing"",""extra"":""(restful, calming, peaceful) "",""sets"":""Expansion Set 2, Party Set""},")</f>
        <v>"uour":{"label":"Relaxing","extra":"(restful, calming, peaceful) ","sets":"Expansion Set 2, Party Set"},</v>
      </c>
    </row>
    <row r="186">
      <c r="A186" s="8" t="str">
        <f>IFERROR(__xludf.DUMMYFUNCTION("""COMPUTED_VALUE"""),"Repulsive")</f>
        <v>Repulsive</v>
      </c>
      <c r="B186" s="8" t="str">
        <f>IFERROR(__xludf.DUMMYFUNCTION("""COMPUTED_VALUE"""),"(disgusting, offensive, foul) ")</f>
        <v>(disgusting, offensive, foul) </v>
      </c>
      <c r="C186" s="13" t="str">
        <f>IFERROR(__xludf.DUMMYFUNCTION("""COMPUTED_VALUE"""),"""nbpe"":{""label"":""Repulsive"",""extra"":""(disgusting, offensive, foul) "",""sets"":""Expansion Set 2, Party Set""},")</f>
        <v>"nbpe":{"label":"Repulsive","extra":"(disgusting, offensive, foul) ","sets":"Expansion Set 2, Party Set"},</v>
      </c>
    </row>
    <row r="187">
      <c r="A187" s="8" t="str">
        <f>IFERROR(__xludf.DUMMYFUNCTION("""COMPUTED_VALUE"""),"Responsible")</f>
        <v>Responsible</v>
      </c>
      <c r="B187" s="8" t="str">
        <f>IFERROR(__xludf.DUMMYFUNCTION("""COMPUTED_VALUE"""),"(accountable, obligated, mature) ")</f>
        <v>(accountable, obligated, mature) </v>
      </c>
      <c r="C187" s="13" t="str">
        <f>IFERROR(__xludf.DUMMYFUNCTION("""COMPUTED_VALUE"""),"""glts"":{""label"":""Responsible"",""extra"":""(accountable, obligated, mature) "",""sets"":""Basic Set, Party Set""},")</f>
        <v>"glts":{"label":"Responsible","extra":"(accountable, obligated, mature) ","sets":"Basic Set, Party Set"},</v>
      </c>
    </row>
    <row r="188">
      <c r="A188" s="8" t="str">
        <f>IFERROR(__xludf.DUMMYFUNCTION("""COMPUTED_VALUE"""),"Revolutionary")</f>
        <v>Revolutionary</v>
      </c>
      <c r="B188" s="8" t="str">
        <f>IFERROR(__xludf.DUMMYFUNCTION("""COMPUTED_VALUE"""),"(innovative, rebellious, radical) ")</f>
        <v>(innovative, rebellious, radical) </v>
      </c>
      <c r="C188" s="13" t="str">
        <f>IFERROR(__xludf.DUMMYFUNCTION("""COMPUTED_VALUE"""),"""lczn"":{""label"":""Revolutionary"",""extra"":""(innovative, rebellious, radical) "",""sets"":""Expansion Set 1, Party Set""},")</f>
        <v>"lczn":{"label":"Revolutionary","extra":"(innovative, rebellious, radical) ","sets":"Expansion Set 1, Party Set"},</v>
      </c>
    </row>
    <row r="189">
      <c r="A189" s="8" t="str">
        <f>IFERROR(__xludf.DUMMYFUNCTION("""COMPUTED_VALUE"""),"Rich")</f>
        <v>Rich</v>
      </c>
      <c r="B189" s="8" t="str">
        <f>IFERROR(__xludf.DUMMYFUNCTION("""COMPUTED_VALUE"""),"(wealthy, affluent, moneyed) ")</f>
        <v>(wealthy, affluent, moneyed) </v>
      </c>
      <c r="C189" s="13" t="str">
        <f>IFERROR(__xludf.DUMMYFUNCTION("""COMPUTED_VALUE"""),"""lihx"":{""label"":""Rich"",""extra"":""(wealthy, affluent, moneyed) "",""sets"":""Basic Set, Party Set""},")</f>
        <v>"lihx":{"label":"Rich","extra":"(wealthy, affluent, moneyed) ","sets":"Basic Set, Party Set"},</v>
      </c>
    </row>
    <row r="190">
      <c r="A190" s="8" t="str">
        <f>IFERROR(__xludf.DUMMYFUNCTION("""COMPUTED_VALUE"""),"Ridiculous")</f>
        <v>Ridiculous</v>
      </c>
      <c r="B190" s="8" t="str">
        <f>IFERROR(__xludf.DUMMYFUNCTION("""COMPUTED_VALUE"""),"(preposterous, absurd, ludicrous) ")</f>
        <v>(preposterous, absurd, ludicrous) </v>
      </c>
      <c r="C190" s="13" t="str">
        <f>IFERROR(__xludf.DUMMYFUNCTION("""COMPUTED_VALUE"""),"""emfv"":{""label"":""Ridiculous"",""extra"":""(preposterous, absurd, ludicrous) "",""sets"":""Basic Set, Party Set""},")</f>
        <v>"emfv":{"label":"Ridiculous","extra":"(preposterous, absurd, ludicrous) ","sets":"Basic Set, Party Set"},</v>
      </c>
    </row>
    <row r="191">
      <c r="A191" s="8" t="str">
        <f>IFERROR(__xludf.DUMMYFUNCTION("""COMPUTED_VALUE"""),"Risky")</f>
        <v>Risky</v>
      </c>
      <c r="B191" s="8" t="str">
        <f>IFERROR(__xludf.DUMMYFUNCTION("""COMPUTED_VALUE"""),"(hazardous, daring, speculative) ")</f>
        <v>(hazardous, daring, speculative) </v>
      </c>
      <c r="C191" s="13" t="str">
        <f>IFERROR(__xludf.DUMMYFUNCTION("""COMPUTED_VALUE"""),"""dihh"":{""label"":""Risky"",""extra"":""(hazardous, daring, speculative) "",""sets"":""Expansion Set 1, Party Set""},")</f>
        <v>"dihh":{"label":"Risky","extra":"(hazardous, daring, speculative) ","sets":"Expansion Set 1, Party Set"},</v>
      </c>
    </row>
    <row r="192">
      <c r="A192" s="8" t="str">
        <f>IFERROR(__xludf.DUMMYFUNCTION("""COMPUTED_VALUE"""),"Rough")</f>
        <v>Rough</v>
      </c>
      <c r="B192" s="8" t="str">
        <f>IFERROR(__xludf.DUMMYFUNCTION("""COMPUTED_VALUE"""),"(scratchy, uneven, jagged) ")</f>
        <v>(scratchy, uneven, jagged) </v>
      </c>
      <c r="C192" s="13" t="str">
        <f>IFERROR(__xludf.DUMMYFUNCTION("""COMPUTED_VALUE"""),"""quyx"":{""label"":""Rough"",""extra"":""(scratchy, uneven, jagged) "",""sets"":""Basic Set, Party Set""},")</f>
        <v>"quyx":{"label":"Rough","extra":"(scratchy, uneven, jagged) ","sets":"Basic Set, Party Set"},</v>
      </c>
    </row>
    <row r="193">
      <c r="A193" s="8" t="str">
        <f>IFERROR(__xludf.DUMMYFUNCTION("""COMPUTED_VALUE"""),"Saintly")</f>
        <v>Saintly</v>
      </c>
      <c r="B193" s="8" t="str">
        <f>IFERROR(__xludf.DUMMYFUNCTION("""COMPUTED_VALUE"""),"(virtuous, angelic, divine) ")</f>
        <v>(virtuous, angelic, divine) </v>
      </c>
      <c r="C193" s="13" t="str">
        <f>IFERROR(__xludf.DUMMYFUNCTION("""COMPUTED_VALUE"""),"""tgjh"":{""label"":""Saintly"",""extra"":""(virtuous, angelic, divine) "",""sets"":""Basic Set, Party Set""},")</f>
        <v>"tgjh":{"label":"Saintly","extra":"(virtuous, angelic, divine) ","sets":"Basic Set, Party Set"},</v>
      </c>
    </row>
    <row r="194">
      <c r="A194" s="8" t="str">
        <f>IFERROR(__xludf.DUMMYFUNCTION("""COMPUTED_VALUE"""),"Sappy")</f>
        <v>Sappy</v>
      </c>
      <c r="B194" s="8" t="str">
        <f>IFERROR(__xludf.DUMMYFUNCTION("""COMPUTED_VALUE"""),"(gooey, mushy, romantic) ")</f>
        <v>(gooey, mushy, romantic) </v>
      </c>
      <c r="C194" s="13" t="str">
        <f>IFERROR(__xludf.DUMMYFUNCTION("""COMPUTED_VALUE"""),"""tkre"":{""label"":""Sappy"",""extra"":""(gooey, mushy, romantic) "",""sets"":""Basic Set, Party Set""},")</f>
        <v>"tkre":{"label":"Sappy","extra":"(gooey, mushy, romantic) ","sets":"Basic Set, Party Set"},</v>
      </c>
    </row>
    <row r="195">
      <c r="A195" s="8" t="str">
        <f>IFERROR(__xludf.DUMMYFUNCTION("""COMPUTED_VALUE"""),"Scary")</f>
        <v>Scary</v>
      </c>
      <c r="B195" s="8" t="str">
        <f>IFERROR(__xludf.DUMMYFUNCTION("""COMPUTED_VALUE"""),"(frightening, absurd, ugly) ")</f>
        <v>(frightening, absurd, ugly) </v>
      </c>
      <c r="C195" s="13" t="str">
        <f>IFERROR(__xludf.DUMMYFUNCTION("""COMPUTED_VALUE"""),"""jyoc"":{""label"":""Scary"",""extra"":""(frightening, absurd, ugly) "",""sets"":""Basic Set, Party Set""},")</f>
        <v>"jyoc":{"label":"Scary","extra":"(frightening, absurd, ugly) ","sets":"Basic Set, Party Set"},</v>
      </c>
    </row>
    <row r="196">
      <c r="A196" s="8" t="str">
        <f>IFERROR(__xludf.DUMMYFUNCTION("""COMPUTED_VALUE"""),"Scenic")</f>
        <v>Scenic</v>
      </c>
      <c r="B196" s="8" t="str">
        <f>IFERROR(__xludf.DUMMYFUNCTION("""COMPUTED_VALUE"""),"(picturesque, dramatic, panoramic) ")</f>
        <v>(picturesque, dramatic, panoramic) </v>
      </c>
      <c r="C196" s="13" t="str">
        <f>IFERROR(__xludf.DUMMYFUNCTION("""COMPUTED_VALUE"""),"""lbcr"":{""label"":""Scenic"",""extra"":""(picturesque, dramatic, panoramic) "",""sets"":""Expansion Set 1, Party Set""},")</f>
        <v>"lbcr":{"label":"Scenic","extra":"(picturesque, dramatic, panoramic) ","sets":"Expansion Set 1, Party Set"},</v>
      </c>
    </row>
    <row r="197">
      <c r="A197" s="8" t="str">
        <f>IFERROR(__xludf.DUMMYFUNCTION("""COMPUTED_VALUE"""),"Selfish")</f>
        <v>Selfish</v>
      </c>
      <c r="B197" s="8" t="str">
        <f>IFERROR(__xludf.DUMMYFUNCTION("""COMPUTED_VALUE"""),"(stingy, greedy, miserly) ")</f>
        <v>(stingy, greedy, miserly) </v>
      </c>
      <c r="C197" s="13" t="str">
        <f>IFERROR(__xludf.DUMMYFUNCTION("""COMPUTED_VALUE"""),"""ymdq"":{""label"":""Selfish"",""extra"":""(stingy, greedy, miserly) "",""sets"":""Basic Set, Party Set""},")</f>
        <v>"ymdq":{"label":"Selfish","extra":"(stingy, greedy, miserly) ","sets":"Basic Set, Party Set"},</v>
      </c>
    </row>
    <row r="198">
      <c r="A198" s="8" t="str">
        <f>IFERROR(__xludf.DUMMYFUNCTION("""COMPUTED_VALUE"""),"Senseless")</f>
        <v>Senseless</v>
      </c>
      <c r="B198" s="8" t="str">
        <f>IFERROR(__xludf.DUMMYFUNCTION("""COMPUTED_VALUE"""),"(meaningless, absurd, foolish) ")</f>
        <v>(meaningless, absurd, foolish) </v>
      </c>
      <c r="C198" s="13" t="str">
        <f>IFERROR(__xludf.DUMMYFUNCTION("""COMPUTED_VALUE"""),"""ornc"":{""label"":""Senseless"",""extra"":""(meaningless, absurd, foolish) "",""sets"":""Expansion Set 2, Party Set""},")</f>
        <v>"ornc":{"label":"Senseless","extra":"(meaningless, absurd, foolish) ","sets":"Expansion Set 2, Party Set"},</v>
      </c>
    </row>
    <row r="199">
      <c r="A199" s="8" t="str">
        <f>IFERROR(__xludf.DUMMYFUNCTION("""COMPUTED_VALUE"""),"Sensitive")</f>
        <v>Sensitive</v>
      </c>
      <c r="B199" s="8" t="str">
        <f>IFERROR(__xludf.DUMMYFUNCTION("""COMPUTED_VALUE"""),"(susceptible, sympathetic, tender) ")</f>
        <v>(susceptible, sympathetic, tender) </v>
      </c>
      <c r="C199" s="13" t="str">
        <f>IFERROR(__xludf.DUMMYFUNCTION("""COMPUTED_VALUE"""),"""omyz"":{""label"":""Sensitive"",""extra"":""(susceptible, sympathetic, tender) "",""sets"":""Basic Set, Party Set""},")</f>
        <v>"omyz":{"label":"Sensitive","extra":"(susceptible, sympathetic, tender) ","sets":"Basic Set, Party Set"},</v>
      </c>
    </row>
    <row r="200">
      <c r="A200" s="8" t="str">
        <f>IFERROR(__xludf.DUMMYFUNCTION("""COMPUTED_VALUE"""),"Sensual")</f>
        <v>Sensual</v>
      </c>
      <c r="B200" s="8" t="str">
        <f>IFERROR(__xludf.DUMMYFUNCTION("""COMPUTED_VALUE"""),"(tactile, pleasing, sexual) ")</f>
        <v>(tactile, pleasing, sexual) </v>
      </c>
      <c r="C200" s="13" t="str">
        <f>IFERROR(__xludf.DUMMYFUNCTION("""COMPUTED_VALUE"""),"""nzej"":{""label"":""Sensual"",""extra"":""(tactile, pleasing, sexual) "",""sets"":""Basic Set, Party Set""},")</f>
        <v>"nzej":{"label":"Sensual","extra":"(tactile, pleasing, sexual) ","sets":"Basic Set, Party Set"},</v>
      </c>
    </row>
    <row r="201">
      <c r="A201" s="8" t="str">
        <f>IFERROR(__xludf.DUMMYFUNCTION("""COMPUTED_VALUE"""),"Sexy")</f>
        <v>Sexy</v>
      </c>
      <c r="B201" s="8" t="str">
        <f>IFERROR(__xludf.DUMMYFUNCTION("""COMPUTED_VALUE"""),"(arousing, appealing, seductive) ")</f>
        <v>(arousing, appealing, seductive) </v>
      </c>
      <c r="C201" s="13" t="str">
        <f>IFERROR(__xludf.DUMMYFUNCTION("""COMPUTED_VALUE"""),"""rukl"":{""label"":""Sexy"",""extra"":""(arousing, appealing, seductive) "",""sets"":""Basic Set, Party Set""},")</f>
        <v>"rukl":{"label":"Sexy","extra":"(arousing, appealing, seductive) ","sets":"Basic Set, Party Set"},</v>
      </c>
    </row>
    <row r="202">
      <c r="A202" s="8" t="str">
        <f>IFERROR(__xludf.DUMMYFUNCTION("""COMPUTED_VALUE"""),"Shallow")</f>
        <v>Shallow</v>
      </c>
      <c r="B202" s="8" t="str">
        <f>IFERROR(__xludf.DUMMYFUNCTION("""COMPUTED_VALUE"""),"(superficial, trivial, not deep) ")</f>
        <v>(superficial, trivial, not deep) </v>
      </c>
      <c r="C202" s="13" t="str">
        <f>IFERROR(__xludf.DUMMYFUNCTION("""COMPUTED_VALUE"""),"""vvhl"":{""label"":""Shallow"",""extra"":""(superficial, trivial, not deep) "",""sets"":""Expansion Set 2, Party Set""},")</f>
        <v>"vvhl":{"label":"Shallow","extra":"(superficial, trivial, not deep) ","sets":"Expansion Set 2, Party Set"},</v>
      </c>
    </row>
    <row r="203">
      <c r="A203" s="8" t="str">
        <f>IFERROR(__xludf.DUMMYFUNCTION("""COMPUTED_VALUE"""),"Sharp")</f>
        <v>Sharp</v>
      </c>
      <c r="B203" s="8" t="str">
        <f>IFERROR(__xludf.DUMMYFUNCTION("""COMPUTED_VALUE"""),"(pointed, keen, acute) ")</f>
        <v>(pointed, keen, acute) </v>
      </c>
      <c r="C203" s="13" t="str">
        <f>IFERROR(__xludf.DUMMYFUNCTION("""COMPUTED_VALUE"""),"""uwtx"":{""label"":""Sharp"",""extra"":""(pointed, keen, acute) "",""sets"":""Expansion Set 2, Party Set""},")</f>
        <v>"uwtx":{"label":"Sharp","extra":"(pointed, keen, acute) ","sets":"Expansion Set 2, Party Set"},</v>
      </c>
    </row>
    <row r="204">
      <c r="A204" s="8" t="str">
        <f>IFERROR(__xludf.DUMMYFUNCTION("""COMPUTED_VALUE"""),"Shiny")</f>
        <v>Shiny</v>
      </c>
      <c r="B204" s="8" t="str">
        <f>IFERROR(__xludf.DUMMYFUNCTION("""COMPUTED_VALUE"""),"(reflective, gleaming, polished) ")</f>
        <v>(reflective, gleaming, polished) </v>
      </c>
      <c r="C204" s="13" t="str">
        <f>IFERROR(__xludf.DUMMYFUNCTION("""COMPUTED_VALUE"""),"""vwqf"":{""label"":""Shiny"",""extra"":""(reflective, gleaming, polished) "",""sets"":""Expansion Set 1, Party Set""},")</f>
        <v>"vwqf":{"label":"Shiny","extra":"(reflective, gleaming, polished) ","sets":"Expansion Set 1, Party Set"},</v>
      </c>
    </row>
    <row r="205">
      <c r="A205" s="8" t="str">
        <f>IFERROR(__xludf.DUMMYFUNCTION("""COMPUTED_VALUE"""),"Shocking")</f>
        <v>Shocking</v>
      </c>
      <c r="B205" s="8" t="str">
        <f>IFERROR(__xludf.DUMMYFUNCTION("""COMPUTED_VALUE"""),"(frightening, electrifying, startling) ")</f>
        <v>(frightening, electrifying, startling) </v>
      </c>
      <c r="C205" s="13" t="str">
        <f>IFERROR(__xludf.DUMMYFUNCTION("""COMPUTED_VALUE"""),"""crno"":{""label"":""Shocking"",""extra"":""(frightening, electrifying, startling) "",""sets"":""Expansion Set 1, Party Set""},")</f>
        <v>"crno":{"label":"Shocking","extra":"(frightening, electrifying, startling) ","sets":"Expansion Set 1, Party Set"},</v>
      </c>
    </row>
    <row r="206">
      <c r="A206" s="8" t="str">
        <f>IFERROR(__xludf.DUMMYFUNCTION("""COMPUTED_VALUE"""),"Shy")</f>
        <v>Shy</v>
      </c>
      <c r="B206" s="8" t="str">
        <f>IFERROR(__xludf.DUMMYFUNCTION("""COMPUTED_VALUE"""),"(bashful, timid, cautious) ")</f>
        <v>(bashful, timid, cautious) </v>
      </c>
      <c r="C206" s="13" t="str">
        <f>IFERROR(__xludf.DUMMYFUNCTION("""COMPUTED_VALUE"""),"""fbuy"":{""label"":""Shy"",""extra"":""(bashful, timid, cautious) "",""sets"":""Expansion Set 1, Party Set""},")</f>
        <v>"fbuy":{"label":"Shy","extra":"(bashful, timid, cautious) ","sets":"Expansion Set 1, Party Set"},</v>
      </c>
    </row>
    <row r="207">
      <c r="A207" s="8" t="str">
        <f>IFERROR(__xludf.DUMMYFUNCTION("""COMPUTED_VALUE"""),"Silly")</f>
        <v>Silly</v>
      </c>
      <c r="B207" s="8" t="str">
        <f>IFERROR(__xludf.DUMMYFUNCTION("""COMPUTED_VALUE"""),"(goofy, absurd, nonsensical) ")</f>
        <v>(goofy, absurd, nonsensical) </v>
      </c>
      <c r="C207" s="13" t="str">
        <f>IFERROR(__xludf.DUMMYFUNCTION("""COMPUTED_VALUE"""),"""vyeu"":{""label"":""Silly"",""extra"":""(goofy, absurd, nonsensical) "",""sets"":""Expansion Set 1, Party Set""},")</f>
        <v>"vyeu":{"label":"Silly","extra":"(goofy, absurd, nonsensical) ","sets":"Expansion Set 1, Party Set"},</v>
      </c>
    </row>
    <row r="208">
      <c r="A208" s="8" t="str">
        <f>IFERROR(__xludf.DUMMYFUNCTION("""COMPUTED_VALUE"""),"Smart")</f>
        <v>Smart</v>
      </c>
      <c r="B208" s="8" t="str">
        <f>IFERROR(__xludf.DUMMYFUNCTION("""COMPUTED_VALUE"""),"(intelligent, stylish, witty) ")</f>
        <v>(intelligent, stylish, witty) </v>
      </c>
      <c r="C208" s="13" t="str">
        <f>IFERROR(__xludf.DUMMYFUNCTION("""COMPUTED_VALUE"""),"""qnbw"":{""label"":""Smart"",""extra"":""(intelligent, stylish, witty) "",""sets"":""Expansion Set 2, Party Set""},")</f>
        <v>"qnbw":{"label":"Smart","extra":"(intelligent, stylish, witty) ","sets":"Expansion Set 2, Party Set"},</v>
      </c>
    </row>
    <row r="209">
      <c r="A209" s="8" t="str">
        <f>IFERROR(__xludf.DUMMYFUNCTION("""COMPUTED_VALUE"""),"Smelly")</f>
        <v>Smelly</v>
      </c>
      <c r="B209" s="8" t="str">
        <f>IFERROR(__xludf.DUMMYFUNCTION("""COMPUTED_VALUE"""),"(stinky, odorous, rank) ")</f>
        <v>(stinky, odorous, rank) </v>
      </c>
      <c r="C209" s="13" t="str">
        <f>IFERROR(__xludf.DUMMYFUNCTION("""COMPUTED_VALUE"""),"""zlpl"":{""label"":""Smelly"",""extra"":""(stinky, odorous, rank) "",""sets"":""Expansion Set 2, Party Set""},")</f>
        <v>"zlpl":{"label":"Smelly","extra":"(stinky, odorous, rank) ","sets":"Expansion Set 2, Party Set"},</v>
      </c>
    </row>
    <row r="210">
      <c r="A210" s="8" t="str">
        <f>IFERROR(__xludf.DUMMYFUNCTION("""COMPUTED_VALUE"""),"Smooth")</f>
        <v>Smooth</v>
      </c>
      <c r="B210" s="8" t="str">
        <f>IFERROR(__xludf.DUMMYFUNCTION("""COMPUTED_VALUE"""),"(even, level, flat) ")</f>
        <v>(even, level, flat) </v>
      </c>
      <c r="C210" s="13" t="str">
        <f>IFERROR(__xludf.DUMMYFUNCTION("""COMPUTED_VALUE"""),"""ytqd"":{""label"":""Smooth"",""extra"":""(even, level, flat) "",""sets"":""Basic Set, Party Set""},")</f>
        <v>"ytqd":{"label":"Smooth","extra":"(even, level, flat) ","sets":"Basic Set, Party Set"},</v>
      </c>
    </row>
    <row r="211">
      <c r="A211" s="8" t="str">
        <f>IFERROR(__xludf.DUMMYFUNCTION("""COMPUTED_VALUE"""),"Snappy")</f>
        <v>Snappy</v>
      </c>
      <c r="B211" s="8" t="str">
        <f>IFERROR(__xludf.DUMMYFUNCTION("""COMPUTED_VALUE"""),"(stylish, trendy, fast) ")</f>
        <v>(stylish, trendy, fast) </v>
      </c>
      <c r="C211" s="13" t="str">
        <f>IFERROR(__xludf.DUMMYFUNCTION("""COMPUTED_VALUE"""),"""ztvm"":{""label"":""Snappy"",""extra"":""(stylish, trendy, fast) "",""sets"":""Expansion Set 2, Party Set""},")</f>
        <v>"ztvm":{"label":"Snappy","extra":"(stylish, trendy, fast) ","sets":"Expansion Set 2, Party Set"},</v>
      </c>
    </row>
    <row r="212">
      <c r="A212" s="8" t="str">
        <f>IFERROR(__xludf.DUMMYFUNCTION("""COMPUTED_VALUE"""),"Soft")</f>
        <v>Soft</v>
      </c>
      <c r="B212" s="8" t="str">
        <f>IFERROR(__xludf.DUMMYFUNCTION("""COMPUTED_VALUE"""),"(malleable, pliable, mushy) ")</f>
        <v>(malleable, pliable, mushy) </v>
      </c>
      <c r="C212" s="13" t="str">
        <f>IFERROR(__xludf.DUMMYFUNCTION("""COMPUTED_VALUE"""),"""uxwd"":{""label"":""Soft"",""extra"":""(malleable, pliable, mushy) "",""sets"":""Basic Set, Party Set""},")</f>
        <v>"uxwd":{"label":"Soft","extra":"(malleable, pliable, mushy) ","sets":"Basic Set, Party Set"},</v>
      </c>
    </row>
    <row r="213">
      <c r="A213" s="8" t="str">
        <f>IFERROR(__xludf.DUMMYFUNCTION("""COMPUTED_VALUE"""),"Speedy")</f>
        <v>Speedy</v>
      </c>
      <c r="B213" s="8" t="str">
        <f>IFERROR(__xludf.DUMMYFUNCTION("""COMPUTED_VALUE"""),"(quick, rapid, fast) ")</f>
        <v>(quick, rapid, fast) </v>
      </c>
      <c r="C213" s="13" t="str">
        <f>IFERROR(__xludf.DUMMYFUNCTION("""COMPUTED_VALUE"""),"""lnmi"":{""label"":""Speedy"",""extra"":""(quick, rapid, fast) "",""sets"":""Basic Set, Party Set""},")</f>
        <v>"lnmi":{"label":"Speedy","extra":"(quick, rapid, fast) ","sets":"Basic Set, Party Set"},</v>
      </c>
    </row>
    <row r="214">
      <c r="A214" s="8" t="str">
        <f>IFERROR(__xludf.DUMMYFUNCTION("""COMPUTED_VALUE"""),"Spicy")</f>
        <v>Spicy</v>
      </c>
      <c r="B214" s="8" t="str">
        <f>IFERROR(__xludf.DUMMYFUNCTION("""COMPUTED_VALUE"""),"(flavorable, tangy, hot) ")</f>
        <v>(flavorable, tangy, hot) </v>
      </c>
      <c r="C214" s="13" t="str">
        <f>IFERROR(__xludf.DUMMYFUNCTION("""COMPUTED_VALUE"""),"""lsqf"":{""label"":""Spicy"",""extra"":""(flavorable, tangy, hot) "",""sets"":""Expansion Set 1, Party Set""},")</f>
        <v>"lsqf":{"label":"Spicy","extra":"(flavorable, tangy, hot) ","sets":"Expansion Set 1, Party Set"},</v>
      </c>
    </row>
    <row r="215">
      <c r="A215" s="8" t="str">
        <f>IFERROR(__xludf.DUMMYFUNCTION("""COMPUTED_VALUE"""),"Spiritual")</f>
        <v>Spiritual</v>
      </c>
      <c r="B215" s="8" t="str">
        <f>IFERROR(__xludf.DUMMYFUNCTION("""COMPUTED_VALUE"""),"(religious, inspired, supernatural) ")</f>
        <v>(religious, inspired, supernatural) </v>
      </c>
      <c r="C215" s="13" t="str">
        <f>IFERROR(__xludf.DUMMYFUNCTION("""COMPUTED_VALUE"""),"""sxmm"":{""label"":""Spiritual"",""extra"":""(religious, inspired, supernatural) "",""sets"":""Expansion Set 1, Party Set""},")</f>
        <v>"sxmm":{"label":"Spiritual","extra":"(religious, inspired, supernatural) ","sets":"Expansion Set 1, Party Set"},</v>
      </c>
    </row>
    <row r="216">
      <c r="A216" s="8" t="str">
        <f>IFERROR(__xludf.DUMMYFUNCTION("""COMPUTED_VALUE"""),"Spooky")</f>
        <v>Spooky</v>
      </c>
      <c r="B216" s="8" t="str">
        <f>IFERROR(__xludf.DUMMYFUNCTION("""COMPUTED_VALUE"""),"(scary, weird, ghostly) ")</f>
        <v>(scary, weird, ghostly) </v>
      </c>
      <c r="C216" s="13" t="str">
        <f>IFERROR(__xludf.DUMMYFUNCTION("""COMPUTED_VALUE"""),"""miuh"":{""label"":""Spooky"",""extra"":""(scary, weird, ghostly) "",""sets"":""Expansion Set 1, Party Set""},")</f>
        <v>"miuh":{"label":"Spooky","extra":"(scary, weird, ghostly) ","sets":"Expansion Set 1, Party Set"},</v>
      </c>
    </row>
    <row r="217">
      <c r="A217" s="8" t="str">
        <f>IFERROR(__xludf.DUMMYFUNCTION("""COMPUTED_VALUE"""),"Spunky")</f>
        <v>Spunky</v>
      </c>
      <c r="B217" s="8" t="str">
        <f>IFERROR(__xludf.DUMMYFUNCTION("""COMPUTED_VALUE"""),"(perky, lively, spirited) ")</f>
        <v>(perky, lively, spirited) </v>
      </c>
      <c r="C217" s="13" t="str">
        <f>IFERROR(__xludf.DUMMYFUNCTION("""COMPUTED_VALUE"""),"""crhf"":{""label"":""Spunky"",""extra"":""(perky, lively, spirited) "",""sets"":""Expansion Set 1, Party Set""},")</f>
        <v>"crhf":{"label":"Spunky","extra":"(perky, lively, spirited) ","sets":"Expansion Set 1, Party Set"},</v>
      </c>
    </row>
    <row r="218">
      <c r="A218" s="8" t="str">
        <f>IFERROR(__xludf.DUMMYFUNCTION("""COMPUTED_VALUE"""),"Squeaky Clean")</f>
        <v>Squeaky Clean</v>
      </c>
      <c r="B218" s="8" t="str">
        <f>IFERROR(__xludf.DUMMYFUNCTION("""COMPUTED_VALUE"""),"(pure, immaculate, unapproachable) ")</f>
        <v>(pure, immaculate, unapproachable) </v>
      </c>
      <c r="C218" s="13" t="str">
        <f>IFERROR(__xludf.DUMMYFUNCTION("""COMPUTED_VALUE"""),"""qcar"":{""label"":""Squeaky Clean"",""extra"":""(pure, immaculate, unapproachable) "",""sets"":""Expansion Set 1, Party Set""},")</f>
        <v>"qcar":{"label":"Squeaky Clean","extra":"(pure, immaculate, unapproachable) ","sets":"Expansion Set 1, Party Set"},</v>
      </c>
    </row>
    <row r="219">
      <c r="A219" s="8" t="str">
        <f>IFERROR(__xludf.DUMMYFUNCTION("""COMPUTED_VALUE"""),"Stereotyped")</f>
        <v>Stereotyped</v>
      </c>
      <c r="B219" s="8" t="str">
        <f>IFERROR(__xludf.DUMMYFUNCTION("""COMPUTED_VALUE"""),"(pigeonholed, caricatured, characterized) ")</f>
        <v>(pigeonholed, caricatured, characterized) </v>
      </c>
      <c r="C219" s="13" t="str">
        <f>IFERROR(__xludf.DUMMYFUNCTION("""COMPUTED_VALUE"""),"""nrfl"":{""label"":""Stereotyped"",""extra"":""(pigeonholed, caricatured, characterized) "",""sets"":""Basic Set, Party Set""},")</f>
        <v>"nrfl":{"label":"Stereotyped","extra":"(pigeonholed, caricatured, characterized) ","sets":"Basic Set, Party Set"},</v>
      </c>
    </row>
    <row r="220">
      <c r="A220" s="8" t="str">
        <f>IFERROR(__xludf.DUMMYFUNCTION("""COMPUTED_VALUE"""),"Stunning")</f>
        <v>Stunning</v>
      </c>
      <c r="B220" s="8" t="str">
        <f>IFERROR(__xludf.DUMMYFUNCTION("""COMPUTED_VALUE"""),"(astonishing, staggering, astounding) ")</f>
        <v>(astonishing, staggering, astounding) </v>
      </c>
      <c r="C220" s="13" t="str">
        <f>IFERROR(__xludf.DUMMYFUNCTION("""COMPUTED_VALUE"""),"""hdds"":{""label"":""Stunning"",""extra"":""(astonishing, staggering, astounding) "",""sets"":""Basic Set, Party Set""},")</f>
        <v>"hdds":{"label":"Stunning","extra":"(astonishing, staggering, astounding) ","sets":"Basic Set, Party Set"},</v>
      </c>
    </row>
    <row r="221">
      <c r="A221" s="8" t="str">
        <f>IFERROR(__xludf.DUMMYFUNCTION("""COMPUTED_VALUE"""),"Sultry")</f>
        <v>Sultry</v>
      </c>
      <c r="B221" s="8" t="str">
        <f>IFERROR(__xludf.DUMMYFUNCTION("""COMPUTED_VALUE"""),"(sweltering, humid, sensual) ")</f>
        <v>(sweltering, humid, sensual) </v>
      </c>
      <c r="C221" s="13" t="str">
        <f>IFERROR(__xludf.DUMMYFUNCTION("""COMPUTED_VALUE"""),"""gywb"":{""label"":""Sultry"",""extra"":""(sweltering, humid, sensual) "",""sets"":""Expansion Set 2, Party Set""},")</f>
        <v>"gywb":{"label":"Sultry","extra":"(sweltering, humid, sensual) ","sets":"Expansion Set 2, Party Set"},</v>
      </c>
    </row>
    <row r="222">
      <c r="A222" s="8" t="str">
        <f>IFERROR(__xludf.DUMMYFUNCTION("""COMPUTED_VALUE"""),"Sweet")</f>
        <v>Sweet</v>
      </c>
      <c r="B222" s="8" t="str">
        <f>IFERROR(__xludf.DUMMYFUNCTION("""COMPUTED_VALUE"""),"(sugary, caring, good) ")</f>
        <v>(sugary, caring, good) </v>
      </c>
      <c r="C222" s="13" t="str">
        <f>IFERROR(__xludf.DUMMYFUNCTION("""COMPUTED_VALUE"""),"""lvef"":{""label"":""Sweet"",""extra"":""(sugary, caring, good) "",""sets"":""Basic Set, Party Set""},")</f>
        <v>"lvef":{"label":"Sweet","extra":"(sugary, caring, good) ","sets":"Basic Set, Party Set"},</v>
      </c>
    </row>
    <row r="223">
      <c r="A223" s="8" t="str">
        <f>IFERROR(__xludf.DUMMYFUNCTION("""COMPUTED_VALUE"""),"Swift")</f>
        <v>Swift</v>
      </c>
      <c r="B223" s="8" t="str">
        <f>IFERROR(__xludf.DUMMYFUNCTION("""COMPUTED_VALUE"""),"(quick, speedy, expeditious) ")</f>
        <v>(quick, speedy, expeditious) </v>
      </c>
      <c r="C223" s="13" t="str">
        <f>IFERROR(__xludf.DUMMYFUNCTION("""COMPUTED_VALUE"""),"""zlvb"":{""label"":""Swift"",""extra"":""(quick, speedy, expeditious) "",""sets"":""Basic Set, Party Set""},")</f>
        <v>"zlvb":{"label":"Swift","extra":"(quick, speedy, expeditious) ","sets":"Basic Set, Party Set"},</v>
      </c>
    </row>
    <row r="224">
      <c r="A224" s="8" t="str">
        <f>IFERROR(__xludf.DUMMYFUNCTION("""COMPUTED_VALUE"""),"Talented")</f>
        <v>Talented</v>
      </c>
      <c r="B224" s="8" t="str">
        <f>IFERROR(__xludf.DUMMYFUNCTION("""COMPUTED_VALUE"""),"(gifted, clever, skillful) ")</f>
        <v>(gifted, clever, skillful) </v>
      </c>
      <c r="C224" s="13" t="str">
        <f>IFERROR(__xludf.DUMMYFUNCTION("""COMPUTED_VALUE"""),"""necc"":{""label"":""Talented"",""extra"":""(gifted, clever, skillful) "",""sets"":""Basic Set, Party Set""},")</f>
        <v>"necc":{"label":"Talented","extra":"(gifted, clever, skillful) ","sets":"Basic Set, Party Set"},</v>
      </c>
    </row>
    <row r="225">
      <c r="A225" s="8" t="str">
        <f>IFERROR(__xludf.DUMMYFUNCTION("""COMPUTED_VALUE"""),"Tame")</f>
        <v>Tame</v>
      </c>
      <c r="B225" s="8" t="str">
        <f>IFERROR(__xludf.DUMMYFUNCTION("""COMPUTED_VALUE"""),"(subdued, gentle, trained) ")</f>
        <v>(subdued, gentle, trained) </v>
      </c>
      <c r="C225" s="13" t="str">
        <f>IFERROR(__xludf.DUMMYFUNCTION("""COMPUTED_VALUE"""),"""fpnr"":{""label"":""Tame"",""extra"":""(subdued, gentle, trained) "",""sets"":""Expansion Set 2, Party Set""},")</f>
        <v>"fpnr":{"label":"Tame","extra":"(subdued, gentle, trained) ","sets":"Expansion Set 2, Party Set"},</v>
      </c>
    </row>
    <row r="226">
      <c r="A226" s="8" t="str">
        <f>IFERROR(__xludf.DUMMYFUNCTION("""COMPUTED_VALUE"""),"Technological")</f>
        <v>Technological</v>
      </c>
      <c r="B226" s="8" t="str">
        <f>IFERROR(__xludf.DUMMYFUNCTION("""COMPUTED_VALUE"""),"(scientific, futuristic, mechanical) ")</f>
        <v>(scientific, futuristic, mechanical) </v>
      </c>
      <c r="C226" s="13" t="str">
        <f>IFERROR(__xludf.DUMMYFUNCTION("""COMPUTED_VALUE"""),"""sutg"":{""label"":""Technological"",""extra"":""(scientific, futuristic, mechanical) "",""sets"":""Expansion Set 1, Party Set""},")</f>
        <v>"sutg":{"label":"Technological","extra":"(scientific, futuristic, mechanical) ","sets":"Expansion Set 1, Party Set"},</v>
      </c>
    </row>
    <row r="227">
      <c r="A227" s="8" t="str">
        <f>IFERROR(__xludf.DUMMYFUNCTION("""COMPUTED_VALUE"""),"Temperamental")</f>
        <v>Temperamental</v>
      </c>
      <c r="B227" s="8" t="str">
        <f>IFERROR(__xludf.DUMMYFUNCTION("""COMPUTED_VALUE"""),"(moody, irritable, short-tempered) ")</f>
        <v>(moody, irritable, short-tempered) </v>
      </c>
      <c r="C227" s="13" t="str">
        <f>IFERROR(__xludf.DUMMYFUNCTION("""COMPUTED_VALUE"""),"""urhi"":{""label"":""Temperamental"",""extra"":""(moody, irritable, short-tempered) "",""sets"":""Basic Set, Party Set""},")</f>
        <v>"urhi":{"label":"Temperamental","extra":"(moody, irritable, short-tempered) ","sets":"Basic Set, Party Set"},</v>
      </c>
    </row>
    <row r="228">
      <c r="A228" s="8" t="str">
        <f>IFERROR(__xludf.DUMMYFUNCTION("""COMPUTED_VALUE"""),"Timeless")</f>
        <v>Timeless</v>
      </c>
      <c r="B228" s="8" t="str">
        <f>IFERROR(__xludf.DUMMYFUNCTION("""COMPUTED_VALUE"""),"(classic, ageless, well-established) ")</f>
        <v>(classic, ageless, well-established) </v>
      </c>
      <c r="C228" s="13" t="str">
        <f>IFERROR(__xludf.DUMMYFUNCTION("""COMPUTED_VALUE"""),"""miwp"":{""label"":""Timeless"",""extra"":""(classic, ageless, well-established) "",""sets"":""Basic Set, Party Set""},")</f>
        <v>"miwp":{"label":"Timeless","extra":"(classic, ageless, well-established) ","sets":"Basic Set, Party Set"},</v>
      </c>
    </row>
    <row r="229">
      <c r="A229" s="8" t="str">
        <f>IFERROR(__xludf.DUMMYFUNCTION("""COMPUTED_VALUE"""),"Touchy-Feely")</f>
        <v>Touchy-Feely</v>
      </c>
      <c r="B229" s="8" t="str">
        <f>IFERROR(__xludf.DUMMYFUNCTION("""COMPUTED_VALUE"""),"(affectionate, tactile, huggy) ")</f>
        <v>(affectionate, tactile, huggy) </v>
      </c>
      <c r="C229" s="13" t="str">
        <f>IFERROR(__xludf.DUMMYFUNCTION("""COMPUTED_VALUE"""),"""esfv"":{""label"":""Touchy-Feely"",""extra"":""(affectionate, tactile, huggy) "",""sets"":""Basic Set, Party Set""},")</f>
        <v>"esfv":{"label":"Touchy-Feely","extra":"(affectionate, tactile, huggy) ","sets":"Basic Set, Party Set"},</v>
      </c>
    </row>
    <row r="230">
      <c r="A230" s="8" t="str">
        <f>IFERROR(__xludf.DUMMYFUNCTION("""COMPUTED_VALUE"""),"Tough")</f>
        <v>Tough</v>
      </c>
      <c r="B230" s="8" t="str">
        <f>IFERROR(__xludf.DUMMYFUNCTION("""COMPUTED_VALUE"""),"(strong, firm, difficult) ")</f>
        <v>(strong, firm, difficult) </v>
      </c>
      <c r="C230" s="13" t="str">
        <f>IFERROR(__xludf.DUMMYFUNCTION("""COMPUTED_VALUE"""),"""mfer"":{""label"":""Tough"",""extra"":""(strong, firm, difficult) "",""sets"":""Expansion Set 1, Party Set""},")</f>
        <v>"mfer":{"label":"Tough","extra":"(strong, firm, difficult) ","sets":"Expansion Set 1, Party Set"},</v>
      </c>
    </row>
    <row r="231">
      <c r="A231" s="8" t="str">
        <f>IFERROR(__xludf.DUMMYFUNCTION("""COMPUTED_VALUE"""),"Trustworthy")</f>
        <v>Trustworthy</v>
      </c>
      <c r="B231" s="8" t="str">
        <f>IFERROR(__xludf.DUMMYFUNCTION("""COMPUTED_VALUE"""),"(honest, reliable, unfailing) ")</f>
        <v>(honest, reliable, unfailing) </v>
      </c>
      <c r="C231" s="13" t="str">
        <f>IFERROR(__xludf.DUMMYFUNCTION("""COMPUTED_VALUE"""),"""pfvp"":{""label"":""Trustworthy"",""extra"":""(honest, reliable, unfailing) "",""sets"":""Basic Set, Party Set""},")</f>
        <v>"pfvp":{"label":"Trustworthy","extra":"(honest, reliable, unfailing) ","sets":"Basic Set, Party Set"},</v>
      </c>
    </row>
    <row r="232">
      <c r="A232" s="8" t="str">
        <f>IFERROR(__xludf.DUMMYFUNCTION("""COMPUTED_VALUE"""),"Twisted")</f>
        <v>Twisted</v>
      </c>
      <c r="B232" s="8" t="str">
        <f>IFERROR(__xludf.DUMMYFUNCTION("""COMPUTED_VALUE"""),"(distorted, warped, perverted) ")</f>
        <v>(distorted, warped, perverted) </v>
      </c>
      <c r="C232" s="13" t="str">
        <f>IFERROR(__xludf.DUMMYFUNCTION("""COMPUTED_VALUE"""),"""ihcx"":{""label"":""Twisted"",""extra"":""(distorted, warped, perverted) "",""sets"":""Expansion Set 2, Party Set""},")</f>
        <v>"ihcx":{"label":"Twisted","extra":"(distorted, warped, perverted) ","sets":"Expansion Set 2, Party Set"},</v>
      </c>
    </row>
    <row r="233">
      <c r="A233" s="8" t="str">
        <f>IFERROR(__xludf.DUMMYFUNCTION("""COMPUTED_VALUE"""),"Unbelievable")</f>
        <v>Unbelievable</v>
      </c>
      <c r="B233" s="8" t="str">
        <f>IFERROR(__xludf.DUMMYFUNCTION("""COMPUTED_VALUE"""),"(incredible, far-fetched, impossible)")</f>
        <v>(incredible, far-fetched, impossible)</v>
      </c>
      <c r="C233" s="13" t="str">
        <f>IFERROR(__xludf.DUMMYFUNCTION("""COMPUTED_VALUE"""),"""hsno"":{""label"":""Unbelievable"",""extra"":""(incredible, far-fetched, impossible)"",""sets"":""Party Set""},")</f>
        <v>"hsno":{"label":"Unbelievable","extra":"(incredible, far-fetched, impossible)","sets":"Party Set"},</v>
      </c>
    </row>
    <row r="234">
      <c r="A234" s="8" t="str">
        <f>IFERROR(__xludf.DUMMYFUNCTION("""COMPUTED_VALUE"""),"Unforgettable")</f>
        <v>Unforgettable</v>
      </c>
      <c r="B234" s="8" t="str">
        <f>IFERROR(__xludf.DUMMYFUNCTION("""COMPUTED_VALUE"""),"(notable, impressive, remarkable) ")</f>
        <v>(notable, impressive, remarkable) </v>
      </c>
      <c r="C234" s="13" t="str">
        <f>IFERROR(__xludf.DUMMYFUNCTION("""COMPUTED_VALUE"""),"""ttnt"":{""label"":""Unforgettable"",""extra"":""(notable, impressive, remarkable) "",""sets"":""Basic Set, Party Set""},")</f>
        <v>"ttnt":{"label":"Unforgettable","extra":"(notable, impressive, remarkable) ","sets":"Basic Set, Party Set"},</v>
      </c>
    </row>
    <row r="235">
      <c r="A235" s="8" t="str">
        <f>IFERROR(__xludf.DUMMYFUNCTION("""COMPUTED_VALUE"""),"Unhealthy")</f>
        <v>Unhealthy</v>
      </c>
      <c r="B235" s="8" t="str">
        <f>IFERROR(__xludf.DUMMYFUNCTION("""COMPUTED_VALUE"""),"(risky, sickly, dangerous) ")</f>
        <v>(risky, sickly, dangerous) </v>
      </c>
      <c r="C235" s="13" t="str">
        <f>IFERROR(__xludf.DUMMYFUNCTION("""COMPUTED_VALUE"""),"""qbhh"":{""label"":""Unhealthy"",""extra"":""(risky, sickly, dangerous) "",""sets"":""Expansion Set 2, Party Set""},")</f>
        <v>"qbhh":{"label":"Unhealthy","extra":"(risky, sickly, dangerous) ","sets":"Expansion Set 2, Party Set"},</v>
      </c>
    </row>
    <row r="236">
      <c r="A236" s="8" t="str">
        <f>IFERROR(__xludf.DUMMYFUNCTION("""COMPUTED_VALUE"""),"Unnatural")</f>
        <v>Unnatural</v>
      </c>
      <c r="B236" s="8" t="str">
        <f>IFERROR(__xludf.DUMMYFUNCTION("""COMPUTED_VALUE"""),"(abnormal, artificial, bizarre) ")</f>
        <v>(abnormal, artificial, bizarre) </v>
      </c>
      <c r="C236" s="13" t="str">
        <f>IFERROR(__xludf.DUMMYFUNCTION("""COMPUTED_VALUE"""),"""edsd"":{""label"":""Unnatural"",""extra"":""(abnormal, artificial, bizarre) "",""sets"":""Expansion Set 2, Party Set""},")</f>
        <v>"edsd":{"label":"Unnatural","extra":"(abnormal, artificial, bizarre) ","sets":"Expansion Set 2, Party Set"},</v>
      </c>
    </row>
    <row r="237">
      <c r="A237" s="8" t="str">
        <f>IFERROR(__xludf.DUMMYFUNCTION("""COMPUTED_VALUE"""),"Unreal")</f>
        <v>Unreal</v>
      </c>
      <c r="B237" s="8" t="str">
        <f>IFERROR(__xludf.DUMMYFUNCTION("""COMPUTED_VALUE"""),"(imaginary, illusionary, unbelievable) ")</f>
        <v>(imaginary, illusionary, unbelievable) </v>
      </c>
      <c r="C237" s="13" t="str">
        <f>IFERROR(__xludf.DUMMYFUNCTION("""COMPUTED_VALUE"""),"""wqgv"":{""label"":""Unreal"",""extra"":""(imaginary, illusionary, unbelievable) "",""sets"":""Expansion Set 2, Party Set""},")</f>
        <v>"wqgv":{"label":"Unreal","extra":"(imaginary, illusionary, unbelievable) ","sets":"Expansion Set 2, Party Set"},</v>
      </c>
    </row>
    <row r="238">
      <c r="A238" s="8" t="str">
        <f>IFERROR(__xludf.DUMMYFUNCTION("""COMPUTED_VALUE"""),"Unscrupulous")</f>
        <v>Unscrupulous</v>
      </c>
      <c r="B238" s="8" t="str">
        <f>IFERROR(__xludf.DUMMYFUNCTION("""COMPUTED_VALUE"""),"(unethical, corrupt, unprincipled) ")</f>
        <v>(unethical, corrupt, unprincipled) </v>
      </c>
      <c r="C238" s="13" t="str">
        <f>IFERROR(__xludf.DUMMYFUNCTION("""COMPUTED_VALUE"""),"""bwjz"":{""label"":""Unscrupulous"",""extra"":""(unethical, corrupt, unprincipled) "",""sets"":""Basic Set, Party Set""},")</f>
        <v>"bwjz":{"label":"Unscrupulous","extra":"(unethical, corrupt, unprincipled) ","sets":"Basic Set, Party Set"},</v>
      </c>
    </row>
    <row r="239">
      <c r="A239" s="8" t="str">
        <f>IFERROR(__xludf.DUMMYFUNCTION("""COMPUTED_VALUE"""),"Unusual")</f>
        <v>Unusual</v>
      </c>
      <c r="B239" s="8" t="str">
        <f>IFERROR(__xludf.DUMMYFUNCTION("""COMPUTED_VALUE"""),"(rare, odd, uncommon) ")</f>
        <v>(rare, odd, uncommon) </v>
      </c>
      <c r="C239" s="13" t="str">
        <f>IFERROR(__xludf.DUMMYFUNCTION("""COMPUTED_VALUE"""),"""ykgx"":{""label"":""Unusual"",""extra"":""(rare, odd, uncommon) "",""sets"":""Expansion Set 2, Party Set""},")</f>
        <v>"ykgx":{"label":"Unusual","extra":"(rare, odd, uncommon) ","sets":"Expansion Set 2, Party Set"},</v>
      </c>
    </row>
    <row r="240">
      <c r="A240" s="8" t="str">
        <f>IFERROR(__xludf.DUMMYFUNCTION("""COMPUTED_VALUE"""),"Useless")</f>
        <v>Useless</v>
      </c>
      <c r="B240" s="8" t="str">
        <f>IFERROR(__xludf.DUMMYFUNCTION("""COMPUTED_VALUE"""),"(worthless, ineffective, unneeded) ")</f>
        <v>(worthless, ineffective, unneeded) </v>
      </c>
      <c r="C240" s="13" t="str">
        <f>IFERROR(__xludf.DUMMYFUNCTION("""COMPUTED_VALUE"""),"""uzkb"":{""label"":""Useless"",""extra"":""(worthless, ineffective, unneeded) "",""sets"":""Expansion Set 1, Party Set""},")</f>
        <v>"uzkb":{"label":"Useless","extra":"(worthless, ineffective, unneeded) ","sets":"Expansion Set 1, Party Set"},</v>
      </c>
    </row>
    <row r="241">
      <c r="A241" s="8" t="str">
        <f>IFERROR(__xludf.DUMMYFUNCTION("""COMPUTED_VALUE"""),"Violent")</f>
        <v>Violent</v>
      </c>
      <c r="B241" s="8" t="str">
        <f>IFERROR(__xludf.DUMMYFUNCTION("""COMPUTED_VALUE"""),"(furious, vicious, destructive) ")</f>
        <v>(furious, vicious, destructive) </v>
      </c>
      <c r="C241" s="13" t="str">
        <f>IFERROR(__xludf.DUMMYFUNCTION("""COMPUTED_VALUE"""),"""iqdr"":{""label"":""Violent"",""extra"":""(furious, vicious, destructive) "",""sets"":""Expansion Set 1, Party Set""},")</f>
        <v>"iqdr":{"label":"Violent","extra":"(furious, vicious, destructive) ","sets":"Expansion Set 1, Party Set"},</v>
      </c>
    </row>
    <row r="242">
      <c r="A242" s="8" t="str">
        <f>IFERROR(__xludf.DUMMYFUNCTION("""COMPUTED_VALUE"""),"Virtuous")</f>
        <v>Virtuous</v>
      </c>
      <c r="B242" s="8" t="str">
        <f>IFERROR(__xludf.DUMMYFUNCTION("""COMPUTED_VALUE"""),"(worthy, righteous, chaste) ")</f>
        <v>(worthy, righteous, chaste) </v>
      </c>
      <c r="C242" s="13" t="str">
        <f>IFERROR(__xludf.DUMMYFUNCTION("""COMPUTED_VALUE"""),"""mpvq"":{""label"":""Virtuous"",""extra"":""(worthy, righteous, chaste) "",""sets"":""Expansion Set 2, Party Set""},")</f>
        <v>"mpvq":{"label":"Virtuous","extra":"(worthy, righteous, chaste) ","sets":"Expansion Set 2, Party Set"},</v>
      </c>
    </row>
    <row r="243">
      <c r="A243" s="8" t="str">
        <f>IFERROR(__xludf.DUMMYFUNCTION("""COMPUTED_VALUE"""),"Visionary")</f>
        <v>Visionary</v>
      </c>
      <c r="B243" s="8" t="str">
        <f>IFERROR(__xludf.DUMMYFUNCTION("""COMPUTED_VALUE"""),"(idealistic, prophetic, far-seeing) ")</f>
        <v>(idealistic, prophetic, far-seeing) </v>
      </c>
      <c r="C243" s="13" t="str">
        <f>IFERROR(__xludf.DUMMYFUNCTION("""COMPUTED_VALUE"""),"""wyph"":{""label"":""Visionary"",""extra"":""(idealistic, prophetic, far-seeing) "",""sets"":""Basic Set, Party Set""},")</f>
        <v>"wyph":{"label":"Visionary","extra":"(idealistic, prophetic, far-seeing) ","sets":"Basic Set, Party Set"},</v>
      </c>
    </row>
    <row r="244">
      <c r="A244" s="8" t="str">
        <f>IFERROR(__xludf.DUMMYFUNCTION("""COMPUTED_VALUE"""),"Weird")</f>
        <v>Weird</v>
      </c>
      <c r="B244" s="8" t="str">
        <f>IFERROR(__xludf.DUMMYFUNCTION("""COMPUTED_VALUE"""),"(abnormal, peculiar, odd) ")</f>
        <v>(abnormal, peculiar, odd) </v>
      </c>
      <c r="C244" s="13" t="str">
        <f>IFERROR(__xludf.DUMMYFUNCTION("""COMPUTED_VALUE"""),"""cxbb"":{""label"":""Weird"",""extra"":""(abnormal, peculiar, odd) "",""sets"":""Expansion Set 1, Party Set""},")</f>
        <v>"cxbb":{"label":"Weird","extra":"(abnormal, peculiar, odd) ","sets":"Expansion Set 1, Party Set"},</v>
      </c>
    </row>
    <row r="245">
      <c r="A245" s="8" t="str">
        <f>IFERROR(__xludf.DUMMYFUNCTION("""COMPUTED_VALUE"""),"Wicked")</f>
        <v>Wicked</v>
      </c>
      <c r="B245" s="8" t="str">
        <f>IFERROR(__xludf.DUMMYFUNCTION("""COMPUTED_VALUE"""),"(evil, corrupt, depraved) ")</f>
        <v>(evil, corrupt, depraved) </v>
      </c>
      <c r="C245" s="13" t="str">
        <f>IFERROR(__xludf.DUMMYFUNCTION("""COMPUTED_VALUE"""),"""sghi"":{""label"":""Wicked"",""extra"":""(evil, corrupt, depraved) "",""sets"":""Basic Set, Party Set""},")</f>
        <v>"sghi":{"label":"Wicked","extra":"(evil, corrupt, depraved) ","sets":"Basic Set, Party Set"},</v>
      </c>
    </row>
    <row r="246">
      <c r="A246" s="8" t="str">
        <f>IFERROR(__xludf.DUMMYFUNCTION("""COMPUTED_VALUE"""),"Wild")</f>
        <v>Wild</v>
      </c>
      <c r="B246" s="8" t="str">
        <f>IFERROR(__xludf.DUMMYFUNCTION("""COMPUTED_VALUE"""),"(untamed, savage, ferocious) ")</f>
        <v>(untamed, savage, ferocious) </v>
      </c>
      <c r="C246" s="13" t="str">
        <f>IFERROR(__xludf.DUMMYFUNCTION("""COMPUTED_VALUE"""),"""ebfx"":{""label"":""Wild"",""extra"":""(untamed, savage, ferocious) "",""sets"":""Basic Set, Party Set""},")</f>
        <v>"ebfx":{"label":"Wild","extra":"(untamed, savage, ferocious) ","sets":"Basic Set, Party Set"},</v>
      </c>
    </row>
    <row r="247">
      <c r="A247" s="8" t="str">
        <f>IFERROR(__xludf.DUMMYFUNCTION("""COMPUTED_VALUE"""),"Witty")</f>
        <v>Witty</v>
      </c>
      <c r="B247" s="8" t="str">
        <f>IFERROR(__xludf.DUMMYFUNCTION("""COMPUTED_VALUE"""),"(clever, humorous, cunning) ")</f>
        <v>(clever, humorous, cunning) </v>
      </c>
      <c r="C247" s="13" t="str">
        <f>IFERROR(__xludf.DUMMYFUNCTION("""COMPUTED_VALUE"""),"""ghtl"":{""label"":""Witty"",""extra"":""(clever, humorous, cunning) "",""sets"":""Expansion Set 1, Party Set""},")</f>
        <v>"ghtl":{"label":"Witty","extra":"(clever, humorous, cunning) ","sets":"Expansion Set 1, Party Set"},</v>
      </c>
    </row>
    <row r="248">
      <c r="A248" s="8" t="str">
        <f>IFERROR(__xludf.DUMMYFUNCTION("""COMPUTED_VALUE"""),"Woebegone")</f>
        <v>Woebegone</v>
      </c>
      <c r="B248" s="8" t="str">
        <f>IFERROR(__xludf.DUMMYFUNCTION("""COMPUTED_VALUE"""),"(dismal, sorrowful, bummed out) ")</f>
        <v>(dismal, sorrowful, bummed out) </v>
      </c>
      <c r="C248" s="13" t="str">
        <f>IFERROR(__xludf.DUMMYFUNCTION("""COMPUTED_VALUE"""),"""lxgl"":{""label"":""Woebegone"",""extra"":""(dismal, sorrowful, bummed out) "",""sets"":""Expansion Set 1, Party Set""},")</f>
        <v>"lxgl":{"label":"Woebegone","extra":"(dismal, sorrowful, bummed out) ","sets":"Expansion Set 1, Party Set"},</v>
      </c>
    </row>
    <row r="249">
      <c r="A249" s="8" t="str">
        <f>IFERROR(__xludf.DUMMYFUNCTION("""COMPUTED_VALUE"""),"Worldly")</f>
        <v>Worldly</v>
      </c>
      <c r="B249" s="8" t="str">
        <f>IFERROR(__xludf.DUMMYFUNCTION("""COMPUTED_VALUE"""),"(experienced, sophisticated, materialistic) ")</f>
        <v>(experienced, sophisticated, materialistic) </v>
      </c>
      <c r="C249" s="13" t="str">
        <f>IFERROR(__xludf.DUMMYFUNCTION("""COMPUTED_VALUE"""),"""eugp"":{""label"":""Worldly"",""extra"":""(experienced, sophisticated, materialistic) "",""sets"":""Expansion Set 1, Party Set""},")</f>
        <v>"eugp":{"label":"Worldly","extra":"(experienced, sophisticated, materialistic) ","sets":"Expansion Set 1, Party Set"},</v>
      </c>
    </row>
    <row r="250">
      <c r="A250" s="8" t="str">
        <f>IFERROR(__xludf.DUMMYFUNCTION("""COMPUTED_VALUE"""),"Zany")</f>
        <v>Zany</v>
      </c>
      <c r="B250" s="8" t="str">
        <f>IFERROR(__xludf.DUMMYFUNCTION("""COMPUTED_VALUE"""),"(crazy, funny, wacky) ")</f>
        <v>(crazy, funny, wacky) </v>
      </c>
      <c r="C250" s="13" t="str">
        <f>IFERROR(__xludf.DUMMYFUNCTION("""COMPUTED_VALUE"""),"""fkqt"":{""label"":""Zany"",""extra"":""(crazy, funny, wacky) "",""sets"":""Basic Set, Party Set""},")</f>
        <v>"fkqt":{"label":"Zany","extra":"(crazy, funny, wacky) ","sets":"Basic Set, Party Set"},</v>
      </c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IFERROR(__xludf.DUMMYFUNCTION("filter(Red!B3:D1000,search(""Party Set"",Red!H3:H1000))"),"A Bad Haircut")</f>
        <v>A Bad Haircut</v>
      </c>
      <c r="B2" s="8" t="str">
        <f>IFERROR(__xludf.DUMMYFUNCTION("""COMPUTED_VALUE"""),"The perfect start to a bad hair day.")</f>
        <v>The perfect start to a bad hair day.</v>
      </c>
      <c r="C2" s="13" t="str">
        <f>IFERROR(__xludf.DUMMYFUNCTION("""COMPUTED_VALUE"""),"""tvps"":{""label"":""A Bad Haircut"",""extra"":""The perfect start to a bad hair day."",""sets"":""Expansion Set 1, Party Set""},")</f>
        <v>"tvps":{"label":"A Bad Haircut","extra":"The perfect start to a bad hair day.","sets":"Expansion Set 1, Party Set"},</v>
      </c>
    </row>
    <row r="3">
      <c r="A3" s="8" t="str">
        <f>IFERROR(__xludf.DUMMYFUNCTION("""COMPUTED_VALUE"""),"A Bull Fight")</f>
        <v>A Bull Fight</v>
      </c>
      <c r="B3" s="8" t="str">
        <f>IFERROR(__xludf.DUMMYFUNCTION("""COMPUTED_VALUE"""),"Also known as “la fiesta brava” (the brave festival). A whole lot of bull..")</f>
        <v>Also known as “la fiesta brava” (the brave festival). A whole lot of bull..</v>
      </c>
      <c r="C3" s="13" t="str">
        <f>IFERROR(__xludf.DUMMYFUNCTION("""COMPUTED_VALUE"""),"""vhva"":{""label"":""A Bull Fight"",""extra"":""Also known as “la fiesta brava” (the brave festival). A whole lot of bull.."",""sets"":""Expansion Set 2, Party Set""},")</f>
        <v>"vhva":{"label":"A Bull Fight","extra":"Also known as “la fiesta brava” (the brave festival). A whole lot of bull..","sets":"Expansion Set 2, Party Set"},</v>
      </c>
    </row>
    <row r="4">
      <c r="A4" s="8" t="str">
        <f>IFERROR(__xludf.DUMMYFUNCTION("""COMPUTED_VALUE"""),"A Car Crash")</f>
        <v>A Car Crash</v>
      </c>
      <c r="B4" s="8" t="str">
        <f>IFERROR(__xludf.DUMMYFUNCTION("""COMPUTED_VALUE"""),"“Hey, it was an accident!”")</f>
        <v>“Hey, it was an accident!”</v>
      </c>
      <c r="C4" s="13" t="str">
        <f>IFERROR(__xludf.DUMMYFUNCTION("""COMPUTED_VALUE"""),"""uavw"":{""label"":""A Car Crash"",""extra"":""“Hey, it was an accident!”"",""sets"":""Basic Set, Party Set""},")</f>
        <v>"uavw":{"label":"A Car Crash","extra":"“Hey, it was an accident!”","sets":"Basic Set, Party Set"},</v>
      </c>
    </row>
    <row r="5">
      <c r="A5" s="8" t="str">
        <f>IFERROR(__xludf.DUMMYFUNCTION("""COMPUTED_VALUE"""),"A Cheap Motel")</f>
        <v>A Cheap Motel</v>
      </c>
      <c r="B5" s="8" t="str">
        <f>IFERROR(__xludf.DUMMYFUNCTION("""COMPUTED_VALUE"""),"No charge for the cockroaches.")</f>
        <v>No charge for the cockroaches.</v>
      </c>
      <c r="C5" s="13" t="str">
        <f>IFERROR(__xludf.DUMMYFUNCTION("""COMPUTED_VALUE"""),"""tucc"":{""label"":""A Cheap Motel"",""extra"":""No charge for the cockroaches."",""sets"":""Basic Set, Party Set""},")</f>
        <v>"tucc":{"label":"A Cheap Motel","extra":"No charge for the cockroaches.","sets":"Basic Set, Party Set"},</v>
      </c>
    </row>
    <row r="6">
      <c r="A6" s="8" t="str">
        <f>IFERROR(__xludf.DUMMYFUNCTION("""COMPUTED_VALUE"""),"A Crawl Space")</f>
        <v>A Crawl Space</v>
      </c>
      <c r="B6" s="8" t="str">
        <f>IFERROR(__xludf.DUMMYFUNCTION("""COMPUTED_VALUE"""),"Where you'll find something the cat dragged in.")</f>
        <v>Where you'll find something the cat dragged in.</v>
      </c>
      <c r="C6" s="13" t="str">
        <f>IFERROR(__xludf.DUMMYFUNCTION("""COMPUTED_VALUE"""),"""htpm"":{""label"":""A Crawl Space"",""extra"":""Where you'll find something the cat dragged in."",""sets"":""Basic Set, Party Set""},")</f>
        <v>"htpm":{"label":"A Crawl Space","extra":"Where you'll find something the cat dragged in.","sets":"Basic Set, Party Set"},</v>
      </c>
    </row>
    <row r="7">
      <c r="A7" s="8" t="str">
        <f>IFERROR(__xludf.DUMMYFUNCTION("""COMPUTED_VALUE"""),"A Dozen Red Roses")</f>
        <v>A Dozen Red Roses</v>
      </c>
      <c r="B7" s="8" t="str">
        <f>IFERROR(__xludf.DUMMYFUNCTION("""COMPUTED_VALUE"""),"When eleven just won't do.")</f>
        <v>When eleven just won't do.</v>
      </c>
      <c r="C7" s="13" t="str">
        <f>IFERROR(__xludf.DUMMYFUNCTION("""COMPUTED_VALUE"""),"""ioru"":{""label"":""A Dozen Red Roses"",""extra"":""When eleven just won't do."",""sets"":""Expansion Set 1, Party Set""},")</f>
        <v>"ioru":{"label":"A Dozen Red Roses","extra":"When eleven just won't do.","sets":"Expansion Set 1, Party Set"},</v>
      </c>
    </row>
    <row r="8">
      <c r="A8" s="8" t="str">
        <f>IFERROR(__xludf.DUMMYFUNCTION("""COMPUTED_VALUE"""),"A Flat Tire")</f>
        <v>A Flat Tire</v>
      </c>
      <c r="B8" s="8" t="str">
        <f>IFERROR(__xludf.DUMMYFUNCTION("""COMPUTED_VALUE"""),"“Whaddya mean, there’s no spare?”")</f>
        <v>“Whaddya mean, there’s no spare?”</v>
      </c>
      <c r="C8" s="13" t="str">
        <f>IFERROR(__xludf.DUMMYFUNCTION("""COMPUTED_VALUE"""),"""plrz"":{""label"":""A Flat Tire"",""extra"":""“Whaddya mean, there’s no spare?”"",""sets"":""Basic Set, Party Set""},")</f>
        <v>"plrz":{"label":"A Flat Tire","extra":"“Whaddya mean, there’s no spare?”","sets":"Basic Set, Party Set"},</v>
      </c>
    </row>
    <row r="9">
      <c r="A9" s="8" t="str">
        <f>IFERROR(__xludf.DUMMYFUNCTION("""COMPUTED_VALUE"""),"A Full Moon")</f>
        <v>A Full Moon</v>
      </c>
      <c r="B9" s="8" t="str">
        <f>IFERROR(__xludf.DUMMYFUNCTION("""COMPUTED_VALUE"""),"“When the moon hits your eye like a big pizza pie, that's amore!”—Dean Martin")</f>
        <v>“When the moon hits your eye like a big pizza pie, that's amore!”—Dean Martin</v>
      </c>
      <c r="C9" s="13" t="str">
        <f>IFERROR(__xludf.DUMMYFUNCTION("""COMPUTED_VALUE"""),"""qniz"":{""label"":""A Full Moon"",""extra"":""“When the moon hits your eye like a big pizza pie, that's amore!”—Dean Martin"",""sets"":""Expansion Set 1, Party Set""},")</f>
        <v>"qniz":{"label":"A Full Moon","extra":"“When the moon hits your eye like a big pizza pie, that's amore!”—Dean Martin","sets":"Expansion Set 1, Party Set"},</v>
      </c>
    </row>
    <row r="10">
      <c r="A10" s="8" t="str">
        <f>IFERROR(__xludf.DUMMYFUNCTION("""COMPUTED_VALUE"""),"A Haunted House")</f>
        <v>A Haunted House</v>
      </c>
      <c r="B10" s="8" t="str">
        <f>IFERROR(__xludf.DUMMYFUNCTION("""COMPUTED_VALUE"""),"Maybe if people would STOP building their dream homes on ancient burial grounds…")</f>
        <v>Maybe if people would STOP building their dream homes on ancient burial grounds…</v>
      </c>
      <c r="C10" s="13" t="str">
        <f>IFERROR(__xludf.DUMMYFUNCTION("""COMPUTED_VALUE"""),"""qmlc"":{""label"":""A Haunted House"",""extra"":""Maybe if people would STOP building their dream homes on ancient burial grounds…"",""sets"":""Expansion Set 1, Party Set""},")</f>
        <v>"qmlc":{"label":"A Haunted House","extra":"Maybe if people would STOP building their dream homes on ancient burial grounds…","sets":"Expansion Set 1, Party Set"},</v>
      </c>
    </row>
    <row r="11">
      <c r="A11" s="8" t="str">
        <f>IFERROR(__xludf.DUMMYFUNCTION("""COMPUTED_VALUE"""),"A High School Bathroom")</f>
        <v>A High School Bathroom</v>
      </c>
      <c r="B11" s="8" t="str">
        <f>IFERROR(__xludf.DUMMYFUNCTION("""COMPUTED_VALUE"""),"“Fools rush in where angels fear to tread” —Alexander Pope")</f>
        <v>“Fools rush in where angels fear to tread” —Alexander Pope</v>
      </c>
      <c r="C11" s="13" t="str">
        <f>IFERROR(__xludf.DUMMYFUNCTION("""COMPUTED_VALUE"""),"""fbbm"":{""label"":""A High School Bathroom"",""extra"":""“Fools rush in where angels fear to tread” —Alexander Pope"",""sets"":""Basic Set, Party Set""},")</f>
        <v>"fbbm":{"label":"A High School Bathroom","extra":"“Fools rush in where angels fear to tread” —Alexander Pope","sets":"Basic Set, Party Set"},</v>
      </c>
    </row>
    <row r="12">
      <c r="A12" s="8" t="str">
        <f>IFERROR(__xludf.DUMMYFUNCTION("""COMPUTED_VALUE"""),"A Honeymoon")</f>
        <v>A Honeymoon</v>
      </c>
      <c r="B12" s="8" t="str">
        <f>IFERROR(__xludf.DUMMYFUNCTION("""COMPUTED_VALUE"""),"America’s top honeymoon spots are Hawaii, Niagara Falls, Las Vegas and Florida. You can get there by air, land, sea… or shotgun.")</f>
        <v>America’s top honeymoon spots are Hawaii, Niagara Falls, Las Vegas and Florida. You can get there by air, land, sea… or shotgun.</v>
      </c>
      <c r="C12" s="13" t="str">
        <f>IFERROR(__xludf.DUMMYFUNCTION("""COMPUTED_VALUE"""),"""tpxf"":{""label"":""A Honeymoon"",""extra"":""America’s top honeymoon spots are Hawaii, Niagara Falls, Las Vegas and Florida. You can get there by air, land, sea… or shotgun."",""sets"":""Basic Set, Party Set""},")</f>
        <v>"tpxf":{"label":"A Honeymoon","extra":"America’s top honeymoon spots are Hawaii, Niagara Falls, Las Vegas and Florida. You can get there by air, land, sea… or shotgun.","sets":"Basic Set, Party Set"},</v>
      </c>
    </row>
    <row r="13">
      <c r="A13" s="8" t="str">
        <f>IFERROR(__xludf.DUMMYFUNCTION("""COMPUTED_VALUE"""),"A Locker Room")</f>
        <v>A Locker Room</v>
      </c>
      <c r="B13" s="8" t="str">
        <f>IFERROR(__xludf.DUMMYFUNCTION("""COMPUTED_VALUE"""),"Steamy atmosphere… bawdy humor… sweaty bodies… HEY! Sounds like Cable TV!")</f>
        <v>Steamy atmosphere… bawdy humor… sweaty bodies… HEY! Sounds like Cable TV!</v>
      </c>
      <c r="C13" s="13" t="str">
        <f>IFERROR(__xludf.DUMMYFUNCTION("""COMPUTED_VALUE"""),"""dzty"":{""label"":""A Locker Room"",""extra"":""Steamy atmosphere… bawdy humor… sweaty bodies… HEY! Sounds like Cable TV!"",""sets"":""Basic Set, Party Set""},")</f>
        <v>"dzty":{"label":"A Locker Room","extra":"Steamy atmosphere… bawdy humor… sweaty bodies… HEY! Sounds like Cable TV!","sets":"Basic Set, Party Set"},</v>
      </c>
    </row>
    <row r="14">
      <c r="A14" s="8" t="str">
        <f>IFERROR(__xludf.DUMMYFUNCTION("""COMPUTED_VALUE"""),"A Morgue")</f>
        <v>A Morgue</v>
      </c>
      <c r="B14" s="8" t="str">
        <f>IFERROR(__xludf.DUMMYFUNCTION("""COMPUTED_VALUE"""),"“Given strange eons, even death may die…”—H.P. Lovecraft")</f>
        <v>“Given strange eons, even death may die…”—H.P. Lovecraft</v>
      </c>
      <c r="C14" s="13" t="str">
        <f>IFERROR(__xludf.DUMMYFUNCTION("""COMPUTED_VALUE"""),"""ista"":{""label"":""A Morgue"",""extra"":""“Given strange eons, even death may die…”—H.P. Lovecraft"",""sets"":""Basic Set, Party Set""},")</f>
        <v>"ista":{"label":"A Morgue","extra":"“Given strange eons, even death may die…”—H.P. Lovecraft","sets":"Basic Set, Party Set"},</v>
      </c>
    </row>
    <row r="15">
      <c r="A15" s="8" t="str">
        <f>IFERROR(__xludf.DUMMYFUNCTION("""COMPUTED_VALUE"""),"A Nine Iron")</f>
        <v>A Nine Iron</v>
      </c>
      <c r="B15" s="8" t="str">
        <f>IFERROR(__xludf.DUMMYFUNCTION("""COMPUTED_VALUE"""),"A golf club best used on short shots or large opponents.")</f>
        <v>A golf club best used on short shots or large opponents.</v>
      </c>
      <c r="C15" s="13" t="str">
        <f>IFERROR(__xludf.DUMMYFUNCTION("""COMPUTED_VALUE"""),"""cnia"":{""label"":""A Nine Iron"",""extra"":""A golf club best used on short shots or large opponents."",""sets"":""Expansion Set 2, Party Set""},")</f>
        <v>"cnia":{"label":"A Nine Iron","extra":"A golf club best used on short shots or large opponents.","sets":"Expansion Set 2, Party Set"},</v>
      </c>
    </row>
    <row r="16">
      <c r="A16" s="8" t="str">
        <f>IFERROR(__xludf.DUMMYFUNCTION("""COMPUTED_VALUE"""),"A School Bus")</f>
        <v>A School Bus</v>
      </c>
      <c r="B16" s="8" t="str">
        <f>IFERROR(__xludf.DUMMYFUNCTION("""COMPUTED_VALUE"""),"“The only thing we have to fear is fear itself.”—Franklin D. Roosevelt")</f>
        <v>“The only thing we have to fear is fear itself.”—Franklin D. Roosevelt</v>
      </c>
      <c r="C16" s="13" t="str">
        <f>IFERROR(__xludf.DUMMYFUNCTION("""COMPUTED_VALUE"""),"""ejme"":{""label"":""A School Bus"",""extra"":""“The only thing we have to fear is fear itself.”—Franklin D. Roosevelt"",""sets"":""Expansion Set 1, Party Set""},")</f>
        <v>"ejme":{"label":"A School Bus","extra":"“The only thing we have to fear is fear itself.”—Franklin D. Roosevelt","sets":"Expansion Set 1, Party Set"},</v>
      </c>
    </row>
    <row r="17">
      <c r="A17" s="8" t="str">
        <f>IFERROR(__xludf.DUMMYFUNCTION("""COMPUTED_VALUE"""),"A School Cafeteria")</f>
        <v>A School Cafeteria</v>
      </c>
      <c r="B17" s="8" t="str">
        <f>IFERROR(__xludf.DUMMYFUNCTION("""COMPUTED_VALUE"""),"Food fight!.")</f>
        <v>Food fight!.</v>
      </c>
      <c r="C17" s="13" t="str">
        <f>IFERROR(__xludf.DUMMYFUNCTION("""COMPUTED_VALUE"""),"""inzd"":{""label"":""A School Cafeteria"",""extra"":""Food fight!."",""sets"":""Expansion Set 2, Party Set""},")</f>
        <v>"inzd":{"label":"A School Cafeteria","extra":"Food fight!.","sets":"Expansion Set 2, Party Set"},</v>
      </c>
    </row>
    <row r="18">
      <c r="A18" s="8" t="str">
        <f>IFERROR(__xludf.DUMMYFUNCTION("""COMPUTED_VALUE"""),"A Sunrise")</f>
        <v>A Sunrise</v>
      </c>
      <c r="B18" s="8" t="str">
        <f>IFERROR(__xludf.DUMMYFUNCTION("""COMPUTED_VALUE"""),"“But he who kisses the joy as it flies/ Lives in eternity's sunrise.” —William Blake")</f>
        <v>“But he who kisses the joy as it flies/ Lives in eternity's sunrise.” —William Blake</v>
      </c>
      <c r="C18" s="13" t="str">
        <f>IFERROR(__xludf.DUMMYFUNCTION("""COMPUTED_VALUE"""),"""tdzf"":{""label"":""A Sunrise"",""extra"":""“But he who kisses the joy as it flies/ Lives in eternity's sunrise.” —William Blake"",""sets"":""Basic Set, Party Set""},")</f>
        <v>"tdzf":{"label":"A Sunrise","extra":"“But he who kisses the joy as it flies/ Lives in eternity's sunrise.” —William Blake","sets":"Basic Set, Party Set"},</v>
      </c>
    </row>
    <row r="19">
      <c r="A19" s="8" t="str">
        <f>IFERROR(__xludf.DUMMYFUNCTION("""COMPUTED_VALUE"""),"A Sunset")</f>
        <v>A Sunset</v>
      </c>
      <c r="B19" s="8" t="str">
        <f>IFERROR(__xludf.DUMMYFUNCTION("""COMPUTED_VALUE"""),"The sun never set on the British Empire… because God didn't trust the English in the dark.")</f>
        <v>The sun never set on the British Empire… because God didn't trust the English in the dark.</v>
      </c>
      <c r="C19" s="13" t="str">
        <f>IFERROR(__xludf.DUMMYFUNCTION("""COMPUTED_VALUE"""),"""mwdi"":{""label"":""A Sunset"",""extra"":""The sun never set on the British Empire… because God didn't trust the English in the dark."",""sets"":""Basic Set, Party Set""},")</f>
        <v>"mwdi":{"label":"A Sunset","extra":"The sun never set on the British Empire… because God didn't trust the English in the dark.","sets":"Basic Set, Party Set"},</v>
      </c>
    </row>
    <row r="20">
      <c r="A20" s="8" t="str">
        <f>IFERROR(__xludf.DUMMYFUNCTION("""COMPUTED_VALUE"""),"A Tree House")</f>
        <v>A Tree House</v>
      </c>
      <c r="B20" s="8" t="str">
        <f>IFERROR(__xludf.DUMMYFUNCTION("""COMPUTED_VALUE"""),"Your first high-rise apartment.")</f>
        <v>Your first high-rise apartment.</v>
      </c>
      <c r="C20" s="13" t="str">
        <f>IFERROR(__xludf.DUMMYFUNCTION("""COMPUTED_VALUE"""),"""hdeo"":{""label"":""A Tree House"",""extra"":""Your first high-rise apartment."",""sets"":""Expansion Set 1, Party Set""},")</f>
        <v>"hdeo":{"label":"A Tree House","extra":"Your first high-rise apartment.","sets":"Expansion Set 1, Party Set"},</v>
      </c>
    </row>
    <row r="21">
      <c r="A21" s="8" t="str">
        <f>IFERROR(__xludf.DUMMYFUNCTION("""COMPUTED_VALUE"""),"A Used Car Lot")</f>
        <v>A Used Car Lot</v>
      </c>
      <c r="B21" s="8" t="str">
        <f>IFERROR(__xludf.DUMMYFUNCTION("""COMPUTED_VALUE"""),"One of the most honest places around. Honest…")</f>
        <v>One of the most honest places around. Honest…</v>
      </c>
      <c r="C21" s="13" t="str">
        <f>IFERROR(__xludf.DUMMYFUNCTION("""COMPUTED_VALUE"""),"""tvaa"":{""label"":""A Used Car Lot"",""extra"":""One of the most honest places around. Honest…"",""sets"":""Basic Set, Party Set""},")</f>
        <v>"tvaa":{"label":"A Used Car Lot","extra":"One of the most honest places around. Honest…","sets":"Basic Set, Party Set"},</v>
      </c>
    </row>
    <row r="22">
      <c r="A22" s="8" t="str">
        <f>IFERROR(__xludf.DUMMYFUNCTION("""COMPUTED_VALUE"""),"Abraham Lincoln")</f>
        <v>Abraham Lincoln</v>
      </c>
      <c r="B22" s="8" t="str">
        <f>IFERROR(__xludf.DUMMYFUNCTION("""COMPUTED_VALUE"""),"1809-65, 16th U.S. president, led the Union to victory in the American Civil War and abolished slavery. Was assassinated for his efforts.")</f>
        <v>1809-65, 16th U.S. president, led the Union to victory in the American Civil War and abolished slavery. Was assassinated for his efforts.</v>
      </c>
      <c r="C22" s="13" t="str">
        <f>IFERROR(__xludf.DUMMYFUNCTION("""COMPUTED_VALUE"""),"""tycl"":{""label"":""Abraham Lincoln"",""extra"":""1809-65, 16th U.S. president, led the Union to victory in the American Civil War and abolished slavery. Was assassinated for his efforts."",""sets"":""Basic Set, Party Set""},")</f>
        <v>"tycl":{"label":"Abraham Lincoln","extra":"1809-65, 16th U.S. president, led the Union to victory in the American Civil War and abolished slavery. Was assassinated for his efforts.","sets":"Basic Set, Party Set"},</v>
      </c>
    </row>
    <row r="23">
      <c r="A23" s="8" t="str">
        <f>IFERROR(__xludf.DUMMYFUNCTION("""COMPUTED_VALUE"""),"Adam Sandler")</f>
        <v>Adam Sandler</v>
      </c>
      <c r="B23" s="8" t="str">
        <f>IFERROR(__xludf.DUMMYFUNCTION("""COMPUTED_VALUE"""),"1966-, American comedian, film star, and Saturday Night Live alumnus. Genius or goofballyou make the call.")</f>
        <v>1966-, American comedian, film star, and Saturday Night Live alumnus. Genius or goofballyou make the call.</v>
      </c>
      <c r="C23" s="13" t="str">
        <f>IFERROR(__xludf.DUMMYFUNCTION("""COMPUTED_VALUE"""),"""rskj"":{""label"":""Adam Sandler"",""extra"":""1966-, American comedian, film star, and Saturday Night Live alumnus. Genius or goofballyou make the call."",""sets"":""Expansion Set 2, Party Set""},")</f>
        <v>"rskj":{"label":"Adam Sandler","extra":"1966-, American comedian, film star, and Saturday Night Live alumnus. Genius or goofballyou make the call.","sets":"Expansion Set 2, Party Set"},</v>
      </c>
    </row>
    <row r="24">
      <c r="A24" s="8" t="str">
        <f>IFERROR(__xludf.DUMMYFUNCTION("""COMPUTED_VALUE"""),"Adolph Hitler")</f>
        <v>Adolph Hitler</v>
      </c>
      <c r="B24" s="8" t="str">
        <f>IFERROR(__xludf.DUMMYFUNCTION("""COMPUTED_VALUE"""),"1889-1945, turned Germany into a militarized dictatorship, caused the slaughter of millions and launched World War II.")</f>
        <v>1889-1945, turned Germany into a militarized dictatorship, caused the slaughter of millions and launched World War II.</v>
      </c>
      <c r="C24" s="13" t="str">
        <f>IFERROR(__xludf.DUMMYFUNCTION("""COMPUTED_VALUE"""),"""yyhv"":{""label"":""Adolph Hitler"",""extra"":""1889-1945, turned Germany into a militarized dictatorship, caused the slaughter of millions and launched World War II."",""sets"":""Basic Set, Party Set""},")</f>
        <v>"yyhv":{"label":"Adolph Hitler","extra":"1889-1945, turned Germany into a militarized dictatorship, caused the slaughter of millions and launched World War II.","sets":"Basic Set, Party Set"},</v>
      </c>
    </row>
    <row r="25">
      <c r="A25" s="8" t="str">
        <f>IFERROR(__xludf.DUMMYFUNCTION("""COMPUTED_VALUE"""),"AIDS")</f>
        <v>AIDS</v>
      </c>
      <c r="B25" s="8" t="str">
        <f>IFERROR(__xludf.DUMMYFUNCTION("""COMPUTED_VALUE"""),"Acquired Immune Deficiency Syndrome.")</f>
        <v>Acquired Immune Deficiency Syndrome.</v>
      </c>
      <c r="C25" s="13" t="str">
        <f>IFERROR(__xludf.DUMMYFUNCTION("""COMPUTED_VALUE"""),"""vlzp"":{""label"":""AIDS"",""extra"":""Acquired Immune Deficiency Syndrome."",""sets"":""Expansion Set 2, Party Set""},")</f>
        <v>"vlzp":{"label":"AIDS","extra":"Acquired Immune Deficiency Syndrome.","sets":"Expansion Set 2, Party Set"},</v>
      </c>
    </row>
    <row r="26">
      <c r="A26" s="8" t="str">
        <f>IFERROR(__xludf.DUMMYFUNCTION("""COMPUTED_VALUE"""),"Airline Food")</f>
        <v>Airline Food</v>
      </c>
      <c r="B26" s="8" t="str">
        <f>IFERROR(__xludf.DUMMYFUNCTION("""COMPUTED_VALUE"""),"Since when is a bag of peanuts considered a meal?")</f>
        <v>Since when is a bag of peanuts considered a meal?</v>
      </c>
      <c r="C26" s="13" t="str">
        <f>IFERROR(__xludf.DUMMYFUNCTION("""COMPUTED_VALUE"""),"""txyk"":{""label"":""Airline Food"",""extra"":""Since when is a bag of peanuts considered a meal?"",""sets"":""Expansion Set 1, Party Set""},")</f>
        <v>"txyk":{"label":"Airline Food","extra":"Since when is a bag of peanuts considered a meal?","sets":"Expansion Set 1, Party Set"},</v>
      </c>
    </row>
    <row r="27">
      <c r="A27" s="8" t="str">
        <f>IFERROR(__xludf.DUMMYFUNCTION("""COMPUTED_VALUE"""),"Al Pacino")</f>
        <v>Al Pacino</v>
      </c>
      <c r="B27" s="8" t="str">
        <f>IFERROR(__xludf.DUMMYFUNCTION("""COMPUTED_VALUE"""),"1940-, Oscar winning American actor and star of “The Godfather,” “Dog Day Afternoon” and “Scent Of A Woman.” One very intense guy.")</f>
        <v>1940-, Oscar winning American actor and star of “The Godfather,” “Dog Day Afternoon” and “Scent Of A Woman.” One very intense guy.</v>
      </c>
      <c r="C27" s="13" t="str">
        <f>IFERROR(__xludf.DUMMYFUNCTION("""COMPUTED_VALUE"""),"""gauy"":{""label"":""Al Pacino"",""extra"":""1940-, Oscar winning American actor and star of “The Godfather,” “Dog Day Afternoon” and “Scent Of A Woman.” One very intense guy."",""sets"":""Expansion Set 1, Party Set""},")</f>
        <v>"gauy":{"label":"Al Pacino","extra":"1940-, Oscar winning American actor and star of “The Godfather,” “Dog Day Afternoon” and “Scent Of A Woman.” One very intense guy.","sets":"Expansion Set 1, Party Set"},</v>
      </c>
    </row>
    <row r="28">
      <c r="A28" s="8" t="str">
        <f>IFERROR(__xludf.DUMMYFUNCTION("""COMPUTED_VALUE"""),"Albert Einstein")</f>
        <v>Albert Einstein</v>
      </c>
      <c r="B28" s="8" t="str">
        <f>IFERROR(__xludf.DUMMYFUNCTION("""COMPUTED_VALUE"""),"1879-1855, German-born American physicist and Nobel laureate who created theories of relativity. Nice hair.")</f>
        <v>1879-1855, German-born American physicist and Nobel laureate who created theories of relativity. Nice hair.</v>
      </c>
      <c r="C28" s="13" t="str">
        <f>IFERROR(__xludf.DUMMYFUNCTION("""COMPUTED_VALUE"""),"""mqtj"":{""label"":""Albert Einstein"",""extra"":""1879-1855, German-born American physicist and Nobel laureate who created theories of relativity. Nice hair."",""sets"":""Basic Set, Party Set""},")</f>
        <v>"mqtj":{"label":"Albert Einstein","extra":"1879-1855, German-born American physicist and Nobel laureate who created theories of relativity. Nice hair.","sets":"Basic Set, Party Set"},</v>
      </c>
    </row>
    <row r="29">
      <c r="A29" s="8" t="str">
        <f>IFERROR(__xludf.DUMMYFUNCTION("""COMPUTED_VALUE"""),"Alfred Hitchcock")</f>
        <v>Alfred Hitchcock</v>
      </c>
      <c r="B29" s="8" t="str">
        <f>IFERROR(__xludf.DUMMYFUNCTION("""COMPUTED_VALUE"""),"1899-1980, British-born American director and producer of brilliant psychological thrillers. Right, mother? MOTHER!")</f>
        <v>1899-1980, British-born American director and producer of brilliant psychological thrillers. Right, mother? MOTHER!</v>
      </c>
      <c r="C29" s="13" t="str">
        <f>IFERROR(__xludf.DUMMYFUNCTION("""COMPUTED_VALUE"""),"""dkwo"":{""label"":""Alfred Hitchcock"",""extra"":""1899-1980, British-born American director and producer of brilliant psychological thrillers. Right, mother? MOTHER!"",""sets"":""Basic Set, Party Set""},")</f>
        <v>"dkwo":{"label":"Alfred Hitchcock","extra":"1899-1980, British-born American director and producer of brilliant psychological thrillers. Right, mother? MOTHER!","sets":"Basic Set, Party Set"},</v>
      </c>
    </row>
    <row r="30">
      <c r="A30" s="8" t="str">
        <f>IFERROR(__xludf.DUMMYFUNCTION("""COMPUTED_VALUE"""),"Alien Abductions")</f>
        <v>Alien Abductions</v>
      </c>
      <c r="B30" s="8" t="str">
        <f>IFERROR(__xludf.DUMMYFUNCTION("""COMPUTED_VALUE"""),"There was a blinding lightand she was gone!")</f>
        <v>There was a blinding lightand she was gone!</v>
      </c>
      <c r="C30" s="13" t="str">
        <f>IFERROR(__xludf.DUMMYFUNCTION("""COMPUTED_VALUE"""),"""nufj"":{""label"":""Alien Abductions"",""extra"":""There was a blinding lightand she was gone!"",""sets"":""Expansion Set 1, Party Set""},")</f>
        <v>"nufj":{"label":"Alien Abductions","extra":"There was a blinding lightand she was gone!","sets":"Expansion Set 1, Party Set"},</v>
      </c>
    </row>
    <row r="31">
      <c r="A31" s="8" t="str">
        <f>IFERROR(__xludf.DUMMYFUNCTION("""COMPUTED_VALUE"""),"Americans")</f>
        <v>Americans</v>
      </c>
      <c r="B31" s="8" t="str">
        <f>IFERROR(__xludf.DUMMYFUNCTION("""COMPUTED_VALUE"""),"How many Americans does it take to screw in a light bulb? THAT'S NOT FUNNY! WE'RE SUING!")</f>
        <v>How many Americans does it take to screw in a light bulb? THAT'S NOT FUNNY! WE'RE SUING!</v>
      </c>
      <c r="C31" s="13" t="str">
        <f>IFERROR(__xludf.DUMMYFUNCTION("""COMPUTED_VALUE"""),"""tlgu"":{""label"":""Americans"",""extra"":""How many Americans does it take to screw in a light bulb? THAT'S NOT FUNNY! WE'RE SUING!"",""sets"":""Basic Set, Party Set""},")</f>
        <v>"tlgu":{"label":"Americans","extra":"How many Americans does it take to screw in a light bulb? THAT'S NOT FUNNY! WE'RE SUING!","sets":"Basic Set, Party Set"},</v>
      </c>
    </row>
    <row r="32">
      <c r="A32" s="8" t="str">
        <f>IFERROR(__xludf.DUMMYFUNCTION("""COMPUTED_VALUE"""),"Amputations")</f>
        <v>Amputations</v>
      </c>
      <c r="B32" s="8" t="str">
        <f>IFERROR(__xludf.DUMMYFUNCTION("""COMPUTED_VALUE"""),"“A SCRATCH? Your arm's off!” —Monty Python and the Holy Grail")</f>
        <v>“A SCRATCH? Your arm's off!” —Monty Python and the Holy Grail</v>
      </c>
      <c r="C32" s="13" t="str">
        <f>IFERROR(__xludf.DUMMYFUNCTION("""COMPUTED_VALUE"""),"""isib"":{""label"":""Amputations"",""extra"":""“A SCRATCH? Your arm's off!” —Monty Python and the Holy Grail"",""sets"":""Expansion Set 2, Party Set""},")</f>
        <v>"isib":{"label":"Amputations","extra":"“A SCRATCH? Your arm's off!” —Monty Python and the Holy Grail","sets":"Expansion Set 2, Party Set"},</v>
      </c>
    </row>
    <row r="33">
      <c r="A33" s="8" t="str">
        <f>IFERROR(__xludf.DUMMYFUNCTION("""COMPUTED_VALUE"""),"Andy Warhol")</f>
        <v>Andy Warhol</v>
      </c>
      <c r="B33" s="8" t="str">
        <f>IFERROR(__xludf.DUMMYFUNCTION("""COMPUTED_VALUE"""),"1928-87, American painter and filmmaker, a leader of the pop art movement. Famous for slightly more than 15 minutes.")</f>
        <v>1928-87, American painter and filmmaker, a leader of the pop art movement. Famous for slightly more than 15 minutes.</v>
      </c>
      <c r="C33" s="13" t="str">
        <f>IFERROR(__xludf.DUMMYFUNCTION("""COMPUTED_VALUE"""),"""qxho"":{""label"":""Andy Warhol"",""extra"":""1928-87, American painter and filmmaker, a leader of the pop art movement. Famous for slightly more than 15 minutes."",""sets"":""Basic Set, Party Set""},")</f>
        <v>"qxho":{"label":"Andy Warhol","extra":"1928-87, American painter and filmmaker, a leader of the pop art movement. Famous for slightly more than 15 minutes.","sets":"Basic Set, Party Set"},</v>
      </c>
    </row>
    <row r="34">
      <c r="A34" s="8" t="str">
        <f>IFERROR(__xludf.DUMMYFUNCTION("""COMPUTED_VALUE"""),"Angry Hornets")</f>
        <v>Angry Hornets</v>
      </c>
      <c r="B34" s="8" t="str">
        <f>IFERROR(__xludf.DUMMYFUNCTION("""COMPUTED_VALUE"""),"Who put the bees in their bonnets?")</f>
        <v>Who put the bees in their bonnets?</v>
      </c>
      <c r="C34" s="13" t="str">
        <f>IFERROR(__xludf.DUMMYFUNCTION("""COMPUTED_VALUE"""),"""ptcw"":{""label"":""Angry Hornets"",""extra"":""Who put the bees in their bonnets?"",""sets"":""Expansion Set 2, Party Set""},")</f>
        <v>"ptcw":{"label":"Angry Hornets","extra":"Who put the bees in their bonnets?","sets":"Expansion Set 2, Party Set"},</v>
      </c>
    </row>
    <row r="35">
      <c r="A35" s="8" t="str">
        <f>IFERROR(__xludf.DUMMYFUNCTION("""COMPUTED_VALUE"""),"Anne Frank")</f>
        <v>Anne Frank</v>
      </c>
      <c r="B35" s="8" t="str">
        <f>IFERROR(__xludf.DUMMYFUNCTION("""COMPUTED_VALUE"""),"1929-45, German Jewish girl who wrote in her diary about her family hiding from the Nazis. She died in a concentration camp.")</f>
        <v>1929-45, German Jewish girl who wrote in her diary about her family hiding from the Nazis. She died in a concentration camp.</v>
      </c>
      <c r="C35" s="13" t="str">
        <f>IFERROR(__xludf.DUMMYFUNCTION("""COMPUTED_VALUE"""),"""am{l"":{""label"":""Anne Frank"",""extra"":""1929-45, German Jewish girl who wrote in her diary about her family hiding from the Nazis. She died in a concentration camp."",""sets"":""Basic Set, Party Set""},")</f>
        <v>"am{l":{"label":"Anne Frank","extra":"1929-45, German Jewish girl who wrote in her diary about her family hiding from the Nazis. She died in a concentration camp.","sets":"Basic Set, Party Set"},</v>
      </c>
    </row>
    <row r="36">
      <c r="A36" s="8" t="str">
        <f>IFERROR(__xludf.DUMMYFUNCTION("""COMPUTED_VALUE"""),"Antarctica")</f>
        <v>Antarctica</v>
      </c>
      <c r="B36" s="8" t="str">
        <f>IFERROR(__xludf.DUMMYFUNCTION("""COMPUTED_VALUE"""),"Home to the lowest temperature ever recorded on earth, -126.9 F.")</f>
        <v>Home to the lowest temperature ever recorded on earth, -126.9 F.</v>
      </c>
      <c r="C36" s="13" t="str">
        <f>IFERROR(__xludf.DUMMYFUNCTION("""COMPUTED_VALUE"""),"""idxr"":{""label"":""Antarctica"",""extra"":""Home to the lowest temperature ever recorded on earth, -126.9 F."",""sets"":""Basic Set, Party Set""},")</f>
        <v>"idxr":{"label":"Antarctica","extra":"Home to the lowest temperature ever recorded on earth, -126.9 F.","sets":"Basic Set, Party Set"},</v>
      </c>
    </row>
    <row r="37">
      <c r="A37" s="8" t="str">
        <f>IFERROR(__xludf.DUMMYFUNCTION("""COMPUTED_VALUE"""),"Anthony Hopkins")</f>
        <v>Anthony Hopkins</v>
      </c>
      <c r="B37" s="8" t="str">
        <f>IFERROR(__xludf.DUMMYFUNCTION("""COMPUTED_VALUE"""),"1937-, British actor starred in “The Elephant Man”, “Howard’s End”, and, of course, “The Silence Of The Lambs.” Knighted in 1992.")</f>
        <v>1937-, British actor starred in “The Elephant Man”, “Howard’s End”, and, of course, “The Silence Of The Lambs.” Knighted in 1992.</v>
      </c>
      <c r="C37" s="13" t="str">
        <f>IFERROR(__xludf.DUMMYFUNCTION("""COMPUTED_VALUE"""),"""rxnx"":{""label"":""Anthony Hopkins"",""extra"":""1937-, British actor starred in “The Elephant Man”, “Howard’s End”, and, of course, “The Silence Of The Lambs.” Knighted in 1992."",""sets"":""Expansion Set 2, Party Set""},")</f>
        <v>"rxnx":{"label":"Anthony Hopkins","extra":"1937-, British actor starred in “The Elephant Man”, “Howard’s End”, and, of course, “The Silence Of The Lambs.” Knighted in 1992.","sets":"Expansion Set 2, Party Set"},</v>
      </c>
    </row>
    <row r="38">
      <c r="A38" s="8" t="str">
        <f>IFERROR(__xludf.DUMMYFUNCTION("""COMPUTED_VALUE"""),"Apple Pie")</f>
        <v>Apple Pie</v>
      </c>
      <c r="B38" s="8" t="str">
        <f>IFERROR(__xludf.DUMMYFUNCTION("""COMPUTED_VALUE"""),"It's as American as… as… something…")</f>
        <v>It's as American as… as… something…</v>
      </c>
      <c r="C38" s="13" t="str">
        <f>IFERROR(__xludf.DUMMYFUNCTION("""COMPUTED_VALUE"""),"""ferp"":{""label"":""Apple Pie"",""extra"":""It's as American as… as… something…"",""sets"":""Expansion Set 1, Party Set""},")</f>
        <v>"ferp":{"label":"Apple Pie","extra":"It's as American as… as… something…","sets":"Expansion Set 1, Party Set"},</v>
      </c>
    </row>
    <row r="39">
      <c r="A39" s="8" t="str">
        <f>IFERROR(__xludf.DUMMYFUNCTION("""COMPUTED_VALUE"""),"Apples")</f>
        <v>Apples</v>
      </c>
      <c r="B39" s="8" t="str">
        <f>IFERROR(__xludf.DUMMYFUNCTION("""COMPUTED_VALUE"""),"More than 40 million metric tons are produced worldwide every year. How ’bout them apples?")</f>
        <v>More than 40 million metric tons are produced worldwide every year. How ’bout them apples?</v>
      </c>
      <c r="C39" s="13" t="str">
        <f>IFERROR(__xludf.DUMMYFUNCTION("""COMPUTED_VALUE"""),"""hzqo"":{""label"":""Apples"",""extra"":""More than 40 million metric tons are produced worldwide every year. How ’bout them apples?"",""sets"":""Basic Set, Party Set""},")</f>
        <v>"hzqo":{"label":"Apples","extra":"More than 40 million metric tons are produced worldwide every year. How ’bout them apples?","sets":"Basic Set, Party Set"},</v>
      </c>
    </row>
    <row r="40">
      <c r="A40" s="8" t="str">
        <f>IFERROR(__xludf.DUMMYFUNCTION("""COMPUTED_VALUE"""),"Armed Robbery")</f>
        <v>Armed Robbery</v>
      </c>
      <c r="B40" s="8" t="str">
        <f>IFERROR(__xludf.DUMMYFUNCTION("""COMPUTED_VALUE"""),"You got your Robbery, your Armed Robbery, your Strong Armed Robbery, and, of course, the five finger discount.")</f>
        <v>You got your Robbery, your Armed Robbery, your Strong Armed Robbery, and, of course, the five finger discount.</v>
      </c>
      <c r="C40" s="13" t="str">
        <f>IFERROR(__xludf.DUMMYFUNCTION("""COMPUTED_VALUE"""),"""wnfw"":{""label"":""Armed Robbery"",""extra"":""You got your Robbery, your Armed Robbery, your Strong Armed Robbery, and, of course, the five finger discount."",""sets"":""Expansion Set 2, Party Set""},")</f>
        <v>"wnfw":{"label":"Armed Robbery","extra":"You got your Robbery, your Armed Robbery, your Strong Armed Robbery, and, of course, the five finger discount.","sets":"Expansion Set 2, Party Set"},</v>
      </c>
    </row>
    <row r="41">
      <c r="A41" s="8" t="str">
        <f>IFERROR(__xludf.DUMMYFUNCTION("""COMPUTED_VALUE"""),"Assembly Lines")</f>
        <v>Assembly Lines</v>
      </c>
      <c r="B41" s="8" t="str">
        <f>IFERROR(__xludf.DUMMYFUNCTION("""COMPUTED_VALUE"""),"Faster. FASTER!")</f>
        <v>Faster. FASTER!</v>
      </c>
      <c r="C41" s="13" t="str">
        <f>IFERROR(__xludf.DUMMYFUNCTION("""COMPUTED_VALUE"""),"""zxuf"":{""label"":""Assembly Lines"",""extra"":""Faster. FASTER!"",""sets"":""Expansion Set 2, Party Set""},")</f>
        <v>"zxuf":{"label":"Assembly Lines","extra":"Faster. FASTER!","sets":"Expansion Set 2, Party Set"},</v>
      </c>
    </row>
    <row r="42">
      <c r="A42" s="8" t="str">
        <f>IFERROR(__xludf.DUMMYFUNCTION("""COMPUTED_VALUE"""),"At My Parent's House")</f>
        <v>At My Parent's House</v>
      </c>
      <c r="B42" s="8" t="str">
        <f>IFERROR(__xludf.DUMMYFUNCTION("""COMPUTED_VALUE"""),"Like never-never land, you’re never seen as an adult here.")</f>
        <v>Like never-never land, you’re never seen as an adult here.</v>
      </c>
      <c r="C42" s="13" t="str">
        <f>IFERROR(__xludf.DUMMYFUNCTION("""COMPUTED_VALUE"""),"""houw"":{""label"":""At My Parent's House"",""extra"":""Like never-never land, you’re never seen as an adult here."",""sets"":""Basic Set, Party Set""},")</f>
        <v>"houw":{"label":"At My Parent's House","extra":"Like never-never land, you’re never seen as an adult here.","sets":"Basic Set, Party Set"},</v>
      </c>
    </row>
    <row r="43">
      <c r="A43" s="8" t="str">
        <f>IFERROR(__xludf.DUMMYFUNCTION("""COMPUTED_VALUE"""),"Atlantis")</f>
        <v>Atlantis</v>
      </c>
      <c r="B43" s="8" t="str">
        <f>IFERROR(__xludf.DUMMYFUNCTION("""COMPUTED_VALUE"""),"Mythological city where the folks had that sinking feeling.")</f>
        <v>Mythological city where the folks had that sinking feeling.</v>
      </c>
      <c r="C43" s="13" t="str">
        <f>IFERROR(__xludf.DUMMYFUNCTION("""COMPUTED_VALUE"""),"""ildb"":{""label"":""Atlantis"",""extra"":""Mythological city where the folks had that sinking feeling."",""sets"":""Expansion Set 2, Party Set""},")</f>
        <v>"ildb":{"label":"Atlantis","extra":"Mythological city where the folks had that sinking feeling.","sets":"Expansion Set 2, Party Set"},</v>
      </c>
    </row>
    <row r="44">
      <c r="A44" s="8" t="str">
        <f>IFERROR(__xludf.DUMMYFUNCTION("""COMPUTED_VALUE"""),"Atomic Bombs")</f>
        <v>Atomic Bombs</v>
      </c>
      <c r="B44" s="8" t="str">
        <f>IFERROR(__xludf.DUMMYFUNCTION("""COMPUTED_VALUE"""),"The Italian physicist Enrico Fermi succeeded in producing the first nuclear chain reaction in 1942, at the University of Chicago.")</f>
        <v>The Italian physicist Enrico Fermi succeeded in producing the first nuclear chain reaction in 1942, at the University of Chicago.</v>
      </c>
      <c r="C44" s="13" t="str">
        <f>IFERROR(__xludf.DUMMYFUNCTION("""COMPUTED_VALUE"""),"""mapk"":{""label"":""Atomic Bombs"",""extra"":""The Italian physicist Enrico Fermi succeeded in producing the first nuclear chain reaction in 1942, at the University of Chicago."",""sets"":""Basic Set, Party Set""},")</f>
        <v>"mapk":{"label":"Atomic Bombs","extra":"The Italian physicist Enrico Fermi succeeded in producing the first nuclear chain reaction in 1942, at the University of Chicago.","sets":"Basic Set, Party Set"},</v>
      </c>
    </row>
    <row r="45">
      <c r="A45" s="8" t="str">
        <f>IFERROR(__xludf.DUMMYFUNCTION("""COMPUTED_VALUE"""),"Attack On Pearl Harbor")</f>
        <v>Attack On Pearl Harbor</v>
      </c>
      <c r="B45" s="8" t="str">
        <f>IFERROR(__xludf.DUMMYFUNCTION("""COMPUTED_VALUE"""),"“Yesterday, December 7th, 1941, a date which will live in infamy…” —Franklin D. Roosevelt")</f>
        <v>“Yesterday, December 7th, 1941, a date which will live in infamy…” —Franklin D. Roosevelt</v>
      </c>
      <c r="C45" s="13" t="str">
        <f>IFERROR(__xludf.DUMMYFUNCTION("""COMPUTED_VALUE"""),"""twtw"":{""label"":""Attack On Pearl Harbor"",""extra"":""“Yesterday, December 7th, 1941, a date which will live in infamy…” —Franklin D. Roosevelt"",""sets"":""Basic Set, Party Set""},")</f>
        <v>"twtw":{"label":"Attack On Pearl Harbor","extra":"“Yesterday, December 7th, 1941, a date which will live in infamy…” —Franklin D. Roosevelt","sets":"Basic Set, Party Set"},</v>
      </c>
    </row>
    <row r="46">
      <c r="A46" s="8" t="str">
        <f>IFERROR(__xludf.DUMMYFUNCTION("""COMPUTED_VALUE"""),"Austin Powers")</f>
        <v>Austin Powers</v>
      </c>
      <c r="B46" s="8" t="str">
        <f>IFERROR(__xludf.DUMMYFUNCTION("""COMPUTED_VALUE"""),"Fictional British man of mystery. Yeah, bay-beee, yeah!")</f>
        <v>Fictional British man of mystery. Yeah, bay-beee, yeah!</v>
      </c>
      <c r="C46" s="13" t="str">
        <f>IFERROR(__xludf.DUMMYFUNCTION("""COMPUTED_VALUE"""),"""mhub"":{""label"":""Austin Powers"",""extra"":""Fictional British man of mystery. Yeah, bay-beee, yeah!"",""sets"":""Expansion Set 1, Party Set""},")</f>
        <v>"mhub":{"label":"Austin Powers","extra":"Fictional British man of mystery. Yeah, bay-beee, yeah!","sets":"Expansion Set 1, Party Set"},</v>
      </c>
    </row>
    <row r="47">
      <c r="A47" s="8" t="str">
        <f>IFERROR(__xludf.DUMMYFUNCTION("""COMPUTED_VALUE"""),"Australian Outback")</f>
        <v>Australian Outback</v>
      </c>
      <c r="B47" s="8" t="str">
        <f>IFERROR(__xludf.DUMMYFUNCTION("""COMPUTED_VALUE"""),"Beware of dangerous temperatures, strange animals, and didgeridoos.")</f>
        <v>Beware of dangerous temperatures, strange animals, and didgeridoos.</v>
      </c>
      <c r="C47" s="13" t="str">
        <f>IFERROR(__xludf.DUMMYFUNCTION("""COMPUTED_VALUE"""),"""fjec"":{""label"":""Australian Outback"",""extra"":""Beware of dangerous temperatures, strange animals, and didgeridoos."",""sets"":""Expansion Set 1, Party Set""},")</f>
        <v>"fjec":{"label":"Australian Outback","extra":"Beware of dangerous temperatures, strange animals, and didgeridoos.","sets":"Expansion Set 1, Party Set"},</v>
      </c>
    </row>
    <row r="48">
      <c r="A48" s="8" t="str">
        <f>IFERROR(__xludf.DUMMYFUNCTION("""COMPUTED_VALUE"""),"Babe Ruth")</f>
        <v>Babe Ruth</v>
      </c>
      <c r="B48" s="8" t="str">
        <f>IFERROR(__xludf.DUMMYFUNCTION("""COMPUTED_VALUE"""),"1895-1948, American baseball legend, and one heck of a candy bar!")</f>
        <v>1895-1948, American baseball legend, and one heck of a candy bar!</v>
      </c>
      <c r="C48" s="13" t="str">
        <f>IFERROR(__xludf.DUMMYFUNCTION("""COMPUTED_VALUE"""),"""tvvp"":{""label"":""Babe Ruth"",""extra"":""1895-1948, American baseball legend, and one heck of a candy bar!"",""sets"":""Basic Set, Party Set""},")</f>
        <v>"tvvp":{"label":"Babe Ruth","extra":"1895-1948, American baseball legend, and one heck of a candy bar!","sets":"Basic Set, Party Set"},</v>
      </c>
    </row>
    <row r="49">
      <c r="A49" s="8" t="str">
        <f>IFERROR(__xludf.DUMMYFUNCTION("""COMPUTED_VALUE"""),"Babies")</f>
        <v>Babies</v>
      </c>
      <c r="B49" s="8" t="str">
        <f>IFERROR(__xludf.DUMMYFUNCTION("""COMPUTED_VALUE"""),"Little bundles of joy… and who needs sleep, anyway?")</f>
        <v>Little bundles of joy… and who needs sleep, anyway?</v>
      </c>
      <c r="C49" s="13" t="str">
        <f>IFERROR(__xludf.DUMMYFUNCTION("""COMPUTED_VALUE"""),"""hycd"":{""label"":""Babies"",""extra"":""Little bundles of joy… and who needs sleep, anyway?"",""sets"":""Expansion Set 2, Party Set""},")</f>
        <v>"hycd":{"label":"Babies","extra":"Little bundles of joy… and who needs sleep, anyway?","sets":"Expansion Set 2, Party Set"},</v>
      </c>
    </row>
    <row r="50">
      <c r="A50" s="8" t="str">
        <f>IFERROR(__xludf.DUMMYFUNCTION("""COMPUTED_VALUE"""),"Baby Showers")</f>
        <v>Baby Showers</v>
      </c>
      <c r="B50" s="8" t="str">
        <f>IFERROR(__xludf.DUMMYFUNCTION("""COMPUTED_VALUE"""),"Baby showers may bring flowers…")</f>
        <v>Baby showers may bring flowers…</v>
      </c>
      <c r="C50" s="13" t="str">
        <f>IFERROR(__xludf.DUMMYFUNCTION("""COMPUTED_VALUE"""),"""ofup"":{""label"":""Baby Showers"",""extra"":""Baby showers may bring flowers…"",""sets"":""Basic Set, Party Set""},")</f>
        <v>"ofup":{"label":"Baby Showers","extra":"Baby showers may bring flowers…","sets":"Basic Set, Party Set"},</v>
      </c>
    </row>
    <row r="51">
      <c r="A51" s="8" t="str">
        <f>IFERROR(__xludf.DUMMYFUNCTION("""COMPUTED_VALUE"""),"Backstreet Boys")</f>
        <v>Backstreet Boys</v>
      </c>
      <c r="B51" s="8" t="str">
        <f>IFERROR(__xludf.DUMMYFUNCTION("""COMPUTED_VALUE"""),"The latest American pop boy band. Which one do you think is the cutest?")</f>
        <v>The latest American pop boy band. Which one do you think is the cutest?</v>
      </c>
      <c r="C51" s="13" t="str">
        <f>IFERROR(__xludf.DUMMYFUNCTION("""COMPUTED_VALUE"""),"""owgz"":{""label"":""Backstreet Boys"",""extra"":""The latest American pop boy band. Which one do you think is the cutest?"",""sets"":""Expansion Set 1, Party Set""},")</f>
        <v>"owgz":{"label":"Backstreet Boys","extra":"The latest American pop boy band. Which one do you think is the cutest?","sets":"Expansion Set 1, Party Set"},</v>
      </c>
    </row>
    <row r="52">
      <c r="A52" s="8" t="str">
        <f>IFERROR(__xludf.DUMMYFUNCTION("""COMPUTED_VALUE"""),"Bad Dogs")</f>
        <v>Bad Dogs</v>
      </c>
      <c r="B52" s="8" t="str">
        <f>IFERROR(__xludf.DUMMYFUNCTION("""COMPUTED_VALUE"""),"Bad dog, bad dog. What’cha gonna do?")</f>
        <v>Bad dog, bad dog. What’cha gonna do?</v>
      </c>
      <c r="C52" s="13" t="str">
        <f>IFERROR(__xludf.DUMMYFUNCTION("""COMPUTED_VALUE"""),"""ompy"":{""label"":""Bad Dogs"",""extra"":""Bad dog, bad dog. What’cha gonna do?"",""sets"":""Basic Set, Party Set""},")</f>
        <v>"ompy":{"label":"Bad Dogs","extra":"Bad dog, bad dog. What’cha gonna do?","sets":"Basic Set, Party Set"},</v>
      </c>
    </row>
    <row r="53">
      <c r="A53" s="8" t="str">
        <f>IFERROR(__xludf.DUMMYFUNCTION("""COMPUTED_VALUE"""),"Bagpipes")</f>
        <v>Bagpipes</v>
      </c>
      <c r="B53" s="8" t="str">
        <f>IFERROR(__xludf.DUMMYFUNCTION("""COMPUTED_VALUE"""),"A shrill-toned musical instrument consisting of a leather bag and pipes. Also available in plaid.")</f>
        <v>A shrill-toned musical instrument consisting of a leather bag and pipes. Also available in plaid.</v>
      </c>
      <c r="C53" s="13" t="str">
        <f>IFERROR(__xludf.DUMMYFUNCTION("""COMPUTED_VALUE"""),"""skkc"":{""label"":""Bagpipes"",""extra"":""A shrill-toned musical instrument consisting of a leather bag and pipes. Also available in plaid."",""sets"":""Expansion Set 1, Party Set""},")</f>
        <v>"skkc":{"label":"Bagpipes","extra":"A shrill-toned musical instrument consisting of a leather bag and pipes. Also available in plaid.","sets":"Expansion Set 1, Party Set"},</v>
      </c>
    </row>
    <row r="54">
      <c r="A54" s="8" t="str">
        <f>IFERROR(__xludf.DUMMYFUNCTION("""COMPUTED_VALUE"""),"Baked Beans")</f>
        <v>Baked Beans</v>
      </c>
      <c r="B54" s="8" t="str">
        <f>IFERROR(__xludf.DUMMYFUNCTION("""COMPUTED_VALUE"""),"Add a little bacon, brown sugar and Beano!")</f>
        <v>Add a little bacon, brown sugar and Beano!</v>
      </c>
      <c r="C54" s="13" t="str">
        <f>IFERROR(__xludf.DUMMYFUNCTION("""COMPUTED_VALUE"""),"""hbrd"":{""label"":""Baked Beans"",""extra"":""Add a little bacon, brown sugar and Beano!"",""sets"":""Expansion Set 2, Party Set""},")</f>
        <v>"hbrd":{"label":"Baked Beans","extra":"Add a little bacon, brown sugar and Beano!","sets":"Expansion Set 2, Party Set"},</v>
      </c>
    </row>
    <row r="55">
      <c r="A55" s="8" t="str">
        <f>IFERROR(__xludf.DUMMYFUNCTION("""COMPUTED_VALUE"""),"Baked Potatoes")</f>
        <v>Baked Potatoes</v>
      </c>
      <c r="B55" s="8" t="str">
        <f>IFERROR(__xludf.DUMMYFUNCTION("""COMPUTED_VALUE"""),"Hot potato, couch potato, potato head, twice baked, half-baked, …whatever.")</f>
        <v>Hot potato, couch potato, potato head, twice baked, half-baked, …whatever.</v>
      </c>
      <c r="C55" s="13" t="str">
        <f>IFERROR(__xludf.DUMMYFUNCTION("""COMPUTED_VALUE"""),"""uuru"":{""label"":""Baked Potatoes"",""extra"":""Hot potato, couch potato, potato head, twice baked, half-baked, …whatever."",""sets"":""Basic Set, Party Set""},")</f>
        <v>"uuru":{"label":"Baked Potatoes","extra":"Hot potato, couch potato, potato head, twice baked, half-baked, …whatever.","sets":"Basic Set, Party Set"},</v>
      </c>
    </row>
    <row r="56">
      <c r="A56" s="8" t="str">
        <f>IFERROR(__xludf.DUMMYFUNCTION("""COMPUTED_VALUE"""),"Baking Cookies")</f>
        <v>Baking Cookies</v>
      </c>
      <c r="B56" s="8" t="str">
        <f>IFERROR(__xludf.DUMMYFUNCTION("""COMPUTED_VALUE"""),"An experience only surpassed by eating them.")</f>
        <v>An experience only surpassed by eating them.</v>
      </c>
      <c r="C56" s="13" t="str">
        <f>IFERROR(__xludf.DUMMYFUNCTION("""COMPUTED_VALUE"""),"""egpg"":{""label"":""Baking Cookies"",""extra"":""An experience only surpassed by eating them."",""sets"":""Expansion Set 1, Party Set""},")</f>
        <v>"egpg":{"label":"Baking Cookies","extra":"An experience only surpassed by eating them.","sets":"Expansion Set 1, Party Set"},</v>
      </c>
    </row>
    <row r="57">
      <c r="A57" s="8" t="str">
        <f>IFERROR(__xludf.DUMMYFUNCTION("""COMPUTED_VALUE"""),"Bald Eagles")</f>
        <v>Bald Eagles</v>
      </c>
      <c r="B57" s="8" t="str">
        <f>IFERROR(__xludf.DUMMYFUNCTION("""COMPUTED_VALUE"""),"Known for their majestic appearance and powerful flight. In 1782, the bald eagle was chosen as the emblem of the United States.")</f>
        <v>Known for their majestic appearance and powerful flight. In 1782, the bald eagle was chosen as the emblem of the United States.</v>
      </c>
      <c r="C57" s="13" t="str">
        <f>IFERROR(__xludf.DUMMYFUNCTION("""COMPUTED_VALUE"""),"""khfm"":{""label"":""Bald Eagles"",""extra"":""Known for their majestic appearance and powerful flight. In 1782, the bald eagle was chosen as the emblem of the United States."",""sets"":""Expansion Set 1, Party Set""},")</f>
        <v>"khfm":{"label":"Bald Eagles","extra":"Known for their majestic appearance and powerful flight. In 1782, the bald eagle was chosen as the emblem of the United States.","sets":"Expansion Set 1, Party Set"},</v>
      </c>
    </row>
    <row r="58">
      <c r="A58" s="8" t="str">
        <f>IFERROR(__xludf.DUMMYFUNCTION("""COMPUTED_VALUE"""),"Ballerinas")</f>
        <v>Ballerinas</v>
      </c>
      <c r="B58" s="8" t="str">
        <f>IFERROR(__xludf.DUMMYFUNCTION("""COMPUTED_VALUE"""),"Beautiful, graceful dancers who are always on their toes.")</f>
        <v>Beautiful, graceful dancers who are always on their toes.</v>
      </c>
      <c r="C58" s="13" t="str">
        <f>IFERROR(__xludf.DUMMYFUNCTION("""COMPUTED_VALUE"""),"""wbfz"":{""label"":""Ballerinas"",""extra"":""Beautiful, graceful dancers who are always on their toes."",""sets"":""Expansion Set 1, Party Set""},")</f>
        <v>"wbfz":{"label":"Ballerinas","extra":"Beautiful, graceful dancers who are always on their toes.","sets":"Expansion Set 1, Party Set"},</v>
      </c>
    </row>
    <row r="59">
      <c r="A59" s="8" t="str">
        <f>IFERROR(__xludf.DUMMYFUNCTION("""COMPUTED_VALUE"""),"Bangkok")</f>
        <v>Bangkok</v>
      </c>
      <c r="B59" s="8" t="str">
        <f>IFERROR(__xludf.DUMMYFUNCTION("""COMPUTED_VALUE"""),"Capital of Thailand. Location: near the Gulf of Siam. Population: five million. Reputation: seedy.")</f>
        <v>Capital of Thailand. Location: near the Gulf of Siam. Population: five million. Reputation: seedy.</v>
      </c>
      <c r="C59" s="13" t="str">
        <f>IFERROR(__xludf.DUMMYFUNCTION("""COMPUTED_VALUE"""),"""rvxk"":{""label"":""Bangkok"",""extra"":""Capital of Thailand. Location: near the Gulf of Siam. Population: five million. Reputation: seedy."",""sets"":""Basic Set, Party Set""},")</f>
        <v>"rvxk":{"label":"Bangkok","extra":"Capital of Thailand. Location: near the Gulf of Siam. Population: five million. Reputation: seedy.","sets":"Basic Set, Party Set"},</v>
      </c>
    </row>
    <row r="60">
      <c r="A60" s="8" t="str">
        <f>IFERROR(__xludf.DUMMYFUNCTION("""COMPUTED_VALUE"""),"Bankruptcy")</f>
        <v>Bankruptcy</v>
      </c>
      <c r="B60" s="8" t="str">
        <f>IFERROR(__xludf.DUMMYFUNCTION("""COMPUTED_VALUE"""),"It’ll be the debt of you.")</f>
        <v>It’ll be the debt of you.</v>
      </c>
      <c r="C60" s="13" t="str">
        <f>IFERROR(__xludf.DUMMYFUNCTION("""COMPUTED_VALUE"""),"""qikn"":{""label"":""Bankruptcy"",""extra"":""It’ll be the debt of you."",""sets"":""Expansion Set 2, Party Set""},")</f>
        <v>"qikn":{"label":"Bankruptcy","extra":"It’ll be the debt of you.","sets":"Expansion Set 2, Party Set"},</v>
      </c>
    </row>
    <row r="61">
      <c r="A61" s="8" t="str">
        <f>IFERROR(__xludf.DUMMYFUNCTION("""COMPUTED_VALUE"""),"Barbara Walters")</f>
        <v>Barbara Walters</v>
      </c>
      <c r="B61" s="8" t="str">
        <f>IFERROR(__xludf.DUMMYFUNCTION("""COMPUTED_VALUE"""),"1931-, American television journalist and author. Voted one of the most important women of the century by “Ladies Home Journal.”")</f>
        <v>1931-, American television journalist and author. Voted one of the most important women of the century by “Ladies Home Journal.”</v>
      </c>
      <c r="C61" s="13" t="str">
        <f>IFERROR(__xludf.DUMMYFUNCTION("""COMPUTED_VALUE"""),"""bslc"":{""label"":""Barbara Walters"",""extra"":""1931-, American television journalist and author. Voted one of the most important women of the century by “Ladies Home Journal.”"",""sets"":""Expansion Set 1, Party Set""},")</f>
        <v>"bslc":{"label":"Barbara Walters","extra":"1931-, American television journalist and author. Voted one of the most important women of the century by “Ladies Home Journal.”","sets":"Expansion Set 1, Party Set"},</v>
      </c>
    </row>
    <row r="62">
      <c r="A62" s="8" t="str">
        <f>IFERROR(__xludf.DUMMYFUNCTION("""COMPUTED_VALUE"""),"Barbed Wire")</f>
        <v>Barbed Wire</v>
      </c>
      <c r="B62" s="8" t="str">
        <f>IFERROR(__xludf.DUMMYFUNCTION("""COMPUTED_VALUE"""),"Wire with sharp points, used for fences. Created havoc on the western frontier.")</f>
        <v>Wire with sharp points, used for fences. Created havoc on the western frontier.</v>
      </c>
      <c r="C62" s="13" t="str">
        <f>IFERROR(__xludf.DUMMYFUNCTION("""COMPUTED_VALUE"""),"""kduc"":{""label"":""Barbed Wire"",""extra"":""Wire with sharp points, used for fences. Created havoc on the western frontier."",""sets"":""Expansion Set 1, Party Set""},")</f>
        <v>"kduc":{"label":"Barbed Wire","extra":"Wire with sharp points, used for fences. Created havoc on the western frontier.","sets":"Expansion Set 1, Party Set"},</v>
      </c>
    </row>
    <row r="63">
      <c r="A63" s="8" t="str">
        <f>IFERROR(__xludf.DUMMYFUNCTION("""COMPUTED_VALUE"""),"Barfing")</f>
        <v>Barfing</v>
      </c>
      <c r="B63" s="8" t="str">
        <f>IFERROR(__xludf.DUMMYFUNCTION("""COMPUTED_VALUE"""),"We didn’t want to bring that up…")</f>
        <v>We didn’t want to bring that up…</v>
      </c>
      <c r="C63" s="13" t="str">
        <f>IFERROR(__xludf.DUMMYFUNCTION("""COMPUTED_VALUE"""),"""jwql"":{""label"":""Barfing"",""extra"":""We didn’t want to bring that up…"",""sets"":""Basic Set, Party Set""},")</f>
        <v>"jwql":{"label":"Barfing","extra":"We didn’t want to bring that up…","sets":"Basic Set, Party Set"},</v>
      </c>
    </row>
    <row r="64">
      <c r="A64" s="8" t="str">
        <f>IFERROR(__xludf.DUMMYFUNCTION("""COMPUTED_VALUE"""),"Barney")</f>
        <v>Barney</v>
      </c>
      <c r="B64" s="8" t="str">
        <f>IFERROR(__xludf.DUMMYFUNCTION("""COMPUTED_VALUE"""),"Purple dinosaur. “I love you, you love me, blah, blah, blah…”")</f>
        <v>Purple dinosaur. “I love you, you love me, blah, blah, blah…”</v>
      </c>
      <c r="C64" s="13" t="str">
        <f>IFERROR(__xludf.DUMMYFUNCTION("""COMPUTED_VALUE"""),"""ms{y"":{""label"":""Barney"",""extra"":""Purple dinosaur. “I love you, you love me, blah, blah, blah…”"",""sets"":""Basic Set, Party Set""},")</f>
        <v>"ms{y":{"label":"Barney","extra":"Purple dinosaur. “I love you, you love me, blah, blah, blah…”","sets":"Basic Set, Party Set"},</v>
      </c>
    </row>
    <row r="65">
      <c r="A65" s="8" t="str">
        <f>IFERROR(__xludf.DUMMYFUNCTION("""COMPUTED_VALUE"""),"Bart Simpson")</f>
        <v>Bart Simpson</v>
      </c>
      <c r="B65" s="8" t="str">
        <f>IFERROR(__xludf.DUMMYFUNCTION("""COMPUTED_VALUE"""),"Fictional animated character. “Don’t have a cow, man!”")</f>
        <v>Fictional animated character. “Don’t have a cow, man!”</v>
      </c>
      <c r="C65" s="13" t="str">
        <f>IFERROR(__xludf.DUMMYFUNCTION("""COMPUTED_VALUE"""),"""mzlr"":{""label"":""Bart Simpson"",""extra"":""Fictional animated character. “Don’t have a cow, man!”"",""sets"":""Basic Set, Party Set""},")</f>
        <v>"mzlr":{"label":"Bart Simpson","extra":"Fictional animated character. “Don’t have a cow, man!”","sets":"Basic Set, Party Set"},</v>
      </c>
    </row>
    <row r="66">
      <c r="A66" s="8" t="str">
        <f>IFERROR(__xludf.DUMMYFUNCTION("""COMPUTED_VALUE"""),"Bates Motel")</f>
        <v>Bates Motel</v>
      </c>
      <c r="B66" s="8" t="str">
        <f>IFERROR(__xludf.DUMMYFUNCTION("""COMPUTED_VALUE"""),"The haunt of Alfred Hitchcock’s psycho, Norman Bates… and mother, of course…")</f>
        <v>The haunt of Alfred Hitchcock’s psycho, Norman Bates… and mother, of course…</v>
      </c>
      <c r="C66" s="13" t="str">
        <f>IFERROR(__xludf.DUMMYFUNCTION("""COMPUTED_VALUE"""),"""ioyf"":{""label"":""Bates Motel"",""extra"":""The haunt of Alfred Hitchcock’s psycho, Norman Bates… and mother, of course…"",""sets"":""Expansion Set 2, Party Set""},")</f>
        <v>"ioyf":{"label":"Bates Motel","extra":"The haunt of Alfred Hitchcock’s psycho, Norman Bates… and mother, of course…","sets":"Expansion Set 2, Party Set"},</v>
      </c>
    </row>
    <row r="67">
      <c r="A67" s="8" t="str">
        <f>IFERROR(__xludf.DUMMYFUNCTION("""COMPUTED_VALUE"""),"Batman")</f>
        <v>Batman</v>
      </c>
      <c r="B67" s="8" t="str">
        <f>IFERROR(__xludf.DUMMYFUNCTION("""COMPUTED_VALUE"""),"How does Batman's mother call him home? “Dinner, dinner, dinner, dinner, dinner, dinner, dinner, dinner BATMAN!”")</f>
        <v>How does Batman's mother call him home? “Dinner, dinner, dinner, dinner, dinner, dinner, dinner, dinner BATMAN!”</v>
      </c>
      <c r="C67" s="13" t="str">
        <f>IFERROR(__xludf.DUMMYFUNCTION("""COMPUTED_VALUE"""),"""izkl"":{""label"":""Batman"",""extra"":""How does Batman's mother call him home? “Dinner, dinner, dinner, dinner, dinner, dinner, dinner, dinner BATMAN!”"",""sets"":""Expansion Set 2, Party Set""},")</f>
        <v>"izkl":{"label":"Batman","extra":"How does Batman's mother call him home? “Dinner, dinner, dinner, dinner, dinner, dinner, dinner, dinner BATMAN!”","sets":"Expansion Set 2, Party Set"},</v>
      </c>
    </row>
    <row r="68">
      <c r="A68" s="8" t="str">
        <f>IFERROR(__xludf.DUMMYFUNCTION("""COMPUTED_VALUE"""),"Bats")</f>
        <v>Bats</v>
      </c>
      <c r="B68" s="8" t="str">
        <f>IFERROR(__xludf.DUMMYFUNCTION("""COMPUTED_VALUE"""),"The little brown bat consumes as many as 600 mosquitoes in an hour. The vampire bat dines elsewhere…")</f>
        <v>The little brown bat consumes as many as 600 mosquitoes in an hour. The vampire bat dines elsewhere…</v>
      </c>
      <c r="C68" s="13" t="str">
        <f>IFERROR(__xludf.DUMMYFUNCTION("""COMPUTED_VALUE"""),"""rvqr"":{""label"":""Bats"",""extra"":""The little brown bat consumes as many as 600 mosquitoes in an hour. The vampire bat dines elsewhere…"",""sets"":""Expansion Set 1, Party Set""},")</f>
        <v>"rvqr":{"label":"Bats","extra":"The little brown bat consumes as many as 600 mosquitoes in an hour. The vampire bat dines elsewhere…","sets":"Expansion Set 1, Party Set"},</v>
      </c>
    </row>
    <row r="69">
      <c r="A69" s="8" t="str">
        <f>IFERROR(__xludf.DUMMYFUNCTION("""COMPUTED_VALUE"""),"Beach Parties")</f>
        <v>Beach Parties</v>
      </c>
      <c r="B69" s="8" t="str">
        <f>IFERROR(__xludf.DUMMYFUNCTION("""COMPUTED_VALUE"""),"Up for some “Beach Blanket Bingo,” Annette?")</f>
        <v>Up for some “Beach Blanket Bingo,” Annette?</v>
      </c>
      <c r="C69" s="13" t="str">
        <f>IFERROR(__xludf.DUMMYFUNCTION("""COMPUTED_VALUE"""),"""tvuy"":{""label"":""Beach Parties"",""extra"":""Up for some “Beach Blanket Bingo,” Annette?"",""sets"":""Expansion Set 1, Party Set""},")</f>
        <v>"tvuy":{"label":"Beach Parties","extra":"Up for some “Beach Blanket Bingo,” Annette?","sets":"Expansion Set 1, Party Set"},</v>
      </c>
    </row>
    <row r="70">
      <c r="A70" s="8" t="str">
        <f>IFERROR(__xludf.DUMMYFUNCTION("""COMPUTED_VALUE"""),"Beanie Babies")</f>
        <v>Beanie Babies</v>
      </c>
      <c r="B70" s="8" t="str">
        <f>IFERROR(__xludf.DUMMYFUNCTION("""COMPUTED_VALUE"""),"Tiny plush collectible to love and cherish. Don't take that tag off!")</f>
        <v>Tiny plush collectible to love and cherish. Don't take that tag off!</v>
      </c>
      <c r="C70" s="13" t="str">
        <f>IFERROR(__xludf.DUMMYFUNCTION("""COMPUTED_VALUE"""),"""yvbv"":{""label"":""Beanie Babies"",""extra"":""Tiny plush collectible to love and cherish. Don't take that tag off!"",""sets"":""Expansion Set 1, Party Set""},")</f>
        <v>"yvbv":{"label":"Beanie Babies","extra":"Tiny plush collectible to love and cherish. Don't take that tag off!","sets":"Expansion Set 1, Party Set"},</v>
      </c>
    </row>
    <row r="71">
      <c r="A71" s="8" t="str">
        <f>IFERROR(__xludf.DUMMYFUNCTION("""COMPUTED_VALUE"""),"Beauty And The Beast")</f>
        <v>Beauty And The Beast</v>
      </c>
      <c r="B71" s="8" t="str">
        <f>IFERROR(__xludf.DUMMYFUNCTION("""COMPUTED_VALUE"""),"A tale as old as time… so Disney didn’t have to pay royalties.")</f>
        <v>A tale as old as time… so Disney didn’t have to pay royalties.</v>
      </c>
      <c r="C71" s="13" t="str">
        <f>IFERROR(__xludf.DUMMYFUNCTION("""COMPUTED_VALUE"""),"""dxjr"":{""label"":""Beauty And The Beast"",""extra"":""A tale as old as time… so Disney didn’t have to pay royalties."",""sets"":""Expansion Set 2, Party Set""},")</f>
        <v>"dxjr":{"label":"Beauty And The Beast","extra":"A tale as old as time… so Disney didn’t have to pay royalties.","sets":"Expansion Set 2, Party Set"},</v>
      </c>
    </row>
    <row r="72">
      <c r="A72" s="8" t="str">
        <f>IFERROR(__xludf.DUMMYFUNCTION("""COMPUTED_VALUE"""),"Beer")</f>
        <v>Beer</v>
      </c>
      <c r="B72" s="8" t="str">
        <f>IFERROR(__xludf.DUMMYFUNCTION("""COMPUTED_VALUE"""),"“Beer is proof that God loves us and wants us to be happy.”—Benjamin Franklin")</f>
        <v>“Beer is proof that God loves us and wants us to be happy.”—Benjamin Franklin</v>
      </c>
      <c r="C72" s="13" t="str">
        <f>IFERROR(__xludf.DUMMYFUNCTION("""COMPUTED_VALUE"""),"""twgz"":{""label"":""Beer"",""extra"":""“Beer is proof that God loves us and wants us to be happy.”—Benjamin Franklin"",""sets"":""Expansion Set 2, Party Set""},")</f>
        <v>"twgz":{"label":"Beer","extra":"“Beer is proof that God loves us and wants us to be happy.”—Benjamin Franklin","sets":"Expansion Set 2, Party Set"},</v>
      </c>
    </row>
    <row r="73">
      <c r="A73" s="8" t="str">
        <f>IFERROR(__xludf.DUMMYFUNCTION("""COMPUTED_VALUE"""),"Beer Bellies")</f>
        <v>Beer Bellies</v>
      </c>
      <c r="B73" s="8" t="str">
        <f>IFERROR(__xludf.DUMMYFUNCTION("""COMPUTED_VALUE"""),"Just think of them as microbreweries.")</f>
        <v>Just think of them as microbreweries.</v>
      </c>
      <c r="C73" s="13" t="str">
        <f>IFERROR(__xludf.DUMMYFUNCTION("""COMPUTED_VALUE"""),"""rvjn"":{""label"":""Beer Bellies"",""extra"":""Just think of them as microbreweries."",""sets"":""Expansion Set 1, Party Set""},")</f>
        <v>"rvjn":{"label":"Beer Bellies","extra":"Just think of them as microbreweries.","sets":"Expansion Set 1, Party Set"},</v>
      </c>
    </row>
    <row r="74">
      <c r="A74" s="8" t="str">
        <f>IFERROR(__xludf.DUMMYFUNCTION("""COMPUTED_VALUE"""),"Beethoven")</f>
        <v>Beethoven</v>
      </c>
      <c r="B74" s="8" t="str">
        <f>IFERROR(__xludf.DUMMYFUNCTION("""COMPUTED_VALUE"""),"1770-1827, German composer, considered one of the greatest of the western world.")</f>
        <v>1770-1827, German composer, considered one of the greatest of the western world.</v>
      </c>
      <c r="C74" s="13" t="str">
        <f>IFERROR(__xludf.DUMMYFUNCTION("""COMPUTED_VALUE"""),"""vwxf"":{""label"":""Beethoven"",""extra"":""1770-1827, German composer, considered one of the greatest of the western world."",""sets"":""Basic Set, Party Set""},")</f>
        <v>"vwxf":{"label":"Beethoven","extra":"1770-1827, German composer, considered one of the greatest of the western world.","sets":"Basic Set, Party Set"},</v>
      </c>
    </row>
    <row r="75">
      <c r="A75" s="8" t="str">
        <f>IFERROR(__xludf.DUMMYFUNCTION("""COMPUTED_VALUE"""),"Beets")</f>
        <v>Beets</v>
      </c>
      <c r="B75" s="8" t="str">
        <f>IFERROR(__xludf.DUMMYFUNCTION("""COMPUTED_VALUE"""),"Beats Brussels sprout.")</f>
        <v>Beats Brussels sprout.</v>
      </c>
      <c r="C75" s="13" t="str">
        <f>IFERROR(__xludf.DUMMYFUNCTION("""COMPUTED_VALUE"""),"""hwis"":{""label"":""Beets"",""extra"":""Beats Brussels sprout."",""sets"":""Expansion Set 2, Party Set""},")</f>
        <v>"hwis":{"label":"Beets","extra":"Beats Brussels sprout.","sets":"Expansion Set 2, Party Set"},</v>
      </c>
    </row>
    <row r="76">
      <c r="A76" s="8" t="str">
        <f>IFERROR(__xludf.DUMMYFUNCTION("""COMPUTED_VALUE"""),"Being In Love")</f>
        <v>Being In Love</v>
      </c>
      <c r="B76" s="8" t="str">
        <f>IFERROR(__xludf.DUMMYFUNCTION("""COMPUTED_VALUE"""),"“Love's like the measles, all the worse when it comes late.”—Douglas Jerrold")</f>
        <v>“Love's like the measles, all the worse when it comes late.”—Douglas Jerrold</v>
      </c>
      <c r="C76" s="13" t="str">
        <f>IFERROR(__xludf.DUMMYFUNCTION("""COMPUTED_VALUE"""),"""ptkz"":{""label"":""Being In Love"",""extra"":""“Love's like the measles, all the worse when it comes late.”—Douglas Jerrold"",""sets"":""Basic Set, Party Set""},")</f>
        <v>"ptkz":{"label":"Being In Love","extra":"“Love's like the measles, all the worse when it comes late.”—Douglas Jerrold","sets":"Basic Set, Party Set"},</v>
      </c>
    </row>
    <row r="77">
      <c r="A77" s="8" t="str">
        <f>IFERROR(__xludf.DUMMYFUNCTION("""COMPUTED_VALUE"""),"Bell-Bottoms")</f>
        <v>Bell-Bottoms</v>
      </c>
      <c r="B77" s="8" t="str">
        <f>IFERROR(__xludf.DUMMYFUNCTION("""COMPUTED_VALUE"""),"Bell-bottoms and pea coats. Who would have thought the Navy could be such a trendsetter?")</f>
        <v>Bell-bottoms and pea coats. Who would have thought the Navy could be such a trendsetter?</v>
      </c>
      <c r="C77" s="13" t="str">
        <f>IFERROR(__xludf.DUMMYFUNCTION("""COMPUTED_VALUE"""),"""uryw"":{""label"":""Bell-Bottoms"",""extra"":""Bell-bottoms and pea coats. Who would have thought the Navy could be such a trendsetter?"",""sets"":""Expansion Set 1, Party Set""},")</f>
        <v>"uryw":{"label":"Bell-Bottoms","extra":"Bell-bottoms and pea coats. Who would have thought the Navy could be such a trendsetter?","sets":"Expansion Set 1, Party Set"},</v>
      </c>
    </row>
    <row r="78">
      <c r="A78" s="8" t="str">
        <f>IFERROR(__xludf.DUMMYFUNCTION("""COMPUTED_VALUE"""),"Ben Stiller")</f>
        <v>Ben Stiller</v>
      </c>
      <c r="B78" s="8" t="str">
        <f>IFERROR(__xludf.DUMMYFUNCTION("""COMPUTED_VALUE"""),"1965-, American actor, director, and funny guy of Reality Bites, There’s Something About Mary, and Meet The Parents")</f>
        <v>1965-, American actor, director, and funny guy of Reality Bites, There’s Something About Mary, and Meet The Parents</v>
      </c>
      <c r="C78" s="13" t="str">
        <f>IFERROR(__xludf.DUMMYFUNCTION("""COMPUTED_VALUE"""),"""lefd"":{""label"":""Ben Stiller"",""extra"":""1965-, American actor, director, and funny guy of Reality Bites, There’s Something About Mary, and Meet The Parents"",""sets"":""Expansion Set 2, Party Set""},")</f>
        <v>"lefd":{"label":"Ben Stiller","extra":"1965-, American actor, director, and funny guy of Reality Bites, There’s Something About Mary, and Meet The Parents","sets":"Expansion Set 2, Party Set"},</v>
      </c>
    </row>
    <row r="79">
      <c r="A79" s="8" t="str">
        <f>IFERROR(__xludf.DUMMYFUNCTION("""COMPUTED_VALUE"""),"Berlin - 1945")</f>
        <v>Berlin - 1945</v>
      </c>
      <c r="B79" s="8" t="str">
        <f>IFERROR(__xludf.DUMMYFUNCTION("""COMPUTED_VALUE"""),"Adolph Hitler’s last stand. Bunker… I mean -hunker down, soldier.")</f>
        <v>Adolph Hitler’s last stand. Bunker… I mean -hunker down, soldier.</v>
      </c>
      <c r="C79" s="13" t="str">
        <f>IFERROR(__xludf.DUMMYFUNCTION("""COMPUTED_VALUE"""),"""{wtt"":{""label"":""Berlin - 1945"",""extra"":""Adolph Hitler’s last stand. Bunker… I mean -hunker down, soldier."",""sets"":""Basic Set, Party Set""},")</f>
        <v>"{wtt":{"label":"Berlin - 1945","extra":"Adolph Hitler’s last stand. Bunker… I mean -hunker down, soldier.","sets":"Basic Set, Party Set"},</v>
      </c>
    </row>
    <row r="80">
      <c r="A80" s="8" t="str">
        <f>IFERROR(__xludf.DUMMYFUNCTION("""COMPUTED_VALUE"""),"Big Bang Theory")</f>
        <v>Big Bang Theory</v>
      </c>
      <c r="B80" s="8" t="str">
        <f>IFERROR(__xludf.DUMMYFUNCTION("""COMPUTED_VALUE"""),"A cosmological theory for the origin of the universe. An explosive idea!")</f>
        <v>A cosmological theory for the origin of the universe. An explosive idea!</v>
      </c>
      <c r="C80" s="13" t="str">
        <f>IFERROR(__xludf.DUMMYFUNCTION("""COMPUTED_VALUE"""),"""ykan"":{""label"":""Big Bang Theory"",""extra"":""A cosmological theory for the origin of the universe. An explosive idea!"",""sets"":""Expansion Set 2, Party Set""},")</f>
        <v>"ykan":{"label":"Big Bang Theory","extra":"A cosmological theory for the origin of the universe. An explosive idea!","sets":"Expansion Set 2, Party Set"},</v>
      </c>
    </row>
    <row r="81">
      <c r="A81" s="8" t="str">
        <f>IFERROR(__xludf.DUMMYFUNCTION("""COMPUTED_VALUE"""),"Big Macs")</f>
        <v>Big Macs</v>
      </c>
      <c r="B81" s="8" t="str">
        <f>IFERROR(__xludf.DUMMYFUNCTION("""COMPUTED_VALUE"""),"T w o  a l l  b e e f  p a t t i e s  s p e c i a l  s a u c e  l e t t u c e  c h e e s e  p i c k l e s  o n i o n s  o n  a  s e s a m e  s e e d  b u n .")</f>
        <v>T w o  a l l  b e e f  p a t t i e s  s p e c i a l  s a u c e  l e t t u c e  c h e e s e  p i c k l e s  o n i o n s  o n  a  s e s a m e  s e e d  b u n .</v>
      </c>
      <c r="C81" s="13" t="str">
        <f>IFERROR(__xludf.DUMMYFUNCTION("""COMPUTED_VALUE"""),"""t{ih"":{""label"":""Big Macs"",""extra"":""T w o  a l l  b e e f  p a t t i e s  s p e c i a l  s a u c e  l e t t u c e  c h e e s e  p i c k l e s  o n i o n s  o n  a  s e s a m e  s e e d  b u n ."",""sets"":""Expansion Set 2, Party Set""},")</f>
        <v>"t{ih":{"label":"Big Macs","extra":"T w o  a l l  b e e f  p a t t i e s  s p e c i a l  s a u c e  l e t t u c e  c h e e s e  p i c k l e s  o n i o n s  o n  a  s e s a m e  s e e d  b u n .","sets":"Expansion Set 2, Party Set"},</v>
      </c>
    </row>
    <row r="82">
      <c r="A82" s="8" t="str">
        <f>IFERROR(__xludf.DUMMYFUNCTION("""COMPUTED_VALUE"""),"Bigfoot")</f>
        <v>Bigfoot</v>
      </c>
      <c r="B82" s="8" t="str">
        <f>IFERROR(__xludf.DUMMYFUNCTION("""COMPUTED_VALUE"""),"Legendary North American monster, a.k.a. Sasquatch or the Abominable Snowman.")</f>
        <v>Legendary North American monster, a.k.a. Sasquatch or the Abominable Snowman.</v>
      </c>
      <c r="C82" s="13" t="str">
        <f>IFERROR(__xludf.DUMMYFUNCTION("""COMPUTED_VALUE"""),"""beuk"":{""label"":""Bigfoot"",""extra"":""Legendary North American monster, a.k.a. Sasquatch or the Abominable Snowman."",""sets"":""Expansion Set 1, Party Set""},")</f>
        <v>"beuk":{"label":"Bigfoot","extra":"Legendary North American monster, a.k.a. Sasquatch or the Abominable Snowman.","sets":"Expansion Set 1, Party Set"},</v>
      </c>
    </row>
    <row r="83">
      <c r="A83" s="8" t="str">
        <f>IFERROR(__xludf.DUMMYFUNCTION("""COMPUTED_VALUE"""),"Bill Clinton")</f>
        <v>Bill Clinton</v>
      </c>
      <c r="B83" s="8" t="str">
        <f>IFERROR(__xludf.DUMMYFUNCTION("""COMPUTED_VALUE"""),"1946-, popular, yet embattled, 42nd president of the United States.")</f>
        <v>1946-, popular, yet embattled, 42nd president of the United States.</v>
      </c>
      <c r="C83" s="13" t="str">
        <f>IFERROR(__xludf.DUMMYFUNCTION("""COMPUTED_VALUE"""),"""jfjf"":{""label"":""Bill Clinton"",""extra"":""1946-, popular, yet embattled, 42nd president of the United States."",""sets"":""Basic Set, Party Set""},")</f>
        <v>"jfjf":{"label":"Bill Clinton","extra":"1946-, popular, yet embattled, 42nd president of the United States.","sets":"Basic Set, Party Set"},</v>
      </c>
    </row>
    <row r="84">
      <c r="A84" s="8" t="str">
        <f>IFERROR(__xludf.DUMMYFUNCTION("""COMPUTED_VALUE"""),"Bill Gates")</f>
        <v>Bill Gates</v>
      </c>
      <c r="B84" s="8" t="str">
        <f>IFERROR(__xludf.DUMMYFUNCTION("""COMPUTED_VALUE"""),"1955-, chairman and chief software architect of Microsoft Corporation. A very rich guy.")</f>
        <v>1955-, chairman and chief software architect of Microsoft Corporation. A very rich guy.</v>
      </c>
      <c r="C84" s="13" t="str">
        <f>IFERROR(__xludf.DUMMYFUNCTION("""COMPUTED_VALUE"""),"""zenz"":{""label"":""Bill Gates"",""extra"":""1955-, chairman and chief software architect of Microsoft Corporation. A very rich guy."",""sets"":""Basic Set, Party Set""},")</f>
        <v>"zenz":{"label":"Bill Gates","extra":"1955-, chairman and chief software architect of Microsoft Corporation. A very rich guy.","sets":"Basic Set, Party Set"},</v>
      </c>
    </row>
    <row r="85">
      <c r="A85" s="8" t="str">
        <f>IFERROR(__xludf.DUMMYFUNCTION("""COMPUTED_VALUE"""),"Bill Murray")</f>
        <v>Bill Murray</v>
      </c>
      <c r="B85" s="8" t="str">
        <f>IFERROR(__xludf.DUMMYFUNCTION("""COMPUTED_VALUE"""),"1950-, American actor and comedian. Star of Ghostbusters, Stripes, Groundhog Day, and Lost In Translation.")</f>
        <v>1950-, American actor and comedian. Star of Ghostbusters, Stripes, Groundhog Day, and Lost In Translation.</v>
      </c>
      <c r="C85" s="13" t="str">
        <f>IFERROR(__xludf.DUMMYFUNCTION("""COMPUTED_VALUE"""),"""jtru"":{""label"":""Bill Murray"",""extra"":""1950-, American actor and comedian. Star of Ghostbusters, Stripes, Groundhog Day, and Lost In Translation."",""sets"":""Expansion Set 2, Party Set""},")</f>
        <v>"jtru":{"label":"Bill Murray","extra":"1950-, American actor and comedian. Star of Ghostbusters, Stripes, Groundhog Day, and Lost In Translation.","sets":"Expansion Set 2, Party Set"},</v>
      </c>
    </row>
    <row r="86">
      <c r="A86" s="8" t="str">
        <f>IFERROR(__xludf.DUMMYFUNCTION("""COMPUTED_VALUE"""),"Billboards")</f>
        <v>Billboards</v>
      </c>
      <c r="B86" s="8" t="str">
        <f>IFERROR(__xludf.DUMMYFUNCTION("""COMPUTED_VALUE"""),"Only 1,254 miles to Wall Drug…")</f>
        <v>Only 1,254 miles to Wall Drug…</v>
      </c>
      <c r="C86" s="13" t="str">
        <f>IFERROR(__xludf.DUMMYFUNCTION("""COMPUTED_VALUE"""),"""vbcg"":{""label"":""Billboards"",""extra"":""Only 1,254 miles to Wall Drug…"",""sets"":""Basic Set, Party Set""},")</f>
        <v>"vbcg":{"label":"Billboards","extra":"Only 1,254 miles to Wall Drug…","sets":"Basic Set, Party Set"},</v>
      </c>
    </row>
    <row r="87">
      <c r="A87" s="8" t="str">
        <f>IFERROR(__xludf.DUMMYFUNCTION("""COMPUTED_VALUE"""),"Bingo")</f>
        <v>Bingo</v>
      </c>
      <c r="B87" s="8" t="str">
        <f>IFERROR(__xludf.DUMMYFUNCTION("""COMPUTED_VALUE"""),"“There was a farmer, had a dog, and Bingo was his name-o…”")</f>
        <v>“There was a farmer, had a dog, and Bingo was his name-o…”</v>
      </c>
      <c r="C87" s="13" t="str">
        <f>IFERROR(__xludf.DUMMYFUNCTION("""COMPUTED_VALUE"""),"""ubrr"":{""label"":""Bingo"",""extra"":""“There was a farmer, had a dog, and Bingo was his name-o…”"",""sets"":""Expansion Set 2, Party Set""},")</f>
        <v>"ubrr":{"label":"Bingo","extra":"“There was a farmer, had a dog, and Bingo was his name-o…”","sets":"Expansion Set 2, Party Set"},</v>
      </c>
    </row>
    <row r="88">
      <c r="A88" s="8" t="str">
        <f>IFERROR(__xludf.DUMMYFUNCTION("""COMPUTED_VALUE"""),"Bird Watching")</f>
        <v>Bird Watching</v>
      </c>
      <c r="B88" s="8" t="str">
        <f>IFERROR(__xludf.DUMMYFUNCTION("""COMPUTED_VALUE"""),"A hobby that relies on a wing and a prayer.")</f>
        <v>A hobby that relies on a wing and a prayer.</v>
      </c>
      <c r="C88" s="13" t="str">
        <f>IFERROR(__xludf.DUMMYFUNCTION("""COMPUTED_VALUE"""),"""hwuz"":{""label"":""Bird Watching"",""extra"":""A hobby that relies on a wing and a prayer."",""sets"":""Expansion Set 1, Party Set""},")</f>
        <v>"hwuz":{"label":"Bird Watching","extra":"A hobby that relies on a wing and a prayer.","sets":"Expansion Set 1, Party Set"},</v>
      </c>
    </row>
    <row r="89">
      <c r="A89" s="8" t="str">
        <f>IFERROR(__xludf.DUMMYFUNCTION("""COMPUTED_VALUE"""),"Black Holes")</f>
        <v>Black Holes</v>
      </c>
      <c r="B89" s="8" t="str">
        <f>IFERROR(__xludf.DUMMYFUNCTION("""COMPUTED_VALUE"""),"The gravitational field of a black hole is so strong that nothing, including light, can escape from its vicinity.")</f>
        <v>The gravitational field of a black hole is so strong that nothing, including light, can escape from its vicinity.</v>
      </c>
      <c r="C89" s="13" t="str">
        <f>IFERROR(__xludf.DUMMYFUNCTION("""COMPUTED_VALUE"""),"""uwtp"":{""label"":""Black Holes"",""extra"":""The gravitational field of a black hole is so strong that nothing, including light, can escape from its vicinity."",""sets"":""Basic Set, Party Set""},")</f>
        <v>"uwtp":{"label":"Black Holes","extra":"The gravitational field of a black hole is so strong that nothing, including light, can escape from its vicinity.","sets":"Basic Set, Party Set"},</v>
      </c>
    </row>
    <row r="90">
      <c r="A90" s="8" t="str">
        <f>IFERROR(__xludf.DUMMYFUNCTION("""COMPUTED_VALUE"""),"Black Velvet")</f>
        <v>Black Velvet</v>
      </c>
      <c r="B90" s="8" t="str">
        <f>IFERROR(__xludf.DUMMYFUNCTION("""COMPUTED_VALUE"""),"Smooth, silky and sophisticated… until you paint an Elvis on it.")</f>
        <v>Smooth, silky and sophisticated… until you paint an Elvis on it.</v>
      </c>
      <c r="C90" s="13" t="str">
        <f>IFERROR(__xludf.DUMMYFUNCTION("""COMPUTED_VALUE"""),"""nzpk"":{""label"":""Black Velvet"",""extra"":""Smooth, silky and sophisticated… until you paint an Elvis on it."",""sets"":""Expansion Set 2, Party Set""},")</f>
        <v>"nzpk":{"label":"Black Velvet","extra":"Smooth, silky and sophisticated… until you paint an Elvis on it.","sets":"Expansion Set 2, Party Set"},</v>
      </c>
    </row>
    <row r="91">
      <c r="A91" s="8" t="str">
        <f>IFERROR(__xludf.DUMMYFUNCTION("""COMPUTED_VALUE"""),"Blizzard")</f>
        <v>Blizzard</v>
      </c>
      <c r="B91" s="8" t="str">
        <f>IFERROR(__xludf.DUMMYFUNCTION("""COMPUTED_VALUE"""),"Extreme cold, strong winds, and a head snowfall. Also known as Canada.")</f>
        <v>Extreme cold, strong winds, and a head snowfall. Also known as Canada.</v>
      </c>
      <c r="C91" s="13" t="str">
        <f>IFERROR(__xludf.DUMMYFUNCTION("""COMPUTED_VALUE"""),"""pwxw"":{""label"":""Blizzard"",""extra"":""Extreme cold, strong winds, and a head snowfall. Also known as Canada."",""sets"":""Basic Set, Party Set""},")</f>
        <v>"pwxw":{"label":"Blizzard","extra":"Extreme cold, strong winds, and a head snowfall. Also known as Canada.","sets":"Basic Set, Party Set"},</v>
      </c>
    </row>
    <row r="92">
      <c r="A92" s="8" t="str">
        <f>IFERROR(__xludf.DUMMYFUNCTION("""COMPUTED_VALUE"""),"Blood")</f>
        <v>Blood</v>
      </c>
      <c r="B92" s="8" t="str">
        <f>IFERROR(__xludf.DUMMYFUNCTION("""COMPUTED_VALUE"""),"A healthy human body contains between five and six quarts of blood. Bloody right they do!")</f>
        <v>A healthy human body contains between five and six quarts of blood. Bloody right they do!</v>
      </c>
      <c r="C92" s="13" t="str">
        <f>IFERROR(__xludf.DUMMYFUNCTION("""COMPUTED_VALUE"""),"""uain"":{""label"":""Blood"",""extra"":""A healthy human body contains between five and six quarts of blood. Bloody right they do!"",""sets"":""Basic Set, Party Set""},")</f>
        <v>"uain":{"label":"Blood","extra":"A healthy human body contains between five and six quarts of blood. Bloody right they do!","sets":"Basic Set, Party Set"},</v>
      </c>
    </row>
    <row r="93">
      <c r="A93" s="8" t="str">
        <f>IFERROR(__xludf.DUMMYFUNCTION("""COMPUTED_VALUE"""),"Board Games")</f>
        <v>Board Games</v>
      </c>
      <c r="B93" s="8" t="str">
        <f>IFERROR(__xludf.DUMMYFUNCTION("""COMPUTED_VALUE"""),"Games have been played for thousands of years. Some games of Monopoly just SEEM that long.")</f>
        <v>Games have been played for thousands of years. Some games of Monopoly just SEEM that long.</v>
      </c>
      <c r="C93" s="13" t="str">
        <f>IFERROR(__xludf.DUMMYFUNCTION("""COMPUTED_VALUE"""),"""vscn"":{""label"":""Board Games"",""extra"":""Games have been played for thousands of years. Some games of Monopoly just SEEM that long."",""sets"":""Expansion Set 2, Party Set""},")</f>
        <v>"vscn":{"label":"Board Games","extra":"Games have been played for thousands of years. Some games of Monopoly just SEEM that long.","sets":"Expansion Set 2, Party Set"},</v>
      </c>
    </row>
    <row r="94">
      <c r="A94" s="8" t="str">
        <f>IFERROR(__xludf.DUMMYFUNCTION("""COMPUTED_VALUE"""),"Body Odor")</f>
        <v>Body Odor</v>
      </c>
      <c r="B94" s="8" t="str">
        <f>IFERROR(__xludf.DUMMYFUNCTION("""COMPUTED_VALUE"""),"Over $1.6 billion is spent each year on antiperspirants in the United States. That stinks!")</f>
        <v>Over $1.6 billion is spent each year on antiperspirants in the United States. That stinks!</v>
      </c>
      <c r="C94" s="13" t="str">
        <f>IFERROR(__xludf.DUMMYFUNCTION("""COMPUTED_VALUE"""),"""gcqw"":{""label"":""Body Odor"",""extra"":""Over $1.6 billion is spent each year on antiperspirants in the United States. That stinks!"",""sets"":""Expansion Set 2, Party Set""},")</f>
        <v>"gcqw":{"label":"Body Odor","extra":"Over $1.6 billion is spent each year on antiperspirants in the United States. That stinks!","sets":"Expansion Set 2, Party Set"},</v>
      </c>
    </row>
    <row r="95">
      <c r="A95" s="8" t="str">
        <f>IFERROR(__xludf.DUMMYFUNCTION("""COMPUTED_VALUE"""),"Body Piercing")</f>
        <v>Body Piercing</v>
      </c>
      <c r="B95" s="8" t="str">
        <f>IFERROR(__xludf.DUMMYFUNCTION("""COMPUTED_VALUE"""),"YOU STUCK WHAT? WHERE?")</f>
        <v>YOU STUCK WHAT? WHERE?</v>
      </c>
      <c r="C95" s="13" t="str">
        <f>IFERROR(__xludf.DUMMYFUNCTION("""COMPUTED_VALUE"""),"""lumd"":{""label"":""Body Piercing"",""extra"":""YOU STUCK WHAT? WHERE?"",""sets"":""Expansion Set 2, Party Set""},")</f>
        <v>"lumd":{"label":"Body Piercing","extra":"YOU STUCK WHAT? WHERE?","sets":"Expansion Set 2, Party Set"},</v>
      </c>
    </row>
    <row r="96">
      <c r="A96" s="8" t="str">
        <f>IFERROR(__xludf.DUMMYFUNCTION("""COMPUTED_VALUE"""),"Body Surfing")</f>
        <v>Body Surfing</v>
      </c>
      <c r="B96" s="8" t="str">
        <f>IFERROR(__xludf.DUMMYFUNCTION("""COMPUTED_VALUE"""),"When you’re too cheap to buy a surfboard.")</f>
        <v>When you’re too cheap to buy a surfboard.</v>
      </c>
      <c r="C96" s="13" t="str">
        <f>IFERROR(__xludf.DUMMYFUNCTION("""COMPUTED_VALUE"""),"""sdrd"":{""label"":""Body Surfing"",""extra"":""When you’re too cheap to buy a surfboard."",""sets"":""Basic Set, Party Set""},")</f>
        <v>"sdrd":{"label":"Body Surfing","extra":"When you’re too cheap to buy a surfboard.","sets":"Basic Set, Party Set"},</v>
      </c>
    </row>
    <row r="97">
      <c r="A97" s="8" t="str">
        <f>IFERROR(__xludf.DUMMYFUNCTION("""COMPUTED_VALUE"""),"Bonbons")</f>
        <v>Bonbons</v>
      </c>
      <c r="B97" s="8" t="str">
        <f>IFERROR(__xludf.DUMMYFUNCTION("""COMPUTED_VALUE"""),"Sweets for the sweet…")</f>
        <v>Sweets for the sweet…</v>
      </c>
      <c r="C97" s="13" t="str">
        <f>IFERROR(__xludf.DUMMYFUNCTION("""COMPUTED_VALUE"""),"""nxqp"":{""label"":""Bonbons"",""extra"":""Sweets for the sweet…"",""sets"":""Basic Set, Party Set""},")</f>
        <v>"nxqp":{"label":"Bonbons","extra":"Sweets for the sweet…","sets":"Basic Set, Party Set"},</v>
      </c>
    </row>
    <row r="98">
      <c r="A98" s="8" t="str">
        <f>IFERROR(__xludf.DUMMYFUNCTION("""COMPUTED_VALUE"""),"Bongos")</f>
        <v>Bongos</v>
      </c>
      <c r="B98" s="8" t="str">
        <f>IFERROR(__xludf.DUMMYFUNCTION("""COMPUTED_VALUE"""),"Small drums played with the fingers. Used in Latin American and African music. The choice of American beat poets.")</f>
        <v>Small drums played with the fingers. Used in Latin American and African music. The choice of American beat poets.</v>
      </c>
      <c r="C98" s="13" t="str">
        <f>IFERROR(__xludf.DUMMYFUNCTION("""COMPUTED_VALUE"""),"""{moc"":{""label"":""Bongos"",""extra"":""Small drums played with the fingers. Used in Latin American and African music. The choice of American beat poets."",""sets"":""Expansion Set 1, Party Set""},")</f>
        <v>"{moc":{"label":"Bongos","extra":"Small drums played with the fingers. Used in Latin American and African music. The choice of American beat poets.","sets":"Expansion Set 1, Party Set"},</v>
      </c>
    </row>
    <row r="99">
      <c r="A99" s="8" t="str">
        <f>IFERROR(__xludf.DUMMYFUNCTION("""COMPUTED_VALUE"""),"Bottled Water")</f>
        <v>Bottled Water</v>
      </c>
      <c r="B99" s="8" t="str">
        <f>IFERROR(__xludf.DUMMYFUNCTION("""COMPUTED_VALUE"""),"How much are you willing to pay for something you can get for free?")</f>
        <v>How much are you willing to pay for something you can get for free?</v>
      </c>
      <c r="C99" s="13" t="str">
        <f>IFERROR(__xludf.DUMMYFUNCTION("""COMPUTED_VALUE"""),"""vqdi"":{""label"":""Bottled Water"",""extra"":""How much are you willing to pay for something you can get for free?"",""sets"":""Expansion Set 2, Party Set""},")</f>
        <v>"vqdi":{"label":"Bottled Water","extra":"How much are you willing to pay for something you can get for free?","sets":"Expansion Set 2, Party Set"},</v>
      </c>
    </row>
    <row r="100">
      <c r="A100" s="8" t="str">
        <f>IFERROR(__xludf.DUMMYFUNCTION("""COMPUTED_VALUE"""),"Boxing")</f>
        <v>Boxing</v>
      </c>
      <c r="B100" s="8" t="str">
        <f>IFERROR(__xludf.DUMMYFUNCTION("""COMPUTED_VALUE"""),"An ancient and honorable sport not just for boys anymore…")</f>
        <v>An ancient and honorable sport not just for boys anymore…</v>
      </c>
      <c r="C100" s="13" t="str">
        <f>IFERROR(__xludf.DUMMYFUNCTION("""COMPUTED_VALUE"""),"""uqqy"":{""label"":""Boxing"",""extra"":""An ancient and honorable sport not just for boys anymore…"",""sets"":""Expansion Set 2, Party Set""},")</f>
        <v>"uqqy":{"label":"Boxing","extra":"An ancient and honorable sport not just for boys anymore…","sets":"Expansion Set 2, Party Set"},</v>
      </c>
    </row>
    <row r="101">
      <c r="A101" s="8" t="str">
        <f>IFERROR(__xludf.DUMMYFUNCTION("""COMPUTED_VALUE"""),"Boy Scouts")</f>
        <v>Boy Scouts</v>
      </c>
      <c r="B101" s="8" t="str">
        <f>IFERROR(__xludf.DUMMYFUNCTION("""COMPUTED_VALUE"""),"International organization for boys and young men founded in England in 1908, to foster character, citizenship and outdoor life.")</f>
        <v>International organization for boys and young men founded in England in 1908, to foster character, citizenship and outdoor life.</v>
      </c>
      <c r="C101" s="13" t="str">
        <f>IFERROR(__xludf.DUMMYFUNCTION("""COMPUTED_VALUE"""),"""ktyh"":{""label"":""Boy Scouts"",""extra"":""International organization for boys and young men founded in England in 1908, to foster character, citizenship and outdoor life."",""sets"":""Expansion Set 2, Party Set""},")</f>
        <v>"ktyh":{"label":"Boy Scouts","extra":"International organization for boys and young men founded in England in 1908, to foster character, citizenship and outdoor life.","sets":"Expansion Set 2, Party Set"},</v>
      </c>
    </row>
    <row r="102">
      <c r="A102" s="8" t="str">
        <f>IFERROR(__xludf.DUMMYFUNCTION("""COMPUTED_VALUE"""),"Boyfriends")</f>
        <v>Boyfriends</v>
      </c>
      <c r="B102" s="8" t="str">
        <f>IFERROR(__xludf.DUMMYFUNCTION("""COMPUTED_VALUE"""),"“My boyfriend’s back and you’re gonna be in trouble.” —The Angels")</f>
        <v>“My boyfriend’s back and you’re gonna be in trouble.” —The Angels</v>
      </c>
      <c r="C102" s="13" t="str">
        <f>IFERROR(__xludf.DUMMYFUNCTION("""COMPUTED_VALUE"""),"""xpcw"":{""label"":""Boyfriends"",""extra"":""“My boyfriend’s back and you’re gonna be in trouble.” —The Angels"",""sets"":""Expansion Set 2, Party Set""},")</f>
        <v>"xpcw":{"label":"Boyfriends","extra":"“My boyfriend’s back and you’re gonna be in trouble.” —The Angels","sets":"Expansion Set 2, Party Set"},</v>
      </c>
    </row>
    <row r="103">
      <c r="A103" s="8" t="str">
        <f>IFERROR(__xludf.DUMMYFUNCTION("""COMPUTED_VALUE"""),"Brad Pitt")</f>
        <v>Brad Pitt</v>
      </c>
      <c r="B103" s="8" t="str">
        <f>IFERROR(__xludf.DUMMYFUNCTION("""COMPUTED_VALUE"""),"1963-, American actor and heart-throb.")</f>
        <v>1963-, American actor and heart-throb.</v>
      </c>
      <c r="C103" s="13" t="str">
        <f>IFERROR(__xludf.DUMMYFUNCTION("""COMPUTED_VALUE"""),"""rwbx"":{""label"":""Brad Pitt"",""extra"":""1963-, American actor and heart-throb."",""sets"":""Basic Set, Party Set""},")</f>
        <v>"rwbx":{"label":"Brad Pitt","extra":"1963-, American actor and heart-throb.","sets":"Basic Set, Party Set"},</v>
      </c>
    </row>
    <row r="104">
      <c r="A104" s="8" t="str">
        <f>IFERROR(__xludf.DUMMYFUNCTION("""COMPUTED_VALUE"""),"Brain Surgeons")</f>
        <v>Brain Surgeons</v>
      </c>
      <c r="B104" s="8" t="str">
        <f>IFERROR(__xludf.DUMMYFUNCTION("""COMPUTED_VALUE"""),"Hey, it ain’t brain surgery… oh… wait a second…")</f>
        <v>Hey, it ain’t brain surgery… oh… wait a second…</v>
      </c>
      <c r="C104" s="13" t="str">
        <f>IFERROR(__xludf.DUMMYFUNCTION("""COMPUTED_VALUE"""),"""qeus"":{""label"":""Brain Surgeons"",""extra"":""Hey, it ain’t brain surgery… oh… wait a second…"",""sets"":""Expansion Set 1, Party Set""},")</f>
        <v>"qeus":{"label":"Brain Surgeons","extra":"Hey, it ain’t brain surgery… oh… wait a second…","sets":"Expansion Set 1, Party Set"},</v>
      </c>
    </row>
    <row r="105">
      <c r="A105" s="8" t="str">
        <f>IFERROR(__xludf.DUMMYFUNCTION("""COMPUTED_VALUE"""),"Brains")</f>
        <v>Brains</v>
      </c>
      <c r="B105" s="8" t="str">
        <f>IFERROR(__xludf.DUMMYFUNCTION("""COMPUTED_VALUE"""),"Vital to human existence and mad scientists.")</f>
        <v>Vital to human existence and mad scientists.</v>
      </c>
      <c r="C105" s="13" t="str">
        <f>IFERROR(__xludf.DUMMYFUNCTION("""COMPUTED_VALUE"""),"""vcnm"":{""label"":""Brains"",""extra"":""Vital to human existence and mad scientists."",""sets"":""Expansion Set 2, Party Set""},")</f>
        <v>"vcnm":{"label":"Brains","extra":"Vital to human existence and mad scientists.","sets":"Expansion Set 2, Party Set"},</v>
      </c>
    </row>
    <row r="106">
      <c r="A106" s="8" t="str">
        <f>IFERROR(__xludf.DUMMYFUNCTION("""COMPUTED_VALUE"""),"Britney Spears")</f>
        <v>Britney Spears</v>
      </c>
      <c r="B106" s="8" t="str">
        <f>IFERROR(__xludf.DUMMYFUNCTION("""COMPUTED_VALUE"""),"1981-, American singer. From mouseketeer to international pop star.")</f>
        <v>1981-, American singer. From mouseketeer to international pop star.</v>
      </c>
      <c r="C106" s="13" t="str">
        <f>IFERROR(__xludf.DUMMYFUNCTION("""COMPUTED_VALUE"""),"""mtlf"":{""label"":""Britney Spears"",""extra"":""1981-, American singer. From mouseketeer to international pop star."",""sets"":""Expansion Set 1, Party Set""},")</f>
        <v>"mtlf":{"label":"Britney Spears","extra":"1981-, American singer. From mouseketeer to international pop star.","sets":"Expansion Set 1, Party Set"},</v>
      </c>
    </row>
    <row r="107">
      <c r="A107" s="8" t="str">
        <f>IFERROR(__xludf.DUMMYFUNCTION("""COMPUTED_VALUE"""),"Broadway")</f>
        <v>Broadway</v>
      </c>
      <c r="B107" s="8" t="str">
        <f>IFERROR(__xludf.DUMMYFUNCTION("""COMPUTED_VALUE"""),"The New York theater district. “They say the neon lights shine bright on Broadway.” —Barry Mann")</f>
        <v>The New York theater district. “They say the neon lights shine bright on Broadway.” —Barry Mann</v>
      </c>
      <c r="C107" s="13" t="str">
        <f>IFERROR(__xludf.DUMMYFUNCTION("""COMPUTED_VALUE"""),"""xfg{"":{""label"":""Broadway"",""extra"":""The New York theater district. “They say the neon lights shine bright on Broadway.” —Barry Mann"",""sets"":""Expansion Set 2, Party Set""},")</f>
        <v>"xfg{":{"label":"Broadway","extra":"The New York theater district. “They say the neon lights shine bright on Broadway.” —Barry Mann","sets":"Expansion Set 2, Party Set"},</v>
      </c>
    </row>
    <row r="108">
      <c r="A108" s="8" t="str">
        <f>IFERROR(__xludf.DUMMYFUNCTION("""COMPUTED_VALUE"""),"Bruce Willis")</f>
        <v>Bruce Willis</v>
      </c>
      <c r="B108" s="8" t="str">
        <f>IFERROR(__xludf.DUMMYFUNCTION("""COMPUTED_VALUE"""),"1955-, Diehard American action movie star who has moonlighted on TV. He also starred in “Pulp Fiction”, “Armageddon” and “The Sixth Sense.”")</f>
        <v>1955-, Diehard American action movie star who has moonlighted on TV. He also starred in “Pulp Fiction”, “Armageddon” and “The Sixth Sense.”</v>
      </c>
      <c r="C108" s="13" t="str">
        <f>IFERROR(__xludf.DUMMYFUNCTION("""COMPUTED_VALUE"""),"""xeyu"":{""label"":""Bruce Willis"",""extra"":""1955-, Diehard American action movie star who has moonlighted on TV. He also starred in “Pulp Fiction”, “Armageddon” and “The Sixth Sense.”"",""sets"":""Expansion Set 2, Party Set""},")</f>
        <v>"xeyu":{"label":"Bruce Willis","extra":"1955-, Diehard American action movie star who has moonlighted on TV. He also starred in “Pulp Fiction”, “Armageddon” and “The Sixth Sense.”","sets":"Expansion Set 2, Party Set"},</v>
      </c>
    </row>
    <row r="109">
      <c r="A109" s="8" t="str">
        <f>IFERROR(__xludf.DUMMYFUNCTION("""COMPUTED_VALUE"""),"Bubble Gum")</f>
        <v>Bubble Gum</v>
      </c>
      <c r="B109" s="8" t="str">
        <f>IFERROR(__xludf.DUMMYFUNCTION("""COMPUTED_VALUE"""),"Crack it, snap it, pop it, and blow it!")</f>
        <v>Crack it, snap it, pop it, and blow it!</v>
      </c>
      <c r="C109" s="13" t="str">
        <f>IFERROR(__xludf.DUMMYFUNCTION("""COMPUTED_VALUE"""),"""uqoi"":{""label"":""Bubble Gum"",""extra"":""Crack it, snap it, pop it, and blow it!"",""sets"":""Expansion Set 2, Party Set""},")</f>
        <v>"uqoi":{"label":"Bubble Gum","extra":"Crack it, snap it, pop it, and blow it!","sets":"Expansion Set 2, Party Set"},</v>
      </c>
    </row>
    <row r="110">
      <c r="A110" s="8" t="str">
        <f>IFERROR(__xludf.DUMMYFUNCTION("""COMPUTED_VALUE"""),"Bubbles")</f>
        <v>Bubbles</v>
      </c>
      <c r="B110" s="8" t="str">
        <f>IFERROR(__xludf.DUMMYFUNCTION("""COMPUTED_VALUE"""),"“Tiny bubbles, in the wine/ Tiny bubble make me feel fine…” —Don Ho")</f>
        <v>“Tiny bubbles, in the wine/ Tiny bubble make me feel fine…” —Don Ho</v>
      </c>
      <c r="C110" s="13" t="str">
        <f>IFERROR(__xludf.DUMMYFUNCTION("""COMPUTED_VALUE"""),"""whiz"":{""label"":""Bubbles"",""extra"":""“Tiny bubbles, in the wine/ Tiny bubble make me feel fine…” —Don Ho"",""sets"":""Basic Set, Party Set""},")</f>
        <v>"whiz":{"label":"Bubbles","extra":"“Tiny bubbles, in the wine/ Tiny bubble make me feel fine…” —Don Ho","sets":"Basic Set, Party Set"},</v>
      </c>
    </row>
    <row r="111">
      <c r="A111" s="8" t="str">
        <f>IFERROR(__xludf.DUMMYFUNCTION("""COMPUTED_VALUE"""),"Bullwinkle")</f>
        <v>Bullwinkle</v>
      </c>
      <c r="B111" s="8" t="str">
        <f>IFERROR(__xludf.DUMMYFUNCTION("""COMPUTED_VALUE"""),"As in the cartoon “The Adventures of Rocky and Bullwinkle” the moose half of moose and squirrel.")</f>
        <v>As in the cartoon “The Adventures of Rocky and Bullwinkle” the moose half of moose and squirrel.</v>
      </c>
      <c r="C111" s="13" t="str">
        <f>IFERROR(__xludf.DUMMYFUNCTION("""COMPUTED_VALUE"""),"""zdbx"":{""label"":""Bullwinkle"",""extra"":""As in the cartoon “The Adventures of Rocky and Bullwinkle” the moose half of moose and squirrel."",""sets"":""Expansion Set 1, Party Set""},")</f>
        <v>"zdbx":{"label":"Bullwinkle","extra":"As in the cartoon “The Adventures of Rocky and Bullwinkle” the moose half of moose and squirrel.","sets":"Expansion Set 1, Party Set"},</v>
      </c>
    </row>
    <row r="112">
      <c r="A112" s="8" t="str">
        <f>IFERROR(__xludf.DUMMYFUNCTION("""COMPUTED_VALUE"""),"Bumper Stickers")</f>
        <v>Bumper Stickers</v>
      </c>
      <c r="B112" s="8" t="str">
        <f>IFERROR(__xludf.DUMMYFUNCTION("""COMPUTED_VALUE"""),"Your personal billboard!")</f>
        <v>Your personal billboard!</v>
      </c>
      <c r="C112" s="13" t="str">
        <f>IFERROR(__xludf.DUMMYFUNCTION("""COMPUTED_VALUE"""),"""qeh{"":{""label"":""Bumper Stickers"",""extra"":""Your personal billboard!"",""sets"":""Expansion Set 1, Party Set""},")</f>
        <v>"qeh{":{"label":"Bumper Stickers","extra":"Your personal billboard!","sets":"Expansion Set 1, Party Set"},</v>
      </c>
    </row>
    <row r="113">
      <c r="A113" s="8" t="str">
        <f>IFERROR(__xludf.DUMMYFUNCTION("""COMPUTED_VALUE"""),"Bungee Jumping")</f>
        <v>Bungee Jumping</v>
      </c>
      <c r="B113" s="8" t="str">
        <f>IFERROR(__xludf.DUMMYFUNCTION("""COMPUTED_VALUE"""),"Another sport hanging on by a thread.")</f>
        <v>Another sport hanging on by a thread.</v>
      </c>
      <c r="C113" s="13" t="str">
        <f>IFERROR(__xludf.DUMMYFUNCTION("""COMPUTED_VALUE"""),"""aovy"":{""label"":""Bungee Jumping"",""extra"":""Another sport hanging on by a thread."",""sets"":""Basic Set, Party Set""},")</f>
        <v>"aovy":{"label":"Bungee Jumping","extra":"Another sport hanging on by a thread.","sets":"Basic Set, Party Set"},</v>
      </c>
    </row>
    <row r="114">
      <c r="A114" s="8" t="str">
        <f>IFERROR(__xludf.DUMMYFUNCTION("""COMPUTED_VALUE"""),"Buying A House")</f>
        <v>Buying A House</v>
      </c>
      <c r="B114" s="8" t="str">
        <f>IFERROR(__xludf.DUMMYFUNCTION("""COMPUTED_VALUE"""),"If only we had the money, we could get a mortgage.")</f>
        <v>If only we had the money, we could get a mortgage.</v>
      </c>
      <c r="C114" s="13" t="str">
        <f>IFERROR(__xludf.DUMMYFUNCTION("""COMPUTED_VALUE"""),"""zcll"":{""label"":""Buying A House"",""extra"":""If only we had the money, we could get a mortgage."",""sets"":""Expansion Set 1, Party Set""},")</f>
        <v>"zcll":{"label":"Buying A House","extra":"If only we had the money, we could get a mortgage.","sets":"Expansion Set 1, Party Set"},</v>
      </c>
    </row>
    <row r="115">
      <c r="A115" s="8" t="str">
        <f>IFERROR(__xludf.DUMMYFUNCTION("""COMPUTED_VALUE"""),"Cabbage")</f>
        <v>Cabbage</v>
      </c>
      <c r="B115" s="8" t="str">
        <f>IFERROR(__xludf.DUMMYFUNCTION("""COMPUTED_VALUE"""),"From the French word caboche, meaning “big head.”")</f>
        <v>From the French word caboche, meaning “big head.”</v>
      </c>
      <c r="C115" s="13" t="str">
        <f>IFERROR(__xludf.DUMMYFUNCTION("""COMPUTED_VALUE"""),"""bshm"":{""label"":""Cabbage"",""extra"":""From the French word caboche, meaning “big head.”"",""sets"":""Expansion Set 2, Party Set""},")</f>
        <v>"bshm":{"label":"Cabbage","extra":"From the French word caboche, meaning “big head.”","sets":"Expansion Set 2, Party Set"},</v>
      </c>
    </row>
    <row r="116">
      <c r="A116" s="8" t="str">
        <f>IFERROR(__xludf.DUMMYFUNCTION("""COMPUTED_VALUE"""),"Cactus")</f>
        <v>Cactus</v>
      </c>
      <c r="B116" s="8" t="str">
        <f>IFERROR(__xludf.DUMMYFUNCTION("""COMPUTED_VALUE"""),"Require little care and exhibit bizarre forms. As such, they are often mistaken for Survivalists.")</f>
        <v>Require little care and exhibit bizarre forms. As such, they are often mistaken for Survivalists.</v>
      </c>
      <c r="C116" s="13" t="str">
        <f>IFERROR(__xludf.DUMMYFUNCTION("""COMPUTED_VALUE"""),"""dfto"":{""label"":""Cactus"",""extra"":""Require little care and exhibit bizarre forms. As such, they are often mistaken for Survivalists."",""sets"":""Basic Set, Party Set""},")</f>
        <v>"dfto":{"label":"Cactus","extra":"Require little care and exhibit bizarre forms. As such, they are often mistaken for Survivalists.","sets":"Basic Set, Party Set"},</v>
      </c>
    </row>
    <row r="117">
      <c r="A117" s="8" t="str">
        <f>IFERROR(__xludf.DUMMYFUNCTION("""COMPUTED_VALUE"""),"California")</f>
        <v>California</v>
      </c>
      <c r="B117" s="8" t="str">
        <f>IFERROR(__xludf.DUMMYFUNCTION("""COMPUTED_VALUE"""),"Sacramento is its capital, Los Angeles its largest city. Here we come.")</f>
        <v>Sacramento is its capital, Los Angeles its largest city. Here we come.</v>
      </c>
      <c r="C117" s="13" t="str">
        <f>IFERROR(__xludf.DUMMYFUNCTION("""COMPUTED_VALUE"""),"""ctln"":{""label"":""California"",""extra"":""Sacramento is its capital, Los Angeles its largest city. Here we come."",""sets"":""Basic Set, Party Set""},")</f>
        <v>"ctln":{"label":"California","extra":"Sacramento is its capital, Los Angeles its largest city. Here we come.","sets":"Basic Set, Party Set"},</v>
      </c>
    </row>
    <row r="118">
      <c r="A118" s="8" t="str">
        <f>IFERROR(__xludf.DUMMYFUNCTION("""COMPUTED_VALUE"""),"Camping Trip")</f>
        <v>Camping Trip</v>
      </c>
      <c r="B118" s="8" t="str">
        <f>IFERROR(__xludf.DUMMYFUNCTION("""COMPUTED_VALUE"""),"When you just have to get s'more nature.")</f>
        <v>When you just have to get s'more nature.</v>
      </c>
      <c r="C118" s="13" t="str">
        <f>IFERROR(__xludf.DUMMYFUNCTION("""COMPUTED_VALUE"""),"""ecdt"":{""label"":""Camping Trip"",""extra"":""When you just have to get s'more nature."",""sets"":""Expansion Set 2, Party Set""},")</f>
        <v>"ecdt":{"label":"Camping Trip","extra":"When you just have to get s'more nature.","sets":"Expansion Set 2, Party Set"},</v>
      </c>
    </row>
    <row r="119">
      <c r="A119" s="8" t="str">
        <f>IFERROR(__xludf.DUMMYFUNCTION("""COMPUTED_VALUE"""),"Canada")</f>
        <v>Canada</v>
      </c>
      <c r="B119" s="8" t="str">
        <f>IFERROR(__xludf.DUMMYFUNCTION("""COMPUTED_VALUE"""),"Federated country of North America. The Great White Northeh?")</f>
        <v>Federated country of North America. The Great White Northeh?</v>
      </c>
      <c r="C119" s="13" t="str">
        <f>IFERROR(__xludf.DUMMYFUNCTION("""COMPUTED_VALUE"""),"""xpek"":{""label"":""Canada"",""extra"":""Federated country of North America. The Great White Northeh?"",""sets"":""Basic Set, Party Set""},")</f>
        <v>"xpek":{"label":"Canada","extra":"Federated country of North America. The Great White Northeh?","sets":"Basic Set, Party Set"},</v>
      </c>
    </row>
    <row r="120">
      <c r="A120" s="8" t="str">
        <f>IFERROR(__xludf.DUMMYFUNCTION("""COMPUTED_VALUE"""),"Canadians")</f>
        <v>Canadians</v>
      </c>
      <c r="B120" s="8" t="str">
        <f>IFERROR(__xludf.DUMMYFUNCTION("""COMPUTED_VALUE"""),"How many Canadians does it take to screw in a lightbulb? Fifteen. Fourteen to chip it out of the ice, and one to screw it in.")</f>
        <v>How many Canadians does it take to screw in a lightbulb? Fifteen. Fourteen to chip it out of the ice, and one to screw it in.</v>
      </c>
      <c r="C120" s="13" t="str">
        <f>IFERROR(__xludf.DUMMYFUNCTION("""COMPUTED_VALUE"""),"""jmxk"":{""label"":""Canadians"",""extra"":""How many Canadians does it take to screw in a lightbulb? Fifteen. Fourteen to chip it out of the ice, and one to screw it in."",""sets"":""Basic Set, Party Set""},")</f>
        <v>"jmxk":{"label":"Canadians","extra":"How many Canadians does it take to screw in a lightbulb? Fifteen. Fourteen to chip it out of the ice, and one to screw it in.","sets":"Basic Set, Party Set"},</v>
      </c>
    </row>
    <row r="121">
      <c r="A121" s="8" t="str">
        <f>IFERROR(__xludf.DUMMYFUNCTION("""COMPUTED_VALUE"""),"Captain Kirk")</f>
        <v>Captain Kirk</v>
      </c>
      <c r="B121" s="8" t="str">
        <f>IFERROR(__xludf.DUMMYFUNCTION("""COMPUTED_VALUE"""),"Fictional starship captain. “Beam me up Scotty, there is no intelligent life on this planet!” —bumper sticker, 1980s")</f>
        <v>Fictional starship captain. “Beam me up Scotty, there is no intelligent life on this planet!” —bumper sticker, 1980s</v>
      </c>
      <c r="C121" s="13" t="str">
        <f>IFERROR(__xludf.DUMMYFUNCTION("""COMPUTED_VALUE"""),"""fiz{"":{""label"":""Captain Kirk"",""extra"":""Fictional starship captain. “Beam me up Scotty, there is no intelligent life on this planet!” —bumper sticker, 1980s"",""sets"":""Basic Set, Party Set""},")</f>
        <v>"fiz{":{"label":"Captain Kirk","extra":"Fictional starship captain. “Beam me up Scotty, there is no intelligent life on this planet!” —bumper sticker, 1980s","sets":"Basic Set, Party Set"},</v>
      </c>
    </row>
    <row r="122">
      <c r="A122" s="8" t="str">
        <f>IFERROR(__xludf.DUMMYFUNCTION("""COMPUTED_VALUE"""),"Car Bombs")</f>
        <v>Car Bombs</v>
      </c>
      <c r="B122" s="8" t="str">
        <f>IFERROR(__xludf.DUMMYFUNCTION("""COMPUTED_VALUE"""),"Not including the Ford Pinto, of course.")</f>
        <v>Not including the Ford Pinto, of course.</v>
      </c>
      <c r="C122" s="13" t="str">
        <f>IFERROR(__xludf.DUMMYFUNCTION("""COMPUTED_VALUE"""),"""qhkr"":{""label"":""Car Bombs"",""extra"":""Not including the Ford Pinto, of course."",""sets"":""Expansion Set 1, Party Set""},")</f>
        <v>"qhkr":{"label":"Car Bombs","extra":"Not including the Ford Pinto, of course.","sets":"Expansion Set 1, Party Set"},</v>
      </c>
    </row>
    <row r="123">
      <c r="A123" s="8" t="str">
        <f>IFERROR(__xludf.DUMMYFUNCTION("""COMPUTED_VALUE"""),"Car Horns")</f>
        <v>Car Horns</v>
      </c>
      <c r="B123" s="8" t="str">
        <f>IFERROR(__xludf.DUMMYFUNCTION("""COMPUTED_VALUE"""),"Blow it, buddy!")</f>
        <v>Blow it, buddy!</v>
      </c>
      <c r="C123" s="13" t="str">
        <f>IFERROR(__xludf.DUMMYFUNCTION("""COMPUTED_VALUE"""),"""fhvz"":{""label"":""Car Horns"",""extra"":""Blow it, buddy!"",""sets"":""Basic Set, Party Set""},")</f>
        <v>"fhvz":{"label":"Car Horns","extra":"Blow it, buddy!","sets":"Basic Set, Party Set"},</v>
      </c>
    </row>
    <row r="124">
      <c r="A124" s="8" t="str">
        <f>IFERROR(__xludf.DUMMYFUNCTION("""COMPUTED_VALUE"""),"Carl Sagan")</f>
        <v>Carl Sagan</v>
      </c>
      <c r="B124" s="8" t="str">
        <f>IFERROR(__xludf.DUMMYFUNCTION("""COMPUTED_VALUE"""),"1934-96, American astronomer and pioneer exobiologist. Touched many lives. Billions and billions of them.")</f>
        <v>1934-96, American astronomer and pioneer exobiologist. Touched many lives. Billions and billions of them.</v>
      </c>
      <c r="C124" s="13" t="str">
        <f>IFERROR(__xludf.DUMMYFUNCTION("""COMPUTED_VALUE"""),"""pmbh"":{""label"":""Carl Sagan"",""extra"":""1934-96, American astronomer and pioneer exobiologist. Touched many lives. Billions and billions of them."",""sets"":""Basic Set, Party Set""},")</f>
        <v>"pmbh":{"label":"Carl Sagan","extra":"1934-96, American astronomer and pioneer exobiologist. Touched many lives. Billions and billions of them.","sets":"Basic Set, Party Set"},</v>
      </c>
    </row>
    <row r="125">
      <c r="A125" s="8" t="str">
        <f>IFERROR(__xludf.DUMMYFUNCTION("""COMPUTED_VALUE"""),"Carnival Workers")</f>
        <v>Carnival Workers</v>
      </c>
      <c r="B125" s="8" t="str">
        <f>IFERROR(__xludf.DUMMYFUNCTION("""COMPUTED_VALUE"""),"Step right up…")</f>
        <v>Step right up…</v>
      </c>
      <c r="C125" s="13" t="str">
        <f>IFERROR(__xludf.DUMMYFUNCTION("""COMPUTED_VALUE"""),"""rnyz"":{""label"":""Carnival Workers"",""extra"":""Step right up…"",""sets"":""Expansion Set 1, Party Set""},")</f>
        <v>"rnyz":{"label":"Carnival Workers","extra":"Step right up…","sets":"Expansion Set 1, Party Set"},</v>
      </c>
    </row>
    <row r="126">
      <c r="A126" s="8" t="str">
        <f>IFERROR(__xludf.DUMMYFUNCTION("""COMPUTED_VALUE"""),"Cary Grant")</f>
        <v>Cary Grant</v>
      </c>
      <c r="B126" s="8" t="str">
        <f>IFERROR(__xludf.DUMMYFUNCTION("""COMPUTED_VALUE"""),"1904-86, British-born American actor known for his debonair manner. He can be found “North by Northwest”.")</f>
        <v>1904-86, British-born American actor known for his debonair manner. He can be found “North by Northwest”.</v>
      </c>
      <c r="C126" s="13" t="str">
        <f>IFERROR(__xludf.DUMMYFUNCTION("""COMPUTED_VALUE"""),"""vgnh"":{""label"":""Cary Grant"",""extra"":""1904-86, British-born American actor known for his debonair manner. He can be found “North by Northwest”."",""sets"":""Expansion Set 2, Party Set""},")</f>
        <v>"vgnh":{"label":"Cary Grant","extra":"1904-86, British-born American actor known for his debonair manner. He can be found “North by Northwest”.","sets":"Expansion Set 2, Party Set"},</v>
      </c>
    </row>
    <row r="127">
      <c r="A127" s="8" t="str">
        <f>IFERROR(__xludf.DUMMYFUNCTION("""COMPUTED_VALUE"""),"Casablanca")</f>
        <v>Casablanca</v>
      </c>
      <c r="B127" s="8" t="str">
        <f>IFERROR(__xludf.DUMMYFUNCTION("""COMPUTED_VALUE"""),"The largest city in Morocco, and one heck of a good movie. “Of all the gin joints in all the towns in all the world…”")</f>
        <v>The largest city in Morocco, and one heck of a good movie. “Of all the gin joints in all the towns in all the world…”</v>
      </c>
      <c r="C127" s="13" t="str">
        <f>IFERROR(__xludf.DUMMYFUNCTION("""COMPUTED_VALUE"""),"""zypk"":{""label"":""Casablanca"",""extra"":""The largest city in Morocco, and one heck of a good movie. “Of all the gin joints in all the towns in all the world…”"",""sets"":""Expansion Set 2, Party Set""},")</f>
        <v>"zypk":{"label":"Casablanca","extra":"The largest city in Morocco, and one heck of a good movie. “Of all the gin joints in all the towns in all the world…”","sets":"Expansion Set 2, Party Set"},</v>
      </c>
    </row>
    <row r="128">
      <c r="A128" s="8" t="str">
        <f>IFERROR(__xludf.DUMMYFUNCTION("""COMPUTED_VALUE"""),"Casinos")</f>
        <v>Casinos</v>
      </c>
      <c r="B128" s="8" t="str">
        <f>IFERROR(__xludf.DUMMYFUNCTION("""COMPUTED_VALUE"""),"Slots and slots of fun.")</f>
        <v>Slots and slots of fun.</v>
      </c>
      <c r="C128" s="13" t="str">
        <f>IFERROR(__xludf.DUMMYFUNCTION("""COMPUTED_VALUE"""),"""eqyz"":{""label"":""Casinos"",""extra"":""Slots and slots of fun."",""sets"":""Expansion Set 1, Party Set""},")</f>
        <v>"eqyz":{"label":"Casinos","extra":"Slots and slots of fun.","sets":"Expansion Set 1, Party Set"},</v>
      </c>
    </row>
    <row r="129">
      <c r="A129" s="8" t="str">
        <f>IFERROR(__xludf.DUMMYFUNCTION("""COMPUTED_VALUE"""),"Castles")</f>
        <v>Castles</v>
      </c>
      <c r="B129" s="8" t="str">
        <f>IFERROR(__xludf.DUMMYFUNCTION("""COMPUTED_VALUE"""),"Kings, queens, knights in shining armor, and little square hamburgers.")</f>
        <v>Kings, queens, knights in shining armor, and little square hamburgers.</v>
      </c>
      <c r="C129" s="13" t="str">
        <f>IFERROR(__xludf.DUMMYFUNCTION("""COMPUTED_VALUE"""),"""rqwn"":{""label"":""Castles"",""extra"":""Kings, queens, knights in shining armor, and little square hamburgers."",""sets"":""Expansion Set 2, Party Set""},")</f>
        <v>"rqwn":{"label":"Castles","extra":"Kings, queens, knights in shining armor, and little square hamburgers.","sets":"Expansion Set 2, Party Set"},</v>
      </c>
    </row>
    <row r="130">
      <c r="A130" s="8" t="str">
        <f>IFERROR(__xludf.DUMMYFUNCTION("""COMPUTED_VALUE"""),"Caves")</f>
        <v>Caves</v>
      </c>
      <c r="B130" s="8" t="str">
        <f>IFERROR(__xludf.DUMMYFUNCTION("""COMPUTED_VALUE"""),"Stalactites, stalagmites. Which go up and which go down?")</f>
        <v>Stalactites, stalagmites. Which go up and which go down?</v>
      </c>
      <c r="C130" s="13" t="str">
        <f>IFERROR(__xludf.DUMMYFUNCTION("""COMPUTED_VALUE"""),"""qwcg"":{""label"":""Caves"",""extra"":""Stalactites, stalagmites. Which go up and which go down?"",""sets"":""Expansion Set 1, Party Set""},")</f>
        <v>"qwcg":{"label":"Caves","extra":"Stalactites, stalagmites. Which go up and which go down?","sets":"Expansion Set 1, Party Set"},</v>
      </c>
    </row>
    <row r="131">
      <c r="A131" s="8" t="str">
        <f>IFERROR(__xludf.DUMMYFUNCTION("""COMPUTED_VALUE"""),"Celine Dion")</f>
        <v>Celine Dion</v>
      </c>
      <c r="B131" s="8" t="str">
        <f>IFERROR(__xludf.DUMMYFUNCTION("""COMPUTED_VALUE"""),"1968-, Canadian singer whose heart will go on, and on…")</f>
        <v>1968-, Canadian singer whose heart will go on, and on…</v>
      </c>
      <c r="C131" s="13" t="str">
        <f>IFERROR(__xludf.DUMMYFUNCTION("""COMPUTED_VALUE"""),"""wmpo"":{""label"":""Celine Dion"",""extra"":""1968-, Canadian singer whose heart will go on, and on…"",""sets"":""Basic Set, Party Set""},")</f>
        <v>"wmpo":{"label":"Celine Dion","extra":"1968-, Canadian singer whose heart will go on, and on…","sets":"Basic Set, Party Set"},</v>
      </c>
    </row>
    <row r="132">
      <c r="A132" s="8" t="str">
        <f>IFERROR(__xludf.DUMMYFUNCTION("""COMPUTED_VALUE"""),"Cell Phones")</f>
        <v>Cell Phones</v>
      </c>
      <c r="B132" s="8" t="str">
        <f>IFERROR(__xludf.DUMMYFUNCTION("""COMPUTED_VALUE"""),"Get off the phone or get off the road!")</f>
        <v>Get off the phone or get off the road!</v>
      </c>
      <c r="C132" s="13" t="str">
        <f>IFERROR(__xludf.DUMMYFUNCTION("""COMPUTED_VALUE"""),"""lipe"":{""label"":""Cell Phones"",""extra"":""Get off the phone or get off the road!"",""sets"":""Expansion Set 1, Party Set""},")</f>
        <v>"lipe":{"label":"Cell Phones","extra":"Get off the phone or get off the road!","sets":"Expansion Set 1, Party Set"},</v>
      </c>
    </row>
    <row r="133">
      <c r="A133" s="8" t="str">
        <f>IFERROR(__xludf.DUMMYFUNCTION("""COMPUTED_VALUE"""),"Cesar Chavez")</f>
        <v>Cesar Chavez</v>
      </c>
      <c r="B133" s="8" t="str">
        <f>IFERROR(__xludf.DUMMYFUNCTION("""COMPUTED_VALUE"""),"1927-93, American labor leader who led the 1965 nationwide boycott of California grapes… a bunch of sour grapes!")</f>
        <v>1927-93, American labor leader who led the 1965 nationwide boycott of California grapes… a bunch of sour grapes!</v>
      </c>
      <c r="C133" s="13" t="str">
        <f>IFERROR(__xludf.DUMMYFUNCTION("""COMPUTED_VALUE"""),"""szor"":{""label"":""Cesar Chavez"",""extra"":""1927-93, American labor leader who led the 1965 nationwide boycott of California grapes… a bunch of sour grapes!"",""sets"":""Expansion Set 1, Party Set""},")</f>
        <v>"szor":{"label":"Cesar Chavez","extra":"1927-93, American labor leader who led the 1965 nationwide boycott of California grapes… a bunch of sour grapes!","sets":"Expansion Set 1, Party Set"},</v>
      </c>
    </row>
    <row r="134">
      <c r="A134" s="8" t="str">
        <f>IFERROR(__xludf.DUMMYFUNCTION("""COMPUTED_VALUE"""),"Chain Letters")</f>
        <v>Chain Letters</v>
      </c>
      <c r="B134" s="8" t="str">
        <f>IFERROR(__xludf.DUMMYFUNCTION("""COMPUTED_VALUE"""),"Send this game to ten of your friends and good luck will follow. Honest!")</f>
        <v>Send this game to ten of your friends and good luck will follow. Honest!</v>
      </c>
      <c r="C134" s="13" t="str">
        <f>IFERROR(__xludf.DUMMYFUNCTION("""COMPUTED_VALUE"""),"""wbpz"":{""label"":""Chain Letters"",""extra"":""Send this game to ten of your friends and good luck will follow. Honest!"",""sets"":""Expansion Set 1, Party Set""},")</f>
        <v>"wbpz":{"label":"Chain Letters","extra":"Send this game to ten of your friends and good luck will follow. Honest!","sets":"Expansion Set 1, Party Set"},</v>
      </c>
    </row>
    <row r="135">
      <c r="A135" s="8" t="str">
        <f>IFERROR(__xludf.DUMMYFUNCTION("""COMPUTED_VALUE"""),"Chains")</f>
        <v>Chains</v>
      </c>
      <c r="B135" s="8" t="str">
        <f>IFERROR(__xludf.DUMMYFUNCTION("""COMPUTED_VALUE"""),"Gold or iron: name your shackles.")</f>
        <v>Gold or iron: name your shackles.</v>
      </c>
      <c r="C135" s="13" t="str">
        <f>IFERROR(__xludf.DUMMYFUNCTION("""COMPUTED_VALUE"""),"""wgih"":{""label"":""Chains"",""extra"":""Gold or iron: name your shackles."",""sets"":""Basic Set, Party Set""},")</f>
        <v>"wgih":{"label":"Chains","extra":"Gold or iron: name your shackles.","sets":"Basic Set, Party Set"},</v>
      </c>
    </row>
    <row r="136">
      <c r="A136" s="8" t="str">
        <f>IFERROR(__xludf.DUMMYFUNCTION("""COMPUTED_VALUE"""),"Challenger Explosion")</f>
        <v>Challenger Explosion</v>
      </c>
      <c r="B136" s="8" t="str">
        <f>IFERROR(__xludf.DUMMYFUNCTION("""COMPUTED_VALUE"""),"“Without a wish, without a will/ I stood upon that silent hill/ and stared into the sky…” —Ralph Hodgeson")</f>
        <v>“Without a wish, without a will/ I stood upon that silent hill/ and stared into the sky…” —Ralph Hodgeson</v>
      </c>
      <c r="C136" s="13" t="str">
        <f>IFERROR(__xludf.DUMMYFUNCTION("""COMPUTED_VALUE"""),"""ylne"":{""label"":""Challenger Explosion"",""extra"":""“Without a wish, without a will/ I stood upon that silent hill/ and stared into the sky…” —Ralph Hodgeson"",""sets"":""Basic Set, Party Set""},")</f>
        <v>"ylne":{"label":"Challenger Explosion","extra":"“Without a wish, without a will/ I stood upon that silent hill/ and stared into the sky…” —Ralph Hodgeson","sets":"Basic Set, Party Set"},</v>
      </c>
    </row>
    <row r="137">
      <c r="A137" s="8" t="str">
        <f>IFERROR(__xludf.DUMMYFUNCTION("""COMPUTED_VALUE"""),"Chameleons")</f>
        <v>Chameleons</v>
      </c>
      <c r="B137" s="8" t="str">
        <f>IFERROR(__xludf.DUMMYFUNCTION("""COMPUTED_VALUE"""),"The chameleon is a lizard that changes color when frightenedor is that a politician?")</f>
        <v>The chameleon is a lizard that changes color when frightenedor is that a politician?</v>
      </c>
      <c r="C137" s="13" t="str">
        <f>IFERROR(__xludf.DUMMYFUNCTION("""COMPUTED_VALUE"""),"""nawq"":{""label"":""Chameleons"",""extra"":""The chameleon is a lizard that changes color when frightenedor is that a politician?"",""sets"":""Expansion Set 1, Party Set""},")</f>
        <v>"nawq":{"label":"Chameleons","extra":"The chameleon is a lizard that changes color when frightenedor is that a politician?","sets":"Expansion Set 1, Party Set"},</v>
      </c>
    </row>
    <row r="138">
      <c r="A138" s="8" t="str">
        <f>IFERROR(__xludf.DUMMYFUNCTION("""COMPUTED_VALUE"""),"Charging Rhinos")</f>
        <v>Charging Rhinos</v>
      </c>
      <c r="B138" s="8" t="str">
        <f>IFERROR(__xludf.DUMMYFUNCTION("""COMPUTED_VALUE"""),"How do you stop a rhino from charging? Take away its credit cards.")</f>
        <v>How do you stop a rhino from charging? Take away its credit cards.</v>
      </c>
      <c r="C138" s="13" t="str">
        <f>IFERROR(__xludf.DUMMYFUNCTION("""COMPUTED_VALUE"""),"""awi{"":{""label"":""Charging Rhinos"",""extra"":""How do you stop a rhino from charging? Take away its credit cards."",""sets"":""Basic Set, Party Set""},")</f>
        <v>"awi{":{"label":"Charging Rhinos","extra":"How do you stop a rhino from charging? Take away its credit cards.","sets":"Basic Set, Party Set"},</v>
      </c>
    </row>
    <row r="139">
      <c r="A139" s="8" t="str">
        <f>IFERROR(__xludf.DUMMYFUNCTION("""COMPUTED_VALUE"""),"Cheesecake")</f>
        <v>Cheesecake</v>
      </c>
      <c r="B139" s="8" t="str">
        <f>IFERROR(__xludf.DUMMYFUNCTION("""COMPUTED_VALUE"""),"A really tasty dish.")</f>
        <v>A really tasty dish.</v>
      </c>
      <c r="C139" s="13" t="str">
        <f>IFERROR(__xludf.DUMMYFUNCTION("""COMPUTED_VALUE"""),"""jbva"":{""label"":""Cheesecake"",""extra"":""A really tasty dish."",""sets"":""Expansion Set 1, Party Set""},")</f>
        <v>"jbva":{"label":"Cheesecake","extra":"A really tasty dish.","sets":"Expansion Set 1, Party Set"},</v>
      </c>
    </row>
    <row r="140">
      <c r="A140" s="8" t="str">
        <f>IFERROR(__xludf.DUMMYFUNCTION("""COMPUTED_VALUE"""),"Cher")</f>
        <v>Cher</v>
      </c>
      <c r="B140" s="8" t="str">
        <f>IFERROR(__xludf.DUMMYFUNCTION("""COMPUTED_VALUE"""),"1946-, American singer and actor, she makes aging look good.")</f>
        <v>1946-, American singer and actor, she makes aging look good.</v>
      </c>
      <c r="C140" s="13" t="str">
        <f>IFERROR(__xludf.DUMMYFUNCTION("""COMPUTED_VALUE"""),"""ypbs"":{""label"":""Cher"",""extra"":""1946-, American singer and actor, she makes aging look good."",""sets"":""Basic Set, Party Set""},")</f>
        <v>"ypbs":{"label":"Cher","extra":"1946-, American singer and actor, she makes aging look good.","sets":"Basic Set, Party Set"},</v>
      </c>
    </row>
    <row r="141">
      <c r="A141" s="8" t="str">
        <f>IFERROR(__xludf.DUMMYFUNCTION("""COMPUTED_VALUE"""),"Chicago")</f>
        <v>Chicago</v>
      </c>
      <c r="B141" s="8" t="str">
        <f>IFERROR(__xludf.DUMMYFUNCTION("""COMPUTED_VALUE"""),"Third largest city in the United States. Our kind of town.")</f>
        <v>Third largest city in the United States. Our kind of town.</v>
      </c>
      <c r="C141" s="13" t="str">
        <f>IFERROR(__xludf.DUMMYFUNCTION("""COMPUTED_VALUE"""),"""tohb"":{""label"":""Chicago"",""extra"":""Third largest city in the United States. Our kind of town."",""sets"":""Basic Set, Party Set""},")</f>
        <v>"tohb":{"label":"Chicago","extra":"Third largest city in the United States. Our kind of town.","sets":"Basic Set, Party Set"},</v>
      </c>
    </row>
    <row r="142">
      <c r="A142" s="8" t="str">
        <f>IFERROR(__xludf.DUMMYFUNCTION("""COMPUTED_VALUE"""),"Chicken Pox")</f>
        <v>Chicken Pox</v>
      </c>
      <c r="B142" s="8" t="str">
        <f>IFERROR(__xludf.DUMMYFUNCTION("""COMPUTED_VALUE"""),"Infectious disease usually contracted in childhood. Just don’t scratch ’em!")</f>
        <v>Infectious disease usually contracted in childhood. Just don’t scratch ’em!</v>
      </c>
      <c r="C142" s="13" t="str">
        <f>IFERROR(__xludf.DUMMYFUNCTION("""COMPUTED_VALUE"""),"""nsvj"":{""label"":""Chicken Pox"",""extra"":""Infectious disease usually contracted in childhood. Just don’t scratch ’em!"",""sets"":""Expansion Set 1, Party Set""},")</f>
        <v>"nsvj":{"label":"Chicken Pox","extra":"Infectious disease usually contracted in childhood. Just don’t scratch ’em!","sets":"Expansion Set 1, Party Set"},</v>
      </c>
    </row>
    <row r="143">
      <c r="A143" s="8" t="str">
        <f>IFERROR(__xludf.DUMMYFUNCTION("""COMPUTED_VALUE"""),"Chickens")</f>
        <v>Chickens</v>
      </c>
      <c r="B143" s="8" t="str">
        <f>IFERROR(__xludf.DUMMYFUNCTION("""COMPUTED_VALUE"""),"From incubator to rotisserie in 56 days! Run, chicken, run!")</f>
        <v>From incubator to rotisserie in 56 days! Run, chicken, run!</v>
      </c>
      <c r="C143" s="13" t="str">
        <f>IFERROR(__xludf.DUMMYFUNCTION("""COMPUTED_VALUE"""),"""hgcf"":{""label"":""Chickens"",""extra"":""From incubator to rotisserie in 56 days! Run, chicken, run!"",""sets"":""Expansion Set 2, Party Set""},")</f>
        <v>"hgcf":{"label":"Chickens","extra":"From incubator to rotisserie in 56 days! Run, chicken, run!","sets":"Expansion Set 2, Party Set"},</v>
      </c>
    </row>
    <row r="144">
      <c r="A144" s="8" t="str">
        <f>IFERROR(__xludf.DUMMYFUNCTION("""COMPUTED_VALUE"""),"Chimpanzees")</f>
        <v>Chimpanzees</v>
      </c>
      <c r="B144" s="8" t="str">
        <f>IFERROR(__xludf.DUMMYFUNCTION("""COMPUTED_VALUE"""),"Sure, they’re related to us; but they don’t write, and they NEVER call!")</f>
        <v>Sure, they’re related to us; but they don’t write, and they NEVER call!</v>
      </c>
      <c r="C144" s="13" t="str">
        <f>IFERROR(__xludf.DUMMYFUNCTION("""COMPUTED_VALUE"""),"""woaw"":{""label"":""Chimpanzees"",""extra"":""Sure, they’re related to us; but they don’t write, and they NEVER call!"",""sets"":""Basic Set, Party Set""},")</f>
        <v>"woaw":{"label":"Chimpanzees","extra":"Sure, they’re related to us; but they don’t write, and they NEVER call!","sets":"Basic Set, Party Set"},</v>
      </c>
    </row>
    <row r="145">
      <c r="A145" s="8" t="str">
        <f>IFERROR(__xludf.DUMMYFUNCTION("""COMPUTED_VALUE"""),"China")</f>
        <v>China</v>
      </c>
      <c r="B145" s="8" t="str">
        <f>IFERROR(__xludf.DUMMYFUNCTION("""COMPUTED_VALUE"""),"The most populous country in the world. More than one-fifth of the world’s total population lives within its borders.")</f>
        <v>The most populous country in the world. More than one-fifth of the world’s total population lives within its borders.</v>
      </c>
      <c r="C145" s="13" t="str">
        <f>IFERROR(__xludf.DUMMYFUNCTION("""COMPUTED_VALUE"""),"""swwh"":{""label"":""China"",""extra"":""The most populous country in the world. More than one-fifth of the world’s total population lives within its borders."",""sets"":""Basic Set, Party Set""},")</f>
        <v>"swwh":{"label":"China","extra":"The most populous country in the world. More than one-fifth of the world’s total population lives within its borders.","sets":"Basic Set, Party Set"},</v>
      </c>
    </row>
    <row r="146">
      <c r="A146" s="8" t="str">
        <f>IFERROR(__xludf.DUMMYFUNCTION("""COMPUTED_VALUE"""),"Chinatown")</f>
        <v>Chinatown</v>
      </c>
      <c r="B146" s="8" t="str">
        <f>IFERROR(__xludf.DUMMYFUNCTION("""COMPUTED_VALUE"""),"International travel, just around the corner.")</f>
        <v>International travel, just around the corner.</v>
      </c>
      <c r="C146" s="13" t="str">
        <f>IFERROR(__xludf.DUMMYFUNCTION("""COMPUTED_VALUE"""),"""xfyo"":{""label"":""Chinatown"",""extra"":""International travel, just around the corner."",""sets"":""Expansion Set 2, Party Set""},")</f>
        <v>"xfyo":{"label":"Chinatown","extra":"International travel, just around the corner.","sets":"Expansion Set 2, Party Set"},</v>
      </c>
    </row>
    <row r="147">
      <c r="A147" s="8" t="str">
        <f>IFERROR(__xludf.DUMMYFUNCTION("""COMPUTED_VALUE"""),"Choir Boys")</f>
        <v>Choir Boys</v>
      </c>
      <c r="B147" s="8" t="str">
        <f>IFERROR(__xludf.DUMMYFUNCTION("""COMPUTED_VALUE"""),"They sound angelic, but…")</f>
        <v>They sound angelic, but…</v>
      </c>
      <c r="C147" s="13" t="str">
        <f>IFERROR(__xludf.DUMMYFUNCTION("""COMPUTED_VALUE"""),"""xpsg"":{""label"":""Choir Boys"",""extra"":""They sound angelic, but…"",""sets"":""Expansion Set 2, Party Set""},")</f>
        <v>"xpsg":{"label":"Choir Boys","extra":"They sound angelic, but…","sets":"Expansion Set 2, Party Set"},</v>
      </c>
    </row>
    <row r="148">
      <c r="A148" s="8" t="str">
        <f>IFERROR(__xludf.DUMMYFUNCTION("""COMPUTED_VALUE"""),"Chorus Girls")</f>
        <v>Chorus Girls</v>
      </c>
      <c r="B148" s="8" t="str">
        <f>IFERROR(__xludf.DUMMYFUNCTION("""COMPUTED_VALUE"""),"Long legs and high kicks!")</f>
        <v>Long legs and high kicks!</v>
      </c>
      <c r="C148" s="13" t="str">
        <f>IFERROR(__xludf.DUMMYFUNCTION("""COMPUTED_VALUE"""),"""lpfz"":{""label"":""Chorus Girls"",""extra"":""Long legs and high kicks!"",""sets"":""Expansion Set 2, Party Set""},")</f>
        <v>"lpfz":{"label":"Chorus Girls","extra":"Long legs and high kicks!","sets":"Expansion Set 2, Party Set"},</v>
      </c>
    </row>
    <row r="149">
      <c r="A149" s="8" t="str">
        <f>IFERROR(__xludf.DUMMYFUNCTION("""COMPUTED_VALUE"""),"Cigarette Burns")</f>
        <v>Cigarette Burns</v>
      </c>
      <c r="B149" s="8" t="str">
        <f>IFERROR(__xludf.DUMMYFUNCTION("""COMPUTED_VALUE"""),"Another reason to give up smoking.")</f>
        <v>Another reason to give up smoking.</v>
      </c>
      <c r="C149" s="13" t="str">
        <f>IFERROR(__xludf.DUMMYFUNCTION("""COMPUTED_VALUE"""),"""uqud"":{""label"":""Cigarette Burns"",""extra"":""Another reason to give up smoking."",""sets"":""Expansion Set 2, Party Set""},")</f>
        <v>"uqud":{"label":"Cigarette Burns","extra":"Another reason to give up smoking.","sets":"Expansion Set 2, Party Set"},</v>
      </c>
    </row>
    <row r="150">
      <c r="A150" s="8" t="str">
        <f>IFERROR(__xludf.DUMMYFUNCTION("""COMPUTED_VALUE"""),"Cigarettes")</f>
        <v>Cigarettes</v>
      </c>
      <c r="B150" s="8" t="str">
        <f>IFERROR(__xludf.DUMMYFUNCTION("""COMPUTED_VALUE"""),"Mind if I smoke?")</f>
        <v>Mind if I smoke?</v>
      </c>
      <c r="C150" s="13" t="str">
        <f>IFERROR(__xludf.DUMMYFUNCTION("""COMPUTED_VALUE"""),"""kjpw"":{""label"":""Cigarettes"",""extra"":""Mind if I smoke?"",""sets"":""Basic Set, Party Set""},")</f>
        <v>"kjpw":{"label":"Cigarettes","extra":"Mind if I smoke?","sets":"Basic Set, Party Set"},</v>
      </c>
    </row>
    <row r="151">
      <c r="A151" s="8" t="str">
        <f>IFERROR(__xludf.DUMMYFUNCTION("""COMPUTED_VALUE"""),"Cinco de Mayo")</f>
        <v>Cinco de Mayo</v>
      </c>
      <c r="B151" s="8" t="str">
        <f>IFERROR(__xludf.DUMMYFUNCTION("""COMPUTED_VALUE"""),"Marks the victory of the Mexican Army over the French at the Battle of Puebla, in 1862.")</f>
        <v>Marks the victory of the Mexican Army over the French at the Battle of Puebla, in 1862.</v>
      </c>
      <c r="C151" s="13" t="str">
        <f>IFERROR(__xludf.DUMMYFUNCTION("""COMPUTED_VALUE"""),"""jswg"":{""label"":""Cinco de Mayo"",""extra"":""Marks the victory of the Mexican Army over the French at the Battle of Puebla, in 1862."",""sets"":""Basic Set, Party Set""},")</f>
        <v>"jswg":{"label":"Cinco de Mayo","extra":"Marks the victory of the Mexican Army over the French at the Battle of Puebla, in 1862.","sets":"Basic Set, Party Set"},</v>
      </c>
    </row>
    <row r="152">
      <c r="A152" s="8" t="str">
        <f>IFERROR(__xludf.DUMMYFUNCTION("""COMPUTED_VALUE"""),"Cindy Crawford")</f>
        <v>Cindy Crawford</v>
      </c>
      <c r="B152" s="8" t="str">
        <f>IFERROR(__xludf.DUMMYFUNCTION("""COMPUTED_VALUE"""),"1966-, American Supermodel. What dreams are made of.")</f>
        <v>1966-, American Supermodel. What dreams are made of.</v>
      </c>
      <c r="C152" s="13" t="str">
        <f>IFERROR(__xludf.DUMMYFUNCTION("""COMPUTED_VALUE"""),"""qscl"":{""label"":""Cindy Crawford"",""extra"":""1966-, American Supermodel. What dreams are made of."",""sets"":""Basic Set, Party Set""},")</f>
        <v>"qscl":{"label":"Cindy Crawford","extra":"1966-, American Supermodel. What dreams are made of.","sets":"Basic Set, Party Set"},</v>
      </c>
    </row>
    <row r="153">
      <c r="A153" s="8" t="str">
        <f>IFERROR(__xludf.DUMMYFUNCTION("""COMPUTED_VALUE"""),"Clark Gable")</f>
        <v>Clark Gable</v>
      </c>
      <c r="B153" s="8" t="str">
        <f>IFERROR(__xludf.DUMMYFUNCTION("""COMPUTED_VALUE"""),"1901-60, American film actor, noted as a romantic lead. Frankly, my dear, he didn’t give a damn.")</f>
        <v>1901-60, American film actor, noted as a romantic lead. Frankly, my dear, he didn’t give a damn.</v>
      </c>
      <c r="C153" s="13" t="str">
        <f>IFERROR(__xludf.DUMMYFUNCTION("""COMPUTED_VALUE"""),"""kj{g"":{""label"":""Clark Gable"",""extra"":""1901-60, American film actor, noted as a romantic lead. Frankly, my dear, he didn’t give a damn."",""sets"":""Basic Set, Party Set""},")</f>
        <v>"kj{g":{"label":"Clark Gable","extra":"1901-60, American film actor, noted as a romantic lead. Frankly, my dear, he didn’t give a damn.","sets":"Basic Set, Party Set"},</v>
      </c>
    </row>
    <row r="154">
      <c r="A154" s="8" t="str">
        <f>IFERROR(__xludf.DUMMYFUNCTION("""COMPUTED_VALUE"""),"Claude Monet")</f>
        <v>Claude Monet</v>
      </c>
      <c r="B154" s="8" t="str">
        <f>IFERROR(__xludf.DUMMYFUNCTION("""COMPUTED_VALUE"""),"1840-1926, French painter, regarded as one of the leaders on the impressionist movement.")</f>
        <v>1840-1926, French painter, regarded as one of the leaders on the impressionist movement.</v>
      </c>
      <c r="C154" s="13" t="str">
        <f>IFERROR(__xludf.DUMMYFUNCTION("""COMPUTED_VALUE"""),"""yxcb"":{""label"":""Claude Monet"",""extra"":""1840-1926, French painter, regarded as one of the leaders on the impressionist movement."",""sets"":""Basic Set, Party Set""},")</f>
        <v>"yxcb":{"label":"Claude Monet","extra":"1840-1926, French painter, regarded as one of the leaders on the impressionist movement.","sets":"Basic Set, Party Set"},</v>
      </c>
    </row>
    <row r="155">
      <c r="A155" s="8" t="str">
        <f>IFERROR(__xludf.DUMMYFUNCTION("""COMPUTED_VALUE"""),"Cleaning The Bathroom")</f>
        <v>Cleaning The Bathroom</v>
      </c>
      <c r="B155" s="8" t="str">
        <f>IFERROR(__xludf.DUMMYFUNCTION("""COMPUTED_VALUE"""),"It's YOUR turn!")</f>
        <v>It's YOUR turn!</v>
      </c>
      <c r="C155" s="13" t="str">
        <f>IFERROR(__xludf.DUMMYFUNCTION("""COMPUTED_VALUE"""),"""zhmv"":{""label"":""Cleaning The Bathroom"",""extra"":""It's YOUR turn!"",""sets"":""Expansion Set 2, Party Set""},")</f>
        <v>"zhmv":{"label":"Cleaning The Bathroom","extra":"It's YOUR turn!","sets":"Expansion Set 2, Party Set"},</v>
      </c>
    </row>
    <row r="156">
      <c r="A156" s="8" t="str">
        <f>IFERROR(__xludf.DUMMYFUNCTION("""COMPUTED_VALUE"""),"Cleopatra")</f>
        <v>Cleopatra</v>
      </c>
      <c r="B156" s="8" t="str">
        <f>IFERROR(__xludf.DUMMYFUNCTION("""COMPUTED_VALUE"""),"c. 69-30 BC, Queen of Egypt, noted for love affairs with Julius Caesar and Mark Antony, which came back to bite her in the asp.")</f>
        <v>c. 69-30 BC, Queen of Egypt, noted for love affairs with Julius Caesar and Mark Antony, which came back to bite her in the asp.</v>
      </c>
      <c r="C156" s="13" t="str">
        <f>IFERROR(__xludf.DUMMYFUNCTION("""COMPUTED_VALUE"""),"""bnmh"":{""label"":""Cleopatra"",""extra"":""c. 69-30 BC, Queen of Egypt, noted for love affairs with Julius Caesar and Mark Antony, which came back to bite her in the asp."",""sets"":""Basic Set, Party Set""},")</f>
        <v>"bnmh":{"label":"Cleopatra","extra":"c. 69-30 BC, Queen of Egypt, noted for love affairs with Julius Caesar and Mark Antony, which came back to bite her in the asp.","sets":"Basic Set, Party Set"},</v>
      </c>
    </row>
    <row r="157">
      <c r="A157" s="8" t="str">
        <f>IFERROR(__xludf.DUMMYFUNCTION("""COMPUTED_VALUE"""),"Clint Eastwood")</f>
        <v>Clint Eastwood</v>
      </c>
      <c r="B157" s="8" t="str">
        <f>IFERROR(__xludf.DUMMYFUNCTION("""COMPUTED_VALUE"""),"1930-, American film actor and director, past mayor of Carmel, California. Has earned fistfuls of dollars.")</f>
        <v>1930-, American film actor and director, past mayor of Carmel, California. Has earned fistfuls of dollars.</v>
      </c>
      <c r="C157" s="13" t="str">
        <f>IFERROR(__xludf.DUMMYFUNCTION("""COMPUTED_VALUE"""),"""fzyx"":{""label"":""Clint Eastwood"",""extra"":""1930-, American film actor and director, past mayor of Carmel, California. Has earned fistfuls of dollars."",""sets"":""Basic Set, Party Set""},")</f>
        <v>"fzyx":{"label":"Clint Eastwood","extra":"1930-, American film actor and director, past mayor of Carmel, California. Has earned fistfuls of dollars.","sets":"Basic Set, Party Set"},</v>
      </c>
    </row>
    <row r="158">
      <c r="A158" s="8" t="str">
        <f>IFERROR(__xludf.DUMMYFUNCTION("""COMPUTED_VALUE"""),"Clowns")</f>
        <v>Clowns</v>
      </c>
      <c r="B158" s="8" t="str">
        <f>IFERROR(__xludf.DUMMYFUNCTION("""COMPUTED_VALUE"""),"They would be really funny if they weren’t so darn scary.")</f>
        <v>They would be really funny if they weren’t so darn scary.</v>
      </c>
      <c r="C158" s="13" t="str">
        <f>IFERROR(__xludf.DUMMYFUNCTION("""COMPUTED_VALUE"""),"""uvlp"":{""label"":""Clowns"",""extra"":""They would be really funny if they weren’t so darn scary."",""sets"":""Expansion Set 1, Party Set""},")</f>
        <v>"uvlp":{"label":"Clowns","extra":"They would be really funny if they weren’t so darn scary.","sets":"Expansion Set 1, Party Set"},</v>
      </c>
    </row>
    <row r="159">
      <c r="A159" s="8" t="str">
        <f>IFERROR(__xludf.DUMMYFUNCTION("""COMPUTED_VALUE"""),"Cocaine")</f>
        <v>Cocaine</v>
      </c>
      <c r="B159" s="8" t="str">
        <f>IFERROR(__xludf.DUMMYFUNCTION("""COMPUTED_VALUE"""),"Alkaloid obtained from leaves of the coca plant and used as a local anesthetic and abused as a drug.")</f>
        <v>Alkaloid obtained from leaves of the coca plant and used as a local anesthetic and abused as a drug.</v>
      </c>
      <c r="C159" s="13" t="str">
        <f>IFERROR(__xludf.DUMMYFUNCTION("""COMPUTED_VALUE"""),"""opzp"":{""label"":""Cocaine"",""extra"":""Alkaloid obtained from leaves of the coca plant and used as a local anesthetic and abused as a drug."",""sets"":""Basic Set, Party Set""},")</f>
        <v>"opzp":{"label":"Cocaine","extra":"Alkaloid obtained from leaves of the coca plant and used as a local anesthetic and abused as a drug.","sets":"Basic Set, Party Set"},</v>
      </c>
    </row>
    <row r="160">
      <c r="A160" s="8" t="str">
        <f>IFERROR(__xludf.DUMMYFUNCTION("""COMPUTED_VALUE"""),"Cockroaches")</f>
        <v>Cockroaches</v>
      </c>
      <c r="B160" s="8" t="str">
        <f>IFERROR(__xludf.DUMMYFUNCTION("""COMPUTED_VALUE"""),"Annoying insects that can survive a nuclear war. Fortunately, they can't survive the heel of your shoe.")</f>
        <v>Annoying insects that can survive a nuclear war. Fortunately, they can't survive the heel of your shoe.</v>
      </c>
      <c r="C160" s="13" t="str">
        <f>IFERROR(__xludf.DUMMYFUNCTION("""COMPUTED_VALUE"""),"""tmkc"":{""label"":""Cockroaches"",""extra"":""Annoying insects that can survive a nuclear war. Fortunately, they can't survive the heel of your shoe."",""sets"":""Basic Set, Party Set""},")</f>
        <v>"tmkc":{"label":"Cockroaches","extra":"Annoying insects that can survive a nuclear war. Fortunately, they can't survive the heel of your shoe.","sets":"Basic Set, Party Set"},</v>
      </c>
    </row>
    <row r="161">
      <c r="A161" s="8" t="str">
        <f>IFERROR(__xludf.DUMMYFUNCTION("""COMPUTED_VALUE"""),"Coconuts")</f>
        <v>Coconuts</v>
      </c>
      <c r="B161" s="8" t="str">
        <f>IFERROR(__xludf.DUMMYFUNCTION("""COMPUTED_VALUE"""),"“Put the lime in the coconut, and drank them both up.” —Harry Nillson")</f>
        <v>“Put the lime in the coconut, and drank them both up.” —Harry Nillson</v>
      </c>
      <c r="C161" s="13" t="str">
        <f>IFERROR(__xludf.DUMMYFUNCTION("""COMPUTED_VALUE"""),"""ygmu"":{""label"":""Coconuts"",""extra"":""“Put the lime in the coconut, and drank them both up.” —Harry Nillson"",""sets"":""Expansion Set 2, Party Set""},")</f>
        <v>"ygmu":{"label":"Coconuts","extra":"“Put the lime in the coconut, and drank them both up.” —Harry Nillson","sets":"Expansion Set 2, Party Set"},</v>
      </c>
    </row>
    <row r="162">
      <c r="A162" s="8" t="str">
        <f>IFERROR(__xludf.DUMMYFUNCTION("""COMPUTED_VALUE"""),"Cold Pizza")</f>
        <v>Cold Pizza</v>
      </c>
      <c r="B162" s="8" t="str">
        <f>IFERROR(__xludf.DUMMYFUNCTION("""COMPUTED_VALUE"""),"The breakfast of champions.")</f>
        <v>The breakfast of champions.</v>
      </c>
      <c r="C162" s="13" t="str">
        <f>IFERROR(__xludf.DUMMYFUNCTION("""COMPUTED_VALUE"""),"""bcse"":{""label"":""Cold Pizza"",""extra"":""The breakfast of champions."",""sets"":""Expansion Set 1, Party Set""},")</f>
        <v>"bcse":{"label":"Cold Pizza","extra":"The breakfast of champions.","sets":"Expansion Set 1, Party Set"},</v>
      </c>
    </row>
    <row r="163">
      <c r="A163" s="8" t="str">
        <f>IFERROR(__xludf.DUMMYFUNCTION("""COMPUTED_VALUE"""),"Communists")</f>
        <v>Communists</v>
      </c>
      <c r="B163" s="8" t="str">
        <f>IFERROR(__xludf.DUMMYFUNCTION("""COMPUTED_VALUE"""),"“From each, according to their ability, to each according to their need.” I need a new Ferrari.")</f>
        <v>“From each, according to their ability, to each according to their need.” I need a new Ferrari.</v>
      </c>
      <c r="C163" s="13" t="str">
        <f>IFERROR(__xludf.DUMMYFUNCTION("""COMPUTED_VALUE"""),"""otel"":{""label"":""Communists"",""extra"":""“From each, according to their ability, to each according to their need.” I need a new Ferrari."",""sets"":""Basic Set, Party Set""},")</f>
        <v>"otel":{"label":"Communists","extra":"“From each, according to their ability, to each according to their need.” I need a new Ferrari.","sets":"Basic Set, Party Set"},</v>
      </c>
    </row>
    <row r="164">
      <c r="A164" s="8" t="str">
        <f>IFERROR(__xludf.DUMMYFUNCTION("""COMPUTED_VALUE"""),"Commuting")</f>
        <v>Commuting</v>
      </c>
      <c r="B164" s="8" t="str">
        <f>IFERROR(__xludf.DUMMYFUNCTION("""COMPUTED_VALUE"""),"The daily grind. And we’re not talking coffee.")</f>
        <v>The daily grind. And we’re not talking coffee.</v>
      </c>
      <c r="C164" s="13" t="str">
        <f>IFERROR(__xludf.DUMMYFUNCTION("""COMPUTED_VALUE"""),"""vkab"":{""label"":""Commuting"",""extra"":""The daily grind. And we’re not talking coffee."",""sets"":""Basic Set, Party Set""},")</f>
        <v>"vkab":{"label":"Commuting","extra":"The daily grind. And we’re not talking coffee.","sets":"Basic Set, Party Set"},</v>
      </c>
    </row>
    <row r="165">
      <c r="A165" s="8" t="str">
        <f>IFERROR(__xludf.DUMMYFUNCTION("""COMPUTED_VALUE"""),"Computer Hackers")</f>
        <v>Computer Hackers</v>
      </c>
      <c r="B165" s="8" t="str">
        <f>IFERROR(__xludf.DUMMYFUNCTION("""COMPUTED_VALUE"""),"We didn’t mean to shut down the entire government…")</f>
        <v>We didn’t mean to shut down the entire government…</v>
      </c>
      <c r="C165" s="13" t="str">
        <f>IFERROR(__xludf.DUMMYFUNCTION("""COMPUTED_VALUE"""),"""rldr"":{""label"":""Computer Hackers"",""extra"":""We didn’t mean to shut down the entire government…"",""sets"":""Expansion Set 2, Party Set""},")</f>
        <v>"rldr":{"label":"Computer Hackers","extra":"We didn’t mean to shut down the entire government…","sets":"Expansion Set 2, Party Set"},</v>
      </c>
    </row>
    <row r="166">
      <c r="A166" s="8" t="str">
        <f>IFERROR(__xludf.DUMMYFUNCTION("""COMPUTED_VALUE"""),"Computers")</f>
        <v>Computers</v>
      </c>
      <c r="B166" s="8" t="str">
        <f>IFERROR(__xludf.DUMMYFUNCTION("""COMPUTED_VALUE"""),"British mathematician Charles Babbage worked out the principles of the modern digital computer in the late 1800s.")</f>
        <v>British mathematician Charles Babbage worked out the principles of the modern digital computer in the late 1800s.</v>
      </c>
      <c r="C166" s="13" t="str">
        <f>IFERROR(__xludf.DUMMYFUNCTION("""COMPUTED_VALUE"""),"""qhrg"":{""label"":""Computers"",""extra"":""British mathematician Charles Babbage worked out the principles of the modern digital computer in the late 1800s."",""sets"":""Basic Set, Party Set""},")</f>
        <v>"qhrg":{"label":"Computers","extra":"British mathematician Charles Babbage worked out the principles of the modern digital computer in the late 1800s.","sets":"Basic Set, Party Set"},</v>
      </c>
    </row>
    <row r="167">
      <c r="A167" s="8" t="str">
        <f>IFERROR(__xludf.DUMMYFUNCTION("""COMPUTED_VALUE"""),"Confucius")</f>
        <v>Confucius</v>
      </c>
      <c r="B167" s="8" t="str">
        <f>IFERROR(__xludf.DUMMYFUNCTION("""COMPUTED_VALUE"""),"c. 551-479 BC, K’ung Fu-Tzu, Chinese philosopher and one of the most influential figures in Chinese history.")</f>
        <v>c. 551-479 BC, K’ung Fu-Tzu, Chinese philosopher and one of the most influential figures in Chinese history.</v>
      </c>
      <c r="C167" s="13" t="str">
        <f>IFERROR(__xludf.DUMMYFUNCTION("""COMPUTED_VALUE"""),"""objc"":{""label"":""Confucius"",""extra"":""c. 551-479 BC, K’ung Fu-Tzu, Chinese philosopher and one of the most influential figures in Chinese history."",""sets"":""Basic Set, Party Set""},")</f>
        <v>"objc":{"label":"Confucius","extra":"c. 551-479 BC, K’ung Fu-Tzu, Chinese philosopher and one of the most influential figures in Chinese history.","sets":"Basic Set, Party Set"},</v>
      </c>
    </row>
    <row r="168">
      <c r="A168" s="8" t="str">
        <f>IFERROR(__xludf.DUMMYFUNCTION("""COMPUTED_VALUE"""),"Conspiracy Theories")</f>
        <v>Conspiracy Theories</v>
      </c>
      <c r="B168" s="8" t="str">
        <f>IFERROR(__xludf.DUMMYFUNCTION("""COMPUTED_VALUE"""),"Oh, that was just a coincidence!")</f>
        <v>Oh, that was just a coincidence!</v>
      </c>
      <c r="C168" s="13" t="str">
        <f>IFERROR(__xludf.DUMMYFUNCTION("""COMPUTED_VALUE"""),"""cxcp"":{""label"":""Conspiracy Theories"",""extra"":""Oh, that was just a coincidence!"",""sets"":""Expansion Set 1, Party Set""},")</f>
        <v>"cxcp":{"label":"Conspiracy Theories","extra":"Oh, that was just a coincidence!","sets":"Expansion Set 1, Party Set"},</v>
      </c>
    </row>
    <row r="169">
      <c r="A169" s="8" t="str">
        <f>IFERROR(__xludf.DUMMYFUNCTION("""COMPUTED_VALUE"""),"Construction Workers")</f>
        <v>Construction Workers</v>
      </c>
      <c r="B169" s="8" t="str">
        <f>IFERROR(__xludf.DUMMYFUNCTION("""COMPUTED_VALUE"""),"Hard hats—hard bodies.")</f>
        <v>Hard hats—hard bodies.</v>
      </c>
      <c r="C169" s="13" t="str">
        <f>IFERROR(__xludf.DUMMYFUNCTION("""COMPUTED_VALUE"""),"""uvwq"":{""label"":""Construction Workers"",""extra"":""Hard hats—hard bodies."",""sets"":""Expansion Set 1, Party Set""},")</f>
        <v>"uvwq":{"label":"Construction Workers","extra":"Hard hats—hard bodies.","sets":"Expansion Set 1, Party Set"},</v>
      </c>
    </row>
    <row r="170">
      <c r="A170" s="8" t="str">
        <f>IFERROR(__xludf.DUMMYFUNCTION("""COMPUTED_VALUE"""),"Corn On The Cob")</f>
        <v>Corn On The Cob</v>
      </c>
      <c r="B170" s="8" t="str">
        <f>IFERROR(__xludf.DUMMYFUNCTION("""COMPUTED_VALUE"""),"A grain native to the Americas, corn was a staple food for many centuries before corn holders were invented.")</f>
        <v>A grain native to the Americas, corn was a staple food for many centuries before corn holders were invented.</v>
      </c>
      <c r="C170" s="13" t="str">
        <f>IFERROR(__xludf.DUMMYFUNCTION("""COMPUTED_VALUE"""),"""tqkv"":{""label"":""Corn On The Cob"",""extra"":""A grain native to the Americas, corn was a staple food for many centuries before corn holders were invented."",""sets"":""Basic Set, Party Set""},")</f>
        <v>"tqkv":{"label":"Corn On The Cob","extra":"A grain native to the Americas, corn was a staple food for many centuries before corn holders were invented.","sets":"Basic Set, Party Set"},</v>
      </c>
    </row>
    <row r="171">
      <c r="A171" s="8" t="str">
        <f>IFERROR(__xludf.DUMMYFUNCTION("""COMPUTED_VALUE"""),"Corvettes")</f>
        <v>Corvettes</v>
      </c>
      <c r="B171" s="8" t="str">
        <f>IFERROR(__xludf.DUMMYFUNCTION("""COMPUTED_VALUE"""),"In 1953, Chevrolet introduced the Corverre, the first mass-produced sports car with a fiberglass body. The perfect cure for a midlife crisis.")</f>
        <v>In 1953, Chevrolet introduced the Corverre, the first mass-produced sports car with a fiberglass body. The perfect cure for a midlife crisis.</v>
      </c>
      <c r="C171" s="13" t="str">
        <f>IFERROR(__xludf.DUMMYFUNCTION("""COMPUTED_VALUE"""),"""fqgi"":{""label"":""Corvettes"",""extra"":""In 1953, Chevrolet introduced the Corverre, the first mass-produced sports car with a fiberglass body. The perfect cure for a midlife crisis."",""sets"":""Expansion Set 1, Party Set""},")</f>
        <v>"fqgi":{"label":"Corvettes","extra":"In 1953, Chevrolet introduced the Corverre, the first mass-produced sports car with a fiberglass body. The perfect cure for a midlife crisis.","sets":"Expansion Set 1, Party Set"},</v>
      </c>
    </row>
    <row r="172">
      <c r="A172" s="8" t="str">
        <f>IFERROR(__xludf.DUMMYFUNCTION("""COMPUTED_VALUE"""),"Count Dracula")</f>
        <v>Count Dracula</v>
      </c>
      <c r="B172" s="8" t="str">
        <f>IFERROR(__xludf.DUMMYFUNCTION("""COMPUTED_VALUE"""),"“I vant to suck your blood!”")</f>
        <v>“I vant to suck your blood!”</v>
      </c>
      <c r="C172" s="13" t="str">
        <f>IFERROR(__xludf.DUMMYFUNCTION("""COMPUTED_VALUE"""),"""toqz"":{""label"":""Count Dracula"",""extra"":""“I vant to suck your blood!”"",""sets"":""Expansion Set 1, Party Set""},")</f>
        <v>"toqz":{"label":"Count Dracula","extra":"“I vant to suck your blood!”","sets":"Expansion Set 1, Party Set"},</v>
      </c>
    </row>
    <row r="173">
      <c r="A173" s="8" t="str">
        <f>IFERROR(__xludf.DUMMYFUNCTION("""COMPUTED_VALUE"""),"Country Music")</f>
        <v>Country Music</v>
      </c>
      <c r="B173" s="8" t="str">
        <f>IFERROR(__xludf.DUMMYFUNCTION("""COMPUTED_VALUE"""),"Encompassing styles such as western swing, honky-tonk, bluegrass and rockabilly. Should mention a pickup truck and a dog named “Bo.”")</f>
        <v>Encompassing styles such as western swing, honky-tonk, bluegrass and rockabilly. Should mention a pickup truck and a dog named “Bo.”</v>
      </c>
      <c r="C173" s="13" t="str">
        <f>IFERROR(__xludf.DUMMYFUNCTION("""COMPUTED_VALUE"""),"""bzcd"":{""label"":""Country Music"",""extra"":""Encompassing styles such as western swing, honky-tonk, bluegrass and rockabilly. Should mention a pickup truck and a dog named “Bo.”"",""sets"":""Expansion Set 2, Party Set""},")</f>
        <v>"bzcd":{"label":"Country Music","extra":"Encompassing styles such as western swing, honky-tonk, bluegrass and rockabilly. Should mention a pickup truck and a dog named “Bo.”","sets":"Expansion Set 2, Party Set"},</v>
      </c>
    </row>
    <row r="174">
      <c r="A174" s="8" t="str">
        <f>IFERROR(__xludf.DUMMYFUNCTION("""COMPUTED_VALUE"""),"Cow-Pies")</f>
        <v>Cow-Pies</v>
      </c>
      <c r="B174" s="8" t="str">
        <f>IFERROR(__xludf.DUMMYFUNCTION("""COMPUTED_VALUE"""),"When dried, these “cow chips” are hurled discus-like over great distances. It's true.")</f>
        <v>When dried, these “cow chips” are hurled discus-like over great distances. It's true.</v>
      </c>
      <c r="C174" s="13" t="str">
        <f>IFERROR(__xludf.DUMMYFUNCTION("""COMPUTED_VALUE"""),"""lkwy"":{""label"":""Cow-Pies"",""extra"":""When dried, these “cow chips” are hurled discus-like over great distances. It's true."",""sets"":""Basic Set, Party Set""},")</f>
        <v>"lkwy":{"label":"Cow-Pies","extra":"When dried, these “cow chips” are hurled discus-like over great distances. It's true.","sets":"Basic Set, Party Set"},</v>
      </c>
    </row>
    <row r="175">
      <c r="A175" s="8" t="str">
        <f>IFERROR(__xludf.DUMMYFUNCTION("""COMPUTED_VALUE"""),"Crazy Horse")</f>
        <v>Crazy Horse</v>
      </c>
      <c r="B175" s="8" t="str">
        <f>IFERROR(__xludf.DUMMYFUNCTION("""COMPUTED_VALUE"""),"1849?-77, chief of the Oglala Sioux. A leader in the Native American resistance to the westward expansion on the United States.")</f>
        <v>1849?-77, chief of the Oglala Sioux. A leader in the Native American resistance to the westward expansion on the United States.</v>
      </c>
      <c r="C175" s="13" t="str">
        <f>IFERROR(__xludf.DUMMYFUNCTION("""COMPUTED_VALUE"""),"""lnsv"":{""label"":""Crazy Horse"",""extra"":""1849?-77, chief of the Oglala Sioux. A leader in the Native American resistance to the westward expansion on the United States."",""sets"":""Expansion Set 1, Party Set""},")</f>
        <v>"lnsv":{"label":"Crazy Horse","extra":"1849?-77, chief of the Oglala Sioux. A leader in the Native American resistance to the westward expansion on the United States.","sets":"Expansion Set 1, Party Set"},</v>
      </c>
    </row>
    <row r="176">
      <c r="A176" s="8" t="str">
        <f>IFERROR(__xludf.DUMMYFUNCTION("""COMPUTED_VALUE"""),"Creamed Corn")</f>
        <v>Creamed Corn</v>
      </c>
      <c r="B176" s="8" t="str">
        <f>IFERROR(__xludf.DUMMYFUNCTION("""COMPUTED_VALUE"""),"Eat it, it’s good for you.")</f>
        <v>Eat it, it’s good for you.</v>
      </c>
      <c r="C176" s="13" t="str">
        <f>IFERROR(__xludf.DUMMYFUNCTION("""COMPUTED_VALUE"""),"""fpll"":{""label"":""Creamed Corn"",""extra"":""Eat it, it’s good for you."",""sets"":""Expansion Set 1, Party Set""},")</f>
        <v>"fpll":{"label":"Creamed Corn","extra":"Eat it, it’s good for you.","sets":"Expansion Set 1, Party Set"},</v>
      </c>
    </row>
    <row r="177">
      <c r="A177" s="8" t="str">
        <f>IFERROR(__xludf.DUMMYFUNCTION("""COMPUTED_VALUE"""),"Crystal Balls")</f>
        <v>Crystal Balls</v>
      </c>
      <c r="B177" s="8" t="str">
        <f>IFERROR(__xludf.DUMMYFUNCTION("""COMPUTED_VALUE"""),"I see a Green Apple card in your future.")</f>
        <v>I see a Green Apple card in your future.</v>
      </c>
      <c r="C177" s="13" t="str">
        <f>IFERROR(__xludf.DUMMYFUNCTION("""COMPUTED_VALUE"""),"""ctvl"":{""label"":""Crystal Balls"",""extra"":""I see a Green Apple card in your future."",""sets"":""Expansion Set 2, Party Set""},")</f>
        <v>"ctvl":{"label":"Crystal Balls","extra":"I see a Green Apple card in your future.","sets":"Expansion Set 2, Party Set"},</v>
      </c>
    </row>
    <row r="178">
      <c r="A178" s="8" t="str">
        <f>IFERROR(__xludf.DUMMYFUNCTION("""COMPUTED_VALUE"""),"Cuba")</f>
        <v>Cuba</v>
      </c>
      <c r="B178" s="8" t="str">
        <f>IFERROR(__xludf.DUMMYFUNCTION("""COMPUTED_VALUE"""),"Island republic in the Caribbean, just south of Florida. Beans and rice never tasted so good.")</f>
        <v>Island republic in the Caribbean, just south of Florida. Beans and rice never tasted so good.</v>
      </c>
      <c r="C178" s="13" t="str">
        <f>IFERROR(__xludf.DUMMYFUNCTION("""COMPUTED_VALUE"""),"""fxvf"":{""label"":""Cuba"",""extra"":""Island republic in the Caribbean, just south of Florida. Beans and rice never tasted so good."",""sets"":""Expansion Set 2, Party Set""},")</f>
        <v>"fxvf":{"label":"Cuba","extra":"Island republic in the Caribbean, just south of Florida. Beans and rice never tasted so good.","sets":"Expansion Set 2, Party Set"},</v>
      </c>
    </row>
    <row r="179">
      <c r="A179" s="8" t="str">
        <f>IFERROR(__xludf.DUMMYFUNCTION("""COMPUTED_VALUE"""),"Cults")</f>
        <v>Cults</v>
      </c>
      <c r="B179" s="8" t="str">
        <f>IFERROR(__xludf.DUMMYFUNCTION("""COMPUTED_VALUE"""),"They seemed nice…")</f>
        <v>They seemed nice…</v>
      </c>
      <c r="C179" s="13" t="str">
        <f>IFERROR(__xludf.DUMMYFUNCTION("""COMPUTED_VALUE"""),"""pvzd"":{""label"":""Cults"",""extra"":""They seemed nice…"",""sets"":""Expansion Set 1, Party Set""},")</f>
        <v>"pvzd":{"label":"Cults","extra":"They seemed nice…","sets":"Expansion Set 1, Party Set"},</v>
      </c>
    </row>
    <row r="180">
      <c r="A180" s="8" t="str">
        <f>IFERROR(__xludf.DUMMYFUNCTION("""COMPUTED_VALUE"""),"Custer's Last Stand")</f>
        <v>Custer's Last Stand</v>
      </c>
      <c r="B180" s="8" t="str">
        <f>IFERROR(__xludf.DUMMYFUNCTION("""COMPUTED_VALUE"""),"1866, Little Big Horn. Very big mistake.")</f>
        <v>1866, Little Big Horn. Very big mistake.</v>
      </c>
      <c r="C180" s="13" t="str">
        <f>IFERROR(__xludf.DUMMYFUNCTION("""COMPUTED_VALUE"""),"""okze"":{""label"":""Custer's Last Stand"",""extra"":""1866, Little Big Horn. Very big mistake."",""sets"":""Basic Set, Party Set""},")</f>
        <v>"okze":{"label":"Custer's Last Stand","extra":"1866, Little Big Horn. Very big mistake.","sets":"Basic Set, Party Set"},</v>
      </c>
    </row>
    <row r="181">
      <c r="A181" s="8" t="str">
        <f>IFERROR(__xludf.DUMMYFUNCTION("""COMPUTED_VALUE"""),"Dandruff")</f>
        <v>Dandruff</v>
      </c>
      <c r="B181" s="8" t="str">
        <f>IFERROR(__xludf.DUMMYFUNCTION("""COMPUTED_VALUE"""),"Dry skin on your scalp? Sounds a bit flaky.")</f>
        <v>Dry skin on your scalp? Sounds a bit flaky.</v>
      </c>
      <c r="C181" s="13" t="str">
        <f>IFERROR(__xludf.DUMMYFUNCTION("""COMPUTED_VALUE"""),"""znoz"":{""label"":""Dandruff"",""extra"":""Dry skin on your scalp? Sounds a bit flaky."",""sets"":""Basic Set, Party Set""},")</f>
        <v>"znoz":{"label":"Dandruff","extra":"Dry skin on your scalp? Sounds a bit flaky.","sets":"Basic Set, Party Set"},</v>
      </c>
    </row>
    <row r="182">
      <c r="A182" s="8" t="str">
        <f>IFERROR(__xludf.DUMMYFUNCTION("""COMPUTED_VALUE"""),"Danielle Steel")</f>
        <v>Danielle Steel</v>
      </c>
      <c r="B182" s="8" t="str">
        <f>IFERROR(__xludf.DUMMYFUNCTION("""COMPUTED_VALUE"""),"1947-, Prolific romance novelist. “Suddenly, Stephanie spotted Lance on the beach…”")</f>
        <v>1947-, Prolific romance novelist. “Suddenly, Stephanie spotted Lance on the beach…”</v>
      </c>
      <c r="C182" s="13" t="str">
        <f>IFERROR(__xludf.DUMMYFUNCTION("""COMPUTED_VALUE"""),"""xwdm"":{""label"":""Danielle Steel"",""extra"":""1947-, Prolific romance novelist. “Suddenly, Stephanie spotted Lance on the beach…”"",""sets"":""Expansion Set 1, Party Set""},")</f>
        <v>"xwdm":{"label":"Danielle Steel","extra":"1947-, Prolific romance novelist. “Suddenly, Stephanie spotted Lance on the beach…”","sets":"Expansion Set 1, Party Set"},</v>
      </c>
    </row>
    <row r="183">
      <c r="A183" s="8" t="str">
        <f>IFERROR(__xludf.DUMMYFUNCTION("""COMPUTED_VALUE"""),"Danny DeVito")</f>
        <v>Danny DeVito</v>
      </c>
      <c r="B183" s="8" t="str">
        <f>IFERROR(__xludf.DUMMYFUNCTION("""COMPUTED_VALUE"""),"1944-, American television, motion-picture actor, and director. Star of “Taxi”, “Romancing The Stone”, “Twins”, and “Get Shorty.”")</f>
        <v>1944-, American television, motion-picture actor, and director. Star of “Taxi”, “Romancing The Stone”, “Twins”, and “Get Shorty.”</v>
      </c>
      <c r="C183" s="13" t="str">
        <f>IFERROR(__xludf.DUMMYFUNCTION("""COMPUTED_VALUE"""),"""xigk"":{""label"":""Danny DeVito"",""extra"":""1944-, American television, motion-picture actor, and director. Star of “Taxi”, “Romancing The Stone”, “Twins”, and “Get Shorty.”"",""sets"":""Expansion Set 2, Party Set""},")</f>
        <v>"xigk":{"label":"Danny DeVito","extra":"1944-, American television, motion-picture actor, and director. Star of “Taxi”, “Romancing The Stone”, “Twins”, and “Get Shorty.”","sets":"Expansion Set 2, Party Set"},</v>
      </c>
    </row>
    <row r="184">
      <c r="A184" s="8" t="str">
        <f>IFERROR(__xludf.DUMMYFUNCTION("""COMPUTED_VALUE"""),"Dark Alleys")</f>
        <v>Dark Alleys</v>
      </c>
      <c r="B184" s="8" t="str">
        <f>IFERROR(__xludf.DUMMYFUNCTION("""COMPUTED_VALUE"""),"Don’t go there!")</f>
        <v>Don’t go there!</v>
      </c>
      <c r="C184" s="13" t="str">
        <f>IFERROR(__xludf.DUMMYFUNCTION("""COMPUTED_VALUE"""),"""vjkw"":{""label"":""Dark Alleys"",""extra"":""Don’t go there!"",""sets"":""Expansion Set 1, Party Set""},")</f>
        <v>"vjkw":{"label":"Dark Alleys","extra":"Don’t go there!","sets":"Expansion Set 1, Party Set"},</v>
      </c>
    </row>
    <row r="185">
      <c r="A185" s="8" t="str">
        <f>IFERROR(__xludf.DUMMYFUNCTION("""COMPUTED_VALUE"""),"Darth Vader")</f>
        <v>Darth Vader</v>
      </c>
      <c r="B185" s="8" t="str">
        <f>IFERROR(__xludf.DUMMYFUNCTION("""COMPUTED_VALUE"""),"“Luke… (wheeze).. I am… (wheeze)… your father… and you don’t write, you don’t call… NOTHING.”")</f>
        <v>“Luke… (wheeze).. I am… (wheeze)… your father… and you don’t write, you don’t call… NOTHING.”</v>
      </c>
      <c r="C185" s="13" t="str">
        <f>IFERROR(__xludf.DUMMYFUNCTION("""COMPUTED_VALUE"""),"""kxcw"":{""label"":""Darth Vader"",""extra"":""“Luke… (wheeze).. I am… (wheeze)… your father… and you don’t write, you don’t call… NOTHING.”"",""sets"":""Expansion Set 1, Party Set""},")</f>
        <v>"kxcw":{"label":"Darth Vader","extra":"“Luke… (wheeze).. I am… (wheeze)… your father… and you don’t write, you don’t call… NOTHING.”","sets":"Expansion Set 1, Party Set"},</v>
      </c>
    </row>
    <row r="186">
      <c r="A186" s="8" t="str">
        <f>IFERROR(__xludf.DUMMYFUNCTION("""COMPUTED_VALUE"""),"Dating")</f>
        <v>Dating</v>
      </c>
      <c r="B186" s="8" t="str">
        <f>IFERROR(__xludf.DUMMYFUNCTION("""COMPUTED_VALUE"""),"First stage of the human mating ritual.")</f>
        <v>First stage of the human mating ritual.</v>
      </c>
      <c r="C186" s="13" t="str">
        <f>IFERROR(__xludf.DUMMYFUNCTION("""COMPUTED_VALUE"""),"""xlix"":{""label"":""Dating"",""extra"":""First stage of the human mating ritual."",""sets"":""Expansion Set 2, Party Set""},")</f>
        <v>"xlix":{"label":"Dating","extra":"First stage of the human mating ritual.","sets":"Expansion Set 2, Party Set"},</v>
      </c>
    </row>
    <row r="187">
      <c r="A187" s="8" t="str">
        <f>IFERROR(__xludf.DUMMYFUNCTION("""COMPUTED_VALUE"""),"David Letterman")</f>
        <v>David Letterman</v>
      </c>
      <c r="B187" s="8" t="str">
        <f>IFERROR(__xludf.DUMMYFUNCTION("""COMPUTED_VALUE"""),"1947-, American television entertainer and talk-show host. And… the Number One reason to watch him (drum roll, please): TOP TEN LISTS!")</f>
        <v>1947-, American television entertainer and talk-show host. And… the Number One reason to watch him (drum roll, please): TOP TEN LISTS!</v>
      </c>
      <c r="C187" s="13" t="str">
        <f>IFERROR(__xludf.DUMMYFUNCTION("""COMPUTED_VALUE"""),"""qyxw"":{""label"":""David Letterman"",""extra"":""1947-, American television entertainer and talk-show host. And… the Number One reason to watch him (drum roll, please): TOP TEN LISTS!"",""sets"":""Expansion Set 1, Party Set""},")</f>
        <v>"qyxw":{"label":"David Letterman","extra":"1947-, American television entertainer and talk-show host. And… the Number One reason to watch him (drum roll, please): TOP TEN LISTS!","sets":"Expansion Set 1, Party Set"},</v>
      </c>
    </row>
    <row r="188">
      <c r="A188" s="8" t="str">
        <f>IFERROR(__xludf.DUMMYFUNCTION("""COMPUTED_VALUE"""),"Daytime TV")</f>
        <v>Daytime TV</v>
      </c>
      <c r="B188" s="8" t="str">
        <f>IFERROR(__xludf.DUMMYFUNCTION("""COMPUTED_VALUE"""),"Soap operas, game shows, talk shows and reruns… is this a great country or what?")</f>
        <v>Soap operas, game shows, talk shows and reruns… is this a great country or what?</v>
      </c>
      <c r="C188" s="13" t="str">
        <f>IFERROR(__xludf.DUMMYFUNCTION("""COMPUTED_VALUE"""),"""bdry"":{""label"":""Daytime TV"",""extra"":""Soap operas, game shows, talk shows and reruns… is this a great country or what?"",""sets"":""Expansion Set 2, Party Set""},")</f>
        <v>"bdry":{"label":"Daytime TV","extra":"Soap operas, game shows, talk shows and reruns… is this a great country or what?","sets":"Expansion Set 2, Party Set"},</v>
      </c>
    </row>
    <row r="189">
      <c r="A189" s="8" t="str">
        <f>IFERROR(__xludf.DUMMYFUNCTION("""COMPUTED_VALUE"""),"Death Valley")</f>
        <v>Death Valley</v>
      </c>
      <c r="B189" s="8" t="str">
        <f>IFERROR(__xludf.DUMMYFUNCTION("""COMPUTED_VALUE"""),"Arid, desolate and hellish region of California. Named by a survivor of an attempted 1849 crossing.")</f>
        <v>Arid, desolate and hellish region of California. Named by a survivor of an attempted 1849 crossing.</v>
      </c>
      <c r="C189" s="13" t="str">
        <f>IFERROR(__xludf.DUMMYFUNCTION("""COMPUTED_VALUE"""),"""vqvt"":{""label"":""Death Valley"",""extra"":""Arid, desolate and hellish region of California. Named by a survivor of an attempted 1849 crossing."",""sets"":""Expansion Set 1, Party Set""},")</f>
        <v>"vqvt":{"label":"Death Valley","extra":"Arid, desolate and hellish region of California. Named by a survivor of an attempted 1849 crossing.","sets":"Expansion Set 1, Party Set"},</v>
      </c>
    </row>
    <row r="190">
      <c r="A190" s="8" t="str">
        <f>IFERROR(__xludf.DUMMYFUNCTION("""COMPUTED_VALUE"""),"Deer Hunting")</f>
        <v>Deer Hunting</v>
      </c>
      <c r="B190" s="8" t="str">
        <f>IFERROR(__xludf.DUMMYFUNCTION("""COMPUTED_VALUE"""),"Nooo! Nooooo! Not BAMBI'S MOTHER!")</f>
        <v>Nooo! Nooooo! Not BAMBI'S MOTHER!</v>
      </c>
      <c r="C190" s="13" t="str">
        <f>IFERROR(__xludf.DUMMYFUNCTION("""COMPUTED_VALUE"""),"""xwcj"":{""label"":""Deer Hunting"",""extra"":""Nooo! Nooooo! Not BAMBI'S MOTHER!"",""sets"":""Expansion Set 1, Party Set""},")</f>
        <v>"xwcj":{"label":"Deer Hunting","extra":"Nooo! Nooooo! Not BAMBI'S MOTHER!","sets":"Expansion Set 1, Party Set"},</v>
      </c>
    </row>
    <row r="191">
      <c r="A191" s="8" t="str">
        <f>IFERROR(__xludf.DUMMYFUNCTION("""COMPUTED_VALUE"""),"Demi Moore")</f>
        <v>Demi Moore</v>
      </c>
      <c r="B191" s="8" t="str">
        <f>IFERROR(__xludf.DUMMYFUNCTION("""COMPUTED_VALUE"""),"1962-, American actor in St. Elmo's Fire, Ghost and GI Jane.")</f>
        <v>1962-, American actor in St. Elmo's Fire, Ghost and GI Jane.</v>
      </c>
      <c r="C191" s="13" t="str">
        <f>IFERROR(__xludf.DUMMYFUNCTION("""COMPUTED_VALUE"""),"""tsol"":{""label"":""Demi Moore"",""extra"":""1962-, American actor in St. Elmo's Fire, Ghost and GI Jane."",""sets"":""Expansion Set 1, Party Set""},")</f>
        <v>"tsol":{"label":"Demi Moore","extra":"1962-, American actor in St. Elmo's Fire, Ghost and GI Jane.","sets":"Expansion Set 1, Party Set"},</v>
      </c>
    </row>
    <row r="192">
      <c r="A192" s="8" t="str">
        <f>IFERROR(__xludf.DUMMYFUNCTION("""COMPUTED_VALUE"""),"Democrats")</f>
        <v>Democrats</v>
      </c>
      <c r="B192" s="8" t="str">
        <f>IFERROR(__xludf.DUMMYFUNCTION("""COMPUTED_VALUE"""),"Their symbol is the donkey, or ass. Insert your own joke here.")</f>
        <v>Their symbol is the donkey, or ass. Insert your own joke here.</v>
      </c>
      <c r="C192" s="13" t="str">
        <f>IFERROR(__xludf.DUMMYFUNCTION("""COMPUTED_VALUE"""),"""vpvk"":{""label"":""Democrats"",""extra"":""Their symbol is the donkey, or ass. Insert your own joke here."",""sets"":""Basic Set, Party Set""},")</f>
        <v>"vpvk":{"label":"Democrats","extra":"Their symbol is the donkey, or ass. Insert your own joke here.","sets":"Basic Set, Party Set"},</v>
      </c>
    </row>
    <row r="193">
      <c r="A193" s="8" t="str">
        <f>IFERROR(__xludf.DUMMYFUNCTION("""COMPUTED_VALUE"""),"Denzel Washington")</f>
        <v>Denzel Washington</v>
      </c>
      <c r="B193" s="8" t="str">
        <f>IFERROR(__xludf.DUMMYFUNCTION("""COMPUTED_VALUE"""),"1954-, American actor known for his powerful roles in such movies as “Cry Freedom”, “Malcolm X”, and “Mississippi Masala.”")</f>
        <v>1954-, American actor known for his powerful roles in such movies as “Cry Freedom”, “Malcolm X”, and “Mississippi Masala.”</v>
      </c>
      <c r="C193" s="13" t="str">
        <f>IFERROR(__xludf.DUMMYFUNCTION("""COMPUTED_VALUE"""),"""swlz"":{""label"":""Denzel Washington"",""extra"":""1954-, American actor known for his powerful roles in such movies as “Cry Freedom”, “Malcolm X”, and “Mississippi Masala.”"",""sets"":""Expansion Set 2, Party Set""},")</f>
        <v>"swlz":{"label":"Denzel Washington","extra":"1954-, American actor known for his powerful roles in such movies as “Cry Freedom”, “Malcolm X”, and “Mississippi Masala.”","sets":"Expansion Set 2, Party Set"},</v>
      </c>
    </row>
    <row r="194">
      <c r="A194" s="8" t="str">
        <f>IFERROR(__xludf.DUMMYFUNCTION("""COMPUTED_VALUE"""),"Detroit")</f>
        <v>Detroit</v>
      </c>
      <c r="B194" s="8" t="str">
        <f>IFERROR(__xludf.DUMMYFUNCTION("""COMPUTED_VALUE"""),"The Motor City is the world’s foremost automobile manufacturing center, and the tenth largest city in the U.S.")</f>
        <v>The Motor City is the world’s foremost automobile manufacturing center, and the tenth largest city in the U.S.</v>
      </c>
      <c r="C194" s="13" t="str">
        <f>IFERROR(__xludf.DUMMYFUNCTION("""COMPUTED_VALUE"""),"""bomy"":{""label"":""Detroit"",""extra"":""The Motor City is the world’s foremost automobile manufacturing center, and the tenth largest city in the U.S."",""sets"":""Basic Set, Party Set""},")</f>
        <v>"bomy":{"label":"Detroit","extra":"The Motor City is the world’s foremost automobile manufacturing center, and the tenth largest city in the U.S.","sets":"Basic Set, Party Set"},</v>
      </c>
    </row>
    <row r="195">
      <c r="A195" s="8" t="str">
        <f>IFERROR(__xludf.DUMMYFUNCTION("""COMPUTED_VALUE"""),"Diamonds")</f>
        <v>Diamonds</v>
      </c>
      <c r="B195" s="8" t="str">
        <f>IFERROR(__xludf.DUMMYFUNCTION("""COMPUTED_VALUE"""),"The hard fact: they are just highly refractive crystalline allotropes.")</f>
        <v>The hard fact: they are just highly refractive crystalline allotropes.</v>
      </c>
      <c r="C195" s="13" t="str">
        <f>IFERROR(__xludf.DUMMYFUNCTION("""COMPUTED_VALUE"""),"""gqts"":{""label"":""Diamonds"",""extra"":""The hard fact: they are just highly refractive crystalline allotropes."",""sets"":""Basic Set, Party Set""},")</f>
        <v>"gqts":{"label":"Diamonds","extra":"The hard fact: they are just highly refractive crystalline allotropes.","sets":"Basic Set, Party Set"},</v>
      </c>
    </row>
    <row r="196">
      <c r="A196" s="8" t="str">
        <f>IFERROR(__xludf.DUMMYFUNCTION("""COMPUTED_VALUE"""),"Discos")</f>
        <v>Discos</v>
      </c>
      <c r="B196" s="8" t="str">
        <f>IFERROR(__xludf.DUMMYFUNCTION("""COMPUTED_VALUE"""),"Where you go to catch “Saturday Night Fever.”")</f>
        <v>Where you go to catch “Saturday Night Fever.”</v>
      </c>
      <c r="C196" s="13" t="str">
        <f>IFERROR(__xludf.DUMMYFUNCTION("""COMPUTED_VALUE"""),"""fmuk"":{""label"":""Discos"",""extra"":""Where you go to catch “Saturday Night Fever.”"",""sets"":""Expansion Set 1, Party Set""},")</f>
        <v>"fmuk":{"label":"Discos","extra":"Where you go to catch “Saturday Night Fever.”","sets":"Expansion Set 1, Party Set"},</v>
      </c>
    </row>
    <row r="197">
      <c r="A197" s="8" t="str">
        <f>IFERROR(__xludf.DUMMYFUNCTION("""COMPUTED_VALUE"""),"Discovering America")</f>
        <v>Discovering America</v>
      </c>
      <c r="B197" s="8" t="str">
        <f>IFERROR(__xludf.DUMMYFUNCTION("""COMPUTED_VALUE"""),"1492, Christopher Columbus discovered that America was discovered centuries before he arrived.")</f>
        <v>1492, Christopher Columbus discovered that America was discovered centuries before he arrived.</v>
      </c>
      <c r="C197" s="13" t="str">
        <f>IFERROR(__xludf.DUMMYFUNCTION("""COMPUTED_VALUE"""),"""zlly"":{""label"":""Discovering America"",""extra"":""1492, Christopher Columbus discovered that America was discovered centuries before he arrived."",""sets"":""Basic Set, Party Set""},")</f>
        <v>"zlly":{"label":"Discovering America","extra":"1492, Christopher Columbus discovered that America was discovered centuries before he arrived.","sets":"Basic Set, Party Set"},</v>
      </c>
    </row>
    <row r="198">
      <c r="A198" s="8" t="str">
        <f>IFERROR(__xludf.DUMMYFUNCTION("""COMPUTED_VALUE"""),"Disneyland")</f>
        <v>Disneyland</v>
      </c>
      <c r="B198" s="8" t="str">
        <f>IFERROR(__xludf.DUMMYFUNCTION("""COMPUTED_VALUE"""),"You’ve just won the “Apples to Apples® Grand Masters Tournament.” Where're you gonna go?")</f>
        <v>You’ve just won the “Apples to Apples® Grand Masters Tournament.” Where're you gonna go?</v>
      </c>
      <c r="C198" s="13" t="str">
        <f>IFERROR(__xludf.DUMMYFUNCTION("""COMPUTED_VALUE"""),"""tke{"":{""label"":""Disneyland"",""extra"":""You’ve just won the “Apples to Apples® Grand Masters Tournament.” Where're you gonna go?"",""sets"":""Basic Set, Party Set""},")</f>
        <v>"tke{":{"label":"Disneyland","extra":"You’ve just won the “Apples to Apples® Grand Masters Tournament.” Where're you gonna go?","sets":"Basic Set, Party Set"},</v>
      </c>
    </row>
    <row r="199">
      <c r="A199" s="8" t="str">
        <f>IFERROR(__xludf.DUMMYFUNCTION("""COMPUTED_VALUE"""),"Divorce")</f>
        <v>Divorce</v>
      </c>
      <c r="B199" s="8" t="str">
        <f>IFERROR(__xludf.DUMMYFUNCTION("""COMPUTED_VALUE"""),"It’s a trial separation that goes to trial.")</f>
        <v>It’s a trial separation that goes to trial.</v>
      </c>
      <c r="C199" s="13" t="str">
        <f>IFERROR(__xludf.DUMMYFUNCTION("""COMPUTED_VALUE"""),"""xsgl"":{""label"":""Divorce"",""extra"":""It’s a trial separation that goes to trial."",""sets"":""Expansion Set 2, Party Set""},")</f>
        <v>"xsgl":{"label":"Divorce","extra":"It’s a trial separation that goes to trial.","sets":"Expansion Set 2, Party Set"},</v>
      </c>
    </row>
    <row r="200">
      <c r="A200" s="8" t="str">
        <f>IFERROR(__xludf.DUMMYFUNCTION("""COMPUTED_VALUE"""),"Doctors")</f>
        <v>Doctors</v>
      </c>
      <c r="B200" s="8" t="str">
        <f>IFERROR(__xludf.DUMMYFUNCTION("""COMPUTED_VALUE"""),"Over twenty years of education and they’re still “practicing” medicine?")</f>
        <v>Over twenty years of education and they’re still “practicing” medicine?</v>
      </c>
      <c r="C200" s="13" t="str">
        <f>IFERROR(__xludf.DUMMYFUNCTION("""COMPUTED_VALUE"""),"""klam"":{""label"":""Doctors"",""extra"":""Over twenty years of education and they’re still “practicing” medicine?"",""sets"":""Expansion Set 2, Party Set""},")</f>
        <v>"klam":{"label":"Doctors","extra":"Over twenty years of education and they’re still “practicing” medicine?","sets":"Expansion Set 2, Party Set"},</v>
      </c>
    </row>
    <row r="201">
      <c r="A201" s="8" t="str">
        <f>IFERROR(__xludf.DUMMYFUNCTION("""COMPUTED_VALUE"""),"Doing The Dishes")</f>
        <v>Doing The Dishes</v>
      </c>
      <c r="B201" s="8" t="str">
        <f>IFERROR(__xludf.DUMMYFUNCTION("""COMPUTED_VALUE"""),"You wash, I’ll watch.")</f>
        <v>You wash, I’ll watch.</v>
      </c>
      <c r="C201" s="13" t="str">
        <f>IFERROR(__xludf.DUMMYFUNCTION("""COMPUTED_VALUE"""),"""bbrr"":{""label"":""Doing The Dishes"",""extra"":""You wash, I’ll watch."",""sets"":""Basic Set, Party Set""},")</f>
        <v>"bbrr":{"label":"Doing The Dishes","extra":"You wash, I’ll watch.","sets":"Basic Set, Party Set"},</v>
      </c>
    </row>
    <row r="202">
      <c r="A202" s="8" t="str">
        <f>IFERROR(__xludf.DUMMYFUNCTION("""COMPUTED_VALUE"""),"Dolly Parton")</f>
        <v>Dolly Parton</v>
      </c>
      <c r="B202" s="8" t="str">
        <f>IFERROR(__xludf.DUMMYFUNCTION("""COMPUTED_VALUE"""),"1967-, American singer, songwriter, and actor. Known as much for her personal style as for her successful career.")</f>
        <v>1967-, American singer, songwriter, and actor. Known as much for her personal style as for her successful career.</v>
      </c>
      <c r="C202" s="13" t="str">
        <f>IFERROR(__xludf.DUMMYFUNCTION("""COMPUTED_VALUE"""),"""mwho"":{""label"":""Dolly Parton"",""extra"":""1967-, American singer, songwriter, and actor. Known as much for her personal style as for her successful career."",""sets"":""Expansion Set 1, Party Set""},")</f>
        <v>"mwho":{"label":"Dolly Parton","extra":"1967-, American singer, songwriter, and actor. Known as much for her personal style as for her successful career.","sets":"Expansion Set 1, Party Set"},</v>
      </c>
    </row>
    <row r="203">
      <c r="A203" s="8" t="str">
        <f>IFERROR(__xludf.DUMMYFUNCTION("""COMPUTED_VALUE"""),"Dr. Kevorkin")</f>
        <v>Dr. Kevorkin</v>
      </c>
      <c r="B203" s="8" t="str">
        <f>IFERROR(__xludf.DUMMYFUNCTION("""COMPUTED_VALUE"""),"1928-, Controversial advocate of doctor-assisted suicide.")</f>
        <v>1928-, Controversial advocate of doctor-assisted suicide.</v>
      </c>
      <c r="C203" s="13" t="str">
        <f>IFERROR(__xludf.DUMMYFUNCTION("""COMPUTED_VALUE"""),"""sdcq"":{""label"":""Dr. Kevorkin"",""extra"":""1928-, Controversial advocate of doctor-assisted suicide."",""sets"":""Basic Set, Party Set""},")</f>
        <v>"sdcq":{"label":"Dr. Kevorkin","extra":"1928-, Controversial advocate of doctor-assisted suicide.","sets":"Basic Set, Party Set"},</v>
      </c>
    </row>
    <row r="204">
      <c r="A204" s="8" t="str">
        <f>IFERROR(__xludf.DUMMYFUNCTION("""COMPUTED_VALUE"""),"Dr. Seuss")</f>
        <v>Dr. Seuss</v>
      </c>
      <c r="B204" s="8" t="str">
        <f>IFERROR(__xludf.DUMMYFUNCTION("""COMPUTED_VALUE"""),"1904-1991, Theodor Suess Geisel, the cat who came up with “The Cat in the Hat.”")</f>
        <v>1904-1991, Theodor Suess Geisel, the cat who came up with “The Cat in the Hat.”</v>
      </c>
      <c r="C204" s="13" t="str">
        <f>IFERROR(__xludf.DUMMYFUNCTION("""COMPUTED_VALUE"""),"""lrev"":{""label"":""Dr. Seuss"",""extra"":""1904-1991, Theodor Suess Geisel, the cat who came up with “The Cat in the Hat.”"",""sets"":""Basic Set, Party Set""},")</f>
        <v>"lrev":{"label":"Dr. Seuss","extra":"1904-1991, Theodor Suess Geisel, the cat who came up with “The Cat in the Hat.”","sets":"Basic Set, Party Set"},</v>
      </c>
    </row>
    <row r="205">
      <c r="A205" s="8" t="str">
        <f>IFERROR(__xludf.DUMMYFUNCTION("""COMPUTED_VALUE"""),"Driving Off A Cliff")</f>
        <v>Driving Off A Cliff</v>
      </c>
      <c r="B205" s="8" t="str">
        <f>IFERROR(__xludf.DUMMYFUNCTION("""COMPUTED_VALUE"""),"It was either that or hire someone to do my takes.")</f>
        <v>It was either that or hire someone to do my takes.</v>
      </c>
      <c r="C205" s="13" t="str">
        <f>IFERROR(__xludf.DUMMYFUNCTION("""COMPUTED_VALUE"""),"""dcqu"":{""label"":""Driving Off A Cliff"",""extra"":""It was either that or hire someone to do my takes."",""sets"":""Expansion Set 2, Party Set""},")</f>
        <v>"dcqu":{"label":"Driving Off A Cliff","extra":"It was either that or hire someone to do my takes.","sets":"Expansion Set 2, Party Set"},</v>
      </c>
    </row>
    <row r="206">
      <c r="A206" s="8" t="str">
        <f>IFERROR(__xludf.DUMMYFUNCTION("""COMPUTED_VALUE"""),"Duct Tape")</f>
        <v>Duct Tape</v>
      </c>
      <c r="B206" s="8" t="str">
        <f>IFERROR(__xludf.DUMMYFUNCTION("""COMPUTED_VALUE"""),"All-purpose, …all the time…")</f>
        <v>All-purpose, …all the time…</v>
      </c>
      <c r="C206" s="13" t="str">
        <f>IFERROR(__xludf.DUMMYFUNCTION("""COMPUTED_VALUE"""),"""sbaq"":{""label"":""Duct Tape"",""extra"":""All-purpose, …all the time…"",""sets"":""Basic Set, Party Set""},")</f>
        <v>"sbaq":{"label":"Duct Tape","extra":"All-purpose, …all the time…","sets":"Basic Set, Party Set"},</v>
      </c>
    </row>
    <row r="207">
      <c r="A207" s="8" t="str">
        <f>IFERROR(__xludf.DUMMYFUNCTION("""COMPUTED_VALUE"""),"E-Mail")</f>
        <v>E-Mail</v>
      </c>
      <c r="B207" s="8" t="str">
        <f>IFERROR(__xludf.DUMMYFUNCTION("""COMPUTED_VALUE"""),"You’ve got JUNK mail!")</f>
        <v>You’ve got JUNK mail!</v>
      </c>
      <c r="C207" s="13" t="str">
        <f>IFERROR(__xludf.DUMMYFUNCTION("""COMPUTED_VALUE"""),"""rixf"":{""label"":""E-Mail"",""extra"":""You’ve got JUNK mail!"",""sets"":""Expansion Set 1, Party Set""},")</f>
        <v>"rixf":{"label":"E-Mail","extra":"You’ve got JUNK mail!","sets":"Expansion Set 1, Party Set"},</v>
      </c>
    </row>
    <row r="208">
      <c r="A208" s="8" t="str">
        <f>IFERROR(__xludf.DUMMYFUNCTION("""COMPUTED_VALUE"""),"Ear Wax")</f>
        <v>Ear Wax</v>
      </c>
      <c r="B208" s="8" t="str">
        <f>IFERROR(__xludf.DUMMYFUNCTION("""COMPUTED_VALUE"""),"A waxy, yellowish substance that protects the ear from dust, bacteria, and from hearing things you don’t want to hear.")</f>
        <v>A waxy, yellowish substance that protects the ear from dust, bacteria, and from hearing things you don’t want to hear.</v>
      </c>
      <c r="C208" s="13" t="str">
        <f>IFERROR(__xludf.DUMMYFUNCTION("""COMPUTED_VALUE"""),"""mlx{"":{""label"":""Ear Wax"",""extra"":""A waxy, yellowish substance that protects the ear from dust, bacteria, and from hearing things you don’t want to hear."",""sets"":""Expansion Set 1, Party Set""},")</f>
        <v>"mlx{":{"label":"Ear Wax","extra":"A waxy, yellowish substance that protects the ear from dust, bacteria, and from hearing things you don’t want to hear.","sets":"Expansion Set 1, Party Set"},</v>
      </c>
    </row>
    <row r="209">
      <c r="A209" s="8" t="str">
        <f>IFERROR(__xludf.DUMMYFUNCTION("""COMPUTED_VALUE"""),"Earthquakes")</f>
        <v>Earthquakes</v>
      </c>
      <c r="B209" s="8" t="str">
        <f>IFERROR(__xludf.DUMMYFUNCTION("""COMPUTED_VALUE"""),"The Richter scale is named after the American seismologist Charles Richter. Did the earth move for you?")</f>
        <v>The Richter scale is named after the American seismologist Charles Richter. Did the earth move for you?</v>
      </c>
      <c r="C209" s="13" t="str">
        <f>IFERROR(__xludf.DUMMYFUNCTION("""COMPUTED_VALUE"""),"""qwnq"":{""label"":""Earthquakes"",""extra"":""The Richter scale is named after the American seismologist Charles Richter. Did the earth move for you?"",""sets"":""Basic Set, Party Set""},")</f>
        <v>"qwnq":{"label":"Earthquakes","extra":"The Richter scale is named after the American seismologist Charles Richter. Did the earth move for you?","sets":"Basic Set, Party Set"},</v>
      </c>
    </row>
    <row r="210">
      <c r="A210" s="8" t="str">
        <f>IFERROR(__xludf.DUMMYFUNCTION("""COMPUTED_VALUE"""),"Earwigs")</f>
        <v>Earwigs</v>
      </c>
      <c r="B210" s="8" t="str">
        <f>IFERROR(__xludf.DUMMYFUNCTION("""COMPUTED_VALUE"""),"Nocturnal insects with abdominal pincers. Nothing to do with ears or wigs.")</f>
        <v>Nocturnal insects with abdominal pincers. Nothing to do with ears or wigs.</v>
      </c>
      <c r="C210" s="13" t="str">
        <f>IFERROR(__xludf.DUMMYFUNCTION("""COMPUTED_VALUE"""),"""lqis"":{""label"":""Earwigs"",""extra"":""Nocturnal insects with abdominal pincers. Nothing to do with ears or wigs."",""sets"":""Expansion Set 2, Party Set""},")</f>
        <v>"lqis":{"label":"Earwigs","extra":"Nocturnal insects with abdominal pincers. Nothing to do with ears or wigs.","sets":"Expansion Set 2, Party Set"},</v>
      </c>
    </row>
    <row r="211">
      <c r="A211" s="8" t="str">
        <f>IFERROR(__xludf.DUMMYFUNCTION("""COMPUTED_VALUE"""),"East Coast")</f>
        <v>East Coast</v>
      </c>
      <c r="B211" s="8" t="str">
        <f>IFERROR(__xludf.DUMMYFUNCTION("""COMPUTED_VALUE"""),"From New England to Florida. They’re not like folks ’round here…")</f>
        <v>From New England to Florida. They’re not like folks ’round here…</v>
      </c>
      <c r="C211" s="13" t="str">
        <f>IFERROR(__xludf.DUMMYFUNCTION("""COMPUTED_VALUE"""),"""dkxq"":{""label"":""East Coast"",""extra"":""From New England to Florida. They’re not like folks ’round here…"",""sets"":""Basic Set, Party Set""},")</f>
        <v>"dkxq":{"label":"East Coast","extra":"From New England to Florida. They’re not like folks ’round here…","sets":"Basic Set, Party Set"},</v>
      </c>
    </row>
    <row r="212">
      <c r="A212" s="8" t="str">
        <f>IFERROR(__xludf.DUMMYFUNCTION("""COMPUTED_VALUE"""),"Eddie Murphy")</f>
        <v>Eddie Murphy</v>
      </c>
      <c r="B212" s="8" t="str">
        <f>IFERROR(__xludf.DUMMYFUNCTION("""COMPUTED_VALUE"""),"1961-, American comedian, actor, and producer. Best known for his work in 48 Hours, Beverly Hills Cop and on Saturday Night Live.")</f>
        <v>1961-, American comedian, actor, and producer. Best known for his work in 48 Hours, Beverly Hills Cop and on Saturday Night Live.</v>
      </c>
      <c r="C212" s="13" t="str">
        <f>IFERROR(__xludf.DUMMYFUNCTION("""COMPUTED_VALUE"""),"""scmx"":{""label"":""Eddie Murphy"",""extra"":""1961-, American comedian, actor, and producer. Best known for his work in 48 Hours, Beverly Hills Cop and on Saturday Night Live."",""sets"":""Expansion Set 1, Party Set""},")</f>
        <v>"scmx":{"label":"Eddie Murphy","extra":"1961-, American comedian, actor, and producer. Best known for his work in 48 Hours, Beverly Hills Cop and on Saturday Night Live.","sets":"Expansion Set 1, Party Set"},</v>
      </c>
    </row>
    <row r="213">
      <c r="A213" s="8" t="str">
        <f>IFERROR(__xludf.DUMMYFUNCTION("""COMPUTED_VALUE"""),"Eleanor Roosevelt")</f>
        <v>Eleanor Roosevelt</v>
      </c>
      <c r="B213" s="8" t="str">
        <f>IFERROR(__xludf.DUMMYFUNCTION("""COMPUTED_VALUE"""),"1884-1962, first lady, social activist, author, lecturer, and U.S. representative to the United Nations.")</f>
        <v>1884-1962, first lady, social activist, author, lecturer, and U.S. representative to the United Nations.</v>
      </c>
      <c r="C213" s="13" t="str">
        <f>IFERROR(__xludf.DUMMYFUNCTION("""COMPUTED_VALUE"""),"""xcwm"":{""label"":""Eleanor Roosevelt"",""extra"":""1884-1962, first lady, social activist, author, lecturer, and U.S. representative to the United Nations."",""sets"":""Basic Set, Party Set""},")</f>
        <v>"xcwm":{"label":"Eleanor Roosevelt","extra":"1884-1962, first lady, social activist, author, lecturer, and U.S. representative to the United Nations.","sets":"Basic Set, Party Set"},</v>
      </c>
    </row>
    <row r="214">
      <c r="A214" s="8" t="str">
        <f>IFERROR(__xludf.DUMMYFUNCTION("""COMPUTED_VALUE"""),"Electric Eels")</f>
        <v>Electric Eels</v>
      </c>
      <c r="B214" s="8" t="str">
        <f>IFERROR(__xludf.DUMMYFUNCTION("""COMPUTED_VALUE"""),"Slippery and slimy snakelike fishes that emit electrical charges. The shocking truth!")</f>
        <v>Slippery and slimy snakelike fishes that emit electrical charges. The shocking truth!</v>
      </c>
      <c r="C214" s="13" t="str">
        <f>IFERROR(__xludf.DUMMYFUNCTION("""COMPUTED_VALUE"""),"""zsyb"":{""label"":""Electric Eels"",""extra"":""Slippery and slimy snakelike fishes that emit electrical charges. The shocking truth!"",""sets"":""Expansion Set 1, Party Set""},")</f>
        <v>"zsyb":{"label":"Electric Eels","extra":"Slippery and slimy snakelike fishes that emit electrical charges. The shocking truth!","sets":"Expansion Set 1, Party Set"},</v>
      </c>
    </row>
    <row r="215">
      <c r="A215" s="8" t="str">
        <f>IFERROR(__xludf.DUMMYFUNCTION("""COMPUTED_VALUE"""),"Electricity")</f>
        <v>Electricity</v>
      </c>
      <c r="B215" s="8" t="str">
        <f>IFERROR(__xludf.DUMMYFUNCTION("""COMPUTED_VALUE"""),"The repulsive or attractive force between two stationary bodies. No problem unless one of those bodies is yours.")</f>
        <v>The repulsive or attractive force between two stationary bodies. No problem unless one of those bodies is yours.</v>
      </c>
      <c r="C215" s="13" t="str">
        <f>IFERROR(__xludf.DUMMYFUNCTION("""COMPUTED_VALUE"""),"""lwom"":{""label"":""Electricity"",""extra"":""The repulsive or attractive force between two stationary bodies. No problem unless one of those bodies is yours."",""sets"":""Basic Set, Party Set""},")</f>
        <v>"lwom":{"label":"Electricity","extra":"The repulsive or attractive force between two stationary bodies. No problem unless one of those bodies is yours.","sets":"Basic Set, Party Set"},</v>
      </c>
    </row>
    <row r="216">
      <c r="A216" s="8" t="str">
        <f>IFERROR(__xludf.DUMMYFUNCTION("""COMPUTED_VALUE"""),"Elephants")</f>
        <v>Elephants</v>
      </c>
      <c r="B216" s="8" t="str">
        <f>IFERROR(__xludf.DUMMYFUNCTION("""COMPUTED_VALUE"""),"The largest living land mammal, with two species: Indian and African. Not counting Dumbo, there are no American elephants.")</f>
        <v>The largest living land mammal, with two species: Indian and African. Not counting Dumbo, there are no American elephants.</v>
      </c>
      <c r="C216" s="13" t="str">
        <f>IFERROR(__xludf.DUMMYFUNCTION("""COMPUTED_VALUE"""),"""jlnw"":{""label"":""Elephants"",""extra"":""The largest living land mammal, with two species: Indian and African. Not counting Dumbo, there are no American elephants."",""sets"":""Basic Set, Party Set""},")</f>
        <v>"jlnw":{"label":"Elephants","extra":"The largest living land mammal, with two species: Indian and African. Not counting Dumbo, there are no American elephants.","sets":"Basic Set, Party Set"},</v>
      </c>
    </row>
    <row r="217">
      <c r="A217" s="8" t="str">
        <f>IFERROR(__xludf.DUMMYFUNCTION("""COMPUTED_VALUE"""),"Elizabeth Taylor")</f>
        <v>Elizabeth Taylor</v>
      </c>
      <c r="B217" s="8" t="str">
        <f>IFERROR(__xludf.DUMMYFUNCTION("""COMPUTED_VALUE"""),"1932-, American actor, noted for her lush beauty, emotional performances and multiple husbands.")</f>
        <v>1932-, American actor, noted for her lush beauty, emotional performances and multiple husbands.</v>
      </c>
      <c r="C217" s="13" t="str">
        <f>IFERROR(__xludf.DUMMYFUNCTION("""COMPUTED_VALUE"""),"""hkqx"":{""label"":""Elizabeth Taylor"",""extra"":""1932-, American actor, noted for her lush beauty, emotional performances and multiple husbands."",""sets"":""Basic Set, Party Set""},")</f>
        <v>"hkqx":{"label":"Elizabeth Taylor","extra":"1932-, American actor, noted for her lush beauty, emotional performances and multiple husbands.","sets":"Basic Set, Party Set"},</v>
      </c>
    </row>
    <row r="218">
      <c r="A218" s="8" t="str">
        <f>IFERROR(__xludf.DUMMYFUNCTION("""COMPUTED_VALUE"""),"Elvis Presley")</f>
        <v>Elvis Presley</v>
      </c>
      <c r="B218" s="8" t="str">
        <f>IFERROR(__xludf.DUMMYFUNCTION("""COMPUTED_VALUE"""),"1935-77, American singer and actor and the king of rock-and-roll. His death left the music world all shook up.")</f>
        <v>1935-77, American singer and actor and the king of rock-and-roll. His death left the music world all shook up.</v>
      </c>
      <c r="C218" s="13" t="str">
        <f>IFERROR(__xludf.DUMMYFUNCTION("""COMPUTED_VALUE"""),"""czof"":{""label"":""Elvis Presley"",""extra"":""1935-77, American singer and actor and the king of rock-and-roll. His death left the music world all shook up."",""sets"":""Basic Set, Party Set""},")</f>
        <v>"czof":{"label":"Elvis Presley","extra":"1935-77, American singer and actor and the king of rock-and-roll. His death left the music world all shook up.","sets":"Basic Set, Party Set"},</v>
      </c>
    </row>
    <row r="219">
      <c r="A219" s="8" t="str">
        <f>IFERROR(__xludf.DUMMYFUNCTION("""COMPUTED_VALUE"""),"Emily Dickinson")</f>
        <v>Emily Dickinson</v>
      </c>
      <c r="B219" s="8" t="str">
        <f>IFERROR(__xludf.DUMMYFUNCTION("""COMPUTED_VALUE"""),"1830-86, American poet, whose lyrics are psychologically astute treatments of love, death, and immortality. So there.")</f>
        <v>1830-86, American poet, whose lyrics are psychologically astute treatments of love, death, and immortality. So there.</v>
      </c>
      <c r="C219" s="13" t="str">
        <f>IFERROR(__xludf.DUMMYFUNCTION("""COMPUTED_VALUE"""),"""yiuz"":{""label"":""Emily Dickinson"",""extra"":""1830-86, American poet, whose lyrics are psychologically astute treatments of love, death, and immortality. So there."",""sets"":""Basic Set, Party Set""},")</f>
        <v>"yiuz":{"label":"Emily Dickinson","extra":"1830-86, American poet, whose lyrics are psychologically astute treatments of love, death, and immortality. So there.","sets":"Basic Set, Party Set"},</v>
      </c>
    </row>
    <row r="220">
      <c r="A220" s="8" t="str">
        <f>IFERROR(__xludf.DUMMYFUNCTION("""COMPUTED_VALUE"""),"Ernest Hemingway")</f>
        <v>Ernest Hemingway</v>
      </c>
      <c r="B220" s="8" t="str">
        <f>IFERROR(__xludf.DUMMYFUNCTION("""COMPUTED_VALUE"""),"1899-1961, American novelist and short-story writer, whose macho style is crisp, laconic and understated.")</f>
        <v>1899-1961, American novelist and short-story writer, whose macho style is crisp, laconic and understated.</v>
      </c>
      <c r="C220" s="13" t="str">
        <f>IFERROR(__xludf.DUMMYFUNCTION("""COMPUTED_VALUE"""),"""wstw"":{""label"":""Ernest Hemingway"",""extra"":""1899-1961, American novelist and short-story writer, whose macho style is crisp, laconic and understated."",""sets"":""Basic Set, Party Set""},")</f>
        <v>"wstw":{"label":"Ernest Hemingway","extra":"1899-1961, American novelist and short-story writer, whose macho style is crisp, laconic and understated.","sets":"Basic Set, Party Set"},</v>
      </c>
    </row>
    <row r="221">
      <c r="A221" s="8" t="str">
        <f>IFERROR(__xludf.DUMMYFUNCTION("""COMPUTED_VALUE"""),"Europe")</f>
        <v>Europe</v>
      </c>
      <c r="B221" s="8" t="str">
        <f>IFERROR(__xludf.DUMMYFUNCTION("""COMPUTED_VALUE"""),"The Old Country… except to people who live there.")</f>
        <v>The Old Country… except to people who live there.</v>
      </c>
      <c r="C221" s="13" t="str">
        <f>IFERROR(__xludf.DUMMYFUNCTION("""COMPUTED_VALUE"""),"""gmki"":{""label"":""Europe"",""extra"":""The Old Country… except to people who live there."",""sets"":""Basic Set, Party Set""},")</f>
        <v>"gmki":{"label":"Europe","extra":"The Old Country… except to people who live there.","sets":"Basic Set, Party Set"},</v>
      </c>
    </row>
    <row r="222">
      <c r="A222" s="8" t="str">
        <f>IFERROR(__xludf.DUMMYFUNCTION("""COMPUTED_VALUE"""),"Exorcism")</f>
        <v>Exorcism</v>
      </c>
      <c r="B222" s="8" t="str">
        <f>IFERROR(__xludf.DUMMYFUNCTION("""COMPUTED_VALUE"""),"To ceremoniously expel an evil spirit.")</f>
        <v>To ceremoniously expel an evil spirit.</v>
      </c>
      <c r="C222" s="13" t="str">
        <f>IFERROR(__xludf.DUMMYFUNCTION("""COMPUTED_VALUE"""),"""xtud"":{""label"":""Exorcism"",""extra"":""To ceremoniously expel an evil spirit."",""sets"":""Expansion Set 1, Party Set""},")</f>
        <v>"xtud":{"label":"Exorcism","extra":"To ceremoniously expel an evil spirit.","sets":"Expansion Set 1, Party Set"},</v>
      </c>
    </row>
    <row r="223">
      <c r="A223" s="8" t="str">
        <f>IFERROR(__xludf.DUMMYFUNCTION("""COMPUTED_VALUE"""),"Eyes")</f>
        <v>Eyes</v>
      </c>
      <c r="B223" s="8" t="str">
        <f>IFERROR(__xludf.DUMMYFUNCTION("""COMPUTED_VALUE"""),"Light-sensitive organ of vision in animals. See?")</f>
        <v>Light-sensitive organ of vision in animals. See?</v>
      </c>
      <c r="C223" s="13" t="str">
        <f>IFERROR(__xludf.DUMMYFUNCTION("""COMPUTED_VALUE"""),"""uxxo"":{""label"":""Eyes"",""extra"":""Light-sensitive organ of vision in animals. See?"",""sets"":""Basic Set, Party Set""},")</f>
        <v>"uxxo":{"label":"Eyes","extra":"Light-sensitive organ of vision in animals. See?","sets":"Basic Set, Party Set"},</v>
      </c>
    </row>
    <row r="224">
      <c r="A224" s="8" t="str">
        <f>IFERROR(__xludf.DUMMYFUNCTION("""COMPUTED_VALUE"""),"Falling Down")</f>
        <v>Falling Down</v>
      </c>
      <c r="B224" s="8" t="str">
        <f>IFERROR(__xludf.DUMMYFUNCTION("""COMPUTED_VALUE"""),"“What we call failure is not the falling down, but the staying down.” —Mary Pickford")</f>
        <v>“What we call failure is not the falling down, but the staying down.” —Mary Pickford</v>
      </c>
      <c r="C224" s="13" t="str">
        <f>IFERROR(__xludf.DUMMYFUNCTION("""COMPUTED_VALUE"""),"""mxve"":{""label"":""Falling Down"",""extra"":""“What we call failure is not the falling down, but the staying down.” —Mary Pickford"",""sets"":""Expansion Set 1, Party Set""},")</f>
        <v>"mxve":{"label":"Falling Down","extra":"“What we call failure is not the falling down, but the staying down.” —Mary Pickford","sets":"Expansion Set 1, Party Set"},</v>
      </c>
    </row>
    <row r="225">
      <c r="A225" s="8" t="str">
        <f>IFERROR(__xludf.DUMMYFUNCTION("""COMPUTED_VALUE"""),"Family Reunions")</f>
        <v>Family Reunions</v>
      </c>
      <c r="B225" s="8" t="str">
        <f>IFERROR(__xludf.DUMMYFUNCTION("""COMPUTED_VALUE"""),"Just to remind you why you moved away in the first place…")</f>
        <v>Just to remind you why you moved away in the first place…</v>
      </c>
      <c r="C225" s="13" t="str">
        <f>IFERROR(__xludf.DUMMYFUNCTION("""COMPUTED_VALUE"""),"""nnys"":{""label"":""Family Reunions"",""extra"":""Just to remind you why you moved away in the first place…"",""sets"":""Expansion Set 1, Party Set""},")</f>
        <v>"nnys":{"label":"Family Reunions","extra":"Just to remind you why you moved away in the first place…","sets":"Expansion Set 1, Party Set"},</v>
      </c>
    </row>
    <row r="226">
      <c r="A226" s="8" t="str">
        <f>IFERROR(__xludf.DUMMYFUNCTION("""COMPUTED_VALUE"""),"Family Vacations")</f>
        <v>Family Vacations</v>
      </c>
      <c r="B226" s="8" t="str">
        <f>IFERROR(__xludf.DUMMYFUNCTION("""COMPUTED_VALUE"""),"Dad? Dad? Are we there yet? Are we there yet? Are we? Huh? Dad?")</f>
        <v>Dad? Dad? Are we there yet? Are we there yet? Are we? Huh? Dad?</v>
      </c>
      <c r="C226" s="13" t="str">
        <f>IFERROR(__xludf.DUMMYFUNCTION("""COMPUTED_VALUE"""),"""yjuq"":{""label"":""Family Vacations"",""extra"":""Dad? Dad? Are we there yet? Are we there yet? Are we? Huh? Dad?"",""sets"":""Expansion Set 1, Party Set""},")</f>
        <v>"yjuq":{"label":"Family Vacations","extra":"Dad? Dad? Are we there yet? Are we there yet? Are we? Huh? Dad?","sets":"Expansion Set 1, Party Set"},</v>
      </c>
    </row>
    <row r="227">
      <c r="A227" s="8" t="str">
        <f>IFERROR(__xludf.DUMMYFUNCTION("""COMPUTED_VALUE"""),"Family Values")</f>
        <v>Family Values</v>
      </c>
      <c r="B227" s="8" t="str">
        <f>IFERROR(__xludf.DUMMYFUNCTION("""COMPUTED_VALUE"""),"Often said but seldom understood.")</f>
        <v>Often said but seldom understood.</v>
      </c>
      <c r="C227" s="13" t="str">
        <f>IFERROR(__xludf.DUMMYFUNCTION("""COMPUTED_VALUE"""),"""hfti"":{""label"":""Family Values"",""extra"":""Often said but seldom understood."",""sets"":""Expansion Set 2, Party Set""},")</f>
        <v>"hfti":{"label":"Family Values","extra":"Often said but seldom understood.","sets":"Expansion Set 2, Party Set"},</v>
      </c>
    </row>
    <row r="228">
      <c r="A228" s="8" t="str">
        <f>IFERROR(__xludf.DUMMYFUNCTION("""COMPUTED_VALUE"""),"Fast Food")</f>
        <v>Fast Food</v>
      </c>
      <c r="B228" s="8" t="str">
        <f>IFERROR(__xludf.DUMMYFUNCTION("""COMPUTED_VALUE"""),"You want fries with that?")</f>
        <v>You want fries with that?</v>
      </c>
      <c r="C228" s="13" t="str">
        <f>IFERROR(__xludf.DUMMYFUNCTION("""COMPUTED_VALUE"""),"""horc"":{""label"":""Fast Food"",""extra"":""You want fries with that?"",""sets"":""Expansion Set 1, Party Set""},")</f>
        <v>"horc":{"label":"Fast Food","extra":"You want fries with that?","sets":"Expansion Set 1, Party Set"},</v>
      </c>
    </row>
    <row r="229">
      <c r="A229" s="8" t="str">
        <f>IFERROR(__xludf.DUMMYFUNCTION("""COMPUTED_VALUE"""),"Feathers")</f>
        <v>Feathers</v>
      </c>
      <c r="B229" s="8" t="str">
        <f>IFERROR(__xludf.DUMMYFUNCTION("""COMPUTED_VALUE"""),"Which weighs more, a pound of feathers or a pound of rocks?")</f>
        <v>Which weighs more, a pound of feathers or a pound of rocks?</v>
      </c>
      <c r="C229" s="13" t="str">
        <f>IFERROR(__xludf.DUMMYFUNCTION("""COMPUTED_VALUE"""),"""yfiu"":{""label"":""Feathers"",""extra"":""Which weighs more, a pound of feathers or a pound of rocks?"",""sets"":""Expansion Set 2, Party Set""},")</f>
        <v>"yfiu":{"label":"Feathers","extra":"Which weighs more, a pound of feathers or a pound of rocks?","sets":"Expansion Set 2, Party Set"},</v>
      </c>
    </row>
    <row r="230">
      <c r="A230" s="8" t="str">
        <f>IFERROR(__xludf.DUMMYFUNCTION("""COMPUTED_VALUE"""),"Feminists")</f>
        <v>Feminists</v>
      </c>
      <c r="B230" s="8" t="str">
        <f>IFERROR(__xludf.DUMMYFUNCTION("""COMPUTED_VALUE"""),"Political and social activists who support selected women’s causes.")</f>
        <v>Political and social activists who support selected women’s causes.</v>
      </c>
      <c r="C230" s="13" t="str">
        <f>IFERROR(__xludf.DUMMYFUNCTION("""COMPUTED_VALUE"""),"""pjgw"":{""label"":""Feminists"",""extra"":""Political and social activists who support selected women’s causes."",""sets"":""Expansion Set 2, Party Set""},")</f>
        <v>"pjgw":{"label":"Feminists","extra":"Political and social activists who support selected women’s causes.","sets":"Expansion Set 2, Party Set"},</v>
      </c>
    </row>
    <row r="231">
      <c r="A231" s="8" t="str">
        <f>IFERROR(__xludf.DUMMYFUNCTION("""COMPUTED_VALUE"""),"Festering Wounds")</f>
        <v>Festering Wounds</v>
      </c>
      <c r="B231" s="8" t="str">
        <f>IFERROR(__xludf.DUMMYFUNCTION("""COMPUTED_VALUE"""),"Quit picking at that!")</f>
        <v>Quit picking at that!</v>
      </c>
      <c r="C231" s="13" t="str">
        <f>IFERROR(__xludf.DUMMYFUNCTION("""COMPUTED_VALUE"""),"""ghla"":{""label"":""Festering Wounds"",""extra"":""Quit picking at that!"",""sets"":""Expansion Set 1, Party Set""},")</f>
        <v>"ghla":{"label":"Festering Wounds","extra":"Quit picking at that!","sets":"Expansion Set 1, Party Set"},</v>
      </c>
    </row>
    <row r="232">
      <c r="A232" s="8" t="str">
        <f>IFERROR(__xludf.DUMMYFUNCTION("""COMPUTED_VALUE"""),"Fidel Castro")</f>
        <v>Fidel Castro</v>
      </c>
      <c r="B232" s="8" t="str">
        <f>IFERROR(__xludf.DUMMYFUNCTION("""COMPUTED_VALUE"""),"1927-, Cuban revolutionary and Communist dictator since 1976. He earned a PhD in law in 1950.")</f>
        <v>1927-, Cuban revolutionary and Communist dictator since 1976. He earned a PhD in law in 1950.</v>
      </c>
      <c r="C232" s="13" t="str">
        <f>IFERROR(__xludf.DUMMYFUNCTION("""COMPUTED_VALUE"""),"""jkua"":{""label"":""Fidel Castro"",""extra"":""1927-, Cuban revolutionary and Communist dictator since 1976. He earned a PhD in law in 1950."",""sets"":""Basic Set, Party Set""},")</f>
        <v>"jkua":{"label":"Fidel Castro","extra":"1927-, Cuban revolutionary and Communist dictator since 1976. He earned a PhD in law in 1950.","sets":"Basic Set, Party Set"},</v>
      </c>
    </row>
    <row r="233">
      <c r="A233" s="8" t="str">
        <f>IFERROR(__xludf.DUMMYFUNCTION("""COMPUTED_VALUE"""),"Firefighters")</f>
        <v>Firefighters</v>
      </c>
      <c r="B233" s="8" t="str">
        <f>IFERROR(__xludf.DUMMYFUNCTION("""COMPUTED_VALUE"""),"Emperor Augustus instituted a corps of fire-fighting “watchmen” in 24 B.C. Nero, on the other hand, fiddled while Rome burned.")</f>
        <v>Emperor Augustus instituted a corps of fire-fighting “watchmen” in 24 B.C. Nero, on the other hand, fiddled while Rome burned.</v>
      </c>
      <c r="C233" s="13" t="str">
        <f>IFERROR(__xludf.DUMMYFUNCTION("""COMPUTED_VALUE"""),"""lnnx"":{""label"":""Firefighters"",""extra"":""Emperor Augustus instituted a corps of fire-fighting “watchmen” in 24 B.C. Nero, on the other hand, fiddled while Rome burned."",""sets"":""Basic Set, Party Set""},")</f>
        <v>"lnnx":{"label":"Firefighters","extra":"Emperor Augustus instituted a corps of fire-fighting “watchmen” in 24 B.C. Nero, on the other hand, fiddled while Rome burned.","sets":"Basic Set, Party Set"},</v>
      </c>
    </row>
    <row r="234">
      <c r="A234" s="8" t="str">
        <f>IFERROR(__xludf.DUMMYFUNCTION("""COMPUTED_VALUE"""),"Firestorms")</f>
        <v>Firestorms</v>
      </c>
      <c r="B234" s="8" t="str">
        <f>IFERROR(__xludf.DUMMYFUNCTION("""COMPUTED_VALUE"""),"Some severe wildfires require more than 10,000 firefighters. And, wouldn’t ya know it, some idiot parked in front of the hydrant!")</f>
        <v>Some severe wildfires require more than 10,000 firefighters. And, wouldn’t ya know it, some idiot parked in front of the hydrant!</v>
      </c>
      <c r="C234" s="13" t="str">
        <f>IFERROR(__xludf.DUMMYFUNCTION("""COMPUTED_VALUE"""),"""ppzu"":{""label"":""Firestorms"",""extra"":""Some severe wildfires require more than 10,000 firefighters. And, wouldn’t ya know it, some idiot parked in front of the hydrant!"",""sets"":""Basic Set, Party Set""},")</f>
        <v>"ppzu":{"label":"Firestorms","extra":"Some severe wildfires require more than 10,000 firefighters. And, wouldn’t ya know it, some idiot parked in front of the hydrant!","sets":"Basic Set, Party Set"},</v>
      </c>
    </row>
    <row r="235">
      <c r="A235" s="8" t="str">
        <f>IFERROR(__xludf.DUMMYFUNCTION("""COMPUTED_VALUE"""),"Fireworks")</f>
        <v>Fireworks</v>
      </c>
      <c r="B235" s="8" t="str">
        <f>IFERROR(__xludf.DUMMYFUNCTION("""COMPUTED_VALUE"""),"Includes firecrackers, Roman candles, and bottle rockets. It’s all fun until someone loses an eye… and a nose… and an arm…")</f>
        <v>Includes firecrackers, Roman candles, and bottle rockets. It’s all fun until someone loses an eye… and a nose… and an arm…</v>
      </c>
      <c r="C235" s="13" t="str">
        <f>IFERROR(__xludf.DUMMYFUNCTION("""COMPUTED_VALUE"""),"""{rsu"":{""label"":""Fireworks"",""extra"":""Includes firecrackers, Roman candles, and bottle rockets. It’s all fun until someone loses an eye… and a nose… and an arm…"",""sets"":""Expansion Set 1, Party Set""},")</f>
        <v>"{rsu":{"label":"Fireworks","extra":"Includes firecrackers, Roman candles, and bottle rockets. It’s all fun until someone loses an eye… and a nose… and an arm…","sets":"Expansion Set 1, Party Set"},</v>
      </c>
    </row>
    <row r="236">
      <c r="A236" s="8" t="str">
        <f>IFERROR(__xludf.DUMMYFUNCTION("""COMPUTED_VALUE"""),"First Man On The Moon")</f>
        <v>First Man On The Moon</v>
      </c>
      <c r="B236" s="8" t="str">
        <f>IFERROR(__xludf.DUMMYFUNCTION("""COMPUTED_VALUE"""),"July 20, 1969. “That's one small step for a man, one giant leap for mankind.” —Neil A. Armstrong")</f>
        <v>July 20, 1969. “That's one small step for a man, one giant leap for mankind.” —Neil A. Armstrong</v>
      </c>
      <c r="C236" s="13" t="str">
        <f>IFERROR(__xludf.DUMMYFUNCTION("""COMPUTED_VALUE"""),"""jipb"":{""label"":""First Man On The Moon"",""extra"":""July 20, 1969. “That's one small step for a man, one giant leap for mankind.” —Neil A. Armstrong"",""sets"":""Basic Set, Party Set""},")</f>
        <v>"jipb":{"label":"First Man On The Moon","extra":"July 20, 1969. “That's one small step for a man, one giant leap for mankind.” —Neil A. Armstrong","sets":"Basic Set, Party Set"},</v>
      </c>
    </row>
    <row r="237">
      <c r="A237" s="8" t="str">
        <f>IFERROR(__xludf.DUMMYFUNCTION("""COMPUTED_VALUE"""),"Flipper")</f>
        <v>Flipper</v>
      </c>
      <c r="B237" s="8" t="str">
        <f>IFERROR(__xludf.DUMMYFUNCTION("""COMPUTED_VALUE"""),"American television dolphin of the 1960s… like Lassie, only wetter.")</f>
        <v>American television dolphin of the 1960s… like Lassie, only wetter.</v>
      </c>
      <c r="C237" s="13" t="str">
        <f>IFERROR(__xludf.DUMMYFUNCTION("""COMPUTED_VALUE"""),"""bwgz"":{""label"":""Flipper"",""extra"":""American television dolphin of the 1960s… like Lassie, only wetter."",""sets"":""Expansion Set 2, Party Set""},")</f>
        <v>"bwgz":{"label":"Flipper","extra":"American television dolphin of the 1960s… like Lassie, only wetter.","sets":"Expansion Set 2, Party Set"},</v>
      </c>
    </row>
    <row r="238">
      <c r="A238" s="8" t="str">
        <f>IFERROR(__xludf.DUMMYFUNCTION("""COMPUTED_VALUE"""),"Fly Fishing")</f>
        <v>Fly Fishing</v>
      </c>
      <c r="B238" s="8" t="str">
        <f>IFERROR(__xludf.DUMMYFUNCTION("""COMPUTED_VALUE"""),"…if you can't catch flies any OTHER way…")</f>
        <v>…if you can't catch flies any OTHER way…</v>
      </c>
      <c r="C238" s="13" t="str">
        <f>IFERROR(__xludf.DUMMYFUNCTION("""COMPUTED_VALUE"""),"""gqlk"":{""label"":""Fly Fishing"",""extra"":""…if you can't catch flies any OTHER way…"",""sets"":""Expansion Set 1, Party Set""},")</f>
        <v>"gqlk":{"label":"Fly Fishing","extra":"…if you can't catch flies any OTHER way…","sets":"Expansion Set 1, Party Set"},</v>
      </c>
    </row>
    <row r="239">
      <c r="A239" s="8" t="str">
        <f>IFERROR(__xludf.DUMMYFUNCTION("""COMPUTED_VALUE"""),"Flying Monkeys")</f>
        <v>Flying Monkeys</v>
      </c>
      <c r="B239" s="8" t="str">
        <f>IFERROR(__xludf.DUMMYFUNCTION("""COMPUTED_VALUE"""),"The reason why “The Wizard Of Oz” still gives us nightmares.")</f>
        <v>The reason why “The Wizard Of Oz” still gives us nightmares.</v>
      </c>
      <c r="C239" s="13" t="str">
        <f>IFERROR(__xludf.DUMMYFUNCTION("""COMPUTED_VALUE"""),"""bxsr"":{""label"":""Flying Monkeys"",""extra"":""The reason why “The Wizard Of Oz” still gives us nightmares."",""sets"":""Expansion Set 1, Party Set""},")</f>
        <v>"bxsr":{"label":"Flying Monkeys","extra":"The reason why “The Wizard Of Oz” still gives us nightmares.","sets":"Expansion Set 1, Party Set"},</v>
      </c>
    </row>
    <row r="240">
      <c r="A240" s="8" t="str">
        <f>IFERROR(__xludf.DUMMYFUNCTION("""COMPUTED_VALUE"""),"Forest Fires")</f>
        <v>Forest Fires</v>
      </c>
      <c r="B240" s="8" t="str">
        <f>IFERROR(__xludf.DUMMYFUNCTION("""COMPUTED_VALUE"""),"“Only YOU can prevent forest fires.” The heat is on!")</f>
        <v>“Only YOU can prevent forest fires.” The heat is on!</v>
      </c>
      <c r="C240" s="13" t="str">
        <f>IFERROR(__xludf.DUMMYFUNCTION("""COMPUTED_VALUE"""),"""eo{v"":{""label"":""Forest Fires"",""extra"":""“Only YOU can prevent forest fires.” The heat is on!"",""sets"":""Expansion Set 2, Party Set""},")</f>
        <v>"eo{v":{"label":"Forest Fires","extra":"“Only YOU can prevent forest fires.” The heat is on!","sets":"Expansion Set 2, Party Set"},</v>
      </c>
    </row>
    <row r="241">
      <c r="A241" s="8" t="str">
        <f>IFERROR(__xludf.DUMMYFUNCTION("""COMPUTED_VALUE"""),"Fort Knox")</f>
        <v>Fort Knox</v>
      </c>
      <c r="B241" s="8" t="str">
        <f>IFERROR(__xludf.DUMMYFUNCTION("""COMPUTED_VALUE"""),"American military post in Kentucky, containing the greater part of the gold reserve of the U.S. government.")</f>
        <v>American military post in Kentucky, containing the greater part of the gold reserve of the U.S. government.</v>
      </c>
      <c r="C241" s="13" t="str">
        <f>IFERROR(__xludf.DUMMYFUNCTION("""COMPUTED_VALUE"""),"""jjbx"":{""label"":""Fort Knox"",""extra"":""American military post in Kentucky, containing the greater part of the gold reserve of the U.S. government."",""sets"":""Expansion Set 1, Party Set""},")</f>
        <v>"jjbx":{"label":"Fort Knox","extra":"American military post in Kentucky, containing the greater part of the gold reserve of the U.S. government.","sets":"Expansion Set 1, Party Set"},</v>
      </c>
    </row>
    <row r="242">
      <c r="A242" s="8" t="str">
        <f>IFERROR(__xludf.DUMMYFUNCTION("""COMPUTED_VALUE"""),"Fourth Of July")</f>
        <v>Fourth Of July</v>
      </c>
      <c r="B242" s="8" t="str">
        <f>IFERROR(__xludf.DUMMYFUNCTION("""COMPUTED_VALUE"""),"“Independence Day” in the United States. “Thank Goodness We Got Rid of Them Day” in Britain.")</f>
        <v>“Independence Day” in the United States. “Thank Goodness We Got Rid of Them Day” in Britain.</v>
      </c>
      <c r="C242" s="13" t="str">
        <f>IFERROR(__xludf.DUMMYFUNCTION("""COMPUTED_VALUE"""),"""nbyu"":{""label"":""Fourth Of July"",""extra"":""“Independence Day” in the United States. “Thank Goodness We Got Rid of Them Day” in Britain."",""sets"":""Basic Set, Party Set""},")</f>
        <v>"nbyu":{"label":"Fourth Of July","extra":"“Independence Day” in the United States. “Thank Goodness We Got Rid of Them Day” in Britain.","sets":"Basic Set, Party Set"},</v>
      </c>
    </row>
    <row r="243">
      <c r="A243" s="8" t="str">
        <f>IFERROR(__xludf.DUMMYFUNCTION("""COMPUTED_VALUE"""),"Frank Lloyd Wright")</f>
        <v>Frank Lloyd Wright</v>
      </c>
      <c r="B243" s="8" t="str">
        <f>IFERROR(__xludf.DUMMYFUNCTION("""COMPUTED_VALUE"""),"1867-1959, pioneering American architect. Considered one of the greatest designers of the 20th century.")</f>
        <v>1867-1959, pioneering American architect. Considered one of the greatest designers of the 20th century.</v>
      </c>
      <c r="C243" s="13" t="str">
        <f>IFERROR(__xludf.DUMMYFUNCTION("""COMPUTED_VALUE"""),"""bwye"":{""label"":""Frank Lloyd Wright"",""extra"":""1867-1959, pioneering American architect. Considered one of the greatest designers of the 20th century."",""sets"":""Expansion Set 1, Party Set""},")</f>
        <v>"bwye":{"label":"Frank Lloyd Wright","extra":"1867-1959, pioneering American architect. Considered one of the greatest designers of the 20th century.","sets":"Expansion Set 1, Party Set"},</v>
      </c>
    </row>
    <row r="244">
      <c r="A244" s="8" t="str">
        <f>IFERROR(__xludf.DUMMYFUNCTION("""COMPUTED_VALUE"""),"Frank Sinatra")</f>
        <v>Frank Sinatra</v>
      </c>
      <c r="B244" s="8" t="str">
        <f>IFERROR(__xludf.DUMMYFUNCTION("""COMPUTED_VALUE"""),"1915-98, the greatest American pop singer of his generation, award winning film and television actor. Do-be do-be do, baby.")</f>
        <v>1915-98, the greatest American pop singer of his generation, award winning film and television actor. Do-be do-be do, baby.</v>
      </c>
      <c r="C244" s="13" t="str">
        <f>IFERROR(__xludf.DUMMYFUNCTION("""COMPUTED_VALUE"""),"""sklj"":{""label"":""Frank Sinatra"",""extra"":""1915-98, the greatest American pop singer of his generation, award winning film and television actor. Do-be do-be do, baby."",""sets"":""Basic Set, Party Set""},")</f>
        <v>"sklj":{"label":"Frank Sinatra","extra":"1915-98, the greatest American pop singer of his generation, award winning film and television actor. Do-be do-be do, baby.","sets":"Basic Set, Party Set"},</v>
      </c>
    </row>
    <row r="245">
      <c r="A245" s="8" t="str">
        <f>IFERROR(__xludf.DUMMYFUNCTION("""COMPUTED_VALUE"""),"Freckles")</f>
        <v>Freckles</v>
      </c>
      <c r="B245" s="8" t="str">
        <f>IFERROR(__xludf.DUMMYFUNCTION("""COMPUTED_VALUE"""),"No matter what they tell you, freckles won't grow together to form a great-looking tan.")</f>
        <v>No matter what they tell you, freckles won't grow together to form a great-looking tan.</v>
      </c>
      <c r="C245" s="13" t="str">
        <f>IFERROR(__xludf.DUMMYFUNCTION("""COMPUTED_VALUE"""),"""fyui"":{""label"":""Freckles"",""extra"":""No matter what they tell you, freckles won't grow together to form a great-looking tan."",""sets"":""Expansion Set 1, Party Set""},")</f>
        <v>"fyui":{"label":"Freckles","extra":"No matter what they tell you, freckles won't grow together to form a great-looking tan.","sets":"Expansion Set 1, Party Set"},</v>
      </c>
    </row>
    <row r="246">
      <c r="A246" s="8" t="str">
        <f>IFERROR(__xludf.DUMMYFUNCTION("""COMPUTED_VALUE"""),"Freedom")</f>
        <v>Freedom</v>
      </c>
      <c r="B246" s="8" t="str">
        <f>IFERROR(__xludf.DUMMYFUNCTION("""COMPUTED_VALUE"""),"Express yourself!")</f>
        <v>Express yourself!</v>
      </c>
      <c r="C246" s="13" t="str">
        <f>IFERROR(__xludf.DUMMYFUNCTION("""COMPUTED_VALUE"""),"""vjuh"":{""label"":""Freedom"",""extra"":""Express yourself!"",""sets"":""Expansion Set 1, Party Set""},")</f>
        <v>"vjuh":{"label":"Freedom","extra":"Express yourself!","sets":"Expansion Set 1, Party Set"},</v>
      </c>
    </row>
    <row r="247">
      <c r="A247" s="8" t="str">
        <f>IFERROR(__xludf.DUMMYFUNCTION("""COMPUTED_VALUE"""),"French Wines")</f>
        <v>French Wines</v>
      </c>
      <c r="B247" s="8" t="str">
        <f>IFERROR(__xludf.DUMMYFUNCTION("""COMPUTED_VALUE"""),"The perfect complement to an overpriced meal.")</f>
        <v>The perfect complement to an overpriced meal.</v>
      </c>
      <c r="C247" s="13" t="str">
        <f>IFERROR(__xludf.DUMMYFUNCTION("""COMPUTED_VALUE"""),"""jlzf"":{""label"":""French Wines"",""extra"":""The perfect complement to an overpriced meal."",""sets"":""Expansion Set 2, Party Set""},")</f>
        <v>"jlzf":{"label":"French Wines","extra":"The perfect complement to an overpriced meal.","sets":"Expansion Set 2, Party Set"},</v>
      </c>
    </row>
    <row r="248">
      <c r="A248" s="8" t="str">
        <f>IFERROR(__xludf.DUMMYFUNCTION("""COMPUTED_VALUE"""),"Fresh Water Pearls")</f>
        <v>Fresh Water Pearls</v>
      </c>
      <c r="B248" s="8" t="str">
        <f>IFERROR(__xludf.DUMMYFUNCTION("""COMPUTED_VALUE"""),"String them along…")</f>
        <v>String them along…</v>
      </c>
      <c r="C248" s="13" t="str">
        <f>IFERROR(__xludf.DUMMYFUNCTION("""COMPUTED_VALUE"""),"""dypp"":{""label"":""Fresh Water Pearls"",""extra"":""String them along…"",""sets"":""Expansion Set 2, Party Set""},")</f>
        <v>"dypp":{"label":"Fresh Water Pearls","extra":"String them along…","sets":"Expansion Set 2, Party Set"},</v>
      </c>
    </row>
    <row r="249">
      <c r="A249" s="8" t="str">
        <f>IFERROR(__xludf.DUMMYFUNCTION("""COMPUTED_VALUE"""),"Friction")</f>
        <v>Friction</v>
      </c>
      <c r="B249" s="8" t="str">
        <f>IFERROR(__xludf.DUMMYFUNCTION("""COMPUTED_VALUE"""),"Resistance to the motion of a body in contact with another body… any body will do.")</f>
        <v>Resistance to the motion of a body in contact with another body… any body will do.</v>
      </c>
      <c r="C249" s="13" t="str">
        <f>IFERROR(__xludf.DUMMYFUNCTION("""COMPUTED_VALUE"""),"""ntkl"":{""label"":""Friction"",""extra"":""Resistance to the motion of a body in contact with another body… any body will do."",""sets"":""Basic Set, Party Set""},")</f>
        <v>"ntkl":{"label":"Friction","extra":"Resistance to the motion of a body in contact with another body… any body will do.","sets":"Basic Set, Party Set"},</v>
      </c>
    </row>
    <row r="250">
      <c r="A250" s="8" t="str">
        <f>IFERROR(__xludf.DUMMYFUNCTION("""COMPUTED_VALUE"""),"Fund Raising")</f>
        <v>Fund Raising</v>
      </c>
      <c r="B250" s="8" t="str">
        <f>IFERROR(__xludf.DUMMYFUNCTION("""COMPUTED_VALUE"""),"Hello… my name is Jonathan, would you like to buy some fruit, magazines, candy bars, wreaths, pizzas… ?")</f>
        <v>Hello… my name is Jonathan, would you like to buy some fruit, magazines, candy bars, wreaths, pizzas… ?</v>
      </c>
      <c r="C250" s="13" t="str">
        <f>IFERROR(__xludf.DUMMYFUNCTION("""COMPUTED_VALUE"""),"""pvbn"":{""label"":""Fund Raising"",""extra"":""Hello… my name is Jonathan, would you like to buy some fruit, magazines, candy bars, wreaths, pizzas… ?"",""sets"":""Expansion Set 2, Party Set""},")</f>
        <v>"pvbn":{"label":"Fund Raising","extra":"Hello… my name is Jonathan, would you like to buy some fruit, magazines, candy bars, wreaths, pizzas… ?","sets":"Expansion Set 2, Party Set"},</v>
      </c>
    </row>
    <row r="251">
      <c r="A251" s="8" t="str">
        <f>IFERROR(__xludf.DUMMYFUNCTION("""COMPUTED_VALUE"""),"Funerals")</f>
        <v>Funerals</v>
      </c>
      <c r="B251" s="8" t="str">
        <f>IFERROR(__xludf.DUMMYFUNCTION("""COMPUTED_VALUE"""),"“He who dies with the most toys is, nonetheless, still dead.” —Anonymous")</f>
        <v>“He who dies with the most toys is, nonetheless, still dead.” —Anonymous</v>
      </c>
      <c r="C251" s="13" t="str">
        <f>IFERROR(__xludf.DUMMYFUNCTION("""COMPUTED_VALUE"""),"""pvfc"":{""label"":""Funerals"",""extra"":""“He who dies with the most toys is, nonetheless, still dead.” —Anonymous"",""sets"":""Basic Set, Party Set""},")</f>
        <v>"pvfc":{"label":"Funerals","extra":"“He who dies with the most toys is, nonetheless, still dead.” —Anonymous","sets":"Basic Set, Party Set"},</v>
      </c>
    </row>
    <row r="252">
      <c r="A252" s="8" t="str">
        <f>IFERROR(__xludf.DUMMYFUNCTION("""COMPUTED_VALUE"""),"Fur")</f>
        <v>Fur</v>
      </c>
      <c r="B252" s="8" t="str">
        <f>IFERROR(__xludf.DUMMYFUNCTION("""COMPUTED_VALUE"""),"The characteristic covering of mammals and people with money.")</f>
        <v>The characteristic covering of mammals and people with money.</v>
      </c>
      <c r="C252" s="13" t="str">
        <f>IFERROR(__xludf.DUMMYFUNCTION("""COMPUTED_VALUE"""),"""vlxa"":{""label"":""Fur"",""extra"":""The characteristic covering of mammals and people with money."",""sets"":""Basic Set, Party Set""},")</f>
        <v>"vlxa":{"label":"Fur","extra":"The characteristic covering of mammals and people with money.","sets":"Basic Set, Party Set"},</v>
      </c>
    </row>
    <row r="253">
      <c r="A253" s="8" t="str">
        <f>IFERROR(__xludf.DUMMYFUNCTION("""COMPUTED_VALUE"""),"Fuzz")</f>
        <v>Fuzz</v>
      </c>
      <c r="B253" s="8" t="str">
        <f>IFERROR(__xludf.DUMMYFUNCTION("""COMPUTED_VALUE"""),"Lint… Policemen… Whatever…")</f>
        <v>Lint… Policemen… Whatever…</v>
      </c>
      <c r="C253" s="13" t="str">
        <f>IFERROR(__xludf.DUMMYFUNCTION("""COMPUTED_VALUE"""),"""lerl"":{""label"":""Fuzz"",""extra"":""Lint… Policemen… Whatever…"",""sets"":""Basic Set, Party Set""},")</f>
        <v>"lerl":{"label":"Fuzz","extra":"Lint… Policemen… Whatever…","sets":"Basic Set, Party Set"},</v>
      </c>
    </row>
    <row r="254">
      <c r="A254" s="8" t="str">
        <f>IFERROR(__xludf.DUMMYFUNCTION("""COMPUTED_VALUE"""),"Gall Bladder")</f>
        <v>Gall Bladder</v>
      </c>
      <c r="B254" s="8" t="str">
        <f>IFERROR(__xludf.DUMMYFUNCTION("""COMPUTED_VALUE"""),"Where excess bile is stored. Stored for what, we don’t know.")</f>
        <v>Where excess bile is stored. Stored for what, we don’t know.</v>
      </c>
      <c r="C254" s="13" t="str">
        <f>IFERROR(__xludf.DUMMYFUNCTION("""COMPUTED_VALUE"""),"""ds{l"":{""label"":""Gall Bladder"",""extra"":""Where excess bile is stored. Stored for what, we don’t know."",""sets"":""Expansion Set 2, Party Set""},")</f>
        <v>"ds{l":{"label":"Gall Bladder","extra":"Where excess bile is stored. Stored for what, we don’t know.","sets":"Expansion Set 2, Party Set"},</v>
      </c>
    </row>
    <row r="255">
      <c r="A255" s="8" t="str">
        <f>IFERROR(__xludf.DUMMYFUNCTION("""COMPUTED_VALUE"""),"Gang Members")</f>
        <v>Gang Members</v>
      </c>
      <c r="B255" s="8" t="str">
        <f>IFERROR(__xludf.DUMMYFUNCTION("""COMPUTED_VALUE"""),"“When you’re a Jet, you’re a Jet all the way…” —West Side Story")</f>
        <v>“When you’re a Jet, you’re a Jet all the way…” —West Side Story</v>
      </c>
      <c r="C255" s="13" t="str">
        <f>IFERROR(__xludf.DUMMYFUNCTION("""COMPUTED_VALUE"""),"""txad"":{""label"":""Gang Members"",""extra"":""“When you’re a Jet, you’re a Jet all the way…” —West Side Story"",""sets"":""Basic Set, Party Set""},")</f>
        <v>"txad":{"label":"Gang Members","extra":"“When you’re a Jet, you’re a Jet all the way…” —West Side Story","sets":"Basic Set, Party Set"},</v>
      </c>
    </row>
    <row r="256">
      <c r="A256" s="8" t="str">
        <f>IFERROR(__xludf.DUMMYFUNCTION("""COMPUTED_VALUE"""),"Garrison Keillor")</f>
        <v>Garrison Keillor</v>
      </c>
      <c r="B256" s="8" t="str">
        <f>IFERROR(__xludf.DUMMYFUNCTION("""COMPUTED_VALUE"""),"1942-, American author and radio star. He shares the Midwest perspective with 2.6 million listeners each week on “A Prairie Home Companion.”")</f>
        <v>1942-, American author and radio star. He shares the Midwest perspective with 2.6 million listeners each week on “A Prairie Home Companion.”</v>
      </c>
      <c r="C256" s="13" t="str">
        <f>IFERROR(__xludf.DUMMYFUNCTION("""COMPUTED_VALUE"""),"""eerm"":{""label"":""Garrison Keillor"",""extra"":""1942-, American author and radio star. He shares the Midwest perspective with 2.6 million listeners each week on “A Prairie Home Companion.”"",""sets"":""Expansion Set 2, Party Set""},")</f>
        <v>"eerm":{"label":"Garrison Keillor","extra":"1942-, American author and radio star. He shares the Midwest perspective with 2.6 million listeners each week on “A Prairie Home Companion.”","sets":"Expansion Set 2, Party Set"},</v>
      </c>
    </row>
    <row r="257">
      <c r="A257" s="8" t="str">
        <f>IFERROR(__xludf.DUMMYFUNCTION("""COMPUTED_VALUE"""),"Garth Brooks")</f>
        <v>Garth Brooks</v>
      </c>
      <c r="B257" s="8" t="str">
        <f>IFERROR(__xludf.DUMMYFUNCTION("""COMPUTED_VALUE"""),"1962-, American country music singer and songwriter. He's got friends in low places.")</f>
        <v>1962-, American country music singer and songwriter. He's got friends in low places.</v>
      </c>
      <c r="C257" s="13" t="str">
        <f>IFERROR(__xludf.DUMMYFUNCTION("""COMPUTED_VALUE"""),"""eqmd"":{""label"":""Garth Brooks"",""extra"":""1962-, American country music singer and songwriter. He's got friends in low places."",""sets"":""Basic Set, Party Set""},")</f>
        <v>"eqmd":{"label":"Garth Brooks","extra":"1962-, American country music singer and songwriter. He's got friends in low places.","sets":"Basic Set, Party Set"},</v>
      </c>
    </row>
    <row r="258">
      <c r="A258" s="8" t="str">
        <f>IFERROR(__xludf.DUMMYFUNCTION("""COMPUTED_VALUE"""),"Geishas")</f>
        <v>Geishas</v>
      </c>
      <c r="B258" s="8" t="str">
        <f>IFERROR(__xludf.DUMMYFUNCTION("""COMPUTED_VALUE"""),"Japanese women training in traditional singing, dancing, and entertaining. Of course, you would never recognize them without all that make-up.")</f>
        <v>Japanese women training in traditional singing, dancing, and entertaining. Of course, you would never recognize them without all that make-up.</v>
      </c>
      <c r="C258" s="13" t="str">
        <f>IFERROR(__xludf.DUMMYFUNCTION("""COMPUTED_VALUE"""),"""zvvo"":{""label"":""Geishas"",""extra"":""Japanese women training in traditional singing, dancing, and entertaining. Of course, you would never recognize them without all that make-up."",""sets"":""Expansion Set 2, Party Set""},")</f>
        <v>"zvvo":{"label":"Geishas","extra":"Japanese women training in traditional singing, dancing, and entertaining. Of course, you would never recognize them without all that make-up.","sets":"Expansion Set 2, Party Set"},</v>
      </c>
    </row>
    <row r="259">
      <c r="A259" s="8" t="str">
        <f>IFERROR(__xludf.DUMMYFUNCTION("""COMPUTED_VALUE"""),"Gen. George S. Patton")</f>
        <v>Gen. George S. Patton</v>
      </c>
      <c r="B259" s="8" t="str">
        <f>IFERROR(__xludf.DUMMYFUNCTION("""COMPUTED_VALUE"""),"1885-1945, the commander of the American Third Army during World War II. - a.k.a. Olf Blood and Guts")</f>
        <v>1885-1945, the commander of the American Third Army during World War II. - a.k.a. Olf Blood and Guts</v>
      </c>
      <c r="C259" s="13" t="str">
        <f>IFERROR(__xludf.DUMMYFUNCTION("""COMPUTED_VALUE"""),"""xryc"":{""label"":""Gen. George S. Patton"",""extra"":""1885-1945, the commander of the American Third Army during World War II. - a.k.a. Olf Blood and Guts"",""sets"":""Expansion Set 1, Party Set""},")</f>
        <v>"xryc":{"label":"Gen. George S. Patton","extra":"1885-1945, the commander of the American Third Army during World War II. - a.k.a. Olf Blood and Guts","sets":"Expansion Set 1, Party Set"},</v>
      </c>
    </row>
    <row r="260">
      <c r="A260" s="8" t="str">
        <f>IFERROR(__xludf.DUMMYFUNCTION("""COMPUTED_VALUE"""),"Genetic Engineering")</f>
        <v>Genetic Engineering</v>
      </c>
      <c r="B260" s="8" t="str">
        <f>IFERROR(__xludf.DUMMYFUNCTION("""COMPUTED_VALUE"""),"What DO you get when you cross a monkey with a potato?")</f>
        <v>What DO you get when you cross a monkey with a potato?</v>
      </c>
      <c r="C260" s="13" t="str">
        <f>IFERROR(__xludf.DUMMYFUNCTION("""COMPUTED_VALUE"""),"""usqh"":{""label"":""Genetic Engineering"",""extra"":""What DO you get when you cross a monkey with a potato?"",""sets"":""Expansion Set 2, Party Set""},")</f>
        <v>"usqh":{"label":"Genetic Engineering","extra":"What DO you get when you cross a monkey with a potato?","sets":"Expansion Set 2, Party Set"},</v>
      </c>
    </row>
    <row r="261">
      <c r="A261" s="8" t="str">
        <f>IFERROR(__xludf.DUMMYFUNCTION("""COMPUTED_VALUE"""),"George W. Bush")</f>
        <v>George W. Bush</v>
      </c>
      <c r="B261" s="8" t="str">
        <f>IFERROR(__xludf.DUMMYFUNCTION("""COMPUTED_VALUE"""),"1946-, 43rd president of the United States. The second time ever that the son of a former president was elected to the office.")</f>
        <v>1946-, 43rd president of the United States. The second time ever that the son of a former president was elected to the office.</v>
      </c>
      <c r="C261" s="13" t="str">
        <f>IFERROR(__xludf.DUMMYFUNCTION("""COMPUTED_VALUE"""),"""{eqk"":{""label"":""George W. Bush"",""extra"":""1946-, 43rd president of the United States. The second time ever that the son of a former president was elected to the office."",""sets"":""(Basic Set (2001 Printing Forward), Party Set""},")</f>
        <v>"{eqk":{"label":"George W. Bush","extra":"1946-, 43rd president of the United States. The second time ever that the son of a former president was elected to the office.","sets":"(Basic Set (2001 Printing Forward), Party Set"},</v>
      </c>
    </row>
    <row r="262">
      <c r="A262" s="8" t="str">
        <f>IFERROR(__xludf.DUMMYFUNCTION("""COMPUTED_VALUE"""),"George Washington")</f>
        <v>George Washington</v>
      </c>
      <c r="B262" s="8" t="str">
        <f>IFERROR(__xludf.DUMMYFUNCTION("""COMPUTED_VALUE"""),"1732-99, First President of the United States. He chopped down a cherry tree to make false teeth, or something like that…")</f>
        <v>1732-99, First President of the United States. He chopped down a cherry tree to make false teeth, or something like that…</v>
      </c>
      <c r="C262" s="13" t="str">
        <f>IFERROR(__xludf.DUMMYFUNCTION("""COMPUTED_VALUE"""),"""pkng"":{""label"":""George Washington"",""extra"":""1732-99, First President of the United States. He chopped down a cherry tree to make false teeth, or something like that…"",""sets"":""Expansion Set 2, Party Set""},")</f>
        <v>"pkng":{"label":"George Washington","extra":"1732-99, First President of the United States. He chopped down a cherry tree to make false teeth, or something like that…","sets":"Expansion Set 2, Party Set"},</v>
      </c>
    </row>
    <row r="263">
      <c r="A263" s="8" t="str">
        <f>IFERROR(__xludf.DUMMYFUNCTION("""COMPUTED_VALUE"""),"Georgia O'Keeffe")</f>
        <v>Georgia O'Keeffe</v>
      </c>
      <c r="B263" s="8" t="str">
        <f>IFERROR(__xludf.DUMMYFUNCTION("""COMPUTED_VALUE"""),"1887-1986, American abstract painter known for her still life compositions. Her skull paintings prove that beauty is more than skin deep.")</f>
        <v>1887-1986, American abstract painter known for her still life compositions. Her skull paintings prove that beauty is more than skin deep.</v>
      </c>
      <c r="C263" s="13" t="str">
        <f>IFERROR(__xludf.DUMMYFUNCTION("""COMPUTED_VALUE"""),"""zdej"":{""label"":""Georgia O'Keeffe"",""extra"":""1887-1986, American abstract painter known for her still life compositions. Her skull paintings prove that beauty is more than skin deep."",""sets"":""Expansion Set 1, Party Set""},")</f>
        <v>"zdej":{"label":"Georgia O'Keeffe","extra":"1887-1986, American abstract painter known for her still life compositions. Her skull paintings prove that beauty is more than skin deep.","sets":"Expansion Set 1, Party Set"},</v>
      </c>
    </row>
    <row r="264">
      <c r="A264" s="8" t="str">
        <f>IFERROR(__xludf.DUMMYFUNCTION("""COMPUTED_VALUE"""),"Getting A Hug")</f>
        <v>Getting A Hug</v>
      </c>
      <c r="B264" s="8" t="str">
        <f>IFERROR(__xludf.DUMMYFUNCTION("""COMPUTED_VALUE"""),"Hmmmm… nice.")</f>
        <v>Hmmmm… nice.</v>
      </c>
      <c r="C264" s="13" t="str">
        <f>IFERROR(__xludf.DUMMYFUNCTION("""COMPUTED_VALUE"""),"""xpxq"":{""label"":""Getting A Hug"",""extra"":""Hmmmm… nice."",""sets"":""Basic Set, Party Set""},")</f>
        <v>"xpxq":{"label":"Getting A Hug","extra":"Hmmmm… nice.","sets":"Basic Set, Party Set"},</v>
      </c>
    </row>
    <row r="265">
      <c r="A265" s="8" t="str">
        <f>IFERROR(__xludf.DUMMYFUNCTION("""COMPUTED_VALUE"""),"Ghost Towns")</f>
        <v>Ghost Towns</v>
      </c>
      <c r="B265" s="8" t="str">
        <f>IFERROR(__xludf.DUMMYFUNCTION("""COMPUTED_VALUE"""),"Population unknown.")</f>
        <v>Population unknown.</v>
      </c>
      <c r="C265" s="13" t="str">
        <f>IFERROR(__xludf.DUMMYFUNCTION("""COMPUTED_VALUE"""),"""hgmx"":{""label"":""Ghost Towns"",""extra"":""Population unknown."",""sets"":""Expansion Set 2, Party Set""},")</f>
        <v>"hgmx":{"label":"Ghost Towns","extra":"Population unknown.","sets":"Expansion Set 2, Party Set"},</v>
      </c>
    </row>
    <row r="266">
      <c r="A266" s="8" t="str">
        <f>IFERROR(__xludf.DUMMYFUNCTION("""COMPUTED_VALUE"""),"Ghosts")</f>
        <v>Ghosts</v>
      </c>
      <c r="B266" s="8" t="str">
        <f>IFERROR(__xludf.DUMMYFUNCTION("""COMPUTED_VALUE"""),"Nonmaterial embodiments or the essence of organisms (mostly human beings). Quite spirited")</f>
        <v>Nonmaterial embodiments or the essence of organisms (mostly human beings). Quite spirited</v>
      </c>
      <c r="C266" s="13" t="str">
        <f>IFERROR(__xludf.DUMMYFUNCTION("""COMPUTED_VALUE"""),"""vnom"":{""label"":""Ghosts"",""extra"":""Nonmaterial embodiments or the essence of organisms (mostly human beings). Quite spirited"",""sets"":""Basic Set, Party Set""},")</f>
        <v>"vnom":{"label":"Ghosts","extra":"Nonmaterial embodiments or the essence of organisms (mostly human beings). Quite spirited","sets":"Basic Set, Party Set"},</v>
      </c>
    </row>
    <row r="267">
      <c r="A267" s="8" t="str">
        <f>IFERROR(__xludf.DUMMYFUNCTION("""COMPUTED_VALUE"""),"Giant Squid")</f>
        <v>Giant Squid</v>
      </c>
      <c r="B267" s="8" t="str">
        <f>IFERROR(__xludf.DUMMYFUNCTION("""COMPUTED_VALUE"""),"Going fishing for giant squid? Nautilus I have to…")</f>
        <v>Going fishing for giant squid? Nautilus I have to…</v>
      </c>
      <c r="C267" s="13" t="str">
        <f>IFERROR(__xludf.DUMMYFUNCTION("""COMPUTED_VALUE"""),"""yyiu"":{""label"":""Giant Squid"",""extra"":""Going fishing for giant squid? Nautilus I have to…"",""sets"":""Basic Set, Party Set""},")</f>
        <v>"yyiu":{"label":"Giant Squid","extra":"Going fishing for giant squid? Nautilus I have to…","sets":"Basic Set, Party Set"},</v>
      </c>
    </row>
    <row r="268">
      <c r="A268" s="8" t="str">
        <f>IFERROR(__xludf.DUMMYFUNCTION("""COMPUTED_VALUE"""),"Gila Monsters")</f>
        <v>Gila Monsters</v>
      </c>
      <c r="B268" s="8" t="str">
        <f>IFERROR(__xludf.DUMMYFUNCTION("""COMPUTED_VALUE"""),"The largest, and only poisonous lizard found in the United States.")</f>
        <v>The largest, and only poisonous lizard found in the United States.</v>
      </c>
      <c r="C268" s="13" t="str">
        <f>IFERROR(__xludf.DUMMYFUNCTION("""COMPUTED_VALUE"""),"""cvco"":{""label"":""Gila Monsters"",""extra"":""The largest, and only poisonous lizard found in the United States."",""sets"":""Expansion Set 2, Party Set""},")</f>
        <v>"cvco":{"label":"Gila Monsters","extra":"The largest, and only poisonous lizard found in the United States.","sets":"Expansion Set 2, Party Set"},</v>
      </c>
    </row>
    <row r="269">
      <c r="A269" s="8" t="str">
        <f>IFERROR(__xludf.DUMMYFUNCTION("""COMPUTED_VALUE"""),"Gingko Trees")</f>
        <v>Gingko Trees</v>
      </c>
      <c r="B269" s="8" t="str">
        <f>IFERROR(__xludf.DUMMYFUNCTION("""COMPUTED_VALUE"""),"An Asiatic tree, Gingko biloba, known for its fan shaped leaves. We can’t remember what it's good for.")</f>
        <v>An Asiatic tree, Gingko biloba, known for its fan shaped leaves. We can’t remember what it's good for.</v>
      </c>
      <c r="C269" s="13" t="str">
        <f>IFERROR(__xludf.DUMMYFUNCTION("""COMPUTED_VALUE"""),"""ycri"":{""label"":""Gingko Trees"",""extra"":""An Asiatic tree, Gingko biloba, known for its fan shaped leaves. We can’t remember what it's good for."",""sets"":""Expansion Set 2, Party Set""},")</f>
        <v>"ycri":{"label":"Gingko Trees","extra":"An Asiatic tree, Gingko biloba, known for its fan shaped leaves. We can’t remember what it's good for.","sets":"Expansion Set 2, Party Set"},</v>
      </c>
    </row>
    <row r="270">
      <c r="A270" s="8" t="str">
        <f>IFERROR(__xludf.DUMMYFUNCTION("""COMPUTED_VALUE"""),"Ginseng")</f>
        <v>Ginseng</v>
      </c>
      <c r="B270" s="8" t="str">
        <f>IFERROR(__xludf.DUMMYFUNCTION("""COMPUTED_VALUE"""),"Common name for plants of the ginseng family, source of a stimulant and a supposed aphrodisiac.")</f>
        <v>Common name for plants of the ginseng family, source of a stimulant and a supposed aphrodisiac.</v>
      </c>
      <c r="C270" s="13" t="str">
        <f>IFERROR(__xludf.DUMMYFUNCTION("""COMPUTED_VALUE"""),"""bmco"":{""label"":""Ginseng"",""extra"":""Common name for plants of the ginseng family, source of a stimulant and a supposed aphrodisiac."",""sets"":""Expansion Set 1, Party Set""},")</f>
        <v>"bmco":{"label":"Ginseng","extra":"Common name for plants of the ginseng family, source of a stimulant and a supposed aphrodisiac.","sets":"Expansion Set 1, Party Set"},</v>
      </c>
    </row>
    <row r="271">
      <c r="A271" s="8" t="str">
        <f>IFERROR(__xludf.DUMMYFUNCTION("""COMPUTED_VALUE"""),"Girl Scouts")</f>
        <v>Girl Scouts</v>
      </c>
      <c r="B271" s="8" t="str">
        <f>IFERROR(__xludf.DUMMYFUNCTION("""COMPUTED_VALUE"""),"I’ll take six boxes of Thin Mints and three of the… you know, the kind with the peanut butter.")</f>
        <v>I’ll take six boxes of Thin Mints and three of the… you know, the kind with the peanut butter.</v>
      </c>
      <c r="C271" s="13" t="str">
        <f>IFERROR(__xludf.DUMMYFUNCTION("""COMPUTED_VALUE"""),"""ezvz"":{""label"":""Girl Scouts"",""extra"":""I’ll take six boxes of Thin Mints and three of the… you know, the kind with the peanut butter."",""sets"":""Expansion Set 1, Party Set""},")</f>
        <v>"ezvz":{"label":"Girl Scouts","extra":"I’ll take six boxes of Thin Mints and three of the… you know, the kind with the peanut butter.","sets":"Expansion Set 1, Party Set"},</v>
      </c>
    </row>
    <row r="272">
      <c r="A272" s="8" t="str">
        <f>IFERROR(__xludf.DUMMYFUNCTION("""COMPUTED_VALUE"""),"Girlfriends")</f>
        <v>Girlfriends</v>
      </c>
      <c r="B272" s="8" t="str">
        <f>IFERROR(__xludf.DUMMYFUNCTION("""COMPUTED_VALUE"""),"Girlfriend let’s talk!")</f>
        <v>Girlfriend let’s talk!</v>
      </c>
      <c r="C272" s="13" t="str">
        <f>IFERROR(__xludf.DUMMYFUNCTION("""COMPUTED_VALUE"""),"""zfzs"":{""label"":""Girlfriends"",""extra"":""Girlfriend let’s talk!"",""sets"":""Expansion Set 2, Party Set""},")</f>
        <v>"zfzs":{"label":"Girlfriends","extra":"Girlfriend let’s talk!","sets":"Expansion Set 2, Party Set"},</v>
      </c>
    </row>
    <row r="273">
      <c r="A273" s="8" t="str">
        <f>IFERROR(__xludf.DUMMYFUNCTION("""COMPUTED_VALUE"""),"Giving A Hug")</f>
        <v>Giving A Hug</v>
      </c>
      <c r="B273" s="8" t="str">
        <f>IFERROR(__xludf.DUMMYFUNCTION("""COMPUTED_VALUE"""),"“One may give without loving; but none can love without giving.” —Anonymous")</f>
        <v>“One may give without loving; but none can love without giving.” —Anonymous</v>
      </c>
      <c r="C273" s="13" t="str">
        <f>IFERROR(__xludf.DUMMYFUNCTION("""COMPUTED_VALUE"""),"""hjpb"":{""label"":""Giving A Hug"",""extra"":""“One may give without loving; but none can love without giving.” —Anonymous"",""sets"":""Basic Set, Party Set""},")</f>
        <v>"hjpb":{"label":"Giving A Hug","extra":"“One may give without loving; but none can love without giving.” —Anonymous","sets":"Basic Set, Party Set"},</v>
      </c>
    </row>
    <row r="274">
      <c r="A274" s="8" t="str">
        <f>IFERROR(__xludf.DUMMYFUNCTION("""COMPUTED_VALUE"""),"Glaciers")</f>
        <v>Glaciers</v>
      </c>
      <c r="B274" s="8" t="str">
        <f>IFERROR(__xludf.DUMMYFUNCTION("""COMPUTED_VALUE"""),"It’ll be a cold day when we see THEM again…")</f>
        <v>It’ll be a cold day when we see THEM again…</v>
      </c>
      <c r="C274" s="13" t="str">
        <f>IFERROR(__xludf.DUMMYFUNCTION("""COMPUTED_VALUE"""),"""dzae"":{""label"":""Glaciers"",""extra"":""It’ll be a cold day when we see THEM again…"",""sets"":""Expansion Set 2, Party Set""},")</f>
        <v>"dzae":{"label":"Glaciers","extra":"It’ll be a cold day when we see THEM again…","sets":"Expansion Set 2, Party Set"},</v>
      </c>
    </row>
    <row r="275">
      <c r="A275" s="8" t="str">
        <f>IFERROR(__xludf.DUMMYFUNCTION("""COMPUTED_VALUE"""),"Glazed Donuts")</f>
        <v>Glazed Donuts</v>
      </c>
      <c r="B275" s="8" t="str">
        <f>IFERROR(__xludf.DUMMYFUNCTION("""COMPUTED_VALUE"""),"If you’re going to be late, take a box of donuts.")</f>
        <v>If you’re going to be late, take a box of donuts.</v>
      </c>
      <c r="C275" s="13" t="str">
        <f>IFERROR(__xludf.DUMMYFUNCTION("""COMPUTED_VALUE"""),"""fspp"":{""label"":""Glazed Donuts"",""extra"":""If you’re going to be late, take a box of donuts."",""sets"":""Expansion Set 2, Party Set""},")</f>
        <v>"fspp":{"label":"Glazed Donuts","extra":"If you’re going to be late, take a box of donuts.","sets":"Expansion Set 2, Party Set"},</v>
      </c>
    </row>
    <row r="276">
      <c r="A276" s="8" t="str">
        <f>IFERROR(__xludf.DUMMYFUNCTION("""COMPUTED_VALUE"""),"Global Warming")</f>
        <v>Global Warming</v>
      </c>
      <c r="B276" s="8" t="str">
        <f>IFERROR(__xludf.DUMMYFUNCTION("""COMPUTED_VALUE"""),"Is it hot in here, or is it just me?")</f>
        <v>Is it hot in here, or is it just me?</v>
      </c>
      <c r="C276" s="13" t="str">
        <f>IFERROR(__xludf.DUMMYFUNCTION("""COMPUTED_VALUE"""),"""grec"":{""label"":""Global Warming"",""extra"":""Is it hot in here, or is it just me?"",""sets"":""Expansion Set 1, Party Set""},")</f>
        <v>"grec":{"label":"Global Warming","extra":"Is it hot in here, or is it just me?","sets":"Expansion Set 1, Party Set"},</v>
      </c>
    </row>
    <row r="277">
      <c r="A277" s="8" t="str">
        <f>IFERROR(__xludf.DUMMYFUNCTION("""COMPUTED_VALUE"""),"Going To Church")</f>
        <v>Going To Church</v>
      </c>
      <c r="B277" s="8" t="str">
        <f>IFERROR(__xludf.DUMMYFUNCTION("""COMPUTED_VALUE"""),"Weddings, funerals, bazaars, and bingo!")</f>
        <v>Weddings, funerals, bazaars, and bingo!</v>
      </c>
      <c r="C277" s="13" t="str">
        <f>IFERROR(__xludf.DUMMYFUNCTION("""COMPUTED_VALUE"""),"""bdvi"":{""label"":""Going To Church"",""extra"":""Weddings, funerals, bazaars, and bingo!"",""sets"":""Expansion Set 2, Party Set""},")</f>
        <v>"bdvi":{"label":"Going To Church","extra":"Weddings, funerals, bazaars, and bingo!","sets":"Expansion Set 2, Party Set"},</v>
      </c>
    </row>
    <row r="278">
      <c r="A278" s="8" t="str">
        <f>IFERROR(__xludf.DUMMYFUNCTION("""COMPUTED_VALUE"""),"Going To Grandma's")</f>
        <v>Going To Grandma's</v>
      </c>
      <c r="B278" s="8" t="str">
        <f>IFERROR(__xludf.DUMMYFUNCTION("""COMPUTED_VALUE"""),"“Grandmother, what big teeth you have!” —Little Red Riding Hood")</f>
        <v>“Grandmother, what big teeth you have!” —Little Red Riding Hood</v>
      </c>
      <c r="C278" s="13" t="str">
        <f>IFERROR(__xludf.DUMMYFUNCTION("""COMPUTED_VALUE"""),"""qhmv"":{""label"":""Going To Grandma's"",""extra"":""“Grandmother, what big teeth you have!” —Little Red Riding Hood"",""sets"":""Expansion Set 1, Party Set""},")</f>
        <v>"qhmv":{"label":"Going To Grandma's","extra":"“Grandmother, what big teeth you have!” —Little Red Riding Hood","sets":"Expansion Set 1, Party Set"},</v>
      </c>
    </row>
    <row r="279">
      <c r="A279" s="8" t="str">
        <f>IFERROR(__xludf.DUMMYFUNCTION("""COMPUTED_VALUE"""),"Going To School")</f>
        <v>Going To School</v>
      </c>
      <c r="B279" s="8" t="str">
        <f>IFERROR(__xludf.DUMMYFUNCTION("""COMPUTED_VALUE"""),"Secondary education? It's elementary.")</f>
        <v>Secondary education? It's elementary.</v>
      </c>
      <c r="C279" s="13" t="str">
        <f>IFERROR(__xludf.DUMMYFUNCTION("""COMPUTED_VALUE"""),"""kwbn"":{""label"":""Going To School"",""extra"":""Secondary education? It's elementary."",""sets"":""Basic Set, Party Set""},")</f>
        <v>"kwbn":{"label":"Going To School","extra":"Secondary education? It's elementary.","sets":"Basic Set, Party Set"},</v>
      </c>
    </row>
    <row r="280">
      <c r="A280" s="8" t="str">
        <f>IFERROR(__xludf.DUMMYFUNCTION("""COMPUTED_VALUE"""),"Going To The Dentist")</f>
        <v>Going To The Dentist</v>
      </c>
      <c r="B280" s="8" t="str">
        <f>IFERROR(__xludf.DUMMYFUNCTION("""COMPUTED_VALUE"""),"This won’t hurt a bit…")</f>
        <v>This won’t hurt a bit…</v>
      </c>
      <c r="C280" s="13" t="str">
        <f>IFERROR(__xludf.DUMMYFUNCTION("""COMPUTED_VALUE"""),"""xisb"":{""label"":""Going To The Dentist"",""extra"":""This won’t hurt a bit…"",""sets"":""Basic Set, Party Set""},")</f>
        <v>"xisb":{"label":"Going To The Dentist","extra":"This won’t hurt a bit…","sets":"Basic Set, Party Set"},</v>
      </c>
    </row>
    <row r="281">
      <c r="A281" s="8" t="str">
        <f>IFERROR(__xludf.DUMMYFUNCTION("""COMPUTED_VALUE"""),"Going To The Gym")</f>
        <v>Going To The Gym</v>
      </c>
      <c r="B281" s="8" t="str">
        <f>IFERROR(__xludf.DUMMYFUNCTION("""COMPUTED_VALUE"""),"No pain, no gain.")</f>
        <v>No pain, no gain.</v>
      </c>
      <c r="C281" s="13" t="str">
        <f>IFERROR(__xludf.DUMMYFUNCTION("""COMPUTED_VALUE"""),"""lnjp"":{""label"":""Going To The Gym"",""extra"":""No pain, no gain."",""sets"":""Basic Set, Party Set""},")</f>
        <v>"lnjp":{"label":"Going To The Gym","extra":"No pain, no gain.","sets":"Basic Set, Party Set"},</v>
      </c>
    </row>
    <row r="282">
      <c r="A282" s="8" t="str">
        <f>IFERROR(__xludf.DUMMYFUNCTION("""COMPUTED_VALUE"""),"Gold Chains")</f>
        <v>Gold Chains</v>
      </c>
      <c r="B282" s="8" t="str">
        <f>IFERROR(__xludf.DUMMYFUNCTION("""COMPUTED_VALUE"""),"The more, the better.")</f>
        <v>The more, the better.</v>
      </c>
      <c r="C282" s="13" t="str">
        <f>IFERROR(__xludf.DUMMYFUNCTION("""COMPUTED_VALUE"""),"""okil"":{""label"":""Gold Chains"",""extra"":""The more, the better."",""sets"":""Expansion Set 2, Party Set""},")</f>
        <v>"okil":{"label":"Gold Chains","extra":"The more, the better.","sets":"Expansion Set 2, Party Set"},</v>
      </c>
    </row>
    <row r="283">
      <c r="A283" s="8" t="str">
        <f>IFERROR(__xludf.DUMMYFUNCTION("""COMPUTED_VALUE"""),"Goldfish")</f>
        <v>Goldfish</v>
      </c>
      <c r="B283" s="8" t="str">
        <f>IFERROR(__xludf.DUMMYFUNCTION("""COMPUTED_VALUE"""),"The pet, the carnival prize, or the snack cracker.")</f>
        <v>The pet, the carnival prize, or the snack cracker.</v>
      </c>
      <c r="C283" s="13" t="str">
        <f>IFERROR(__xludf.DUMMYFUNCTION("""COMPUTED_VALUE"""),"""pbqx"":{""label"":""Goldfish"",""extra"":""The pet, the carnival prize, or the snack cracker."",""sets"":""Expansion Set 2, Party Set""},")</f>
        <v>"pbqx":{"label":"Goldfish","extra":"The pet, the carnival prize, or the snack cracker.","sets":"Expansion Set 2, Party Set"},</v>
      </c>
    </row>
    <row r="284">
      <c r="A284" s="8" t="str">
        <f>IFERROR(__xludf.DUMMYFUNCTION("""COMPUTED_VALUE"""),"Goldie Hawn")</f>
        <v>Goldie Hawn</v>
      </c>
      <c r="B284" s="8" t="str">
        <f>IFERROR(__xludf.DUMMYFUNCTION("""COMPUTED_VALUE"""),"1945-, American actor and producer. Famous for playing ditzy blondesreally well!")</f>
        <v>1945-, American actor and producer. Famous for playing ditzy blondesreally well!</v>
      </c>
      <c r="C284" s="13" t="str">
        <f>IFERROR(__xludf.DUMMYFUNCTION("""COMPUTED_VALUE"""),"""hjsr"":{""label"":""Goldie Hawn"",""extra"":""1945-, American actor and producer. Famous for playing ditzy blondesreally well!"",""sets"":""Expansion Set 1, Party Set""},")</f>
        <v>"hjsr":{"label":"Goldie Hawn","extra":"1945-, American actor and producer. Famous for playing ditzy blondesreally well!","sets":"Expansion Set 1, Party Set"},</v>
      </c>
    </row>
    <row r="285">
      <c r="A285" s="8" t="str">
        <f>IFERROR(__xludf.DUMMYFUNCTION("""COMPUTED_VALUE"""),"Golf-Ball-Sized Hail")</f>
        <v>Golf-Ball-Sized Hail</v>
      </c>
      <c r="B285" s="8" t="str">
        <f>IFERROR(__xludf.DUMMYFUNCTION("""COMPUTED_VALUE"""),"…which is almost as impressive as hail-sized golf balls…")</f>
        <v>…which is almost as impressive as hail-sized golf balls…</v>
      </c>
      <c r="C285" s="13" t="str">
        <f>IFERROR(__xludf.DUMMYFUNCTION("""COMPUTED_VALUE"""),"""dfzz"":{""label"":""Golf-Ball-Sized Hail"",""extra"":""…which is almost as impressive as hail-sized golf balls…"",""sets"":""Basic Set, Party Set""},")</f>
        <v>"dfzz":{"label":"Golf-Ball-Sized Hail","extra":"…which is almost as impressive as hail-sized golf balls…","sets":"Basic Set, Party Set"},</v>
      </c>
    </row>
    <row r="286">
      <c r="A286" s="8" t="str">
        <f>IFERROR(__xludf.DUMMYFUNCTION("""COMPUTED_VALUE"""),"Gossip")</f>
        <v>Gossip</v>
      </c>
      <c r="B286" s="8" t="str">
        <f>IFERROR(__xludf.DUMMYFUNCTION("""COMPUTED_VALUE"""),"Petty, backbiting rumor-mongering. See also: journalism.")</f>
        <v>Petty, backbiting rumor-mongering. See also: journalism.</v>
      </c>
      <c r="C286" s="13" t="str">
        <f>IFERROR(__xludf.DUMMYFUNCTION("""COMPUTED_VALUE"""),"""axby"":{""label"":""Gossip"",""extra"":""Petty, backbiting rumor-mongering. See also: journalism."",""sets"":""Expansion Set 1, Party Set""},")</f>
        <v>"axby":{"label":"Gossip","extra":"Petty, backbiting rumor-mongering. See also: journalism.","sets":"Expansion Set 1, Party Set"},</v>
      </c>
    </row>
    <row r="287">
      <c r="A287" s="8" t="str">
        <f>IFERROR(__xludf.DUMMYFUNCTION("""COMPUTED_VALUE"""),"Grace Kelly")</f>
        <v>Grace Kelly</v>
      </c>
      <c r="B287" s="8" t="str">
        <f>IFERROR(__xludf.DUMMYFUNCTION("""COMPUTED_VALUE"""),"1929-82, Princess of Monaco and American film star of “Dial M for Murder”, “Rear Window”, and “To Catch a Thief.” Always chic, always elegant.")</f>
        <v>1929-82, Princess of Monaco and American film star of “Dial M for Murder”, “Rear Window”, and “To Catch a Thief.” Always chic, always elegant.</v>
      </c>
      <c r="C287" s="13" t="str">
        <f>IFERROR(__xludf.DUMMYFUNCTION("""COMPUTED_VALUE"""),"""qyxd"":{""label"":""Grace Kelly"",""extra"":""1929-82, Princess of Monaco and American film star of “Dial M for Murder”, “Rear Window”, and “To Catch a Thief.” Always chic, always elegant."",""sets"":""Expansion Set 2, Party Set""},")</f>
        <v>"qyxd":{"label":"Grace Kelly","extra":"1929-82, Princess of Monaco and American film star of “Dial M for Murder”, “Rear Window”, and “To Catch a Thief.” Always chic, always elegant.","sets":"Expansion Set 2, Party Set"},</v>
      </c>
    </row>
    <row r="288">
      <c r="A288" s="8" t="str">
        <f>IFERROR(__xludf.DUMMYFUNCTION("""COMPUTED_VALUE"""),"Graffiti")</f>
        <v>Graffiti</v>
      </c>
      <c r="B288" s="8" t="str">
        <f>IFERROR(__xludf.DUMMYFUNCTION("""COMPUTED_VALUE"""),"Art in a can. We’re drawn to it.")</f>
        <v>Art in a can. We’re drawn to it.</v>
      </c>
      <c r="C288" s="13" t="str">
        <f>IFERROR(__xludf.DUMMYFUNCTION("""COMPUTED_VALUE"""),"""zprt"":{""label"":""Graffiti"",""extra"":""Art in a can. We’re drawn to it."",""sets"":""Expansion Set 1, Party Set""},")</f>
        <v>"zprt":{"label":"Graffiti","extra":"Art in a can. We’re drawn to it.","sets":"Expansion Set 1, Party Set"},</v>
      </c>
    </row>
    <row r="289">
      <c r="A289" s="8" t="str">
        <f>IFERROR(__xludf.DUMMYFUNCTION("""COMPUTED_VALUE"""),"Grass Skirts")</f>
        <v>Grass Skirts</v>
      </c>
      <c r="B289" s="8" t="str">
        <f>IFERROR(__xludf.DUMMYFUNCTION("""COMPUTED_VALUE"""),"Hula loves you, baby?")</f>
        <v>Hula loves you, baby?</v>
      </c>
      <c r="C289" s="13" t="str">
        <f>IFERROR(__xludf.DUMMYFUNCTION("""COMPUTED_VALUE"""),"""ptxx"":{""label"":""Grass Skirts"",""extra"":""Hula loves you, baby?"",""sets"":""Expansion Set 2, Party Set""},")</f>
        <v>"ptxx":{"label":"Grass Skirts","extra":"Hula loves you, baby?","sets":"Expansion Set 2, Party Set"},</v>
      </c>
    </row>
    <row r="290">
      <c r="A290" s="8" t="str">
        <f>IFERROR(__xludf.DUMMYFUNCTION("""COMPUTED_VALUE"""),"Grave Robbers")</f>
        <v>Grave Robbers</v>
      </c>
      <c r="B290" s="8" t="str">
        <f>IFERROR(__xludf.DUMMYFUNCTION("""COMPUTED_VALUE"""),"Famous for their bodies of work.")</f>
        <v>Famous for their bodies of work.</v>
      </c>
      <c r="C290" s="13" t="str">
        <f>IFERROR(__xludf.DUMMYFUNCTION("""COMPUTED_VALUE"""),"""maqp"":{""label"":""Grave Robbers"",""extra"":""Famous for their bodies of work."",""sets"":""Expansion Set 1, Party Set""},")</f>
        <v>"maqp":{"label":"Grave Robbers","extra":"Famous for their bodies of work.","sets":"Expansion Set 1, Party Set"},</v>
      </c>
    </row>
    <row r="291">
      <c r="A291" s="8" t="str">
        <f>IFERROR(__xludf.DUMMYFUNCTION("""COMPUTED_VALUE"""),"Gravity")</f>
        <v>Gravity</v>
      </c>
      <c r="B291" s="8" t="str">
        <f>IFERROR(__xludf.DUMMYFUNCTION("""COMPUTED_VALUE"""),"In 1684, the law of gravitation was formulated by English physicist Sir Isaac Newton, who recognized the gravity of the situation.")</f>
        <v>In 1684, the law of gravitation was formulated by English physicist Sir Isaac Newton, who recognized the gravity of the situation.</v>
      </c>
      <c r="C291" s="13" t="str">
        <f>IFERROR(__xludf.DUMMYFUNCTION("""COMPUTED_VALUE"""),"""pggp"":{""label"":""Gravity"",""extra"":""In 1684, the law of gravitation was formulated by English physicist Sir Isaac Newton, who recognized the gravity of the situation."",""sets"":""Basic Set, Party Set""},")</f>
        <v>"pggp":{"label":"Gravity","extra":"In 1684, the law of gravitation was formulated by English physicist Sir Isaac Newton, who recognized the gravity of the situation.","sets":"Basic Set, Party Set"},</v>
      </c>
    </row>
    <row r="292">
      <c r="A292" s="8" t="str">
        <f>IFERROR(__xludf.DUMMYFUNCTION("""COMPUTED_VALUE"""),"Greenpeace")</f>
        <v>Greenpeace</v>
      </c>
      <c r="B292" s="8" t="str">
        <f>IFERROR(__xludf.DUMMYFUNCTION("""COMPUTED_VALUE"""),"International organization dedicated to preserving the Earth's natural resources, and its diverse plant and animal life.")</f>
        <v>International organization dedicated to preserving the Earth's natural resources, and its diverse plant and animal life.</v>
      </c>
      <c r="C292" s="13" t="str">
        <f>IFERROR(__xludf.DUMMYFUNCTION("""COMPUTED_VALUE"""),"""gabr"":{""label"":""Greenpeace"",""extra"":""International organization dedicated to preserving the Earth's natural resources, and its diverse plant and animal life."",""sets"":""Expansion Set 2, Party Set""},")</f>
        <v>"gabr":{"label":"Greenpeace","extra":"International organization dedicated to preserving the Earth's natural resources, and its diverse plant and animal life.","sets":"Expansion Set 2, Party Set"},</v>
      </c>
    </row>
    <row r="293">
      <c r="A293" s="8" t="str">
        <f>IFERROR(__xludf.DUMMYFUNCTION("""COMPUTED_VALUE"""),"Gym Teachers")</f>
        <v>Gym Teachers</v>
      </c>
      <c r="B293" s="8" t="str">
        <f>IFERROR(__xludf.DUMMYFUNCTION("""COMPUTED_VALUE"""),"“I am a Physical Education Teacher. Call me a gym teacher again and you can drop and give me ten!”")</f>
        <v>“I am a Physical Education Teacher. Call me a gym teacher again and you can drop and give me ten!”</v>
      </c>
      <c r="C293" s="13" t="str">
        <f>IFERROR(__xludf.DUMMYFUNCTION("""COMPUTED_VALUE"""),"""xuuc"":{""label"":""Gym Teachers"",""extra"":""“I am a Physical Education Teacher. Call me a gym teacher again and you can drop and give me ten!”"",""sets"":""Expansion Set 2, Party Set""},")</f>
        <v>"xuuc":{"label":"Gym Teachers","extra":"“I am a Physical Education Teacher. Call me a gym teacher again and you can drop and give me ten!”","sets":"Expansion Set 2, Party Set"},</v>
      </c>
    </row>
    <row r="294">
      <c r="A294" s="8" t="str">
        <f>IFERROR(__xludf.DUMMYFUNCTION("""COMPUTED_VALUE"""),"Hair Transplants")</f>
        <v>Hair Transplants</v>
      </c>
      <c r="B294" s="8" t="str">
        <f>IFERROR(__xludf.DUMMYFUNCTION("""COMPUTED_VALUE"""),"Oh, it looks so natural…")</f>
        <v>Oh, it looks so natural…</v>
      </c>
      <c r="C294" s="13" t="str">
        <f>IFERROR(__xludf.DUMMYFUNCTION("""COMPUTED_VALUE"""),"""uuve"":{""label"":""Hair Transplants"",""extra"":""Oh, it looks so natural…"",""sets"":""Expansion Set 2, Party Set""},")</f>
        <v>"uuve":{"label":"Hair Transplants","extra":"Oh, it looks so natural…","sets":"Expansion Set 2, Party Set"},</v>
      </c>
    </row>
    <row r="295">
      <c r="A295" s="8" t="str">
        <f>IFERROR(__xludf.DUMMYFUNCTION("""COMPUTED_VALUE"""),"Hairballs")</f>
        <v>Hairballs</v>
      </c>
      <c r="B295" s="8" t="str">
        <f>IFERROR(__xludf.DUMMYFUNCTION("""COMPUTED_VALUE"""),"Cough it up, kitty…")</f>
        <v>Cough it up, kitty…</v>
      </c>
      <c r="C295" s="13" t="str">
        <f>IFERROR(__xludf.DUMMYFUNCTION("""COMPUTED_VALUE"""),"""issb"":{""label"":""Hairballs"",""extra"":""Cough it up, kitty…"",""sets"":""Basic Set, Party Set""},")</f>
        <v>"issb":{"label":"Hairballs","extra":"Cough it up, kitty…","sets":"Basic Set, Party Set"},</v>
      </c>
    </row>
    <row r="296">
      <c r="A296" s="8" t="str">
        <f>IFERROR(__xludf.DUMMYFUNCTION("""COMPUTED_VALUE"""),"Halloween")</f>
        <v>Halloween</v>
      </c>
      <c r="B296" s="8" t="str">
        <f>IFERROR(__xludf.DUMMYFUNCTION("""COMPUTED_VALUE"""),"October 31, the eve of All Saints’ Day, celebrated with costumes, treats, and scary stuff. Not just for kids any more!")</f>
        <v>October 31, the eve of All Saints’ Day, celebrated with costumes, treats, and scary stuff. Not just for kids any more!</v>
      </c>
      <c r="C296" s="13" t="str">
        <f>IFERROR(__xludf.DUMMYFUNCTION("""COMPUTED_VALUE"""),"""qrli"":{""label"":""Halloween"",""extra"":""October 31, the eve of All Saints’ Day, celebrated with costumes, treats, and scary stuff. Not just for kids any more!"",""sets"":""Expansion Set 2, Party Set""},")</f>
        <v>"qrli":{"label":"Halloween","extra":"October 31, the eve of All Saints’ Day, celebrated with costumes, treats, and scary stuff. Not just for kids any more!","sets":"Expansion Set 2, Party Set"},</v>
      </c>
    </row>
    <row r="297">
      <c r="A297" s="8" t="str">
        <f>IFERROR(__xludf.DUMMYFUNCTION("""COMPUTED_VALUE"""),"Hand Grenades")</f>
        <v>Hand Grenades</v>
      </c>
      <c r="B297" s="8" t="str">
        <f>IFERROR(__xludf.DUMMYFUNCTION("""COMPUTED_VALUE"""),"Close only counts in horseshoes and hand grenades!")</f>
        <v>Close only counts in horseshoes and hand grenades!</v>
      </c>
      <c r="C297" s="13" t="str">
        <f>IFERROR(__xludf.DUMMYFUNCTION("""COMPUTED_VALUE"""),"""eszb"":{""label"":""Hand Grenades"",""extra"":""Close only counts in horseshoes and hand grenades!"",""sets"":""Expansion Set 2, Party Set""},")</f>
        <v>"eszb":{"label":"Hand Grenades","extra":"Close only counts in horseshoes and hand grenades!","sets":"Expansion Set 2, Party Set"},</v>
      </c>
    </row>
    <row r="298">
      <c r="A298" s="8" t="str">
        <f>IFERROR(__xludf.DUMMYFUNCTION("""COMPUTED_VALUE"""),"Handcuffs")</f>
        <v>Handcuffs</v>
      </c>
      <c r="B298" s="8" t="str">
        <f>IFERROR(__xludf.DUMMYFUNCTION("""COMPUTED_VALUE"""),"“You have the right to remain silent…”")</f>
        <v>“You have the right to remain silent…”</v>
      </c>
      <c r="C298" s="13" t="str">
        <f>IFERROR(__xludf.DUMMYFUNCTION("""COMPUTED_VALUE"""),"""ocyx"":{""label"":""Handcuffs"",""extra"":""“You have the right to remain silent…”"",""sets"":""Basic Set, Party Set""},")</f>
        <v>"ocyx":{"label":"Handcuffs","extra":"“You have the right to remain silent…”","sets":"Basic Set, Party Set"},</v>
      </c>
    </row>
    <row r="299">
      <c r="A299" s="8" t="str">
        <f>IFERROR(__xludf.DUMMYFUNCTION("""COMPUTED_VALUE"""),"Handguns")</f>
        <v>Handguns</v>
      </c>
      <c r="B299" s="8" t="str">
        <f>IFERROR(__xludf.DUMMYFUNCTION("""COMPUTED_VALUE"""),"Source of a never-ending controversy as to how to get them out of the hands of the bad guys and into the hands of the good guys.")</f>
        <v>Source of a never-ending controversy as to how to get them out of the hands of the bad guys and into the hands of the good guys.</v>
      </c>
      <c r="C299" s="13" t="str">
        <f>IFERROR(__xludf.DUMMYFUNCTION("""COMPUTED_VALUE"""),"""bnwo"":{""label"":""Handguns"",""extra"":""Source of a never-ending controversy as to how to get them out of the hands of the bad guys and into the hands of the good guys."",""sets"":""Expansion Set 1, Party Set""},")</f>
        <v>"bnwo":{"label":"Handguns","extra":"Source of a never-ending controversy as to how to get them out of the hands of the bad guys and into the hands of the good guys.","sets":"Expansion Set 1, Party Set"},</v>
      </c>
    </row>
    <row r="300">
      <c r="A300" s="8" t="str">
        <f>IFERROR(__xludf.DUMMYFUNCTION("""COMPUTED_VALUE"""),"Hangnails")</f>
        <v>Hangnails</v>
      </c>
      <c r="B300" s="8" t="str">
        <f>IFERROR(__xludf.DUMMYFUNCTION("""COMPUTED_VALUE"""),"We’ve fingered the cause of the pain.")</f>
        <v>We’ve fingered the cause of the pain.</v>
      </c>
      <c r="C300" s="13" t="str">
        <f>IFERROR(__xludf.DUMMYFUNCTION("""COMPUTED_VALUE"""),"""zxku"":{""label"":""Hangnails"",""extra"":""We’ve fingered the cause of the pain."",""sets"":""Basic Set, Party Set""},")</f>
        <v>"zxku":{"label":"Hangnails","extra":"We’ve fingered the cause of the pain.","sets":"Basic Set, Party Set"},</v>
      </c>
    </row>
    <row r="301">
      <c r="A301" s="8" t="str">
        <f>IFERROR(__xludf.DUMMYFUNCTION("""COMPUTED_VALUE"""),"Having A Baby")</f>
        <v>Having A Baby</v>
      </c>
      <c r="B301" s="8" t="str">
        <f>IFERROR(__xludf.DUMMYFUNCTION("""COMPUTED_VALUE"""),"“Rock-a-bye baby, on the tree top…” Who would put a kid on a tree top?")</f>
        <v>“Rock-a-bye baby, on the tree top…” Who would put a kid on a tree top?</v>
      </c>
      <c r="C301" s="13" t="str">
        <f>IFERROR(__xludf.DUMMYFUNCTION("""COMPUTED_VALUE"""),"""cxaq"":{""label"":""Having A Baby"",""extra"":""“Rock-a-bye baby, on the tree top…” Who would put a kid on a tree top?"",""sets"":""Expansion Set 1, Party Set""},")</f>
        <v>"cxaq":{"label":"Having A Baby","extra":"“Rock-a-bye baby, on the tree top…” Who would put a kid on a tree top?","sets":"Expansion Set 1, Party Set"},</v>
      </c>
    </row>
    <row r="302">
      <c r="A302" s="8" t="str">
        <f>IFERROR(__xludf.DUMMYFUNCTION("""COMPUTED_VALUE"""),"Having An Operation")</f>
        <v>Having An Operation</v>
      </c>
      <c r="B302" s="8" t="str">
        <f>IFERROR(__xludf.DUMMYFUNCTION("""COMPUTED_VALUE"""),"What a cutup! A real stitch.")</f>
        <v>What a cutup! A real stitch.</v>
      </c>
      <c r="C302" s="13" t="str">
        <f>IFERROR(__xludf.DUMMYFUNCTION("""COMPUTED_VALUE"""),"""jnwq"":{""label"":""Having An Operation"",""extra"":""What a cutup! A real stitch."",""sets"":""Basic Set, Party Set""},")</f>
        <v>"jnwq":{"label":"Having An Operation","extra":"What a cutup! A real stitch.","sets":"Basic Set, Party Set"},</v>
      </c>
    </row>
    <row r="303">
      <c r="A303" s="8" t="str">
        <f>IFERROR(__xludf.DUMMYFUNCTION("""COMPUTED_VALUE"""),"Hawaii")</f>
        <v>Hawaii</v>
      </c>
      <c r="B303" s="8" t="str">
        <f>IFERROR(__xludf.DUMMYFUNCTION("""COMPUTED_VALUE"""),"The eight islands that make up America's 50th state entered the Union on August 21, 1959.")</f>
        <v>The eight islands that make up America's 50th state entered the Union on August 21, 1959.</v>
      </c>
      <c r="C303" s="13" t="str">
        <f>IFERROR(__xludf.DUMMYFUNCTION("""COMPUTED_VALUE"""),"""vbre"":{""label"":""Hawaii"",""extra"":""The eight islands that make up America's 50th state entered the Union on August 21, 1959."",""sets"":""Basic Set, Party Set""},")</f>
        <v>"vbre":{"label":"Hawaii","extra":"The eight islands that make up America's 50th state entered the Union on August 21, 1959.","sets":"Basic Set, Party Set"},</v>
      </c>
    </row>
    <row r="304">
      <c r="A304" s="8" t="str">
        <f>IFERROR(__xludf.DUMMYFUNCTION("""COMPUTED_VALUE"""),"Helen Keller")</f>
        <v>Helen Keller</v>
      </c>
      <c r="B304" s="8" t="str">
        <f>IFERROR(__xludf.DUMMYFUNCTION("""COMPUTED_VALUE"""),"1880-1968, American author and lecturer who overcame deafness and blindness with the help of her companion, Anne Sullivan.")</f>
        <v>1880-1968, American author and lecturer who overcame deafness and blindness with the help of her companion, Anne Sullivan.</v>
      </c>
      <c r="C304" s="13" t="str">
        <f>IFERROR(__xludf.DUMMYFUNCTION("""COMPUTED_VALUE"""),"""nvoo"":{""label"":""Helen Keller"",""extra"":""1880-1968, American author and lecturer who overcame deafness and blindness with the help of her companion, Anne Sullivan."",""sets"":""Basic Set, Party Set""},")</f>
        <v>"nvoo":{"label":"Helen Keller","extra":"1880-1968, American author and lecturer who overcame deafness and blindness with the help of her companion, Anne Sullivan.","sets":"Basic Set, Party Set"},</v>
      </c>
    </row>
    <row r="305">
      <c r="A305" s="8" t="str">
        <f>IFERROR(__xludf.DUMMYFUNCTION("""COMPUTED_VALUE"""),"Hiccups")</f>
        <v>Hiccups</v>
      </c>
      <c r="B305" s="8" t="str">
        <f>IFERROR(__xludf.DUMMYFUNCTION("""COMPUTED_VALUE"""),"How do you, hic, get em? How do you, hic, get rid of ’em?")</f>
        <v>How do you, hic, get em? How do you, hic, get rid of ’em?</v>
      </c>
      <c r="C305" s="13" t="str">
        <f>IFERROR(__xludf.DUMMYFUNCTION("""COMPUTED_VALUE"""),"""crhv"":{""label"":""Hiccups"",""extra"":""How do you, hic, get em? How do you, hic, get rid of ’em?"",""sets"":""Expansion Set 1, Party Set""},")</f>
        <v>"crhv":{"label":"Hiccups","extra":"How do you, hic, get em? How do you, hic, get rid of ’em?","sets":"Expansion Set 1, Party Set"},</v>
      </c>
    </row>
    <row r="306">
      <c r="A306" s="8" t="str">
        <f>IFERROR(__xludf.DUMMYFUNCTION("""COMPUTED_VALUE"""),"High School Football")</f>
        <v>High School Football</v>
      </c>
      <c r="B306" s="8" t="str">
        <f>IFERROR(__xludf.DUMMYFUNCTION("""COMPUTED_VALUE"""),"The whole ten yards!")</f>
        <v>The whole ten yards!</v>
      </c>
      <c r="C306" s="13" t="str">
        <f>IFERROR(__xludf.DUMMYFUNCTION("""COMPUTED_VALUE"""),"""rrtb"":{""label"":""High School Football"",""extra"":""The whole ten yards!"",""sets"":""Basic Set, Party Set""},")</f>
        <v>"rrtb":{"label":"High School Football","extra":"The whole ten yards!","sets":"Basic Set, Party Set"},</v>
      </c>
    </row>
    <row r="307">
      <c r="A307" s="8" t="str">
        <f>IFERROR(__xludf.DUMMYFUNCTION("""COMPUTED_VALUE"""),"High School Reunions")</f>
        <v>High School Reunions</v>
      </c>
      <c r="B307" s="8" t="str">
        <f>IFERROR(__xludf.DUMMYFUNCTION("""COMPUTED_VALUE"""),"See also: “root canal, as fun as…”")</f>
        <v>See also: “root canal, as fun as…”</v>
      </c>
      <c r="C307" s="13" t="str">
        <f>IFERROR(__xludf.DUMMYFUNCTION("""COMPUTED_VALUE"""),"""ne{l"":{""label"":""High School Reunions"",""extra"":""See also: “root canal, as fun as…”"",""sets"":""Expansion Set 1, Party Set""},")</f>
        <v>"ne{l":{"label":"High School Reunions","extra":"See also: “root canal, as fun as…”","sets":"Expansion Set 1, Party Set"},</v>
      </c>
    </row>
    <row r="308">
      <c r="A308" s="8" t="str">
        <f>IFERROR(__xludf.DUMMYFUNCTION("""COMPUTED_VALUE"""),"Hillary Rodham Clinton")</f>
        <v>Hillary Rodham Clinton</v>
      </c>
      <c r="B308" s="8" t="str">
        <f>IFERROR(__xludf.DUMMYFUNCTION("""COMPUTED_VALUE"""),"1947-, New York Senator, lawyer, and former American First Lady.")</f>
        <v>1947-, New York Senator, lawyer, and former American First Lady.</v>
      </c>
      <c r="C308" s="13" t="str">
        <f>IFERROR(__xludf.DUMMYFUNCTION("""COMPUTED_VALUE"""),"""mjhl"":{""label"":""Hillary Rodham Clinton"",""extra"":""1947-, New York Senator, lawyer, and former American First Lady."",""sets"":""Basic Set, Party Set""},")</f>
        <v>"mjhl":{"label":"Hillary Rodham Clinton","extra":"1947-, New York Senator, lawyer, and former American First Lady.","sets":"Basic Set, Party Set"},</v>
      </c>
    </row>
    <row r="309">
      <c r="A309" s="8" t="str">
        <f>IFERROR(__xludf.DUMMYFUNCTION("""COMPUTED_VALUE"""),"Hiroshima - 1945")</f>
        <v>Hiroshima - 1945</v>
      </c>
      <c r="B309" s="8" t="str">
        <f>IFERROR(__xludf.DUMMYFUNCTION("""COMPUTED_VALUE"""),"“I am become death, the destroyer of worlds” —J. Robert Oppenheimer, on the detonation of the first atmoic bomb.")</f>
        <v>“I am become death, the destroyer of worlds” —J. Robert Oppenheimer, on the detonation of the first atmoic bomb.</v>
      </c>
      <c r="C309" s="13" t="str">
        <f>IFERROR(__xludf.DUMMYFUNCTION("""COMPUTED_VALUE"""),"""qruj"":{""label"":""Hiroshima - 1945"",""extra"":""“I am become death, the destroyer of worlds” —J. Robert Oppenheimer, on the detonation of the first atmoic bomb."",""sets"":""Basic Set, Party Set""},")</f>
        <v>"qruj":{"label":"Hiroshima - 1945","extra":"“I am become death, the destroyer of worlds” —J. Robert Oppenheimer, on the detonation of the first atmoic bomb.","sets":"Basic Set, Party Set"},</v>
      </c>
    </row>
    <row r="310">
      <c r="A310" s="8" t="str">
        <f>IFERROR(__xludf.DUMMYFUNCTION("""COMPUTED_VALUE"""),"HMOs")</f>
        <v>HMOs</v>
      </c>
      <c r="B310" s="8" t="str">
        <f>IFERROR(__xludf.DUMMYFUNCTION("""COMPUTED_VALUE"""),"Heath Maintenance Organizations. Here&gt;'s to your health…")</f>
        <v>Heath Maintenance Organizations. Here&gt;'s to your health…</v>
      </c>
      <c r="C310" s="13" t="str">
        <f>IFERROR(__xludf.DUMMYFUNCTION("""COMPUTED_VALUE"""),"""xkei"":{""label"":""HMOs"",""extra"":""Heath Maintenance Organizations. Here&gt;'s to your health…"",""sets"":""Expansion Set 2, Party Set""},")</f>
        <v>"xkei":{"label":"HMOs","extra":"Heath Maintenance Organizations. Here&gt;'s to your health…","sets":"Expansion Set 2, Party Set"},</v>
      </c>
    </row>
    <row r="311">
      <c r="A311" s="8" t="str">
        <f>IFERROR(__xludf.DUMMYFUNCTION("""COMPUTED_VALUE"""),"Hockey")</f>
        <v>Hockey</v>
      </c>
      <c r="B311" s="8" t="str">
        <f>IFERROR(__xludf.DUMMYFUNCTION("""COMPUTED_VALUE"""),"Did you hear about the big fight last night? All of a sudden, a hockey game broke out!")</f>
        <v>Did you hear about the big fight last night? All of a sudden, a hockey game broke out!</v>
      </c>
      <c r="C311" s="13" t="str">
        <f>IFERROR(__xludf.DUMMYFUNCTION("""COMPUTED_VALUE"""),"""gobb"":{""label"":""Hockey"",""extra"":""Did you hear about the big fight last night? All of a sudden, a hockey game broke out!"",""sets"":""Basic Set, Party Set""},")</f>
        <v>"gobb":{"label":"Hockey","extra":"Did you hear about the big fight last night? All of a sudden, a hockey game broke out!","sets":"Basic Set, Party Set"},</v>
      </c>
    </row>
    <row r="312">
      <c r="A312" s="8" t="str">
        <f>IFERROR(__xludf.DUMMYFUNCTION("""COMPUTED_VALUE"""),"Hollywood")</f>
        <v>Hollywood</v>
      </c>
      <c r="B312" s="8" t="str">
        <f>IFERROR(__xludf.DUMMYFUNCTION("""COMPUTED_VALUE"""),"Motion picture and television industry center of the world. Hooray for Hollywood!")</f>
        <v>Motion picture and television industry center of the world. Hooray for Hollywood!</v>
      </c>
      <c r="C312" s="13" t="str">
        <f>IFERROR(__xludf.DUMMYFUNCTION("""COMPUTED_VALUE"""),"""iqid"":{""label"":""Hollywood"",""extra"":""Motion picture and television industry center of the world. Hooray for Hollywood!"",""sets"":""Basic Set, Party Set""},")</f>
        <v>"iqid":{"label":"Hollywood","extra":"Motion picture and television industry center of the world. Hooray for Hollywood!","sets":"Basic Set, Party Set"},</v>
      </c>
    </row>
    <row r="313">
      <c r="A313" s="8" t="str">
        <f>IFERROR(__xludf.DUMMYFUNCTION("""COMPUTED_VALUE"""),"Homeless Shelters")</f>
        <v>Homeless Shelters</v>
      </c>
      <c r="B313" s="8" t="str">
        <f>IFERROR(__xludf.DUMMYFUNCTION("""COMPUTED_VALUE"""),"In the United States, nearly three-quarters of the help for the homeless comes from the private sector, mostly from church soup kitchens.")</f>
        <v>In the United States, nearly three-quarters of the help for the homeless comes from the private sector, mostly from church soup kitchens.</v>
      </c>
      <c r="C313" s="13" t="str">
        <f>IFERROR(__xludf.DUMMYFUNCTION("""COMPUTED_VALUE"""),"""vjkd"":{""label"":""Homeless Shelters"",""extra"":""In the United States, nearly three-quarters of the help for the homeless comes from the private sector, mostly from church soup kitchens."",""sets"":""Expansion Set 2, Party Set""},")</f>
        <v>"vjkd":{"label":"Homeless Shelters","extra":"In the United States, nearly three-quarters of the help for the homeless comes from the private sector, mostly from church soup kitchens.","sets":"Expansion Set 2, Party Set"},</v>
      </c>
    </row>
    <row r="314">
      <c r="A314" s="8" t="str">
        <f>IFERROR(__xludf.DUMMYFUNCTION("""COMPUTED_VALUE"""),"Homer Simpson")</f>
        <v>Homer Simpson</v>
      </c>
      <c r="B314" s="8" t="str">
        <f>IFERROR(__xludf.DUMMYFUNCTION("""COMPUTED_VALUE"""),"Fictional cartoon character created by Matt Groening. D’oh!")</f>
        <v>Fictional cartoon character created by Matt Groening. D’oh!</v>
      </c>
      <c r="C314" s="13" t="str">
        <f>IFERROR(__xludf.DUMMYFUNCTION("""COMPUTED_VALUE"""),"""qvrk"":{""label"":""Homer Simpson"",""extra"":""Fictional cartoon character created by Matt Groening. D’oh!"",""sets"":""Basic Set, Party Set""},")</f>
        <v>"qvrk":{"label":"Homer Simpson","extra":"Fictional cartoon character created by Matt Groening. D’oh!","sets":"Basic Set, Party Set"},</v>
      </c>
    </row>
    <row r="315">
      <c r="A315" s="8" t="str">
        <f>IFERROR(__xludf.DUMMYFUNCTION("""COMPUTED_VALUE"""),"Homework")</f>
        <v>Homework</v>
      </c>
      <c r="B315" s="8" t="str">
        <f>IFERROR(__xludf.DUMMYFUNCTION("""COMPUTED_VALUE"""),"Finally, something to do during commercials.")</f>
        <v>Finally, something to do during commercials.</v>
      </c>
      <c r="C315" s="13" t="str">
        <f>IFERROR(__xludf.DUMMYFUNCTION("""COMPUTED_VALUE"""),"""psjc"":{""label"":""Homework"",""extra"":""Finally, something to do during commercials."",""sets"":""Basic Set, Party Set""},")</f>
        <v>"psjc":{"label":"Homework","extra":"Finally, something to do during commercials.","sets":"Basic Set, Party Set"},</v>
      </c>
    </row>
    <row r="316">
      <c r="A316" s="8" t="str">
        <f>IFERROR(__xludf.DUMMYFUNCTION("""COMPUTED_VALUE"""),"Hooligans")</f>
        <v>Hooligans</v>
      </c>
      <c r="B316" s="8" t="str">
        <f>IFERROR(__xludf.DUMMYFUNCTION("""COMPUTED_VALUE"""),"“Hey! Kids! Get outta my yard!”")</f>
        <v>“Hey! Kids! Get outta my yard!”</v>
      </c>
      <c r="C316" s="13" t="str">
        <f>IFERROR(__xludf.DUMMYFUNCTION("""COMPUTED_VALUE"""),"""fnvu"":{""label"":""Hooligans"",""extra"":""“Hey! Kids! Get outta my yard!”"",""sets"":""Basic Set, Party Set""},")</f>
        <v>"fnvu":{"label":"Hooligans","extra":"“Hey! Kids! Get outta my yard!”","sets":"Basic Set, Party Set"},</v>
      </c>
    </row>
    <row r="317">
      <c r="A317" s="8" t="str">
        <f>IFERROR(__xludf.DUMMYFUNCTION("""COMPUTED_VALUE"""),"Horseback Riding")</f>
        <v>Horseback Riding</v>
      </c>
      <c r="B317" s="8" t="str">
        <f>IFERROR(__xludf.DUMMYFUNCTION("""COMPUTED_VALUE"""),"WHOAAA!!!")</f>
        <v>WHOAAA!!!</v>
      </c>
      <c r="C317" s="13" t="str">
        <f>IFERROR(__xludf.DUMMYFUNCTION("""COMPUTED_VALUE"""),"""ppcq"":{""label"":""Horseback Riding"",""extra"":""WHOAAA!!!"",""sets"":""Expansion Set 2, Party Set""},")</f>
        <v>"ppcq":{"label":"Horseback Riding","extra":"WHOAAA!!!","sets":"Expansion Set 2, Party Set"},</v>
      </c>
    </row>
    <row r="318">
      <c r="A318" s="8" t="str">
        <f>IFERROR(__xludf.DUMMYFUNCTION("""COMPUTED_VALUE"""),"Hot Lava")</f>
        <v>Hot Lava</v>
      </c>
      <c r="B318" s="8" t="str">
        <f>IFERROR(__xludf.DUMMYFUNCTION("""COMPUTED_VALUE"""),"There’s no better way to serve it.")</f>
        <v>There’s no better way to serve it.</v>
      </c>
      <c r="C318" s="13" t="str">
        <f>IFERROR(__xludf.DUMMYFUNCTION("""COMPUTED_VALUE"""),"""wnqk"":{""label"":""Hot Lava"",""extra"":""There’s no better way to serve it."",""sets"":""Basic Set, Party Set""},")</f>
        <v>"wnqk":{"label":"Hot Lava","extra":"There’s no better way to serve it.","sets":"Basic Set, Party Set"},</v>
      </c>
    </row>
    <row r="319">
      <c r="A319" s="8" t="str">
        <f>IFERROR(__xludf.DUMMYFUNCTION("""COMPUTED_VALUE"""),"House Guests")</f>
        <v>House Guests</v>
      </c>
      <c r="B319" s="8" t="str">
        <f>IFERROR(__xludf.DUMMYFUNCTION("""COMPUTED_VALUE"""),"How many visitors does it take to drive you crazy? Go on …take a guest!")</f>
        <v>How many visitors does it take to drive you crazy? Go on …take a guest!</v>
      </c>
      <c r="C319" s="13" t="str">
        <f>IFERROR(__xludf.DUMMYFUNCTION("""COMPUTED_VALUE"""),"""uocf"":{""label"":""House Guests"",""extra"":""How many visitors does it take to drive you crazy? Go on …take a guest!"",""sets"":""Expansion Set 1, Party Set""},")</f>
        <v>"uocf":{"label":"House Guests","extra":"How many visitors does it take to drive you crazy? Go on …take a guest!","sets":"Expansion Set 1, Party Set"},</v>
      </c>
    </row>
    <row r="320">
      <c r="A320" s="8" t="str">
        <f>IFERROR(__xludf.DUMMYFUNCTION("""COMPUTED_VALUE"""),"Hummingbirds")</f>
        <v>Hummingbirds</v>
      </c>
      <c r="B320" s="8" t="str">
        <f>IFERROR(__xludf.DUMMYFUNCTION("""COMPUTED_VALUE"""),"Why do hummingbirds hum? Because they don’t know the words…… da-dum, dum!")</f>
        <v>Why do hummingbirds hum? Because they don’t know the words…… da-dum, dum!</v>
      </c>
      <c r="C320" s="13" t="str">
        <f>IFERROR(__xludf.DUMMYFUNCTION("""COMPUTED_VALUE"""),"""fsav"":{""label"":""Hummingbirds"",""extra"":""Why do hummingbirds hum? Because they don’t know the words…… da-dum, dum!"",""sets"":""Basic Set, Party Set""},")</f>
        <v>"fsav":{"label":"Hummingbirds","extra":"Why do hummingbirds hum? Because they don’t know the words…… da-dum, dum!","sets":"Basic Set, Party Set"},</v>
      </c>
    </row>
    <row r="321">
      <c r="A321" s="8" t="str">
        <f>IFERROR(__xludf.DUMMYFUNCTION("""COMPUTED_VALUE"""),"Humphrey Bogart")</f>
        <v>Humphrey Bogart</v>
      </c>
      <c r="B321" s="8" t="str">
        <f>IFERROR(__xludf.DUMMYFUNCTION("""COMPUTED_VALUE"""),"1899-1957, American film actor, starred in such classics as “The Maltese Falcon” and “Casablanca.” “Here's looking at you kid.”")</f>
        <v>1899-1957, American film actor, starred in such classics as “The Maltese Falcon” and “Casablanca.” “Here's looking at you kid.”</v>
      </c>
      <c r="C321" s="13" t="str">
        <f>IFERROR(__xludf.DUMMYFUNCTION("""COMPUTED_VALUE"""),"""exrx"":{""label"":""Humphrey Bogart"",""extra"":""1899-1957, American film actor, starred in such classics as “The Maltese Falcon” and “Casablanca.” “Here's looking at you kid.”"",""sets"":""Basic Set, Party Set""},")</f>
        <v>"exrx":{"label":"Humphrey Bogart","extra":"1899-1957, American film actor, starred in such classics as “The Maltese Falcon” and “Casablanca.” “Here's looking at you kid.”","sets":"Basic Set, Party Set"},</v>
      </c>
    </row>
    <row r="322">
      <c r="A322" s="8" t="str">
        <f>IFERROR(__xludf.DUMMYFUNCTION("""COMPUTED_VALUE"""),"Icebergs")</f>
        <v>Icebergs</v>
      </c>
      <c r="B322" s="8" t="str">
        <f>IFERROR(__xludf.DUMMYFUNCTION("""COMPUTED_VALUE"""),"May reach 300 to 500 feet above the oceans’s surface. Ask the captain of the Titanic about the 90 percent that’s UNDER water.")</f>
        <v>May reach 300 to 500 feet above the oceans’s surface. Ask the captain of the Titanic about the 90 percent that’s UNDER water.</v>
      </c>
      <c r="C322" s="13" t="str">
        <f>IFERROR(__xludf.DUMMYFUNCTION("""COMPUTED_VALUE"""),"""{woi"":{""label"":""Icebergs"",""extra"":""May reach 300 to 500 feet above the oceans’s surface. Ask the captain of the Titanic about the 90 percent that’s UNDER water."",""sets"":""Basic Set, Party Set""},")</f>
        <v>"{woi":{"label":"Icebergs","extra":"May reach 300 to 500 feet above the oceans’s surface. Ask the captain of the Titanic about the 90 percent that’s UNDER water.","sets":"Basic Set, Party Set"},</v>
      </c>
    </row>
    <row r="323">
      <c r="A323" s="8" t="str">
        <f>IFERROR(__xludf.DUMMYFUNCTION("""COMPUTED_VALUE"""),"In A Coma")</f>
        <v>In A Coma</v>
      </c>
      <c r="B323" s="8" t="str">
        <f>IFERROR(__xludf.DUMMYFUNCTION("""COMPUTED_VALUE"""),"A deep, prolonged state of unconsciousness… sometimes you just feel that way.")</f>
        <v>A deep, prolonged state of unconsciousness… sometimes you just feel that way.</v>
      </c>
      <c r="C323" s="13" t="str">
        <f>IFERROR(__xludf.DUMMYFUNCTION("""COMPUTED_VALUE"""),"""kgjc"":{""label"":""In A Coma"",""extra"":""A deep, prolonged state of unconsciousness… sometimes you just feel that way."",""sets"":""Expansion Set 2, Party Set""},")</f>
        <v>"kgjc":{"label":"In A Coma","extra":"A deep, prolonged state of unconsciousness… sometimes you just feel that way.","sets":"Expansion Set 2, Party Set"},</v>
      </c>
    </row>
    <row r="324">
      <c r="A324" s="8" t="str">
        <f>IFERROR(__xludf.DUMMYFUNCTION("""COMPUTED_VALUE"""),"Incense")</f>
        <v>Incense</v>
      </c>
      <c r="B324" s="8" t="str">
        <f>IFERROR(__xludf.DUMMYFUNCTION("""COMPUTED_VALUE"""),"Incense is better than no sense at all.")</f>
        <v>Incense is better than no sense at all.</v>
      </c>
      <c r="C324" s="13" t="str">
        <f>IFERROR(__xludf.DUMMYFUNCTION("""COMPUTED_VALUE"""),"""wtrb"":{""label"":""Incense"",""extra"":""Incense is better than no sense at all."",""sets"":""Expansion Set 1, Party Set""},")</f>
        <v>"wtrb":{"label":"Incense","extra":"Incense is better than no sense at all.","sets":"Expansion Set 1, Party Set"},</v>
      </c>
    </row>
    <row r="325">
      <c r="A325" s="8" t="str">
        <f>IFERROR(__xludf.DUMMYFUNCTION("""COMPUTED_VALUE"""),"India")</f>
        <v>India</v>
      </c>
      <c r="B325" s="8" t="str">
        <f>IFERROR(__xludf.DUMMYFUNCTION("""COMPUTED_VALUE"""),"The world’s seventh largest country by area, but the second most populous, with one billion people.")</f>
        <v>The world’s seventh largest country by area, but the second most populous, with one billion people.</v>
      </c>
      <c r="C325" s="13" t="str">
        <f>IFERROR(__xludf.DUMMYFUNCTION("""COMPUTED_VALUE"""),"""padx"":{""label"":""India"",""extra"":""The world’s seventh largest country by area, but the second most populous, with one billion people."",""sets"":""Expansion Set 2, Party Set""},")</f>
        <v>"padx":{"label":"India","extra":"The world’s seventh largest country by area, but the second most populous, with one billion people.","sets":"Expansion Set 2, Party Set"},</v>
      </c>
    </row>
    <row r="326">
      <c r="A326" s="8" t="str">
        <f>IFERROR(__xludf.DUMMYFUNCTION("""COMPUTED_VALUE"""),"Indiana Jones")</f>
        <v>Indiana Jones</v>
      </c>
      <c r="B326" s="8" t="str">
        <f>IFERROR(__xludf.DUMMYFUNCTION("""COMPUTED_VALUE"""),"Fictional archeologist and action hero. Proof that a good hat and a whip can take you a long way.")</f>
        <v>Fictional archeologist and action hero. Proof that a good hat and a whip can take you a long way.</v>
      </c>
      <c r="C326" s="13" t="str">
        <f>IFERROR(__xludf.DUMMYFUNCTION("""COMPUTED_VALUE"""),"""vwvo"":{""label"":""Indiana Jones"",""extra"":""Fictional archeologist and action hero. Proof that a good hat and a whip can take you a long way."",""sets"":""Expansion Set 2, Party Set""},")</f>
        <v>"vwvo":{"label":"Indiana Jones","extra":"Fictional archeologist and action hero. Proof that a good hat and a whip can take you a long way.","sets":"Expansion Set 2, Party Set"},</v>
      </c>
    </row>
    <row r="327">
      <c r="A327" s="8" t="str">
        <f>IFERROR(__xludf.DUMMYFUNCTION("""COMPUTED_VALUE"""),"Industrial Revolution")</f>
        <v>Industrial Revolution</v>
      </c>
      <c r="B327" s="8" t="str">
        <f>IFERROR(__xludf.DUMMYFUNCTION("""COMPUTED_VALUE"""),"The first Industrial Revolution occurred in Great Britain at the end of the 1700s. The second came with the invention of the “Clapper.”")</f>
        <v>The first Industrial Revolution occurred in Great Britain at the end of the 1700s. The second came with the invention of the “Clapper.”</v>
      </c>
      <c r="C327" s="13" t="str">
        <f>IFERROR(__xludf.DUMMYFUNCTION("""COMPUTED_VALUE"""),"""nowp"":{""label"":""Industrial Revolution"",""extra"":""The first Industrial Revolution occurred in Great Britain at the end of the 1700s. The second came with the invention of the “Clapper.”"",""sets"":""Basic Set, Party Set""},")</f>
        <v>"nowp":{"label":"Industrial Revolution","extra":"The first Industrial Revolution occurred in Great Britain at the end of the 1700s. The second came with the invention of the “Clapper.”","sets":"Basic Set, Party Set"},</v>
      </c>
    </row>
    <row r="328">
      <c r="A328" s="8" t="str">
        <f>IFERROR(__xludf.DUMMYFUNCTION("""COMPUTED_VALUE"""),"Infomercials")</f>
        <v>Infomercials</v>
      </c>
      <c r="B328" s="8" t="str">
        <f>IFERROR(__xludf.DUMMYFUNCTION("""COMPUTED_VALUE"""),"One of these days, one of them may even say something informative.")</f>
        <v>One of these days, one of them may even say something informative.</v>
      </c>
      <c r="C328" s="13" t="str">
        <f>IFERROR(__xludf.DUMMYFUNCTION("""COMPUTED_VALUE"""),"""fxxo"":{""label"":""Infomercials"",""extra"":""One of these days, one of them may even say something informative."",""sets"":""Basic Set, Party Set""},")</f>
        <v>"fxxo":{"label":"Infomercials","extra":"One of these days, one of them may even say something informative.","sets":"Basic Set, Party Set"},</v>
      </c>
    </row>
    <row r="329">
      <c r="A329" s="8" t="str">
        <f>IFERROR(__xludf.DUMMYFUNCTION("""COMPUTED_VALUE"""),"Inside The Sun")</f>
        <v>Inside The Sun</v>
      </c>
      <c r="B329" s="8" t="str">
        <f>IFERROR(__xludf.DUMMYFUNCTION("""COMPUTED_VALUE"""),"Consisting mostly of hydrogen, the temperature reaches almost 16,000,000 K (about 29,000,000 F).")</f>
        <v>Consisting mostly of hydrogen, the temperature reaches almost 16,000,000 K (about 29,000,000 F).</v>
      </c>
      <c r="C329" s="13" t="str">
        <f>IFERROR(__xludf.DUMMYFUNCTION("""COMPUTED_VALUE"""),"""jbe{"":{""label"":""Inside The Sun"",""extra"":""Consisting mostly of hydrogen, the temperature reaches almost 16,000,000 K (about 29,000,000 F)."",""sets"":""Basic Set, Party Set""},")</f>
        <v>"jbe{":{"label":"Inside The Sun","extra":"Consisting mostly of hydrogen, the temperature reaches almost 16,000,000 K (about 29,000,000 F).","sets":"Basic Set, Party Set"},</v>
      </c>
    </row>
    <row r="330">
      <c r="A330" s="8" t="str">
        <f>IFERROR(__xludf.DUMMYFUNCTION("""COMPUTED_VALUE"""),"Intellectuals")</f>
        <v>Intellectuals</v>
      </c>
      <c r="B330" s="8" t="str">
        <f>IFERROR(__xludf.DUMMYFUNCTION("""COMPUTED_VALUE"""),"They think they’re so smart.")</f>
        <v>They think they’re so smart.</v>
      </c>
      <c r="C330" s="13" t="str">
        <f>IFERROR(__xludf.DUMMYFUNCTION("""COMPUTED_VALUE"""),"""odyg"":{""label"":""Intellectuals"",""extra"":""They think they’re so smart."",""sets"":""Expansion Set 2, Party Set""},")</f>
        <v>"odyg":{"label":"Intellectuals","extra":"They think they’re so smart.","sets":"Expansion Set 2, Party Set"},</v>
      </c>
    </row>
    <row r="331">
      <c r="A331" s="8" t="str">
        <f>IFERROR(__xludf.DUMMYFUNCTION("""COMPUTED_VALUE"""),"Ireland")</f>
        <v>Ireland</v>
      </c>
      <c r="B331" s="8" t="str">
        <f>IFERROR(__xludf.DUMMYFUNCTION("""COMPUTED_VALUE"""),"Island of the British Isles, west of Great Britain. Known for its distinctive traditional dance and music.")</f>
        <v>Island of the British Isles, west of Great Britain. Known for its distinctive traditional dance and music.</v>
      </c>
      <c r="C331" s="13" t="str">
        <f>IFERROR(__xludf.DUMMYFUNCTION("""COMPUTED_VALUE"""),"""qj{v"":{""label"":""Ireland"",""extra"":""Island of the British Isles, west of Great Britain. Known for its distinctive traditional dance and music."",""sets"":""Expansion Set 2, Party Set""},")</f>
        <v>"qj{v":{"label":"Ireland","extra":"Island of the British Isles, west of Great Britain. Known for its distinctive traditional dance and music.","sets":"Expansion Set 2, Party Set"},</v>
      </c>
    </row>
    <row r="332">
      <c r="A332" s="8" t="str">
        <f>IFERROR(__xludf.DUMMYFUNCTION("""COMPUTED_VALUE"""),"Israel")</f>
        <v>Israel</v>
      </c>
      <c r="B332" s="8" t="str">
        <f>IFERROR(__xludf.DUMMYFUNCTION("""COMPUTED_VALUE"""),"Located on the Mediterranean, the state of Israel was reated by a 1948 U.N. mandate.")</f>
        <v>Located on the Mediterranean, the state of Israel was reated by a 1948 U.N. mandate.</v>
      </c>
      <c r="C332" s="13" t="str">
        <f>IFERROR(__xludf.DUMMYFUNCTION("""COMPUTED_VALUE"""),"""bcnh"":{""label"":""Israel"",""extra"":""Located on the Mediterranean, the state of Israel was reated by a 1948 U.N. mandate."",""sets"":""Expansion Set 2, Party Set""},")</f>
        <v>"bcnh":{"label":"Israel","extra":"Located on the Mediterranean, the state of Israel was reated by a 1948 U.N. mandate.","sets":"Expansion Set 2, Party Set"},</v>
      </c>
    </row>
    <row r="333">
      <c r="A333" s="8" t="str">
        <f>IFERROR(__xludf.DUMMYFUNCTION("""COMPUTED_VALUE"""),"Italy")</f>
        <v>Italy</v>
      </c>
      <c r="B333" s="8" t="str">
        <f>IFERROR(__xludf.DUMMYFUNCTION("""COMPUTED_VALUE"""),"European Republic, shaped like a boot a very fashionable boot.")</f>
        <v>European Republic, shaped like a boot a very fashionable boot.</v>
      </c>
      <c r="C333" s="13" t="str">
        <f>IFERROR(__xludf.DUMMYFUNCTION("""COMPUTED_VALUE"""),"""kicb"":{""label"":""Italy"",""extra"":""European Republic, shaped like a boot a very fashionable boot."",""sets"":""Basic Set, Party Set""},")</f>
        <v>"kicb":{"label":"Italy","extra":"European Republic, shaped like a boot a very fashionable boot.","sets":"Basic Set, Party Set"},</v>
      </c>
    </row>
    <row r="334">
      <c r="A334" s="8" t="str">
        <f>IFERROR(__xludf.DUMMYFUNCTION("""COMPUTED_VALUE"""),"Jack Nicholson")</f>
        <v>Jack Nicholson</v>
      </c>
      <c r="B334" s="8" t="str">
        <f>IFERROR(__xludf.DUMMYFUNCTION("""COMPUTED_VALUE"""),"1937-, American motion-picture actor of “Chinatown,” “Terms Of Endearment” and “The Shining.” He's as good as it gets!")</f>
        <v>1937-, American motion-picture actor of “Chinatown,” “Terms Of Endearment” and “The Shining.” He's as good as it gets!</v>
      </c>
      <c r="C334" s="13" t="str">
        <f>IFERROR(__xludf.DUMMYFUNCTION("""COMPUTED_VALUE"""),"""xzka"":{""label"":""Jack Nicholson"",""extra"":""1937-, American motion-picture actor of “Chinatown,” “Terms Of Endearment” and “The Shining.” He's as good as it gets!"",""sets"":""Expansion Set 1, Party Set""},")</f>
        <v>"xzka":{"label":"Jack Nicholson","extra":"1937-, American motion-picture actor of “Chinatown,” “Terms Of Endearment” and “The Shining.” He's as good as it gets!","sets":"Expansion Set 1, Party Set"},</v>
      </c>
    </row>
    <row r="335">
      <c r="A335" s="8" t="str">
        <f>IFERROR(__xludf.DUMMYFUNCTION("""COMPUTED_VALUE"""),"Jack The Ripper")</f>
        <v>Jack The Ripper</v>
      </c>
      <c r="B335" s="8" t="str">
        <f>IFERROR(__xludf.DUMMYFUNCTION("""COMPUTED_VALUE"""),"Accused of murdering six women in 1888, and suspected in other murders. Still at large.")</f>
        <v>Accused of murdering six women in 1888, and suspected in other murders. Still at large.</v>
      </c>
      <c r="C335" s="13" t="str">
        <f>IFERROR(__xludf.DUMMYFUNCTION("""COMPUTED_VALUE"""),"""ufao"":{""label"":""Jack The Ripper"",""extra"":""Accused of murdering six women in 1888, and suspected in other murders. Still at large."",""sets"":""Expansion Set 1, Party Set""},")</f>
        <v>"ufao":{"label":"Jack The Ripper","extra":"Accused of murdering six women in 1888, and suspected in other murders. Still at large.","sets":"Expansion Set 1, Party Set"},</v>
      </c>
    </row>
    <row r="336">
      <c r="A336" s="8" t="str">
        <f>IFERROR(__xludf.DUMMYFUNCTION("""COMPUTED_VALUE"""),"Jackie Chan")</f>
        <v>Jackie Chan</v>
      </c>
      <c r="B336" s="8" t="str">
        <f>IFERROR(__xludf.DUMMYFUNCTION("""COMPUTED_VALUE"""),"1954-, actor, director, martial artist. Screen name, Sing Lung, means “Becoming the Dragon.” That’s “MISTER Becoming the Dragon” to you!")</f>
        <v>1954-, actor, director, martial artist. Screen name, Sing Lung, means “Becoming the Dragon.” That’s “MISTER Becoming the Dragon” to you!</v>
      </c>
      <c r="C336" s="13" t="str">
        <f>IFERROR(__xludf.DUMMYFUNCTION("""COMPUTED_VALUE"""),"""xyqy"":{""label"":""Jackie Chan"",""extra"":""1954-, actor, director, martial artist. Screen name, Sing Lung, means “Becoming the Dragon.” That’s “MISTER Becoming the Dragon” to you!"",""sets"":""Expansion Set 1, Party Set""},")</f>
        <v>"xyqy":{"label":"Jackie Chan","extra":"1954-, actor, director, martial artist. Screen name, Sing Lung, means “Becoming the Dragon.” That’s “MISTER Becoming the Dragon” to you!","sets":"Expansion Set 1, Party Set"},</v>
      </c>
    </row>
    <row r="337">
      <c r="A337" s="8" t="str">
        <f>IFERROR(__xludf.DUMMYFUNCTION("""COMPUTED_VALUE"""),"Jacques Cousteau")</f>
        <v>Jacques Cousteau</v>
      </c>
      <c r="B337" s="8" t="str">
        <f>IFERROR(__xludf.DUMMYFUNCTION("""COMPUTED_VALUE"""),"1910-97, French naval officer, marine explorer, and author. Best known as a documentary filmmaker.")</f>
        <v>1910-97, French naval officer, marine explorer, and author. Best known as a documentary filmmaker.</v>
      </c>
      <c r="C337" s="13" t="str">
        <f>IFERROR(__xludf.DUMMYFUNCTION("""COMPUTED_VALUE"""),"""dygj"":{""label"":""Jacques Cousteau"",""extra"":""1910-97, French naval officer, marine explorer, and author. Best known as a documentary filmmaker."",""sets"":""Basic Set, Party Set""},")</f>
        <v>"dygj":{"label":"Jacques Cousteau","extra":"1910-97, French naval officer, marine explorer, and author. Best known as a documentary filmmaker.","sets":"Basic Set, Party Set"},</v>
      </c>
    </row>
    <row r="338">
      <c r="A338" s="8" t="str">
        <f>IFERROR(__xludf.DUMMYFUNCTION("""COMPUTED_VALUE"""),"Jamaica")</f>
        <v>Jamaica</v>
      </c>
      <c r="B338" s="8" t="str">
        <f>IFERROR(__xludf.DUMMYFUNCTION("""COMPUTED_VALUE"""),"Third largest island of the Greater Antilles, south of Cuba. Tropical climate, reggae music, and jerk cooking.")</f>
        <v>Third largest island of the Greater Antilles, south of Cuba. Tropical climate, reggae music, and jerk cooking.</v>
      </c>
      <c r="C338" s="13" t="str">
        <f>IFERROR(__xludf.DUMMYFUNCTION("""COMPUTED_VALUE"""),"""xagv"":{""label"":""Jamaica"",""extra"":""Third largest island of the Greater Antilles, south of Cuba. Tropical climate, reggae music, and jerk cooking."",""sets"":""Expansion Set 2, Party Set""},")</f>
        <v>"xagv":{"label":"Jamaica","extra":"Third largest island of the Greater Antilles, south of Cuba. Tropical climate, reggae music, and jerk cooking.","sets":"Expansion Set 2, Party Set"},</v>
      </c>
    </row>
    <row r="339">
      <c r="A339" s="8" t="str">
        <f>IFERROR(__xludf.DUMMYFUNCTION("""COMPUTED_VALUE"""),"James Bond")</f>
        <v>James Bond</v>
      </c>
      <c r="B339" s="8" t="str">
        <f>IFERROR(__xludf.DUMMYFUNCTION("""COMPUTED_VALUE"""),"Fictional British secret agent created by English author Ian Fleming. Shaken, but never stirred.")</f>
        <v>Fictional British secret agent created by English author Ian Fleming. Shaken, but never stirred.</v>
      </c>
      <c r="C339" s="13" t="str">
        <f>IFERROR(__xludf.DUMMYFUNCTION("""COMPUTED_VALUE"""),"""ujec"":{""label"":""James Bond"",""extra"":""Fictional British secret agent created by English author Ian Fleming. Shaken, but never stirred."",""sets"":""Basic Set, Party Set""},")</f>
        <v>"ujec":{"label":"James Bond","extra":"Fictional British secret agent created by English author Ian Fleming. Shaken, but never stirred.","sets":"Basic Set, Party Set"},</v>
      </c>
    </row>
    <row r="340">
      <c r="A340" s="8" t="str">
        <f>IFERROR(__xludf.DUMMYFUNCTION("""COMPUTED_VALUE"""),"James Dean")</f>
        <v>James Dean</v>
      </c>
      <c r="B340" s="8" t="str">
        <f>IFERROR(__xludf.DUMMYFUNCTION("""COMPUTED_VALUE"""),"1931-55, American actor of film, stage, and television. His role in “Rebel Without a Cause” helped define “cool.”")</f>
        <v>1931-55, American actor of film, stage, and television. His role in “Rebel Without a Cause” helped define “cool.”</v>
      </c>
      <c r="C340" s="13" t="str">
        <f>IFERROR(__xludf.DUMMYFUNCTION("""COMPUTED_VALUE"""),"""bzhq"":{""label"":""James Dean"",""extra"":""1931-55, American actor of film, stage, and television. His role in “Rebel Without a Cause” helped define “cool.”"",""sets"":""Basic Set, Party Set""},")</f>
        <v>"bzhq":{"label":"James Dean","extra":"1931-55, American actor of film, stage, and television. His role in “Rebel Without a Cause” helped define “cool.”","sets":"Basic Set, Party Set"},</v>
      </c>
    </row>
    <row r="341">
      <c r="A341" s="8" t="str">
        <f>IFERROR(__xludf.DUMMYFUNCTION("""COMPUTED_VALUE"""),"Japan")</f>
        <v>Japan</v>
      </c>
      <c r="B341" s="8" t="str">
        <f>IFERROR(__xludf.DUMMYFUNCTION("""COMPUTED_VALUE"""),"An Asian constitutional monarchy. The capital city is Tokyo. Let’s see… sushi, Godzilla, earthquakes…")</f>
        <v>An Asian constitutional monarchy. The capital city is Tokyo. Let’s see… sushi, Godzilla, earthquakes…</v>
      </c>
      <c r="C341" s="13" t="str">
        <f>IFERROR(__xludf.DUMMYFUNCTION("""COMPUTED_VALUE"""),"""hawo"":{""label"":""Japan"",""extra"":""An Asian constitutional monarchy. The capital city is Tokyo. Let’s see… sushi, Godzilla, earthquakes…"",""sets"":""Basic Set, Party Set""},")</f>
        <v>"hawo":{"label":"Japan","extra":"An Asian constitutional monarchy. The capital city is Tokyo. Let’s see… sushi, Godzilla, earthquakes…","sets":"Basic Set, Party Set"},</v>
      </c>
    </row>
    <row r="342">
      <c r="A342" s="8" t="str">
        <f>IFERROR(__xludf.DUMMYFUNCTION("""COMPUTED_VALUE"""),"Japanese")</f>
        <v>Japanese</v>
      </c>
      <c r="B342" s="8" t="str">
        <f>IFERROR(__xludf.DUMMYFUNCTION("""COMPUTED_VALUE"""),"How many Japanese does it take to screw in a light bulb? Who needs light bulbs when you’ve got OUR new technology!")</f>
        <v>How many Japanese does it take to screw in a light bulb? Who needs light bulbs when you’ve got OUR new technology!</v>
      </c>
      <c r="C342" s="13" t="str">
        <f>IFERROR(__xludf.DUMMYFUNCTION("""COMPUTED_VALUE"""),"""nffg"":{""label"":""Japanese"",""extra"":""How many Japanese does it take to screw in a light bulb? Who needs light bulbs when you’ve got OUR new technology!"",""sets"":""Basic Set, Party Set""},")</f>
        <v>"nffg":{"label":"Japanese","extra":"How many Japanese does it take to screw in a light bulb? Who needs light bulbs when you’ve got OUR new technology!","sets":"Basic Set, Party Set"},</v>
      </c>
    </row>
    <row r="343">
      <c r="A343" s="8" t="str">
        <f>IFERROR(__xludf.DUMMYFUNCTION("""COMPUTED_VALUE"""),"Jelly Beans")</f>
        <v>Jelly Beans</v>
      </c>
      <c r="B343" s="8" t="str">
        <f>IFERROR(__xludf.DUMMYFUNCTION("""COMPUTED_VALUE"""),"Well, as long as we HAVE to eat our vegetables…")</f>
        <v>Well, as long as we HAVE to eat our vegetables…</v>
      </c>
      <c r="C343" s="13" t="str">
        <f>IFERROR(__xludf.DUMMYFUNCTION("""COMPUTED_VALUE"""),"""swpn"":{""label"":""Jelly Beans"",""extra"":""Well, as long as we HAVE to eat our vegetables…"",""sets"":""Expansion Set 1, Party Set""},")</f>
        <v>"swpn":{"label":"Jelly Beans","extra":"Well, as long as we HAVE to eat our vegetables…","sets":"Expansion Set 1, Party Set"},</v>
      </c>
    </row>
    <row r="344">
      <c r="A344" s="8" t="str">
        <f>IFERROR(__xludf.DUMMYFUNCTION("""COMPUTED_VALUE"""),"Jennifer Lopez")</f>
        <v>Jennifer Lopez</v>
      </c>
      <c r="B344" s="8" t="str">
        <f>IFERROR(__xludf.DUMMYFUNCTION("""COMPUTED_VALUE"""),"1970-, American singer and actor of Selena, Money Train, and Maid In Manhattan.")</f>
        <v>1970-, American singer and actor of Selena, Money Train, and Maid In Manhattan.</v>
      </c>
      <c r="C344" s="13" t="str">
        <f>IFERROR(__xludf.DUMMYFUNCTION("""COMPUTED_VALUE"""),"""qr{k"":{""label"":""Jennifer Lopez"",""extra"":""1970-, American singer and actor of Selena, Money Train, and Maid In Manhattan."",""sets"":""Expansion Set 2, Party Set""},")</f>
        <v>"qr{k":{"label":"Jennifer Lopez","extra":"1970-, American singer and actor of Selena, Money Train, and Maid In Manhattan.","sets":"Expansion Set 2, Party Set"},</v>
      </c>
    </row>
    <row r="345">
      <c r="A345" s="8" t="str">
        <f>IFERROR(__xludf.DUMMYFUNCTION("""COMPUTED_VALUE"""),"Jerry Springer")</f>
        <v>Jerry Springer</v>
      </c>
      <c r="B345" s="8" t="str">
        <f>IFERROR(__xludf.DUMMYFUNCTION("""COMPUTED_VALUE"""),"1944-, controversial talk-show host. Don’t those people know that millions of us are watching?")</f>
        <v>1944-, controversial talk-show host. Don’t those people know that millions of us are watching?</v>
      </c>
      <c r="C345" s="13" t="str">
        <f>IFERROR(__xludf.DUMMYFUNCTION("""COMPUTED_VALUE"""),"""mqjk"":{""label"":""Jerry Springer"",""extra"":""1944-, controversial talk-show host. Don’t those people know that millions of us are watching?"",""sets"":""Expansion Set 1, Party Set""},")</f>
        <v>"mqjk":{"label":"Jerry Springer","extra":"1944-, controversial talk-show host. Don’t those people know that millions of us are watching?","sets":"Expansion Set 1, Party Set"},</v>
      </c>
    </row>
    <row r="346">
      <c r="A346" s="8" t="str">
        <f>IFERROR(__xludf.DUMMYFUNCTION("""COMPUTED_VALUE"""),"Jesse Jackson")</f>
        <v>Jesse Jackson</v>
      </c>
      <c r="B346" s="8" t="str">
        <f>IFERROR(__xludf.DUMMYFUNCTION("""COMPUTED_VALUE"""),"1941-, American civil rights leader. Named to “The Gallup List of Ten Most Respected by Americans” for ten years.")</f>
        <v>1941-, American civil rights leader. Named to “The Gallup List of Ten Most Respected by Americans” for ten years.</v>
      </c>
      <c r="C346" s="13" t="str">
        <f>IFERROR(__xludf.DUMMYFUNCTION("""COMPUTED_VALUE"""),"""vyrg"":{""label"":""Jesse Jackson"",""extra"":""1941-, American civil rights leader. Named to “The Gallup List of Ten Most Respected by Americans” for ten years."",""sets"":""Expansion Set 1, Party Set""},")</f>
        <v>"vyrg":{"label":"Jesse Jackson","extra":"1941-, American civil rights leader. Named to “The Gallup List of Ten Most Respected by Americans” for ten years.","sets":"Expansion Set 1, Party Set"},</v>
      </c>
    </row>
    <row r="347">
      <c r="A347" s="8" t="str">
        <f>IFERROR(__xludf.DUMMYFUNCTION("""COMPUTED_VALUE"""),"Jesse Ventura")</f>
        <v>Jesse Ventura</v>
      </c>
      <c r="B347" s="8" t="str">
        <f>IFERROR(__xludf.DUMMYFUNCTION("""COMPUTED_VALUE"""),"1951-, wrestler, Navy Seal, and former governor of Minnesota. Author of I Ain’t Got Time To Bleed.")</f>
        <v>1951-, wrestler, Navy Seal, and former governor of Minnesota. Author of I Ain’t Got Time To Bleed.</v>
      </c>
      <c r="C347" s="13" t="str">
        <f>IFERROR(__xludf.DUMMYFUNCTION("""COMPUTED_VALUE"""),"""kwol"":{""label"":""Jesse Ventura"",""extra"":""1951-, wrestler, Navy Seal, and former governor of Minnesota. Author of I Ain’t Got Time To Bleed."",""sets"":""Expansion Set 1, Party Set""},")</f>
        <v>"kwol":{"label":"Jesse Ventura","extra":"1951-, wrestler, Navy Seal, and former governor of Minnesota. Author of I Ain’t Got Time To Bleed.","sets":"Expansion Set 1, Party Set"},</v>
      </c>
    </row>
    <row r="348">
      <c r="A348" s="8" t="str">
        <f>IFERROR(__xludf.DUMMYFUNCTION("""COMPUTED_VALUE"""),"Jim Carrey")</f>
        <v>Jim Carrey</v>
      </c>
      <c r="B348" s="8" t="str">
        <f>IFERROR(__xludf.DUMMYFUNCTION("""COMPUTED_VALUE"""),"1962-, Canadian comedian and actor. Famous for outrageous faces, and dumb and dumber characters.")</f>
        <v>1962-, Canadian comedian and actor. Famous for outrageous faces, and dumb and dumber characters.</v>
      </c>
      <c r="C348" s="13" t="str">
        <f>IFERROR(__xludf.DUMMYFUNCTION("""COMPUTED_VALUE"""),"""ypon"":{""label"":""Jim Carrey"",""extra"":""1962-, Canadian comedian and actor. Famous for outrageous faces, and dumb and dumber characters."",""sets"":""Expansion Set 1, Party Set""},")</f>
        <v>"ypon":{"label":"Jim Carrey","extra":"1962-, Canadian comedian and actor. Famous for outrageous faces, and dumb and dumber characters.","sets":"Expansion Set 1, Party Set"},</v>
      </c>
    </row>
    <row r="349">
      <c r="A349" s="8" t="str">
        <f>IFERROR(__xludf.DUMMYFUNCTION("""COMPUTED_VALUE"""),"Jimmy Stewart")</f>
        <v>Jimmy Stewart</v>
      </c>
      <c r="B349" s="8" t="str">
        <f>IFERROR(__xludf.DUMMYFUNCTION("""COMPUTED_VALUE"""),"1908-97, America’s favorite self-image. “Mr. Smith Goes to Washington,” “Rear Window,” “Vertigo,” and “It’s a Wonderful Life,” …and it probably was.")</f>
        <v>1908-97, America’s favorite self-image. “Mr. Smith Goes to Washington,” “Rear Window,” “Vertigo,” and “It’s a Wonderful Life,” …and it probably was.</v>
      </c>
      <c r="C349" s="13" t="str">
        <f>IFERROR(__xludf.DUMMYFUNCTION("""COMPUTED_VALUE"""),"""iszk"":{""label"":""Jimmy Stewart"",""extra"":""1908-97, America’s favorite self-image. “Mr. Smith Goes to Washington,” “Rear Window,” “Vertigo,” and “It’s a Wonderful Life,” …and it probably was."",""sets"":""Expansion Set 2, Party Set""},")</f>
        <v>"iszk":{"label":"Jimmy Stewart","extra":"1908-97, America’s favorite self-image. “Mr. Smith Goes to Washington,” “Rear Window,” “Vertigo,” and “It’s a Wonderful Life,” …and it probably was.","sets":"Expansion Set 2, Party Set"},</v>
      </c>
    </row>
    <row r="350">
      <c r="A350" s="8" t="str">
        <f>IFERROR(__xludf.DUMMYFUNCTION("""COMPUTED_VALUE"""),"Joan Of Arc")</f>
        <v>Joan Of Arc</v>
      </c>
      <c r="B350" s="8" t="str">
        <f>IFERROR(__xludf.DUMMYFUNCTION("""COMPUTED_VALUE"""),"1412-31, patron saint of France who decisively turned the tide of the Hundred Years’ War, which really burned her up.")</f>
        <v>1412-31, patron saint of France who decisively turned the tide of the Hundred Years’ War, which really burned her up.</v>
      </c>
      <c r="C350" s="13" t="str">
        <f>IFERROR(__xludf.DUMMYFUNCTION("""COMPUTED_VALUE"""),"""thuu"":{""label"":""Joan Of Arc"",""extra"":""1412-31, patron saint of France who decisively turned the tide of the Hundred Years’ War, which really burned her up."",""sets"":""Basic Set, Party Set""},")</f>
        <v>"thuu":{"label":"Joan Of Arc","extra":"1412-31, patron saint of France who decisively turned the tide of the Hundred Years’ War, which really burned her up.","sets":"Basic Set, Party Set"},</v>
      </c>
    </row>
    <row r="351">
      <c r="A351" s="8" t="str">
        <f>IFERROR(__xludf.DUMMYFUNCTION("""COMPUTED_VALUE"""),"Jodie Foster")</f>
        <v>Jodie Foster</v>
      </c>
      <c r="B351" s="8" t="str">
        <f>IFERROR(__xludf.DUMMYFUNCTION("""COMPUTED_VALUE"""),"1962-, American actor began her career on Mayberry, R.F.D. and went on to win Academy Awards for “The Accused” and “Silence Of The Lambs.”")</f>
        <v>1962-, American actor began her career on Mayberry, R.F.D. and went on to win Academy Awards for “The Accused” and “Silence Of The Lambs.”</v>
      </c>
      <c r="C351" s="13" t="str">
        <f>IFERROR(__xludf.DUMMYFUNCTION("""COMPUTED_VALUE"""),"""tyha"":{""label"":""Jodie Foster"",""extra"":""1962-, American actor began her career on Mayberry, R.F.D. and went on to win Academy Awards for “The Accused” and “Silence Of The Lambs.”"",""sets"":""Expansion Set 2, Party Set""},")</f>
        <v>"tyha":{"label":"Jodie Foster","extra":"1962-, American actor began her career on Mayberry, R.F.D. and went on to win Academy Awards for “The Accused” and “Silence Of The Lambs.”","sets":"Expansion Set 2, Party Set"},</v>
      </c>
    </row>
    <row r="352">
      <c r="A352" s="8" t="str">
        <f>IFERROR(__xludf.DUMMYFUNCTION("""COMPUTED_VALUE"""),"John F. Kennedy")</f>
        <v>John F. Kennedy</v>
      </c>
      <c r="B352" s="8" t="str">
        <f>IFERROR(__xludf.DUMMYFUNCTION("""COMPUTED_VALUE"""),"1917-63, 35th president of the US. “Ask not what your country can do for you; ask what you can do for your country.”")</f>
        <v>1917-63, 35th president of the US. “Ask not what your country can do for you; ask what you can do for your country.”</v>
      </c>
      <c r="C352" s="13" t="str">
        <f>IFERROR(__xludf.DUMMYFUNCTION("""COMPUTED_VALUE"""),"""lewo"":{""label"":""John F. Kennedy"",""extra"":""1917-63, 35th president of the US. “Ask not what your country can do for you; ask what you can do for your country.”"",""sets"":""Basic Set, Party Set""},")</f>
        <v>"lewo":{"label":"John F. Kennedy","extra":"1917-63, 35th president of the US. “Ask not what your country can do for you; ask what you can do for your country.”","sets":"Basic Set, Party Set"},</v>
      </c>
    </row>
    <row r="353">
      <c r="A353" s="8" t="str">
        <f>IFERROR(__xludf.DUMMYFUNCTION("""COMPUTED_VALUE"""),"John Glenn")</f>
        <v>John Glenn</v>
      </c>
      <c r="B353" s="8" t="str">
        <f>IFERROR(__xludf.DUMMYFUNCTION("""COMPUTED_VALUE"""),"1921-, The first U.S. astronaut to orbit the earth in 1962, and a U.S. Senator. Never too old to shoot for the moon!")</f>
        <v>1921-, The first U.S. astronaut to orbit the earth in 1962, and a U.S. Senator. Never too old to shoot for the moon!</v>
      </c>
      <c r="C353" s="13" t="str">
        <f>IFERROR(__xludf.DUMMYFUNCTION("""COMPUTED_VALUE"""),"""coyi"":{""label"":""John Glenn"",""extra"":""1921-, The first U.S. astronaut to orbit the earth in 1962, and a U.S. Senator. Never too old to shoot for the moon!"",""sets"":""Expansion Set 2, Party Set""},")</f>
        <v>"coyi":{"label":"John Glenn","extra":"1921-, The first U.S. astronaut to orbit the earth in 1962, and a U.S. Senator. Never too old to shoot for the moon!","sets":"Expansion Set 2, Party Set"},</v>
      </c>
    </row>
    <row r="354">
      <c r="A354" s="8" t="str">
        <f>IFERROR(__xludf.DUMMYFUNCTION("""COMPUTED_VALUE"""),"John Philip Sousa")</f>
        <v>John Philip Sousa</v>
      </c>
      <c r="B354" s="8" t="str">
        <f>IFERROR(__xludf.DUMMYFUNCTION("""COMPUTED_VALUE"""),"1854-1932, American bandmaster and composer of “Stars and Stripes Forever.” Known as “The March King.”")</f>
        <v>1854-1932, American bandmaster and composer of “Stars and Stripes Forever.” Known as “The March King.”</v>
      </c>
      <c r="C354" s="13" t="str">
        <f>IFERROR(__xludf.DUMMYFUNCTION("""COMPUTED_VALUE"""),"""tcac"":{""label"":""John Philip Sousa"",""extra"":""1854-1932, American bandmaster and composer of “Stars and Stripes Forever.” Known as “The March King.”"",""sets"":""Expansion Set 2, Party Set""},")</f>
        <v>"tcac":{"label":"John Philip Sousa","extra":"1854-1932, American bandmaster and composer of “Stars and Stripes Forever.” Known as “The March King.”","sets":"Expansion Set 2, Party Set"},</v>
      </c>
    </row>
    <row r="355">
      <c r="A355" s="8" t="str">
        <f>IFERROR(__xludf.DUMMYFUNCTION("""COMPUTED_VALUE"""),"John Travolta")</f>
        <v>John Travolta</v>
      </c>
      <c r="B355" s="8" t="str">
        <f>IFERROR(__xludf.DUMMYFUNCTION("""COMPUTED_VALUE"""),"1954, American actor of “Welcome Back, Kotter,” “Grease,” “Saturday Night Fever” and “Pulp Fiction.” That man can dance!")</f>
        <v>1954, American actor of “Welcome Back, Kotter,” “Grease,” “Saturday Night Fever” and “Pulp Fiction.” That man can dance!</v>
      </c>
      <c r="C355" s="13" t="str">
        <f>IFERROR(__xludf.DUMMYFUNCTION("""COMPUTED_VALUE"""),"""zpww"":{""label"":""John Travolta"",""extra"":""1954, American actor of “Welcome Back, Kotter,” “Grease,” “Saturday Night Fever” and “Pulp Fiction.” That man can dance!"",""sets"":""Expansion Set 1, Party Set""},")</f>
        <v>"zpww":{"label":"John Travolta","extra":"1954, American actor of “Welcome Back, Kotter,” “Grease,” “Saturday Night Fever” and “Pulp Fiction.” That man can dance!","sets":"Expansion Set 1, Party Set"},</v>
      </c>
    </row>
    <row r="356">
      <c r="A356" s="8" t="str">
        <f>IFERROR(__xludf.DUMMYFUNCTION("""COMPUTED_VALUE"""),"Judge Judy")</f>
        <v>Judge Judy</v>
      </c>
      <c r="B356" s="8" t="str">
        <f>IFERROR(__xludf.DUMMYFUNCTION("""COMPUTED_VALUE"""),"Ms. Sheindlin presides over real-life cases on this TV courtroom show. “I'm the boss, applesauce!”")</f>
        <v>Ms. Sheindlin presides over real-life cases on this TV courtroom show. “I'm the boss, applesauce!”</v>
      </c>
      <c r="C356" s="13" t="str">
        <f>IFERROR(__xludf.DUMMYFUNCTION("""COMPUTED_VALUE"""),"""gxxs"":{""label"":""Judge Judy"",""extra"":""Ms. Sheindlin presides over real-life cases on this TV courtroom show. “I'm the boss, applesauce!”"",""sets"":""Expansion Set 2, Party Set""},")</f>
        <v>"gxxs":{"label":"Judge Judy","extra":"Ms. Sheindlin presides over real-life cases on this TV courtroom show. “I'm the boss, applesauce!”","sets":"Expansion Set 2, Party Set"},</v>
      </c>
    </row>
    <row r="357">
      <c r="A357" s="8" t="str">
        <f>IFERROR(__xludf.DUMMYFUNCTION("""COMPUTED_VALUE"""),"Julia Roberts")</f>
        <v>Julia Roberts</v>
      </c>
      <c r="B357" s="8" t="str">
        <f>IFERROR(__xludf.DUMMYFUNCTION("""COMPUTED_VALUE"""),"1967-, American actor and Pretty Woman. Also starred in Steel Magnolias, My Best Friend's Wedding, and Erin Brockovich.")</f>
        <v>1967-, American actor and Pretty Woman. Also starred in Steel Magnolias, My Best Friend's Wedding, and Erin Brockovich.</v>
      </c>
      <c r="C357" s="13" t="str">
        <f>IFERROR(__xludf.DUMMYFUNCTION("""COMPUTED_VALUE"""),"""suyj"":{""label"":""Julia Roberts"",""extra"":""1967-, American actor and Pretty Woman. Also starred in Steel Magnolias, My Best Friend's Wedding, and Erin Brockovich."",""sets"":""Expansion Set 2, Party Set""},")</f>
        <v>"suyj":{"label":"Julia Roberts","extra":"1967-, American actor and Pretty Woman. Also starred in Steel Magnolias, My Best Friend's Wedding, and Erin Brockovich.","sets":"Expansion Set 2, Party Set"},</v>
      </c>
    </row>
    <row r="358">
      <c r="A358" s="8" t="str">
        <f>IFERROR(__xludf.DUMMYFUNCTION("""COMPUTED_VALUE"""),"Junk Mail")</f>
        <v>Junk Mail</v>
      </c>
      <c r="B358" s="8" t="str">
        <f>IFERROR(__xludf.DUMMYFUNCTION("""COMPUTED_VALUE"""),"Contests, credit card applications, solicitations and political ads.")</f>
        <v>Contests, credit card applications, solicitations and political ads.</v>
      </c>
      <c r="C358" s="13" t="str">
        <f>IFERROR(__xludf.DUMMYFUNCTION("""COMPUTED_VALUE"""),"""pdul"":{""label"":""Junk Mail"",""extra"":""Contests, credit card applications, solicitations and political ads."",""sets"":""Expansion Set 2, Party Set""},")</f>
        <v>"pdul":{"label":"Junk Mail","extra":"Contests, credit card applications, solicitations and political ads.","sets":"Expansion Set 2, Party Set"},</v>
      </c>
    </row>
    <row r="359">
      <c r="A359" s="8" t="str">
        <f>IFERROR(__xludf.DUMMYFUNCTION("""COMPUTED_VALUE"""),"Jupiter")</f>
        <v>Jupiter</v>
      </c>
      <c r="B359" s="8" t="str">
        <f>IFERROR(__xludf.DUMMYFUNCTION("""COMPUTED_VALUE"""),"Story Problem: If one year on Jupiter equals 11.86 Earth years, and one day equals 9.92 Earth hours, how many Earth hours are there in a Jupiter year?")</f>
        <v>Story Problem: If one year on Jupiter equals 11.86 Earth years, and one day equals 9.92 Earth hours, how many Earth hours are there in a Jupiter year?</v>
      </c>
      <c r="C359" s="13" t="str">
        <f>IFERROR(__xludf.DUMMYFUNCTION("""COMPUTED_VALUE"""),"""j{gm"":{""label"":""Jupiter"",""extra"":""Story Problem: If one year on Jupiter equals 11.86 Earth years, and one day equals 9.92 Earth hours, how many Earth hours are there in a Jupiter year?"",""sets"":""Expansion Set 2, Party Set""},")</f>
        <v>"j{gm":{"label":"Jupiter","extra":"Story Problem: If one year on Jupiter equals 11.86 Earth years, and one day equals 9.92 Earth hours, how many Earth hours are there in a Jupiter year?","sets":"Expansion Set 2, Party Set"},</v>
      </c>
    </row>
    <row r="360">
      <c r="A360" s="8" t="str">
        <f>IFERROR(__xludf.DUMMYFUNCTION("""COMPUTED_VALUE"""),"Katherine Hepburn")</f>
        <v>Katherine Hepburn</v>
      </c>
      <c r="B360" s="8" t="str">
        <f>IFERROR(__xludf.DUMMYFUNCTION("""COMPUTED_VALUE"""),"1909-2003, American actor and winner of four Academy Awards. She starred in such classics as The African Queen.")</f>
        <v>1909-2003, American actor and winner of four Academy Awards. She starred in such classics as The African Queen.</v>
      </c>
      <c r="C360" s="13" t="str">
        <f>IFERROR(__xludf.DUMMYFUNCTION("""COMPUTED_VALUE"""),"""eccj"":{""label"":""Katherine Hepburn"",""extra"":""1909-2003, American actor and winner of four Academy Awards. She starred in such classics as The African Queen."",""sets"":""Basic Set, Party Set""},")</f>
        <v>"eccj":{"label":"Katherine Hepburn","extra":"1909-2003, American actor and winner of four Academy Awards. She starred in such classics as The African Queen.","sets":"Basic Set, Party Set"},</v>
      </c>
    </row>
    <row r="361">
      <c r="A361" s="8" t="str">
        <f>IFERROR(__xludf.DUMMYFUNCTION("""COMPUTED_VALUE"""),"Keanu Reeves")</f>
        <v>Keanu Reeves</v>
      </c>
      <c r="B361" s="8" t="str">
        <f>IFERROR(__xludf.DUMMYFUNCTION("""COMPUTED_VALUE"""),"1964-, American actor of “Bill And Ted’s Excellent Adventure,” “The Matrix” and “Speed.” Keanu means “cool breeze over the mountains.”")</f>
        <v>1964-, American actor of “Bill And Ted’s Excellent Adventure,” “The Matrix” and “Speed.” Keanu means “cool breeze over the mountains.”</v>
      </c>
      <c r="C361" s="13" t="str">
        <f>IFERROR(__xludf.DUMMYFUNCTION("""COMPUTED_VALUE"""),"""yfnn"":{""label"":""Keanu Reeves"",""extra"":""1964-, American actor of “Bill And Ted’s Excellent Adventure,” “The Matrix” and “Speed.” Keanu means “cool breeze over the mountains.”"",""sets"":""Expansion Set 2, Party Set""},")</f>
        <v>"yfnn":{"label":"Keanu Reeves","extra":"1964-, American actor of “Bill And Ted’s Excellent Adventure,” “The Matrix” and “Speed.” Keanu means “cool breeze over the mountains.”","sets":"Expansion Set 2, Party Set"},</v>
      </c>
    </row>
    <row r="362">
      <c r="A362" s="8" t="str">
        <f>IFERROR(__xludf.DUMMYFUNCTION("""COMPUTED_VALUE"""),"Killer Whales")</f>
        <v>Killer Whales</v>
      </c>
      <c r="B362" s="8" t="str">
        <f>IFERROR(__xludf.DUMMYFUNCTION("""COMPUTED_VALUE"""),"Black and white predatory whales. Boy, can they sing!")</f>
        <v>Black and white predatory whales. Boy, can they sing!</v>
      </c>
      <c r="C362" s="13" t="str">
        <f>IFERROR(__xludf.DUMMYFUNCTION("""COMPUTED_VALUE"""),"""go{o"":{""label"":""Killer Whales"",""extra"":""Black and white predatory whales. Boy, can they sing!"",""sets"":""Basic Set, Party Set""},")</f>
        <v>"go{o":{"label":"Killer Whales","extra":"Black and white predatory whales. Boy, can they sing!","sets":"Basic Set, Party Set"},</v>
      </c>
    </row>
    <row r="363">
      <c r="A363" s="8" t="str">
        <f>IFERROR(__xludf.DUMMYFUNCTION("""COMPUTED_VALUE"""),"Kilts")</f>
        <v>Kilts</v>
      </c>
      <c r="B363" s="8" t="str">
        <f>IFERROR(__xludf.DUMMYFUNCTION("""COMPUTED_VALUE"""),"If Mel Gibson can wear one, so can you.")</f>
        <v>If Mel Gibson can wear one, so can you.</v>
      </c>
      <c r="C363" s="13" t="str">
        <f>IFERROR(__xludf.DUMMYFUNCTION("""COMPUTED_VALUE"""),"""iyvv"":{""label"":""Kilts"",""extra"":""If Mel Gibson can wear one, so can you."",""sets"":""Expansion Set 2, Party Set""},")</f>
        <v>"iyvv":{"label":"Kilts","extra":"If Mel Gibson can wear one, so can you.","sets":"Expansion Set 2, Party Set"},</v>
      </c>
    </row>
    <row r="364">
      <c r="A364" s="8" t="str">
        <f>IFERROR(__xludf.DUMMYFUNCTION("""COMPUTED_VALUE"""),"King Arthur")</f>
        <v>King Arthur</v>
      </c>
      <c r="B364" s="8" t="str">
        <f>IFERROR(__xludf.DUMMYFUNCTION("""COMPUTED_VALUE"""),"Legendary British king best known for Camelot and round tables.")</f>
        <v>Legendary British king best known for Camelot and round tables.</v>
      </c>
      <c r="C364" s="13" t="str">
        <f>IFERROR(__xludf.DUMMYFUNCTION("""COMPUTED_VALUE"""),"""lfft"":{""label"":""King Arthur"",""extra"":""Legendary British king best known for Camelot and round tables."",""sets"":""Expansion Set 1, Party Set""},")</f>
        <v>"lfft":{"label":"King Arthur","extra":"Legendary British king best known for Camelot and round tables.","sets":"Expansion Set 1, Party Set"},</v>
      </c>
    </row>
    <row r="365">
      <c r="A365" s="8" t="str">
        <f>IFERROR(__xludf.DUMMYFUNCTION("""COMPUTED_VALUE"""),"King Henry VIII")</f>
        <v>King Henry VIII</v>
      </c>
      <c r="B365" s="8" t="str">
        <f>IFERROR(__xludf.DUMMYFUNCTION("""COMPUTED_VALUE"""),"1491-1547, King of England, and founder of the Church of England. Six wives, no waiting.")</f>
        <v>1491-1547, King of England, and founder of the Church of England. Six wives, no waiting.</v>
      </c>
      <c r="C365" s="13" t="str">
        <f>IFERROR(__xludf.DUMMYFUNCTION("""COMPUTED_VALUE"""),"""ijqk"":{""label"":""King Henry VIII"",""extra"":""1491-1547, King of England, and founder of the Church of England. Six wives, no waiting."",""sets"":""Basic Set, Party Set""},")</f>
        <v>"ijqk":{"label":"King Henry VIII","extra":"1491-1547, King of England, and founder of the Church of England. Six wives, no waiting.","sets":"Basic Set, Party Set"},</v>
      </c>
    </row>
    <row r="366">
      <c r="A366" s="8" t="str">
        <f>IFERROR(__xludf.DUMMYFUNCTION("""COMPUTED_VALUE"""),"Knock-Knock Jokes")</f>
        <v>Knock-Knock Jokes</v>
      </c>
      <c r="B366" s="8" t="str">
        <f>IFERROR(__xludf.DUMMYFUNCTION("""COMPUTED_VALUE"""),"Who’s there?")</f>
        <v>Who’s there?</v>
      </c>
      <c r="C366" s="13" t="str">
        <f>IFERROR(__xludf.DUMMYFUNCTION("""COMPUTED_VALUE"""),"""wsls"":{""label"":""Knock-Knock Jokes"",""extra"":""Who’s there?"",""sets"":""Expansion Set 1, Party Set""},")</f>
        <v>"wsls":{"label":"Knock-Knock Jokes","extra":"Who’s there?","sets":"Expansion Set 1, Party Set"},</v>
      </c>
    </row>
    <row r="367">
      <c r="A367" s="8" t="str">
        <f>IFERROR(__xludf.DUMMYFUNCTION("""COMPUTED_VALUE"""),"Labor Unions")</f>
        <v>Labor Unions</v>
      </c>
      <c r="B367" s="8" t="str">
        <f>IFERROR(__xludf.DUMMYFUNCTION("""COMPUTED_VALUE"""),"Look for the Union label. And, while you’re at it, look for Jimmy Hoffa…")</f>
        <v>Look for the Union label. And, while you’re at it, look for Jimmy Hoffa…</v>
      </c>
      <c r="C367" s="13" t="str">
        <f>IFERROR(__xludf.DUMMYFUNCTION("""COMPUTED_VALUE"""),"""ugez"":{""label"":""Labor Unions"",""extra"":""Look for the Union label. And, while you’re at it, look for Jimmy Hoffa…"",""sets"":""Expansion Set 1, Party Set""},")</f>
        <v>"ugez":{"label":"Labor Unions","extra":"Look for the Union label. And, while you’re at it, look for Jimmy Hoffa…","sets":"Expansion Set 1, Party Set"},</v>
      </c>
    </row>
    <row r="368">
      <c r="A368" s="8" t="str">
        <f>IFERROR(__xludf.DUMMYFUNCTION("""COMPUTED_VALUE"""),"Large Mouth Bass")</f>
        <v>Large Mouth Bass</v>
      </c>
      <c r="B368" s="8" t="str">
        <f>IFERROR(__xludf.DUMMYFUNCTION("""COMPUTED_VALUE"""),"Oh, please, let it not sing…")</f>
        <v>Oh, please, let it not sing…</v>
      </c>
      <c r="C368" s="13" t="str">
        <f>IFERROR(__xludf.DUMMYFUNCTION("""COMPUTED_VALUE"""),"""wtbv"":{""label"":""Large Mouth Bass"",""extra"":""Oh, please, let it not sing…"",""sets"":""Expansion Set 2, Party Set""},")</f>
        <v>"wtbv":{"label":"Large Mouth Bass","extra":"Oh, please, let it not sing…","sets":"Expansion Set 2, Party Set"},</v>
      </c>
    </row>
    <row r="369">
      <c r="A369" s="8" t="str">
        <f>IFERROR(__xludf.DUMMYFUNCTION("""COMPUTED_VALUE"""),"Las Vegas")</f>
        <v>Las Vegas</v>
      </c>
      <c r="B369" s="8" t="str">
        <f>IFERROR(__xludf.DUMMYFUNCTION("""COMPUTED_VALUE"""),"The first casino opened in Las Vegas in 1946. “Las Vegas… or it that Lost Wages?”")</f>
        <v>The first casino opened in Las Vegas in 1946. “Las Vegas… or it that Lost Wages?”</v>
      </c>
      <c r="C369" s="13" t="str">
        <f>IFERROR(__xludf.DUMMYFUNCTION("""COMPUTED_VALUE"""),"""jaaf"":{""label"":""Las Vegas"",""extra"":""The first casino opened in Las Vegas in 1946. “Las Vegas… or it that Lost Wages?”"",""sets"":""Basic Set, Party Set""},")</f>
        <v>"jaaf":{"label":"Las Vegas","extra":"The first casino opened in Las Vegas in 1946. “Las Vegas… or it that Lost Wages?”","sets":"Basic Set, Party Set"},</v>
      </c>
    </row>
    <row r="370">
      <c r="A370" s="8" t="str">
        <f>IFERROR(__xludf.DUMMYFUNCTION("""COMPUTED_VALUE"""),"Lawyers")</f>
        <v>Lawyers</v>
      </c>
      <c r="B370" s="8" t="str">
        <f>IFERROR(__xludf.DUMMYFUNCTION("""COMPUTED_VALUE"""),"We’d throw some joke in here, but we're afraid of getting sued.")</f>
        <v>We’d throw some joke in here, but we're afraid of getting sued.</v>
      </c>
      <c r="C370" s="13" t="str">
        <f>IFERROR(__xludf.DUMMYFUNCTION("""COMPUTED_VALUE"""),"""qsrc"":{""label"":""Lawyers"",""extra"":""We’d throw some joke in here, but we're afraid of getting sued."",""sets"":""Basic Set, Party Set""},")</f>
        <v>"qsrc":{"label":"Lawyers","extra":"We’d throw some joke in here, but we're afraid of getting sued.","sets":"Basic Set, Party Set"},</v>
      </c>
    </row>
    <row r="371">
      <c r="A371" s="8" t="str">
        <f>IFERROR(__xludf.DUMMYFUNCTION("""COMPUTED_VALUE"""),"Leaf Blowers")</f>
        <v>Leaf Blowers</v>
      </c>
      <c r="B371" s="8" t="str">
        <f>IFERROR(__xludf.DUMMYFUNCTION("""COMPUTED_VALUE"""),"Toro, Toro, Toro!")</f>
        <v>Toro, Toro, Toro!</v>
      </c>
      <c r="C371" s="13" t="str">
        <f>IFERROR(__xludf.DUMMYFUNCTION("""COMPUTED_VALUE"""),"""sjrq"":{""label"":""Leaf Blowers"",""extra"":""Toro, Toro, Toro!"",""sets"":""Expansion Set 2, Party Set""},")</f>
        <v>"sjrq":{"label":"Leaf Blowers","extra":"Toro, Toro, Toro!","sets":"Expansion Set 2, Party Set"},</v>
      </c>
    </row>
    <row r="372">
      <c r="A372" s="8" t="str">
        <f>IFERROR(__xludf.DUMMYFUNCTION("""COMPUTED_VALUE"""),"Leather")</f>
        <v>Leather</v>
      </c>
      <c r="B372" s="8" t="str">
        <f>IFERROR(__xludf.DUMMYFUNCTION("""COMPUTED_VALUE"""),"Animal hide. Leather you like it or not.")</f>
        <v>Animal hide. Leather you like it or not.</v>
      </c>
      <c r="C372" s="13" t="str">
        <f>IFERROR(__xludf.DUMMYFUNCTION("""COMPUTED_VALUE"""),"""dxef"":{""label"":""Leather"",""extra"":""Animal hide. Leather you like it or not."",""sets"":""Basic Set, Party Set""},")</f>
        <v>"dxef":{"label":"Leather","extra":"Animal hide. Leather you like it or not.","sets":"Basic Set, Party Set"},</v>
      </c>
    </row>
    <row r="373">
      <c r="A373" s="8" t="str">
        <f>IFERROR(__xludf.DUMMYFUNCTION("""COMPUTED_VALUE"""),"Leeches")</f>
        <v>Leeches</v>
      </c>
      <c r="B373" s="8" t="str">
        <f>IFERROR(__xludf.DUMMYFUNCTION("""COMPUTED_VALUE"""),"Any mention of lawyers, agents, or reporters would be FAR too easy…")</f>
        <v>Any mention of lawyers, agents, or reporters would be FAR too easy…</v>
      </c>
      <c r="C373" s="13" t="str">
        <f>IFERROR(__xludf.DUMMYFUNCTION("""COMPUTED_VALUE"""),"""teve"":{""label"":""Leeches"",""extra"":""Any mention of lawyers, agents, or reporters would be FAR too easy…"",""sets"":""Expansion Set 1, Party Set""},")</f>
        <v>"teve":{"label":"Leeches","extra":"Any mention of lawyers, agents, or reporters would be FAR too easy…","sets":"Expansion Set 1, Party Set"},</v>
      </c>
    </row>
    <row r="374">
      <c r="A374" s="8" t="str">
        <f>IFERROR(__xludf.DUMMYFUNCTION("""COMPUTED_VALUE"""),"Lemons")</f>
        <v>Lemons</v>
      </c>
      <c r="B374" s="8" t="str">
        <f>IFERROR(__xludf.DUMMYFUNCTION("""COMPUTED_VALUE"""),"When life gives you lemons, make lemonade… or, in the case of a car, take it back. There’s a law, you know!")</f>
        <v>When life gives you lemons, make lemonade… or, in the case of a car, take it back. There’s a law, you know!</v>
      </c>
      <c r="C374" s="13" t="str">
        <f>IFERROR(__xludf.DUMMYFUNCTION("""COMPUTED_VALUE"""),"""hlum"":{""label"":""Lemons"",""extra"":""When life gives you lemons, make lemonade… or, in the case of a car, take it back. There’s a law, you know!"",""sets"":""Expansion Set 1, Party Set""},")</f>
        <v>"hlum":{"label":"Lemons","extra":"When life gives you lemons, make lemonade… or, in the case of a car, take it back. There’s a law, you know!","sets":"Expansion Set 1, Party Set"},</v>
      </c>
    </row>
    <row r="375">
      <c r="A375" s="8" t="str">
        <f>IFERROR(__xludf.DUMMYFUNCTION("""COMPUTED_VALUE"""),"Lenin’s Tomb")</f>
        <v>Lenin’s Tomb</v>
      </c>
      <c r="B375" s="8" t="str">
        <f>IFERROR(__xludf.DUMMYFUNCTION("""COMPUTED_VALUE"""),"We'd love to visit Lenin’s Tomb, but it's probably just another communist plot.")</f>
        <v>We'd love to visit Lenin’s Tomb, but it's probably just another communist plot.</v>
      </c>
      <c r="C375" s="13" t="str">
        <f>IFERROR(__xludf.DUMMYFUNCTION("""COMPUTED_VALUE"""),"""ubus"":{""label"":""Lenin’s Tomb"",""extra"":""We'd love to visit Lenin’s Tomb, but it's probably just another communist plot."",""sets"":""Expansion Set 2, Party Set""},")</f>
        <v>"ubus":{"label":"Lenin’s Tomb","extra":"We'd love to visit Lenin’s Tomb, but it's probably just another communist plot.","sets":"Expansion Set 2, Party Set"},</v>
      </c>
    </row>
    <row r="376">
      <c r="A376" s="8" t="str">
        <f>IFERROR(__xludf.DUMMYFUNCTION("""COMPUTED_VALUE"""),"Leonardo Da Vinci")</f>
        <v>Leonardo Da Vinci</v>
      </c>
      <c r="B376" s="8" t="str">
        <f>IFERROR(__xludf.DUMMYFUNCTION("""COMPUTED_VALUE"""),"1452-1519, Florentine artist, sculptor, architect, engineer, scientist, and all-around smartypants.")</f>
        <v>1452-1519, Florentine artist, sculptor, architect, engineer, scientist, and all-around smartypants.</v>
      </c>
      <c r="C376" s="13" t="str">
        <f>IFERROR(__xludf.DUMMYFUNCTION("""COMPUTED_VALUE"""),"""a{it"":{""label"":""Leonardo Da Vinci"",""extra"":""1452-1519, Florentine artist, sculptor, architect, engineer, scientist, and all-around smartypants."",""sets"":""Basic Set, Party Set""},")</f>
        <v>"a{it":{"label":"Leonardo Da Vinci","extra":"1452-1519, Florentine artist, sculptor, architect, engineer, scientist, and all-around smartypants.","sets":"Basic Set, Party Set"},</v>
      </c>
    </row>
    <row r="377">
      <c r="A377" s="8" t="str">
        <f>IFERROR(__xludf.DUMMYFUNCTION("""COMPUTED_VALUE"""),"Lightning")</f>
        <v>Lightning</v>
      </c>
      <c r="B377" s="8" t="str">
        <f>IFERROR(__xludf.DUMMYFUNCTION("""COMPUTED_VALUE"""),"Electrical discharge between rain clouds, or between a rain cloud and the earth, or between a rain cloud and an idiot with a kite.")</f>
        <v>Electrical discharge between rain clouds, or between a rain cloud and the earth, or between a rain cloud and an idiot with a kite.</v>
      </c>
      <c r="C377" s="13" t="str">
        <f>IFERROR(__xludf.DUMMYFUNCTION("""COMPUTED_VALUE"""),"""szkb"":{""label"":""Lightning"",""extra"":""Electrical discharge between rain clouds, or between a rain cloud and the earth, or between a rain cloud and an idiot with a kite."",""sets"":""Basic Set, Party Set""},")</f>
        <v>"szkb":{"label":"Lightning","extra":"Electrical discharge between rain clouds, or between a rain cloud and the earth, or between a rain cloud and an idiot with a kite.","sets":"Basic Set, Party Set"},</v>
      </c>
    </row>
    <row r="378">
      <c r="A378" s="8" t="str">
        <f>IFERROR(__xludf.DUMMYFUNCTION("""COMPUTED_VALUE"""),"Loan Sharks")</f>
        <v>Loan Sharks</v>
      </c>
      <c r="B378" s="8" t="str">
        <f>IFERROR(__xludf.DUMMYFUNCTION("""COMPUTED_VALUE"""),"As dangerous as “Jaws,” but without the charisma.")</f>
        <v>As dangerous as “Jaws,” but without the charisma.</v>
      </c>
      <c r="C378" s="13" t="str">
        <f>IFERROR(__xludf.DUMMYFUNCTION("""COMPUTED_VALUE"""),"""umef"":{""label"":""Loan Sharks"",""extra"":""As dangerous as “Jaws,” but without the charisma."",""sets"":""Expansion Set 2, Party Set""},")</f>
        <v>"umef":{"label":"Loan Sharks","extra":"As dangerous as “Jaws,” but without the charisma.","sets":"Expansion Set 2, Party Set"},</v>
      </c>
    </row>
    <row r="379">
      <c r="A379" s="8" t="str">
        <f>IFERROR(__xludf.DUMMYFUNCTION("""COMPUTED_VALUE"""),"Lobster")</f>
        <v>Lobster</v>
      </c>
      <c r="B379" s="8" t="str">
        <f>IFERROR(__xludf.DUMMYFUNCTION("""COMPUTED_VALUE"""),"Crustaceans closely related to freshwater crayfishes. Market price.")</f>
        <v>Crustaceans closely related to freshwater crayfishes. Market price.</v>
      </c>
      <c r="C379" s="13" t="str">
        <f>IFERROR(__xludf.DUMMYFUNCTION("""COMPUTED_VALUE"""),"""glys"":{""label"":""Lobster"",""extra"":""Crustaceans closely related to freshwater crayfishes. Market price."",""sets"":""Basic Set, Party Set""},")</f>
        <v>"glys":{"label":"Lobster","extra":"Crustaceans closely related to freshwater crayfishes. Market price.","sets":"Basic Set, Party Set"},</v>
      </c>
    </row>
    <row r="380">
      <c r="A380" s="8" t="str">
        <f>IFERROR(__xludf.DUMMYFUNCTION("""COMPUTED_VALUE"""),"Local Police")</f>
        <v>Local Police</v>
      </c>
      <c r="B380" s="8" t="str">
        <f>IFERROR(__xludf.DUMMYFUNCTION("""COMPUTED_VALUE"""),"They know who you are and they know where you live.")</f>
        <v>They know who you are and they know where you live.</v>
      </c>
      <c r="C380" s="13" t="str">
        <f>IFERROR(__xludf.DUMMYFUNCTION("""COMPUTED_VALUE"""),"""yaji"":{""label"":""Local Police"",""extra"":""They know who you are and they know where you live."",""sets"":""Expansion Set 2, Party Set""},")</f>
        <v>"yaji":{"label":"Local Police","extra":"They know who you are and they know where you live.","sets":"Expansion Set 2, Party Set"},</v>
      </c>
    </row>
    <row r="381">
      <c r="A381" s="8" t="str">
        <f>IFERROR(__xludf.DUMMYFUNCTION("""COMPUTED_VALUE"""),"Log Cabins")</f>
        <v>Log Cabins</v>
      </c>
      <c r="B381" s="8" t="str">
        <f>IFERROR(__xludf.DUMMYFUNCTION("""COMPUTED_VALUE"""),"Among the many Americans born in log cabins were Preisdents Harrison, Lincoln, and Grant. Just pass the maple syrup.")</f>
        <v>Among the many Americans born in log cabins were Preisdents Harrison, Lincoln, and Grant. Just pass the maple syrup.</v>
      </c>
      <c r="C381" s="13" t="str">
        <f>IFERROR(__xludf.DUMMYFUNCTION("""COMPUTED_VALUE"""),"""zxhs"":{""label"":""Log Cabins"",""extra"":""Among the many Americans born in log cabins were Preisdents Harrison, Lincoln, and Grant. Just pass the maple syrup."",""sets"":""Expansion Set 2, Party Set""},")</f>
        <v>"zxhs":{"label":"Log Cabins","extra":"Among the many Americans born in log cabins were Preisdents Harrison, Lincoln, and Grant. Just pass the maple syrup.","sets":"Expansion Set 2, Party Set"},</v>
      </c>
    </row>
    <row r="382">
      <c r="A382" s="8" t="str">
        <f>IFERROR(__xludf.DUMMYFUNCTION("""COMPUTED_VALUE"""),"Lollipops")</f>
        <v>Lollipops</v>
      </c>
      <c r="B382" s="8" t="str">
        <f>IFERROR(__xludf.DUMMYFUNCTION("""COMPUTED_VALUE"""),"Sucker!")</f>
        <v>Sucker!</v>
      </c>
      <c r="C382" s="13" t="str">
        <f>IFERROR(__xludf.DUMMYFUNCTION("""COMPUTED_VALUE"""),"""qtef"":{""label"":""Lollipops"",""extra"":""Sucker!"",""sets"":""Basic Set, Party Set""},")</f>
        <v>"qtef":{"label":"Lollipops","extra":"Sucker!","sets":"Basic Set, Party Set"},</v>
      </c>
    </row>
    <row r="383">
      <c r="A383" s="8" t="str">
        <f>IFERROR(__xludf.DUMMYFUNCTION("""COMPUTED_VALUE"""),"London")</f>
        <v>London</v>
      </c>
      <c r="B383" s="8" t="str">
        <f>IFERROR(__xludf.DUMMYFUNCTION("""COMPUTED_VALUE"""),"Founded even before the Romans reached England’s shores, now the capital of Great Britain.")</f>
        <v>Founded even before the Romans reached England’s shores, now the capital of Great Britain.</v>
      </c>
      <c r="C383" s="13" t="str">
        <f>IFERROR(__xludf.DUMMYFUNCTION("""COMPUTED_VALUE"""),"""qiac"":{""label"":""London"",""extra"":""Founded even before the Romans reached England’s shores, now the capital of Great Britain."",""sets"":""Basic Set, Party Set""},")</f>
        <v>"qiac":{"label":"London","extra":"Founded even before the Romans reached England’s shores, now the capital of Great Britain.","sets":"Basic Set, Party Set"},</v>
      </c>
    </row>
    <row r="384">
      <c r="A384" s="8" t="str">
        <f>IFERROR(__xludf.DUMMYFUNCTION("""COMPUTED_VALUE"""),"Looking For A Job")</f>
        <v>Looking For A Job</v>
      </c>
      <c r="B384" s="8" t="str">
        <f>IFERROR(__xludf.DUMMYFUNCTION("""COMPUTED_VALUE"""),"Will work for fool…")</f>
        <v>Will work for fool…</v>
      </c>
      <c r="C384" s="13" t="str">
        <f>IFERROR(__xludf.DUMMYFUNCTION("""COMPUTED_VALUE"""),"""ccpp"":{""label"":""Looking For A Job"",""extra"":""Will work for fool…"",""sets"":""Expansion Set 2, Party Set""},")</f>
        <v>"ccpp":{"label":"Looking For A Job","extra":"Will work for fool…","sets":"Expansion Set 2, Party Set"},</v>
      </c>
    </row>
    <row r="385">
      <c r="A385" s="8" t="str">
        <f>IFERROR(__xludf.DUMMYFUNCTION("""COMPUTED_VALUE"""),"Los Angeles")</f>
        <v>Los Angeles</v>
      </c>
      <c r="B385" s="8" t="str">
        <f>IFERROR(__xludf.DUMMYFUNCTION("""COMPUTED_VALUE"""),"LA LA Land.")</f>
        <v>LA LA Land.</v>
      </c>
      <c r="C385" s="13" t="str">
        <f>IFERROR(__xludf.DUMMYFUNCTION("""COMPUTED_VALUE"""),"""ervm"":{""label"":""Los Angeles"",""extra"":""LA LA Land."",""sets"":""Expansion Set 2, Party Set""},")</f>
        <v>"ervm":{"label":"Los Angeles","extra":"LA LA Land.","sets":"Expansion Set 2, Party Set"},</v>
      </c>
    </row>
    <row r="386">
      <c r="A386" s="8" t="str">
        <f>IFERROR(__xludf.DUMMYFUNCTION("""COMPUTED_VALUE"""),"Losing Your Job")</f>
        <v>Losing Your Job</v>
      </c>
      <c r="B386" s="8" t="str">
        <f>IFERROR(__xludf.DUMMYFUNCTION("""COMPUTED_VALUE"""),"They just didn’t understand me!")</f>
        <v>They just didn’t understand me!</v>
      </c>
      <c r="C386" s="13" t="str">
        <f>IFERROR(__xludf.DUMMYFUNCTION("""COMPUTED_VALUE"""),"""rhhk"":{""label"":""Losing Your Job"",""extra"":""They just didn’t understand me!"",""sets"":""Expansion Set 1, Party Set""},")</f>
        <v>"rhhk":{"label":"Losing Your Job","extra":"They just didn’t understand me!","sets":"Expansion Set 1, Party Set"},</v>
      </c>
    </row>
    <row r="387">
      <c r="A387" s="8" t="str">
        <f>IFERROR(__xludf.DUMMYFUNCTION("""COMPUTED_VALUE"""),"Lucille Ball")</f>
        <v>Lucille Ball</v>
      </c>
      <c r="B387" s="8" t="str">
        <f>IFERROR(__xludf.DUMMYFUNCTION("""COMPUTED_VALUE"""),"1911-89, American actor and comedian. You love Lucy? I love Lucy.")</f>
        <v>1911-89, American actor and comedian. You love Lucy? I love Lucy.</v>
      </c>
      <c r="C387" s="13" t="str">
        <f>IFERROR(__xludf.DUMMYFUNCTION("""COMPUTED_VALUE"""),"""cmej"":{""label"":""Lucille Ball"",""extra"":""1911-89, American actor and comedian. You love Lucy? I love Lucy."",""sets"":""Basic Set, Party Set""},")</f>
        <v>"cmej":{"label":"Lucille Ball","extra":"1911-89, American actor and comedian. You love Lucy? I love Lucy.","sets":"Basic Set, Party Set"},</v>
      </c>
    </row>
    <row r="388">
      <c r="A388" s="8" t="str">
        <f>IFERROR(__xludf.DUMMYFUNCTION("""COMPUTED_VALUE"""),"Machine Guns")</f>
        <v>Machine Guns</v>
      </c>
      <c r="B388" s="8" t="str">
        <f>IFERROR(__xludf.DUMMYFUNCTION("""COMPUTED_VALUE"""),"Automatic, rapid-fire, repeating weapons. The Gatling gun was used as early as the American Civil War.")</f>
        <v>Automatic, rapid-fire, repeating weapons. The Gatling gun was used as early as the American Civil War.</v>
      </c>
      <c r="C388" s="13" t="str">
        <f>IFERROR(__xludf.DUMMYFUNCTION("""COMPUTED_VALUE"""),"""y{sn"":{""label"":""Machine Guns"",""extra"":""Automatic, rapid-fire, repeating weapons. The Gatling gun was used as early as the American Civil War."",""sets"":""Basic Set, Party Set""},")</f>
        <v>"y{sn":{"label":"Machine Guns","extra":"Automatic, rapid-fire, repeating weapons. The Gatling gun was used as early as the American Civil War.","sets":"Basic Set, Party Set"},</v>
      </c>
    </row>
    <row r="389">
      <c r="A389" s="8" t="str">
        <f>IFERROR(__xludf.DUMMYFUNCTION("""COMPUTED_VALUE"""),"Mad Cow Disease")</f>
        <v>Mad Cow Disease</v>
      </c>
      <c r="B389" s="8" t="str">
        <f>IFERROR(__xludf.DUMMYFUNCTION("""COMPUTED_VALUE"""),"Degenerative brain disorder in cattle. The reason they don’t know enough to come in out of the rain?")</f>
        <v>Degenerative brain disorder in cattle. The reason they don’t know enough to come in out of the rain?</v>
      </c>
      <c r="C389" s="13" t="str">
        <f>IFERROR(__xludf.DUMMYFUNCTION("""COMPUTED_VALUE"""),"""ccyu"":{""label"":""Mad Cow Disease"",""extra"":""Degenerative brain disorder in cattle. The reason they don’t know enough to come in out of the rain?"",""sets"":""Expansion Set 1, Party Set""},")</f>
        <v>"ccyu":{"label":"Mad Cow Disease","extra":"Degenerative brain disorder in cattle. The reason they don’t know enough to come in out of the rain?","sets":"Expansion Set 1, Party Set"},</v>
      </c>
    </row>
    <row r="390">
      <c r="A390" s="8" t="str">
        <f>IFERROR(__xludf.DUMMYFUNCTION("""COMPUTED_VALUE"""),"Madame Curie")</f>
        <v>Madame Curie</v>
      </c>
      <c r="B390" s="8" t="str">
        <f>IFERROR(__xludf.DUMMYFUNCTION("""COMPUTED_VALUE"""),"1867-1934, French chemist and physicist who won a Nobel Prize for her work on radiation. Fun fact: A “curie” is a unit of radioactivity.")</f>
        <v>1867-1934, French chemist and physicist who won a Nobel Prize for her work on radiation. Fun fact: A “curie” is a unit of radioactivity.</v>
      </c>
      <c r="C390" s="13" t="str">
        <f>IFERROR(__xludf.DUMMYFUNCTION("""COMPUTED_VALUE"""),"""efqs"":{""label"":""Madame Curie"",""extra"":""1867-1934, French chemist and physicist who won a Nobel Prize for her work on radiation. Fun fact: A “curie” is a unit of radioactivity."",""sets"":""Expansion Set 2, Party Set""},")</f>
        <v>"efqs":{"label":"Madame Curie","extra":"1867-1934, French chemist and physicist who won a Nobel Prize for her work on radiation. Fun fact: A “curie” is a unit of radioactivity.","sets":"Expansion Set 2, Party Set"},</v>
      </c>
    </row>
    <row r="391">
      <c r="A391" s="8" t="str">
        <f>IFERROR(__xludf.DUMMYFUNCTION("""COMPUTED_VALUE"""),"Madonna")</f>
        <v>Madonna</v>
      </c>
      <c r="B391" s="8" t="str">
        <f>IFERROR(__xludf.DUMMYFUNCTION("""COMPUTED_VALUE"""),"1958-, American singer, songwriter, actor, writer, and 1980s pop icon. Blond Ambition.")</f>
        <v>1958-, American singer, songwriter, actor, writer, and 1980s pop icon. Blond Ambition.</v>
      </c>
      <c r="C391" s="13" t="str">
        <f>IFERROR(__xludf.DUMMYFUNCTION("""COMPUTED_VALUE"""),"""iphx"":{""label"":""Madonna"",""extra"":""1958-, American singer, songwriter, actor, writer, and 1980s pop icon. Blond Ambition."",""sets"":""Basic Set, Party Set""},")</f>
        <v>"iphx":{"label":"Madonna","extra":"1958-, American singer, songwriter, actor, writer, and 1980s pop icon. Blond Ambition.","sets":"Basic Set, Party Set"},</v>
      </c>
    </row>
    <row r="392">
      <c r="A392" s="8" t="str">
        <f>IFERROR(__xludf.DUMMYFUNCTION("""COMPUTED_VALUE"""),"Magic Tricks")</f>
        <v>Magic Tricks</v>
      </c>
      <c r="B392" s="8" t="str">
        <f>IFERROR(__xludf.DUMMYFUNCTION("""COMPUTED_VALUE"""),"“Nothin’ up my sleeve…” —Bullwinkle")</f>
        <v>“Nothin’ up my sleeve…” —Bullwinkle</v>
      </c>
      <c r="C392" s="13" t="str">
        <f>IFERROR(__xludf.DUMMYFUNCTION("""COMPUTED_VALUE"""),"""nihr"":{""label"":""Magic Tricks"",""extra"":""“Nothin’ up my sleeve…” —Bullwinkle"",""sets"":""Expansion Set 2, Party Set""},")</f>
        <v>"nihr":{"label":"Magic Tricks","extra":"“Nothin’ up my sleeve…” —Bullwinkle","sets":"Expansion Set 2, Party Set"},</v>
      </c>
    </row>
    <row r="393">
      <c r="A393" s="8" t="str">
        <f>IFERROR(__xludf.DUMMYFUNCTION("""COMPUTED_VALUE"""),"Mahatma Gandhi")</f>
        <v>Mahatma Gandhi</v>
      </c>
      <c r="B393" s="8" t="str">
        <f>IFERROR(__xludf.DUMMYFUNCTION("""COMPUTED_VALUE"""),"1869-1948, Indian leader and philosopher who preached nonviolence. Was assassinated for his efforts.")</f>
        <v>1869-1948, Indian leader and philosopher who preached nonviolence. Was assassinated for his efforts.</v>
      </c>
      <c r="C393" s="13" t="str">
        <f>IFERROR(__xludf.DUMMYFUNCTION("""COMPUTED_VALUE"""),"""lqhc"":{""label"":""Mahatma Gandhi"",""extra"":""1869-1948, Indian leader and philosopher who preached nonviolence. Was assassinated for his efforts."",""sets"":""Basic Set, Party Set""},")</f>
        <v>"lqhc":{"label":"Mahatma Gandhi","extra":"1869-1948, Indian leader and philosopher who preached nonviolence. Was assassinated for his efforts.","sets":"Basic Set, Party Set"},</v>
      </c>
    </row>
    <row r="394">
      <c r="A394" s="8" t="str">
        <f>IFERROR(__xludf.DUMMYFUNCTION("""COMPUTED_VALUE"""),"Manhattan")</f>
        <v>Manhattan</v>
      </c>
      <c r="B394" s="8" t="str">
        <f>IFERROR(__xludf.DUMMYFUNCTION("""COMPUTED_VALUE"""),"I'll take Manhattan!.")</f>
        <v>I'll take Manhattan!.</v>
      </c>
      <c r="C394" s="13" t="str">
        <f>IFERROR(__xludf.DUMMYFUNCTION("""COMPUTED_VALUE"""),"""cpgu"":{""label"":""Manhattan"",""extra"":""I'll take Manhattan!."",""sets"":""Expansion Set 2, Party Set""},")</f>
        <v>"cpgu":{"label":"Manhattan","extra":"I'll take Manhattan!.","sets":"Expansion Set 2, Party Set"},</v>
      </c>
    </row>
    <row r="395">
      <c r="A395" s="8" t="str">
        <f>IFERROR(__xludf.DUMMYFUNCTION("""COMPUTED_VALUE"""),"Mardi Gras")</f>
        <v>Mardi Gras</v>
      </c>
      <c r="B395" s="8" t="str">
        <f>IFERROR(__xludf.DUMMYFUNCTION("""COMPUTED_VALUE"""),"Fat Tuesday marks the final day before the Christian fast of Lent, a 40-day period of self-denial and abstinence. SO LET'S PARTY!")</f>
        <v>Fat Tuesday marks the final day before the Christian fast of Lent, a 40-day period of self-denial and abstinence. SO LET'S PARTY!</v>
      </c>
      <c r="C395" s="13" t="str">
        <f>IFERROR(__xludf.DUMMYFUNCTION("""COMPUTED_VALUE"""),"""vn{e"":{""label"":""Mardi Gras"",""extra"":""Fat Tuesday marks the final day before the Christian fast of Lent, a 40-day period of self-denial and abstinence. SO LET'S PARTY!"",""sets"":""Expansion Set 2, Party Set""},")</f>
        <v>"vn{e":{"label":"Mardi Gras","extra":"Fat Tuesday marks the final day before the Christian fast of Lent, a 40-day period of self-denial and abstinence. SO LET'S PARTY!","sets":"Expansion Set 2, Party Set"},</v>
      </c>
    </row>
    <row r="396">
      <c r="A396" s="8" t="str">
        <f>IFERROR(__xludf.DUMMYFUNCTION("""COMPUTED_VALUE"""),"Marilyn Monroe")</f>
        <v>Marilyn Monroe</v>
      </c>
      <c r="B396" s="8" t="str">
        <f>IFERROR(__xludf.DUMMYFUNCTION("""COMPUTED_VALUE"""),"1926-62, American movie star, pinup and sex symbol. Just ask the Kennedys.")</f>
        <v>1926-62, American movie star, pinup and sex symbol. Just ask the Kennedys.</v>
      </c>
      <c r="C396" s="13" t="str">
        <f>IFERROR(__xludf.DUMMYFUNCTION("""COMPUTED_VALUE"""),"""zqzf"":{""label"":""Marilyn Monroe"",""extra"":""1926-62, American movie star, pinup and sex symbol. Just ask the Kennedys."",""sets"":""Basic Set, Party Set""},")</f>
        <v>"zqzf":{"label":"Marilyn Monroe","extra":"1926-62, American movie star, pinup and sex symbol. Just ask the Kennedys.","sets":"Basic Set, Party Set"},</v>
      </c>
    </row>
    <row r="397">
      <c r="A397" s="8" t="str">
        <f>IFERROR(__xludf.DUMMYFUNCTION("""COMPUTED_VALUE"""),"Mark Twain")</f>
        <v>Mark Twain</v>
      </c>
      <c r="B397" s="8" t="str">
        <f>IFERROR(__xludf.DUMMYFUNCTION("""COMPUTED_VALUE"""),"1835-1910, American writer and humorist, best known for the adventures of Tom Sawyer and Huckleberry Finn.")</f>
        <v>1835-1910, American writer and humorist, best known for the adventures of Tom Sawyer and Huckleberry Finn.</v>
      </c>
      <c r="C397" s="13" t="str">
        <f>IFERROR(__xludf.DUMMYFUNCTION("""COMPUTED_VALUE"""),"""ihjj"":{""label"":""Mark Twain"",""extra"":""1835-1910, American writer and humorist, best known for the adventures of Tom Sawyer and Huckleberry Finn."",""sets"":""Basic Set, Party Set""},")</f>
        <v>"ihjj":{"label":"Mark Twain","extra":"1835-1910, American writer and humorist, best known for the adventures of Tom Sawyer and Huckleberry Finn.","sets":"Basic Set, Party Set"},</v>
      </c>
    </row>
    <row r="398">
      <c r="A398" s="8" t="str">
        <f>IFERROR(__xludf.DUMMYFUNCTION("""COMPUTED_VALUE"""),"Marriage")</f>
        <v>Marriage</v>
      </c>
      <c r="B398" s="8" t="str">
        <f>IFERROR(__xludf.DUMMYFUNCTION("""COMPUTED_VALUE"""),"If love and marriage go together like a horse and carriage… who’s the horse?")</f>
        <v>If love and marriage go together like a horse and carriage… who’s the horse?</v>
      </c>
      <c r="C398" s="13" t="str">
        <f>IFERROR(__xludf.DUMMYFUNCTION("""COMPUTED_VALUE"""),"""wgsv"":{""label"":""Marriage"",""extra"":""If love and marriage go together like a horse and carriage… who’s the horse?"",""sets"":""Basic Set, Party Set""},")</f>
        <v>"wgsv":{"label":"Marriage","extra":"If love and marriage go together like a horse and carriage… who’s the horse?","sets":"Basic Set, Party Set"},</v>
      </c>
    </row>
    <row r="399">
      <c r="A399" s="8" t="str">
        <f>IFERROR(__xludf.DUMMYFUNCTION("""COMPUTED_VALUE"""),"Mars")</f>
        <v>Mars</v>
      </c>
      <c r="B399" s="8" t="str">
        <f>IFERROR(__xludf.DUMMYFUNCTION("""COMPUTED_VALUE"""),"The fourth planet from the sun. Where men come from.")</f>
        <v>The fourth planet from the sun. Where men come from.</v>
      </c>
      <c r="C399" s="13" t="str">
        <f>IFERROR(__xludf.DUMMYFUNCTION("""COMPUTED_VALUE"""),"""pyse"":{""label"":""Mars"",""extra"":""The fourth planet from the sun. Where men come from."",""sets"":""Expansion Set 1, Party Set""},")</f>
        <v>"pyse":{"label":"Mars","extra":"The fourth planet from the sun. Where men come from.","sets":"Expansion Set 1, Party Set"},</v>
      </c>
    </row>
    <row r="400">
      <c r="A400" s="8" t="str">
        <f>IFERROR(__xludf.DUMMYFUNCTION("""COMPUTED_VALUE"""),"Martha Stewart")</f>
        <v>Martha Stewart</v>
      </c>
      <c r="B400" s="8" t="str">
        <f>IFERROR(__xludf.DUMMYFUNCTION("""COMPUTED_VALUE"""),"1941-, television personality, magazine editor, and author. Domestic arts are her stock-in-trade.")</f>
        <v>1941-, television personality, magazine editor, and author. Domestic arts are her stock-in-trade.</v>
      </c>
      <c r="C400" s="13" t="str">
        <f>IFERROR(__xludf.DUMMYFUNCTION("""COMPUTED_VALUE"""),"""iwzk"":{""label"":""Martha Stewart"",""extra"":""1941-, television personality, magazine editor, and author. Domestic arts are her stock-in-trade."",""sets"":""Basic Set, Party Set""},")</f>
        <v>"iwzk":{"label":"Martha Stewart","extra":"1941-, television personality, magazine editor, and author. Domestic arts are her stock-in-trade.","sets":"Basic Set, Party Set"},</v>
      </c>
    </row>
    <row r="401">
      <c r="A401" s="8" t="str">
        <f>IFERROR(__xludf.DUMMYFUNCTION("""COMPUTED_VALUE"""),"Martin Luther King, Jr.")</f>
        <v>Martin Luther King, Jr.</v>
      </c>
      <c r="B401" s="8" t="str">
        <f>IFERROR(__xludf.DUMMYFUNCTION("""COMPUTED_VALUE"""),"1929-68, American civil rights leader and advocate of nonviolent resistance. Was assassinated for his efforts.")</f>
        <v>1929-68, American civil rights leader and advocate of nonviolent resistance. Was assassinated for his efforts.</v>
      </c>
      <c r="C401" s="13" t="str">
        <f>IFERROR(__xludf.DUMMYFUNCTION("""COMPUTED_VALUE"""),"""zvwg"":{""label"":""Martin Luther King, Jr."",""extra"":""1929-68, American civil rights leader and advocate of nonviolent resistance. Was assassinated for his efforts."",""sets"":""Basic Set, Party Set""},")</f>
        <v>"zvwg":{"label":"Martin Luther King, Jr.","extra":"1929-68, American civil rights leader and advocate of nonviolent resistance. Was assassinated for his efforts.","sets":"Basic Set, Party Set"},</v>
      </c>
    </row>
    <row r="402">
      <c r="A402" s="8" t="str">
        <f>IFERROR(__xludf.DUMMYFUNCTION("""COMPUTED_VALUE"""),"Meat Cleavers")</f>
        <v>Meat Cleavers</v>
      </c>
      <c r="B402" s="8" t="str">
        <f>IFERROR(__xludf.DUMMYFUNCTION("""COMPUTED_VALUE"""),"No relation to Ward, June, or the Beaver…")</f>
        <v>No relation to Ward, June, or the Beaver…</v>
      </c>
      <c r="C402" s="13" t="str">
        <f>IFERROR(__xludf.DUMMYFUNCTION("""COMPUTED_VALUE"""),"""kepx"":{""label"":""Meat Cleavers"",""extra"":""No relation to Ward, June, or the Beaver…"",""sets"":""Expansion Set 2, Party Set""},")</f>
        <v>"kepx":{"label":"Meat Cleavers","extra":"No relation to Ward, June, or the Beaver…","sets":"Expansion Set 2, Party Set"},</v>
      </c>
    </row>
    <row r="403">
      <c r="A403" s="8" t="str">
        <f>IFERROR(__xludf.DUMMYFUNCTION("""COMPUTED_VALUE"""),"Meatloaf")</f>
        <v>Meatloaf</v>
      </c>
      <c r="B403" s="8" t="str">
        <f>IFERROR(__xludf.DUMMYFUNCTION("""COMPUTED_VALUE"""),"Large and intimidating the dish not the singer!")</f>
        <v>Large and intimidating the dish not the singer!</v>
      </c>
      <c r="C403" s="13" t="str">
        <f>IFERROR(__xludf.DUMMYFUNCTION("""COMPUTED_VALUE"""),"""rpek"":{""label"":""Meatloaf"",""extra"":""Large and intimidating the dish not the singer!"",""sets"":""Expansion Set 1, Party Set""},")</f>
        <v>"rpek":{"label":"Meatloaf","extra":"Large and intimidating the dish not the singer!","sets":"Expansion Set 1, Party Set"},</v>
      </c>
    </row>
    <row r="404">
      <c r="A404" s="8" t="str">
        <f>IFERROR(__xludf.DUMMYFUNCTION("""COMPUTED_VALUE"""),"Meg Ryan")</f>
        <v>Meg Ryan</v>
      </c>
      <c r="B404" s="8" t="str">
        <f>IFERROR(__xludf.DUMMYFUNCTION("""COMPUTED_VALUE"""),"1961-, American actor and girl-next-door star of “When Harry Met Sally,” “Sleepless In Seattle,” and “You’ve Got Mail.”")</f>
        <v>1961-, American actor and girl-next-door star of “When Harry Met Sally,” “Sleepless In Seattle,” and “You’ve Got Mail.”</v>
      </c>
      <c r="C404" s="13" t="str">
        <f>IFERROR(__xludf.DUMMYFUNCTION("""COMPUTED_VALUE"""),"""mfev"":{""label"":""Meg Ryan"",""extra"":""1961-, American actor and girl-next-door star of “When Harry Met Sally,” “Sleepless In Seattle,” and “You’ve Got Mail.”"",""sets"":""Expansion Set 2, Party Set""},")</f>
        <v>"mfev":{"label":"Meg Ryan","extra":"1961-, American actor and girl-next-door star of “When Harry Met Sally,” “Sleepless In Seattle,” and “You’ve Got Mail.”","sets":"Expansion Set 2, Party Set"},</v>
      </c>
    </row>
    <row r="405">
      <c r="A405" s="8" t="str">
        <f>IFERROR(__xludf.DUMMYFUNCTION("""COMPUTED_VALUE"""),"Mel Gibson")</f>
        <v>Mel Gibson</v>
      </c>
      <c r="B405" s="8" t="str">
        <f>IFERROR(__xludf.DUMMYFUNCTION("""COMPUTED_VALUE"""),"1956-, Australian actor. Known for The Road Warrior, Braveheart and Leathal Weapon I, II, III, IV…")</f>
        <v>1956-, Australian actor. Known for The Road Warrior, Braveheart and Leathal Weapon I, II, III, IV…</v>
      </c>
      <c r="C405" s="13" t="str">
        <f>IFERROR(__xludf.DUMMYFUNCTION("""COMPUTED_VALUE"""),"""dqhl"":{""label"":""Mel Gibson"",""extra"":""1956-, Australian actor. Known for The Road Warrior, Braveheart and Leathal Weapon I, II, III, IV…"",""sets"":""Expansion Set 1, Party Set""},")</f>
        <v>"dqhl":{"label":"Mel Gibson","extra":"1956-, Australian actor. Known for The Road Warrior, Braveheart and Leathal Weapon I, II, III, IV…","sets":"Expansion Set 1, Party Set"},</v>
      </c>
    </row>
    <row r="406">
      <c r="A406" s="8" t="str">
        <f>IFERROR(__xludf.DUMMYFUNCTION("""COMPUTED_VALUE"""),"Men")</f>
        <v>Men</v>
      </c>
      <c r="B406" s="8" t="str">
        <f>IFERROR(__xludf.DUMMYFUNCTION("""COMPUTED_VALUE"""),"REAL Men.")</f>
        <v>REAL Men.</v>
      </c>
      <c r="C406" s="13" t="str">
        <f>IFERROR(__xludf.DUMMYFUNCTION("""COMPUTED_VALUE"""),"""ihwg"":{""label"":""Men"",""extra"":""REAL Men."",""sets"":""Expansion Set 2, Party Set""},")</f>
        <v>"ihwg":{"label":"Men","extra":"REAL Men.","sets":"Expansion Set 2, Party Set"},</v>
      </c>
    </row>
    <row r="407">
      <c r="A407" s="8" t="str">
        <f>IFERROR(__xludf.DUMMYFUNCTION("""COMPUTED_VALUE"""),"Men In Black")</f>
        <v>Men In Black</v>
      </c>
      <c r="B407" s="8" t="str">
        <f>IFERROR(__xludf.DUMMYFUNCTION("""COMPUTED_VALUE"""),"We’re not here. You don’t see us. The government did NOT send us.")</f>
        <v>We’re not here. You don’t see us. The government did NOT send us.</v>
      </c>
      <c r="C407" s="13" t="str">
        <f>IFERROR(__xludf.DUMMYFUNCTION("""COMPUTED_VALUE"""),"""nleq"":{""label"":""Men In Black"",""extra"":""We’re not here. You don’t see us. The government did NOT send us."",""sets"":""Expansion Set 1, Party Set""},")</f>
        <v>"nleq":{"label":"Men In Black","extra":"We’re not here. You don’t see us. The government did NOT send us.","sets":"Expansion Set 1, Party Set"},</v>
      </c>
    </row>
    <row r="408">
      <c r="A408" s="8" t="str">
        <f>IFERROR(__xludf.DUMMYFUNCTION("""COMPUTED_VALUE"""),"Meryl Streep")</f>
        <v>Meryl Streep</v>
      </c>
      <c r="B408" s="8" t="str">
        <f>IFERROR(__xludf.DUMMYFUNCTION("""COMPUTED_VALUE"""),"1959-, accomplished American actor, two-time Oscar winner, with over a dozen Academy Award nominations.")</f>
        <v>1959-, accomplished American actor, two-time Oscar winner, with over a dozen Academy Award nominations.</v>
      </c>
      <c r="C408" s="13" t="str">
        <f>IFERROR(__xludf.DUMMYFUNCTION("""COMPUTED_VALUE"""),"""mkix"":{""label"":""Meryl Streep"",""extra"":""1959-, accomplished American actor, two-time Oscar winner, with over a dozen Academy Award nominations."",""sets"":""Expansion Set 2, Party Set""},")</f>
        <v>"mkix":{"label":"Meryl Streep","extra":"1959-, accomplished American actor, two-time Oscar winner, with over a dozen Academy Award nominations.","sets":"Expansion Set 2, Party Set"},</v>
      </c>
    </row>
    <row r="409">
      <c r="A409" s="8" t="str">
        <f>IFERROR(__xludf.DUMMYFUNCTION("""COMPUTED_VALUE"""),"Mexico")</f>
        <v>Mexico</v>
      </c>
      <c r="B409" s="8" t="str">
        <f>IFERROR(__xludf.DUMMYFUNCTION("""COMPUTED_VALUE"""),"Federal republic in North America. The capital and largest city is Mexico City.")</f>
        <v>Federal republic in North America. The capital and largest city is Mexico City.</v>
      </c>
      <c r="C409" s="13" t="str">
        <f>IFERROR(__xludf.DUMMYFUNCTION("""COMPUTED_VALUE"""),"""bwhz"":{""label"":""Mexico"",""extra"":""Federal republic in North America. The capital and largest city is Mexico City."",""sets"":""Basic Set, Party Set""},")</f>
        <v>"bwhz":{"label":"Mexico","extra":"Federal republic in North America. The capital and largest city is Mexico City.","sets":"Basic Set, Party Set"},</v>
      </c>
    </row>
    <row r="410">
      <c r="A410" s="8" t="str">
        <f>IFERROR(__xludf.DUMMYFUNCTION("""COMPUTED_VALUE"""),"Mice")</f>
        <v>Mice</v>
      </c>
      <c r="B410" s="8" t="str">
        <f>IFERROR(__xludf.DUMMYFUNCTION("""COMPUTED_VALUE"""),"“The best-laid schemes o’ mice an’ men…” —Robert Burns")</f>
        <v>“The best-laid schemes o’ mice an’ men…” —Robert Burns</v>
      </c>
      <c r="C410" s="13" t="str">
        <f>IFERROR(__xludf.DUMMYFUNCTION("""COMPUTED_VALUE"""),"""jblw"":{""label"":""Mice"",""extra"":""“The best-laid schemes o’ mice an’ men…” —Robert Burns"",""sets"":""Basic Set, Party Set""},")</f>
        <v>"jblw":{"label":"Mice","extra":"“The best-laid schemes o’ mice an’ men…” —Robert Burns","sets":"Basic Set, Party Set"},</v>
      </c>
    </row>
    <row r="411">
      <c r="A411" s="8" t="str">
        <f>IFERROR(__xludf.DUMMYFUNCTION("""COMPUTED_VALUE"""),"Michael Jackson")</f>
        <v>Michael Jackson</v>
      </c>
      <c r="B411" s="8" t="str">
        <f>IFERROR(__xludf.DUMMYFUNCTION("""COMPUTED_VALUE"""),"1958-, American popular singer, dancer, and songwriter. Welcome to Neverland.")</f>
        <v>1958-, American popular singer, dancer, and songwriter. Welcome to Neverland.</v>
      </c>
      <c r="C411" s="13" t="str">
        <f>IFERROR(__xludf.DUMMYFUNCTION("""COMPUTED_VALUE"""),"""vqjl"":{""label"":""Michael Jackson"",""extra"":""1958-, American popular singer, dancer, and songwriter. Welcome to Neverland."",""sets"":""Basic Set, Party Set""},")</f>
        <v>"vqjl":{"label":"Michael Jackson","extra":"1958-, American popular singer, dancer, and songwriter. Welcome to Neverland.","sets":"Basic Set, Party Set"},</v>
      </c>
    </row>
    <row r="412">
      <c r="A412" s="8" t="str">
        <f>IFERROR(__xludf.DUMMYFUNCTION("""COMPUTED_VALUE"""),"Michael Jordon")</f>
        <v>Michael Jordon</v>
      </c>
      <c r="B412" s="8" t="str">
        <f>IFERROR(__xludf.DUMMYFUNCTION("""COMPUTED_VALUE"""),"1963-, American professional basketball legend, led Chicago to six world championships. No bull.")</f>
        <v>1963-, American professional basketball legend, led Chicago to six world championships. No bull.</v>
      </c>
      <c r="C412" s="13" t="str">
        <f>IFERROR(__xludf.DUMMYFUNCTION("""COMPUTED_VALUE"""),"""bcjp"":{""label"":""Michael Jordon"",""extra"":""1963-, American professional basketball legend, led Chicago to six world championships. No bull."",""sets"":""Basic Set, Party Set""},")</f>
        <v>"bcjp":{"label":"Michael Jordon","extra":"1963-, American professional basketball legend, led Chicago to six world championships. No bull.","sets":"Basic Set, Party Set"},</v>
      </c>
    </row>
    <row r="413">
      <c r="A413" s="8" t="str">
        <f>IFERROR(__xludf.DUMMYFUNCTION("""COMPUTED_VALUE"""),"Michelangelo")</f>
        <v>Michelangelo</v>
      </c>
      <c r="B413" s="8" t="str">
        <f>IFERROR(__xludf.DUMMYFUNCTION("""COMPUTED_VALUE"""),"1475-1564, inspired Italian sculptor, architect, painter, and poet. A REAL Renaissance man.")</f>
        <v>1475-1564, inspired Italian sculptor, architect, painter, and poet. A REAL Renaissance man.</v>
      </c>
      <c r="C413" s="13" t="str">
        <f>IFERROR(__xludf.DUMMYFUNCTION("""COMPUTED_VALUE"""),"""geyo"":{""label"":""Michelangelo"",""extra"":""1475-1564, inspired Italian sculptor, architect, painter, and poet. A REAL Renaissance man."",""sets"":""Expansion Set 1, Party Set""},")</f>
        <v>"geyo":{"label":"Michelangelo","extra":"1475-1564, inspired Italian sculptor, architect, painter, and poet. A REAL Renaissance man.","sets":"Expansion Set 1, Party Set"},</v>
      </c>
    </row>
    <row r="414">
      <c r="A414" s="8" t="str">
        <f>IFERROR(__xludf.DUMMYFUNCTION("""COMPUTED_VALUE"""),"Michelle Pfeiffer")</f>
        <v>Michelle Pfeiffer</v>
      </c>
      <c r="B414" s="8" t="str">
        <f>IFERROR(__xludf.DUMMYFUNCTION("""COMPUTED_VALUE"""),"1957-, American actor whose career began with “Grease 2.” She’d like us to forget that but remember her Oscar nominations.")</f>
        <v>1957-, American actor whose career began with “Grease 2.” She’d like us to forget that but remember her Oscar nominations.</v>
      </c>
      <c r="C414" s="13" t="str">
        <f>IFERROR(__xludf.DUMMYFUNCTION("""COMPUTED_VALUE"""),"""kgnn"":{""label"":""Michelle Pfeiffer"",""extra"":""1957-, American actor whose career began with “Grease 2.” She’d like us to forget that but remember her Oscar nominations."",""sets"":""Basic Set, Party Set""},")</f>
        <v>"kgnn":{"label":"Michelle Pfeiffer","extra":"1957-, American actor whose career began with “Grease 2.” She’d like us to forget that but remember her Oscar nominations.","sets":"Basic Set, Party Set"},</v>
      </c>
    </row>
    <row r="415">
      <c r="A415" s="8" t="str">
        <f>IFERROR(__xludf.DUMMYFUNCTION("""COMPUTED_VALUE"""),"Microsoft")</f>
        <v>Microsoft</v>
      </c>
      <c r="B415" s="8" t="str">
        <f>IFERROR(__xludf.DUMMYFUNCTION("""COMPUTED_VALUE"""),"A leading American software company. We’d say more but we don't want to monopolize your time…")</f>
        <v>A leading American software company. We’d say more but we don't want to monopolize your time…</v>
      </c>
      <c r="C415" s="13" t="str">
        <f>IFERROR(__xludf.DUMMYFUNCTION("""COMPUTED_VALUE"""),"""zigl"":{""label"":""Microsoft"",""extra"":""A leading American software company. We’d say more but we don't want to monopolize your time…"",""sets"":""Expansion Set 2, Party Set""},")</f>
        <v>"zigl":{"label":"Microsoft","extra":"A leading American software company. We’d say more but we don't want to monopolize your time…","sets":"Expansion Set 2, Party Set"},</v>
      </c>
    </row>
    <row r="416">
      <c r="A416" s="8" t="str">
        <f>IFERROR(__xludf.DUMMYFUNCTION("""COMPUTED_VALUE"""),"Midlife Crisis")</f>
        <v>Midlife Crisis</v>
      </c>
      <c r="B416" s="8" t="str">
        <f>IFERROR(__xludf.DUMMYFUNCTION("""COMPUTED_VALUE"""),"“Here comes your 19th nervous breakdown…” —The Rolling Stone")</f>
        <v>“Here comes your 19th nervous breakdown…” —The Rolling Stone</v>
      </c>
      <c r="C416" s="13" t="str">
        <f>IFERROR(__xludf.DUMMYFUNCTION("""COMPUTED_VALUE"""),"""zqsl"":{""label"":""Midlife Crisis"",""extra"":""“Here comes your 19th nervous breakdown…” —The Rolling Stone"",""sets"":""Expansion Set 1, Party Set""},")</f>
        <v>"zqsl":{"label":"Midlife Crisis","extra":"“Here comes your 19th nervous breakdown…” —The Rolling Stone","sets":"Expansion Set 1, Party Set"},</v>
      </c>
    </row>
    <row r="417">
      <c r="A417" s="8" t="str">
        <f>IFERROR(__xludf.DUMMYFUNCTION("""COMPUTED_VALUE"""),"Mike Tyson")</f>
        <v>Mike Tyson</v>
      </c>
      <c r="B417" s="8" t="str">
        <f>IFERROR(__xludf.DUMMYFUNCTION("""COMPUTED_VALUE"""),"1966-, American heavyweight boxer. Lend him your ear…")</f>
        <v>1966-, American heavyweight boxer. Lend him your ear…</v>
      </c>
      <c r="C417" s="13" t="str">
        <f>IFERROR(__xludf.DUMMYFUNCTION("""COMPUTED_VALUE"""),"""nmlh"":{""label"":""Mike Tyson"",""extra"":""1966-, American heavyweight boxer. Lend him your ear…"",""sets"":""Basic Set, Party Set""},")</f>
        <v>"nmlh":{"label":"Mike Tyson","extra":"1966-, American heavyweight boxer. Lend him your ear…","sets":"Basic Set, Party Set"},</v>
      </c>
    </row>
    <row r="418">
      <c r="A418" s="8" t="str">
        <f>IFERROR(__xludf.DUMMYFUNCTION("""COMPUTED_VALUE"""),"Miles Davis")</f>
        <v>Miles Davis</v>
      </c>
      <c r="B418" s="8" t="str">
        <f>IFERROR(__xludf.DUMMYFUNCTION("""COMPUTED_VALUE"""),"1926-91, innovative, influential, and respected American jazz trumpter player and band layer.")</f>
        <v>1926-91, innovative, influential, and respected American jazz trumpter player and band layer.</v>
      </c>
      <c r="C418" s="13" t="str">
        <f>IFERROR(__xludf.DUMMYFUNCTION("""COMPUTED_VALUE"""),"""rqms"":{""label"":""Miles Davis"",""extra"":""1926-91, innovative, influential, and respected American jazz trumpter player and band layer."",""sets"":""Expansion Set 1, Party Set""},")</f>
        <v>"rqms":{"label":"Miles Davis","extra":"1926-91, innovative, influential, and respected American jazz trumpter player and band layer.","sets":"Expansion Set 1, Party Set"},</v>
      </c>
    </row>
    <row r="419">
      <c r="A419" s="8" t="str">
        <f>IFERROR(__xludf.DUMMYFUNCTION("""COMPUTED_VALUE"""),"Milk")</f>
        <v>Milk</v>
      </c>
      <c r="B419" s="8" t="str">
        <f>IFERROR(__xludf.DUMMYFUNCTION("""COMPUTED_VALUE"""),"Three glasses a day will give you… the gratitude of the dairy industry.")</f>
        <v>Three glasses a day will give you… the gratitude of the dairy industry.</v>
      </c>
      <c r="C419" s="13" t="str">
        <f>IFERROR(__xludf.DUMMYFUNCTION("""COMPUTED_VALUE"""),"""cjen"":{""label"":""Milk"",""extra"":""Three glasses a day will give you… the gratitude of the dairy industry."",""sets"":""Basic Set, Party Set""},")</f>
        <v>"cjen":{"label":"Milk","extra":"Three glasses a day will give you… the gratitude of the dairy industry.","sets":"Basic Set, Party Set"},</v>
      </c>
    </row>
    <row r="420">
      <c r="A420" s="8" t="str">
        <f>IFERROR(__xludf.DUMMYFUNCTION("""COMPUTED_VALUE"""),"Milk Duds")</f>
        <v>Milk Duds</v>
      </c>
      <c r="B420" s="8" t="str">
        <f>IFERROR(__xludf.DUMMYFUNCTION("""COMPUTED_VALUE"""),"Chocolate and caramel candy balls. Tooth extractions at no extra charge!")</f>
        <v>Chocolate and caramel candy balls. Tooth extractions at no extra charge!</v>
      </c>
      <c r="C420" s="13" t="str">
        <f>IFERROR(__xludf.DUMMYFUNCTION("""COMPUTED_VALUE"""),"""ryqq"":{""label"":""Milk Duds"",""extra"":""Chocolate and caramel candy balls. Tooth extractions at no extra charge!"",""sets"":""Expansion Set 2, Party Set""},")</f>
        <v>"ryqq":{"label":"Milk Duds","extra":"Chocolate and caramel candy balls. Tooth extractions at no extra charge!","sets":"Expansion Set 2, Party Set"},</v>
      </c>
    </row>
    <row r="421">
      <c r="A421" s="8" t="str">
        <f>IFERROR(__xludf.DUMMYFUNCTION("""COMPUTED_VALUE"""),"Mirrors")</f>
        <v>Mirrors</v>
      </c>
      <c r="B421" s="8" t="str">
        <f>IFERROR(__xludf.DUMMYFUNCTION("""COMPUTED_VALUE"""),"And now, a moment for reflection.")</f>
        <v>And now, a moment for reflection.</v>
      </c>
      <c r="C421" s="13" t="str">
        <f>IFERROR(__xludf.DUMMYFUNCTION("""COMPUTED_VALUE"""),"""fswi"":{""label"":""Mirrors"",""extra"":""And now, a moment for reflection."",""sets"":""Basic Set, Party Set""},")</f>
        <v>"fswi":{"label":"Mirrors","extra":"And now, a moment for reflection.","sets":"Basic Set, Party Set"},</v>
      </c>
    </row>
    <row r="422">
      <c r="A422" s="8" t="str">
        <f>IFERROR(__xludf.DUMMYFUNCTION("""COMPUTED_VALUE"""),"Mold")</f>
        <v>Mold</v>
      </c>
      <c r="B422" s="8" t="str">
        <f>IFERROR(__xludf.DUMMYFUNCTION("""COMPUTED_VALUE"""),"Fuzzy growth produced on organic matter by several types of fungi. Particularly attracted to students’ refrigerators")</f>
        <v>Fuzzy growth produced on organic matter by several types of fungi. Particularly attracted to students’ refrigerators</v>
      </c>
      <c r="C422" s="13" t="str">
        <f>IFERROR(__xludf.DUMMYFUNCTION("""COMPUTED_VALUE"""),"""hbye"":{""label"":""Mold"",""extra"":""Fuzzy growth produced on organic matter by several types of fungi. Particularly attracted to students’ refrigerators"",""sets"":""Basic Set, Party Set""},")</f>
        <v>"hbye":{"label":"Mold","extra":"Fuzzy growth produced on organic matter by several types of fungi. Particularly attracted to students’ refrigerators","sets":"Basic Set, Party Set"},</v>
      </c>
    </row>
    <row r="423">
      <c r="A423" s="8" t="str">
        <f>IFERROR(__xludf.DUMMYFUNCTION("""COMPUTED_VALUE"""),"Money")</f>
        <v>Money</v>
      </c>
      <c r="B423" s="8" t="str">
        <f>IFERROR(__xludf.DUMMYFUNCTION("""COMPUTED_VALUE"""),"“The best things in life are free / But you can give them to the birds and bees / Just give me money…” —Bradford and Gordy")</f>
        <v>“The best things in life are free / But you can give them to the birds and bees / Just give me money…” —Bradford and Gordy</v>
      </c>
      <c r="C423" s="13" t="str">
        <f>IFERROR(__xludf.DUMMYFUNCTION("""COMPUTED_VALUE"""),"""jsca"":{""label"":""Money"",""extra"":""“The best things in life are free / But you can give them to the birds and bees / Just give me money…” —Bradford and Gordy"",""sets"":""Basic Set, Party Set""},")</f>
        <v>"jsca":{"label":"Money","extra":"“The best things in life are free / But you can give them to the birds and bees / Just give me money…” —Bradford and Gordy","sets":"Basic Set, Party Set"},</v>
      </c>
    </row>
    <row r="424">
      <c r="A424" s="8" t="str">
        <f>IFERROR(__xludf.DUMMYFUNCTION("""COMPUTED_VALUE"""),"Morticians")</f>
        <v>Morticians</v>
      </c>
      <c r="B424" s="8" t="str">
        <f>IFERROR(__xludf.DUMMYFUNCTION("""COMPUTED_VALUE"""),"Why do you hang around with THOSE stiffs…?")</f>
        <v>Why do you hang around with THOSE stiffs…?</v>
      </c>
      <c r="C424" s="13" t="str">
        <f>IFERROR(__xludf.DUMMYFUNCTION("""COMPUTED_VALUE"""),"""vvzv"":{""label"":""Morticians"",""extra"":""Why do you hang around with THOSE stiffs…?"",""sets"":""Basic Set, Party Set""},")</f>
        <v>"vvzv":{"label":"Morticians","extra":"Why do you hang around with THOSE stiffs…?","sets":"Basic Set, Party Set"},</v>
      </c>
    </row>
    <row r="425">
      <c r="A425" s="8" t="str">
        <f>IFERROR(__xludf.DUMMYFUNCTION("""COMPUTED_VALUE"""),"Mosquitoes")</f>
        <v>Mosquitoes</v>
      </c>
      <c r="B425" s="8" t="str">
        <f>IFERROR(__xludf.DUMMYFUNCTION("""COMPUTED_VALUE"""),"They suck.")</f>
        <v>They suck.</v>
      </c>
      <c r="C425" s="13" t="str">
        <f>IFERROR(__xludf.DUMMYFUNCTION("""COMPUTED_VALUE"""),"""dmkq"":{""label"":""Mosquitoes"",""extra"":""They suck."",""sets"":""Expansion Set 1, Party Set""},")</f>
        <v>"dmkq":{"label":"Mosquitoes","extra":"They suck.","sets":"Expansion Set 1, Party Set"},</v>
      </c>
    </row>
    <row r="426">
      <c r="A426" s="8" t="str">
        <f>IFERROR(__xludf.DUMMYFUNCTION("""COMPUTED_VALUE"""),"Motorcycles")</f>
        <v>Motorcycles</v>
      </c>
      <c r="B426" s="8" t="str">
        <f>IFERROR(__xludf.DUMMYFUNCTION("""COMPUTED_VALUE"""),"The air in your hair and bugs in your teeth.")</f>
        <v>The air in your hair and bugs in your teeth.</v>
      </c>
      <c r="C426" s="13" t="str">
        <f>IFERROR(__xludf.DUMMYFUNCTION("""COMPUTED_VALUE"""),"""obys"":{""label"":""Motorcycles"",""extra"":""The air in your hair and bugs in your teeth."",""sets"":""Expansion Set 2, Party Set""},")</f>
        <v>"obys":{"label":"Motorcycles","extra":"The air in your hair and bugs in your teeth.","sets":"Expansion Set 2, Party Set"},</v>
      </c>
    </row>
    <row r="427">
      <c r="A427" s="8" t="str">
        <f>IFERROR(__xludf.DUMMYFUNCTION("""COMPUTED_VALUE"""),"Mount Rushmore")</f>
        <v>Mount Rushmore</v>
      </c>
      <c r="B427" s="8" t="str">
        <f>IFERROR(__xludf.DUMMYFUNCTION("""COMPUTED_VALUE"""),"Memorial carved into the side of the Black Hills in South Dakota. Heads above all other monuments.")</f>
        <v>Memorial carved into the side of the Black Hills in South Dakota. Heads above all other monuments.</v>
      </c>
      <c r="C427" s="13" t="str">
        <f>IFERROR(__xludf.DUMMYFUNCTION("""COMPUTED_VALUE"""),"""imlv"":{""label"":""Mount Rushmore"",""extra"":""Memorial carved into the side of the Black Hills in South Dakota. Heads above all other monuments."",""sets"":""Expansion Set 1, Party Set""},")</f>
        <v>"imlv":{"label":"Mount Rushmore","extra":"Memorial carved into the side of the Black Hills in South Dakota. Heads above all other monuments.","sets":"Expansion Set 1, Party Set"},</v>
      </c>
    </row>
    <row r="428">
      <c r="A428" s="8" t="str">
        <f>IFERROR(__xludf.DUMMYFUNCTION("""COMPUTED_VALUE"""),"MTV")</f>
        <v>MTV</v>
      </c>
      <c r="B428" s="8" t="str">
        <f>IFERROR(__xludf.DUMMYFUNCTION("""COMPUTED_VALUE"""),"“Video killed the radio star.” —The Buggles")</f>
        <v>“Video killed the radio star.” —The Buggles</v>
      </c>
      <c r="C428" s="13" t="str">
        <f>IFERROR(__xludf.DUMMYFUNCTION("""COMPUTED_VALUE"""),"""zujw"":{""label"":""MTV"",""extra"":""“Video killed the radio star.” —The Buggles"",""sets"":""Expansion Set 1, Party Set""},")</f>
        <v>"zujw":{"label":"MTV","extra":"“Video killed the radio star.” —The Buggles","sets":"Expansion Set 1, Party Set"},</v>
      </c>
    </row>
    <row r="429">
      <c r="A429" s="8" t="str">
        <f>IFERROR(__xludf.DUMMYFUNCTION("""COMPUTED_VALUE"""),"Mud")</f>
        <v>Mud</v>
      </c>
      <c r="B429" s="8" t="str">
        <f>IFERROR(__xludf.DUMMYFUNCTION("""COMPUTED_VALUE"""),"Water. Dirt. You do the math.")</f>
        <v>Water. Dirt. You do the math.</v>
      </c>
      <c r="C429" s="13" t="str">
        <f>IFERROR(__xludf.DUMMYFUNCTION("""COMPUTED_VALUE"""),"""rehz"":{""label"":""Mud"",""extra"":""Water. Dirt. You do the math."",""sets"":""Basic Set, Party Set""},")</f>
        <v>"rehz":{"label":"Mud","extra":"Water. Dirt. You do the math.","sets":"Basic Set, Party Set"},</v>
      </c>
    </row>
    <row r="430">
      <c r="A430" s="8" t="str">
        <f>IFERROR(__xludf.DUMMYFUNCTION("""COMPUTED_VALUE"""),"Mudslides")</f>
        <v>Mudslides</v>
      </c>
      <c r="B430" s="8" t="str">
        <f>IFERROR(__xludf.DUMMYFUNCTION("""COMPUTED_VALUE"""),"Chocolate drink or natural disaster… both occur frequently in California.")</f>
        <v>Chocolate drink or natural disaster… both occur frequently in California.</v>
      </c>
      <c r="C430" s="13" t="str">
        <f>IFERROR(__xludf.DUMMYFUNCTION("""COMPUTED_VALUE"""),"""omog"":{""label"":""Mudslides"",""extra"":""Chocolate drink or natural disaster… both occur frequently in California."",""sets"":""Expansion Set 2, Party Set""},")</f>
        <v>"omog":{"label":"Mudslides","extra":"Chocolate drink or natural disaster… both occur frequently in California.","sets":"Expansion Set 2, Party Set"},</v>
      </c>
    </row>
    <row r="431">
      <c r="A431" s="8" t="str">
        <f>IFERROR(__xludf.DUMMYFUNCTION("""COMPUTED_VALUE"""),"Muhammad Ali")</f>
        <v>Muhammad Ali</v>
      </c>
      <c r="B431" s="8" t="str">
        <f>IFERROR(__xludf.DUMMYFUNCTION("""COMPUTED_VALUE"""),"1942-, American heavyweight boxing champion. “Floats like a butterfly, stings like a bee.”")</f>
        <v>1942-, American heavyweight boxing champion. “Floats like a butterfly, stings like a bee.”</v>
      </c>
      <c r="C431" s="13" t="str">
        <f>IFERROR(__xludf.DUMMYFUNCTION("""COMPUTED_VALUE"""),"""{ksy"":{""label"":""Muhammad Ali"",""extra"":""1942-, American heavyweight boxing champion. “Floats like a butterfly, stings like a bee.”"",""sets"":""Expansion Set 1, Party Set""},")</f>
        <v>"{ksy":{"label":"Muhammad Ali","extra":"1942-, American heavyweight boxing champion. “Floats like a butterfly, stings like a bee.”","sets":"Expansion Set 1, Party Set"},</v>
      </c>
    </row>
    <row r="432">
      <c r="A432" s="8" t="str">
        <f>IFERROR(__xludf.DUMMYFUNCTION("""COMPUTED_VALUE"""),"Musicals")</f>
        <v>Musicals</v>
      </c>
      <c r="B432" s="8" t="str">
        <f>IFERROR(__xludf.DUMMYFUNCTION("""COMPUTED_VALUE"""),"“South Pacific,” “The King and I,” “The Sound of Music,” “A Chorus Line,” “Cats,” “Rent…”")</f>
        <v>“South Pacific,” “The King and I,” “The Sound of Music,” “A Chorus Line,” “Cats,” “Rent…”</v>
      </c>
      <c r="C432" s="13" t="str">
        <f>IFERROR(__xludf.DUMMYFUNCTION("""COMPUTED_VALUE"""),"""gcto"":{""label"":""Musicals"",""extra"":""“South Pacific,” “The King and I,” “The Sound of Music,” “A Chorus Line,” “Cats,” “Rent…”"",""sets"":""Expansion Set 2, Party Set""},")</f>
        <v>"gcto":{"label":"Musicals","extra":"“South Pacific,” “The King and I,” “The Sound of Music,” “A Chorus Line,” “Cats,” “Rent…”","sets":"Expansion Set 2, Party Set"},</v>
      </c>
    </row>
    <row r="433">
      <c r="A433" s="8" t="str">
        <f>IFERROR(__xludf.DUMMYFUNCTION("""COMPUTED_VALUE"""),"My 16th Birthday")</f>
        <v>My 16th Birthday</v>
      </c>
      <c r="B433" s="8" t="str">
        <f>IFERROR(__xludf.DUMMYFUNCTION("""COMPUTED_VALUE"""),"Dad, can I have the keys to the car, please?")</f>
        <v>Dad, can I have the keys to the car, please?</v>
      </c>
      <c r="C433" s="13" t="str">
        <f>IFERROR(__xludf.DUMMYFUNCTION("""COMPUTED_VALUE"""),"""zbfw"":{""label"":""My 16th Birthday"",""extra"":""Dad, can I have the keys to the car, please?"",""sets"":""Basic Set, Party Set""},")</f>
        <v>"zbfw":{"label":"My 16th Birthday","extra":"Dad, can I have the keys to the car, please?","sets":"Basic Set, Party Set"},</v>
      </c>
    </row>
    <row r="434">
      <c r="A434" s="8" t="str">
        <f>IFERROR(__xludf.DUMMYFUNCTION("""COMPUTED_VALUE"""),"My Bank Account")</f>
        <v>My Bank Account</v>
      </c>
      <c r="B434" s="8" t="str">
        <f>IFERROR(__xludf.DUMMYFUNCTION("""COMPUTED_VALUE"""),"Speaking of theoretical mathematics and unreal numbers…")</f>
        <v>Speaking of theoretical mathematics and unreal numbers…</v>
      </c>
      <c r="C434" s="13" t="str">
        <f>IFERROR(__xludf.DUMMYFUNCTION("""COMPUTED_VALUE"""),"""vtuw"":{""label"":""My Bank Account"",""extra"":""Speaking of theoretical mathematics and unreal numbers…"",""sets"":""Basic Set, Party Set""},")</f>
        <v>"vtuw":{"label":"My Bank Account","extra":"Speaking of theoretical mathematics and unreal numbers…","sets":"Basic Set, Party Set"},</v>
      </c>
    </row>
    <row r="435">
      <c r="A435" s="8" t="str">
        <f>IFERROR(__xludf.DUMMYFUNCTION("""COMPUTED_VALUE"""),"My Bathroom")</f>
        <v>My Bathroom</v>
      </c>
      <c r="B435" s="8" t="str">
        <f>IFERROR(__xludf.DUMMYFUNCTION("""COMPUTED_VALUE"""),"“The bathroom was drenched with their splashings” —Aldous Huxley")</f>
        <v>“The bathroom was drenched with their splashings” —Aldous Huxley</v>
      </c>
      <c r="C435" s="13" t="str">
        <f>IFERROR(__xludf.DUMMYFUNCTION("""COMPUTED_VALUE"""),"""misr"":{""label"":""My Bathroom"",""extra"":""“The bathroom was drenched with their splashings” —Aldous Huxley"",""sets"":""Basic Set, Party Set""},")</f>
        <v>"misr":{"label":"My Bathroom","extra":"“The bathroom was drenched with their splashings” —Aldous Huxley","sets":"Basic Set, Party Set"},</v>
      </c>
    </row>
    <row r="436">
      <c r="A436" s="8" t="str">
        <f>IFERROR(__xludf.DUMMYFUNCTION("""COMPUTED_VALUE"""),"My Bedroom")</f>
        <v>My Bedroom</v>
      </c>
      <c r="B436" s="8" t="str">
        <f>IFERROR(__xludf.DUMMYFUNCTION("""COMPUTED_VALUE"""),"“No one knows what goes on behind closed doors.” —Charlie Rich")</f>
        <v>“No one knows what goes on behind closed doors.” —Charlie Rich</v>
      </c>
      <c r="C436" s="13" t="str">
        <f>IFERROR(__xludf.DUMMYFUNCTION("""COMPUTED_VALUE"""),"""ymwp"":{""label"":""My Bedroom"",""extra"":""“No one knows what goes on behind closed doors.” —Charlie Rich"",""sets"":""Basic Set, Party Set""},")</f>
        <v>"ymwp":{"label":"My Bedroom","extra":"“No one knows what goes on behind closed doors.” —Charlie Rich","sets":"Basic Set, Party Set"},</v>
      </c>
    </row>
    <row r="437">
      <c r="A437" s="8" t="str">
        <f>IFERROR(__xludf.DUMMYFUNCTION("""COMPUTED_VALUE"""),"My Body")</f>
        <v>My Body</v>
      </c>
      <c r="B437" s="8" t="str">
        <f>IFERROR(__xludf.DUMMYFUNCTION("""COMPUTED_VALUE"""),"Mine is a temple. Specifically, the Temple of Doom…")</f>
        <v>Mine is a temple. Specifically, the Temple of Doom…</v>
      </c>
      <c r="C437" s="13" t="str">
        <f>IFERROR(__xludf.DUMMYFUNCTION("""COMPUTED_VALUE"""),"""ijoo"":{""label"":""My Body"",""extra"":""Mine is a temple. Specifically, the Temple of Doom…"",""sets"":""Basic Set, Party Set""},")</f>
        <v>"ijoo":{"label":"My Body","extra":"Mine is a temple. Specifically, the Temple of Doom…","sets":"Basic Set, Party Set"},</v>
      </c>
    </row>
    <row r="438">
      <c r="A438" s="8" t="str">
        <f>IFERROR(__xludf.DUMMYFUNCTION("""COMPUTED_VALUE"""),"My Boss")</f>
        <v>My Boss</v>
      </c>
      <c r="B438" s="8" t="str">
        <f>IFERROR(__xludf.DUMMYFUNCTION("""COMPUTED_VALUE"""),"…is an idiot. You know it; we know it.")</f>
        <v>…is an idiot. You know it; we know it.</v>
      </c>
      <c r="C438" s="13" t="str">
        <f>IFERROR(__xludf.DUMMYFUNCTION("""COMPUTED_VALUE"""),"""oxkp"":{""label"":""My Boss"",""extra"":""…is an idiot. You know it; we know it."",""sets"":""Basic Set, Party Set""},")</f>
        <v>"oxkp":{"label":"My Boss","extra":"…is an idiot. You know it; we know it.","sets":"Basic Set, Party Set"},</v>
      </c>
    </row>
    <row r="439">
      <c r="A439" s="8" t="str">
        <f>IFERROR(__xludf.DUMMYFUNCTION("""COMPUTED_VALUE"""),"My Dreams")</f>
        <v>My Dreams</v>
      </c>
      <c r="B439" s="8" t="str">
        <f>IFERROR(__xludf.DUMMYFUNCTION("""COMPUTED_VALUE"""),"“What dreams may come…” —Shakespeare's Hamlet")</f>
        <v>“What dreams may come…” —Shakespeare's Hamlet</v>
      </c>
      <c r="C439" s="13" t="str">
        <f>IFERROR(__xludf.DUMMYFUNCTION("""COMPUTED_VALUE"""),"""hmkp"":{""label"":""My Dreams"",""extra"":""“What dreams may come…” —Shakespeare's Hamlet"",""sets"":""Expansion Set 1, Party Set""},")</f>
        <v>"hmkp":{"label":"My Dreams","extra":"“What dreams may come…” —Shakespeare's Hamlet","sets":"Expansion Set 1, Party Set"},</v>
      </c>
    </row>
    <row r="440">
      <c r="A440" s="8" t="str">
        <f>IFERROR(__xludf.DUMMYFUNCTION("""COMPUTED_VALUE"""),"My Family")</f>
        <v>My Family</v>
      </c>
      <c r="B440" s="8" t="str">
        <f>IFERROR(__xludf.DUMMYFUNCTION("""COMPUTED_VALUE"""),"They’ll drive you nuts. As long as you do the same to them, it’s all even.")</f>
        <v>They’ll drive you nuts. As long as you do the same to them, it’s all even.</v>
      </c>
      <c r="C440" s="13" t="str">
        <f>IFERROR(__xludf.DUMMYFUNCTION("""COMPUTED_VALUE"""),"""ledm"":{""label"":""My Family"",""extra"":""They’ll drive you nuts. As long as you do the same to them, it’s all even."",""sets"":""Basic Set, Party Set""},")</f>
        <v>"ledm":{"label":"My Family","extra":"They’ll drive you nuts. As long as you do the same to them, it’s all even.","sets":"Basic Set, Party Set"},</v>
      </c>
    </row>
    <row r="441">
      <c r="A441" s="8" t="str">
        <f>IFERROR(__xludf.DUMMYFUNCTION("""COMPUTED_VALUE"""),"My First Kiss")</f>
        <v>My First Kiss</v>
      </c>
      <c r="B441" s="8" t="str">
        <f>IFERROR(__xludf.DUMMYFUNCTION("""COMPUTED_VALUE"""),"Sparks were flying. Of course, that could have been the braces…")</f>
        <v>Sparks were flying. Of course, that could have been the braces…</v>
      </c>
      <c r="C441" s="13" t="str">
        <f>IFERROR(__xludf.DUMMYFUNCTION("""COMPUTED_VALUE"""),"""fvmy"":{""label"":""My First Kiss"",""extra"":""Sparks were flying. Of course, that could have been the braces…"",""sets"":""Basic Set, Party Set""},")</f>
        <v>"fvmy":{"label":"My First Kiss","extra":"Sparks were flying. Of course, that could have been the braces…","sets":"Basic Set, Party Set"},</v>
      </c>
    </row>
    <row r="442">
      <c r="A442" s="8" t="str">
        <f>IFERROR(__xludf.DUMMYFUNCTION("""COMPUTED_VALUE"""),"My Friends")</f>
        <v>My Friends</v>
      </c>
      <c r="B442" s="8" t="str">
        <f>IFERROR(__xludf.DUMMYFUNCTION("""COMPUTED_VALUE"""),"With friends like these, who needs enemies?")</f>
        <v>With friends like these, who needs enemies?</v>
      </c>
      <c r="C442" s="13" t="str">
        <f>IFERROR(__xludf.DUMMYFUNCTION("""COMPUTED_VALUE"""),"""lboc"":{""label"":""My Friends"",""extra"":""With friends like these, who needs enemies?"",""sets"":""Expansion Set 2, Party Set""},")</f>
        <v>"lboc":{"label":"My Friends","extra":"With friends like these, who needs enemies?","sets":"Expansion Set 2, Party Set"},</v>
      </c>
    </row>
    <row r="443">
      <c r="A443" s="8" t="str">
        <f>IFERROR(__xludf.DUMMYFUNCTION("""COMPUTED_VALUE"""),"My Future")</f>
        <v>My Future</v>
      </c>
      <c r="B443" s="8" t="str">
        <f>IFERROR(__xludf.DUMMYFUNCTION("""COMPUTED_VALUE"""),"“The future's so bright, I gotta wear shades…” —Timbuk-3")</f>
        <v>“The future's so bright, I gotta wear shades…” —Timbuk-3</v>
      </c>
      <c r="C443" s="13" t="str">
        <f>IFERROR(__xludf.DUMMYFUNCTION("""COMPUTED_VALUE"""),"""szkv"":{""label"":""My Future"",""extra"":""“The future's so bright, I gotta wear shades…” —Timbuk-3"",""sets"":""Basic Set, Party Set""},")</f>
        <v>"szkv":{"label":"My Future","extra":"“The future's so bright, I gotta wear shades…” —Timbuk-3","sets":"Basic Set, Party Set"},</v>
      </c>
    </row>
    <row r="444">
      <c r="A444" s="8" t="str">
        <f>IFERROR(__xludf.DUMMYFUNCTION("""COMPUTED_VALUE"""),"My Hair")</f>
        <v>My Hair</v>
      </c>
      <c r="B444" s="8" t="str">
        <f>IFERROR(__xludf.DUMMYFUNCTION("""COMPUTED_VALUE"""),"Hair today, gone tomorrow…")</f>
        <v>Hair today, gone tomorrow…</v>
      </c>
      <c r="C444" s="13" t="str">
        <f>IFERROR(__xludf.DUMMYFUNCTION("""COMPUTED_VALUE"""),"""mqyw"":{""label"":""My Hair"",""extra"":""Hair today, gone tomorrow…"",""sets"":""Basic Set, Party Set""},")</f>
        <v>"mqyw":{"label":"My Hair","extra":"Hair today, gone tomorrow…","sets":"Basic Set, Party Set"},</v>
      </c>
    </row>
    <row r="445">
      <c r="A445" s="8" t="str">
        <f>IFERROR(__xludf.DUMMYFUNCTION("""COMPUTED_VALUE"""),"My High School Prom")</f>
        <v>My High School Prom</v>
      </c>
      <c r="B445" s="8" t="str">
        <f>IFERROR(__xludf.DUMMYFUNCTION("""COMPUTED_VALUE"""),"As if adolescence isn't awkward and painful enough…")</f>
        <v>As if adolescence isn't awkward and painful enough…</v>
      </c>
      <c r="C445" s="13" t="str">
        <f>IFERROR(__xludf.DUMMYFUNCTION("""COMPUTED_VALUE"""),"""kfnq"":{""label"":""My High School Prom"",""extra"":""As if adolescence isn't awkward and painful enough…"",""sets"":""Basic Set, Party Set""},")</f>
        <v>"kfnq":{"label":"My High School Prom","extra":"As if adolescence isn't awkward and painful enough…","sets":"Basic Set, Party Set"},</v>
      </c>
    </row>
    <row r="446">
      <c r="A446" s="8" t="str">
        <f>IFERROR(__xludf.DUMMYFUNCTION("""COMPUTED_VALUE"""),"My Job")</f>
        <v>My Job</v>
      </c>
      <c r="B446" s="8" t="str">
        <f>IFERROR(__xludf.DUMMYFUNCTION("""COMPUTED_VALUE"""),"Love it or leave it.")</f>
        <v>Love it or leave it.</v>
      </c>
      <c r="C446" s="13" t="str">
        <f>IFERROR(__xludf.DUMMYFUNCTION("""COMPUTED_VALUE"""),"""nduv"":{""label"":""My Job"",""extra"":""Love it or leave it."",""sets"":""Basic Set, Party Set""},")</f>
        <v>"nduv":{"label":"My Job","extra":"Love it or leave it.","sets":"Basic Set, Party Set"},</v>
      </c>
    </row>
    <row r="447">
      <c r="A447" s="8" t="str">
        <f>IFERROR(__xludf.DUMMYFUNCTION("""COMPUTED_VALUE"""),"My Love Life")</f>
        <v>My Love Life</v>
      </c>
      <c r="B447" s="8" t="str">
        <f>IFERROR(__xludf.DUMMYFUNCTION("""COMPUTED_VALUE"""),"“All you need is love…” —The Beatles")</f>
        <v>“All you need is love…” —The Beatles</v>
      </c>
      <c r="C447" s="13" t="str">
        <f>IFERROR(__xludf.DUMMYFUNCTION("""COMPUTED_VALUE"""),"""zdgf"":{""label"":""My Love Life"",""extra"":""“All you need is love…” —The Beatles"",""sets"":""Basic Set, Party Set""},")</f>
        <v>"zdgf":{"label":"My Love Life","extra":"“All you need is love…” —The Beatles","sets":"Basic Set, Party Set"},</v>
      </c>
    </row>
    <row r="448">
      <c r="A448" s="8" t="str">
        <f>IFERROR(__xludf.DUMMYFUNCTION("""COMPUTED_VALUE"""),"My Mind")</f>
        <v>My Mind</v>
      </c>
      <c r="B448" s="8" t="str">
        <f>IFERROR(__xludf.DUMMYFUNCTION("""COMPUTED_VALUE"""),"It’s a terrible thing to waste.")</f>
        <v>It’s a terrible thing to waste.</v>
      </c>
      <c r="C448" s="13" t="str">
        <f>IFERROR(__xludf.DUMMYFUNCTION("""COMPUTED_VALUE"""),"""cter"":{""label"":""My Mind"",""extra"":""It’s a terrible thing to waste."",""sets"":""Basic Set, Party Set""},")</f>
        <v>"cter":{"label":"My Mind","extra":"It’s a terrible thing to waste.","sets":"Basic Set, Party Set"},</v>
      </c>
    </row>
    <row r="449">
      <c r="A449" s="8" t="str">
        <f>IFERROR(__xludf.DUMMYFUNCTION("""COMPUTED_VALUE"""),"My Neighborhood")</f>
        <v>My Neighborhood</v>
      </c>
      <c r="B449" s="8" t="str">
        <f>IFERROR(__xludf.DUMMYFUNCTION("""COMPUTED_VALUE"""),"“Please, won't you be my neighbor?” —Fred Rogers")</f>
        <v>“Please, won't you be my neighbor?” —Fred Rogers</v>
      </c>
      <c r="C449" s="13" t="str">
        <f>IFERROR(__xludf.DUMMYFUNCTION("""COMPUTED_VALUE"""),"""tvtg"":{""label"":""My Neighborhood"",""extra"":""“Please, won't you be my neighbor?” —Fred Rogers"",""sets"":""Expansion Set 1, Party Set""},")</f>
        <v>"tvtg":{"label":"My Neighborhood","extra":"“Please, won't you be my neighbor?” —Fred Rogers","sets":"Expansion Set 1, Party Set"},</v>
      </c>
    </row>
    <row r="450">
      <c r="A450" s="8" t="str">
        <f>IFERROR(__xludf.DUMMYFUNCTION("""COMPUTED_VALUE"""),"My Past")</f>
        <v>My Past</v>
      </c>
      <c r="B450" s="8" t="str">
        <f>IFERROR(__xludf.DUMMYFUNCTION("""COMPUTED_VALUE"""),"What’s past is past… unless you’re a politician…")</f>
        <v>What’s past is past… unless you’re a politician…</v>
      </c>
      <c r="C450" s="13" t="str">
        <f>IFERROR(__xludf.DUMMYFUNCTION("""COMPUTED_VALUE"""),"""whew"":{""label"":""My Past"",""extra"":""What’s past is past… unless you’re a politician…"",""sets"":""Basic Set, Party Set""},")</f>
        <v>"whew":{"label":"My Past","extra":"What’s past is past… unless you’re a politician…","sets":"Basic Set, Party Set"},</v>
      </c>
    </row>
    <row r="451">
      <c r="A451" s="8" t="str">
        <f>IFERROR(__xludf.DUMMYFUNCTION("""COMPUTED_VALUE"""),"My Personality")</f>
        <v>My Personality</v>
      </c>
      <c r="B451" s="8" t="str">
        <f>IFERROR(__xludf.DUMMYFUNCTION("""COMPUTED_VALUE"""),"“I’m good enough, smart enough and, gosh darn it, people like me.” —Stewart Smalley played by Al Franken")</f>
        <v>“I’m good enough, smart enough and, gosh darn it, people like me.” —Stewart Smalley played by Al Franken</v>
      </c>
      <c r="C451" s="13" t="str">
        <f>IFERROR(__xludf.DUMMYFUNCTION("""COMPUTED_VALUE"""),"""icgi"":{""label"":""My Personality"",""extra"":""“I’m good enough, smart enough and, gosh darn it, people like me.” —Stewart Smalley played by Al Franken"",""sets"":""Expansion Set 1, Party Set""},")</f>
        <v>"icgi":{"label":"My Personality","extra":"“I’m good enough, smart enough and, gosh darn it, people like me.” —Stewart Smalley played by Al Franken","sets":"Expansion Set 1, Party Set"},</v>
      </c>
    </row>
    <row r="452">
      <c r="A452" s="8" t="str">
        <f>IFERROR(__xludf.DUMMYFUNCTION("""COMPUTED_VALUE"""),"My Refrigerator")</f>
        <v>My Refrigerator</v>
      </c>
      <c r="B452" s="8" t="str">
        <f>IFERROR(__xludf.DUMMYFUNCTION("""COMPUTED_VALUE"""),"It’s a science experiment!")</f>
        <v>It’s a science experiment!</v>
      </c>
      <c r="C452" s="13" t="str">
        <f>IFERROR(__xludf.DUMMYFUNCTION("""COMPUTED_VALUE"""),"""fjfh"":{""label"":""My Refrigerator"",""extra"":""It’s a science experiment!"",""sets"":""Expansion Set 1, Party Set""},")</f>
        <v>"fjfh":{"label":"My Refrigerator","extra":"It’s a science experiment!","sets":"Expansion Set 1, Party Set"},</v>
      </c>
    </row>
    <row r="453">
      <c r="A453" s="8" t="str">
        <f>IFERROR(__xludf.DUMMYFUNCTION("""COMPUTED_VALUE"""),"Napoleon Bonaparte")</f>
        <v>Napoleon Bonaparte</v>
      </c>
      <c r="B453" s="8" t="str">
        <f>IFERROR(__xludf.DUMMYFUNCTION("""COMPUTED_VALUE"""),"1769-1821, Emperor of France. Met his Waterloo at the Battle of Waterloo. The name should have tipped him off…")</f>
        <v>1769-1821, Emperor of France. Met his Waterloo at the Battle of Waterloo. The name should have tipped him off…</v>
      </c>
      <c r="C453" s="13" t="str">
        <f>IFERROR(__xludf.DUMMYFUNCTION("""COMPUTED_VALUE"""),"""lczi"":{""label"":""Napoleon Bonaparte"",""extra"":""1769-1821, Emperor of France. Met his Waterloo at the Battle of Waterloo. The name should have tipped him off…"",""sets"":""Basic Set, Party Set""},")</f>
        <v>"lczi":{"label":"Napoleon Bonaparte","extra":"1769-1821, Emperor of France. Met his Waterloo at the Battle of Waterloo. The name should have tipped him off…","sets":"Basic Set, Party Set"},</v>
      </c>
    </row>
    <row r="454">
      <c r="A454" s="8" t="str">
        <f>IFERROR(__xludf.DUMMYFUNCTION("""COMPUTED_VALUE"""),"NASCAR")</f>
        <v>NASCAR</v>
      </c>
      <c r="B454" s="8" t="str">
        <f>IFERROR(__xludf.DUMMYFUNCTION("""COMPUTED_VALUE"""),"Stock car racing began after World War II, breaking records for speed and for the number of advertisements on a single jacket.")</f>
        <v>Stock car racing began after World War II, breaking records for speed and for the number of advertisements on a single jacket.</v>
      </c>
      <c r="C454" s="13" t="str">
        <f>IFERROR(__xludf.DUMMYFUNCTION("""COMPUTED_VALUE"""),"""invp"":{""label"":""NASCAR"",""extra"":""Stock car racing began after World War II, breaking records for speed and for the number of advertisements on a single jacket."",""sets"":""Expansion Set 1, Party Set""},")</f>
        <v>"invp":{"label":"NASCAR","extra":"Stock car racing began after World War II, breaking records for speed and for the number of advertisements on a single jacket.","sets":"Expansion Set 1, Party Set"},</v>
      </c>
    </row>
    <row r="455">
      <c r="A455" s="8" t="str">
        <f>IFERROR(__xludf.DUMMYFUNCTION("""COMPUTED_VALUE"""),"Neil Simon")</f>
        <v>Neil Simon</v>
      </c>
      <c r="B455" s="8" t="str">
        <f>IFERROR(__xludf.DUMMYFUNCTION("""COMPUTED_VALUE"""),"1927-, American producer, playwright, and screenwriter of The Odd Couple, Biloxi Blues, The Sunshine Boys, California Suite, and many more.")</f>
        <v>1927-, American producer, playwright, and screenwriter of The Odd Couple, Biloxi Blues, The Sunshine Boys, California Suite, and many more.</v>
      </c>
      <c r="C455" s="13" t="str">
        <f>IFERROR(__xludf.DUMMYFUNCTION("""COMPUTED_VALUE"""),"""wtwb"":{""label"":""Neil Simon"",""extra"":""1927-, American producer, playwright, and screenwriter of The Odd Couple, Biloxi Blues, The Sunshine Boys, California Suite, and many more."",""sets"":""Expansion Set 2, Party Set""},")</f>
        <v>"wtwb":{"label":"Neil Simon","extra":"1927-, American producer, playwright, and screenwriter of The Odd Couple, Biloxi Blues, The Sunshine Boys, California Suite, and many more.","sets":"Expansion Set 2, Party Set"},</v>
      </c>
    </row>
    <row r="456">
      <c r="A456" s="8" t="str">
        <f>IFERROR(__xludf.DUMMYFUNCTION("""COMPUTED_VALUE"""),"New Orleans")</f>
        <v>New Orleans</v>
      </c>
      <c r="B456" s="8" t="str">
        <f>IFERROR(__xludf.DUMMYFUNCTION("""COMPUTED_VALUE"""),"The Big Easy.")</f>
        <v>The Big Easy.</v>
      </c>
      <c r="C456" s="13" t="str">
        <f>IFERROR(__xludf.DUMMYFUNCTION("""COMPUTED_VALUE"""),"""ljco"":{""label"":""New Orleans"",""extra"":""The Big Easy."",""sets"":""Basic Set, Party Set""},")</f>
        <v>"ljco":{"label":"New Orleans","extra":"The Big Easy.","sets":"Basic Set, Party Set"},</v>
      </c>
    </row>
    <row r="457">
      <c r="A457" s="8" t="str">
        <f>IFERROR(__xludf.DUMMYFUNCTION("""COMPUTED_VALUE"""),"New Shoes")</f>
        <v>New Shoes</v>
      </c>
      <c r="B457" s="8" t="str">
        <f>IFERROR(__xludf.DUMMYFUNCTION("""COMPUTED_VALUE"""),"Make you feel like dancing…")</f>
        <v>Make you feel like dancing…</v>
      </c>
      <c r="C457" s="13" t="str">
        <f>IFERROR(__xludf.DUMMYFUNCTION("""COMPUTED_VALUE"""),"""dmrt"":{""label"":""New Shoes"",""extra"":""Make you feel like dancing…"",""sets"":""Expansion Set 1, Party Set""},")</f>
        <v>"dmrt":{"label":"New Shoes","extra":"Make you feel like dancing…","sets":"Expansion Set 1, Party Set"},</v>
      </c>
    </row>
    <row r="458">
      <c r="A458" s="8" t="str">
        <f>IFERROR(__xludf.DUMMYFUNCTION("""COMPUTED_VALUE"""),"New York City")</f>
        <v>New York City</v>
      </c>
      <c r="B458" s="8" t="str">
        <f>IFERROR(__xludf.DUMMYFUNCTION("""COMPUTED_VALUE"""),"America’s most populous city. So good, they named it twice.")</f>
        <v>America’s most populous city. So good, they named it twice.</v>
      </c>
      <c r="C458" s="13" t="str">
        <f>IFERROR(__xludf.DUMMYFUNCTION("""COMPUTED_VALUE"""),"""znke"":{""label"":""New York City"",""extra"":""America’s most populous city. So good, they named it twice."",""sets"":""Basic Set, Party Set""},")</f>
        <v>"znke":{"label":"New York City","extra":"America’s most populous city. So good, they named it twice.","sets":"Basic Set, Party Set"},</v>
      </c>
    </row>
    <row r="459">
      <c r="A459" s="8" t="str">
        <f>IFERROR(__xludf.DUMMYFUNCTION("""COMPUTED_VALUE"""),"Niagara Falls")</f>
        <v>Niagara Falls</v>
      </c>
      <c r="B459" s="8" t="str">
        <f>IFERROR(__xludf.DUMMYFUNCTION("""COMPUTED_VALUE"""),"Niagara Falls was formed about 12,000 years ago, when glaciers retreated north, and honeymooners approached from the south.")</f>
        <v>Niagara Falls was formed about 12,000 years ago, when glaciers retreated north, and honeymooners approached from the south.</v>
      </c>
      <c r="C459" s="13" t="str">
        <f>IFERROR(__xludf.DUMMYFUNCTION("""COMPUTED_VALUE"""),"""ihpq"":{""label"":""Niagara Falls"",""extra"":""Niagara Falls was formed about 12,000 years ago, when glaciers retreated north, and honeymooners approached from the south."",""sets"":""Expansion Set 1, Party Set""},")</f>
        <v>"ihpq":{"label":"Niagara Falls","extra":"Niagara Falls was formed about 12,000 years ago, when glaciers retreated north, and honeymooners approached from the south.","sets":"Expansion Set 1, Party Set"},</v>
      </c>
    </row>
    <row r="460">
      <c r="A460" s="8" t="str">
        <f>IFERROR(__xludf.DUMMYFUNCTION("""COMPUTED_VALUE"""),"Nicholas Cage")</f>
        <v>Nicholas Cage</v>
      </c>
      <c r="B460" s="8" t="str">
        <f>IFERROR(__xludf.DUMMYFUNCTION("""COMPUTED_VALUE"""),"1964-, American actor known for his edgy characters in Leaving Los Vegas, Raising Arizona, and Moonstruck.")</f>
        <v>1964-, American actor known for his edgy characters in Leaving Los Vegas, Raising Arizona, and Moonstruck.</v>
      </c>
      <c r="C460" s="13" t="str">
        <f>IFERROR(__xludf.DUMMYFUNCTION("""COMPUTED_VALUE"""),"""ikko"":{""label"":""Nicholas Cage"",""extra"":""1964-, American actor known for his edgy characters in Leaving Los Vegas, Raising Arizona, and Moonstruck."",""sets"":""Expansion Set 2, Party Set""},")</f>
        <v>"ikko":{"label":"Nicholas Cage","extra":"1964-, American actor known for his edgy characters in Leaving Los Vegas, Raising Arizona, and Moonstruck.","sets":"Expansion Set 2, Party Set"},</v>
      </c>
    </row>
    <row r="461">
      <c r="A461" s="8" t="str">
        <f>IFERROR(__xludf.DUMMYFUNCTION("""COMPUTED_VALUE"""),"Ninjas")</f>
        <v>Ninjas</v>
      </c>
      <c r="B461" s="8" t="str">
        <f>IFERROR(__xludf.DUMMYFUNCTION("""COMPUTED_VALUE"""),"Teenage mutant turtles need not apply.")</f>
        <v>Teenage mutant turtles need not apply.</v>
      </c>
      <c r="C461" s="13" t="str">
        <f>IFERROR(__xludf.DUMMYFUNCTION("""COMPUTED_VALUE"""),"""ijrb"":{""label"":""Ninjas"",""extra"":""Teenage mutant turtles need not apply."",""sets"":""Expansion Set 1, Party Set""},")</f>
        <v>"ijrb":{"label":"Ninjas","extra":"Teenage mutant turtles need not apply.","sets":"Expansion Set 1, Party Set"},</v>
      </c>
    </row>
    <row r="462">
      <c r="A462" s="8" t="str">
        <f>IFERROR(__xludf.DUMMYFUNCTION("""COMPUTED_VALUE"""),"Nobel Peace Prize")</f>
        <v>Nobel Peace Prize</v>
      </c>
      <c r="B462" s="8" t="str">
        <f>IFERROR(__xludf.DUMMYFUNCTION("""COMPUTED_VALUE"""),"Established by Alfred Nobel. Swedish industrialist and inventor of dynamite. Led to an explosion of peace efforts.")</f>
        <v>Established by Alfred Nobel. Swedish industrialist and inventor of dynamite. Led to an explosion of peace efforts.</v>
      </c>
      <c r="C462" s="13" t="str">
        <f>IFERROR(__xludf.DUMMYFUNCTION("""COMPUTED_VALUE"""),"""vebn"":{""label"":""Nobel Peace Prize"",""extra"":""Established by Alfred Nobel. Swedish industrialist and inventor of dynamite. Led to an explosion of peace efforts."",""sets"":""Expansion Set 1, Party Set""},")</f>
        <v>"vebn":{"label":"Nobel Peace Prize","extra":"Established by Alfred Nobel. Swedish industrialist and inventor of dynamite. Led to an explosion of peace efforts.","sets":"Expansion Set 1, Party Set"},</v>
      </c>
    </row>
    <row r="463">
      <c r="A463" s="8" t="str">
        <f>IFERROR(__xludf.DUMMYFUNCTION("""COMPUTED_VALUE"""),"Noisy Neighbors")</f>
        <v>Noisy Neighbors</v>
      </c>
      <c r="B463" s="8" t="str">
        <f>IFERROR(__xludf.DUMMYFUNCTION("""COMPUTED_VALUE"""),"WHAT? I CAN'T HEAR YOU!")</f>
        <v>WHAT? I CAN'T HEAR YOU!</v>
      </c>
      <c r="C463" s="13" t="str">
        <f>IFERROR(__xludf.DUMMYFUNCTION("""COMPUTED_VALUE"""),"""exct"":{""label"":""Noisy Neighbors"",""extra"":""WHAT? I CAN'T HEAR YOU!"",""sets"":""Expansion Set 2, Party Set""},")</f>
        <v>"exct":{"label":"Noisy Neighbors","extra":"WHAT? I CAN'T HEAR YOU!","sets":"Expansion Set 2, Party Set"},</v>
      </c>
    </row>
    <row r="464">
      <c r="A464" s="8" t="str">
        <f>IFERROR(__xludf.DUMMYFUNCTION("""COMPUTED_VALUE"""),"Normal Rockwell")</f>
        <v>Normal Rockwell</v>
      </c>
      <c r="B464" s="8" t="str">
        <f>IFERROR(__xludf.DUMMYFUNCTION("""COMPUTED_VALUE"""),"1894-1978, American painter, illustrator and all-around interpreter of small town American life.")</f>
        <v>1894-1978, American painter, illustrator and all-around interpreter of small town American life.</v>
      </c>
      <c r="C464" s="13" t="str">
        <f>IFERROR(__xludf.DUMMYFUNCTION("""COMPUTED_VALUE"""),"""cxph"":{""label"":""Normal Rockwell"",""extra"":""1894-1978, American painter, illustrator and all-around interpreter of small town American life."",""sets"":""Basic Set, Party Set""},")</f>
        <v>"cxph":{"label":"Normal Rockwell","extra":"1894-1978, American painter, illustrator and all-around interpreter of small town American life.","sets":"Basic Set, Party Set"},</v>
      </c>
    </row>
    <row r="465">
      <c r="A465" s="8" t="str">
        <f>IFERROR(__xludf.DUMMYFUNCTION("""COMPUTED_VALUE"""),"Nuclear Power Plants")</f>
        <v>Nuclear Power Plants</v>
      </c>
      <c r="B465" s="8" t="str">
        <f>IFERROR(__xludf.DUMMYFUNCTION("""COMPUTED_VALUE"""),"“You’ve turned a potential Chernobyl into a mere Three Mile Island.” —Montgomery Burns, “The Simpsons”")</f>
        <v>“You’ve turned a potential Chernobyl into a mere Three Mile Island.” —Montgomery Burns, “The Simpsons”</v>
      </c>
      <c r="C465" s="13" t="str">
        <f>IFERROR(__xludf.DUMMYFUNCTION("""COMPUTED_VALUE"""),"""zjxb"":{""label"":""Nuclear Power Plants"",""extra"":""“You’ve turned a potential Chernobyl into a mere Three Mile Island.” —Montgomery Burns, “The Simpsons”"",""sets"":""Expansion Set 1, Party Set""},")</f>
        <v>"zjxb":{"label":"Nuclear Power Plants","extra":"“You’ve turned a potential Chernobyl into a mere Three Mile Island.” —Montgomery Burns, “The Simpsons”","sets":"Expansion Set 1, Party Set"},</v>
      </c>
    </row>
    <row r="466">
      <c r="A466" s="8" t="str">
        <f>IFERROR(__xludf.DUMMYFUNCTION("""COMPUTED_VALUE"""),"NYPD")</f>
        <v>NYPD</v>
      </c>
      <c r="B466" s="8" t="str">
        <f>IFERROR(__xludf.DUMMYFUNCTION("""COMPUTED_VALUE"""),"The New York Police Department. They’re so good, they have their own TV show.")</f>
        <v>The New York Police Department. They’re so good, they have their own TV show.</v>
      </c>
      <c r="C466" s="13" t="str">
        <f>IFERROR(__xludf.DUMMYFUNCTION("""COMPUTED_VALUE"""),"""poza"":{""label"":""NYPD"",""extra"":""The New York Police Department. They’re so good, they have their own TV show."",""sets"":""Expansion Set 1, Party Set""},")</f>
        <v>"poza":{"label":"NYPD","extra":"The New York Police Department. They’re so good, they have their own TV show.","sets":"Expansion Set 1, Party Set"},</v>
      </c>
    </row>
    <row r="467">
      <c r="A467" s="8" t="str">
        <f>IFERROR(__xludf.DUMMYFUNCTION("""COMPUTED_VALUE"""),"Oil Spills")</f>
        <v>Oil Spills</v>
      </c>
      <c r="B467" s="8" t="str">
        <f>IFERROR(__xludf.DUMMYFUNCTION("""COMPUTED_VALUE"""),"The American oil tanker, Exxon Valdez, went aground in Prince William Sound, Alaska, Mar. 24, 1989. Slick Move.")</f>
        <v>The American oil tanker, Exxon Valdez, went aground in Prince William Sound, Alaska, Mar. 24, 1989. Slick Move.</v>
      </c>
      <c r="C467" s="13" t="str">
        <f>IFERROR(__xludf.DUMMYFUNCTION("""COMPUTED_VALUE"""),"""fufb"":{""label"":""Oil Spills"",""extra"":""The American oil tanker, Exxon Valdez, went aground in Prince William Sound, Alaska, Mar. 24, 1989. Slick Move."",""sets"":""Expansion Set 1, Party Set""},")</f>
        <v>"fufb":{"label":"Oil Spills","extra":"The American oil tanker, Exxon Valdez, went aground in Prince William Sound, Alaska, Mar. 24, 1989. Slick Move.","sets":"Expansion Set 1, Party Set"},</v>
      </c>
    </row>
    <row r="468">
      <c r="A468" s="8" t="str">
        <f>IFERROR(__xludf.DUMMYFUNCTION("""COMPUTED_VALUE"""),"Olive Oil")</f>
        <v>Olive Oil</v>
      </c>
      <c r="B468" s="8" t="str">
        <f>IFERROR(__xludf.DUMMYFUNCTION("""COMPUTED_VALUE"""),"Derived from fresh ripe fruit, which contain about 20% oil. Better than “olive” the other oils.")</f>
        <v>Derived from fresh ripe fruit, which contain about 20% oil. Better than “olive” the other oils.</v>
      </c>
      <c r="C468" s="13" t="str">
        <f>IFERROR(__xludf.DUMMYFUNCTION("""COMPUTED_VALUE"""),"""hrlm"":{""label"":""Olive Oil"",""extra"":""Derived from fresh ripe fruit, which contain about 20% oil. Better than “olive” the other oils."",""sets"":""Basic Set, Party Set""},")</f>
        <v>"hrlm":{"label":"Olive Oil","extra":"Derived from fresh ripe fruit, which contain about 20% oil. Better than “olive” the other oils.","sets":"Basic Set, Party Set"},</v>
      </c>
    </row>
    <row r="469">
      <c r="A469" s="8" t="str">
        <f>IFERROR(__xludf.DUMMYFUNCTION("""COMPUTED_VALUE"""),"On-Line Shopping")</f>
        <v>On-Line Shopping</v>
      </c>
      <c r="B469" s="8" t="str">
        <f>IFERROR(__xludf.DUMMYFUNCTION("""COMPUTED_VALUE"""),"Enter your credit card number now. This is a secure site… Sure it is…")</f>
        <v>Enter your credit card number now. This is a secure site… Sure it is…</v>
      </c>
      <c r="C469" s="13" t="str">
        <f>IFERROR(__xludf.DUMMYFUNCTION("""COMPUTED_VALUE"""),"""fwpq"":{""label"":""On-Line Shopping"",""extra"":""Enter your credit card number now. This is a secure site… Sure it is…"",""sets"":""Expansion Set 2, Party Set""},")</f>
        <v>"fwpq":{"label":"On-Line Shopping","extra":"Enter your credit card number now. This is a secure site… Sure it is…","sets":"Expansion Set 2, Party Set"},</v>
      </c>
    </row>
    <row r="470">
      <c r="A470" s="8" t="str">
        <f>IFERROR(__xludf.DUMMYFUNCTION("""COMPUTED_VALUE"""),"Oprah Winfrey")</f>
        <v>Oprah Winfrey</v>
      </c>
      <c r="B470" s="8" t="str">
        <f>IFERROR(__xludf.DUMMYFUNCTION("""COMPUTED_VALUE"""),"1954-, Television talk show host, actor and all-around American success story.")</f>
        <v>1954-, Television talk show host, actor and all-around American success story.</v>
      </c>
      <c r="C470" s="13" t="str">
        <f>IFERROR(__xludf.DUMMYFUNCTION("""COMPUTED_VALUE"""),"""etdt"":{""label"":""Oprah Winfrey"",""extra"":""1954-, Television talk show host, actor and all-around American success story."",""sets"":""Basic Set, Party Set""},")</f>
        <v>"etdt":{"label":"Oprah Winfrey","extra":"1954-, Television talk show host, actor and all-around American success story.","sets":"Basic Set, Party Set"},</v>
      </c>
    </row>
    <row r="471">
      <c r="A471" s="8" t="str">
        <f>IFERROR(__xludf.DUMMYFUNCTION("""COMPUTED_VALUE"""),"Oral Surgery")</f>
        <v>Oral Surgery</v>
      </c>
      <c r="B471" s="8" t="str">
        <f>IFERROR(__xludf.DUMMYFUNCTION("""COMPUTED_VALUE"""),"You said a mouthful.")</f>
        <v>You said a mouthful.</v>
      </c>
      <c r="C471" s="13" t="str">
        <f>IFERROR(__xludf.DUMMYFUNCTION("""COMPUTED_VALUE"""),"""xtzy"":{""label"":""Oral Surgery"",""extra"":""You said a mouthful."",""sets"":""Expansion Set 2, Party Set""},")</f>
        <v>"xtzy":{"label":"Oral Surgery","extra":"You said a mouthful.","sets":"Expansion Set 2, Party Set"},</v>
      </c>
    </row>
    <row r="472">
      <c r="A472" s="8" t="str">
        <f>IFERROR(__xludf.DUMMYFUNCTION("""COMPUTED_VALUE"""),"Oranges")</f>
        <v>Oranges</v>
      </c>
      <c r="B472" s="8" t="str">
        <f>IFERROR(__xludf.DUMMYFUNCTION("""COMPUTED_VALUE"""),"Face it… nothing rhymes with orange.")</f>
        <v>Face it… nothing rhymes with orange.</v>
      </c>
      <c r="C472" s="13" t="str">
        <f>IFERROR(__xludf.DUMMYFUNCTION("""COMPUTED_VALUE"""),"""bvga"":{""label"":""Oranges"",""extra"":""Face it… nothing rhymes with orange."",""sets"":""Basic Set, Party Set""},")</f>
        <v>"bvga":{"label":"Oranges","extra":"Face it… nothing rhymes with orange.","sets":"Basic Set, Party Set"},</v>
      </c>
    </row>
    <row r="473">
      <c r="A473" s="8" t="str">
        <f>IFERROR(__xludf.DUMMYFUNCTION("""COMPUTED_VALUE"""),"Oxygen")</f>
        <v>Oxygen</v>
      </c>
      <c r="B473" s="8" t="str">
        <f>IFERROR(__xludf.DUMMYFUNCTION("""COMPUTED_VALUE"""),"Oxygen was discovered in 1774. You'd think someone would have noticed it earlier.")</f>
        <v>Oxygen was discovered in 1774. You'd think someone would have noticed it earlier.</v>
      </c>
      <c r="C473" s="13" t="str">
        <f>IFERROR(__xludf.DUMMYFUNCTION("""COMPUTED_VALUE"""),"""bzdu"":{""label"":""Oxygen"",""extra"":""Oxygen was discovered in 1774. You'd think someone would have noticed it earlier."",""sets"":""Basic Set, Party Set""},")</f>
        <v>"bzdu":{"label":"Oxygen","extra":"Oxygen was discovered in 1774. You'd think someone would have noticed it earlier.","sets":"Basic Set, Party Set"},</v>
      </c>
    </row>
    <row r="474">
      <c r="A474" s="8" t="str">
        <f>IFERROR(__xludf.DUMMYFUNCTION("""COMPUTED_VALUE"""),"Pablo Picasso")</f>
        <v>Pablo Picasso</v>
      </c>
      <c r="B474" s="8" t="str">
        <f>IFERROR(__xludf.DUMMYFUNCTION("""COMPUTED_VALUE"""),"1881-1973, Spanish painter and sculptor, one of the greatest artists of the 20th century. If only he could draw eyes…")</f>
        <v>1881-1973, Spanish painter and sculptor, one of the greatest artists of the 20th century. If only he could draw eyes…</v>
      </c>
      <c r="C474" s="13" t="str">
        <f>IFERROR(__xludf.DUMMYFUNCTION("""COMPUTED_VALUE"""),"""duyl"":{""label"":""Pablo Picasso"",""extra"":""1881-1973, Spanish painter and sculptor, one of the greatest artists of the 20th century. If only he could draw eyes…"",""sets"":""Basic Set, Party Set""},")</f>
        <v>"duyl":{"label":"Pablo Picasso","extra":"1881-1973, Spanish painter and sculptor, one of the greatest artists of the 20th century. If only he could draw eyes…","sets":"Basic Set, Party Set"},</v>
      </c>
    </row>
    <row r="475">
      <c r="A475" s="8" t="str">
        <f>IFERROR(__xludf.DUMMYFUNCTION("""COMPUTED_VALUE"""),"Parenting")</f>
        <v>Parenting</v>
      </c>
      <c r="B475" s="8" t="str">
        <f>IFERROR(__xludf.DUMMYFUNCTION("""COMPUTED_VALUE"""),"The process of discovering you are becoming just like YOUR parents.")</f>
        <v>The process of discovering you are becoming just like YOUR parents.</v>
      </c>
      <c r="C475" s="13" t="str">
        <f>IFERROR(__xludf.DUMMYFUNCTION("""COMPUTED_VALUE"""),"""vgsm"":{""label"":""Parenting"",""extra"":""The process of discovering you are becoming just like YOUR parents."",""sets"":""Basic Set, Party Set""},")</f>
        <v>"vgsm":{"label":"Parenting","extra":"The process of discovering you are becoming just like YOUR parents.","sets":"Basic Set, Party Set"},</v>
      </c>
    </row>
    <row r="476">
      <c r="A476" s="8" t="str">
        <f>IFERROR(__xludf.DUMMYFUNCTION("""COMPUTED_VALUE"""),"Paris, France")</f>
        <v>Paris, France</v>
      </c>
      <c r="B476" s="8" t="str">
        <f>IFERROR(__xludf.DUMMYFUNCTION("""COMPUTED_VALUE"""),"The governmental, cultural and gastronomic capital of France. Or the world. Just ask the French.")</f>
        <v>The governmental, cultural and gastronomic capital of France. Or the world. Just ask the French.</v>
      </c>
      <c r="C476" s="13" t="str">
        <f>IFERROR(__xludf.DUMMYFUNCTION("""COMPUTED_VALUE"""),"""fute"":{""label"":""Paris, France"",""extra"":""The governmental, cultural and gastronomic capital of France. Or the world. Just ask the French."",""sets"":""Basic Set, Party Set""},")</f>
        <v>"fute":{"label":"Paris, France","extra":"The governmental, cultural and gastronomic capital of France. Or the world. Just ask the French.","sets":"Basic Set, Party Set"},</v>
      </c>
    </row>
    <row r="477">
      <c r="A477" s="8" t="str">
        <f>IFERROR(__xludf.DUMMYFUNCTION("""COMPUTED_VALUE"""),"Paying Bills")</f>
        <v>Paying Bills</v>
      </c>
      <c r="B477" s="8" t="str">
        <f>IFERROR(__xludf.DUMMYFUNCTION("""COMPUTED_VALUE"""),"Also known as “Debt Restructuring.”")</f>
        <v>Also known as “Debt Restructuring.”</v>
      </c>
      <c r="C477" s="13" t="str">
        <f>IFERROR(__xludf.DUMMYFUNCTION("""COMPUTED_VALUE"""),"""zxrb"":{""label"":""Paying Bills"",""extra"":""Also known as “Debt Restructuring.”"",""sets"":""Basic Set, Party Set""},")</f>
        <v>"zxrb":{"label":"Paying Bills","extra":"Also known as “Debt Restructuring.”","sets":"Basic Set, Party Set"},</v>
      </c>
    </row>
    <row r="478">
      <c r="A478" s="8" t="str">
        <f>IFERROR(__xludf.DUMMYFUNCTION("""COMPUTED_VALUE"""),"Paying Taxes")</f>
        <v>Paying Taxes</v>
      </c>
      <c r="B478" s="8" t="str">
        <f>IFERROR(__xludf.DUMMYFUNCTION("""COMPUTED_VALUE"""),"Death or Taxes? Do we have to choose right away?")</f>
        <v>Death or Taxes? Do we have to choose right away?</v>
      </c>
      <c r="C478" s="13" t="str">
        <f>IFERROR(__xludf.DUMMYFUNCTION("""COMPUTED_VALUE"""),"""qbbi"":{""label"":""Paying Taxes"",""extra"":""Death or Taxes? Do we have to choose right away?"",""sets"":""Basic Set, Party Set""},")</f>
        <v>"qbbi":{"label":"Paying Taxes","extra":"Death or Taxes? Do we have to choose right away?","sets":"Basic Set, Party Set"},</v>
      </c>
    </row>
    <row r="479">
      <c r="A479" s="8" t="str">
        <f>IFERROR(__xludf.DUMMYFUNCTION("""COMPUTED_VALUE"""),"Penguins")</f>
        <v>Penguins</v>
      </c>
      <c r="B479" s="8" t="str">
        <f>IFERROR(__xludf.DUMMYFUNCTION("""COMPUTED_VALUE"""),"Flightless, aquatic birds that reside in the Southern Hemisphere. All dressed up and no place to go.")</f>
        <v>Flightless, aquatic birds that reside in the Southern Hemisphere. All dressed up and no place to go.</v>
      </c>
      <c r="C479" s="13" t="str">
        <f>IFERROR(__xludf.DUMMYFUNCTION("""COMPUTED_VALUE"""),"""jumb"":{""label"":""Penguins"",""extra"":""Flightless, aquatic birds that reside in the Southern Hemisphere. All dressed up and no place to go."",""sets"":""Expansion Set 1, Party Set""},")</f>
        <v>"jumb":{"label":"Penguins","extra":"Flightless, aquatic birds that reside in the Southern Hemisphere. All dressed up and no place to go.","sets":"Expansion Set 1, Party Set"},</v>
      </c>
    </row>
    <row r="480">
      <c r="A480" s="8" t="str">
        <f>IFERROR(__xludf.DUMMYFUNCTION("""COMPUTED_VALUE"""),"Picking Your Nose")</f>
        <v>Picking Your Nose</v>
      </c>
      <c r="B480" s="8" t="str">
        <f>IFERROR(__xludf.DUMMYFUNCTION("""COMPUTED_VALUE"""),"Noses run in our family.")</f>
        <v>Noses run in our family.</v>
      </c>
      <c r="C480" s="13" t="str">
        <f>IFERROR(__xludf.DUMMYFUNCTION("""COMPUTED_VALUE"""),"""uuef"":{""label"":""Picking Your Nose"",""extra"":""Noses run in our family."",""sets"":""Basic Set, Party Set""},")</f>
        <v>"uuef":{"label":"Picking Your Nose","extra":"Noses run in our family.","sets":"Basic Set, Party Set"},</v>
      </c>
    </row>
    <row r="481">
      <c r="A481" s="8" t="str">
        <f>IFERROR(__xludf.DUMMYFUNCTION("""COMPUTED_VALUE"""),"Pigeons")</f>
        <v>Pigeons</v>
      </c>
      <c r="B481" s="8" t="str">
        <f>IFERROR(__xludf.DUMMYFUNCTION("""COMPUTED_VALUE"""),"Birds with small heads, short necks, stout bodies, and an incredible attraction to statues.")</f>
        <v>Birds with small heads, short necks, stout bodies, and an incredible attraction to statues.</v>
      </c>
      <c r="C481" s="13" t="str">
        <f>IFERROR(__xludf.DUMMYFUNCTION("""COMPUTED_VALUE"""),"""tjkw"":{""label"":""Pigeons"",""extra"":""Birds with small heads, short necks, stout bodies, and an incredible attraction to statues."",""sets"":""Basic Set, Party Set""},")</f>
        <v>"tjkw":{"label":"Pigeons","extra":"Birds with small heads, short necks, stout bodies, and an incredible attraction to statues.","sets":"Basic Set, Party Set"},</v>
      </c>
    </row>
    <row r="482">
      <c r="A482" s="8" t="str">
        <f>IFERROR(__xludf.DUMMYFUNCTION("""COMPUTED_VALUE"""),"Pigs")</f>
        <v>Pigs</v>
      </c>
      <c r="B482" s="8" t="str">
        <f>IFERROR(__xludf.DUMMYFUNCTION("""COMPUTED_VALUE"""),"Domesticated mammal of the swine family. Thaaa… thaaa… that's all, folks!")</f>
        <v>Domesticated mammal of the swine family. Thaaa… thaaa… that's all, folks!</v>
      </c>
      <c r="C482" s="13" t="str">
        <f>IFERROR(__xludf.DUMMYFUNCTION("""COMPUTED_VALUE"""),"""niqc"":{""label"":""Pigs"",""extra"":""Domesticated mammal of the swine family. Thaaa… thaaa… that's all, folks!"",""sets"":""Basic Set, Party Set""},")</f>
        <v>"niqc":{"label":"Pigs","extra":"Domesticated mammal of the swine family. Thaaa… thaaa… that's all, folks!","sets":"Basic Set, Party Set"},</v>
      </c>
    </row>
    <row r="483">
      <c r="A483" s="8" t="str">
        <f>IFERROR(__xludf.DUMMYFUNCTION("""COMPUTED_VALUE"""),"Piranha")</f>
        <v>Piranha</v>
      </c>
      <c r="B483" s="8" t="str">
        <f>IFERROR(__xludf.DUMMYFUNCTION("""COMPUTED_VALUE"""),"Carnivorous fish found in rivers of South America. When you feel like a bite…")</f>
        <v>Carnivorous fish found in rivers of South America. When you feel like a bite…</v>
      </c>
      <c r="C483" s="13" t="str">
        <f>IFERROR(__xludf.DUMMYFUNCTION("""COMPUTED_VALUE"""),"""hbua"":{""label"":""Piranha"",""extra"":""Carnivorous fish found in rivers of South America. When you feel like a bite…"",""sets"":""Basic Set, Party Set""},")</f>
        <v>"hbua":{"label":"Piranha","extra":"Carnivorous fish found in rivers of South America. When you feel like a bite…","sets":"Basic Set, Party Set"},</v>
      </c>
    </row>
    <row r="484">
      <c r="A484" s="8" t="str">
        <f>IFERROR(__xludf.DUMMYFUNCTION("""COMPUTED_VALUE"""),"Pirates")</f>
        <v>Pirates</v>
      </c>
      <c r="B484" s="8" t="str">
        <f>IFERROR(__xludf.DUMMYFUNCTION("""COMPUTED_VALUE"""),"“Yo, ho, yo, ho, a pirate's life for me…” —Pirates of the Caribbean")</f>
        <v>“Yo, ho, yo, ho, a pirate's life for me…” —Pirates of the Caribbean</v>
      </c>
      <c r="C484" s="13" t="str">
        <f>IFERROR(__xludf.DUMMYFUNCTION("""COMPUTED_VALUE"""),"""rxu{"":{""label"":""Pirates"",""extra"":""“Yo, ho, yo, ho, a pirate's life for me…” —Pirates of the Caribbean"",""sets"":""Expansion Set 2, Party Set""},")</f>
        <v>"rxu{":{"label":"Pirates","extra":"“Yo, ho, yo, ho, a pirate's life for me…” —Pirates of the Caribbean","sets":"Expansion Set 2, Party Set"},</v>
      </c>
    </row>
    <row r="485">
      <c r="A485" s="8" t="str">
        <f>IFERROR(__xludf.DUMMYFUNCTION("""COMPUTED_VALUE"""),"Pit Bulls")</f>
        <v>Pit Bulls</v>
      </c>
      <c r="B485" s="8" t="str">
        <f>IFERROR(__xludf.DUMMYFUNCTION("""COMPUTED_VALUE"""),"Any of several crossbreeds of bulldogs with terriers. Or, several radio hosts we could mention.")</f>
        <v>Any of several crossbreeds of bulldogs with terriers. Or, several radio hosts we could mention.</v>
      </c>
      <c r="C485" s="13" t="str">
        <f>IFERROR(__xludf.DUMMYFUNCTION("""COMPUTED_VALUE"""),"""ytss"":{""label"":""Pit Bulls"",""extra"":""Any of several crossbreeds of bulldogs with terriers. Or, several radio hosts we could mention."",""sets"":""Basic Set, Party Set""},")</f>
        <v>"ytss":{"label":"Pit Bulls","extra":"Any of several crossbreeds of bulldogs with terriers. Or, several radio hosts we could mention.","sets":"Basic Set, Party Set"},</v>
      </c>
    </row>
    <row r="486">
      <c r="A486" s="8" t="str">
        <f>IFERROR(__xludf.DUMMYFUNCTION("""COMPUTED_VALUE"""),"Plane Crashes")</f>
        <v>Plane Crashes</v>
      </c>
      <c r="B486" s="8" t="str">
        <f>IFERROR(__xludf.DUMMYFUNCTION("""COMPUTED_VALUE"""),"Statistically safer than driving… unless you crash.")</f>
        <v>Statistically safer than driving… unless you crash.</v>
      </c>
      <c r="C486" s="13" t="str">
        <f>IFERROR(__xludf.DUMMYFUNCTION("""COMPUTED_VALUE"""),"""gsdk"":{""label"":""Plane Crashes"",""extra"":""Statistically safer than driving… unless you crash."",""sets"":""Expansion Set 2, Party Set""},")</f>
        <v>"gsdk":{"label":"Plane Crashes","extra":"Statistically safer than driving… unless you crash.","sets":"Expansion Set 2, Party Set"},</v>
      </c>
    </row>
    <row r="487">
      <c r="A487" s="8" t="str">
        <f>IFERROR(__xludf.DUMMYFUNCTION("""COMPUTED_VALUE"""),"Plastic")</f>
        <v>Plastic</v>
      </c>
      <c r="B487" s="8" t="str">
        <f>IFERROR(__xludf.DUMMYFUNCTION("""COMPUTED_VALUE"""),"Giant molecules of organic polymeric materials. Bags and bags of the stuff.")</f>
        <v>Giant molecules of organic polymeric materials. Bags and bags of the stuff.</v>
      </c>
      <c r="C487" s="13" t="str">
        <f>IFERROR(__xludf.DUMMYFUNCTION("""COMPUTED_VALUE"""),"""xekp"":{""label"":""Plastic"",""extra"":""Giant molecules of organic polymeric materials. Bags and bags of the stuff."",""sets"":""Basic Set, Party Set""},")</f>
        <v>"xekp":{"label":"Plastic","extra":"Giant molecules of organic polymeric materials. Bags and bags of the stuff.","sets":"Basic Set, Party Set"},</v>
      </c>
    </row>
    <row r="488">
      <c r="A488" s="8" t="str">
        <f>IFERROR(__xludf.DUMMYFUNCTION("""COMPUTED_VALUE"""),"Playing Chess")</f>
        <v>Playing Chess</v>
      </c>
      <c r="B488" s="8" t="str">
        <f>IFERROR(__xludf.DUMMYFUNCTION("""COMPUTED_VALUE"""),"Has tantalized many of the world’s greatest minds for almost 14 centuries. It just confuses the rest of us.")</f>
        <v>Has tantalized many of the world’s greatest minds for almost 14 centuries. It just confuses the rest of us.</v>
      </c>
      <c r="C488" s="13" t="str">
        <f>IFERROR(__xludf.DUMMYFUNCTION("""COMPUTED_VALUE"""),"""eful"":{""label"":""Playing Chess"",""extra"":""Has tantalized many of the world’s greatest minds for almost 14 centuries. It just confuses the rest of us."",""sets"":""Basic Set, Party Set""},")</f>
        <v>"eful":{"label":"Playing Chess","extra":"Has tantalized many of the world’s greatest minds for almost 14 centuries. It just confuses the rest of us.","sets":"Basic Set, Party Set"},</v>
      </c>
    </row>
    <row r="489">
      <c r="A489" s="8" t="str">
        <f>IFERROR(__xludf.DUMMYFUNCTION("""COMPUTED_VALUE"""),"Poison Ivy")</f>
        <v>Poison Ivy</v>
      </c>
      <c r="B489" s="8" t="str">
        <f>IFERROR(__xludf.DUMMYFUNCTION("""COMPUTED_VALUE"""),"Itching for a walk in the woods?")</f>
        <v>Itching for a walk in the woods?</v>
      </c>
      <c r="C489" s="13" t="str">
        <f>IFERROR(__xludf.DUMMYFUNCTION("""COMPUTED_VALUE"""),"""urss"":{""label"":""Poison Ivy"",""extra"":""Itching for a walk in the woods?"",""sets"":""Expansion Set 1, Party Set""},")</f>
        <v>"urss":{"label":"Poison Ivy","extra":"Itching for a walk in the woods?","sets":"Expansion Set 1, Party Set"},</v>
      </c>
    </row>
    <row r="490">
      <c r="A490" s="8" t="str">
        <f>IFERROR(__xludf.DUMMYFUNCTION("""COMPUTED_VALUE"""),"Pokemon")</f>
        <v>Pokemon</v>
      </c>
      <c r="B490" s="8" t="str">
        <f>IFERROR(__xludf.DUMMYFUNCTION("""COMPUTED_VALUE"""),"Cute cartoon monsters you gotta catch. What you do with them is up to you…")</f>
        <v>Cute cartoon monsters you gotta catch. What you do with them is up to you…</v>
      </c>
      <c r="C490" s="13" t="str">
        <f>IFERROR(__xludf.DUMMYFUNCTION("""COMPUTED_VALUE"""),"""egmf"":{""label"":""Pokemon"",""extra"":""Cute cartoon monsters you gotta catch. What you do with them is up to you…"",""sets"":""Expansion Set 1, Party Set""},")</f>
        <v>"egmf":{"label":"Pokemon","extra":"Cute cartoon monsters you gotta catch. What you do with them is up to you…","sets":"Expansion Set 1, Party Set"},</v>
      </c>
    </row>
    <row r="491">
      <c r="A491" s="8" t="str">
        <f>IFERROR(__xludf.DUMMYFUNCTION("""COMPUTED_VALUE"""),"Pond Scum")</f>
        <v>Pond Scum</v>
      </c>
      <c r="B491" s="8" t="str">
        <f>IFERROR(__xludf.DUMMYFUNCTION("""COMPUTED_VALUE"""),"Simple organisms that carry out photosynthesis… or spammers.")</f>
        <v>Simple organisms that carry out photosynthesis… or spammers.</v>
      </c>
      <c r="C491" s="13" t="str">
        <f>IFERROR(__xludf.DUMMYFUNCTION("""COMPUTED_VALUE"""),"""xefl"":{""label"":""Pond Scum"",""extra"":""Simple organisms that carry out photosynthesis… or spammers."",""sets"":""Basic Set, Party Set""},")</f>
        <v>"xefl":{"label":"Pond Scum","extra":"Simple organisms that carry out photosynthesis… or spammers.","sets":"Basic Set, Party Set"},</v>
      </c>
    </row>
    <row r="492">
      <c r="A492" s="8" t="str">
        <f>IFERROR(__xludf.DUMMYFUNCTION("""COMPUTED_VALUE"""),"Poodles")</f>
        <v>Poodles</v>
      </c>
      <c r="B492" s="8" t="str">
        <f>IFERROR(__xludf.DUMMYFUNCTION("""COMPUTED_VALUE"""),"The only breed that is better groomed than their owners.")</f>
        <v>The only breed that is better groomed than their owners.</v>
      </c>
      <c r="C492" s="13" t="str">
        <f>IFERROR(__xludf.DUMMYFUNCTION("""COMPUTED_VALUE"""),"""ilal"":{""label"":""Poodles"",""extra"":""The only breed that is better groomed than their owners."",""sets"":""Expansion Set 2, Party Set""},")</f>
        <v>"ilal":{"label":"Poodles","extra":"The only breed that is better groomed than their owners.","sets":"Expansion Set 2, Party Set"},</v>
      </c>
    </row>
    <row r="493">
      <c r="A493" s="8" t="str">
        <f>IFERROR(__xludf.DUMMYFUNCTION("""COMPUTED_VALUE"""),"Popcorn")</f>
        <v>Popcorn</v>
      </c>
      <c r="B493" s="8" t="str">
        <f>IFERROR(__xludf.DUMMYFUNCTION("""COMPUTED_VALUE"""),"Air poppers are for air heads… I say bring on the butter!")</f>
        <v>Air poppers are for air heads… I say bring on the butter!</v>
      </c>
      <c r="C493" s="13" t="str">
        <f>IFERROR(__xludf.DUMMYFUNCTION("""COMPUTED_VALUE"""),"""wded"":{""label"":""Popcorn"",""extra"":""Air poppers are for air heads… I say bring on the butter!"",""sets"":""Expansion Set 2, Party Set""},")</f>
        <v>"wded":{"label":"Popcorn","extra":"Air poppers are for air heads… I say bring on the butter!","sets":"Expansion Set 2, Party Set"},</v>
      </c>
    </row>
    <row r="494">
      <c r="A494" s="8" t="str">
        <f>IFERROR(__xludf.DUMMYFUNCTION("""COMPUTED_VALUE"""),"Porsche Boxster")</f>
        <v>Porsche Boxster</v>
      </c>
      <c r="B494" s="8" t="str">
        <f>IFERROR(__xludf.DUMMYFUNCTION("""COMPUTED_VALUE"""),"A two-seat, six cylander roadster…elegant design and superior drivability.")</f>
        <v>A two-seat, six cylander roadster…elegant design and superior drivability.</v>
      </c>
      <c r="C494" s="13" t="str">
        <f>IFERROR(__xludf.DUMMYFUNCTION("""COMPUTED_VALUE"""),"""nvdo"":{""label"":""Porsche Boxster"",""extra"":""A two-seat, six cylander roadster…elegant design and superior drivability."",""sets"":""Expansion Set 2, Party Set""},")</f>
        <v>"nvdo":{"label":"Porsche Boxster","extra":"A two-seat, six cylander roadster…elegant design and superior drivability.","sets":"Expansion Set 2, Party Set"},</v>
      </c>
    </row>
    <row r="495">
      <c r="A495" s="8" t="str">
        <f>IFERROR(__xludf.DUMMYFUNCTION("""COMPUTED_VALUE"""),"Postal Workers")</f>
        <v>Postal Workers</v>
      </c>
      <c r="B495" s="8" t="str">
        <f>IFERROR(__xludf.DUMMYFUNCTION("""COMPUTED_VALUE"""),"“Neither snow, nor rain, nor heat, nor gloom of night, stays these couriers from the swift completion of their appointed rounds.”")</f>
        <v>“Neither snow, nor rain, nor heat, nor gloom of night, stays these couriers from the swift completion of their appointed rounds.”</v>
      </c>
      <c r="C495" s="13" t="str">
        <f>IFERROR(__xludf.DUMMYFUNCTION("""COMPUTED_VALUE"""),"""bdjf"":{""label"":""Postal Workers"",""extra"":""“Neither snow, nor rain, nor heat, nor gloom of night, stays these couriers from the swift completion of their appointed rounds.”"",""sets"":""Expansion Set 1, Party Set""},")</f>
        <v>"bdjf":{"label":"Postal Workers","extra":"“Neither snow, nor rain, nor heat, nor gloom of night, stays these couriers from the swift completion of their appointed rounds.”","sets":"Expansion Set 1, Party Set"},</v>
      </c>
    </row>
    <row r="496">
      <c r="A496" s="8" t="str">
        <f>IFERROR(__xludf.DUMMYFUNCTION("""COMPUTED_VALUE"""),"Power Tools")</f>
        <v>Power Tools</v>
      </c>
      <c r="B496" s="8" t="str">
        <f>IFERROR(__xludf.DUMMYFUNCTION("""COMPUTED_VALUE"""),"“More power! More power! Argh! Argh! ” —Tim ‘the Tool Man’ Taylor, “Home Improvement”")</f>
        <v>“More power! More power! Argh! Argh! ” —Tim ‘the Tool Man’ Taylor, “Home Improvement”</v>
      </c>
      <c r="C496" s="13" t="str">
        <f>IFERROR(__xludf.DUMMYFUNCTION("""COMPUTED_VALUE"""),"""fecn"":{""label"":""Power Tools"",""extra"":""“More power! More power! Argh! Argh! ” —Tim ‘the Tool Man’ Taylor, “Home Improvement”"",""sets"":""Expansion Set 1, Party Set""},")</f>
        <v>"fecn":{"label":"Power Tools","extra":"“More power! More power! Argh! Argh! ” —Tim ‘the Tool Man’ Taylor, “Home Improvement”","sets":"Expansion Set 1, Party Set"},</v>
      </c>
    </row>
    <row r="497">
      <c r="A497" s="8" t="str">
        <f>IFERROR(__xludf.DUMMYFUNCTION("""COMPUTED_VALUE"""),"Prince Charming")</f>
        <v>Prince Charming</v>
      </c>
      <c r="B497" s="8" t="str">
        <f>IFERROR(__xludf.DUMMYFUNCTION("""COMPUTED_VALUE"""),"The perfect man… mythical, of course.")</f>
        <v>The perfect man… mythical, of course.</v>
      </c>
      <c r="C497" s="13" t="str">
        <f>IFERROR(__xludf.DUMMYFUNCTION("""COMPUTED_VALUE"""),"""fedf"":{""label"":""Prince Charming"",""extra"":""The perfect man… mythical, of course."",""sets"":""Expansion Set 2, Party Set""},")</f>
        <v>"fedf":{"label":"Prince Charming","extra":"The perfect man… mythical, of course.","sets":"Expansion Set 2, Party Set"},</v>
      </c>
    </row>
    <row r="498">
      <c r="A498" s="8" t="str">
        <f>IFERROR(__xludf.DUMMYFUNCTION("""COMPUTED_VALUE"""),"Princess Di")</f>
        <v>Princess Di</v>
      </c>
      <c r="B498" s="8" t="str">
        <f>IFERROR(__xludf.DUMMYFUNCTION("""COMPUTED_VALUE"""),"1962-97, beloved English Princess who died in an auto crash. “Good-bye England’s Rose…” —Elton John")</f>
        <v>1962-97, beloved English Princess who died in an auto crash. “Good-bye England’s Rose…” —Elton John</v>
      </c>
      <c r="C498" s="13" t="str">
        <f>IFERROR(__xludf.DUMMYFUNCTION("""COMPUTED_VALUE"""),"""qghu"":{""label"":""Princess Di"",""extra"":""1962-97, beloved English Princess who died in an auto crash. “Good-bye England’s Rose…” —Elton John"",""sets"":""Basic Set, Party Set""},")</f>
        <v>"qghu":{"label":"Princess Di","extra":"1962-97, beloved English Princess who died in an auto crash. “Good-bye England’s Rose…” —Elton John","sets":"Basic Set, Party Set"},</v>
      </c>
    </row>
    <row r="499">
      <c r="A499" s="8" t="str">
        <f>IFERROR(__xludf.DUMMYFUNCTION("""COMPUTED_VALUE"""),"Pro Wrestling")</f>
        <v>Pro Wrestling</v>
      </c>
      <c r="B499" s="8" t="str">
        <f>IFERROR(__xludf.DUMMYFUNCTION("""COMPUTED_VALUE"""),"They’re just faking it. But then, so are we.")</f>
        <v>They’re just faking it. But then, so are we.</v>
      </c>
      <c r="C499" s="13" t="str">
        <f>IFERROR(__xludf.DUMMYFUNCTION("""COMPUTED_VALUE"""),"""xqyg"":{""label"":""Pro Wrestling"",""extra"":""They’re just faking it. But then, so are we."",""sets"":""Basic Set, Party Set""},")</f>
        <v>"xqyg":{"label":"Pro Wrestling","extra":"They’re just faking it. But then, so are we.","sets":"Basic Set, Party Set"},</v>
      </c>
    </row>
    <row r="500">
      <c r="A500" s="8" t="str">
        <f>IFERROR(__xludf.DUMMYFUNCTION("""COMPUTED_VALUE"""),"Psychiatrists")</f>
        <v>Psychiatrists</v>
      </c>
      <c r="B500" s="8" t="str">
        <f>IFERROR(__xludf.DUMMYFUNCTION("""COMPUTED_VALUE"""),"“And how do you feel about that?”")</f>
        <v>“And how do you feel about that?”</v>
      </c>
      <c r="C500" s="13" t="str">
        <f>IFERROR(__xludf.DUMMYFUNCTION("""COMPUTED_VALUE"""),"""qoqr"":{""label"":""Psychiatrists"",""extra"":""“And how do you feel about that?”"",""sets"":""Expansion Set 2, Party Set""},")</f>
        <v>"qoqr":{"label":"Psychiatrists","extra":"“And how do you feel about that?”","sets":"Expansion Set 2, Party Set"},</v>
      </c>
    </row>
    <row r="501">
      <c r="A501" s="8" t="str">
        <f>IFERROR(__xludf.DUMMYFUNCTION("""COMPUTED_VALUE"""),"Psychics")</f>
        <v>Psychics</v>
      </c>
      <c r="B501" s="8" t="str">
        <f>IFERROR(__xludf.DUMMYFUNCTION("""COMPUTED_VALUE"""),"The Psychic Friends Network went bankrupt in 1997. Perhaps they should have seen it coming…")</f>
        <v>The Psychic Friends Network went bankrupt in 1997. Perhaps they should have seen it coming…</v>
      </c>
      <c r="C501" s="13" t="str">
        <f>IFERROR(__xludf.DUMMYFUNCTION("""COMPUTED_VALUE"""),"""ndgn"":{""label"":""Psychics"",""extra"":""The Psychic Friends Network went bankrupt in 1997. Perhaps they should have seen it coming…"",""sets"":""Expansion Set 1, Party Set""},")</f>
        <v>"ndgn":{"label":"Psychics","extra":"The Psychic Friends Network went bankrupt in 1997. Perhaps they should have seen it coming…","sets":"Expansion Set 1, Party Set"},</v>
      </c>
    </row>
    <row r="502">
      <c r="A502" s="8" t="str">
        <f>IFERROR(__xludf.DUMMYFUNCTION("""COMPUTED_VALUE"""),"Public Radio")</f>
        <v>Public Radio</v>
      </c>
      <c r="B502" s="8" t="str">
        <f>IFERROR(__xludf.DUMMYFUNCTION("""COMPUTED_VALUE"""),"“Good morning….. This morning…………we have Wolfgang… Amadeus Mozart… for your listening pleasure…”")</f>
        <v>“Good morning….. This morning…………we have Wolfgang… Amadeus Mozart… for your listening pleasure…”</v>
      </c>
      <c r="C502" s="13" t="str">
        <f>IFERROR(__xludf.DUMMYFUNCTION("""COMPUTED_VALUE"""),"""wlng"":{""label"":""Public Radio"",""extra"":""“Good morning….. This morning…………we have Wolfgang… Amadeus Mozart… for your listening pleasure…”"",""sets"":""Basic Set, Party Set""},")</f>
        <v>"wlng":{"label":"Public Radio","extra":"“Good morning….. This morning…………we have Wolfgang… Amadeus Mozart… for your listening pleasure…”","sets":"Basic Set, Party Set"},</v>
      </c>
    </row>
    <row r="503">
      <c r="A503" s="8" t="str">
        <f>IFERROR(__xludf.DUMMYFUNCTION("""COMPUTED_VALUE"""),"Puff Daddy")</f>
        <v>Puff Daddy</v>
      </c>
      <c r="B503" s="8" t="str">
        <f>IFERROR(__xludf.DUMMYFUNCTION("""COMPUTED_VALUE"""),"1971-, American rap artist. “I'll be Missing You” shot him to stardom; no pun intended.")</f>
        <v>1971-, American rap artist. “I'll be Missing You” shot him to stardom; no pun intended.</v>
      </c>
      <c r="C503" s="13" t="str">
        <f>IFERROR(__xludf.DUMMYFUNCTION("""COMPUTED_VALUE"""),"""nqsw"":{""label"":""Puff Daddy"",""extra"":""1971-, American rap artist. “I'll be Missing You” shot him to stardom; no pun intended."",""sets"":""Basic Set, Party Set""},")</f>
        <v>"nqsw":{"label":"Puff Daddy","extra":"1971-, American rap artist. “I'll be Missing You” shot him to stardom; no pun intended.","sets":"Basic Set, Party Set"},</v>
      </c>
    </row>
    <row r="504">
      <c r="A504" s="8" t="str">
        <f>IFERROR(__xludf.DUMMYFUNCTION("""COMPUTED_VALUE"""),"Pulling Weeds")</f>
        <v>Pulling Weeds</v>
      </c>
      <c r="B504" s="8" t="str">
        <f>IFERROR(__xludf.DUMMYFUNCTION("""COMPUTED_VALUE"""),"It’s either this or chemical warfare.")</f>
        <v>It’s either this or chemical warfare.</v>
      </c>
      <c r="C504" s="13" t="str">
        <f>IFERROR(__xludf.DUMMYFUNCTION("""COMPUTED_VALUE"""),"""uyim"":{""label"":""Pulling Weeds"",""extra"":""It’s either this or chemical warfare."",""sets"":""Expansion Set 1, Party Set""},")</f>
        <v>"uyim":{"label":"Pulling Weeds","extra":"It’s either this or chemical warfare.","sets":"Expansion Set 1, Party Set"},</v>
      </c>
    </row>
    <row r="505">
      <c r="A505" s="8" t="str">
        <f>IFERROR(__xludf.DUMMYFUNCTION("""COMPUTED_VALUE"""),"Pumping Iron")</f>
        <v>Pumping Iron</v>
      </c>
      <c r="B505" s="8" t="str">
        <f>IFERROR(__xludf.DUMMYFUNCTION("""COMPUTED_VALUE"""),"When a great weight needs to be lifted.")</f>
        <v>When a great weight needs to be lifted.</v>
      </c>
      <c r="C505" s="13" t="str">
        <f>IFERROR(__xludf.DUMMYFUNCTION("""COMPUTED_VALUE"""),"""envl"":{""label"":""Pumping Iron"",""extra"":""When a great weight needs to be lifted."",""sets"":""Basic Set, Party Set""},")</f>
        <v>"envl":{"label":"Pumping Iron","extra":"When a great weight needs to be lifted.","sets":"Basic Set, Party Set"},</v>
      </c>
    </row>
    <row r="506">
      <c r="A506" s="8" t="str">
        <f>IFERROR(__xludf.DUMMYFUNCTION("""COMPUTED_VALUE"""),"Pushups")</f>
        <v>Pushups</v>
      </c>
      <c r="B506" s="8" t="str">
        <f>IFERROR(__xludf.DUMMYFUNCTION("""COMPUTED_VALUE"""),"Exercises, a type of bra, or the ice cream treat.")</f>
        <v>Exercises, a type of bra, or the ice cream treat.</v>
      </c>
      <c r="C506" s="13" t="str">
        <f>IFERROR(__xludf.DUMMYFUNCTION("""COMPUTED_VALUE"""),"""sfns"":{""label"":""Pushups"",""extra"":""Exercises, a type of bra, or the ice cream treat."",""sets"":""Expansion Set 2, Party Set""},")</f>
        <v>"sfns":{"label":"Pushups","extra":"Exercises, a type of bra, or the ice cream treat.","sets":"Expansion Set 2, Party Set"},</v>
      </c>
    </row>
    <row r="507">
      <c r="A507" s="8" t="str">
        <f>IFERROR(__xludf.DUMMYFUNCTION("""COMPUTED_VALUE"""),"Pyramids")</f>
        <v>Pyramids</v>
      </c>
      <c r="B507" s="8" t="str">
        <f>IFERROR(__xludf.DUMMYFUNCTION("""COMPUTED_VALUE"""),"Built by ancient civilizations, found mainly in Egypt, Guatemala, Honduras, Mexico and Peru. Probably the result of some pyramid scheme.")</f>
        <v>Built by ancient civilizations, found mainly in Egypt, Guatemala, Honduras, Mexico and Peru. Probably the result of some pyramid scheme.</v>
      </c>
      <c r="C507" s="13" t="str">
        <f>IFERROR(__xludf.DUMMYFUNCTION("""COMPUTED_VALUE"""),"""qmhu"":{""label"":""Pyramids"",""extra"":""Built by ancient civilizations, found mainly in Egypt, Guatemala, Honduras, Mexico and Peru. Probably the result of some pyramid scheme."",""sets"":""Expansion Set 2, Party Set""},")</f>
        <v>"qmhu":{"label":"Pyramids","extra":"Built by ancient civilizations, found mainly in Egypt, Guatemala, Honduras, Mexico and Peru. Probably the result of some pyramid scheme.","sets":"Expansion Set 2, Party Set"},</v>
      </c>
    </row>
    <row r="508">
      <c r="A508" s="8" t="str">
        <f>IFERROR(__xludf.DUMMYFUNCTION("""COMPUTED_VALUE"""),"Quentin Terantino")</f>
        <v>Quentin Terantino</v>
      </c>
      <c r="B508" s="8" t="str">
        <f>IFERROR(__xludf.DUMMYFUNCTION("""COMPUTED_VALUE"""),"1963-, Groundbreaking American director and actor. Nice movies, but not nearly enough blood.")</f>
        <v>1963-, Groundbreaking American director and actor. Nice movies, but not nearly enough blood.</v>
      </c>
      <c r="C508" s="13" t="str">
        <f>IFERROR(__xludf.DUMMYFUNCTION("""COMPUTED_VALUE"""),"""djhb"":{""label"":""Quentin Terantino"",""extra"":""1963-, Groundbreaking American director and actor. Nice movies, but not nearly enough blood."",""sets"":""Basic Set, Party Set""},")</f>
        <v>"djhb":{"label":"Quentin Terantino","extra":"1963-, Groundbreaking American director and actor. Nice movies, but not nearly enough blood.","sets":"Basic Set, Party Set"},</v>
      </c>
    </row>
    <row r="509">
      <c r="A509" s="8" t="str">
        <f>IFERROR(__xludf.DUMMYFUNCTION("""COMPUTED_VALUE"""),"Quicksand")</f>
        <v>Quicksand</v>
      </c>
      <c r="B509" s="8" t="str">
        <f>IFERROR(__xludf.DUMMYFUNCTION("""COMPUTED_VALUE"""),"Just don’t let it get you down.")</f>
        <v>Just don’t let it get you down.</v>
      </c>
      <c r="C509" s="13" t="str">
        <f>IFERROR(__xludf.DUMMYFUNCTION("""COMPUTED_VALUE"""),"""bra{"":{""label"":""Quicksand"",""extra"":""Just don’t let it get you down."",""sets"":""Basic Set, Party Set""},")</f>
        <v>"bra{":{"label":"Quicksand","extra":"Just don’t let it get you down.","sets":"Basic Set, Party Set"},</v>
      </c>
    </row>
    <row r="510">
      <c r="A510" s="8" t="str">
        <f>IFERROR(__xludf.DUMMYFUNCTION("""COMPUTED_VALUE"""),"Ragweed")</f>
        <v>Ragweed</v>
      </c>
      <c r="B510" s="8" t="str">
        <f>IFERROR(__xludf.DUMMYFUNCTION("""COMPUTED_VALUE"""),"A weed of the genus Ambrosia. Nothing to sneeze at.")</f>
        <v>A weed of the genus Ambrosia. Nothing to sneeze at.</v>
      </c>
      <c r="C510" s="13" t="str">
        <f>IFERROR(__xludf.DUMMYFUNCTION("""COMPUTED_VALUE"""),"""fblb"":{""label"":""Ragweed"",""extra"":""A weed of the genus Ambrosia. Nothing to sneeze at."",""sets"":""Expansion Set 2, Party Set""},")</f>
        <v>"fblb":{"label":"Ragweed","extra":"A weed of the genus Ambrosia. Nothing to sneeze at.","sets":"Expansion Set 2, Party Set"},</v>
      </c>
    </row>
    <row r="511">
      <c r="A511" s="8" t="str">
        <f>IFERROR(__xludf.DUMMYFUNCTION("""COMPUTED_VALUE"""),"Rain")</f>
        <v>Rain</v>
      </c>
      <c r="B511" s="8" t="str">
        <f>IFERROR(__xludf.DUMMYFUNCTION("""COMPUTED_VALUE"""),"“When the rain comes, they run and hide their heads; they might as well be dead.” —The Beatles")</f>
        <v>“When the rain comes, they run and hide their heads; they might as well be dead.” —The Beatles</v>
      </c>
      <c r="C511" s="13" t="str">
        <f>IFERROR(__xludf.DUMMYFUNCTION("""COMPUTED_VALUE"""),"""yske"":{""label"":""Rain"",""extra"":""“When the rain comes, they run and hide their heads; they might as well be dead.” —The Beatles"",""sets"":""Basic Set, Party Set""},")</f>
        <v>"yske":{"label":"Rain","extra":"“When the rain comes, they run and hide their heads; they might as well be dead.” —The Beatles","sets":"Basic Set, Party Set"},</v>
      </c>
    </row>
    <row r="512">
      <c r="A512" s="8" t="str">
        <f>IFERROR(__xludf.DUMMYFUNCTION("""COMPUTED_VALUE"""),"Rainbows")</f>
        <v>Rainbows</v>
      </c>
      <c r="B512" s="8" t="str">
        <f>IFERROR(__xludf.DUMMYFUNCTION("""COMPUTED_VALUE"""),"“Someday we’ll find it / The Rainbow Connection / The lovers, the dreamers and me…” —Kermit the Frog")</f>
        <v>“Someday we’ll find it / The Rainbow Connection / The lovers, the dreamers and me…” —Kermit the Frog</v>
      </c>
      <c r="C512" s="13" t="str">
        <f>IFERROR(__xludf.DUMMYFUNCTION("""COMPUTED_VALUE"""),"""hvdc"":{""label"":""Rainbows"",""extra"":""“Someday we’ll find it / The Rainbow Connection / The lovers, the dreamers and me…” —Kermit the Frog"",""sets"":""Expansion Set 1, Party Set""},")</f>
        <v>"hvdc":{"label":"Rainbows","extra":"“Someday we’ll find it / The Rainbow Connection / The lovers, the dreamers and me…” —Kermit the Frog","sets":"Expansion Set 1, Party Set"},</v>
      </c>
    </row>
    <row r="513">
      <c r="A513" s="8" t="str">
        <f>IFERROR(__xludf.DUMMYFUNCTION("""COMPUTED_VALUE"""),"Rappers")</f>
        <v>Rappers</v>
      </c>
      <c r="B513" s="8" t="str">
        <f>IFERROR(__xludf.DUMMYFUNCTION("""COMPUTED_VALUE"""),"PAENTAL ADVISORY EXPLICIT CONTENT Hasn't seemed to hurt sales…")</f>
        <v>PAENTAL ADVISORY EXPLICIT CONTENT Hasn't seemed to hurt sales…</v>
      </c>
      <c r="C513" s="13" t="str">
        <f>IFERROR(__xludf.DUMMYFUNCTION("""COMPUTED_VALUE"""),"""elgh"":{""label"":""Rappers"",""extra"":""PAENTAL ADVISORY EXPLICIT CONTENT Hasn't seemed to hurt sales…"",""sets"":""Basic Set, Party Set""},")</f>
        <v>"elgh":{"label":"Rappers","extra":"PAENTAL ADVISORY EXPLICIT CONTENT Hasn't seemed to hurt sales…","sets":"Basic Set, Party Set"},</v>
      </c>
    </row>
    <row r="514">
      <c r="A514" s="8" t="str">
        <f>IFERROR(__xludf.DUMMYFUNCTION("""COMPUTED_VALUE"""),"Reading A Good Book")</f>
        <v>Reading A Good Book</v>
      </c>
      <c r="B514" s="8" t="str">
        <f>IFERROR(__xludf.DUMMYFUNCTION("""COMPUTED_VALUE"""),"So many books, so little time.")</f>
        <v>So many books, so little time.</v>
      </c>
      <c r="C514" s="13" t="str">
        <f>IFERROR(__xludf.DUMMYFUNCTION("""COMPUTED_VALUE"""),"""tjod"":{""label"":""Reading A Good Book"",""extra"":""So many books, so little time."",""sets"":""Expansion Set 1, Party Set""},")</f>
        <v>"tjod":{"label":"Reading A Good Book","extra":"So many books, so little time.","sets":"Expansion Set 1, Party Set"},</v>
      </c>
    </row>
    <row r="515">
      <c r="A515" s="8" t="str">
        <f>IFERROR(__xludf.DUMMYFUNCTION("""COMPUTED_VALUE"""),"Recreational Vehicles")</f>
        <v>Recreational Vehicles</v>
      </c>
      <c r="B515" s="8" t="str">
        <f>IFERROR(__xludf.DUMMYFUNCTION("""COMPUTED_VALUE"""),"If they’re trying to get away from it all, why are they taking it all with them?")</f>
        <v>If they’re trying to get away from it all, why are they taking it all with them?</v>
      </c>
      <c r="C515" s="13" t="str">
        <f>IFERROR(__xludf.DUMMYFUNCTION("""COMPUTED_VALUE"""),"""uatt"":{""label"":""Recreational Vehicles"",""extra"":""If they’re trying to get away from it all, why are they taking it all with them?"",""sets"":""Expansion Set 1, Party Set""},")</f>
        <v>"uatt":{"label":"Recreational Vehicles","extra":"If they’re trying to get away from it all, why are they taking it all with them?","sets":"Expansion Set 1, Party Set"},</v>
      </c>
    </row>
    <row r="516">
      <c r="A516" s="8" t="str">
        <f>IFERROR(__xludf.DUMMYFUNCTION("""COMPUTED_VALUE"""),"Recycling")</f>
        <v>Recycling</v>
      </c>
      <c r="B516" s="8" t="str">
        <f>IFERROR(__xludf.DUMMYFUNCTION("""COMPUTED_VALUE"""),"More than one million tons of aluminum are NOT recycled each year. Where do you throw your cans?")</f>
        <v>More than one million tons of aluminum are NOT recycled each year. Where do you throw your cans?</v>
      </c>
      <c r="C516" s="13" t="str">
        <f>IFERROR(__xludf.DUMMYFUNCTION("""COMPUTED_VALUE"""),"""evmw"":{""label"":""Recycling"",""extra"":""More than one million tons of aluminum are NOT recycled each year. Where do you throw your cans?"",""sets"":""Expansion Set 1, Party Set""},")</f>
        <v>"evmw":{"label":"Recycling","extra":"More than one million tons of aluminum are NOT recycled each year. Where do you throw your cans?","sets":"Expansion Set 1, Party Set"},</v>
      </c>
    </row>
    <row r="517">
      <c r="A517" s="8" t="str">
        <f>IFERROR(__xludf.DUMMYFUNCTION("""COMPUTED_VALUE"""),"Red Raspberries")</f>
        <v>Red Raspberries</v>
      </c>
      <c r="B517" s="8" t="str">
        <f>IFERROR(__xludf.DUMMYFUNCTION("""COMPUTED_VALUE"""),"Worth a few scratches.")</f>
        <v>Worth a few scratches.</v>
      </c>
      <c r="C517" s="13" t="str">
        <f>IFERROR(__xludf.DUMMYFUNCTION("""COMPUTED_VALUE"""),"""fnet"":{""label"":""Red Raspberries"",""extra"":""Worth a few scratches."",""sets"":""Expansion Set 2, Party Set""},")</f>
        <v>"fnet":{"label":"Red Raspberries","extra":"Worth a few scratches.","sets":"Expansion Set 2, Party Set"},</v>
      </c>
    </row>
    <row r="518">
      <c r="A518" s="8" t="str">
        <f>IFERROR(__xludf.DUMMYFUNCTION("""COMPUTED_VALUE"""),"Rednecks")</f>
        <v>Rednecks</v>
      </c>
      <c r="B518" s="8" t="str">
        <f>IFERROR(__xludf.DUMMYFUNCTION("""COMPUTED_VALUE"""),"“You might be a redneck if…” —Jeff Foxworthy")</f>
        <v>“You might be a redneck if…” —Jeff Foxworthy</v>
      </c>
      <c r="C518" s="13" t="str">
        <f>IFERROR(__xludf.DUMMYFUNCTION("""COMPUTED_VALUE"""),"""eiyk"":{""label"":""Rednecks"",""extra"":""“You might be a redneck if…” —Jeff Foxworthy"",""sets"":""Expansion Set 1, Party Set""},")</f>
        <v>"eiyk":{"label":"Rednecks","extra":"“You might be a redneck if…” —Jeff Foxworthy","sets":"Expansion Set 1, Party Set"},</v>
      </c>
    </row>
    <row r="519">
      <c r="A519" s="8" t="str">
        <f>IFERROR(__xludf.DUMMYFUNCTION("""COMPUTED_VALUE"""),"Redwood Forests")</f>
        <v>Redwood Forests</v>
      </c>
      <c r="B519" s="8" t="str">
        <f>IFERROR(__xludf.DUMMYFUNCTION("""COMPUTED_VALUE"""),"“From the Redwood Forests to the Gulf Stream Waters /  This land was made for you and me.” —Woody Guthrie")</f>
        <v>“From the Redwood Forests to the Gulf Stream Waters /  This land was made for you and me.” —Woody Guthrie</v>
      </c>
      <c r="C519" s="13" t="str">
        <f>IFERROR(__xludf.DUMMYFUNCTION("""COMPUTED_VALUE"""),"""kcnt"":{""label"":""Redwood Forests"",""extra"":""“From the Redwood Forests to the Gulf Stream Waters /  This land was made for you and me.” —Woody Guthrie"",""sets"":""Basic Set, Party Set""},")</f>
        <v>"kcnt":{"label":"Redwood Forests","extra":"“From the Redwood Forests to the Gulf Stream Waters /  This land was made for you and me.” —Woody Guthrie","sets":"Basic Set, Party Set"},</v>
      </c>
    </row>
    <row r="520">
      <c r="A520" s="8" t="str">
        <f>IFERROR(__xludf.DUMMYFUNCTION("""COMPUTED_VALUE"""),"Reggae Music")</f>
        <v>Reggae Music</v>
      </c>
      <c r="B520" s="8" t="str">
        <f>IFERROR(__xludf.DUMMYFUNCTION("""COMPUTED_VALUE"""),"This contemporary Caribbean music, originating in Jamaica, remains an influential style of popular music. Ya mon!")</f>
        <v>This contemporary Caribbean music, originating in Jamaica, remains an influential style of popular music. Ya mon!</v>
      </c>
      <c r="C520" s="13" t="str">
        <f>IFERROR(__xludf.DUMMYFUNCTION("""COMPUTED_VALUE"""),"""typc"":{""label"":""Reggae Music"",""extra"":""This contemporary Caribbean music, originating in Jamaica, remains an influential style of popular music. Ya mon!"",""sets"":""Expansion Set 1, Party Set""},")</f>
        <v>"typc":{"label":"Reggae Music","extra":"This contemporary Caribbean music, originating in Jamaica, remains an influential style of popular music. Ya mon!","sets":"Expansion Set 1, Party Set"},</v>
      </c>
    </row>
    <row r="521">
      <c r="A521" s="8" t="str">
        <f>IFERROR(__xludf.DUMMYFUNCTION("""COMPUTED_VALUE"""),"Regis Philbin")</f>
        <v>Regis Philbin</v>
      </c>
      <c r="B521" s="8" t="str">
        <f>IFERROR(__xludf.DUMMYFUNCTION("""COMPUTED_VALUE"""),"1934-, American talk and game show host. Who wants to be a millionaire? Regis, apparently.")</f>
        <v>1934-, American talk and game show host. Who wants to be a millionaire? Regis, apparently.</v>
      </c>
      <c r="C521" s="13" t="str">
        <f>IFERROR(__xludf.DUMMYFUNCTION("""COMPUTED_VALUE"""),"""bybc"":{""label"":""Regis Philbin"",""extra"":""1934-, American talk and game show host. Who wants to be a millionaire? Regis, apparently."",""sets"":""Expansion Set 1, Party Set""},")</f>
        <v>"bybc":{"label":"Regis Philbin","extra":"1934-, American talk and game show host. Who wants to be a millionaire? Regis, apparently.","sets":"Expansion Set 1, Party Set"},</v>
      </c>
    </row>
    <row r="522">
      <c r="A522" s="8" t="str">
        <f>IFERROR(__xludf.DUMMYFUNCTION("""COMPUTED_VALUE"""),"Remote Controls")</f>
        <v>Remote Controls</v>
      </c>
      <c r="B522" s="8" t="str">
        <f>IFERROR(__xludf.DUMMYFUNCTION("""COMPUTED_VALUE"""),"The world's handiest invention. That is, if you can find it.")</f>
        <v>The world's handiest invention. That is, if you can find it.</v>
      </c>
      <c r="C522" s="13" t="str">
        <f>IFERROR(__xludf.DUMMYFUNCTION("""COMPUTED_VALUE"""),"""hzda"":{""label"":""Remote Controls"",""extra"":""The world's handiest invention. That is, if you can find it."",""sets"":""Basic Set, Party Set""},")</f>
        <v>"hzda":{"label":"Remote Controls","extra":"The world's handiest invention. That is, if you can find it.","sets":"Basic Set, Party Set"},</v>
      </c>
    </row>
    <row r="523">
      <c r="A523" s="8" t="str">
        <f>IFERROR(__xludf.DUMMYFUNCTION("""COMPUTED_VALUE"""),"Republicans")</f>
        <v>Republicans</v>
      </c>
      <c r="B523" s="8" t="str">
        <f>IFERROR(__xludf.DUMMYFUNCTION("""COMPUTED_VALUE"""),"A U.S. political party symbolized by an elephant… and don't forget it!")</f>
        <v>A U.S. political party symbolized by an elephant… and don't forget it!</v>
      </c>
      <c r="C523" s="13" t="str">
        <f>IFERROR(__xludf.DUMMYFUNCTION("""COMPUTED_VALUE"""),"""qiri"":{""label"":""Republicans"",""extra"":""A U.S. political party symbolized by an elephant… and don't forget it!"",""sets"":""Basic Set, Party Set""},")</f>
        <v>"qiri":{"label":"Republicans","extra":"A U.S. political party symbolized by an elephant… and don't forget it!","sets":"Basic Set, Party Set"},</v>
      </c>
    </row>
    <row r="524">
      <c r="A524" s="8" t="str">
        <f>IFERROR(__xludf.DUMMYFUNCTION("""COMPUTED_VALUE"""),"Richard Nixon")</f>
        <v>Richard Nixon</v>
      </c>
      <c r="B524" s="8" t="str">
        <f>IFERROR(__xludf.DUMMYFUNCTION("""COMPUTED_VALUE"""),"1913-94, 37th President of the United States and the only president to have resigned from office. At least that's what the tapes say…")</f>
        <v>1913-94, 37th President of the United States and the only president to have resigned from office. At least that's what the tapes say…</v>
      </c>
      <c r="C524" s="13" t="str">
        <f>IFERROR(__xludf.DUMMYFUNCTION("""COMPUTED_VALUE"""),"""xwdh"":{""label"":""Richard Nixon"",""extra"":""1913-94, 37th President of the United States and the only president to have resigned from office. At least that's what the tapes say…"",""sets"":""Expansion Set 2, Party Set""},")</f>
        <v>"xwdh":{"label":"Richard Nixon","extra":"1913-94, 37th President of the United States and the only president to have resigned from office. At least that's what the tapes say…","sets":"Expansion Set 2, Party Set"},</v>
      </c>
    </row>
    <row r="525">
      <c r="A525" s="8" t="str">
        <f>IFERROR(__xludf.DUMMYFUNCTION("""COMPUTED_VALUE"""),"Road Kill")</f>
        <v>Road Kill</v>
      </c>
      <c r="B525" s="8" t="str">
        <f>IFERROR(__xludf.DUMMYFUNCTION("""COMPUTED_VALUE"""),"Mmmmmm. Them's good eatin’.")</f>
        <v>Mmmmmm. Them's good eatin’.</v>
      </c>
      <c r="C525" s="13" t="str">
        <f>IFERROR(__xludf.DUMMYFUNCTION("""COMPUTED_VALUE"""),"""qxmn"":{""label"":""Road Kill"",""extra"":""Mmmmmm. Them's good eatin’."",""sets"":""Expansion Set 1, Party Set""},")</f>
        <v>"qxmn":{"label":"Road Kill","extra":"Mmmmmm. Them's good eatin’.","sets":"Expansion Set 1, Party Set"},</v>
      </c>
    </row>
    <row r="526">
      <c r="A526" s="8" t="str">
        <f>IFERROR(__xludf.DUMMYFUNCTION("""COMPUTED_VALUE"""),"Road Trips")</f>
        <v>Road Trips</v>
      </c>
      <c r="B526" s="8" t="str">
        <f>IFERROR(__xludf.DUMMYFUNCTION("""COMPUTED_VALUE"""),"“Get Your Kicks on Route 66.” —Nelson Riddle")</f>
        <v>“Get Your Kicks on Route 66.” —Nelson Riddle</v>
      </c>
      <c r="C526" s="13" t="str">
        <f>IFERROR(__xludf.DUMMYFUNCTION("""COMPUTED_VALUE"""),"""ufnq"":{""label"":""Road Trips"",""extra"":""“Get Your Kicks on Route 66.” —Nelson Riddle"",""sets"":""Expansion Set 1, Party Set""},")</f>
        <v>"ufnq":{"label":"Road Trips","extra":"“Get Your Kicks on Route 66.” —Nelson Riddle","sets":"Expansion Set 1, Party Set"},</v>
      </c>
    </row>
    <row r="527">
      <c r="A527" s="8" t="str">
        <f>IFERROR(__xludf.DUMMYFUNCTION("""COMPUTED_VALUE"""),"Robert DeNiro")</f>
        <v>Robert DeNiro</v>
      </c>
      <c r="B527" s="8" t="str">
        <f>IFERROR(__xludf.DUMMYFUNCTION("""COMPUTED_VALUE"""),"1943-, Pre-eminent American actor who earned Academy Awards for “The Godfather II” and “Raging Bull.” “Are you looking at me?”")</f>
        <v>1943-, Pre-eminent American actor who earned Academy Awards for “The Godfather II” and “Raging Bull.” “Are you looking at me?”</v>
      </c>
      <c r="C527" s="13" t="str">
        <f>IFERROR(__xludf.DUMMYFUNCTION("""COMPUTED_VALUE"""),"""tcgw"":{""label"":""Robert DeNiro"",""extra"":""1943-, Pre-eminent American actor who earned Academy Awards for “The Godfather II” and “Raging Bull.” “Are you looking at me?”"",""sets"":""Expansion Set 2, Party Set""},")</f>
        <v>"tcgw":{"label":"Robert DeNiro","extra":"1943-, Pre-eminent American actor who earned Academy Awards for “The Godfather II” and “Raging Bull.” “Are you looking at me?”","sets":"Expansion Set 2, Party Set"},</v>
      </c>
    </row>
    <row r="528">
      <c r="A528" s="8" t="str">
        <f>IFERROR(__xludf.DUMMYFUNCTION("""COMPUTED_VALUE"""),"Robin Williams")</f>
        <v>Robin Williams</v>
      </c>
      <c r="B528" s="8" t="str">
        <f>IFERROR(__xludf.DUMMYFUNCTION("""COMPUTED_VALUE"""),"1952-, versatile American comedian and actor. The furriest man in show business.")</f>
        <v>1952-, versatile American comedian and actor. The furriest man in show business.</v>
      </c>
      <c r="C528" s="13" t="str">
        <f>IFERROR(__xludf.DUMMYFUNCTION("""COMPUTED_VALUE"""),"""turh"":{""label"":""Robin Williams"",""extra"":""1952-, versatile American comedian and actor. The furriest man in show business."",""sets"":""Basic Set, Party Set""},")</f>
        <v>"turh":{"label":"Robin Williams","extra":"1952-, versatile American comedian and actor. The furriest man in show business.","sets":"Basic Set, Party Set"},</v>
      </c>
    </row>
    <row r="529">
      <c r="A529" s="8" t="str">
        <f>IFERROR(__xludf.DUMMYFUNCTION("""COMPUTED_VALUE"""),"Rock And Roll")</f>
        <v>Rock And Roll</v>
      </c>
      <c r="B529" s="8" t="str">
        <f>IFERROR(__xludf.DUMMYFUNCTION("""COMPUTED_VALUE"""),"It’s here to stay!")</f>
        <v>It’s here to stay!</v>
      </c>
      <c r="C529" s="13" t="str">
        <f>IFERROR(__xludf.DUMMYFUNCTION("""COMPUTED_VALUE"""),"""jpaz"":{""label"":""Rock And Roll"",""extra"":""It’s here to stay!"",""sets"":""Expansion Set 2, Party Set""},")</f>
        <v>"jpaz":{"label":"Rock And Roll","extra":"It’s here to stay!","sets":"Expansion Set 2, Party Set"},</v>
      </c>
    </row>
    <row r="530">
      <c r="A530" s="8" t="str">
        <f>IFERROR(__xludf.DUMMYFUNCTION("""COMPUTED_VALUE"""),"Rock Concert")</f>
        <v>Rock Concert</v>
      </c>
      <c r="B530" s="8" t="str">
        <f>IFERROR(__xludf.DUMMYFUNCTION("""COMPUTED_VALUE"""),"If it's too loud, you’re too old.")</f>
        <v>If it's too loud, you’re too old.</v>
      </c>
      <c r="C530" s="13" t="str">
        <f>IFERROR(__xludf.DUMMYFUNCTION("""COMPUTED_VALUE"""),"""kiod"":{""label"":""Rock Concert"",""extra"":""If it's too loud, you’re too old."",""sets"":""Basic Set, Party Set""},")</f>
        <v>"kiod":{"label":"Rock Concert","extra":"If it's too loud, you’re too old.","sets":"Basic Set, Party Set"},</v>
      </c>
    </row>
    <row r="531">
      <c r="A531" s="8" t="str">
        <f>IFERROR(__xludf.DUMMYFUNCTION("""COMPUTED_VALUE"""),"Rocket Scientists")</f>
        <v>Rocket Scientists</v>
      </c>
      <c r="B531" s="8" t="str">
        <f>IFERROR(__xludf.DUMMYFUNCTION("""COMPUTED_VALUE"""),"Hey! They’re not rocket scie… oh… never mind.")</f>
        <v>Hey! They’re not rocket scie… oh… never mind.</v>
      </c>
      <c r="C531" s="13" t="str">
        <f>IFERROR(__xludf.DUMMYFUNCTION("""COMPUTED_VALUE"""),"""xnus"":{""label"":""Rocket Scientists"",""extra"":""Hey! They’re not rocket scie… oh… never mind."",""sets"":""Expansion Set 1, Party Set""},")</f>
        <v>"xnus":{"label":"Rocket Scientists","extra":"Hey! They’re not rocket scie… oh… never mind.","sets":"Expansion Set 1, Party Set"},</v>
      </c>
    </row>
    <row r="532">
      <c r="A532" s="8" t="str">
        <f>IFERROR(__xludf.DUMMYFUNCTION("""COMPUTED_VALUE"""),"Rocky Mountains")</f>
        <v>Rocky Mountains</v>
      </c>
      <c r="B532" s="8" t="str">
        <f>IFERROR(__xludf.DUMMYFUNCTION("""COMPUTED_VALUE"""),"These extend 2,000 miles from northeastern British Columbia to central New Mexico, and keep the Californians away from everyone else…")</f>
        <v>These extend 2,000 miles from northeastern British Columbia to central New Mexico, and keep the Californians away from everyone else…</v>
      </c>
      <c r="C532" s="13" t="str">
        <f>IFERROR(__xludf.DUMMYFUNCTION("""COMPUTED_VALUE"""),"""fqvs"":{""label"":""Rocky Mountains"",""extra"":""These extend 2,000 miles from northeastern British Columbia to central New Mexico, and keep the Californians away from everyone else…"",""sets"":""Expansion Set 1, Party Set""},")</f>
        <v>"fqvs":{"label":"Rocky Mountains","extra":"These extend 2,000 miles from northeastern British Columbia to central New Mexico, and keep the Californians away from everyone else…","sets":"Expansion Set 1, Party Set"},</v>
      </c>
    </row>
    <row r="533">
      <c r="A533" s="8" t="str">
        <f>IFERROR(__xludf.DUMMYFUNCTION("""COMPUTED_VALUE"""),"Rolling The Car")</f>
        <v>Rolling The Car</v>
      </c>
      <c r="B533" s="8" t="str">
        <f>IFERROR(__xludf.DUMMYFUNCTION("""COMPUTED_VALUE"""),"You’ll flip for this one…")</f>
        <v>You’ll flip for this one…</v>
      </c>
      <c r="C533" s="13" t="str">
        <f>IFERROR(__xludf.DUMMYFUNCTION("""COMPUTED_VALUE"""),"""rvlm"":{""label"":""Rolling The Car"",""extra"":""You’ll flip for this one…"",""sets"":""Expansion Set 2, Party Set""},")</f>
        <v>"rvlm":{"label":"Rolling The Car","extra":"You’ll flip for this one…","sets":"Expansion Set 2, Party Set"},</v>
      </c>
    </row>
    <row r="534">
      <c r="A534" s="8" t="str">
        <f>IFERROR(__xludf.DUMMYFUNCTION("""COMPUTED_VALUE"""),"Roman Numerals")</f>
        <v>Roman Numerals</v>
      </c>
      <c r="B534" s="8" t="str">
        <f>IFERROR(__xludf.DUMMYFUNCTION("""COMPUTED_VALUE"""),"There’s a I in VII chance you'll know them.")</f>
        <v>There’s a I in VII chance you'll know them.</v>
      </c>
      <c r="C534" s="13" t="str">
        <f>IFERROR(__xludf.DUMMYFUNCTION("""COMPUTED_VALUE"""),"""zbcl"":{""label"":""Roman Numerals"",""extra"":""There’s a I in VII chance you'll know them."",""sets"":""Expansion Set 2, Party Set""},")</f>
        <v>"zbcl":{"label":"Roman Numerals","extra":"There’s a I in VII chance you'll know them.","sets":"Expansion Set 2, Party Set"},</v>
      </c>
    </row>
    <row r="535">
      <c r="A535" s="8" t="str">
        <f>IFERROR(__xludf.DUMMYFUNCTION("""COMPUTED_VALUE"""),"Romeo And Juliet")</f>
        <v>Romeo And Juliet</v>
      </c>
      <c r="B535" s="8" t="str">
        <f>IFERROR(__xludf.DUMMYFUNCTION("""COMPUTED_VALUE"""),"William Shakespeare’s best known play, written in 1595. Youthful love and hasty temperaments.")</f>
        <v>William Shakespeare’s best known play, written in 1595. Youthful love and hasty temperaments.</v>
      </c>
      <c r="C535" s="13" t="str">
        <f>IFERROR(__xludf.DUMMYFUNCTION("""COMPUTED_VALUE"""),"""qpi{"":{""label"":""Romeo And Juliet"",""extra"":""William Shakespeare’s best known play, written in 1595. Youthful love and hasty temperaments."",""sets"":""Expansion Set 2, Party Set""},")</f>
        <v>"qpi{":{"label":"Romeo And Juliet","extra":"William Shakespeare’s best known play, written in 1595. Youthful love and hasty temperaments.","sets":"Expansion Set 2, Party Set"},</v>
      </c>
    </row>
    <row r="536">
      <c r="A536" s="8" t="str">
        <f>IFERROR(__xludf.DUMMYFUNCTION("""COMPUTED_VALUE"""),"Root Beer Floats")</f>
        <v>Root Beer Floats</v>
      </c>
      <c r="B536" s="8" t="str">
        <f>IFERROR(__xludf.DUMMYFUNCTION("""COMPUTED_VALUE"""),"Actually, it’s the ice cream that floats!")</f>
        <v>Actually, it’s the ice cream that floats!</v>
      </c>
      <c r="C536" s="13" t="str">
        <f>IFERROR(__xludf.DUMMYFUNCTION("""COMPUTED_VALUE"""),"""osrt"":{""label"":""Root Beer Floats"",""extra"":""Actually, it’s the ice cream that floats!"",""sets"":""Expansion Set 1, Party Set""},")</f>
        <v>"osrt":{"label":"Root Beer Floats","extra":"Actually, it’s the ice cream that floats!","sets":"Expansion Set 1, Party Set"},</v>
      </c>
    </row>
    <row r="537">
      <c r="A537" s="8" t="str">
        <f>IFERROR(__xludf.DUMMYFUNCTION("""COMPUTED_VALUE"""),"Rosa Parks")</f>
        <v>Rosa Parks</v>
      </c>
      <c r="B537" s="8" t="str">
        <f>IFERROR(__xludf.DUMMYFUNCTION("""COMPUTED_VALUE"""),"1913-, civil rights icon arrested in 1956 for violating U.S. segregation laws by refusing to give up her bus seat to a white passenger.")</f>
        <v>1913-, civil rights icon arrested in 1956 for violating U.S. segregation laws by refusing to give up her bus seat to a white passenger.</v>
      </c>
      <c r="C537" s="13" t="str">
        <f>IFERROR(__xludf.DUMMYFUNCTION("""COMPUTED_VALUE"""),"""yxwd"":{""label"":""Rosa Parks"",""extra"":""1913-, civil rights icon arrested in 1956 for violating U.S. segregation laws by refusing to give up her bus seat to a white passenger."",""sets"":""Expansion Set 1, Party Set""},")</f>
        <v>"yxwd":{"label":"Rosa Parks","extra":"1913-, civil rights icon arrested in 1956 for violating U.S. segregation laws by refusing to give up her bus seat to a white passenger.","sets":"Expansion Set 1, Party Set"},</v>
      </c>
    </row>
    <row r="538">
      <c r="A538" s="8" t="str">
        <f>IFERROR(__xludf.DUMMYFUNCTION("""COMPUTED_VALUE"""),"Rosie O'Donnell")</f>
        <v>Rosie O'Donnell</v>
      </c>
      <c r="B538" s="8" t="str">
        <f>IFERROR(__xludf.DUMMYFUNCTION("""COMPUTED_VALUE"""),"1962-, American actor and comedian. She’s in a league of her own!")</f>
        <v>1962-, American actor and comedian. She’s in a league of her own!</v>
      </c>
      <c r="C538" s="13" t="str">
        <f>IFERROR(__xludf.DUMMYFUNCTION("""COMPUTED_VALUE"""),"""lekz"":{""label"":""Rosie O'Donnell"",""extra"":""1962-, American actor and comedian. She’s in a league of her own!"",""sets"":""Expansion Set 1, Party Set""},")</f>
        <v>"lekz":{"label":"Rosie O'Donnell","extra":"1962-, American actor and comedian. She’s in a league of her own!","sets":"Expansion Set 1, Party Set"},</v>
      </c>
    </row>
    <row r="539">
      <c r="A539" s="8" t="str">
        <f>IFERROR(__xludf.DUMMYFUNCTION("""COMPUTED_VALUE"""),"Rubber Gloves")</f>
        <v>Rubber Gloves</v>
      </c>
      <c r="B539" s="8" t="str">
        <f>IFERROR(__xludf.DUMMYFUNCTION("""COMPUTED_VALUE"""),"Just in case…")</f>
        <v>Just in case…</v>
      </c>
      <c r="C539" s="13" t="str">
        <f>IFERROR(__xludf.DUMMYFUNCTION("""COMPUTED_VALUE"""),"""igpe"":{""label"":""Rubber Gloves"",""extra"":""Just in case…"",""sets"":""Expansion Set 2, Party Set""},")</f>
        <v>"igpe":{"label":"Rubber Gloves","extra":"Just in case…","sets":"Expansion Set 2, Party Set"},</v>
      </c>
    </row>
    <row r="540">
      <c r="A540" s="8" t="str">
        <f>IFERROR(__xludf.DUMMYFUNCTION("""COMPUTED_VALUE"""),"Running A Marathon")</f>
        <v>Running A Marathon</v>
      </c>
      <c r="B540" s="8" t="str">
        <f>IFERROR(__xludf.DUMMYFUNCTION("""COMPUTED_VALUE"""),"26 miles, 385 yards: the distance run by a Greek soldier from the town of Marathon to Athens in 490 BC.")</f>
        <v>26 miles, 385 yards: the distance run by a Greek soldier from the town of Marathon to Athens in 490 BC.</v>
      </c>
      <c r="C540" s="13" t="str">
        <f>IFERROR(__xludf.DUMMYFUNCTION("""COMPUTED_VALUE"""),"""njiq"":{""label"":""Running A Marathon"",""extra"":""26 miles, 385 yards: the distance run by a Greek soldier from the town of Marathon to Athens in 490 BC."",""sets"":""Basic Set, Party Set""},")</f>
        <v>"njiq":{"label":"Running A Marathon","extra":"26 miles, 385 yards: the distance run by a Greek soldier from the town of Marathon to Athens in 490 BC.","sets":"Basic Set, Party Set"},</v>
      </c>
    </row>
    <row r="541">
      <c r="A541" s="8" t="str">
        <f>IFERROR(__xludf.DUMMYFUNCTION("""COMPUTED_VALUE"""),"Rush Limbaugh")</f>
        <v>Rush Limbaugh</v>
      </c>
      <c r="B541" s="8" t="str">
        <f>IFERROR(__xludf.DUMMYFUNCTION("""COMPUTED_VALUE"""),"1951-, conservative talk-radio personality. Claims to host his radio show with half his brain tied behind his back, just to make it fair.")</f>
        <v>1951-, conservative talk-radio personality. Claims to host his radio show with half his brain tied behind his back, just to make it fair.</v>
      </c>
      <c r="C541" s="13" t="str">
        <f>IFERROR(__xludf.DUMMYFUNCTION("""COMPUTED_VALUE"""),"""vano"":{""label"":""Rush Limbaugh"",""extra"":""1951-, conservative talk-radio personality. Claims to host his radio show with half his brain tied behind his back, just to make it fair."",""sets"":""Expansion Set 1, Party Set""},")</f>
        <v>"vano":{"label":"Rush Limbaugh","extra":"1951-, conservative talk-radio personality. Claims to host his radio show with half his brain tied behind his back, just to make it fair.","sets":"Expansion Set 1, Party Set"},</v>
      </c>
    </row>
    <row r="542">
      <c r="A542" s="8" t="str">
        <f>IFERROR(__xludf.DUMMYFUNCTION("""COMPUTED_VALUE"""),"Russia")</f>
        <v>Russia</v>
      </c>
      <c r="B542" s="8" t="str">
        <f>IFERROR(__xludf.DUMMYFUNCTION("""COMPUTED_VALUE"""),"The world’s largest country, spanning 11 time zones. Famous for borscht, ballet, chess and vodka…just don’t mix them.")</f>
        <v>The world’s largest country, spanning 11 time zones. Famous for borscht, ballet, chess and vodka…just don’t mix them.</v>
      </c>
      <c r="C542" s="13" t="str">
        <f>IFERROR(__xludf.DUMMYFUNCTION("""COMPUTED_VALUE"""),"""loym"":{""label"":""Russia"",""extra"":""The world’s largest country, spanning 11 time zones. Famous for borscht, ballet, chess and vodka…just don’t mix them."",""sets"":""Expansion Set 1, Party Set""},")</f>
        <v>"loym":{"label":"Russia","extra":"The world’s largest country, spanning 11 time zones. Famous for borscht, ballet, chess and vodka…just don’t mix them.","sets":"Expansion Set 1, Party Set"},</v>
      </c>
    </row>
    <row r="543">
      <c r="A543" s="8" t="str">
        <f>IFERROR(__xludf.DUMMYFUNCTION("""COMPUTED_VALUE"""),"Rust")</f>
        <v>Rust</v>
      </c>
      <c r="B543" s="8" t="str">
        <f>IFERROR(__xludf.DUMMYFUNCTION("""COMPUTED_VALUE"""),"“Rust never sleeps.” —Neil Young")</f>
        <v>“Rust never sleeps.” —Neil Young</v>
      </c>
      <c r="C543" s="13" t="str">
        <f>IFERROR(__xludf.DUMMYFUNCTION("""COMPUTED_VALUE"""),"""mugh"":{""label"":""Rust"",""extra"":""“Rust never sleeps.” —Neil Young"",""sets"":""Basic Set, Party Set""},")</f>
        <v>"mugh":{"label":"Rust","extra":"“Rust never sleeps.” —Neil Young","sets":"Basic Set, Party Set"},</v>
      </c>
    </row>
    <row r="544">
      <c r="A544" s="8" t="str">
        <f>IFERROR(__xludf.DUMMYFUNCTION("""COMPUTED_VALUE"""),"Saddam Hussein")</f>
        <v>Saddam Hussein</v>
      </c>
      <c r="B544" s="8" t="str">
        <f>IFERROR(__xludf.DUMMYFUNCTION("""COMPUTED_VALUE"""),"1937-, dictator of Iraq 1979-2003.")</f>
        <v>1937-, dictator of Iraq 1979-2003.</v>
      </c>
      <c r="C544" s="13" t="str">
        <f>IFERROR(__xludf.DUMMYFUNCTION("""COMPUTED_VALUE"""),"""orsp"":{""label"":""Saddam Hussein"",""extra"":""1937-, dictator of Iraq 1979-2003."",""sets"":""Basic Set, Party Set""},")</f>
        <v>"orsp":{"label":"Saddam Hussein","extra":"1937-, dictator of Iraq 1979-2003.","sets":"Basic Set, Party Set"},</v>
      </c>
    </row>
    <row r="545">
      <c r="A545" s="8" t="str">
        <f>IFERROR(__xludf.DUMMYFUNCTION("""COMPUTED_VALUE"""),"Sailors")</f>
        <v>Sailors</v>
      </c>
      <c r="B545" s="8" t="str">
        <f>IFERROR(__xludf.DUMMYFUNCTION("""COMPUTED_VALUE"""),"“In the Navy, you can sail the seven seas…” —The Village People")</f>
        <v>“In the Navy, you can sail the seven seas…” —The Village People</v>
      </c>
      <c r="C545" s="13" t="str">
        <f>IFERROR(__xludf.DUMMYFUNCTION("""COMPUTED_VALUE"""),"""hsln"":{""label"":""Sailors"",""extra"":""“In the Navy, you can sail the seven seas…” —The Village People"",""sets"":""Expansion Set 1, Party Set""},")</f>
        <v>"hsln":{"label":"Sailors","extra":"“In the Navy, you can sail the seven seas…” —The Village People","sets":"Expansion Set 1, Party Set"},</v>
      </c>
    </row>
    <row r="546">
      <c r="A546" s="8" t="str">
        <f>IFERROR(__xludf.DUMMYFUNCTION("""COMPUTED_VALUE"""),"Salads")</f>
        <v>Salads</v>
      </c>
      <c r="B546" s="8" t="str">
        <f>IFERROR(__xludf.DUMMYFUNCTION("""COMPUTED_VALUE"""),"Lettuce not knock the vegetarians.")</f>
        <v>Lettuce not knock the vegetarians.</v>
      </c>
      <c r="C546" s="13" t="str">
        <f>IFERROR(__xludf.DUMMYFUNCTION("""COMPUTED_VALUE"""),"""etxs"":{""label"":""Salads"",""extra"":""Lettuce not knock the vegetarians."",""sets"":""Expansion Set 2, Party Set""},")</f>
        <v>"etxs":{"label":"Salads","extra":"Lettuce not knock the vegetarians.","sets":"Expansion Set 2, Party Set"},</v>
      </c>
    </row>
    <row r="547">
      <c r="A547" s="8" t="str">
        <f>IFERROR(__xludf.DUMMYFUNCTION("""COMPUTED_VALUE"""),"Salsa Dancing")</f>
        <v>Salsa Dancing</v>
      </c>
      <c r="B547" s="8" t="str">
        <f>IFERROR(__xludf.DUMMYFUNCTION("""COMPUTED_VALUE"""),"Popular form of Latin American dance. A little jazz, a little blues, a touch of rock and lots of heat.")</f>
        <v>Popular form of Latin American dance. A little jazz, a little blues, a touch of rock and lots of heat.</v>
      </c>
      <c r="C547" s="13" t="str">
        <f>IFERROR(__xludf.DUMMYFUNCTION("""COMPUTED_VALUE"""),"""lvpk"":{""label"":""Salsa Dancing"",""extra"":""Popular form of Latin American dance. A little jazz, a little blues, a touch of rock and lots of heat."",""sets"":""Expansion Set 2, Party Set""},")</f>
        <v>"lvpk":{"label":"Salsa Dancing","extra":"Popular form of Latin American dance. A little jazz, a little blues, a touch of rock and lots of heat.","sets":"Expansion Set 2, Party Set"},</v>
      </c>
    </row>
    <row r="548">
      <c r="A548" s="8" t="str">
        <f>IFERROR(__xludf.DUMMYFUNCTION("""COMPUTED_VALUE"""),"Salvador Dali")</f>
        <v>Salvador Dali</v>
      </c>
      <c r="B548" s="8" t="str">
        <f>IFERROR(__xludf.DUMMYFUNCTION("""COMPUTED_VALUE"""),"1904-89, Spansih artist best known for his dream imagery and surrealism, including the limp watches in “The Persistence Of Memory.”")</f>
        <v>1904-89, Spansih artist best known for his dream imagery and surrealism, including the limp watches in “The Persistence Of Memory.”</v>
      </c>
      <c r="C548" s="13" t="str">
        <f>IFERROR(__xludf.DUMMYFUNCTION("""COMPUTED_VALUE"""),"""spvb"":{""label"":""Salvador Dali"",""extra"":""1904-89, Spansih artist best known for his dream imagery and surrealism, including the limp watches in “The Persistence Of Memory.”"",""sets"":""Expansion Set 2, Party Set""},")</f>
        <v>"spvb":{"label":"Salvador Dali","extra":"1904-89, Spansih artist best known for his dream imagery and surrealism, including the limp watches in “The Persistence Of Memory.”","sets":"Expansion Set 2, Party Set"},</v>
      </c>
    </row>
    <row r="549">
      <c r="A549" s="8" t="str">
        <f>IFERROR(__xludf.DUMMYFUNCTION("""COMPUTED_VALUE"""),"Samuel L. Jackson")</f>
        <v>Samuel L. Jackson</v>
      </c>
      <c r="B549" s="8" t="str">
        <f>IFERROR(__xludf.DUMMYFUNCTION("""COMPUTED_VALUE"""),"1948-, powerful American actor of “Pulp Fiction,” “Jackie Brown,” and “The Negotiator.”")</f>
        <v>1948-, powerful American actor of “Pulp Fiction,” “Jackie Brown,” and “The Negotiator.”</v>
      </c>
      <c r="C549" s="13" t="str">
        <f>IFERROR(__xludf.DUMMYFUNCTION("""COMPUTED_VALUE"""),"""rnop"":{""label"":""Samuel L. Jackson"",""extra"":""1948-, powerful American actor of “Pulp Fiction,” “Jackie Brown,” and “The Negotiator.”"",""sets"":""Expansion Set 2, Party Set""},")</f>
        <v>"rnop":{"label":"Samuel L. Jackson","extra":"1948-, powerful American actor of “Pulp Fiction,” “Jackie Brown,” and “The Negotiator.”","sets":"Expansion Set 2, Party Set"},</v>
      </c>
    </row>
    <row r="550">
      <c r="A550" s="8" t="str">
        <f>IFERROR(__xludf.DUMMYFUNCTION("""COMPUTED_VALUE"""),"San Francisco")</f>
        <v>San Francisco</v>
      </c>
      <c r="B550" s="8" t="str">
        <f>IFERROR(__xludf.DUMMYFUNCTION("""COMPUTED_VALUE"""),"California's City by the Bay. Where many hearts are left.")</f>
        <v>California's City by the Bay. Where many hearts are left.</v>
      </c>
      <c r="C550" s="13" t="str">
        <f>IFERROR(__xludf.DUMMYFUNCTION("""COMPUTED_VALUE"""),"""buzs"":{""label"":""San Francisco"",""extra"":""California's City by the Bay. Where many hearts are left."",""sets"":""Basic Set, Party Set""},")</f>
        <v>"buzs":{"label":"San Francisco","extra":"California's City by the Bay. Where many hearts are left.","sets":"Basic Set, Party Set"},</v>
      </c>
    </row>
    <row r="551">
      <c r="A551" s="8" t="str">
        <f>IFERROR(__xludf.DUMMYFUNCTION("""COMPUTED_VALUE"""),"Saturday Cartoons")</f>
        <v>Saturday Cartoons</v>
      </c>
      <c r="B551" s="8" t="str">
        <f>IFERROR(__xludf.DUMMYFUNCTION("""COMPUTED_VALUE"""),"Get your blanket, a bowl of cereal and snuggle in for three hours of commercials.")</f>
        <v>Get your blanket, a bowl of cereal and snuggle in for three hours of commercials.</v>
      </c>
      <c r="C551" s="13" t="str">
        <f>IFERROR(__xludf.DUMMYFUNCTION("""COMPUTED_VALUE"""),"""cmls"":{""label"":""Saturday Cartoons"",""extra"":""Get your blanket, a bowl of cereal and snuggle in for three hours of commercials."",""sets"":""Expansion Set 1, Party Set""},")</f>
        <v>"cmls":{"label":"Saturday Cartoons","extra":"Get your blanket, a bowl of cereal and snuggle in for three hours of commercials.","sets":"Expansion Set 1, Party Set"},</v>
      </c>
    </row>
    <row r="552">
      <c r="A552" s="8" t="str">
        <f>IFERROR(__xludf.DUMMYFUNCTION("""COMPUTED_VALUE"""),"Saturn")</f>
        <v>Saturn</v>
      </c>
      <c r="B552" s="8" t="str">
        <f>IFERROR(__xludf.DUMMYFUNCTION("""COMPUTED_VALUE"""),"Sixth planet from the sun, and the second largest in the solar system. Has a nice ring to it, don't you think?")</f>
        <v>Sixth planet from the sun, and the second largest in the solar system. Has a nice ring to it, don't you think?</v>
      </c>
      <c r="C552" s="13" t="str">
        <f>IFERROR(__xludf.DUMMYFUNCTION("""COMPUTED_VALUE"""),"""nqiq"":{""label"":""Saturn"",""extra"":""Sixth planet from the sun, and the second largest in the solar system. Has a nice ring to it, don't you think?"",""sets"":""Basic Set, Party Set""},")</f>
        <v>"nqiq":{"label":"Saturn","extra":"Sixth planet from the sun, and the second largest in the solar system. Has a nice ring to it, don't you think?","sets":"Basic Set, Party Set"},</v>
      </c>
    </row>
    <row r="553">
      <c r="A553" s="8" t="str">
        <f>IFERROR(__xludf.DUMMYFUNCTION("""COMPUTED_VALUE"""),"Scavenger Hunt")</f>
        <v>Scavenger Hunt</v>
      </c>
      <c r="B553" s="8" t="str">
        <f>IFERROR(__xludf.DUMMYFUNCTION("""COMPUTED_VALUE"""),"OK kids, here’s your list: a marshmallow, a safety pin, a red rubber band, and a moon rock. Go find ’em!")</f>
        <v>OK kids, here’s your list: a marshmallow, a safety pin, a red rubber band, and a moon rock. Go find ’em!</v>
      </c>
      <c r="C553" s="13" t="str">
        <f>IFERROR(__xludf.DUMMYFUNCTION("""COMPUTED_VALUE"""),"""pgpj"":{""label"":""Scavenger Hunt"",""extra"":""OK kids, here’s your list: a marshmallow, a safety pin, a red rubber band, and a moon rock. Go find ’em!"",""sets"":""Expansion Set 1, Party Set""},")</f>
        <v>"pgpj":{"label":"Scavenger Hunt","extra":"OK kids, here’s your list: a marshmallow, a safety pin, a red rubber band, and a moon rock. Go find ’em!","sets":"Expansion Set 1, Party Set"},</v>
      </c>
    </row>
    <row r="554">
      <c r="A554" s="8" t="str">
        <f>IFERROR(__xludf.DUMMYFUNCTION("""COMPUTED_VALUE"""),"Scene Of The Crime")</f>
        <v>Scene Of The Crime</v>
      </c>
      <c r="B554" s="8" t="str">
        <f>IFERROR(__xludf.DUMMYFUNCTION("""COMPUTED_VALUE"""),"It was Colonel Mustard, in the library, with the candlestick.")</f>
        <v>It was Colonel Mustard, in the library, with the candlestick.</v>
      </c>
      <c r="C554" s="13" t="str">
        <f>IFERROR(__xludf.DUMMYFUNCTION("""COMPUTED_VALUE"""),"""dgwf"":{""label"":""Scene Of The Crime"",""extra"":""It was Colonel Mustard, in the library, with the candlestick."",""sets"":""Basic Set, Party Set""},")</f>
        <v>"dgwf":{"label":"Scene Of The Crime","extra":"It was Colonel Mustard, in the library, with the candlestick.","sets":"Basic Set, Party Set"},</v>
      </c>
    </row>
    <row r="555">
      <c r="A555" s="8" t="str">
        <f>IFERROR(__xludf.DUMMYFUNCTION("""COMPUTED_VALUE"""),"Schindler’s List")</f>
        <v>Schindler’s List</v>
      </c>
      <c r="B555" s="8" t="str">
        <f>IFERROR(__xludf.DUMMYFUNCTION("""COMPUTED_VALUE"""),"1993 Steven Spielberg film. Powerful real-life story of a Catholic businessman who eventually saved over 1000 Jews in Nazi Poland.")</f>
        <v>1993 Steven Spielberg film. Powerful real-life story of a Catholic businessman who eventually saved over 1000 Jews in Nazi Poland.</v>
      </c>
      <c r="C555" s="13" t="str">
        <f>IFERROR(__xludf.DUMMYFUNCTION("""COMPUTED_VALUE"""),"""buod"":{""label"":""Schindler’s List"",""extra"":""1993 Steven Spielberg film. Powerful real-life story of a Catholic businessman who eventually saved over 1000 Jews in Nazi Poland."",""sets"":""Expansion Set 2, Party Set""},")</f>
        <v>"buod":{"label":"Schindler’s List","extra":"1993 Steven Spielberg film. Powerful real-life story of a Catholic businessman who eventually saved over 1000 Jews in Nazi Poland.","sets":"Expansion Set 2, Party Set"},</v>
      </c>
    </row>
    <row r="556">
      <c r="A556" s="8" t="str">
        <f>IFERROR(__xludf.DUMMYFUNCTION("""COMPUTED_VALUE"""),"Science Fair Projects")</f>
        <v>Science Fair Projects</v>
      </c>
      <c r="B556" s="8" t="str">
        <f>IFERROR(__xludf.DUMMYFUNCTION("""COMPUTED_VALUE"""),"No human subjects, please!")</f>
        <v>No human subjects, please!</v>
      </c>
      <c r="C556" s="13" t="str">
        <f>IFERROR(__xludf.DUMMYFUNCTION("""COMPUTED_VALUE"""),"""cls{"":{""label"":""Science Fair Projects"",""extra"":""No human subjects, please!"",""sets"":""Expansion Set 1, Party Set""},")</f>
        <v>"cls{":{"label":"Science Fair Projects","extra":"No human subjects, please!","sets":"Expansion Set 1, Party Set"},</v>
      </c>
    </row>
    <row r="557">
      <c r="A557" s="8" t="str">
        <f>IFERROR(__xludf.DUMMYFUNCTION("""COMPUTED_VALUE"""),"Science Fiction")</f>
        <v>Science Fiction</v>
      </c>
      <c r="B557" s="8" t="str">
        <f>IFERROR(__xludf.DUMMYFUNCTION("""COMPUTED_VALUE"""),"In a galaxy far, far away…")</f>
        <v>In a galaxy far, far away…</v>
      </c>
      <c r="C557" s="13" t="str">
        <f>IFERROR(__xludf.DUMMYFUNCTION("""COMPUTED_VALUE"""),"""mtmv"":{""label"":""Science Fiction"",""extra"":""In a galaxy far, far away…"",""sets"":""Expansion Set 1, Party Set""},")</f>
        <v>"mtmv":{"label":"Science Fiction","extra":"In a galaxy far, far away…","sets":"Expansion Set 1, Party Set"},</v>
      </c>
    </row>
    <row r="558">
      <c r="A558" s="8" t="str">
        <f>IFERROR(__xludf.DUMMYFUNCTION("""COMPUTED_VALUE"""),"Screeching")</f>
        <v>Screeching</v>
      </c>
      <c r="B558" s="8" t="str">
        <f>IFERROR(__xludf.DUMMYFUNCTION("""COMPUTED_VALUE"""),"Please stop.")</f>
        <v>Please stop.</v>
      </c>
      <c r="C558" s="13" t="str">
        <f>IFERROR(__xludf.DUMMYFUNCTION("""COMPUTED_VALUE"""),"""dkjc"":{""label"":""Screeching"",""extra"":""Please stop."",""sets"":""Expansion Set 1, Party Set""},")</f>
        <v>"dkjc":{"label":"Screeching","extra":"Please stop.","sets":"Expansion Set 1, Party Set"},</v>
      </c>
    </row>
    <row r="559">
      <c r="A559" s="8" t="str">
        <f>IFERROR(__xludf.DUMMYFUNCTION("""COMPUTED_VALUE"""),"Sean Connery")</f>
        <v>Sean Connery</v>
      </c>
      <c r="B559" s="8" t="str">
        <f>IFERROR(__xludf.DUMMYFUNCTION("""COMPUTED_VALUE"""),"1930-, Accomplished Scottish actor, although best known as the REAL Bond, JAMES Bond…")</f>
        <v>1930-, Accomplished Scottish actor, although best known as the REAL Bond, JAMES Bond…</v>
      </c>
      <c r="C559" s="13" t="str">
        <f>IFERROR(__xludf.DUMMYFUNCTION("""COMPUTED_VALUE"""),"""ygig"":{""label"":""Sean Connery"",""extra"":""1930-, Accomplished Scottish actor, although best known as the REAL Bond, JAMES Bond…"",""sets"":""Basic Set, Party Set""},")</f>
        <v>"ygig":{"label":"Sean Connery","extra":"1930-, Accomplished Scottish actor, although best known as the REAL Bond, JAMES Bond…","sets":"Basic Set, Party Set"},</v>
      </c>
    </row>
    <row r="560">
      <c r="A560" s="8" t="str">
        <f>IFERROR(__xludf.DUMMYFUNCTION("""COMPUTED_VALUE"""),"Shania Twain")</f>
        <v>Shania Twain</v>
      </c>
      <c r="B560" s="8" t="str">
        <f>IFERROR(__xludf.DUMMYFUNCTION("""COMPUTED_VALUE"""),"1965-, Canadian country singer and songwriter. “Shania” means “I'm on my way” in Ojibwa.")</f>
        <v>1965-, Canadian country singer and songwriter. “Shania” means “I'm on my way” in Ojibwa.</v>
      </c>
      <c r="C560" s="13" t="str">
        <f>IFERROR(__xludf.DUMMYFUNCTION("""COMPUTED_VALUE"""),"""ej{s"":{""label"":""Shania Twain"",""extra"":""1965-, Canadian country singer and songwriter. “Shania” means “I'm on my way” in Ojibwa."",""sets"":""Expansion Set 1, Party Set""},")</f>
        <v>"ej{s":{"label":"Shania Twain","extra":"1965-, Canadian country singer and songwriter. “Shania” means “I'm on my way” in Ojibwa.","sets":"Expansion Set 1, Party Set"},</v>
      </c>
    </row>
    <row r="561">
      <c r="A561" s="8" t="str">
        <f>IFERROR(__xludf.DUMMYFUNCTION("""COMPUTED_VALUE"""),"Sharks")</f>
        <v>Sharks</v>
      </c>
      <c r="B561" s="8" t="str">
        <f>IFERROR(__xludf.DUMMYFUNCTION("""COMPUTED_VALUE"""),"Many species living today are similar to those from 100 million years ago. Because change is scary.")</f>
        <v>Many species living today are similar to those from 100 million years ago. Because change is scary.</v>
      </c>
      <c r="C561" s="13" t="str">
        <f>IFERROR(__xludf.DUMMYFUNCTION("""COMPUTED_VALUE"""),"""ltxp"":{""label"":""Sharks"",""extra"":""Many species living today are similar to those from 100 million years ago. Because change is scary."",""sets"":""Basic Set, Party Set""},")</f>
        <v>"ltxp":{"label":"Sharks","extra":"Many species living today are similar to those from 100 million years ago. Because change is scary.","sets":"Basic Set, Party Set"},</v>
      </c>
    </row>
    <row r="562">
      <c r="A562" s="8" t="str">
        <f>IFERROR(__xludf.DUMMYFUNCTION("""COMPUTED_VALUE"""),"Shopping Mall")</f>
        <v>Shopping Mall</v>
      </c>
      <c r="B562" s="8" t="str">
        <f>IFERROR(__xludf.DUMMYFUNCTION("""COMPUTED_VALUE"""),"Three-quarters of the North American population visit a shopping mall at least once a month.")</f>
        <v>Three-quarters of the North American population visit a shopping mall at least once a month.</v>
      </c>
      <c r="C562" s="13" t="str">
        <f>IFERROR(__xludf.DUMMYFUNCTION("""COMPUTED_VALUE"""),"""ebqz"":{""label"":""Shopping Mall"",""extra"":""Three-quarters of the North American population visit a shopping mall at least once a month."",""sets"":""Expansion Set 1, Party Set""},")</f>
        <v>"ebqz":{"label":"Shopping Mall","extra":"Three-quarters of the North American population visit a shopping mall at least once a month.","sets":"Expansion Set 1, Party Set"},</v>
      </c>
    </row>
    <row r="563">
      <c r="A563" s="8" t="str">
        <f>IFERROR(__xludf.DUMMYFUNCTION("""COMPUTED_VALUE"""),"Silk")</f>
        <v>Silk</v>
      </c>
      <c r="B563" s="8" t="str">
        <f>IFERROR(__xludf.DUMMYFUNCTION("""COMPUTED_VALUE"""),"Produced as a cocoon covering by the silk worm, and used in fine fabrics and textiles.")</f>
        <v>Produced as a cocoon covering by the silk worm, and used in fine fabrics and textiles.</v>
      </c>
      <c r="C563" s="13" t="str">
        <f>IFERROR(__xludf.DUMMYFUNCTION("""COMPUTED_VALUE"""),"""bois"":{""label"":""Silk"",""extra"":""Produced as a cocoon covering by the silk worm, and used in fine fabrics and textiles."",""sets"":""Basic Set, Party Set""},")</f>
        <v>"bois":{"label":"Silk","extra":"Produced as a cocoon covering by the silk worm, and used in fine fabrics and textiles.","sets":"Basic Set, Party Set"},</v>
      </c>
    </row>
    <row r="564">
      <c r="A564" s="8" t="str">
        <f>IFERROR(__xludf.DUMMYFUNCTION("""COMPUTED_VALUE"""),"Silly Putty")</f>
        <v>Silly Putty</v>
      </c>
      <c r="B564" s="8" t="str">
        <f>IFERROR(__xludf.DUMMYFUNCTION("""COMPUTED_VALUE"""),"It’s putty in your hands!")</f>
        <v>It’s putty in your hands!</v>
      </c>
      <c r="C564" s="13" t="str">
        <f>IFERROR(__xludf.DUMMYFUNCTION("""COMPUTED_VALUE"""),"""djng"":{""label"":""Silly Putty"",""extra"":""It’s putty in your hands!"",""sets"":""Expansion Set 2, Party Set""},")</f>
        <v>"djng":{"label":"Silly Putty","extra":"It’s putty in your hands!","sets":"Expansion Set 2, Party Set"},</v>
      </c>
    </row>
    <row r="565">
      <c r="A565" s="8" t="str">
        <f>IFERROR(__xludf.DUMMYFUNCTION("""COMPUTED_VALUE"""),"Skateboarding")</f>
        <v>Skateboarding</v>
      </c>
      <c r="B565" s="8" t="str">
        <f>IFERROR(__xludf.DUMMYFUNCTION("""COMPUTED_VALUE"""),"It’s just going downhill… down stairs… down ramps…")</f>
        <v>It’s just going downhill… down stairs… down ramps…</v>
      </c>
      <c r="C565" s="13" t="str">
        <f>IFERROR(__xludf.DUMMYFUNCTION("""COMPUTED_VALUE"""),"""ihlg"":{""label"":""Skateboarding"",""extra"":""It’s just going downhill… down stairs… down ramps…"",""sets"":""Basic Set, Party Set""},")</f>
        <v>"ihlg":{"label":"Skateboarding","extra":"It’s just going downhill… down stairs… down ramps…","sets":"Basic Set, Party Set"},</v>
      </c>
    </row>
    <row r="566">
      <c r="A566" s="8" t="str">
        <f>IFERROR(__xludf.DUMMYFUNCTION("""COMPUTED_VALUE"""),"Skiing")</f>
        <v>Skiing</v>
      </c>
      <c r="B566" s="8" t="str">
        <f>IFERROR(__xludf.DUMMYFUNCTION("""COMPUTED_VALUE"""),"The Super Ginat Slalom: Swiss for “suicide.”")</f>
        <v>The Super Ginat Slalom: Swiss for “suicide.”</v>
      </c>
      <c r="C566" s="13" t="str">
        <f>IFERROR(__xludf.DUMMYFUNCTION("""COMPUTED_VALUE"""),"""xlsi"":{""label"":""Skiing"",""extra"":""The Super Ginat Slalom: Swiss for “suicide.”"",""sets"":""Basic Set, Party Set""},")</f>
        <v>"xlsi":{"label":"Skiing","extra":"The Super Ginat Slalom: Swiss for “suicide.”","sets":"Basic Set, Party Set"},</v>
      </c>
    </row>
    <row r="567">
      <c r="A567" s="8" t="str">
        <f>IFERROR(__xludf.DUMMYFUNCTION("""COMPUTED_VALUE"""),"Skinheads")</f>
        <v>Skinheads</v>
      </c>
      <c r="B567" s="8" t="str">
        <f>IFERROR(__xludf.DUMMYFUNCTION("""COMPUTED_VALUE"""),"Shaved heads, big boots. Some are Nazis, some are not.")</f>
        <v>Shaved heads, big boots. Some are Nazis, some are not.</v>
      </c>
      <c r="C567" s="13" t="str">
        <f>IFERROR(__xludf.DUMMYFUNCTION("""COMPUTED_VALUE"""),"""iums"":{""label"":""Skinheads"",""extra"":""Shaved heads, big boots. Some are Nazis, some are not."",""sets"":""Basic Set, Party Set""},")</f>
        <v>"iums":{"label":"Skinheads","extra":"Shaved heads, big boots. Some are Nazis, some are not.","sets":"Basic Set, Party Set"},</v>
      </c>
    </row>
    <row r="568">
      <c r="A568" s="8" t="str">
        <f>IFERROR(__xludf.DUMMYFUNCTION("""COMPUTED_VALUE"""),"Skunks")</f>
        <v>Skunks</v>
      </c>
      <c r="B568" s="8" t="str">
        <f>IFERROR(__xludf.DUMMYFUNCTION("""COMPUTED_VALUE"""),"Black and white striped mammals known for their offensive smelling defensive spray.")</f>
        <v>Black and white striped mammals known for their offensive smelling defensive spray.</v>
      </c>
      <c r="C568" s="13" t="str">
        <f>IFERROR(__xludf.DUMMYFUNCTION("""COMPUTED_VALUE"""),"""tlpk"":{""label"":""Skunks"",""extra"":""Black and white striped mammals known for their offensive smelling defensive spray."",""sets"":""Expansion Set 2, Party Set""},")</f>
        <v>"tlpk":{"label":"Skunks","extra":"Black and white striped mammals known for their offensive smelling defensive spray.","sets":"Expansion Set 2, Party Set"},</v>
      </c>
    </row>
    <row r="569">
      <c r="A569" s="8" t="str">
        <f>IFERROR(__xludf.DUMMYFUNCTION("""COMPUTED_VALUE"""),"Skydiving")</f>
        <v>Skydiving</v>
      </c>
      <c r="B569" s="8" t="str">
        <f>IFERROR(__xludf.DUMMYFUNCTION("""COMPUTED_VALUE"""),"Parachute canopies are usually made from nylon fabric that lasts for thousands of jumps whether the skydiver does or not.")</f>
        <v>Parachute canopies are usually made from nylon fabric that lasts for thousands of jumps whether the skydiver does or not.</v>
      </c>
      <c r="C569" s="13" t="str">
        <f>IFERROR(__xludf.DUMMYFUNCTION("""COMPUTED_VALUE"""),"""qdmp"":{""label"":""Skydiving"",""extra"":""Parachute canopies are usually made from nylon fabric that lasts for thousands of jumps whether the skydiver does or not."",""sets"":""Basic Set, Party Set""},")</f>
        <v>"qdmp":{"label":"Skydiving","extra":"Parachute canopies are usually made from nylon fabric that lasts for thousands of jumps whether the skydiver does or not.","sets":"Basic Set, Party Set"},</v>
      </c>
    </row>
    <row r="570">
      <c r="A570" s="8" t="str">
        <f>IFERROR(__xludf.DUMMYFUNCTION("""COMPUTED_VALUE"""),"Sleeping Pills")</f>
        <v>Sleeping Pills</v>
      </c>
      <c r="B570" s="8" t="str">
        <f>IFERROR(__xludf.DUMMYFUNCTION("""COMPUTED_VALUE"""),"I remember taking them… I just… don't rememmer… how mamy.")</f>
        <v>I remember taking them… I just… don't rememmer… how mamy.</v>
      </c>
      <c r="C570" s="13" t="str">
        <f>IFERROR(__xludf.DUMMYFUNCTION("""COMPUTED_VALUE"""),"""ossx"":{""label"":""Sleeping Pills"",""extra"":""I remember taking them… I just… don't rememmer… how mamy."",""sets"":""Expansion Set 1, Party Set""},")</f>
        <v>"ossx":{"label":"Sleeping Pills","extra":"I remember taking them… I just… don't rememmer… how mamy.","sets":"Expansion Set 1, Party Set"},</v>
      </c>
    </row>
    <row r="571">
      <c r="A571" s="8" t="str">
        <f>IFERROR(__xludf.DUMMYFUNCTION("""COMPUTED_VALUE"""),"Slivers")</f>
        <v>Slivers</v>
      </c>
      <c r="B571" s="8" t="str">
        <f>IFERROR(__xludf.DUMMYFUNCTION("""COMPUTED_VALUE"""),"Also known as splinters. The worst ones are under your fingernails.")</f>
        <v>Also known as splinters. The worst ones are under your fingernails.</v>
      </c>
      <c r="C571" s="13" t="str">
        <f>IFERROR(__xludf.DUMMYFUNCTION("""COMPUTED_VALUE"""),"""nbxe"":{""label"":""Slivers"",""extra"":""Also known as splinters. The worst ones are under your fingernails."",""sets"":""Expansion Set 1, Party Set""},")</f>
        <v>"nbxe":{"label":"Slivers","extra":"Also known as splinters. The worst ones are under your fingernails.","sets":"Expansion Set 1, Party Set"},</v>
      </c>
    </row>
    <row r="572">
      <c r="A572" s="8" t="str">
        <f>IFERROR(__xludf.DUMMYFUNCTION("""COMPUTED_VALUE"""),"Sloppy Joes")</f>
        <v>Sloppy Joes</v>
      </c>
      <c r="B572" s="8" t="str">
        <f>IFERROR(__xludf.DUMMYFUNCTION("""COMPUTED_VALUE"""),"My favorite recipe…open the can.")</f>
        <v>My favorite recipe…open the can.</v>
      </c>
      <c r="C572" s="13" t="str">
        <f>IFERROR(__xludf.DUMMYFUNCTION("""COMPUTED_VALUE"""),"""eub{"":{""label"":""Sloppy Joes"",""extra"":""My favorite recipe…open the can."",""sets"":""Expansion Set 1, Party Set""},")</f>
        <v>"eub{":{"label":"Sloppy Joes","extra":"My favorite recipe…open the can.","sets":"Expansion Set 1, Party Set"},</v>
      </c>
    </row>
    <row r="573">
      <c r="A573" s="8" t="str">
        <f>IFERROR(__xludf.DUMMYFUNCTION("""COMPUTED_VALUE"""),"Smithsonian Institution")</f>
        <v>Smithsonian Institution</v>
      </c>
      <c r="B573" s="8" t="str">
        <f>IFERROR(__xludf.DUMMYFUNCTION("""COMPUTED_VALUE"""),"Located in Washington, D.C., the largest museum complex in the world. Wouldn’t that be a great garage sale?")</f>
        <v>Located in Washington, D.C., the largest museum complex in the world. Wouldn’t that be a great garage sale?</v>
      </c>
      <c r="C573" s="13" t="str">
        <f>IFERROR(__xludf.DUMMYFUNCTION("""COMPUTED_VALUE"""),"""eqxr"":{""label"":""Smithsonian Institution"",""extra"":""Located in Washington, D.C., the largest museum complex in the world. Wouldn’t that be a great garage sale?"",""sets"":""Expansion Set 2, Party Set""},")</f>
        <v>"eqxr":{"label":"Smithsonian Institution","extra":"Located in Washington, D.C., the largest museum complex in the world. Wouldn’t that be a great garage sale?","sets":"Expansion Set 2, Party Set"},</v>
      </c>
    </row>
    <row r="574">
      <c r="A574" s="8" t="str">
        <f>IFERROR(__xludf.DUMMYFUNCTION("""COMPUTED_VALUE"""),"Snakes")</f>
        <v>Snakes</v>
      </c>
      <c r="B574" s="8" t="str">
        <f>IFERROR(__xludf.DUMMYFUNCTION("""COMPUTED_VALUE"""),"Surprising, snakes move rapidly without legs. Also surprising, they find OTHER snakes attractive.")</f>
        <v>Surprising, snakes move rapidly without legs. Also surprising, they find OTHER snakes attractive.</v>
      </c>
      <c r="C574" s="13" t="str">
        <f>IFERROR(__xludf.DUMMYFUNCTION("""COMPUTED_VALUE"""),"""inxj"":{""label"":""Snakes"",""extra"":""Surprising, snakes move rapidly without legs. Also surprising, they find OTHER snakes attractive."",""sets"":""Basic Set, Party Set""},")</f>
        <v>"inxj":{"label":"Snakes","extra":"Surprising, snakes move rapidly without legs. Also surprising, they find OTHER snakes attractive.","sets":"Basic Set, Party Set"},</v>
      </c>
    </row>
    <row r="575">
      <c r="A575" s="8" t="str">
        <f>IFERROR(__xludf.DUMMYFUNCTION("""COMPUTED_VALUE"""),"Snow")</f>
        <v>Snow</v>
      </c>
      <c r="B575" s="8" t="str">
        <f>IFERROR(__xludf.DUMMYFUNCTION("""COMPUTED_VALUE"""),"Transparent ice crystals which form around dust and other small particles. Get my drift?")</f>
        <v>Transparent ice crystals which form around dust and other small particles. Get my drift?</v>
      </c>
      <c r="C575" s="13" t="str">
        <f>IFERROR(__xludf.DUMMYFUNCTION("""COMPUTED_VALUE"""),"""ditz"":{""label"":""Snow"",""extra"":""Transparent ice crystals which form around dust and other small particles. Get my drift?"",""sets"":""Basic Set, Party Set""},")</f>
        <v>"ditz":{"label":"Snow","extra":"Transparent ice crystals which form around dust and other small particles. Get my drift?","sets":"Basic Set, Party Set"},</v>
      </c>
    </row>
    <row r="576">
      <c r="A576" s="8" t="str">
        <f>IFERROR(__xludf.DUMMYFUNCTION("""COMPUTED_VALUE"""),"Social Security")</f>
        <v>Social Security</v>
      </c>
      <c r="B576" s="8" t="str">
        <f>IFERROR(__xludf.DUMMYFUNCTION("""COMPUTED_VALUE"""),"American program designed to provide income and services in the event of retirement, sickness, disability, death or unemployment.")</f>
        <v>American program designed to provide income and services in the event of retirement, sickness, disability, death or unemployment.</v>
      </c>
      <c r="C576" s="13" t="str">
        <f>IFERROR(__xludf.DUMMYFUNCTION("""COMPUTED_VALUE"""),"""vzgi"":{""label"":""Social Security"",""extra"":""American program designed to provide income and services in the event of retirement, sickness, disability, death or unemployment."",""sets"":""Expansion Set 2, Party Set""},")</f>
        <v>"vzgi":{"label":"Social Security","extra":"American program designed to provide income and services in the event of retirement, sickness, disability, death or unemployment.","sets":"Expansion Set 2, Party Set"},</v>
      </c>
    </row>
    <row r="577">
      <c r="A577" s="8" t="str">
        <f>IFERROR(__xludf.DUMMYFUNCTION("""COMPUTED_VALUE"""),"Socks")</f>
        <v>Socks</v>
      </c>
      <c r="B577" s="8" t="str">
        <f>IFERROR(__xludf.DUMMYFUNCTION("""COMPUTED_VALUE"""),"“Black socks, they never get dirty, the longer you wear them the stronger they get.” —Bill Harley")</f>
        <v>“Black socks, they never get dirty, the longer you wear them the stronger they get.” —Bill Harley</v>
      </c>
      <c r="C577" s="13" t="str">
        <f>IFERROR(__xludf.DUMMYFUNCTION("""COMPUTED_VALUE"""),"""tuea"":{""label"":""Socks"",""extra"":""“Black socks, they never get dirty, the longer you wear them the stronger they get.” —Bill Harley"",""sets"":""Basic Set, Party Set""},")</f>
        <v>"tuea":{"label":"Socks","extra":"“Black socks, they never get dirty, the longer you wear them the stronger they get.” —Bill Harley","sets":"Basic Set, Party Set"},</v>
      </c>
    </row>
    <row r="578">
      <c r="A578" s="8" t="str">
        <f>IFERROR(__xludf.DUMMYFUNCTION("""COMPUTED_VALUE"""),"South Africa")</f>
        <v>South Africa</v>
      </c>
      <c r="B578" s="8" t="str">
        <f>IFERROR(__xludf.DUMMYFUNCTION("""COMPUTED_VALUE"""),"Two oceans, rugged mountains, traditional villages, game sanctuaries, wineries… forget the past and bring on the tourists.")</f>
        <v>Two oceans, rugged mountains, traditional villages, game sanctuaries, wineries… forget the past and bring on the tourists.</v>
      </c>
      <c r="C578" s="13" t="str">
        <f>IFERROR(__xludf.DUMMYFUNCTION("""COMPUTED_VALUE"""),"""nikq"":{""label"":""South Africa"",""extra"":""Two oceans, rugged mountains, traditional villages, game sanctuaries, wineries… forget the past and bring on the tourists."",""sets"":""Basic Set, Party Set""},")</f>
        <v>"nikq":{"label":"South Africa","extra":"Two oceans, rugged mountains, traditional villages, game sanctuaries, wineries… forget the past and bring on the tourists.","sets":"Basic Set, Party Set"},</v>
      </c>
    </row>
    <row r="579">
      <c r="A579" s="8" t="str">
        <f>IFERROR(__xludf.DUMMYFUNCTION("""COMPUTED_VALUE"""),"South Park")</f>
        <v>South Park</v>
      </c>
      <c r="B579" s="8" t="str">
        <f>IFERROR(__xludf.DUMMYFUNCTION("""COMPUTED_VALUE"""),"Highly-rated, highly offensive animated cartoon series. “Oh my God! We killed Kenny!”")</f>
        <v>Highly-rated, highly offensive animated cartoon series. “Oh my God! We killed Kenny!”</v>
      </c>
      <c r="C579" s="13" t="str">
        <f>IFERROR(__xludf.DUMMYFUNCTION("""COMPUTED_VALUE"""),"""ltkp"":{""label"":""South Park"",""extra"":""Highly-rated, highly offensive animated cartoon series. “Oh my God! We killed Kenny!”"",""sets"":""Expansion Set 2, Party Set""},")</f>
        <v>"ltkp":{"label":"South Park","extra":"Highly-rated, highly offensive animated cartoon series. “Oh my God! We killed Kenny!”","sets":"Expansion Set 2, Party Set"},</v>
      </c>
    </row>
    <row r="580">
      <c r="A580" s="8" t="str">
        <f>IFERROR(__xludf.DUMMYFUNCTION("""COMPUTED_VALUE"""),"Soy Sauce")</f>
        <v>Soy Sauce</v>
      </c>
      <c r="B580" s="8" t="str">
        <f>IFERROR(__xludf.DUMMYFUNCTION("""COMPUTED_VALUE"""),"A brewed seasoning made from soybeans, wheat, and salt.")</f>
        <v>A brewed seasoning made from soybeans, wheat, and salt.</v>
      </c>
      <c r="C580" s="13" t="str">
        <f>IFERROR(__xludf.DUMMYFUNCTION("""COMPUTED_VALUE"""),"""putz"":{""label"":""Soy Sauce"",""extra"":""A brewed seasoning made from soybeans, wheat, and salt."",""sets"":""Expansion Set 2, Party Set""},")</f>
        <v>"putz":{"label":"Soy Sauce","extra":"A brewed seasoning made from soybeans, wheat, and salt.","sets":"Expansion Set 2, Party Set"},</v>
      </c>
    </row>
    <row r="581">
      <c r="A581" s="8" t="str">
        <f>IFERROR(__xludf.DUMMYFUNCTION("""COMPUTED_VALUE"""),"Spam")</f>
        <v>Spam</v>
      </c>
      <c r="B581" s="8" t="str">
        <f>IFERROR(__xludf.DUMMYFUNCTION("""COMPUTED_VALUE"""),"Mystery meat, or mystery E-mails…")</f>
        <v>Mystery meat, or mystery E-mails…</v>
      </c>
      <c r="C581" s="13" t="str">
        <f>IFERROR(__xludf.DUMMYFUNCTION("""COMPUTED_VALUE"""),"""szdz"":{""label"":""Spam"",""extra"":""Mystery meat, or mystery E-mails…"",""sets"":""Expansion Set 1, Party Set""},")</f>
        <v>"szdz":{"label":"Spam","extra":"Mystery meat, or mystery E-mails…","sets":"Expansion Set 1, Party Set"},</v>
      </c>
    </row>
    <row r="582">
      <c r="A582" s="8" t="str">
        <f>IFERROR(__xludf.DUMMYFUNCTION("""COMPUTED_VALUE"""),"Speeding Tickets")</f>
        <v>Speeding Tickets</v>
      </c>
      <c r="B582" s="8" t="str">
        <f>IFERROR(__xludf.DUMMYFUNCTION("""COMPUTED_VALUE"""),"“No, officer, I don’t have any idea how fast I was going.”")</f>
        <v>“No, officer, I don’t have any idea how fast I was going.”</v>
      </c>
      <c r="C582" s="13" t="str">
        <f>IFERROR(__xludf.DUMMYFUNCTION("""COMPUTED_VALUE"""),"""hzix"":{""label"":""Speeding Tickets"",""extra"":""“No, officer, I don’t have any idea how fast I was going.”"",""sets"":""Expansion Set 1, Party Set""},")</f>
        <v>"hzix":{"label":"Speeding Tickets","extra":"“No, officer, I don’t have any idea how fast I was going.”","sets":"Expansion Set 1, Party Set"},</v>
      </c>
    </row>
    <row r="583">
      <c r="A583" s="8" t="str">
        <f>IFERROR(__xludf.DUMMYFUNCTION("""COMPUTED_VALUE"""),"Spiders")</f>
        <v>Spiders</v>
      </c>
      <c r="B583" s="8" t="str">
        <f>IFERROR(__xludf.DUMMYFUNCTION("""COMPUTED_VALUE"""),"There are more than 34,000 species of spiders. Try not to think about THAT right before bedtime.")</f>
        <v>There are more than 34,000 species of spiders. Try not to think about THAT right before bedtime.</v>
      </c>
      <c r="C583" s="13" t="str">
        <f>IFERROR(__xludf.DUMMYFUNCTION("""COMPUTED_VALUE"""),"""upmy"":{""label"":""Spiders"",""extra"":""There are more than 34,000 species of spiders. Try not to think about THAT right before bedtime."",""sets"":""Basic Set, Party Set""},")</f>
        <v>"upmy":{"label":"Spiders","extra":"There are more than 34,000 species of spiders. Try not to think about THAT right before bedtime.","sets":"Basic Set, Party Set"},</v>
      </c>
    </row>
    <row r="584">
      <c r="A584" s="8" t="str">
        <f>IFERROR(__xludf.DUMMYFUNCTION("""COMPUTED_VALUE"""),"Spike Lee")</f>
        <v>Spike Lee</v>
      </c>
      <c r="B584" s="8" t="str">
        <f>IFERROR(__xludf.DUMMYFUNCTION("""COMPUTED_VALUE"""),"1957-, American film maker and Knicks fan. Best known for Do the Right Thing, Malcolm X, and 4 Little Girls.")</f>
        <v>1957-, American film maker and Knicks fan. Best known for Do the Right Thing, Malcolm X, and 4 Little Girls.</v>
      </c>
      <c r="C584" s="13" t="str">
        <f>IFERROR(__xludf.DUMMYFUNCTION("""COMPUTED_VALUE"""),"""temc"":{""label"":""Spike Lee"",""extra"":""1957-, American film maker and Knicks fan. Best known for Do the Right Thing, Malcolm X, and 4 Little Girls."",""sets"":""Basic Set, Party Set""},")</f>
        <v>"temc":{"label":"Spike Lee","extra":"1957-, American film maker and Knicks fan. Best known for Do the Right Thing, Malcolm X, and 4 Little Girls.","sets":"Basic Set, Party Set"},</v>
      </c>
    </row>
    <row r="585">
      <c r="A585" s="8" t="str">
        <f>IFERROR(__xludf.DUMMYFUNCTION("""COMPUTED_VALUE"""),"Spilled Milk")</f>
        <v>Spilled Milk</v>
      </c>
      <c r="B585" s="8" t="str">
        <f>IFERROR(__xludf.DUMMYFUNCTION("""COMPUTED_VALUE"""),"Got milk? WHOOPS! Apparently not…")</f>
        <v>Got milk? WHOOPS! Apparently not…</v>
      </c>
      <c r="C585" s="13" t="str">
        <f>IFERROR(__xludf.DUMMYFUNCTION("""COMPUTED_VALUE"""),"""kyvc"":{""label"":""Spilled Milk"",""extra"":""Got milk? WHOOPS! Apparently not…"",""sets"":""Expansion Set 2, Party Set""},")</f>
        <v>"kyvc":{"label":"Spilled Milk","extra":"Got milk? WHOOPS! Apparently not…","sets":"Expansion Set 2, Party Set"},</v>
      </c>
    </row>
    <row r="586">
      <c r="A586" s="8" t="str">
        <f>IFERROR(__xludf.DUMMYFUNCTION("""COMPUTED_VALUE"""),"Spit")</f>
        <v>Spit</v>
      </c>
      <c r="B586" s="8" t="str">
        <f>IFERROR(__xludf.DUMMYFUNCTION("""COMPUTED_VALUE"""),"Ladies and gentlemen, straight from the Salivary Glands…")</f>
        <v>Ladies and gentlemen, straight from the Salivary Glands…</v>
      </c>
      <c r="C586" s="13" t="str">
        <f>IFERROR(__xludf.DUMMYFUNCTION("""COMPUTED_VALUE"""),"""ofyu"":{""label"":""Spit"",""extra"":""Ladies and gentlemen, straight from the Salivary Glands…"",""sets"":""Basic Set, Party Set""},")</f>
        <v>"ofyu":{"label":"Spit","extra":"Ladies and gentlemen, straight from the Salivary Glands…","sets":"Basic Set, Party Set"},</v>
      </c>
    </row>
    <row r="587">
      <c r="A587" s="8" t="str">
        <f>IFERROR(__xludf.DUMMYFUNCTION("""COMPUTED_VALUE"""),"Spontaneous Combustion")</f>
        <v>Spontaneous Combustion</v>
      </c>
      <c r="B587" s="8" t="str">
        <f>IFERROR(__xludf.DUMMYFUNCTION("""COMPUTED_VALUE"""),"The ignition of substances without application of an external heat source. A good plot for “The X-Files.”")</f>
        <v>The ignition of substances without application of an external heat source. A good plot for “The X-Files.”</v>
      </c>
      <c r="C587" s="13" t="str">
        <f>IFERROR(__xludf.DUMMYFUNCTION("""COMPUTED_VALUE"""),"""brtp"":{""label"":""Spontaneous Combustion"",""extra"":""The ignition of substances without application of an external heat source. A good plot for “The X-Files.”"",""sets"":""Expansion Set 1, Party Set""},")</f>
        <v>"brtp":{"label":"Spontaneous Combustion","extra":"The ignition of substances without application of an external heat source. A good plot for “The X-Files.”","sets":"Expansion Set 1, Party Set"},</v>
      </c>
    </row>
    <row r="588">
      <c r="A588" s="8" t="str">
        <f>IFERROR(__xludf.DUMMYFUNCTION("""COMPUTED_VALUE"""),"Sport Utility Vehicles")</f>
        <v>Sport Utility Vehicles</v>
      </c>
      <c r="B588" s="8" t="str">
        <f>IFERROR(__xludf.DUMMYFUNCTION("""COMPUTED_VALUE"""),"Need new tires?")</f>
        <v>Need new tires?</v>
      </c>
      <c r="C588" s="13" t="str">
        <f>IFERROR(__xludf.DUMMYFUNCTION("""COMPUTED_VALUE"""),"""walf"":{""label"":""Sport Utility Vehicles"",""extra"":""Need new tires?"",""sets"":""Expansion Set 2, Party Set""},")</f>
        <v>"walf":{"label":"Sport Utility Vehicles","extra":"Need new tires?","sets":"Expansion Set 2, Party Set"},</v>
      </c>
    </row>
    <row r="589">
      <c r="A589" s="8" t="str">
        <f>IFERROR(__xludf.DUMMYFUNCTION("""COMPUTED_VALUE"""),"Sports Channels")</f>
        <v>Sports Channels</v>
      </c>
      <c r="B589" s="8" t="str">
        <f>IFERROR(__xludf.DUMMYFUNCTION("""COMPUTED_VALUE"""),"Any team, any time.")</f>
        <v>Any team, any time.</v>
      </c>
      <c r="C589" s="13" t="str">
        <f>IFERROR(__xludf.DUMMYFUNCTION("""COMPUTED_VALUE"""),"""oxvt"":{""label"":""Sports Channels"",""extra"":""Any team, any time."",""sets"":""Expansion Set 2, Party Set""},")</f>
        <v>"oxvt":{"label":"Sports Channels","extra":"Any team, any time.","sets":"Expansion Set 2, Party Set"},</v>
      </c>
    </row>
    <row r="590">
      <c r="A590" s="8" t="str">
        <f>IFERROR(__xludf.DUMMYFUNCTION("""COMPUTED_VALUE"""),"Star Fruit")</f>
        <v>Star Fruit</v>
      </c>
      <c r="B590" s="8" t="str">
        <f>IFERROR(__xludf.DUMMYFUNCTION("""COMPUTED_VALUE"""),"Looks like plastic, tastes like lemons.")</f>
        <v>Looks like plastic, tastes like lemons.</v>
      </c>
      <c r="C590" s="13" t="str">
        <f>IFERROR(__xludf.DUMMYFUNCTION("""COMPUTED_VALUE"""),"""chts"":{""label"":""Star Fruit"",""extra"":""Looks like plastic, tastes like lemons."",""sets"":""Expansion Set 2, Party Set""},")</f>
        <v>"chts":{"label":"Star Fruit","extra":"Looks like plastic, tastes like lemons.","sets":"Expansion Set 2, Party Set"},</v>
      </c>
    </row>
    <row r="591">
      <c r="A591" s="8" t="str">
        <f>IFERROR(__xludf.DUMMYFUNCTION("""COMPUTED_VALUE"""),"Starry Night")</f>
        <v>Starry Night</v>
      </c>
      <c r="B591" s="8" t="str">
        <f>IFERROR(__xludf.DUMMYFUNCTION("""COMPUTED_VALUE"""),"A sky bright with stars, a classic Van Gogh painting, and a Don McLean song. Three cards in one!")</f>
        <v>A sky bright with stars, a classic Van Gogh painting, and a Don McLean song. Three cards in one!</v>
      </c>
      <c r="C591" s="13" t="str">
        <f>IFERROR(__xludf.DUMMYFUNCTION("""COMPUTED_VALUE"""),"""nkqj"":{""label"":""Starry Night"",""extra"":""A sky bright with stars, a classic Van Gogh painting, and a Don McLean song. Three cards in one!"",""sets"":""Expansion Set 1, Party Set""},")</f>
        <v>"nkqj":{"label":"Starry Night","extra":"A sky bright with stars, a classic Van Gogh painting, and a Don McLean song. Three cards in one!","sets":"Expansion Set 1, Party Set"},</v>
      </c>
    </row>
    <row r="592">
      <c r="A592" s="8" t="str">
        <f>IFERROR(__xludf.DUMMYFUNCTION("""COMPUTED_VALUE"""),"State Fair")</f>
        <v>State Fair</v>
      </c>
      <c r="B592" s="8" t="str">
        <f>IFERROR(__xludf.DUMMYFUNCTION("""COMPUTED_VALUE"""),"Aw, gee whiz, a blue ribbon for Bessie!")</f>
        <v>Aw, gee whiz, a blue ribbon for Bessie!</v>
      </c>
      <c r="C592" s="13" t="str">
        <f>IFERROR(__xludf.DUMMYFUNCTION("""COMPUTED_VALUE"""),"""slrg"":{""label"":""State Fair"",""extra"":""Aw, gee whiz, a blue ribbon for Bessie!"",""sets"":""Expansion Set 2, Party Set""},")</f>
        <v>"slrg":{"label":"State Fair","extra":"Aw, gee whiz, a blue ribbon for Bessie!","sets":"Expansion Set 2, Party Set"},</v>
      </c>
    </row>
    <row r="593">
      <c r="A593" s="8" t="str">
        <f>IFERROR(__xludf.DUMMYFUNCTION("""COMPUTED_VALUE"""),"Steak And Potatoes")</f>
        <v>Steak And Potatoes</v>
      </c>
      <c r="B593" s="8" t="str">
        <f>IFERROR(__xludf.DUMMYFUNCTION("""COMPUTED_VALUE"""),"Hot off the grill!")</f>
        <v>Hot off the grill!</v>
      </c>
      <c r="C593" s="13" t="str">
        <f>IFERROR(__xludf.DUMMYFUNCTION("""COMPUTED_VALUE"""),"""oebr"":{""label"":""Steak And Potatoes"",""extra"":""Hot off the grill!"",""sets"":""Expansion Set 2, Party Set""},")</f>
        <v>"oebr":{"label":"Steak And Potatoes","extra":"Hot off the grill!","sets":"Expansion Set 2, Party Set"},</v>
      </c>
    </row>
    <row r="594">
      <c r="A594" s="8" t="str">
        <f>IFERROR(__xludf.DUMMYFUNCTION("""COMPUTED_VALUE"""),"Stephen King")</f>
        <v>Stephen King</v>
      </c>
      <c r="B594" s="8" t="str">
        <f>IFERROR(__xludf.DUMMYFUNCTION("""COMPUTED_VALUE"""),"1947-, American author of horror novels, who's sold more than 100 million copies of his books. Talk about frightening…")</f>
        <v>1947-, American author of horror novels, who's sold more than 100 million copies of his books. Talk about frightening…</v>
      </c>
      <c r="C594" s="13" t="str">
        <f>IFERROR(__xludf.DUMMYFUNCTION("""COMPUTED_VALUE"""),"""ziie"":{""label"":""Stephen King"",""extra"":""1947-, American author of horror novels, who's sold more than 100 million copies of his books. Talk about frightening…"",""sets"":""Basic Set, Party Set""},")</f>
        <v>"ziie":{"label":"Stephen King","extra":"1947-, American author of horror novels, who's sold more than 100 million copies of his books. Talk about frightening…","sets":"Basic Set, Party Set"},</v>
      </c>
    </row>
    <row r="595">
      <c r="A595" s="8" t="str">
        <f>IFERROR(__xludf.DUMMYFUNCTION("""COMPUTED_VALUE"""),"Steve Martin")</f>
        <v>Steve Martin</v>
      </c>
      <c r="B595" s="8" t="str">
        <f>IFERROR(__xludf.DUMMYFUNCTION("""COMPUTED_VALUE"""),"1945-, American comedian, actor, writer, and “wild and crazy guy.”")</f>
        <v>1945-, American comedian, actor, writer, and “wild and crazy guy.”</v>
      </c>
      <c r="C595" s="13" t="str">
        <f>IFERROR(__xludf.DUMMYFUNCTION("""COMPUTED_VALUE"""),"""qfzo"":{""label"":""Steve Martin"",""extra"":""1945-, American comedian, actor, writer, and “wild and crazy guy.”"",""sets"":""Expansion Set 1, Party Set""},")</f>
        <v>"qfzo":{"label":"Steve Martin","extra":"1945-, American comedian, actor, writer, and “wild and crazy guy.”","sets":"Expansion Set 1, Party Set"},</v>
      </c>
    </row>
    <row r="596">
      <c r="A596" s="8" t="str">
        <f>IFERROR(__xludf.DUMMYFUNCTION("""COMPUTED_VALUE"""),"Steven Spielberg")</f>
        <v>Steven Spielberg</v>
      </c>
      <c r="B596" s="8" t="str">
        <f>IFERROR(__xludf.DUMMYFUNCTION("""COMPUTED_VALUE"""),"1947-, American movie director and producer, and overachiever. From “E.T.” to “Schindler’s List” …too many to list.")</f>
        <v>1947-, American movie director and producer, and overachiever. From “E.T.” to “Schindler’s List” …too many to list.</v>
      </c>
      <c r="C596" s="13" t="str">
        <f>IFERROR(__xludf.DUMMYFUNCTION("""COMPUTED_VALUE"""),"""yonz"":{""label"":""Steven Spielberg"",""extra"":""1947-, American movie director and producer, and overachiever. From “E.T.” to “Schindler’s List” …too many to list."",""sets"":""Basic Set, Party Set""},")</f>
        <v>"yonz":{"label":"Steven Spielberg","extra":"1947-, American movie director and producer, and overachiever. From “E.T.” to “Schindler’s List” …too many to list.","sets":"Basic Set, Party Set"},</v>
      </c>
    </row>
    <row r="597">
      <c r="A597" s="8" t="str">
        <f>IFERROR(__xludf.DUMMYFUNCTION("""COMPUTED_VALUE"""),"Stonehenge")</f>
        <v>Stonehenge</v>
      </c>
      <c r="B597" s="8" t="str">
        <f>IFERROR(__xludf.DUMMYFUNCTION("""COMPUTED_VALUE"""),"Prehistoric stone monument located north of Salisbury, England.")</f>
        <v>Prehistoric stone monument located north of Salisbury, England.</v>
      </c>
      <c r="C597" s="13" t="str">
        <f>IFERROR(__xludf.DUMMYFUNCTION("""COMPUTED_VALUE"""),"""uhxq"":{""label"":""Stonehenge"",""extra"":""Prehistoric stone monument located north of Salisbury, England."",""sets"":""Expansion Set 1, Party Set""},")</f>
        <v>"uhxq":{"label":"Stonehenge","extra":"Prehistoric stone monument located north of Salisbury, England.","sets":"Expansion Set 1, Party Set"},</v>
      </c>
    </row>
    <row r="598">
      <c r="A598" s="8" t="str">
        <f>IFERROR(__xludf.DUMMYFUNCTION("""COMPUTED_VALUE"""),"Strawberry Shortcake")</f>
        <v>Strawberry Shortcake</v>
      </c>
      <c r="B598" s="8" t="str">
        <f>IFERROR(__xludf.DUMMYFUNCTION("""COMPUTED_VALUE"""),"Summertime and the eating is easy…")</f>
        <v>Summertime and the eating is easy…</v>
      </c>
      <c r="C598" s="13" t="str">
        <f>IFERROR(__xludf.DUMMYFUNCTION("""COMPUTED_VALUE"""),"""trfh"":{""label"":""Strawberry Shortcake"",""extra"":""Summertime and the eating is easy…"",""sets"":""Expansion Set 2, Party Set""},")</f>
        <v>"trfh":{"label":"Strawberry Shortcake","extra":"Summertime and the eating is easy…","sets":"Expansion Set 2, Party Set"},</v>
      </c>
    </row>
    <row r="599">
      <c r="A599" s="8" t="str">
        <f>IFERROR(__xludf.DUMMYFUNCTION("""COMPUTED_VALUE"""),"Stubbed Toes")</f>
        <v>Stubbed Toes</v>
      </c>
      <c r="B599" s="8" t="str">
        <f>IFERROR(__xludf.DUMMYFUNCTION("""COMPUTED_VALUE"""),"It’ll feel better when it quits hurting.")</f>
        <v>It’ll feel better when it quits hurting.</v>
      </c>
      <c r="C599" s="13" t="str">
        <f>IFERROR(__xludf.DUMMYFUNCTION("""COMPUTED_VALUE"""),"""sbdc"":{""label"":""Stubbed Toes"",""extra"":""It’ll feel better when it quits hurting."",""sets"":""Expansion Set 2, Party Set""},")</f>
        <v>"sbdc":{"label":"Stubbed Toes","extra":"It’ll feel better when it quits hurting.","sets":"Expansion Set 2, Party Set"},</v>
      </c>
    </row>
    <row r="600">
      <c r="A600" s="8" t="str">
        <f>IFERROR(__xludf.DUMMYFUNCTION("""COMPUTED_VALUE"""),"Stunt People")</f>
        <v>Stunt People</v>
      </c>
      <c r="B600" s="8" t="str">
        <f>IFERROR(__xludf.DUMMYFUNCTION("""COMPUTED_VALUE"""),"When you need someone to take the fall.")</f>
        <v>When you need someone to take the fall.</v>
      </c>
      <c r="C600" s="13" t="str">
        <f>IFERROR(__xludf.DUMMYFUNCTION("""COMPUTED_VALUE"""),"""ipe{"":{""label"":""Stunt People"",""extra"":""When you need someone to take the fall."",""sets"":""Expansion Set 2, Party Set""},")</f>
        <v>"ipe{":{"label":"Stunt People","extra":"When you need someone to take the fall.","sets":"Expansion Set 2, Party Set"},</v>
      </c>
    </row>
    <row r="601">
      <c r="A601" s="8" t="str">
        <f>IFERROR(__xludf.DUMMYFUNCTION("""COMPUTED_VALUE"""),"Summer Camp")</f>
        <v>Summer Camp</v>
      </c>
      <c r="B601" s="8" t="str">
        <f>IFERROR(__xludf.DUMMYFUNCTION("""COMPUTED_VALUE"""),"If the bugs don’t get you, the poison ivy will!")</f>
        <v>If the bugs don’t get you, the poison ivy will!</v>
      </c>
      <c r="C601" s="13" t="str">
        <f>IFERROR(__xludf.DUMMYFUNCTION("""COMPUTED_VALUE"""),"""svxm"":{""label"":""Summer Camp"",""extra"":""If the bugs don’t get you, the poison ivy will!"",""sets"":""Expansion Set 1, Party Set""},")</f>
        <v>"svxm":{"label":"Summer Camp","extra":"If the bugs don’t get you, the poison ivy will!","sets":"Expansion Set 1, Party Set"},</v>
      </c>
    </row>
    <row r="602">
      <c r="A602" s="8" t="str">
        <f>IFERROR(__xludf.DUMMYFUNCTION("""COMPUTED_VALUE"""),"Sunday Drivers")</f>
        <v>Sunday Drivers</v>
      </c>
      <c r="B602" s="8" t="str">
        <f>IFERROR(__xludf.DUMMYFUNCTION("""COMPUTED_VALUE"""),"Now available ANY day of the week!")</f>
        <v>Now available ANY day of the week!</v>
      </c>
      <c r="C602" s="13" t="str">
        <f>IFERROR(__xludf.DUMMYFUNCTION("""COMPUTED_VALUE"""),"""wedg"":{""label"":""Sunday Drivers"",""extra"":""Now available ANY day of the week!"",""sets"":""Expansion Set 1, Party Set""},")</f>
        <v>"wedg":{"label":"Sunday Drivers","extra":"Now available ANY day of the week!","sets":"Expansion Set 1, Party Set"},</v>
      </c>
    </row>
    <row r="603">
      <c r="A603" s="8" t="str">
        <f>IFERROR(__xludf.DUMMYFUNCTION("""COMPUTED_VALUE"""),"Superman")</f>
        <v>Superman</v>
      </c>
      <c r="B603" s="8" t="str">
        <f>IFERROR(__xludf.DUMMYFUNCTION("""COMPUTED_VALUE"""),"Fictional comic book superhero loved by Lois Lane and Jerry Seinfeld.")</f>
        <v>Fictional comic book superhero loved by Lois Lane and Jerry Seinfeld.</v>
      </c>
      <c r="C603" s="13" t="str">
        <f>IFERROR(__xludf.DUMMYFUNCTION("""COMPUTED_VALUE"""),"""bblb"":{""label"":""Superman"",""extra"":""Fictional comic book superhero loved by Lois Lane and Jerry Seinfeld."",""sets"":""Basic Set, Party Set""},")</f>
        <v>"bblb":{"label":"Superman","extra":"Fictional comic book superhero loved by Lois Lane and Jerry Seinfeld.","sets":"Basic Set, Party Set"},</v>
      </c>
    </row>
    <row r="604">
      <c r="A604" s="8" t="str">
        <f>IFERROR(__xludf.DUMMYFUNCTION("""COMPUTED_VALUE"""),"Supermodels")</f>
        <v>Supermodels</v>
      </c>
      <c r="B604" s="8" t="str">
        <f>IFERROR(__xludf.DUMMYFUNCTION("""COMPUTED_VALUE"""),"Long legs = big bucks.")</f>
        <v>Long legs = big bucks.</v>
      </c>
      <c r="C604" s="13" t="str">
        <f>IFERROR(__xludf.DUMMYFUNCTION("""COMPUTED_VALUE"""),"""vsfc"":{""label"":""Supermodels"",""extra"":""Long legs = big bucks."",""sets"":""Expansion Set 2, Party Set""},")</f>
        <v>"vsfc":{"label":"Supermodels","extra":"Long legs = big bucks.","sets":"Expansion Set 2, Party Set"},</v>
      </c>
    </row>
    <row r="605">
      <c r="A605" s="8" t="str">
        <f>IFERROR(__xludf.DUMMYFUNCTION("""COMPUTED_VALUE"""),"Surfing The Net")</f>
        <v>Surfing The Net</v>
      </c>
      <c r="B605" s="17" t="str">
        <f>IFERROR(__xludf.DUMMYFUNCTION("""COMPUTED_VALUE"""),"www.otb-games.com")</f>
        <v>www.otb-games.com</v>
      </c>
      <c r="C605" s="13" t="str">
        <f>IFERROR(__xludf.DUMMYFUNCTION("""COMPUTED_VALUE"""),"""xgzw"":{""label"":""Surfing The Net"",""extra"":""www.otb-games.com"",""sets"":""Basic Set, Party Set""},")</f>
        <v>"xgzw":{"label":"Surfing The Net","extra":"www.otb-games.com","sets":"Basic Set, Party Set"},</v>
      </c>
    </row>
    <row r="606">
      <c r="A606" s="8" t="str">
        <f>IFERROR(__xludf.DUMMYFUNCTION("""COMPUTED_VALUE"""),"Sushi")</f>
        <v>Sushi</v>
      </c>
      <c r="B606" s="8" t="str">
        <f>IFERROR(__xludf.DUMMYFUNCTION("""COMPUTED_VALUE"""),"Who would ever have guessed that raw fish could be so fashionable?")</f>
        <v>Who would ever have guessed that raw fish could be so fashionable?</v>
      </c>
      <c r="C606" s="13" t="str">
        <f>IFERROR(__xludf.DUMMYFUNCTION("""COMPUTED_VALUE"""),"""bfuf"":{""label"":""Sushi"",""extra"":""Who would ever have guessed that raw fish could be so fashionable?"",""sets"":""Expansion Set 2, Party Set""},")</f>
        <v>"bfuf":{"label":"Sushi","extra":"Who would ever have guessed that raw fish could be so fashionable?","sets":"Expansion Set 2, Party Set"},</v>
      </c>
    </row>
    <row r="607">
      <c r="A607" s="8" t="str">
        <f>IFERROR(__xludf.DUMMYFUNCTION("""COMPUTED_VALUE"""),"Swiss Bank Accounts")</f>
        <v>Swiss Bank Accounts</v>
      </c>
      <c r="B607" s="8" t="str">
        <f>IFERROR(__xludf.DUMMYFUNCTION("""COMPUTED_VALUE"""),"Do you think everyone in Switzerland has one?")</f>
        <v>Do you think everyone in Switzerland has one?</v>
      </c>
      <c r="C607" s="13" t="str">
        <f>IFERROR(__xludf.DUMMYFUNCTION("""COMPUTED_VALUE"""),"""vcse"":{""label"":""Swiss Bank Accounts"",""extra"":""Do you think everyone in Switzerland has one?"",""sets"":""Expansion Set 1, Party Set""},")</f>
        <v>"vcse":{"label":"Swiss Bank Accounts","extra":"Do you think everyone in Switzerland has one?","sets":"Expansion Set 1, Party Set"},</v>
      </c>
    </row>
    <row r="608">
      <c r="A608" s="8" t="str">
        <f>IFERROR(__xludf.DUMMYFUNCTION("""COMPUTED_VALUE"""),"Swiss Cheese")</f>
        <v>Swiss Cheese</v>
      </c>
      <c r="B608" s="8" t="str">
        <f>IFERROR(__xludf.DUMMYFUNCTION("""COMPUTED_VALUE"""),"Guess it comes from holey cows…")</f>
        <v>Guess it comes from holey cows…</v>
      </c>
      <c r="C608" s="13" t="str">
        <f>IFERROR(__xludf.DUMMYFUNCTION("""COMPUTED_VALUE"""),"""cibt"":{""label"":""Swiss Cheese"",""extra"":""Guess it comes from holey cows…"",""sets"":""Expansion Set 2, Party Set""},")</f>
        <v>"cibt":{"label":"Swiss Cheese","extra":"Guess it comes from holey cows…","sets":"Expansion Set 2, Party Set"},</v>
      </c>
    </row>
    <row r="609">
      <c r="A609" s="8" t="str">
        <f>IFERROR(__xludf.DUMMYFUNCTION("""COMPUTED_VALUE"""),"Swiss Chocolate")</f>
        <v>Swiss Chocolate</v>
      </c>
      <c r="B609" s="8" t="str">
        <f>IFERROR(__xludf.DUMMYFUNCTION("""COMPUTED_VALUE"""),"“What use are cartridges in battle? I always carry chocolate instead.” —George Bernard Shaw")</f>
        <v>“What use are cartridges in battle? I always carry chocolate instead.” —George Bernard Shaw</v>
      </c>
      <c r="C609" s="13" t="str">
        <f>IFERROR(__xludf.DUMMYFUNCTION("""COMPUTED_VALUE"""),"""rbkk"":{""label"":""Swiss Chocolate"",""extra"":""“What use are cartridges in battle? I always carry chocolate instead.” —George Bernard Shaw"",""sets"":""Basic Set, Party Set""},")</f>
        <v>"rbkk":{"label":"Swiss Chocolate","extra":"“What use are cartridges in battle? I always carry chocolate instead.” —George Bernard Shaw","sets":"Basic Set, Party Set"},</v>
      </c>
    </row>
    <row r="610">
      <c r="A610" s="8" t="str">
        <f>IFERROR(__xludf.DUMMYFUNCTION("""COMPUTED_VALUE"""),"Taking A Bath")</f>
        <v>Taking A Bath</v>
      </c>
      <c r="B610" s="8" t="str">
        <f>IFERROR(__xludf.DUMMYFUNCTION("""COMPUTED_VALUE"""),"Bathing facilities have been found in excavations in India from before 2000 BC. Soap-on-a-Rope hasn’t.")</f>
        <v>Bathing facilities have been found in excavations in India from before 2000 BC. Soap-on-a-Rope hasn’t.</v>
      </c>
      <c r="C610" s="13" t="str">
        <f>IFERROR(__xludf.DUMMYFUNCTION("""COMPUTED_VALUE"""),"""ouwe"":{""label"":""Taking A Bath"",""extra"":""Bathing facilities have been found in excavations in India from before 2000 BC. Soap-on-a-Rope hasn’t."",""sets"":""Basic Set, Party Set""},")</f>
        <v>"ouwe":{"label":"Taking A Bath","extra":"Bathing facilities have been found in excavations in India from before 2000 BC. Soap-on-a-Rope hasn’t.","sets":"Basic Set, Party Set"},</v>
      </c>
    </row>
    <row r="611">
      <c r="A611" s="8" t="str">
        <f>IFERROR(__xludf.DUMMYFUNCTION("""COMPUTED_VALUE"""),"Talk Radio")</f>
        <v>Talk Radio</v>
      </c>
      <c r="B611" s="8" t="str">
        <f>IFERROR(__xludf.DUMMYFUNCTION("""COMPUTED_VALUE"""),"Talk about air pollution.")</f>
        <v>Talk about air pollution.</v>
      </c>
      <c r="C611" s="13" t="str">
        <f>IFERROR(__xludf.DUMMYFUNCTION("""COMPUTED_VALUE"""),"""mzxe"":{""label"":""Talk Radio"",""extra"":""Talk about air pollution."",""sets"":""Expansion Set 2, Party Set""},")</f>
        <v>"mzxe":{"label":"Talk Radio","extra":"Talk about air pollution.","sets":"Expansion Set 2, Party Set"},</v>
      </c>
    </row>
    <row r="612">
      <c r="A612" s="8" t="str">
        <f>IFERROR(__xludf.DUMMYFUNCTION("""COMPUTED_VALUE"""),"Teachers")</f>
        <v>Teachers</v>
      </c>
      <c r="B612" s="8" t="str">
        <f>IFERROR(__xludf.DUMMYFUNCTION("""COMPUTED_VALUE"""),"If you can play this game, thank a teacher.")</f>
        <v>If you can play this game, thank a teacher.</v>
      </c>
      <c r="C612" s="13" t="str">
        <f>IFERROR(__xludf.DUMMYFUNCTION("""COMPUTED_VALUE"""),"""vmrs"":{""label"":""Teachers"",""extra"":""If you can play this game, thank a teacher."",""sets"":""Basic Set, Party Set""},")</f>
        <v>"vmrs":{"label":"Teachers","extra":"If you can play this game, thank a teacher.","sets":"Basic Set, Party Set"},</v>
      </c>
    </row>
    <row r="613">
      <c r="A613" s="8" t="str">
        <f>IFERROR(__xludf.DUMMYFUNCTION("""COMPUTED_VALUE"""),"Telemarketers")</f>
        <v>Telemarketers</v>
      </c>
      <c r="B613" s="8" t="str">
        <f>IFERROR(__xludf.DUMMYFUNCTION("""COMPUTED_VALUE"""),"“No, thank you… No, I’m not interested… No, I have to go now…”")</f>
        <v>“No, thank you… No, I’m not interested… No, I have to go now…”</v>
      </c>
      <c r="C613" s="13" t="str">
        <f>IFERROR(__xludf.DUMMYFUNCTION("""COMPUTED_VALUE"""),"""gzjp"":{""label"":""Telemarketers"",""extra"":""“No, thank you… No, I’m not interested… No, I have to go now…”"",""sets"":""Expansion Set 1, Party Set""},")</f>
        <v>"gzjp":{"label":"Telemarketers","extra":"“No, thank you… No, I’m not interested… No, I have to go now…”","sets":"Expansion Set 1, Party Set"},</v>
      </c>
    </row>
    <row r="614">
      <c r="A614" s="8" t="str">
        <f>IFERROR(__xludf.DUMMYFUNCTION("""COMPUTED_VALUE"""),"Televangelists")</f>
        <v>Televangelists</v>
      </c>
      <c r="B614" s="8" t="str">
        <f>IFERROR(__xludf.DUMMYFUNCTION("""COMPUTED_VALUE"""),"Not to be confused with Teletubbies.")</f>
        <v>Not to be confused with Teletubbies.</v>
      </c>
      <c r="C614" s="13" t="str">
        <f>IFERROR(__xludf.DUMMYFUNCTION("""COMPUTED_VALUE"""),"""zoky"":{""label"":""Televangelists"",""extra"":""Not to be confused with Teletubbies."",""sets"":""Expansion Set 1, Party Set""},")</f>
        <v>"zoky":{"label":"Televangelists","extra":"Not to be confused with Teletubbies.","sets":"Expansion Set 1, Party Set"},</v>
      </c>
    </row>
    <row r="615">
      <c r="A615" s="8" t="str">
        <f>IFERROR(__xludf.DUMMYFUNCTION("""COMPUTED_VALUE"""),"Television")</f>
        <v>Television</v>
      </c>
      <c r="B615" s="8" t="str">
        <f>IFERROR(__xludf.DUMMYFUNCTION("""COMPUTED_VALUE"""),"One-hundred and sixty-four channels, and nothing worth watching.")</f>
        <v>One-hundred and sixty-four channels, and nothing worth watching.</v>
      </c>
      <c r="C615" s="13" t="str">
        <f>IFERROR(__xludf.DUMMYFUNCTION("""COMPUTED_VALUE"""),"""wzcp"":{""label"":""Television"",""extra"":""One-hundred and sixty-four channels, and nothing worth watching."",""sets"":""Basic Set, Party Set""},")</f>
        <v>"wzcp":{"label":"Television","extra":"One-hundred and sixty-four channels, and nothing worth watching.","sets":"Basic Set, Party Set"},</v>
      </c>
    </row>
    <row r="616">
      <c r="A616" s="8" t="str">
        <f>IFERROR(__xludf.DUMMYFUNCTION("""COMPUTED_VALUE"""),"Telling The Truth")</f>
        <v>Telling The Truth</v>
      </c>
      <c r="B616" s="8" t="str">
        <f>IFERROR(__xludf.DUMMYFUNCTION("""COMPUTED_VALUE"""),"“There are two kinds of truth. There are real truths and there are made-up truths.” —Marion Barry, ex-mayor of Washington, D.C.")</f>
        <v>“There are two kinds of truth. There are real truths and there are made-up truths.” —Marion Barry, ex-mayor of Washington, D.C.</v>
      </c>
      <c r="C616" s="13" t="str">
        <f>IFERROR(__xludf.DUMMYFUNCTION("""COMPUTED_VALUE"""),"""leky"":{""label"":""Telling The Truth"",""extra"":""“There are two kinds of truth. There are real truths and there are made-up truths.” —Marion Barry, ex-mayor of Washington, D.C."",""sets"":""Expansion Set 2, Party Set""},")</f>
        <v>"leky":{"label":"Telling The Truth","extra":"“There are two kinds of truth. There are real truths and there are made-up truths.” —Marion Barry, ex-mayor of Washington, D.C.","sets":"Expansion Set 2, Party Set"},</v>
      </c>
    </row>
    <row r="617">
      <c r="A617" s="8" t="str">
        <f>IFERROR(__xludf.DUMMYFUNCTION("""COMPUTED_VALUE"""),"Terrorist Attack")</f>
        <v>Terrorist Attack</v>
      </c>
      <c r="B617" s="8" t="str">
        <f>IFERROR(__xludf.DUMMYFUNCTION("""COMPUTED_VALUE"""),"We will never negotiate with terrorists.")</f>
        <v>We will never negotiate with terrorists.</v>
      </c>
      <c r="C617" s="13" t="str">
        <f>IFERROR(__xludf.DUMMYFUNCTION("""COMPUTED_VALUE"""),"""lqoi"":{""label"":""Terrorist Attack"",""extra"":""We will never negotiate with terrorists."",""sets"":""Basic Set, Party Set""},")</f>
        <v>"lqoi":{"label":"Terrorist Attack","extra":"We will never negotiate with terrorists.","sets":"Basic Set, Party Set"},</v>
      </c>
    </row>
    <row r="618">
      <c r="A618" s="8" t="str">
        <f>IFERROR(__xludf.DUMMYFUNCTION("""COMPUTED_VALUE"""),"Thanksgiving Day")</f>
        <v>Thanksgiving Day</v>
      </c>
      <c r="B618" s="8" t="str">
        <f>IFERROR(__xludf.DUMMYFUNCTION("""COMPUTED_VALUE"""),"The fourth Thursday of November in the U.S.; the second Monday in October in Canada.")</f>
        <v>The fourth Thursday of November in the U.S.; the second Monday in October in Canada.</v>
      </c>
      <c r="C618" s="13" t="str">
        <f>IFERROR(__xludf.DUMMYFUNCTION("""COMPUTED_VALUE"""),"""drjl"":{""label"":""Thanksgiving Day"",""extra"":""The fourth Thursday of November in the U.S.; the second Monday in October in Canada."",""sets"":""Basic Set, Party Set""},")</f>
        <v>"drjl":{"label":"Thanksgiving Day","extra":"The fourth Thursday of November in the U.S.; the second Monday in October in Canada.","sets":"Basic Set, Party Set"},</v>
      </c>
    </row>
    <row r="619">
      <c r="A619" s="8" t="str">
        <f>IFERROR(__xludf.DUMMYFUNCTION("""COMPUTED_VALUE"""),"The 1920s")</f>
        <v>The 1920s</v>
      </c>
      <c r="B619" s="8" t="str">
        <f>IFERROR(__xludf.DUMMYFUNCTION("""COMPUTED_VALUE"""),"Pros: the Jazz Age. Cons: Presidents who look like librarians.")</f>
        <v>Pros: the Jazz Age. Cons: Presidents who look like librarians.</v>
      </c>
      <c r="C619" s="13" t="str">
        <f>IFERROR(__xludf.DUMMYFUNCTION("""COMPUTED_VALUE"""),"""otvj"":{""label"":""The 1920s"",""extra"":""Pros: the Jazz Age. Cons: Presidents who look like librarians."",""sets"":""Basic Set, Party Set""},")</f>
        <v>"otvj":{"label":"The 1920s","extra":"Pros: the Jazz Age. Cons: Presidents who look like librarians.","sets":"Basic Set, Party Set"},</v>
      </c>
    </row>
    <row r="620">
      <c r="A620" s="8" t="str">
        <f>IFERROR(__xludf.DUMMYFUNCTION("""COMPUTED_VALUE"""),"The 1950s")</f>
        <v>The 1950s</v>
      </c>
      <c r="B620" s="8" t="str">
        <f>IFERROR(__xludf.DUMMYFUNCTION("""COMPUTED_VALUE"""),"Pros: Barbies, barbecues, and bikinis. Cons: McCarthy, the Korean War, television.")</f>
        <v>Pros: Barbies, barbecues, and bikinis. Cons: McCarthy, the Korean War, television.</v>
      </c>
      <c r="C620" s="13" t="str">
        <f>IFERROR(__xludf.DUMMYFUNCTION("""COMPUTED_VALUE"""),"""o{ya"":{""label"":""The 1950s"",""extra"":""Pros: Barbies, barbecues, and bikinis. Cons: McCarthy, the Korean War, television."",""sets"":""Basic Set, Party Set""},")</f>
        <v>"o{ya":{"label":"The 1950s","extra":"Pros: Barbies, barbecues, and bikinis. Cons: McCarthy, the Korean War, television.","sets":"Basic Set, Party Set"},</v>
      </c>
    </row>
    <row r="621">
      <c r="A621" s="8" t="str">
        <f>IFERROR(__xludf.DUMMYFUNCTION("""COMPUTED_VALUE"""),"The 1960s")</f>
        <v>The 1960s</v>
      </c>
      <c r="B621" s="8" t="str">
        <f>IFERROR(__xludf.DUMMYFUNCTION("""COMPUTED_VALUE"""),"Pros: the Moon Lsnding, the music. Cons: hippies who refuse to believe they’re over.")</f>
        <v>Pros: the Moon Lsnding, the music. Cons: hippies who refuse to believe they’re over.</v>
      </c>
      <c r="C621" s="13" t="str">
        <f>IFERROR(__xludf.DUMMYFUNCTION("""COMPUTED_VALUE"""),"""xesf"":{""label"":""The 1960s"",""extra"":""Pros: the Moon Lsnding, the music. Cons: hippies who refuse to believe they’re over."",""sets"":""Basic Set, Party Set""},")</f>
        <v>"xesf":{"label":"The 1960s","extra":"Pros: the Moon Lsnding, the music. Cons: hippies who refuse to believe they’re over.","sets":"Basic Set, Party Set"},</v>
      </c>
    </row>
    <row r="622">
      <c r="A622" s="8" t="str">
        <f>IFERROR(__xludf.DUMMYFUNCTION("""COMPUTED_VALUE"""),"The 1970s")</f>
        <v>The 1970s</v>
      </c>
      <c r="B622" s="8" t="str">
        <f>IFERROR(__xludf.DUMMYFUNCTION("""COMPUTED_VALUE"""),"Pros… uh… pros… uh… GIVE US A MINUTE, OKAY?")</f>
        <v>Pros… uh… pros… uh… GIVE US A MINUTE, OKAY?</v>
      </c>
      <c r="C622" s="13" t="str">
        <f>IFERROR(__xludf.DUMMYFUNCTION("""COMPUTED_VALUE"""),"""bzxe"":{""label"":""The 1970s"",""extra"":""Pros… uh… pros… uh… GIVE US A MINUTE, OKAY?"",""sets"":""Basic Set, Party Set""},")</f>
        <v>"bzxe":{"label":"The 1970s","extra":"Pros… uh… pros… uh… GIVE US A MINUTE, OKAY?","sets":"Basic Set, Party Set"},</v>
      </c>
    </row>
    <row r="623">
      <c r="A623" s="8" t="str">
        <f>IFERROR(__xludf.DUMMYFUNCTION("""COMPUTED_VALUE"""),"The 1980s")</f>
        <v>The 1980s</v>
      </c>
      <c r="B623" s="8" t="str">
        <f>IFERROR(__xludf.DUMMYFUNCTION("""COMPUTED_VALUE"""),"Pros: meant the end of the 1970s. Cons: ’80s nostalgia.")</f>
        <v>Pros: meant the end of the 1970s. Cons: ’80s nostalgia.</v>
      </c>
      <c r="C623" s="13" t="str">
        <f>IFERROR(__xludf.DUMMYFUNCTION("""COMPUTED_VALUE"""),"""oxoi"":{""label"":""The 1980s"",""extra"":""Pros: meant the end of the 1970s. Cons: ’80s nostalgia."",""sets"":""Basic Set, Party Set""},")</f>
        <v>"oxoi":{"label":"The 1980s","extra":"Pros: meant the end of the 1970s. Cons: ’80s nostalgia.","sets":"Basic Set, Party Set"},</v>
      </c>
    </row>
    <row r="624">
      <c r="A624" s="8" t="str">
        <f>IFERROR(__xludf.DUMMYFUNCTION("""COMPUTED_VALUE"""),"The 21st Century")</f>
        <v>The 21st Century</v>
      </c>
      <c r="B624" s="8" t="str">
        <f>IFERROR(__xludf.DUMMYFUNCTION("""COMPUTED_VALUE"""),"The future is NOW!")</f>
        <v>The future is NOW!</v>
      </c>
      <c r="C624" s="13" t="str">
        <f>IFERROR(__xludf.DUMMYFUNCTION("""COMPUTED_VALUE"""),"""hvty"":{""label"":""The 21st Century"",""extra"":""The future is NOW!"",""sets"":""Basic Set, Party Set""},")</f>
        <v>"hvty":{"label":"The 21st Century","extra":"The future is NOW!","sets":"Basic Set, Party Set"},</v>
      </c>
    </row>
    <row r="625">
      <c r="A625" s="8" t="str">
        <f>IFERROR(__xludf.DUMMYFUNCTION("""COMPUTED_VALUE"""),"The Academy Awards")</f>
        <v>The Academy Awards</v>
      </c>
      <c r="B625" s="8" t="str">
        <f>IFERROR(__xludf.DUMMYFUNCTION("""COMPUTED_VALUE"""),"The statue known as “Oscar” weighs only eight and a half pounds. So why does it carry so much weight?")</f>
        <v>The statue known as “Oscar” weighs only eight and a half pounds. So why does it carry so much weight?</v>
      </c>
      <c r="C625" s="13" t="str">
        <f>IFERROR(__xludf.DUMMYFUNCTION("""COMPUTED_VALUE"""),"""wtbf"":{""label"":""The Academy Awards"",""extra"":""The statue known as “Oscar” weighs only eight and a half pounds. So why does it carry so much weight?"",""sets"":""Basic Set, Party Set""},")</f>
        <v>"wtbf":{"label":"The Academy Awards","extra":"The statue known as “Oscar” weighs only eight and a half pounds. So why does it carry so much weight?","sets":"Basic Set, Party Set"},</v>
      </c>
    </row>
    <row r="626">
      <c r="A626" s="8" t="str">
        <f>IFERROR(__xludf.DUMMYFUNCTION("""COMPUTED_VALUE"""),"The Beach")</f>
        <v>The Beach</v>
      </c>
      <c r="B626" s="8" t="str">
        <f>IFERROR(__xludf.DUMMYFUNCTION("""COMPUTED_VALUE"""),"A day at the beach is no day at the beach, ya know?")</f>
        <v>A day at the beach is no day at the beach, ya know?</v>
      </c>
      <c r="C626" s="13" t="str">
        <f>IFERROR(__xludf.DUMMYFUNCTION("""COMPUTED_VALUE"""),"""sczr"":{""label"":""The Beach"",""extra"":""A day at the beach is no day at the beach, ya know?"",""sets"":""Basic Set, Party Set""},")</f>
        <v>"sczr":{"label":"The Beach","extra":"A day at the beach is no day at the beach, ya know?","sets":"Basic Set, Party Set"},</v>
      </c>
    </row>
    <row r="627">
      <c r="A627" s="8" t="str">
        <f>IFERROR(__xludf.DUMMYFUNCTION("""COMPUTED_VALUE"""),"The Beatles")</f>
        <v>The Beatles</v>
      </c>
      <c r="B627" s="8" t="str">
        <f>IFERROR(__xludf.DUMMYFUNCTION("""COMPUTED_VALUE"""),"1960s British band. Only the most revolutionary, influential and universally acclaimed group of the 20th century. That's all.")</f>
        <v>1960s British band. Only the most revolutionary, influential and universally acclaimed group of the 20th century. That's all.</v>
      </c>
      <c r="C627" s="13" t="str">
        <f>IFERROR(__xludf.DUMMYFUNCTION("""COMPUTED_VALUE"""),"""tvc{"":{""label"":""The Beatles"",""extra"":""1960s British band. Only the most revolutionary, influential and universally acclaimed group of the 20th century. That's all."",""sets"":""Basic Set, Party Set""},")</f>
        <v>"tvc{":{"label":"The Beatles","extra":"1960s British band. Only the most revolutionary, influential and universally acclaimed group of the 20th century. That's all.","sets":"Basic Set, Party Set"},</v>
      </c>
    </row>
    <row r="628">
      <c r="A628" s="8" t="str">
        <f>IFERROR(__xludf.DUMMYFUNCTION("""COMPUTED_VALUE"""),"The CIA")</f>
        <v>The CIA</v>
      </c>
      <c r="B628" s="8" t="str">
        <f>IFERROR(__xludf.DUMMYFUNCTION("""COMPUTED_VALUE"""),"The Central Intelligence Agency is responsible for keeping the U.S. government informed of foreign actions affecting the nation’s interest.")</f>
        <v>The Central Intelligence Agency is responsible for keeping the U.S. government informed of foreign actions affecting the nation’s interest.</v>
      </c>
      <c r="C628" s="13" t="str">
        <f>IFERROR(__xludf.DUMMYFUNCTION("""COMPUTED_VALUE"""),"""osud"":{""label"":""The CIA"",""extra"":""The Central Intelligence Agency is responsible for keeping the U.S. government informed of foreign actions affecting the nation’s interest."",""sets"":""Expansion Set 2, Party Set""},")</f>
        <v>"osud":{"label":"The CIA","extra":"The Central Intelligence Agency is responsible for keeping the U.S. government informed of foreign actions affecting the nation’s interest.","sets":"Expansion Set 2, Party Set"},</v>
      </c>
    </row>
    <row r="629">
      <c r="A629" s="8" t="str">
        <f>IFERROR(__xludf.DUMMYFUNCTION("""COMPUTED_VALUE"""),"The Cold War")</f>
        <v>The Cold War</v>
      </c>
      <c r="B629" s="8" t="str">
        <f>IFERROR(__xludf.DUMMYFUNCTION("""COMPUTED_VALUE"""),"The post-World War II struggle between the US and its allies, and the former USSR and its allies. Things could have gotten hot.")</f>
        <v>The post-World War II struggle between the US and its allies, and the former USSR and its allies. Things could have gotten hot.</v>
      </c>
      <c r="C629" s="13" t="str">
        <f>IFERROR(__xludf.DUMMYFUNCTION("""COMPUTED_VALUE"""),"""wypy"":{""label"":""The Cold War"",""extra"":""The post-World War II struggle between the US and its allies, and the former USSR and its allies. Things could have gotten hot."",""sets"":""Expansion Set 1, Party Set""},")</f>
        <v>"wypy":{"label":"The Cold War","extra":"The post-World War II struggle between the US and its allies, and the former USSR and its allies. Things could have gotten hot.","sets":"Expansion Set 1, Party Set"},</v>
      </c>
    </row>
    <row r="630">
      <c r="A630" s="8" t="str">
        <f>IFERROR(__xludf.DUMMYFUNCTION("""COMPUTED_VALUE"""),"The Common Loon")</f>
        <v>The Common Loon</v>
      </c>
      <c r="B630" s="8" t="str">
        <f>IFERROR(__xludf.DUMMYFUNCTION("""COMPUTED_VALUE"""),"A spotted, red-eyed diving birdor various friends or family.")</f>
        <v>A spotted, red-eyed diving birdor various friends or family.</v>
      </c>
      <c r="C630" s="13" t="str">
        <f>IFERROR(__xludf.DUMMYFUNCTION("""COMPUTED_VALUE"""),"""kksu"":{""label"":""The Common Loon"",""extra"":""A spotted, red-eyed diving birdor various friends or family."",""sets"":""Expansion Set 1, Party Set""},")</f>
        <v>"kksu":{"label":"The Common Loon","extra":"A spotted, red-eyed diving birdor various friends or family.","sets":"Expansion Set 1, Party Set"},</v>
      </c>
    </row>
    <row r="631">
      <c r="A631" s="8" t="str">
        <f>IFERROR(__xludf.DUMMYFUNCTION("""COMPUTED_VALUE"""),"The Dallas Cowboys")</f>
        <v>The Dallas Cowboys</v>
      </c>
      <c r="B631" s="8" t="str">
        <f>IFERROR(__xludf.DUMMYFUNCTION("""COMPUTED_VALUE"""),"National Football League team known for their cheerleaders and their performance, both on and off the field.")</f>
        <v>National Football League team known for their cheerleaders and their performance, both on and off the field.</v>
      </c>
      <c r="C631" s="13" t="str">
        <f>IFERROR(__xludf.DUMMYFUNCTION("""COMPUTED_VALUE"""),"""dgqt"":{""label"":""The Dallas Cowboys"",""extra"":""National Football League team known for their cheerleaders and their performance, both on and off the field."",""sets"":""Expansion Set 1, Party Set""},")</f>
        <v>"dgqt":{"label":"The Dallas Cowboys","extra":"National Football League team known for their cheerleaders and their performance, both on and off the field.","sets":"Expansion Set 1, Party Set"},</v>
      </c>
    </row>
    <row r="632">
      <c r="A632" s="8" t="str">
        <f>IFERROR(__xludf.DUMMYFUNCTION("""COMPUTED_VALUE"""),"The Dump")</f>
        <v>The Dump</v>
      </c>
      <c r="B632" s="8" t="str">
        <f>IFERROR(__xludf.DUMMYFUNCTION("""COMPUTED_VALUE"""),"Just remember to recycle.")</f>
        <v>Just remember to recycle.</v>
      </c>
      <c r="C632" s="13" t="str">
        <f>IFERROR(__xludf.DUMMYFUNCTION("""COMPUTED_VALUE"""),"""c{ml"":{""label"":""The Dump"",""extra"":""Just remember to recycle."",""sets"":""Basic Set, Party Set""},")</f>
        <v>"c{ml":{"label":"The Dump","extra":"Just remember to recycle.","sets":"Basic Set, Party Set"},</v>
      </c>
    </row>
    <row r="633">
      <c r="A633" s="8" t="str">
        <f>IFERROR(__xludf.DUMMYFUNCTION("""COMPUTED_VALUE"""),"The Eiffel Tower")</f>
        <v>The Eiffel Tower</v>
      </c>
      <c r="B633" s="8" t="str">
        <f>IFERROR(__xludf.DUMMYFUNCTION("""COMPUTED_VALUE"""),"Designed and built by French engineer Alexandre Gustave Eiffel for the Paris World's Fair of 1889.")</f>
        <v>Designed and built by French engineer Alexandre Gustave Eiffel for the Paris World's Fair of 1889.</v>
      </c>
      <c r="C633" s="13" t="str">
        <f>IFERROR(__xludf.DUMMYFUNCTION("""COMPUTED_VALUE"""),"""szmh"":{""label"":""The Eiffel Tower"",""extra"":""Designed and built by French engineer Alexandre Gustave Eiffel for the Paris World's Fair of 1889."",""sets"":""Basic Set, Party Set""},")</f>
        <v>"szmh":{"label":"The Eiffel Tower","extra":"Designed and built by French engineer Alexandre Gustave Eiffel for the Paris World's Fair of 1889.","sets":"Basic Set, Party Set"},</v>
      </c>
    </row>
    <row r="634">
      <c r="A634" s="8" t="str">
        <f>IFERROR(__xludf.DUMMYFUNCTION("""COMPUTED_VALUE"""),"The Electric Chair")</f>
        <v>The Electric Chair</v>
      </c>
      <c r="B634" s="8" t="str">
        <f>IFERROR(__xludf.DUMMYFUNCTION("""COMPUTED_VALUE"""),"In U.S. prisons, an alternating current of about 2000 volts is used for electrocution.")</f>
        <v>In U.S. prisons, an alternating current of about 2000 volts is used for electrocution.</v>
      </c>
      <c r="C634" s="13" t="str">
        <f>IFERROR(__xludf.DUMMYFUNCTION("""COMPUTED_VALUE"""),"""rljo"":{""label"":""The Electric Chair"",""extra"":""In U.S. prisons, an alternating current of about 2000 volts is used for electrocution."",""sets"":""Basic Set, Party Set""},")</f>
        <v>"rljo":{"label":"The Electric Chair","extra":"In U.S. prisons, an alternating current of about 2000 volts is used for electrocution.","sets":"Basic Set, Party Set"},</v>
      </c>
    </row>
    <row r="635">
      <c r="A635" s="8" t="str">
        <f>IFERROR(__xludf.DUMMYFUNCTION("""COMPUTED_VALUE"""),"The End Of The World")</f>
        <v>The End Of The World</v>
      </c>
      <c r="B635" s="8" t="str">
        <f>IFERROR(__xludf.DUMMYFUNCTION("""COMPUTED_VALUE"""),"“It's the end of the world as we know it, and I feel fine…” —REM")</f>
        <v>“It's the end of the world as we know it, and I feel fine…” —REM</v>
      </c>
      <c r="C635" s="13" t="str">
        <f>IFERROR(__xludf.DUMMYFUNCTION("""COMPUTED_VALUE"""),"""lmkw"":{""label"":""The End Of The World"",""extra"":""“It's the end of the world as we know it, and I feel fine…” —REM"",""sets"":""Expansion Set 1, Party Set""},")</f>
        <v>"lmkw":{"label":"The End Of The World","extra":"“It's the end of the world as we know it, and I feel fine…” —REM","sets":"Expansion Set 1, Party Set"},</v>
      </c>
    </row>
    <row r="636">
      <c r="A636" s="8" t="str">
        <f>IFERROR(__xludf.DUMMYFUNCTION("""COMPUTED_VALUE"""),"The Everglades")</f>
        <v>The Everglades</v>
      </c>
      <c r="B636" s="8" t="str">
        <f>IFERROR(__xludf.DUMMYFUNCTION("""COMPUTED_VALUE"""),"A vast marsh covering much of southern Florida. Watch out for alligators!")</f>
        <v>A vast marsh covering much of southern Florida. Watch out for alligators!</v>
      </c>
      <c r="C636" s="13" t="str">
        <f>IFERROR(__xludf.DUMMYFUNCTION("""COMPUTED_VALUE"""),"""efwr"":{""label"":""The Everglades"",""extra"":""A vast marsh covering much of southern Florida. Watch out for alligators!"",""sets"":""Expansion Set 1, Party Set""},")</f>
        <v>"efwr":{"label":"The Everglades","extra":"A vast marsh covering much of southern Florida. Watch out for alligators!","sets":"Expansion Set 1, Party Set"},</v>
      </c>
    </row>
    <row r="637">
      <c r="A637" s="8" t="str">
        <f>IFERROR(__xludf.DUMMYFUNCTION("""COMPUTED_VALUE"""),"The Far Left")</f>
        <v>The Far Left</v>
      </c>
      <c r="B637" s="8" t="str">
        <f>IFERROR(__xludf.DUMMYFUNCTION("""COMPUTED_VALUE"""),"They get high Marx from some.")</f>
        <v>They get high Marx from some.</v>
      </c>
      <c r="C637" s="13" t="str">
        <f>IFERROR(__xludf.DUMMYFUNCTION("""COMPUTED_VALUE"""),"""wejd"":{""label"":""The Far Left"",""extra"":""They get high Marx from some."",""sets"":""Expansion Set 2, Party Set""},")</f>
        <v>"wejd":{"label":"The Far Left","extra":"They get high Marx from some.","sets":"Expansion Set 2, Party Set"},</v>
      </c>
    </row>
    <row r="638">
      <c r="A638" s="8" t="str">
        <f>IFERROR(__xludf.DUMMYFUNCTION("""COMPUTED_VALUE"""),"The Far Right")</f>
        <v>The Far Right</v>
      </c>
      <c r="B638" s="8" t="str">
        <f>IFERROR(__xludf.DUMMYFUNCTION("""COMPUTED_VALUE"""),"Far right for some and far wrong for others.")</f>
        <v>Far right for some and far wrong for others.</v>
      </c>
      <c r="C638" s="13" t="str">
        <f>IFERROR(__xludf.DUMMYFUNCTION("""COMPUTED_VALUE"""),"""tjtf"":{""label"":""The Far Right"",""extra"":""Far right for some and far wrong for others."",""sets"":""Expansion Set 2, Party Set""},")</f>
        <v>"tjtf":{"label":"The Far Right","extra":"Far right for some and far wrong for others.","sets":"Expansion Set 2, Party Set"},</v>
      </c>
    </row>
    <row r="639">
      <c r="A639" s="8" t="str">
        <f>IFERROR(__xludf.DUMMYFUNCTION("""COMPUTED_VALUE"""),"The FBI")</f>
        <v>The FBI</v>
      </c>
      <c r="B639" s="8" t="str">
        <f>IFERROR(__xludf.DUMMYFUNCTION("""COMPUTED_VALUE"""),"The Federal Bureau of Investigation: the investigative agency for the U.S. Department of Justice. They’re listening…")</f>
        <v>The Federal Bureau of Investigation: the investigative agency for the U.S. Department of Justice. They’re listening…</v>
      </c>
      <c r="C639" s="13" t="str">
        <f>IFERROR(__xludf.DUMMYFUNCTION("""COMPUTED_VALUE"""),"""ckjq"":{""label"":""The FBI"",""extra"":""The Federal Bureau of Investigation: the investigative agency for the U.S. Department of Justice. They’re listening…"",""sets"":""Expansion Set 1, Party Set""},")</f>
        <v>"ckjq":{"label":"The FBI","extra":"The Federal Bureau of Investigation: the investigative agency for the U.S. Department of Justice. They’re listening…","sets":"Expansion Set 1, Party Set"},</v>
      </c>
    </row>
    <row r="640">
      <c r="A640" s="8" t="str">
        <f>IFERROR(__xludf.DUMMYFUNCTION("""COMPUTED_VALUE"""),"The First Day Of School")</f>
        <v>The First Day Of School</v>
      </c>
      <c r="B640" s="8" t="str">
        <f>IFERROR(__xludf.DUMMYFUNCTION("""COMPUTED_VALUE"""),"“Fear has many eyes.” —Cervantes")</f>
        <v>“Fear has many eyes.” —Cervantes</v>
      </c>
      <c r="C640" s="13" t="str">
        <f>IFERROR(__xludf.DUMMYFUNCTION("""COMPUTED_VALUE"""),"""qsxo"":{""label"":""The First Day Of School"",""extra"":""“Fear has many eyes.” —Cervantes"",""sets"":""Basic Set, Party Set""},")</f>
        <v>"qsxo":{"label":"The First Day Of School","extra":"“Fear has many eyes.” —Cervantes","sets":"Basic Set, Party Set"},</v>
      </c>
    </row>
    <row r="641">
      <c r="A641" s="8" t="str">
        <f>IFERROR(__xludf.DUMMYFUNCTION("""COMPUTED_VALUE"""),"The French Riviera")</f>
        <v>The French Riviera</v>
      </c>
      <c r="B641" s="8" t="str">
        <f>IFERROR(__xludf.DUMMYFUNCTION("""COMPUTED_VALUE"""),"Holiday home of the rich, the famous, and the half-naked.")</f>
        <v>Holiday home of the rich, the famous, and the half-naked.</v>
      </c>
      <c r="C641" s="13" t="str">
        <f>IFERROR(__xludf.DUMMYFUNCTION("""COMPUTED_VALUE"""),"""coad"":{""label"":""The French Riviera"",""extra"":""Holiday home of the rich, the famous, and the half-naked."",""sets"":""Basic Set, Party Set""},")</f>
        <v>"coad":{"label":"The French Riviera","extra":"Holiday home of the rich, the famous, and the half-naked.","sets":"Basic Set, Party Set"},</v>
      </c>
    </row>
    <row r="642">
      <c r="A642" s="8" t="str">
        <f>IFERROR(__xludf.DUMMYFUNCTION("""COMPUTED_VALUE"""),"The Godfather")</f>
        <v>The Godfather</v>
      </c>
      <c r="B642" s="8" t="str">
        <f>IFERROR(__xludf.DUMMYFUNCTION("""COMPUTED_VALUE"""),"The 1972 critically acclaimed Mafia movie that made us as offer we couldn't refuse.")</f>
        <v>The 1972 critically acclaimed Mafia movie that made us as offer we couldn't refuse.</v>
      </c>
      <c r="C642" s="13" t="str">
        <f>IFERROR(__xludf.DUMMYFUNCTION("""COMPUTED_VALUE"""),"""piuh"":{""label"":""The Godfather"",""extra"":""The 1972 critically acclaimed Mafia movie that made us as offer we couldn't refuse."",""sets"":""Expansion Set 1, Party Set""},")</f>
        <v>"piuh":{"label":"The Godfather","extra":"The 1972 critically acclaimed Mafia movie that made us as offer we couldn't refuse.","sets":"Expansion Set 1, Party Set"},</v>
      </c>
    </row>
    <row r="643">
      <c r="A643" s="8" t="str">
        <f>IFERROR(__xludf.DUMMYFUNCTION("""COMPUTED_VALUE"""),"The Grand Canyon")</f>
        <v>The Grand Canyon</v>
      </c>
      <c r="B643" s="8" t="str">
        <f>IFERROR(__xludf.DUMMYFUNCTION("""COMPUTED_VALUE"""),"217 miles long, 4 to 18 miles wide, and more than 1 mile deeps. Now THAT'S grand.")</f>
        <v>217 miles long, 4 to 18 miles wide, and more than 1 mile deeps. Now THAT'S grand.</v>
      </c>
      <c r="C643" s="13" t="str">
        <f>IFERROR(__xludf.DUMMYFUNCTION("""COMPUTED_VALUE"""),"""vimi"":{""label"":""The Grand Canyon"",""extra"":""217 miles long, 4 to 18 miles wide, and more than 1 mile deeps. Now THAT'S grand."",""sets"":""Basic Set, Party Set""},")</f>
        <v>"vimi":{"label":"The Grand Canyon","extra":"217 miles long, 4 to 18 miles wide, and more than 1 mile deeps. Now THAT'S grand.","sets":"Basic Set, Party Set"},</v>
      </c>
    </row>
    <row r="644">
      <c r="A644" s="8" t="str">
        <f>IFERROR(__xludf.DUMMYFUNCTION("""COMPUTED_VALUE"""),"The Grateful Dead")</f>
        <v>The Grateful Dead</v>
      </c>
      <c r="B644" s="8" t="str">
        <f>IFERROR(__xludf.DUMMYFUNCTION("""COMPUTED_VALUE"""),"American rock band, founded in 1965 and best known for their “Dead Head” fans.")</f>
        <v>American rock band, founded in 1965 and best known for their “Dead Head” fans.</v>
      </c>
      <c r="C644" s="13" t="str">
        <f>IFERROR(__xludf.DUMMYFUNCTION("""COMPUTED_VALUE"""),"""wokz"":{""label"":""The Grateful Dead"",""extra"":""American rock band, founded in 1965 and best known for their “Dead Head” fans."",""sets"":""Basic Set, Party Set""},")</f>
        <v>"wokz":{"label":"The Grateful Dead","extra":"American rock band, founded in 1965 and best known for their “Dead Head” fans.","sets":"Basic Set, Party Set"},</v>
      </c>
    </row>
    <row r="645">
      <c r="A645" s="8" t="str">
        <f>IFERROR(__xludf.DUMMYFUNCTION("""COMPUTED_VALUE"""),"The Great Chicago Fire")</f>
        <v>The Great Chicago Fire</v>
      </c>
      <c r="B645" s="8" t="str">
        <f>IFERROR(__xludf.DUMMYFUNCTION("""COMPUTED_VALUE"""),"The noteworthy fire of 1871… a hot time in the old town…")</f>
        <v>The noteworthy fire of 1871… a hot time in the old town…</v>
      </c>
      <c r="C645" s="13" t="str">
        <f>IFERROR(__xludf.DUMMYFUNCTION("""COMPUTED_VALUE"""),"""q{ok"":{""label"":""The Great Chicago Fire"",""extra"":""The noteworthy fire of 1871… a hot time in the old town…"",""sets"":""Expansion Set 1, Party Set""},")</f>
        <v>"q{ok":{"label":"The Great Chicago Fire","extra":"The noteworthy fire of 1871… a hot time in the old town…","sets":"Expansion Set 1, Party Set"},</v>
      </c>
    </row>
    <row r="646">
      <c r="A646" s="8" t="str">
        <f>IFERROR(__xludf.DUMMYFUNCTION("""COMPUTED_VALUE"""),"The Great Depression")</f>
        <v>The Great Depression</v>
      </c>
      <c r="B646" s="8" t="str">
        <f>IFERROR(__xludf.DUMMYFUNCTION("""COMPUTED_VALUE"""),"Prozac was invented six decades too late.")</f>
        <v>Prozac was invented six decades too late.</v>
      </c>
      <c r="C646" s="13" t="str">
        <f>IFERROR(__xludf.DUMMYFUNCTION("""COMPUTED_VALUE"""),"""xdfz"":{""label"":""The Great Depression"",""extra"":""Prozac was invented six decades too late."",""sets"":""Basic Set, Party Set""},")</f>
        <v>"xdfz":{"label":"The Great Depression","extra":"Prozac was invented six decades too late.","sets":"Basic Set, Party Set"},</v>
      </c>
    </row>
    <row r="647">
      <c r="A647" s="8" t="str">
        <f>IFERROR(__xludf.DUMMYFUNCTION("""COMPUTED_VALUE"""),"The Green Bay Packers")</f>
        <v>The Green Bay Packers</v>
      </c>
      <c r="B647" s="8" t="str">
        <f>IFERROR(__xludf.DUMMYFUNCTION("""COMPUTED_VALUE"""),"Twelve time National Football League world champions, beloved by “Cheeseheads” everywhere. Are those brats done yet?")</f>
        <v>Twelve time National Football League world champions, beloved by “Cheeseheads” everywhere. Are those brats done yet?</v>
      </c>
      <c r="C647" s="13" t="str">
        <f>IFERROR(__xludf.DUMMYFUNCTION("""COMPUTED_VALUE"""),"""gxe{"":{""label"":""The Green Bay Packers"",""extra"":""Twelve time National Football League world champions, beloved by “Cheeseheads” everywhere. Are those brats done yet?"",""sets"":""Basic Set, Party Set""},")</f>
        <v>"gxe{":{"label":"The Green Bay Packers","extra":"Twelve time National Football League world champions, beloved by “Cheeseheads” everywhere. Are those brats done yet?","sets":"Basic Set, Party Set"},</v>
      </c>
    </row>
    <row r="648">
      <c r="A648" s="8" t="str">
        <f>IFERROR(__xludf.DUMMYFUNCTION("""COMPUTED_VALUE"""),"The Gulf War")</f>
        <v>The Gulf War</v>
      </c>
      <c r="B648" s="8" t="str">
        <f>IFERROR(__xludf.DUMMYFUNCTION("""COMPUTED_VALUE"""),"JanuaryFebruary, 1991. This six week conflict with Iraq was also known as “Desert Storm.”")</f>
        <v>JanuaryFebruary, 1991. This six week conflict with Iraq was also known as “Desert Storm.”</v>
      </c>
      <c r="C648" s="13" t="str">
        <f>IFERROR(__xludf.DUMMYFUNCTION("""COMPUTED_VALUE"""),"""cozo"":{""label"":""The Gulf War"",""extra"":""JanuaryFebruary, 1991. This six week conflict with Iraq was also known as “Desert Storm.”"",""sets"":""Basic Set, Party Set""},")</f>
        <v>"cozo":{"label":"The Gulf War","extra":"JanuaryFebruary, 1991. This six week conflict with Iraq was also known as “Desert Storm.”","sets":"Basic Set, Party Set"},</v>
      </c>
    </row>
    <row r="649">
      <c r="A649" s="8" t="str">
        <f>IFERROR(__xludf.DUMMYFUNCTION("""COMPUTED_VALUE"""),"The Indy 500")</f>
        <v>The Indy 500</v>
      </c>
      <c r="B649" s="8" t="str">
        <f>IFERROR(__xludf.DUMMYFUNCTION("""COMPUTED_VALUE"""),"Contestants must drive the full 500 miles. Bathroom breaks ARE allowed.")</f>
        <v>Contestants must drive the full 500 miles. Bathroom breaks ARE allowed.</v>
      </c>
      <c r="C649" s="13" t="str">
        <f>IFERROR(__xludf.DUMMYFUNCTION("""COMPUTED_VALUE"""),"""mvhw"":{""label"":""The Indy 500"",""extra"":""Contestants must drive the full 500 miles. Bathroom breaks ARE allowed."",""sets"":""Basic Set, Party Set""},")</f>
        <v>"mvhw":{"label":"The Indy 500","extra":"Contestants must drive the full 500 miles. Bathroom breaks ARE allowed.","sets":"Basic Set, Party Set"},</v>
      </c>
    </row>
    <row r="650">
      <c r="A650" s="8" t="str">
        <f>IFERROR(__xludf.DUMMYFUNCTION("""COMPUTED_VALUE"""),"The Internet")</f>
        <v>The Internet</v>
      </c>
      <c r="B650" s="8" t="str">
        <f>IFERROR(__xludf.DUMMYFUNCTION("""COMPUTED_VALUE"""),"Computer-based worldwide information network, and global shopping market.")</f>
        <v>Computer-based worldwide information network, and global shopping market.</v>
      </c>
      <c r="C650" s="13" t="str">
        <f>IFERROR(__xludf.DUMMYFUNCTION("""COMPUTED_VALUE"""),"""iluo"":{""label"":""The Internet"",""extra"":""Computer-based worldwide information network, and global shopping market."",""sets"":""Expansion Set 2, Party Set""},")</f>
        <v>"iluo":{"label":"The Internet","extra":"Computer-based worldwide information network, and global shopping market.","sets":"Expansion Set 2, Party Set"},</v>
      </c>
    </row>
    <row r="651">
      <c r="A651" s="8" t="str">
        <f>IFERROR(__xludf.DUMMYFUNCTION("""COMPUTED_VALUE"""),"The IRS")</f>
        <v>The IRS</v>
      </c>
      <c r="B651" s="8" t="str">
        <f>IFERROR(__xludf.DUMMYFUNCTION("""COMPUTED_VALUE"""),"The Internal Revenue Service: agency of the U.S. Department of the Treasury responsible for collecting taxes. A human audity.")</f>
        <v>The Internal Revenue Service: agency of the U.S. Department of the Treasury responsible for collecting taxes. A human audity.</v>
      </c>
      <c r="C651" s="13" t="str">
        <f>IFERROR(__xludf.DUMMYFUNCTION("""COMPUTED_VALUE"""),"""hcym"":{""label"":""The IRS"",""extra"":""The Internal Revenue Service: agency of the U.S. Department of the Treasury responsible for collecting taxes. A human audity."",""sets"":""Expansion Set 1, Party Set""},")</f>
        <v>"hcym":{"label":"The IRS","extra":"The Internal Revenue Service: agency of the U.S. Department of the Treasury responsible for collecting taxes. A human audity.","sets":"Expansion Set 1, Party Set"},</v>
      </c>
    </row>
    <row r="652">
      <c r="A652" s="8" t="str">
        <f>IFERROR(__xludf.DUMMYFUNCTION("""COMPUTED_VALUE"""),"The JFK Assassination")</f>
        <v>The JFK Assassination</v>
      </c>
      <c r="B652" s="8" t="str">
        <f>IFERROR(__xludf.DUMMYFUNCTION("""COMPUTED_VALUE"""),"November 22, 1963. The funeral of President Kennedy was watched on television by millions around the world.")</f>
        <v>November 22, 1963. The funeral of President Kennedy was watched on television by millions around the world.</v>
      </c>
      <c r="C652" s="13" t="str">
        <f>IFERROR(__xludf.DUMMYFUNCTION("""COMPUTED_VALUE"""),"""uwna"":{""label"":""The JFK Assassination"",""extra"":""November 22, 1963. The funeral of President Kennedy was watched on television by millions around the world."",""sets"":""Basic Set, Party Set""},")</f>
        <v>"uwna":{"label":"The JFK Assassination","extra":"November 22, 1963. The funeral of President Kennedy was watched on television by millions around the world.","sets":"Basic Set, Party Set"},</v>
      </c>
    </row>
    <row r="653">
      <c r="A653" s="8" t="str">
        <f>IFERROR(__xludf.DUMMYFUNCTION("""COMPUTED_VALUE"""),"The KKK")</f>
        <v>The KKK</v>
      </c>
      <c r="B653" s="8" t="str">
        <f>IFERROR(__xludf.DUMMYFUNCTION("""COMPUTED_VALUE"""),"IF they're supposed to be the master race, why do they keep misspelling “Clan”?")</f>
        <v>IF they're supposed to be the master race, why do they keep misspelling “Clan”?</v>
      </c>
      <c r="C653" s="13" t="str">
        <f>IFERROR(__xludf.DUMMYFUNCTION("""COMPUTED_VALUE"""),"""hvfr"":{""label"":""The KKK"",""extra"":""IF they're supposed to be the master race, why do they keep misspelling “Clan”?"",""sets"":""Basic Set, Party Set""},")</f>
        <v>"hvfr":{"label":"The KKK","extra":"IF they're supposed to be the master race, why do they keep misspelling “Clan”?","sets":"Basic Set, Party Set"},</v>
      </c>
    </row>
    <row r="654">
      <c r="A654" s="8" t="str">
        <f>IFERROR(__xludf.DUMMYFUNCTION("""COMPUTED_VALUE"""),"The Land Of Oz")</f>
        <v>The Land Of Oz</v>
      </c>
      <c r="B654" s="8" t="str">
        <f>IFERROR(__xludf.DUMMYFUNCTION("""COMPUTED_VALUE"""),"“Toto, I’ve a feeling we're not in Kansas anymore.” —Dorothy, “The Wizard Of Oz”")</f>
        <v>“Toto, I’ve a feeling we're not in Kansas anymore.” —Dorothy, “The Wizard Of Oz”</v>
      </c>
      <c r="C654" s="13" t="str">
        <f>IFERROR(__xludf.DUMMYFUNCTION("""COMPUTED_VALUE"""),"""ckrq"":{""label"":""The Land Of Oz"",""extra"":""“Toto, I’ve a feeling we're not in Kansas anymore.” —Dorothy, “The Wizard Of Oz”"",""sets"":""Basic Set, Party Set""},")</f>
        <v>"ckrq":{"label":"The Land Of Oz","extra":"“Toto, I’ve a feeling we're not in Kansas anymore.” —Dorothy, “The Wizard Of Oz”","sets":"Basic Set, Party Set"},</v>
      </c>
    </row>
    <row r="655">
      <c r="A655" s="8" t="str">
        <f>IFERROR(__xludf.DUMMYFUNCTION("""COMPUTED_VALUE"""),"The Little Mermaid")</f>
        <v>The Little Mermaid</v>
      </c>
      <c r="B655" s="8" t="str">
        <f>IFERROR(__xludf.DUMMYFUNCTION("""COMPUTED_VALUE"""),"The 1837 story by Hans Christian Anderson or the 1989 animated film by Disney. Guess which made more money?")</f>
        <v>The 1837 story by Hans Christian Anderson or the 1989 animated film by Disney. Guess which made more money?</v>
      </c>
      <c r="C655" s="13" t="str">
        <f>IFERROR(__xludf.DUMMYFUNCTION("""COMPUTED_VALUE"""),"""dvtk"":{""label"":""The Little Mermaid"",""extra"":""The 1837 story by Hans Christian Anderson or the 1989 animated film by Disney. Guess which made more money?"",""sets"":""Expansion Set 1, Party Set""},")</f>
        <v>"dvtk":{"label":"The Little Mermaid","extra":"The 1837 story by Hans Christian Anderson or the 1989 animated film by Disney. Guess which made more money?","sets":"Expansion Set 1, Party Set"},</v>
      </c>
    </row>
    <row r="656">
      <c r="A656" s="8" t="str">
        <f>IFERROR(__xludf.DUMMYFUNCTION("""COMPUTED_VALUE"""),"The Mafia")</f>
        <v>The Mafia</v>
      </c>
      <c r="B656" s="8" t="str">
        <f>IFERROR(__xludf.DUMMYFUNCTION("""COMPUTED_VALUE"""),"A loose association of criminal groups, bound by a blood oath and sworn to secrecy. Of course, now we have to kill you.")</f>
        <v>A loose association of criminal groups, bound by a blood oath and sworn to secrecy. Of course, now we have to kill you.</v>
      </c>
      <c r="C656" s="13" t="str">
        <f>IFERROR(__xludf.DUMMYFUNCTION("""COMPUTED_VALUE"""),"""jhte"":{""label"":""The Mafia"",""extra"":""A loose association of criminal groups, bound by a blood oath and sworn to secrecy. Of course, now we have to kill you."",""sets"":""Basic Set, Party Set""},")</f>
        <v>"jhte":{"label":"The Mafia","extra":"A loose association of criminal groups, bound by a blood oath and sworn to secrecy. Of course, now we have to kill you.","sets":"Basic Set, Party Set"},</v>
      </c>
    </row>
    <row r="657">
      <c r="A657" s="8" t="str">
        <f>IFERROR(__xludf.DUMMYFUNCTION("""COMPUTED_VALUE"""),"The Marx Brothers")</f>
        <v>The Marx Brothers</v>
      </c>
      <c r="B657" s="8" t="str">
        <f>IFERROR(__xludf.DUMMYFUNCTION("""COMPUTED_VALUE"""),"Chico, Groucho, Harpo, amd sometimes Zeppo. Their 1930s films include Duck Soup and Animal Crackers.")</f>
        <v>Chico, Groucho, Harpo, amd sometimes Zeppo. Their 1930s films include Duck Soup and Animal Crackers.</v>
      </c>
      <c r="C657" s="13" t="str">
        <f>IFERROR(__xludf.DUMMYFUNCTION("""COMPUTED_VALUE"""),"""wkqp"":{""label"":""The Marx Brothers"",""extra"":""Chico, Groucho, Harpo, amd sometimes Zeppo. Their 1930s films include Duck Soup and Animal Crackers."",""sets"":""Basic Set, Party Set""},")</f>
        <v>"wkqp":{"label":"The Marx Brothers","extra":"Chico, Groucho, Harpo, amd sometimes Zeppo. Their 1930s films include Duck Soup and Animal Crackers.","sets":"Basic Set, Party Set"},</v>
      </c>
    </row>
    <row r="658">
      <c r="A658" s="8" t="str">
        <f>IFERROR(__xludf.DUMMYFUNCTION("""COMPUTED_VALUE"""),"The Metric System")</f>
        <v>The Metric System</v>
      </c>
      <c r="B658" s="8" t="str">
        <f>IFERROR(__xludf.DUMMYFUNCTION("""COMPUTED_VALUE"""),"No, thank you. We like our inches and feet!")</f>
        <v>No, thank you. We like our inches and feet!</v>
      </c>
      <c r="C658" s="13" t="str">
        <f>IFERROR(__xludf.DUMMYFUNCTION("""COMPUTED_VALUE"""),"""dze{"":{""label"":""The Metric System"",""extra"":""No, thank you. We like our inches and feet!"",""sets"":""Expansion Set 1, Party Set""},")</f>
        <v>"dze{":{"label":"The Metric System","extra":"No, thank you. We like our inches and feet!","sets":"Expansion Set 1, Party Set"},</v>
      </c>
    </row>
    <row r="659">
      <c r="A659" s="8" t="str">
        <f>IFERROR(__xludf.DUMMYFUNCTION("""COMPUTED_VALUE"""),"The Midwest")</f>
        <v>The Midwest</v>
      </c>
      <c r="B659" s="8" t="str">
        <f>IFERROR(__xludf.DUMMYFUNCTION("""COMPUTED_VALUE"""),"America’s central plains states. They’re not like folks ’round here…")</f>
        <v>America’s central plains states. They’re not like folks ’round here…</v>
      </c>
      <c r="C659" s="13" t="str">
        <f>IFERROR(__xludf.DUMMYFUNCTION("""COMPUTED_VALUE"""),"""gvmh"":{""label"":""The Midwest"",""extra"":""America’s central plains states. They’re not like folks ’round here…"",""sets"":""Basic Set, Party Set""},")</f>
        <v>"gvmh":{"label":"The Midwest","extra":"America’s central plains states. They’re not like folks ’round here…","sets":"Basic Set, Party Set"},</v>
      </c>
    </row>
    <row r="660">
      <c r="A660" s="8" t="str">
        <f>IFERROR(__xludf.DUMMYFUNCTION("""COMPUTED_VALUE"""),"The Milky Way")</f>
        <v>The Milky Way</v>
      </c>
      <c r="B660" s="8" t="str">
        <f>IFERROR(__xludf.DUMMYFUNCTION("""COMPUTED_VALUE"""),"The galaxy that includes the sun, its solar system, and a chewy layer of caramel.")</f>
        <v>The galaxy that includes the sun, its solar system, and a chewy layer of caramel.</v>
      </c>
      <c r="C660" s="13" t="str">
        <f>IFERROR(__xludf.DUMMYFUNCTION("""COMPUTED_VALUE"""),"""ffai"":{""label"":""The Milky Way"",""extra"":""The galaxy that includes the sun, its solar system, and a chewy layer of caramel."",""sets"":""Basic Set, Party Set""},")</f>
        <v>"ffai":{"label":"The Milky Way","extra":"The galaxy that includes the sun, its solar system, and a chewy layer of caramel.","sets":"Basic Set, Party Set"},</v>
      </c>
    </row>
    <row r="661">
      <c r="A661" s="8" t="str">
        <f>IFERROR(__xludf.DUMMYFUNCTION("""COMPUTED_VALUE"""),"The Mississippi River")</f>
        <v>The Mississippi River</v>
      </c>
      <c r="B661" s="8" t="str">
        <f>IFERROR(__xludf.DUMMYFUNCTION("""COMPUTED_VALUE"""),"The Algonquin words “Misi sipi” mean “big river.” What's Algonquin for “muddy”?")</f>
        <v>The Algonquin words “Misi sipi” mean “big river.” What's Algonquin for “muddy”?</v>
      </c>
      <c r="C661" s="13" t="str">
        <f>IFERROR(__xludf.DUMMYFUNCTION("""COMPUTED_VALUE"""),"""jlxo"":{""label"":""The Mississippi River"",""extra"":""The Algonquin words “Misi sipi” mean “big river.” What's Algonquin for “muddy”?"",""sets"":""Basic Set, Party Set""},")</f>
        <v>"jlxo":{"label":"The Mississippi River","extra":"The Algonquin words “Misi sipi” mean “big river.” What's Algonquin for “muddy”?","sets":"Basic Set, Party Set"},</v>
      </c>
    </row>
    <row r="662">
      <c r="A662" s="8" t="str">
        <f>IFERROR(__xludf.DUMMYFUNCTION("""COMPUTED_VALUE"""),"The National Enquirer")</f>
        <v>The National Enquirer</v>
      </c>
      <c r="B662" s="8" t="str">
        <f>IFERROR(__xludf.DUMMYFUNCTION("""COMPUTED_VALUE"""),"American tabloid newspaper. Inquiring minds want to know… Why the heck does this thing sell?")</f>
        <v>American tabloid newspaper. Inquiring minds want to know… Why the heck does this thing sell?</v>
      </c>
      <c r="C662" s="13" t="str">
        <f>IFERROR(__xludf.DUMMYFUNCTION("""COMPUTED_VALUE"""),"""xdyv"":{""label"":""The National Enquirer"",""extra"":""American tabloid newspaper. Inquiring minds want to know… Why the heck does this thing sell?"",""sets"":""Expansion Set 1, Party Set""},")</f>
        <v>"xdyv":{"label":"The National Enquirer","extra":"American tabloid newspaper. Inquiring minds want to know… Why the heck does this thing sell?","sets":"Expansion Set 1, Party Set"},</v>
      </c>
    </row>
    <row r="663">
      <c r="A663" s="8" t="str">
        <f>IFERROR(__xludf.DUMMYFUNCTION("""COMPUTED_VALUE"""),"The New York Yankees")</f>
        <v>The New York Yankees</v>
      </c>
      <c r="B663" s="8" t="str">
        <f>IFERROR(__xludf.DUMMYFUNCTION("""COMPUTED_VALUE"""),"Legendary American baseball team. With so much success, it's obvious why they’re reviled.")</f>
        <v>Legendary American baseball team. With so much success, it's obvious why they’re reviled.</v>
      </c>
      <c r="C663" s="13" t="str">
        <f>IFERROR(__xludf.DUMMYFUNCTION("""COMPUTED_VALUE"""),"""ozoi"":{""label"":""The New York Yankees"",""extra"":""Legendary American baseball team. With so much success, it's obvious why they’re reviled."",""sets"":""Basic Set, Party Set""},")</f>
        <v>"ozoi":{"label":"The New York Yankees","extra":"Legendary American baseball team. With so much success, it's obvious why they’re reviled.","sets":"Basic Set, Party Set"},</v>
      </c>
    </row>
    <row r="664">
      <c r="A664" s="8" t="str">
        <f>IFERROR(__xludf.DUMMYFUNCTION("""COMPUTED_VALUE"""),"The NRA")</f>
        <v>The NRA</v>
      </c>
      <c r="B664" s="8" t="str">
        <f>IFERROR(__xludf.DUMMYFUNCTION("""COMPUTED_VALUE"""),"National Rifle Association. They’re gunning for your vote.")</f>
        <v>National Rifle Association. They’re gunning for your vote.</v>
      </c>
      <c r="C664" s="13" t="str">
        <f>IFERROR(__xludf.DUMMYFUNCTION("""COMPUTED_VALUE"""),"""yluc"":{""label"":""The NRA"",""extra"":""National Rifle Association. They’re gunning for your vote."",""sets"":""Basic Set, Party Set""},")</f>
        <v>"yluc":{"label":"The NRA","extra":"National Rifle Association. They’re gunning for your vote.","sets":"Basic Set, Party Set"},</v>
      </c>
    </row>
    <row r="665">
      <c r="A665" s="8" t="str">
        <f>IFERROR(__xludf.DUMMYFUNCTION("""COMPUTED_VALUE"""),"The Ocean")</f>
        <v>The Ocean</v>
      </c>
      <c r="B665" s="8" t="str">
        <f>IFERROR(__xludf.DUMMYFUNCTION("""COMPUTED_VALUE"""),"How deep is the ocean? 12,000 feet. If they’d known that, maybe they wouldn’t have written that stupid song.")</f>
        <v>How deep is the ocean? 12,000 feet. If they’d known that, maybe they wouldn’t have written that stupid song.</v>
      </c>
      <c r="C665" s="13" t="str">
        <f>IFERROR(__xludf.DUMMYFUNCTION("""COMPUTED_VALUE"""),"""mojg"":{""label"":""The Ocean"",""extra"":""How deep is the ocean? 12,000 feet. If they’d known that, maybe they wouldn’t have written that stupid song."",""sets"":""Basic Set, Party Set""},")</f>
        <v>"mojg":{"label":"The Ocean","extra":"How deep is the ocean? 12,000 feet. If they’d known that, maybe they wouldn’t have written that stupid song.","sets":"Basic Set, Party Set"},</v>
      </c>
    </row>
    <row r="666">
      <c r="A666" s="8" t="str">
        <f>IFERROR(__xludf.DUMMYFUNCTION("""COMPUTED_VALUE"""),"The Old Man And The Sea")</f>
        <v>The Old Man And The Sea</v>
      </c>
      <c r="B666" s="8" t="str">
        <f>IFERROR(__xludf.DUMMYFUNCTION("""COMPUTED_VALUE"""),"Ernest Hemingway’s classic novel fishing, hunger, fishing, torment, fishing, personal loss… fishing…")</f>
        <v>Ernest Hemingway’s classic novel fishing, hunger, fishing, torment, fishing, personal loss… fishing…</v>
      </c>
      <c r="C666" s="13" t="str">
        <f>IFERROR(__xludf.DUMMYFUNCTION("""COMPUTED_VALUE"""),"""gzon"":{""label"":""The Old Man And The Sea"",""extra"":""Ernest Hemingway’s classic novel fishing, hunger, fishing, torment, fishing, personal loss… fishing…"",""sets"":""Expansion Set 2, Party Set""},")</f>
        <v>"gzon":{"label":"The Old Man And The Sea","extra":"Ernest Hemingway’s classic novel fishing, hunger, fishing, torment, fishing, personal loss… fishing…","sets":"Expansion Set 2, Party Set"},</v>
      </c>
    </row>
    <row r="667">
      <c r="A667" s="8" t="str">
        <f>IFERROR(__xludf.DUMMYFUNCTION("""COMPUTED_VALUE"""),"The Olympics")</f>
        <v>The Olympics</v>
      </c>
      <c r="B667" s="8" t="str">
        <f>IFERROR(__xludf.DUMMYFUNCTION("""COMPUTED_VALUE"""),"An international athletic competition held every four years. The thrill of victors and the agony of defeat.")</f>
        <v>An international athletic competition held every four years. The thrill of victors and the agony of defeat.</v>
      </c>
      <c r="C667" s="13" t="str">
        <f>IFERROR(__xludf.DUMMYFUNCTION("""COMPUTED_VALUE"""),"""gdwv"":{""label"":""The Olympics"",""extra"":""An international athletic competition held every four years. The thrill of victors and the agony of defeat."",""sets"":""Expansion Set 1, Party Set""},")</f>
        <v>"gdwv":{"label":"The Olympics","extra":"An international athletic competition held every four years. The thrill of victors and the agony of defeat.","sets":"Expansion Set 1, Party Set"},</v>
      </c>
    </row>
    <row r="668">
      <c r="A668" s="8" t="str">
        <f>IFERROR(__xludf.DUMMYFUNCTION("""COMPUTED_VALUE"""),"The Opera")</f>
        <v>The Opera</v>
      </c>
      <c r="B668" s="8" t="str">
        <f>IFERROR(__xludf.DUMMYFUNCTION("""COMPUTED_VALUE"""),"It ain’t over ’til the fat lady sings. Unfortunately, sometimes, not even then.")</f>
        <v>It ain’t over ’til the fat lady sings. Unfortunately, sometimes, not even then.</v>
      </c>
      <c r="C668" s="13" t="str">
        <f>IFERROR(__xludf.DUMMYFUNCTION("""COMPUTED_VALUE"""),"""qtjm"":{""label"":""The Opera"",""extra"":""It ain’t over ’til the fat lady sings. Unfortunately, sometimes, not even then."",""sets"":""Basic Set, Party Set""},")</f>
        <v>"qtjm":{"label":"The Opera","extra":"It ain’t over ’til the fat lady sings. Unfortunately, sometimes, not even then.","sets":"Basic Set, Party Set"},</v>
      </c>
    </row>
    <row r="669">
      <c r="A669" s="8" t="str">
        <f>IFERROR(__xludf.DUMMYFUNCTION("""COMPUTED_VALUE"""),"The Ozone Layer")</f>
        <v>The Ozone Layer</v>
      </c>
      <c r="B669" s="8" t="str">
        <f>IFERROR(__xludf.DUMMYFUNCTION("""COMPUTED_VALUE"""),"Short for ozonosphere. Theories about the ozone layer are full of holes.")</f>
        <v>Short for ozonosphere. Theories about the ozone layer are full of holes.</v>
      </c>
      <c r="C669" s="13" t="str">
        <f>IFERROR(__xludf.DUMMYFUNCTION("""COMPUTED_VALUE"""),"""hseb"":{""label"":""The Ozone Layer"",""extra"":""Short for ozonosphere. Theories about the ozone layer are full of holes."",""sets"":""Expansion Set 1, Party Set""},")</f>
        <v>"hseb":{"label":"The Ozone Layer","extra":"Short for ozonosphere. Theories about the ozone layer are full of holes.","sets":"Expansion Set 1, Party Set"},</v>
      </c>
    </row>
    <row r="670">
      <c r="A670" s="8" t="str">
        <f>IFERROR(__xludf.DUMMYFUNCTION("""COMPUTED_VALUE"""),"The Pentagon")</f>
        <v>The Pentagon</v>
      </c>
      <c r="B670" s="8" t="str">
        <f>IFERROR(__xludf.DUMMYFUNCTION("""COMPUTED_VALUE"""),"The five-sided home of the U.S. Department of Defense.")</f>
        <v>The five-sided home of the U.S. Department of Defense.</v>
      </c>
      <c r="C670" s="13" t="str">
        <f>IFERROR(__xludf.DUMMYFUNCTION("""COMPUTED_VALUE"""),"""{vkj"":{""label"":""The Pentagon"",""extra"":""The five-sided home of the U.S. Department of Defense."",""sets"":""Expansion Set 1, Party Set""},")</f>
        <v>"{vkj":{"label":"The Pentagon","extra":"The five-sided home of the U.S. Department of Defense.","sets":"Expansion Set 1, Party Set"},</v>
      </c>
    </row>
    <row r="671">
      <c r="A671" s="8" t="str">
        <f>IFERROR(__xludf.DUMMYFUNCTION("""COMPUTED_VALUE"""),"The Pyramids")</f>
        <v>The Pyramids</v>
      </c>
      <c r="B671" s="8" t="str">
        <f>IFERROR(__xludf.DUMMYFUNCTION("""COMPUTED_VALUE"""),"The Egyptian pyramids were built from about 2700 BC to about 1000 BC. Tut, tut, tut…")</f>
        <v>The Egyptian pyramids were built from about 2700 BC to about 1000 BC. Tut, tut, tut…</v>
      </c>
      <c r="C671" s="13" t="str">
        <f>IFERROR(__xludf.DUMMYFUNCTION("""COMPUTED_VALUE"""),"""ibcu"":{""label"":""The Pyramids"",""extra"":""The Egyptian pyramids were built from about 2700 BC to about 1000 BC. Tut, tut, tut…"",""sets"":""Basic Set, Party Set""},")</f>
        <v>"ibcu":{"label":"The Pyramids","extra":"The Egyptian pyramids were built from about 2700 BC to about 1000 BC. Tut, tut, tut…","sets":"Basic Set, Party Set"},</v>
      </c>
    </row>
    <row r="672">
      <c r="A672" s="8" t="str">
        <f>IFERROR(__xludf.DUMMYFUNCTION("""COMPUTED_VALUE"""),"The Renaissance")</f>
        <v>The Renaissance</v>
      </c>
      <c r="B672" s="8" t="str">
        <f>IFERROR(__xludf.DUMMYFUNCTION("""COMPUTED_VALUE"""),"Beginning in the 1300s, started in Italy and spread across Europe. Kind of like Espresso bars…")</f>
        <v>Beginning in the 1300s, started in Italy and spread across Europe. Kind of like Espresso bars…</v>
      </c>
      <c r="C672" s="13" t="str">
        <f>IFERROR(__xludf.DUMMYFUNCTION("""COMPUTED_VALUE"""),"""rlpz"":{""label"":""The Renaissance"",""extra"":""Beginning in the 1300s, started in Italy and spread across Europe. Kind of like Espresso bars…"",""sets"":""Basic Set, Party Set""},")</f>
        <v>"rlpz":{"label":"The Renaissance","extra":"Beginning in the 1300s, started in Italy and spread across Europe. Kind of like Espresso bars…","sets":"Basic Set, Party Set"},</v>
      </c>
    </row>
    <row r="673">
      <c r="A673" s="8" t="str">
        <f>IFERROR(__xludf.DUMMYFUNCTION("""COMPUTED_VALUE"""),"The Rolling Stones")</f>
        <v>The Rolling Stones</v>
      </c>
      <c r="B673" s="8" t="str">
        <f>IFERROR(__xludf.DUMMYFUNCTION("""COMPUTED_VALUE"""),"British “bad boy” rock band formed in 1962. Still touring?")</f>
        <v>British “bad boy” rock band formed in 1962. Still touring?</v>
      </c>
      <c r="C673" s="13" t="str">
        <f>IFERROR(__xludf.DUMMYFUNCTION("""COMPUTED_VALUE"""),"""roqb"":{""label"":""The Rolling Stones"",""extra"":""British “bad boy” rock band formed in 1962. Still touring?"",""sets"":""Basic Set, Party Set""},")</f>
        <v>"roqb":{"label":"The Rolling Stones","extra":"British “bad boy” rock band formed in 1962. Still touring?","sets":"Basic Set, Party Set"},</v>
      </c>
    </row>
    <row r="674">
      <c r="A674" s="8" t="str">
        <f>IFERROR(__xludf.DUMMYFUNCTION("""COMPUTED_VALUE"""),"The San Andreas Fault")</f>
        <v>The San Andreas Fault</v>
      </c>
      <c r="B674" s="8" t="str">
        <f>IFERROR(__xludf.DUMMYFUNCTION("""COMPUTED_VALUE"""),"Geological feature in California stretching 600 miles. Like the state doesn’t have enough faults already.")</f>
        <v>Geological feature in California stretching 600 miles. Like the state doesn’t have enough faults already.</v>
      </c>
      <c r="C674" s="13" t="str">
        <f>IFERROR(__xludf.DUMMYFUNCTION("""COMPUTED_VALUE"""),"""kwjy"":{""label"":""The San Andreas Fault"",""extra"":""Geological feature in California stretching 600 miles. Like the state doesn’t have enough faults already."",""sets"":""Basic Set, Party Set""},")</f>
        <v>"kwjy":{"label":"The San Andreas Fault","extra":"Geological feature in California stretching 600 miles. Like the state doesn’t have enough faults already.","sets":"Basic Set, Party Set"},</v>
      </c>
    </row>
    <row r="675">
      <c r="A675" s="8" t="str">
        <f>IFERROR(__xludf.DUMMYFUNCTION("""COMPUTED_VALUE"""),"The South")</f>
        <v>The South</v>
      </c>
      <c r="B675" s="8" t="str">
        <f>IFERROR(__xludf.DUMMYFUNCTION("""COMPUTED_VALUE"""),"Dixie: South of the Mason-Dixon line that is. They’re not like folks ’round here…")</f>
        <v>Dixie: South of the Mason-Dixon line that is. They’re not like folks ’round here…</v>
      </c>
      <c r="C675" s="13" t="str">
        <f>IFERROR(__xludf.DUMMYFUNCTION("""COMPUTED_VALUE"""),"""bsha"":{""label"":""The South"",""extra"":""Dixie: South of the Mason-Dixon line that is. They’re not like folks ’round here…"",""sets"":""Basic Set, Party Set""},")</f>
        <v>"bsha":{"label":"The South","extra":"Dixie: South of the Mason-Dixon line that is. They’re not like folks ’round here…","sets":"Basic Set, Party Set"},</v>
      </c>
    </row>
    <row r="676">
      <c r="A676" s="8" t="str">
        <f>IFERROR(__xludf.DUMMYFUNCTION("""COMPUTED_VALUE"""),"The Statue Of Liberty")</f>
        <v>The Statue Of Liberty</v>
      </c>
      <c r="B676" s="8" t="str">
        <f>IFERROR(__xludf.DUMMYFUNCTION("""COMPUTED_VALUE"""),"“Give me your tired, your poor / Your huddled masses yearning to breathe free…” —Emma Lazarus")</f>
        <v>“Give me your tired, your poor / Your huddled masses yearning to breathe free…” —Emma Lazarus</v>
      </c>
      <c r="C676" s="13" t="str">
        <f>IFERROR(__xludf.DUMMYFUNCTION("""COMPUTED_VALUE"""),"""py{n"":{""label"":""The Statue Of Liberty"",""extra"":""“Give me your tired, your poor / Your huddled masses yearning to breathe free…” —Emma Lazarus"",""sets"":""Basic Set, Party Set""},")</f>
        <v>"py{n":{"label":"The Statue Of Liberty","extra":"“Give me your tired, your poor / Your huddled masses yearning to breathe free…” —Emma Lazarus","sets":"Basic Set, Party Set"},</v>
      </c>
    </row>
    <row r="677">
      <c r="A677" s="8" t="str">
        <f>IFERROR(__xludf.DUMMYFUNCTION("""COMPUTED_VALUE"""),"The Super Bowl")</f>
        <v>The Super Bowl</v>
      </c>
      <c r="B677" s="8" t="str">
        <f>IFERROR(__xludf.DUMMYFUNCTION("""COMPUTED_VALUE"""),"Who needs another national holiday?")</f>
        <v>Who needs another national holiday?</v>
      </c>
      <c r="C677" s="13" t="str">
        <f>IFERROR(__xludf.DUMMYFUNCTION("""COMPUTED_VALUE"""),"""uiju"":{""label"":""The Super Bowl"",""extra"":""Who needs another national holiday?"",""sets"":""Expansion Set 2, Party Set""},")</f>
        <v>"uiju":{"label":"The Super Bowl","extra":"Who needs another national holiday?","sets":"Expansion Set 2, Party Set"},</v>
      </c>
    </row>
    <row r="678">
      <c r="A678" s="8" t="str">
        <f>IFERROR(__xludf.DUMMYFUNCTION("""COMPUTED_VALUE"""),"The Supreme Court")</f>
        <v>The Supreme Court</v>
      </c>
      <c r="B678" s="8" t="str">
        <f>IFERROR(__xludf.DUMMYFUNCTION("""COMPUTED_VALUE"""),"The highest court in the United States. Robes, but no wigs.")</f>
        <v>The highest court in the United States. Robes, but no wigs.</v>
      </c>
      <c r="C678" s="13" t="str">
        <f>IFERROR(__xludf.DUMMYFUNCTION("""COMPUTED_VALUE"""),"""mmvv"":{""label"":""The Supreme Court"",""extra"":""The highest court in the United States. Robes, but no wigs."",""sets"":""Expansion Set 1, Party Set""},")</f>
        <v>"mmvv":{"label":"The Supreme Court","extra":"The highest court in the United States. Robes, but no wigs.","sets":"Expansion Set 1, Party Set"},</v>
      </c>
    </row>
    <row r="679">
      <c r="A679" s="8" t="str">
        <f>IFERROR(__xludf.DUMMYFUNCTION("""COMPUTED_VALUE"""),"The Three Tenors")</f>
        <v>The Three Tenors</v>
      </c>
      <c r="B679" s="8" t="str">
        <f>IFERROR(__xludf.DUMMYFUNCTION("""COMPUTED_VALUE"""),"Opera stars Placido Domingo, Jose Carreras, and Luciano Pavarotti began recording as The Three Tenors in 1990.")</f>
        <v>Opera stars Placido Domingo, Jose Carreras, and Luciano Pavarotti began recording as The Three Tenors in 1990.</v>
      </c>
      <c r="C679" s="13" t="str">
        <f>IFERROR(__xludf.DUMMYFUNCTION("""COMPUTED_VALUE"""),"""pceb"":{""label"":""The Three Tenors"",""extra"":""Opera stars Placido Domingo, Jose Carreras, and Luciano Pavarotti began recording as The Three Tenors in 1990."",""sets"":""Expansion Set 2, Party Set""},")</f>
        <v>"pceb":{"label":"The Three Tenors","extra":"Opera stars Placido Domingo, Jose Carreras, and Luciano Pavarotti began recording as The Three Tenors in 1990.","sets":"Expansion Set 2, Party Set"},</v>
      </c>
    </row>
    <row r="680">
      <c r="A680" s="8" t="str">
        <f>IFERROR(__xludf.DUMMYFUNCTION("""COMPUTED_VALUE"""),"The Titanic")</f>
        <v>The Titanic</v>
      </c>
      <c r="B680" s="8" t="str">
        <f>IFERROR(__xludf.DUMMYFUNCTION("""COMPUTED_VALUE"""),"It sank in 1912. Get over it!")</f>
        <v>It sank in 1912. Get over it!</v>
      </c>
      <c r="C680" s="13" t="str">
        <f>IFERROR(__xludf.DUMMYFUNCTION("""COMPUTED_VALUE"""),"""nckm"":{""label"":""The Titanic"",""extra"":""It sank in 1912. Get over it!"",""sets"":""Expansion Set 1, Party Set""},")</f>
        <v>"nckm":{"label":"The Titanic","extra":"It sank in 1912. Get over it!","sets":"Expansion Set 1, Party Set"},</v>
      </c>
    </row>
    <row r="681">
      <c r="A681" s="8" t="str">
        <f>IFERROR(__xludf.DUMMYFUNCTION("""COMPUTED_VALUE"""),"The Universe")</f>
        <v>The Universe</v>
      </c>
      <c r="B681" s="8" t="str">
        <f>IFERROR(__xludf.DUMMYFUNCTION("""COMPUTED_VALUE"""),"Everything. The big “It.” Huge. Massive. THAT big.")</f>
        <v>Everything. The big “It.” Huge. Massive. THAT big.</v>
      </c>
      <c r="C681" s="13" t="str">
        <f>IFERROR(__xludf.DUMMYFUNCTION("""COMPUTED_VALUE"""),"""ygch"":{""label"":""The Universe"",""extra"":""Everything. The big “It.” Huge. Massive. THAT big."",""sets"":""Basic Set, Party Set""},")</f>
        <v>"ygch":{"label":"The Universe","extra":"Everything. The big “It.” Huge. Massive. THAT big.","sets":"Basic Set, Party Set"},</v>
      </c>
    </row>
    <row r="682">
      <c r="A682" s="8" t="str">
        <f>IFERROR(__xludf.DUMMYFUNCTION("""COMPUTED_VALUE"""),"The Vatican")</f>
        <v>The Vatican</v>
      </c>
      <c r="B682" s="8" t="str">
        <f>IFERROR(__xludf.DUMMYFUNCTION("""COMPUTED_VALUE"""),"The Papal State in the middle of Rome. Home of the Pope, Swiss Guards, and lots of pigeons.")</f>
        <v>The Papal State in the middle of Rome. Home of the Pope, Swiss Guards, and lots of pigeons.</v>
      </c>
      <c r="C682" s="13" t="str">
        <f>IFERROR(__xludf.DUMMYFUNCTION("""COMPUTED_VALUE"""),"""{pqu"":{""label"":""The Vatican"",""extra"":""The Papal State in the middle of Rome. Home of the Pope, Swiss Guards, and lots of pigeons."",""sets"":""Expansion Set 1, Party Set""},")</f>
        <v>"{pqu":{"label":"The Vatican","extra":"The Papal State in the middle of Rome. Home of the Pope, Swiss Guards, and lots of pigeons.","sets":"Expansion Set 1, Party Set"},</v>
      </c>
    </row>
    <row r="683">
      <c r="A683" s="8" t="str">
        <f>IFERROR(__xludf.DUMMYFUNCTION("""COMPUTED_VALUE"""),"The Vietnam Memorial")</f>
        <v>The Vietnam Memorial</v>
      </c>
      <c r="B683" s="8" t="str">
        <f>IFERROR(__xludf.DUMMYFUNCTION("""COMPUTED_VALUE"""),"“The Wall,” built in 1982, was designed by 21-year-old architecture student, Maya Lin.")</f>
        <v>“The Wall,” built in 1982, was designed by 21-year-old architecture student, Maya Lin.</v>
      </c>
      <c r="C683" s="13" t="str">
        <f>IFERROR(__xludf.DUMMYFUNCTION("""COMPUTED_VALUE"""),"""hnwy"":{""label"":""The Vietnam Memorial"",""extra"":""“The Wall,” built in 1982, was designed by 21-year-old architecture student, Maya Lin."",""sets"":""Expansion Set 2, Party Set""},")</f>
        <v>"hnwy":{"label":"The Vietnam Memorial","extra":"“The Wall,” built in 1982, was designed by 21-year-old architecture student, Maya Lin.","sets":"Expansion Set 2, Party Set"},</v>
      </c>
    </row>
    <row r="684">
      <c r="A684" s="8" t="str">
        <f>IFERROR(__xludf.DUMMYFUNCTION("""COMPUTED_VALUE"""),"The Williams Sisters")</f>
        <v>The Williams Sisters</v>
      </c>
      <c r="B684" s="8" t="str">
        <f>IFERROR(__xludf.DUMMYFUNCTION("""COMPUTED_VALUE"""),"Venus, 1980-, and Serena, 1981-, Williams, American tennis champs. One heck of a sister act.")</f>
        <v>Venus, 1980-, and Serena, 1981-, Williams, American tennis champs. One heck of a sister act.</v>
      </c>
      <c r="C684" s="13" t="str">
        <f>IFERROR(__xludf.DUMMYFUNCTION("""COMPUTED_VALUE"""),"""hgxj"":{""label"":""The Williams Sisters"",""extra"":""Venus, 1980-, and Serena, 1981-, Williams, American tennis champs. One heck of a sister act."",""sets"":""Expansion Set 2, Party Set""},")</f>
        <v>"hgxj":{"label":"The Williams Sisters","extra":"Venus, 1980-, and Serena, 1981-, Williams, American tennis champs. One heck of a sister act.","sets":"Expansion Set 2, Party Set"},</v>
      </c>
    </row>
    <row r="685">
      <c r="A685" s="8" t="str">
        <f>IFERROR(__xludf.DUMMYFUNCTION("""COMPUTED_VALUE"""),"The Wright Brothers")</f>
        <v>The Wright Brothers</v>
      </c>
      <c r="B685" s="8" t="str">
        <f>IFERROR(__xludf.DUMMYFUNCTION("""COMPUTED_VALUE"""),"In 1903, Wilbur and Orville made the first powered airplane flights in history. Although there were delays at the airport.")</f>
        <v>In 1903, Wilbur and Orville made the first powered airplane flights in history. Although there were delays at the airport.</v>
      </c>
      <c r="C685" s="13" t="str">
        <f>IFERROR(__xludf.DUMMYFUNCTION("""COMPUTED_VALUE"""),"""cvws"":{""label"":""The Wright Brothers"",""extra"":""In 1903, Wilbur and Orville made the first powered airplane flights in history. Although there were delays at the airport."",""sets"":""Basic Set, Party Set""},")</f>
        <v>"cvws":{"label":"The Wright Brothers","extra":"In 1903, Wilbur and Orville made the first powered airplane flights in history. Although there were delays at the airport.","sets":"Basic Set, Party Set"},</v>
      </c>
    </row>
    <row r="686">
      <c r="A686" s="8" t="str">
        <f>IFERROR(__xludf.DUMMYFUNCTION("""COMPUTED_VALUE"""),"The YMCA")</f>
        <v>The YMCA</v>
      </c>
      <c r="B686" s="8" t="str">
        <f>IFERROR(__xludf.DUMMYFUNCTION("""COMPUTED_VALUE"""),"The Young Men’s Christian Association has 30 million members in 110 countries. “It’s fun to stay at the Y-M-C-A.” —The Village Peopl")</f>
        <v>The Young Men’s Christian Association has 30 million members in 110 countries. “It’s fun to stay at the Y-M-C-A.” —The Village Peopl</v>
      </c>
      <c r="C686" s="13" t="str">
        <f>IFERROR(__xludf.DUMMYFUNCTION("""COMPUTED_VALUE"""),"""uhnx"":{""label"":""The YMCA"",""extra"":""The Young Men’s Christian Association has 30 million members in 110 countries. “It’s fun to stay at the Y-M-C-A.” —The Village Peopl"",""sets"":""Expansion Set 1, Party Set""},")</f>
        <v>"uhnx":{"label":"The YMCA","extra":"The Young Men’s Christian Association has 30 million members in 110 countries. “It’s fun to stay at the Y-M-C-A.” —The Village Peopl","sets":"Expansion Set 1, Party Set"},</v>
      </c>
    </row>
    <row r="687">
      <c r="A687" s="8" t="str">
        <f>IFERROR(__xludf.DUMMYFUNCTION("""COMPUTED_VALUE"""),"Thomas Edison")</f>
        <v>Thomas Edison</v>
      </c>
      <c r="B687" s="8" t="str">
        <f>IFERROR(__xludf.DUMMYFUNCTION("""COMPUTED_VALUE"""),"1847-1931, American inventor, developed a light bulb, generator, sound-recorder, and motion picture projector. Show off.")</f>
        <v>1847-1931, American inventor, developed a light bulb, generator, sound-recorder, and motion picture projector. Show off.</v>
      </c>
      <c r="C687" s="13" t="str">
        <f>IFERROR(__xludf.DUMMYFUNCTION("""COMPUTED_VALUE"""),"""pccw"":{""label"":""Thomas Edison"",""extra"":""1847-1931, American inventor, developed a light bulb, generator, sound-recorder, and motion picture projector. Show off."",""sets"":""Basic Set, Party Set""},")</f>
        <v>"pccw":{"label":"Thomas Edison","extra":"1847-1931, American inventor, developed a light bulb, generator, sound-recorder, and motion picture projector. Show off.","sets":"Basic Set, Party Set"},</v>
      </c>
    </row>
    <row r="688">
      <c r="A688" s="8" t="str">
        <f>IFERROR(__xludf.DUMMYFUNCTION("""COMPUTED_VALUE"""),"Thunder")</f>
        <v>Thunder</v>
      </c>
      <c r="B688" s="8" t="str">
        <f>IFERROR(__xludf.DUMMYFUNCTION("""COMPUTED_VALUE"""),"“Here it comes again, Thunder and Lightning…” —ELO.")</f>
        <v>“Here it comes again, Thunder and Lightning…” —ELO.</v>
      </c>
      <c r="C688" s="13" t="str">
        <f>IFERROR(__xludf.DUMMYFUNCTION("""COMPUTED_VALUE"""),"""pzjg"":{""label"":""Thunder"",""extra"":""“Here it comes again, Thunder and Lightning…” —ELO."",""sets"":""Basic Set, Party Set""},")</f>
        <v>"pzjg":{"label":"Thunder","extra":"“Here it comes again, Thunder and Lightning…” —ELO.","sets":"Basic Set, Party Set"},</v>
      </c>
    </row>
    <row r="689">
      <c r="A689" s="8" t="str">
        <f>IFERROR(__xludf.DUMMYFUNCTION("""COMPUTED_VALUE"""),"Tibet")</f>
        <v>Tibet</v>
      </c>
      <c r="B689" s="8" t="str">
        <f>IFERROR(__xludf.DUMMYFUNCTION("""COMPUTED_VALUE"""),"Mountainous region of China and religious enclave for a form of Buddhism called Lamaism. Known as the roof of the world.")</f>
        <v>Mountainous region of China and religious enclave for a form of Buddhism called Lamaism. Known as the roof of the world.</v>
      </c>
      <c r="C689" s="13" t="str">
        <f>IFERROR(__xludf.DUMMYFUNCTION("""COMPUTED_VALUE"""),"""stoe"":{""label"":""Tibet"",""extra"":""Mountainous region of China and religious enclave for a form of Buddhism called Lamaism. Known as the roof of the world."",""sets"":""Expansion Set 1, Party Set""},")</f>
        <v>"stoe":{"label":"Tibet","extra":"Mountainous region of China and religious enclave for a form of Buddhism called Lamaism. Known as the roof of the world.","sets":"Expansion Set 1, Party Set"},</v>
      </c>
    </row>
    <row r="690">
      <c r="A690" s="8" t="str">
        <f>IFERROR(__xludf.DUMMYFUNCTION("""COMPUTED_VALUE"""),"Ticks")</f>
        <v>Ticks</v>
      </c>
      <c r="B690" s="8" t="str">
        <f>IFERROR(__xludf.DUMMYFUNCTION("""COMPUTED_VALUE"""),"All ticks are bloodsucking parasites, but not all bloodsucking parasites are ticks.")</f>
        <v>All ticks are bloodsucking parasites, but not all bloodsucking parasites are ticks.</v>
      </c>
      <c r="C690" s="13" t="str">
        <f>IFERROR(__xludf.DUMMYFUNCTION("""COMPUTED_VALUE"""),"""vc{s"":{""label"":""Ticks"",""extra"":""All ticks are bloodsucking parasites, but not all bloodsucking parasites are ticks."",""sets"":""Expansion Set 2, Party Set""},")</f>
        <v>"vc{s":{"label":"Ticks","extra":"All ticks are bloodsucking parasites, but not all bloodsucking parasites are ticks.","sets":"Expansion Set 2, Party Set"},</v>
      </c>
    </row>
    <row r="691">
      <c r="A691" s="8" t="str">
        <f>IFERROR(__xludf.DUMMYFUNCTION("""COMPUTED_VALUE"""),"Tidal Waves")</f>
        <v>Tidal Waves</v>
      </c>
      <c r="B691" s="8" t="str">
        <f>IFERROR(__xludf.DUMMYFUNCTION("""COMPUTED_VALUE"""),"The gigantic ocean waves that strike with tremendous force, and cause considerable damage to life and property. Kind of like Spring Break.")</f>
        <v>The gigantic ocean waves that strike with tremendous force, and cause considerable damage to life and property. Kind of like Spring Break.</v>
      </c>
      <c r="C691" s="13" t="str">
        <f>IFERROR(__xludf.DUMMYFUNCTION("""COMPUTED_VALUE"""),"""pji{"":{""label"":""Tidal Waves"",""extra"":""The gigantic ocean waves that strike with tremendous force, and cause considerable damage to life and property. Kind of like Spring Break."",""sets"":""Expansion Set 1, Party Set""},")</f>
        <v>"pji{":{"label":"Tidal Waves","extra":"The gigantic ocean waves that strike with tremendous force, and cause considerable damage to life and property. Kind of like Spring Break.","sets":"Expansion Set 1, Party Set"},</v>
      </c>
    </row>
    <row r="692">
      <c r="A692" s="8" t="str">
        <f>IFERROR(__xludf.DUMMYFUNCTION("""COMPUTED_VALUE"""),"Tiger Woods")</f>
        <v>Tiger Woods</v>
      </c>
      <c r="B692" s="8" t="str">
        <f>IFERROR(__xludf.DUMMYFUNCTION("""COMPUTED_VALUE"""),"1975-, American star of the golf circuit. Known for his athletic skill, and youthful, classic style.")</f>
        <v>1975-, American star of the golf circuit. Known for his athletic skill, and youthful, classic style.</v>
      </c>
      <c r="C692" s="13" t="str">
        <f>IFERROR(__xludf.DUMMYFUNCTION("""COMPUTED_VALUE"""),"""iona"":{""label"":""Tiger Woods"",""extra"":""1975-, American star of the golf circuit. Known for his athletic skill, and youthful, classic style."",""sets"":""Expansion Set 2, Party Set""},")</f>
        <v>"iona":{"label":"Tiger Woods","extra":"1975-, American star of the golf circuit. Known for his athletic skill, and youthful, classic style.","sets":"Expansion Set 2, Party Set"},</v>
      </c>
    </row>
    <row r="693">
      <c r="A693" s="8" t="str">
        <f>IFERROR(__xludf.DUMMYFUNCTION("""COMPUTED_VALUE"""),"Toasted Marshmallows")</f>
        <v>Toasted Marshmallows</v>
      </c>
      <c r="B693" s="8" t="str">
        <f>IFERROR(__xludf.DUMMYFUNCTION("""COMPUTED_VALUE"""),"How do you like yours…golden brown or flaming?")</f>
        <v>How do you like yours…golden brown or flaming?</v>
      </c>
      <c r="C693" s="13" t="str">
        <f>IFERROR(__xludf.DUMMYFUNCTION("""COMPUTED_VALUE"""),"""elvs"":{""label"":""Toasted Marshmallows"",""extra"":""How do you like yours…golden brown or flaming?"",""sets"":""Expansion Set 1, Party Set""},")</f>
        <v>"elvs":{"label":"Toasted Marshmallows","extra":"How do you like yours…golden brown or flaming?","sets":"Expansion Set 1, Party Set"},</v>
      </c>
    </row>
    <row r="694">
      <c r="A694" s="8" t="str">
        <f>IFERROR(__xludf.DUMMYFUNCTION("""COMPUTED_VALUE"""),"Toasters")</f>
        <v>Toasters</v>
      </c>
      <c r="B694" s="8" t="str">
        <f>IFERROR(__xludf.DUMMYFUNCTION("""COMPUTED_VALUE"""),"Wait don’t stick that fork in there!")</f>
        <v>Wait don’t stick that fork in there!</v>
      </c>
      <c r="C694" s="13" t="str">
        <f>IFERROR(__xludf.DUMMYFUNCTION("""COMPUTED_VALUE"""),"""kigh"":{""label"":""Toasters"",""extra"":""Wait don’t stick that fork in there!"",""sets"":""Expansion Set 1, Party Set""},")</f>
        <v>"kigh":{"label":"Toasters","extra":"Wait don’t stick that fork in there!","sets":"Expansion Set 1, Party Set"},</v>
      </c>
    </row>
    <row r="695">
      <c r="A695" s="8" t="str">
        <f>IFERROR(__xludf.DUMMYFUNCTION("""COMPUTED_VALUE"""),"Tobacco Companies")</f>
        <v>Tobacco Companies</v>
      </c>
      <c r="B695" s="8" t="str">
        <f>IFERROR(__xludf.DUMMYFUNCTION("""COMPUTED_VALUE"""),"Who says tobacco's not addictive? THEY can’t give it up…")</f>
        <v>Who says tobacco's not addictive? THEY can’t give it up…</v>
      </c>
      <c r="C695" s="13" t="str">
        <f>IFERROR(__xludf.DUMMYFUNCTION("""COMPUTED_VALUE"""),"""vwum"":{""label"":""Tobacco Companies"",""extra"":""Who says tobacco's not addictive? THEY can’t give it up…"",""sets"":""Expansion Set 2, Party Set""},")</f>
        <v>"vwum":{"label":"Tobacco Companies","extra":"Who says tobacco's not addictive? THEY can’t give it up…","sets":"Expansion Set 2, Party Set"},</v>
      </c>
    </row>
    <row r="696">
      <c r="A696" s="8" t="str">
        <f>IFERROR(__xludf.DUMMYFUNCTION("""COMPUTED_VALUE"""),"Toes")</f>
        <v>Toes</v>
      </c>
      <c r="B696" s="8" t="str">
        <f>IFERROR(__xludf.DUMMYFUNCTION("""COMPUTED_VALUE"""),"“This little piggy went to market…”")</f>
        <v>“This little piggy went to market…”</v>
      </c>
      <c r="C696" s="13" t="str">
        <f>IFERROR(__xludf.DUMMYFUNCTION("""COMPUTED_VALUE"""),"""bhwp"":{""label"":""Toes"",""extra"":""“This little piggy went to market…”"",""sets"":""Expansion Set 1, Party Set""},")</f>
        <v>"bhwp":{"label":"Toes","extra":"“This little piggy went to market…”","sets":"Expansion Set 1, Party Set"},</v>
      </c>
    </row>
    <row r="697">
      <c r="A697" s="8" t="str">
        <f>IFERROR(__xludf.DUMMYFUNCTION("""COMPUTED_VALUE"""),"Tom Cruise")</f>
        <v>Tom Cruise</v>
      </c>
      <c r="B697" s="8" t="str">
        <f>IFERROR(__xludf.DUMMYFUNCTION("""COMPUTED_VALUE"""),"1962-, American actor. It looked like “Risky Business” early on, but by 1986 he was “Top Gun.” No “Mission Impossible” for him.")</f>
        <v>1962-, American actor. It looked like “Risky Business” early on, but by 1986 he was “Top Gun.” No “Mission Impossible” for him.</v>
      </c>
      <c r="C697" s="13" t="str">
        <f>IFERROR(__xludf.DUMMYFUNCTION("""COMPUTED_VALUE"""),"""fbkc"":{""label"":""Tom Cruise"",""extra"":""1962-, American actor. It looked like “Risky Business” early on, but by 1986 he was “Top Gun.” No “Mission Impossible” for him."",""sets"":""Expansion Set 2, Party Set""},")</f>
        <v>"fbkc":{"label":"Tom Cruise","extra":"1962-, American actor. It looked like “Risky Business” early on, but by 1986 he was “Top Gun.” No “Mission Impossible” for him.","sets":"Expansion Set 2, Party Set"},</v>
      </c>
    </row>
    <row r="698">
      <c r="A698" s="8" t="str">
        <f>IFERROR(__xludf.DUMMYFUNCTION("""COMPUTED_VALUE"""),"Tom Hanks")</f>
        <v>Tom Hanks</v>
      </c>
      <c r="B698" s="8" t="str">
        <f>IFERROR(__xludf.DUMMYFUNCTION("""COMPUTED_VALUE"""),"1956-, American actor and star of such varied films as “Big,” “Philadelphia,” “Forrest Gump,” “Saving Private Ryan” and “Cast Away.”")</f>
        <v>1956-, American actor and star of such varied films as “Big,” “Philadelphia,” “Forrest Gump,” “Saving Private Ryan” and “Cast Away.”</v>
      </c>
      <c r="C698" s="13" t="str">
        <f>IFERROR(__xludf.DUMMYFUNCTION("""COMPUTED_VALUE"""),"""hcch"":{""label"":""Tom Hanks"",""extra"":""1956-, American actor and star of such varied films as “Big,” “Philadelphia,” “Forrest Gump,” “Saving Private Ryan” and “Cast Away.”"",""sets"":""Expansion Set 2, Party Set""},")</f>
        <v>"hcch":{"label":"Tom Hanks","extra":"1956-, American actor and star of such varied films as “Big,” “Philadelphia,” “Forrest Gump,” “Saving Private Ryan” and “Cast Away.”","sets":"Expansion Set 2, Party Set"},</v>
      </c>
    </row>
    <row r="699">
      <c r="A699" s="8" t="str">
        <f>IFERROR(__xludf.DUMMYFUNCTION("""COMPUTED_VALUE"""),"Top Of A Rollercoaster")</f>
        <v>Top Of A Rollercoaster</v>
      </c>
      <c r="B699" s="8" t="str">
        <f>IFERROR(__xludf.DUMMYFUNCTION("""COMPUTED_VALUE"""),"Just remember: what goes UP…")</f>
        <v>Just remember: what goes UP…</v>
      </c>
      <c r="C699" s="13" t="str">
        <f>IFERROR(__xludf.DUMMYFUNCTION("""COMPUTED_VALUE"""),"""qhzt"":{""label"":""Top Of A Rollercoaster"",""extra"":""Just remember: what goes UP…"",""sets"":""Basic Set, Party Set""},")</f>
        <v>"qhzt":{"label":"Top Of A Rollercoaster","extra":"Just remember: what goes UP…","sets":"Basic Set, Party Set"},</v>
      </c>
    </row>
    <row r="700">
      <c r="A700" s="8" t="str">
        <f>IFERROR(__xludf.DUMMYFUNCTION("""COMPUTED_VALUE"""),"Tornadoes")</f>
        <v>Tornadoes</v>
      </c>
      <c r="B700" s="8" t="str">
        <f>IFERROR(__xludf.DUMMYFUNCTION("""COMPUTED_VALUE"""),"Funnel-shaped cloud whirling destructively at speeds up to 300 mph. “Honey, do you hear a freight train… Honey?”")</f>
        <v>Funnel-shaped cloud whirling destructively at speeds up to 300 mph. “Honey, do you hear a freight train… Honey?”</v>
      </c>
      <c r="C700" s="13" t="str">
        <f>IFERROR(__xludf.DUMMYFUNCTION("""COMPUTED_VALUE"""),"""lx{g"":{""label"":""Tornadoes"",""extra"":""Funnel-shaped cloud whirling destructively at speeds up to 300 mph. “Honey, do you hear a freight train… Honey?”"",""sets"":""Basic Set, Party Set""},")</f>
        <v>"lx{g":{"label":"Tornadoes","extra":"Funnel-shaped cloud whirling destructively at speeds up to 300 mph. “Honey, do you hear a freight train… Honey?”","sets":"Basic Set, Party Set"},</v>
      </c>
    </row>
    <row r="701">
      <c r="A701" s="8" t="str">
        <f>IFERROR(__xludf.DUMMYFUNCTION("""COMPUTED_VALUE"""),"Toys")</f>
        <v>Toys</v>
      </c>
      <c r="B701" s="8" t="str">
        <f>IFERROR(__xludf.DUMMYFUNCTION("""COMPUTED_VALUE"""),"They’re not just for kids, anymore…")</f>
        <v>They’re not just for kids, anymore…</v>
      </c>
      <c r="C701" s="13" t="str">
        <f>IFERROR(__xludf.DUMMYFUNCTION("""COMPUTED_VALUE"""),"""xdda"":{""label"":""Toys"",""extra"":""They’re not just for kids, anymore…"",""sets"":""Basic Set, Party Set""},")</f>
        <v>"xdda":{"label":"Toys","extra":"They’re not just for kids, anymore…","sets":"Basic Set, Party Set"},</v>
      </c>
    </row>
    <row r="702">
      <c r="A702" s="8" t="str">
        <f>IFERROR(__xludf.DUMMYFUNCTION("""COMPUTED_VALUE"""),"Trailer Parks")</f>
        <v>Trailer Parks</v>
      </c>
      <c r="B702" s="8" t="str">
        <f>IFERROR(__xludf.DUMMYFUNCTION("""COMPUTED_VALUE"""),"Also known as tornado magnets.")</f>
        <v>Also known as tornado magnets.</v>
      </c>
      <c r="C702" s="13" t="str">
        <f>IFERROR(__xludf.DUMMYFUNCTION("""COMPUTED_VALUE"""),"""kddg"":{""label"":""Trailer Parks"",""extra"":""Also known as tornado magnets."",""sets"":""Expansion Set 2, Party Set""},")</f>
        <v>"kddg":{"label":"Trailer Parks","extra":"Also known as tornado magnets.","sets":"Expansion Set 2, Party Set"},</v>
      </c>
    </row>
    <row r="703">
      <c r="A703" s="8" t="str">
        <f>IFERROR(__xludf.DUMMYFUNCTION("""COMPUTED_VALUE"""),"Trampolines")</f>
        <v>Trampolines</v>
      </c>
      <c r="B703" s="8" t="str">
        <f>IFERROR(__xludf.DUMMYFUNCTION("""COMPUTED_VALUE"""),"Trampolines have been used in circuses wince the 18th century. Despite slumps in popularity, they always seem to bounce back!")</f>
        <v>Trampolines have been used in circuses wince the 18th century. Despite slumps in popularity, they always seem to bounce back!</v>
      </c>
      <c r="C703" s="13" t="str">
        <f>IFERROR(__xludf.DUMMYFUNCTION("""COMPUTED_VALUE"""),"""mszk"":{""label"":""Trampolines"",""extra"":""Trampolines have been used in circuses wince the 18th century. Despite slumps in popularity, they always seem to bounce back!"",""sets"":""Expansion Set 2, Party Set""},")</f>
        <v>"mszk":{"label":"Trampolines","extra":"Trampolines have been used in circuses wince the 18th century. Despite slumps in popularity, they always seem to bounce back!","sets":"Expansion Set 2, Party Set"},</v>
      </c>
    </row>
    <row r="704">
      <c r="A704" s="8" t="str">
        <f>IFERROR(__xludf.DUMMYFUNCTION("""COMPUTED_VALUE"""),"Tree Huggers")</f>
        <v>Tree Huggers</v>
      </c>
      <c r="B704" s="8" t="str">
        <f>IFERROR(__xludf.DUMMYFUNCTION("""COMPUTED_VALUE"""),"“Environmentalists” to the left. “Wackos” to the right.")</f>
        <v>“Environmentalists” to the left. “Wackos” to the right.</v>
      </c>
      <c r="C704" s="13" t="str">
        <f>IFERROR(__xludf.DUMMYFUNCTION("""COMPUTED_VALUE"""),"""{xcy"":{""label"":""Tree Huggers"",""extra"":""“Environmentalists” to the left. “Wackos” to the right."",""sets"":""Basic Set, Party Set""},")</f>
        <v>"{xcy":{"label":"Tree Huggers","extra":"“Environmentalists” to the left. “Wackos” to the right.","sets":"Basic Set, Party Set"},</v>
      </c>
    </row>
    <row r="705">
      <c r="A705" s="8" t="str">
        <f>IFERROR(__xludf.DUMMYFUNCTION("""COMPUTED_VALUE"""),"Truck Stops")</f>
        <v>Truck Stops</v>
      </c>
      <c r="B705" s="8" t="str">
        <f>IFERROR(__xludf.DUMMYFUNCTION("""COMPUTED_VALUE"""),"Breakfast 24 hours a day and you’re on your way.")</f>
        <v>Breakfast 24 hours a day and you’re on your way.</v>
      </c>
      <c r="C705" s="13" t="str">
        <f>IFERROR(__xludf.DUMMYFUNCTION("""COMPUTED_VALUE"""),"""koua"":{""label"":""Truck Stops"",""extra"":""Breakfast 24 hours a day and you’re on your way."",""sets"":""Expansion Set 1, Party Set""},")</f>
        <v>"koua":{"label":"Truck Stops","extra":"Breakfast 24 hours a day and you’re on your way.","sets":"Expansion Set 1, Party Set"},</v>
      </c>
    </row>
    <row r="706">
      <c r="A706" s="8" t="str">
        <f>IFERROR(__xludf.DUMMYFUNCTION("""COMPUTED_VALUE"""),"Tyrannosaurus Rex")</f>
        <v>Tyrannosaurus Rex</v>
      </c>
      <c r="B706" s="8" t="str">
        <f>IFERROR(__xludf.DUMMYFUNCTION("""COMPUTED_VALUE"""),"Large carnivorous dinosaur of the latter part of the Mesozoic era. My, what big teeth you have!")</f>
        <v>Large carnivorous dinosaur of the latter part of the Mesozoic era. My, what big teeth you have!</v>
      </c>
      <c r="C706" s="13" t="str">
        <f>IFERROR(__xludf.DUMMYFUNCTION("""COMPUTED_VALUE"""),"""znhp"":{""label"":""Tyrannosaurus Rex"",""extra"":""Large carnivorous dinosaur of the latter part of the Mesozoic era. My, what big teeth you have!"",""sets"":""Basic Set, Party Set""},")</f>
        <v>"znhp":{"label":"Tyrannosaurus Rex","extra":"Large carnivorous dinosaur of the latter part of the Mesozoic era. My, what big teeth you have!","sets":"Basic Set, Party Set"},</v>
      </c>
    </row>
    <row r="707">
      <c r="A707" s="8" t="str">
        <f>IFERROR(__xludf.DUMMYFUNCTION("""COMPUTED_VALUE"""),"Underwear")</f>
        <v>Underwear</v>
      </c>
      <c r="B707" s="8" t="str">
        <f>IFERROR(__xludf.DUMMYFUNCTION("""COMPUTED_VALUE"""),"“Let's keep this brief.”")</f>
        <v>“Let's keep this brief.”</v>
      </c>
      <c r="C707" s="13" t="str">
        <f>IFERROR(__xludf.DUMMYFUNCTION("""COMPUTED_VALUE"""),"""kmic"":{""label"":""Underwear"",""extra"":""“Let's keep this brief.”"",""sets"":""Basic Set, Party Set""},")</f>
        <v>"kmic":{"label":"Underwear","extra":"“Let's keep this brief.”","sets":"Basic Set, Party Set"},</v>
      </c>
    </row>
    <row r="708">
      <c r="A708" s="8" t="str">
        <f>IFERROR(__xludf.DUMMYFUNCTION("""COMPUTED_VALUE"""),"United Nations")</f>
        <v>United Nations</v>
      </c>
      <c r="B708" s="8" t="str">
        <f>IFERROR(__xludf.DUMMYFUNCTION("""COMPUTED_VALUE"""),"The U.N. was founded in 1945, after World War II ended. Its mission is to maintain world peace. If we ever achieve it, that is…")</f>
        <v>The U.N. was founded in 1945, after World War II ended. Its mission is to maintain world peace. If we ever achieve it, that is…</v>
      </c>
      <c r="C708" s="13" t="str">
        <f>IFERROR(__xludf.DUMMYFUNCTION("""COMPUTED_VALUE"""),"""obrf"":{""label"":""United Nations"",""extra"":""The U.N. was founded in 1945, after World War II ended. Its mission is to maintain world peace. If we ever achieve it, that is…"",""sets"":""Expansion Set 2, Party Set""},")</f>
        <v>"obrf":{"label":"United Nations","extra":"The U.N. was founded in 1945, after World War II ended. Its mission is to maintain world peace. If we ever achieve it, that is…","sets":"Expansion Set 2, Party Set"},</v>
      </c>
    </row>
    <row r="709">
      <c r="A709" s="8" t="str">
        <f>IFERROR(__xludf.DUMMYFUNCTION("""COMPUTED_VALUE"""),"Vacations")</f>
        <v>Vacations</v>
      </c>
      <c r="B709" s="8" t="str">
        <f>IFERROR(__xludf.DUMMYFUNCTION("""COMPUTED_VALUE"""),"“Vacation, all I ever wanted, Vacation, had to get away…” —Go-Go’s")</f>
        <v>“Vacation, all I ever wanted, Vacation, had to get away…” —Go-Go’s</v>
      </c>
      <c r="C709" s="13" t="str">
        <f>IFERROR(__xludf.DUMMYFUNCTION("""COMPUTED_VALUE"""),"""twxi"":{""label"":""Vacations"",""extra"":""“Vacation, all I ever wanted, Vacation, had to get away…” —Go-Go’s"",""sets"":""Expansion Set 2, Party Set""},")</f>
        <v>"twxi":{"label":"Vacations","extra":"“Vacation, all I ever wanted, Vacation, had to get away…” —Go-Go’s","sets":"Expansion Set 2, Party Set"},</v>
      </c>
    </row>
    <row r="710">
      <c r="A710" s="8" t="str">
        <f>IFERROR(__xludf.DUMMYFUNCTION("""COMPUTED_VALUE"""),"Vampires")</f>
        <v>Vampires</v>
      </c>
      <c r="B710" s="8" t="str">
        <f>IFERROR(__xludf.DUMMYFUNCTION("""COMPUTED_VALUE"""),"Legendary bloodsucking monsters.")</f>
        <v>Legendary bloodsucking monsters.</v>
      </c>
      <c r="C710" s="13" t="str">
        <f>IFERROR(__xludf.DUMMYFUNCTION("""COMPUTED_VALUE"""),"""euh{"":{""label"":""Vampires"",""extra"":""Legendary bloodsucking monsters."",""sets"":""Expansion Set 2, Party Set""},")</f>
        <v>"euh{":{"label":"Vampires","extra":"Legendary bloodsucking monsters.","sets":"Expansion Set 2, Party Set"},</v>
      </c>
    </row>
    <row r="711">
      <c r="A711" s="8" t="str">
        <f>IFERROR(__xludf.DUMMYFUNCTION("""COMPUTED_VALUE"""),"Victorian England")</f>
        <v>Victorian England</v>
      </c>
      <c r="B711" s="8" t="str">
        <f>IFERROR(__xludf.DUMMYFUNCTION("""COMPUTED_VALUE"""),"An era characterized by moral severity and pompous conservatism.")</f>
        <v>An era characterized by moral severity and pompous conservatism.</v>
      </c>
      <c r="C711" s="13" t="str">
        <f>IFERROR(__xludf.DUMMYFUNCTION("""COMPUTED_VALUE"""),"""fwnm"":{""label"":""Victorian England"",""extra"":""An era characterized by moral severity and pompous conservatism."",""sets"":""Expansion Set 2, Party Set""},")</f>
        <v>"fwnm":{"label":"Victorian England","extra":"An era characterized by moral severity and pompous conservatism.","sets":"Expansion Set 2, Party Set"},</v>
      </c>
    </row>
    <row r="712">
      <c r="A712" s="8" t="str">
        <f>IFERROR(__xludf.DUMMYFUNCTION("""COMPUTED_VALUE"""),"Video Games")</f>
        <v>Video Games</v>
      </c>
      <c r="B712" s="8" t="str">
        <f>IFERROR(__xludf.DUMMYFUNCTION("""COMPUTED_VALUE"""),"Just how DO you get to the thirteenth level of “Doom”?")</f>
        <v>Just how DO you get to the thirteenth level of “Doom”?</v>
      </c>
      <c r="C712" s="13" t="str">
        <f>IFERROR(__xludf.DUMMYFUNCTION("""COMPUTED_VALUE"""),"""djlk"":{""label"":""Video Games"",""extra"":""Just how DO you get to the thirteenth level of “Doom”?"",""sets"":""Expansion Set 1, Party Set""},")</f>
        <v>"djlk":{"label":"Video Games","extra":"Just how DO you get to the thirteenth level of “Doom”?","sets":"Expansion Set 1, Party Set"},</v>
      </c>
    </row>
    <row r="713">
      <c r="A713" s="8" t="str">
        <f>IFERROR(__xludf.DUMMYFUNCTION("""COMPUTED_VALUE"""),"Vietnam, 1968")</f>
        <v>Vietnam, 1968</v>
      </c>
      <c r="B713" s="8" t="str">
        <f>IFERROR(__xludf.DUMMYFUNCTION("""COMPUTED_VALUE"""),"More than 30,000 Americans had been killed in the Vietnam War by the end of 1968.")</f>
        <v>More than 30,000 Americans had been killed in the Vietnam War by the end of 1968.</v>
      </c>
      <c r="C713" s="13" t="str">
        <f>IFERROR(__xludf.DUMMYFUNCTION("""COMPUTED_VALUE"""),"""jlqa"":{""label"":""Vietnam, 1968"",""extra"":""More than 30,000 Americans had been killed in the Vietnam War by the end of 1968."",""sets"":""Expansion Set 2, Party Set""},")</f>
        <v>"jlqa":{"label":"Vietnam, 1968","extra":"More than 30,000 Americans had been killed in the Vietnam War by the end of 1968.","sets":"Expansion Set 2, Party Set"},</v>
      </c>
    </row>
    <row r="714">
      <c r="A714" s="8" t="str">
        <f>IFERROR(__xludf.DUMMYFUNCTION("""COMPUTED_VALUE"""),"Vincent Van Gogh")</f>
        <v>Vincent Van Gogh</v>
      </c>
      <c r="B714" s="8" t="str">
        <f>IFERROR(__xludf.DUMMYFUNCTION("""COMPUTED_VALUE"""),"1853-90, Dutch post-impressionist painter known for dramatic sunflowers and self-portraits. Only one of his paintings sold during his lifetime.")</f>
        <v>1853-90, Dutch post-impressionist painter known for dramatic sunflowers and self-portraits. Only one of his paintings sold during his lifetime.</v>
      </c>
      <c r="C714" s="13" t="str">
        <f>IFERROR(__xludf.DUMMYFUNCTION("""COMPUTED_VALUE"""),"""ccti"":{""label"":""Vincent Van Gogh"",""extra"":""1853-90, Dutch post-impressionist painter known for dramatic sunflowers and self-portraits. Only one of his paintings sold during his lifetime."",""sets"":""Expansion Set 2, Party Set""},")</f>
        <v>"ccti":{"label":"Vincent Van Gogh","extra":"1853-90, Dutch post-impressionist painter known for dramatic sunflowers and self-portraits. Only one of his paintings sold during his lifetime.","sets":"Expansion Set 2, Party Set"},</v>
      </c>
    </row>
    <row r="715">
      <c r="A715" s="8" t="str">
        <f>IFERROR(__xludf.DUMMYFUNCTION("""COMPUTED_VALUE"""),"Violins")</f>
        <v>Violins</v>
      </c>
      <c r="B715" s="8" t="str">
        <f>IFERROR(__xludf.DUMMYFUNCTION("""COMPUTED_VALUE"""),"It's a pain in the neck, but keep practicing.")</f>
        <v>It's a pain in the neck, but keep practicing.</v>
      </c>
      <c r="C715" s="13" t="str">
        <f>IFERROR(__xludf.DUMMYFUNCTION("""COMPUTED_VALUE"""),"""mcmw"":{""label"":""Violins"",""extra"":""It's a pain in the neck, but keep practicing."",""sets"":""Expansion Set 2, Party Set""},")</f>
        <v>"mcmw":{"label":"Violins","extra":"It's a pain in the neck, but keep practicing.","sets":"Expansion Set 2, Party Set"},</v>
      </c>
    </row>
    <row r="716">
      <c r="A716" s="8" t="str">
        <f>IFERROR(__xludf.DUMMYFUNCTION("""COMPUTED_VALUE"""),"VW Beetles")</f>
        <v>VW Beetles</v>
      </c>
      <c r="B716" s="8" t="str">
        <f>IFERROR(__xludf.DUMMYFUNCTION("""COMPUTED_VALUE"""),"The prototype for the original VW Beetle was developed in 1934, and production begin in 1945. Functional, yet so fashionable.")</f>
        <v>The prototype for the original VW Beetle was developed in 1934, and production begin in 1945. Functional, yet so fashionable.</v>
      </c>
      <c r="C716" s="13" t="str">
        <f>IFERROR(__xludf.DUMMYFUNCTION("""COMPUTED_VALUE"""),"""sjyp"":{""label"":""VW Beetles"",""extra"":""The prototype for the original VW Beetle was developed in 1934, and production begin in 1945. Functional, yet so fashionable."",""sets"":""Expansion Set 2, Party Set""},")</f>
        <v>"sjyp":{"label":"VW Beetles","extra":"The prototype for the original VW Beetle was developed in 1934, and production begin in 1945. Functional, yet so fashionable.","sets":"Expansion Set 2, Party Set"},</v>
      </c>
    </row>
    <row r="717">
      <c r="A717" s="8" t="str">
        <f>IFERROR(__xludf.DUMMYFUNCTION("""COMPUTED_VALUE"""),"Waco, Texas")</f>
        <v>Waco, Texas</v>
      </c>
      <c r="B717" s="8" t="str">
        <f>IFERROR(__xludf.DUMMYFUNCTION("""COMPUTED_VALUE"""),"Texas city near where a 51-day standoff between law-enforcement officials and members of the Branch Davidians occurred in 1993.")</f>
        <v>Texas city near where a 51-day standoff between law-enforcement officials and members of the Branch Davidians occurred in 1993.</v>
      </c>
      <c r="C717" s="13" t="str">
        <f>IFERROR(__xludf.DUMMYFUNCTION("""COMPUTED_VALUE"""),"""gqud"":{""label"":""Waco, Texas"",""extra"":""Texas city near where a 51-day standoff between law-enforcement officials and members of the Branch Davidians occurred in 1993."",""sets"":""Expansion Set 2, Party Set""},")</f>
        <v>"gqud":{"label":"Waco, Texas","extra":"Texas city near where a 51-day standoff between law-enforcement officials and members of the Branch Davidians occurred in 1993.","sets":"Expansion Set 2, Party Set"},</v>
      </c>
    </row>
    <row r="718">
      <c r="A718" s="8" t="str">
        <f>IFERROR(__xludf.DUMMYFUNCTION("""COMPUTED_VALUE"""),"Wall Street")</f>
        <v>Wall Street</v>
      </c>
      <c r="B718" s="8" t="str">
        <f>IFERROR(__xludf.DUMMYFUNCTION("""COMPUTED_VALUE"""),"The financial center of the United States. See also: roller coaster.")</f>
        <v>The financial center of the United States. See also: roller coaster.</v>
      </c>
      <c r="C718" s="13" t="str">
        <f>IFERROR(__xludf.DUMMYFUNCTION("""COMPUTED_VALUE"""),"""enop"":{""label"":""Wall Street"",""extra"":""The financial center of the United States. See also: roller coaster."",""sets"":""Basic Set, Party Set""},")</f>
        <v>"enop":{"label":"Wall Street","extra":"The financial center of the United States. See also: roller coaster.","sets":"Basic Set, Party Set"},</v>
      </c>
    </row>
    <row r="719">
      <c r="A719" s="8" t="str">
        <f>IFERROR(__xludf.DUMMYFUNCTION("""COMPUTED_VALUE"""),"Walt Disney")</f>
        <v>Walt Disney</v>
      </c>
      <c r="B719" s="8" t="str">
        <f>IFERROR(__xludf.DUMMYFUNCTION("""COMPUTED_VALUE"""),"1901-1966, the head of some Mickey Mouse company.")</f>
        <v>1901-1966, the head of some Mickey Mouse company.</v>
      </c>
      <c r="C719" s="13" t="str">
        <f>IFERROR(__xludf.DUMMYFUNCTION("""COMPUTED_VALUE"""),"""xhsj"":{""label"":""Walt Disney"",""extra"":""1901-1966, the head of some Mickey Mouse company."",""sets"":""Basic Set, Party Set""},")</f>
        <v>"xhsj":{"label":"Walt Disney","extra":"1901-1966, the head of some Mickey Mouse company.","sets":"Basic Set, Party Set"},</v>
      </c>
    </row>
    <row r="720">
      <c r="A720" s="8" t="str">
        <f>IFERROR(__xludf.DUMMYFUNCTION("""COMPUTED_VALUE"""),"Warts")</f>
        <v>Warts</v>
      </c>
      <c r="B720" s="8" t="str">
        <f>IFERROR(__xludf.DUMMYFUNCTION("""COMPUTED_VALUE"""),"Small, benign, circumscribed tumors of the outer layer of the skin. Warts and all!")</f>
        <v>Small, benign, circumscribed tumors of the outer layer of the skin. Warts and all!</v>
      </c>
      <c r="C720" s="13" t="str">
        <f>IFERROR(__xludf.DUMMYFUNCTION("""COMPUTED_VALUE"""),"""vdog"":{""label"":""Warts"",""extra"":""Small, benign, circumscribed tumors of the outer layer of the skin. Warts and all!"",""sets"":""Expansion Set 2, Party Set""},")</f>
        <v>"vdog":{"label":"Warts","extra":"Small, benign, circumscribed tumors of the outer layer of the skin. Warts and all!","sets":"Expansion Set 2, Party Set"},</v>
      </c>
    </row>
    <row r="721">
      <c r="A721" s="8" t="str">
        <f>IFERROR(__xludf.DUMMYFUNCTION("""COMPUTED_VALUE"""),"Watching Football")</f>
        <v>Watching Football</v>
      </c>
      <c r="B721" s="8" t="str">
        <f>IFERROR(__xludf.DUMMYFUNCTION("""COMPUTED_VALUE"""),"Sheer athletic prowess by players in peak physical condition is a glorious thing to behold. Pass the chips and beer.")</f>
        <v>Sheer athletic prowess by players in peak physical condition is a glorious thing to behold. Pass the chips and beer.</v>
      </c>
      <c r="C721" s="13" t="str">
        <f>IFERROR(__xludf.DUMMYFUNCTION("""COMPUTED_VALUE"""),"""jdqx"":{""label"":""Watching Football"",""extra"":""Sheer athletic prowess by players in peak physical condition is a glorious thing to behold. Pass the chips and beer."",""sets"":""Basic Set, Party Set""},")</f>
        <v>"jdqx":{"label":"Watching Football","extra":"Sheer athletic prowess by players in peak physical condition is a glorious thing to behold. Pass the chips and beer.","sets":"Basic Set, Party Set"},</v>
      </c>
    </row>
    <row r="722">
      <c r="A722" s="8" t="str">
        <f>IFERROR(__xludf.DUMMYFUNCTION("""COMPUTED_VALUE"""),"Water Parks")</f>
        <v>Water Parks</v>
      </c>
      <c r="B722" s="8" t="str">
        <f>IFERROR(__xludf.DUMMYFUNCTION("""COMPUTED_VALUE"""),"You can go down Dead Man's Drop and I'll take the Lazy River.")</f>
        <v>You can go down Dead Man's Drop and I'll take the Lazy River.</v>
      </c>
      <c r="C722" s="13" t="str">
        <f>IFERROR(__xludf.DUMMYFUNCTION("""COMPUTED_VALUE"""),"""hger"":{""label"":""Water Parks"",""extra"":""You can go down Dead Man's Drop and I'll take the Lazy River."",""sets"":""Expansion Set 2, Party Set""},")</f>
        <v>"hger":{"label":"Water Parks","extra":"You can go down Dead Man's Drop and I'll take the Lazy River.","sets":"Expansion Set 2, Party Set"},</v>
      </c>
    </row>
    <row r="723">
      <c r="A723" s="8" t="str">
        <f>IFERROR(__xludf.DUMMYFUNCTION("""COMPUTED_VALUE"""),"Waterbeds")</f>
        <v>Waterbeds</v>
      </c>
      <c r="B723" s="8" t="str">
        <f>IFERROR(__xludf.DUMMYFUNCTION("""COMPUTED_VALUE"""),"Could serve as a safety precaution for those who smoke in bed.")</f>
        <v>Could serve as a safety precaution for those who smoke in bed.</v>
      </c>
      <c r="C723" s="13" t="str">
        <f>IFERROR(__xludf.DUMMYFUNCTION("""COMPUTED_VALUE"""),"""sbyu"":{""label"":""Waterbeds"",""extra"":""Could serve as a safety precaution for those who smoke in bed."",""sets"":""Expansion Set 1, Party Set""},")</f>
        <v>"sbyu":{"label":"Waterbeds","extra":"Could serve as a safety precaution for those who smoke in bed.","sets":"Expansion Set 1, Party Set"},</v>
      </c>
    </row>
    <row r="724">
      <c r="A724" s="8" t="str">
        <f>IFERROR(__xludf.DUMMYFUNCTION("""COMPUTED_VALUE"""),"Waterfalls")</f>
        <v>Waterfalls</v>
      </c>
      <c r="B724" s="8" t="str">
        <f>IFERROR(__xludf.DUMMYFUNCTION("""COMPUTED_VALUE"""),"“Don't go chasing waterfalls…” —TLC")</f>
        <v>“Don't go chasing waterfalls…” —TLC</v>
      </c>
      <c r="C724" s="13" t="str">
        <f>IFERROR(__xludf.DUMMYFUNCTION("""COMPUTED_VALUE"""),"""myw{"":{""label"":""Waterfalls"",""extra"":""“Don't go chasing waterfalls…” —TLC"",""sets"":""Expansion Set 2, Party Set""},")</f>
        <v>"myw{":{"label":"Waterfalls","extra":"“Don't go chasing waterfalls…” —TLC","sets":"Expansion Set 2, Party Set"},</v>
      </c>
    </row>
    <row r="725">
      <c r="A725" s="8" t="str">
        <f>IFERROR(__xludf.DUMMYFUNCTION("""COMPUTED_VALUE"""),"Watermelons")</f>
        <v>Watermelons</v>
      </c>
      <c r="B725" s="8" t="str">
        <f>IFERROR(__xludf.DUMMYFUNCTION("""COMPUTED_VALUE"""),"Pardeeville, WI—home of the Watermelon Seed-Spitting &amp; Speed-Eating Championship. The record is 2.5 lbs. of melon eaten in 3.5 seconds.")</f>
        <v>Pardeeville, WI—home of the Watermelon Seed-Spitting &amp; Speed-Eating Championship. The record is 2.5 lbs. of melon eaten in 3.5 seconds.</v>
      </c>
      <c r="C725" s="13" t="str">
        <f>IFERROR(__xludf.DUMMYFUNCTION("""COMPUTED_VALUE"""),"""xqhh"":{""label"":""Watermelons"",""extra"":""Pardeeville, WI—home of the Watermelon Seed-Spitting &amp; Speed-Eating Championship. The record is 2.5 lbs. of melon eaten in 3.5 seconds."",""sets"":""Expansion Set 2, Party Set""},")</f>
        <v>"xqhh":{"label":"Watermelons","extra":"Pardeeville, WI—home of the Watermelon Seed-Spitting &amp; Speed-Eating Championship. The record is 2.5 lbs. of melon eaten in 3.5 seconds.","sets":"Expansion Set 2, Party Set"},</v>
      </c>
    </row>
    <row r="726">
      <c r="A726" s="8" t="str">
        <f>IFERROR(__xludf.DUMMYFUNCTION("""COMPUTED_VALUE"""),"Weapons Dealers")</f>
        <v>Weapons Dealers</v>
      </c>
      <c r="B726" s="8" t="str">
        <f>IFERROR(__xludf.DUMMYFUNCTION("""COMPUTED_VALUE"""),"OK, what kind you need? Assault, Automatic, Atomic…?")</f>
        <v>OK, what kind you need? Assault, Automatic, Atomic…?</v>
      </c>
      <c r="C726" s="13" t="str">
        <f>IFERROR(__xludf.DUMMYFUNCTION("""COMPUTED_VALUE"""),"""acer"":{""label"":""Weapons Dealers"",""extra"":""OK, what kind you need? Assault, Automatic, Atomic…?"",""sets"":""Expansion Set 1, Party Set""},")</f>
        <v>"acer":{"label":"Weapons Dealers","extra":"OK, what kind you need? Assault, Automatic, Atomic…?","sets":"Expansion Set 1, Party Set"},</v>
      </c>
    </row>
    <row r="727">
      <c r="A727" s="8" t="str">
        <f>IFERROR(__xludf.DUMMYFUNCTION("""COMPUTED_VALUE"""),"Weddings")</f>
        <v>Weddings</v>
      </c>
      <c r="B727" s="8" t="str">
        <f>IFERROR(__xludf.DUMMYFUNCTION("""COMPUTED_VALUE"""),"“Ding, dong, the bells are gonna chime…” —My Fair Lady")</f>
        <v>“Ding, dong, the bells are gonna chime…” —My Fair Lady</v>
      </c>
      <c r="C727" s="13" t="str">
        <f>IFERROR(__xludf.DUMMYFUNCTION("""COMPUTED_VALUE"""),"""isbr"":{""label"":""Weddings"",""extra"":""“Ding, dong, the bells are gonna chime…” —My Fair Lady"",""sets"":""Basic Set, Party Set""},")</f>
        <v>"isbr":{"label":"Weddings","extra":"“Ding, dong, the bells are gonna chime…” —My Fair Lady","sets":"Basic Set, Party Set"},</v>
      </c>
    </row>
    <row r="728">
      <c r="A728" s="8" t="str">
        <f>IFERROR(__xludf.DUMMYFUNCTION("""COMPUTED_VALUE"""),"Wheat")</f>
        <v>Wheat</v>
      </c>
      <c r="B728" s="8" t="str">
        <f>IFERROR(__xludf.DUMMYFUNCTION("""COMPUTED_VALUE"""),"Mainly used in flour. World output of wheat is more than 600 million metric tons a year… so someone's making a lot of dough.")</f>
        <v>Mainly used in flour. World output of wheat is more than 600 million metric tons a year… so someone's making a lot of dough.</v>
      </c>
      <c r="C728" s="13" t="str">
        <f>IFERROR(__xludf.DUMMYFUNCTION("""COMPUTED_VALUE"""),"""pqg{"":{""label"":""Wheat"",""extra"":""Mainly used in flour. World output of wheat is more than 600 million metric tons a year… so someone's making a lot of dough."",""sets"":""Basic Set, Party Set""},")</f>
        <v>"pqg{":{"label":"Wheat","extra":"Mainly used in flour. World output of wheat is more than 600 million metric tons a year… so someone's making a lot of dough.","sets":"Basic Set, Party Set"},</v>
      </c>
    </row>
    <row r="729">
      <c r="A729" s="8" t="str">
        <f>IFERROR(__xludf.DUMMYFUNCTION("""COMPUTED_VALUE"""),"Wheel Of Fortune")</f>
        <v>Wheel Of Fortune</v>
      </c>
      <c r="B729" s="8" t="str">
        <f>IFERROR(__xludf.DUMMYFUNCTION("""COMPUTED_VALUE"""),"American TV game show, BIG MONEY! BIG MONEY!.")</f>
        <v>American TV game show, BIG MONEY! BIG MONEY!.</v>
      </c>
      <c r="C729" s="13" t="str">
        <f>IFERROR(__xludf.DUMMYFUNCTION("""COMPUTED_VALUE"""),"""zjfy"":{""label"":""Wheel Of Fortune"",""extra"":""American TV game show, BIG MONEY! BIG MONEY!."",""sets"":""Expansion Set 2, Party Set""},")</f>
        <v>"zjfy":{"label":"Wheel Of Fortune","extra":"American TV game show, BIG MONEY! BIG MONEY!.","sets":"Expansion Set 2, Party Set"},</v>
      </c>
    </row>
    <row r="730">
      <c r="A730" s="8" t="str">
        <f>IFERROR(__xludf.DUMMYFUNCTION("""COMPUTED_VALUE"""),"Whipped Cream")</f>
        <v>Whipped Cream</v>
      </c>
      <c r="B730" s="8" t="str">
        <f>IFERROR(__xludf.DUMMYFUNCTION("""COMPUTED_VALUE"""),"Great on strawberry shortcake, banana splits, chocolate pudding…")</f>
        <v>Great on strawberry shortcake, banana splits, chocolate pudding…</v>
      </c>
      <c r="C730" s="13" t="str">
        <f>IFERROR(__xludf.DUMMYFUNCTION("""COMPUTED_VALUE"""),"""bisp"":{""label"":""Whipped Cream"",""extra"":""Great on strawberry shortcake, banana splits, chocolate pudding…"",""sets"":""Expansion Set 1, Party Set""},")</f>
        <v>"bisp":{"label":"Whipped Cream","extra":"Great on strawberry shortcake, banana splits, chocolate pudding…","sets":"Expansion Set 1, Party Set"},</v>
      </c>
    </row>
    <row r="731">
      <c r="A731" s="8" t="str">
        <f>IFERROR(__xludf.DUMMYFUNCTION("""COMPUTED_VALUE"""),"Whips")</f>
        <v>Whips</v>
      </c>
      <c r="B731" s="8" t="str">
        <f>IFERROR(__xludf.DUMMYFUNCTION("""COMPUTED_VALUE"""),"“Crack that whip… whip it, whip it good.” —Devo")</f>
        <v>“Crack that whip… whip it, whip it good.” —Devo</v>
      </c>
      <c r="C731" s="13" t="str">
        <f>IFERROR(__xludf.DUMMYFUNCTION("""COMPUTED_VALUE"""),"""qmiq"":{""label"":""Whips"",""extra"":""“Crack that whip… whip it, whip it good.” —Devo"",""sets"":""Basic Set, Party Set""},")</f>
        <v>"qmiq":{"label":"Whips","extra":"“Crack that whip… whip it, whip it good.” —Devo","sets":"Basic Set, Party Set"},</v>
      </c>
    </row>
    <row r="732">
      <c r="A732" s="8" t="str">
        <f>IFERROR(__xludf.DUMMYFUNCTION("""COMPUTED_VALUE"""),"Whoopie Goldberg")</f>
        <v>Whoopie Goldberg</v>
      </c>
      <c r="B732" s="8" t="str">
        <f>IFERROR(__xludf.DUMMYFUNCTION("""COMPUTED_VALUE"""),"1950-, American actor and comedian. Starred in such movies as Ghost, which earned her an Academy Award. Whoopee!")</f>
        <v>1950-, American actor and comedian. Starred in such movies as Ghost, which earned her an Academy Award. Whoopee!</v>
      </c>
      <c r="C732" s="13" t="str">
        <f>IFERROR(__xludf.DUMMYFUNCTION("""COMPUTED_VALUE"""),"""bhhe"":{""label"":""Whoopie Goldberg"",""extra"":""1950-, American actor and comedian. Starred in such movies as Ghost, which earned her an Academy Award. Whoopee!"",""sets"":""Basic Set, Party Set""},")</f>
        <v>"bhhe":{"label":"Whoopie Goldberg","extra":"1950-, American actor and comedian. Starred in such movies as Ghost, which earned her an Academy Award. Whoopee!","sets":"Basic Set, Party Set"},</v>
      </c>
    </row>
    <row r="733">
      <c r="A733" s="8" t="str">
        <f>IFERROR(__xludf.DUMMYFUNCTION("""COMPUTED_VALUE"""),"Will Smith")</f>
        <v>Will Smith</v>
      </c>
      <c r="B733" s="8" t="str">
        <f>IFERROR(__xludf.DUMMYFUNCTION("""COMPUTED_VALUE"""),"1968-, Successful American rap star, TV star and wildly successful motion picture star. He's got it all. We hate him.")</f>
        <v>1968-, Successful American rap star, TV star and wildly successful motion picture star. He's got it all. We hate him.</v>
      </c>
      <c r="C733" s="13" t="str">
        <f>IFERROR(__xludf.DUMMYFUNCTION("""COMPUTED_VALUE"""),"""rj{l"":{""label"":""Will Smith"",""extra"":""1968-, Successful American rap star, TV star and wildly successful motion picture star. He's got it all. We hate him."",""sets"":""Basic Set, Party Set""},")</f>
        <v>"rj{l":{"label":"Will Smith","extra":"1968-, Successful American rap star, TV star and wildly successful motion picture star. He's got it all. We hate him.","sets":"Basic Set, Party Set"},</v>
      </c>
    </row>
    <row r="734">
      <c r="A734" s="8" t="str">
        <f>IFERROR(__xludf.DUMMYFUNCTION("""COMPUTED_VALUE"""),"William Shakespeare")</f>
        <v>William Shakespeare</v>
      </c>
      <c r="B734" s="8" t="str">
        <f>IFERROR(__xludf.DUMMYFUNCTION("""COMPUTED_VALUE"""),"1564-1616, The English poet and playwright. And all the world IS a stage…")</f>
        <v>1564-1616, The English poet and playwright. And all the world IS a stage…</v>
      </c>
      <c r="C734" s="13" t="str">
        <f>IFERROR(__xludf.DUMMYFUNCTION("""COMPUTED_VALUE"""),"""hiyo"":{""label"":""William Shakespeare"",""extra"":""1564-1616, The English poet and playwright. And all the world IS a stage…"",""sets"":""Basic Set, Party Set""},")</f>
        <v>"hiyo":{"label":"William Shakespeare","extra":"1564-1616, The English poet and playwright. And all the world IS a stage…","sets":"Basic Set, Party Set"},</v>
      </c>
    </row>
    <row r="735">
      <c r="A735" s="8" t="str">
        <f>IFERROR(__xludf.DUMMYFUNCTION("""COMPUTED_VALUE"""),"Wimbledon")</f>
        <v>Wimbledon</v>
      </c>
      <c r="B735" s="8" t="str">
        <f>IFERROR(__xludf.DUMMYFUNCTION("""COMPUTED_VALUE"""),"Strawberries… cream… temper tantrums…")</f>
        <v>Strawberries… cream… temper tantrums…</v>
      </c>
      <c r="C735" s="13" t="str">
        <f>IFERROR(__xludf.DUMMYFUNCTION("""COMPUTED_VALUE"""),"""rt{k"":{""label"":""Wimbledon"",""extra"":""Strawberries… cream… temper tantrums…"",""sets"":""Basic Set, Party Set""},")</f>
        <v>"rt{k":{"label":"Wimbledon","extra":"Strawberries… cream… temper tantrums…","sets":"Basic Set, Party Set"},</v>
      </c>
    </row>
    <row r="736">
      <c r="A736" s="8" t="str">
        <f>IFERROR(__xludf.DUMMYFUNCTION("""COMPUTED_VALUE"""),"Windsurfing")</f>
        <v>Windsurfing</v>
      </c>
      <c r="B736" s="8" t="str">
        <f>IFERROR(__xludf.DUMMYFUNCTION("""COMPUTED_VALUE"""),"Really just surfing for lazy people.")</f>
        <v>Really just surfing for lazy people.</v>
      </c>
      <c r="C736" s="13" t="str">
        <f>IFERROR(__xludf.DUMMYFUNCTION("""COMPUTED_VALUE"""),"""zbfc"":{""label"":""Windsurfing"",""extra"":""Really just surfing for lazy people."",""sets"":""Basic Set, Party Set""},")</f>
        <v>"zbfc":{"label":"Windsurfing","extra":"Really just surfing for lazy people.","sets":"Basic Set, Party Set"},</v>
      </c>
    </row>
    <row r="737">
      <c r="A737" s="8" t="str">
        <f>IFERROR(__xludf.DUMMYFUNCTION("""COMPUTED_VALUE"""),"Wine Tasting")</f>
        <v>Wine Tasting</v>
      </c>
      <c r="B737" s="8" t="str">
        <f>IFERROR(__xludf.DUMMYFUNCTION("""COMPUTED_VALUE"""),"Spit or swallow?")</f>
        <v>Spit or swallow?</v>
      </c>
      <c r="C737" s="13" t="str">
        <f>IFERROR(__xludf.DUMMYFUNCTION("""COMPUTED_VALUE"""),"""bwoo"":{""label"":""Wine Tasting"",""extra"":""Spit or swallow?"",""sets"":""Expansion Set 2, Party Set""},")</f>
        <v>"bwoo":{"label":"Wine Tasting","extra":"Spit or swallow?","sets":"Expansion Set 2, Party Set"},</v>
      </c>
    </row>
    <row r="738">
      <c r="A738" s="8" t="str">
        <f>IFERROR(__xludf.DUMMYFUNCTION("""COMPUTED_VALUE"""),"Winning The Lottery")</f>
        <v>Winning The Lottery</v>
      </c>
      <c r="B738" s="8" t="str">
        <f>IFERROR(__xludf.DUMMYFUNCTION("""COMPUTED_VALUE"""),"The more you play, the more THEY win.")</f>
        <v>The more you play, the more THEY win.</v>
      </c>
      <c r="C738" s="13" t="str">
        <f>IFERROR(__xludf.DUMMYFUNCTION("""COMPUTED_VALUE"""),"""ljcb"":{""label"":""Winning The Lottery"",""extra"":""The more you play, the more THEY win."",""sets"":""Expansion Set 1, Party Set""},")</f>
        <v>"ljcb":{"label":"Winning The Lottery","extra":"The more you play, the more THEY win.","sets":"Expansion Set 1, Party Set"},</v>
      </c>
    </row>
    <row r="739">
      <c r="A739" s="8" t="str">
        <f>IFERROR(__xludf.DUMMYFUNCTION("""COMPUTED_VALUE"""),"Witch Hunts")</f>
        <v>Witch Hunts</v>
      </c>
      <c r="B739" s="8" t="str">
        <f>IFERROR(__xludf.DUMMYFUNCTION("""COMPUTED_VALUE"""),"Popular locations: Salem, Massachusetts and Washington, D.C.")</f>
        <v>Popular locations: Salem, Massachusetts and Washington, D.C.</v>
      </c>
      <c r="C739" s="13" t="str">
        <f>IFERROR(__xludf.DUMMYFUNCTION("""COMPUTED_VALUE"""),"""vaep"":{""label"":""Witch Hunts"",""extra"":""Popular locations: Salem, Massachusetts and Washington, D.C."",""sets"":""Expansion Set 1, Party Set""},")</f>
        <v>"vaep":{"label":"Witch Hunts","extra":"Popular locations: Salem, Massachusetts and Washington, D.C.","sets":"Expansion Set 1, Party Set"},</v>
      </c>
    </row>
    <row r="740">
      <c r="A740" s="8" t="str">
        <f>IFERROR(__xludf.DUMMYFUNCTION("""COMPUTED_VALUE"""),"Women")</f>
        <v>Women</v>
      </c>
      <c r="B740" s="8" t="str">
        <f>IFERROR(__xludf.DUMMYFUNCTION("""COMPUTED_VALUE"""),"REAL Women.")</f>
        <v>REAL Women.</v>
      </c>
      <c r="C740" s="13" t="str">
        <f>IFERROR(__xludf.DUMMYFUNCTION("""COMPUTED_VALUE"""),"""wjiu"":{""label"":""Women"",""extra"":""REAL Women."",""sets"":""Expansion Set 2, Party Set""},")</f>
        <v>"wjiu":{"label":"Women","extra":"REAL Women.","sets":"Expansion Set 2, Party Set"},</v>
      </c>
    </row>
    <row r="741">
      <c r="A741" s="8" t="str">
        <f>IFERROR(__xludf.DUMMYFUNCTION("""COMPUTED_VALUE"""),"Women's Soccer")</f>
        <v>Women's Soccer</v>
      </c>
      <c r="B741" s="8" t="str">
        <f>IFERROR(__xludf.DUMMYFUNCTION("""COMPUTED_VALUE"""),"The 1999 World Cup finals was the most-watched women's sporting event in history.")</f>
        <v>The 1999 World Cup finals was the most-watched women's sporting event in history.</v>
      </c>
      <c r="C741" s="13" t="str">
        <f>IFERROR(__xludf.DUMMYFUNCTION("""COMPUTED_VALUE"""),"""ovjf"":{""label"":""Women's Soccer"",""extra"":""The 1999 World Cup finals was the most-watched women's sporting event in history."",""sets"":""Expansion Set 1, Party Set""},")</f>
        <v>"ovjf":{"label":"Women's Soccer","extra":"The 1999 World Cup finals was the most-watched women's sporting event in history.","sets":"Expansion Set 1, Party Set"},</v>
      </c>
    </row>
    <row r="742">
      <c r="A742" s="8" t="str">
        <f>IFERROR(__xludf.DUMMYFUNCTION("""COMPUTED_VALUE"""),"Wood Chippers")</f>
        <v>Wood Chippers</v>
      </c>
      <c r="B742" s="8" t="str">
        <f>IFERROR(__xludf.DUMMYFUNCTION("""COMPUTED_VALUE"""),"“I guess that was your accomplice in the wood chipper.” —Marge Gunderson, Fargo")</f>
        <v>“I guess that was your accomplice in the wood chipper.” —Marge Gunderson, Fargo</v>
      </c>
      <c r="C742" s="13" t="str">
        <f>IFERROR(__xludf.DUMMYFUNCTION("""COMPUTED_VALUE"""),"""qmgq"":{""label"":""Wood Chippers"",""extra"":""“I guess that was your accomplice in the wood chipper.” —Marge Gunderson, Fargo"",""sets"":""Expansion Set 1, Party Set""},")</f>
        <v>"qmgq":{"label":"Wood Chippers","extra":"“I guess that was your accomplice in the wood chipper.” —Marge Gunderson, Fargo","sets":"Expansion Set 1, Party Set"},</v>
      </c>
    </row>
    <row r="743">
      <c r="A743" s="8" t="str">
        <f>IFERROR(__xludf.DUMMYFUNCTION("""COMPUTED_VALUE"""),"Woodstock")</f>
        <v>Woodstock</v>
      </c>
      <c r="B743" s="8" t="str">
        <f>IFERROR(__xludf.DUMMYFUNCTION("""COMPUTED_VALUE"""),"The 1969 love, music and mud festival attended by 400,000. Or, the little yellow bird.")</f>
        <v>The 1969 love, music and mud festival attended by 400,000. Or, the little yellow bird.</v>
      </c>
      <c r="C743" s="13" t="str">
        <f>IFERROR(__xludf.DUMMYFUNCTION("""COMPUTED_VALUE"""),"""tzsl"":{""label"":""Woodstock"",""extra"":""The 1969 love, music and mud festival attended by 400,000. Or, the little yellow bird."",""sets"":""Expansion Set 1, Party Set""},")</f>
        <v>"tzsl":{"label":"Woodstock","extra":"The 1969 love, music and mud festival attended by 400,000. Or, the little yellow bird.","sets":"Expansion Set 1, Party Set"},</v>
      </c>
    </row>
    <row r="744">
      <c r="A744" s="8" t="str">
        <f>IFERROR(__xludf.DUMMYFUNCTION("""COMPUTED_VALUE"""),"Woody Allen")</f>
        <v>Woody Allen</v>
      </c>
      <c r="B744" s="8" t="str">
        <f>IFERROR(__xludf.DUMMYFUNCTION("""COMPUTED_VALUE"""),"1935-, American comedian, actor and director, of Bananas, Annie Hall, Hannah and Her Sisters, and lots of New York Stories.")</f>
        <v>1935-, American comedian, actor and director, of Bananas, Annie Hall, Hannah and Her Sisters, and lots of New York Stories.</v>
      </c>
      <c r="C744" s="13" t="str">
        <f>IFERROR(__xludf.DUMMYFUNCTION("""COMPUTED_VALUE"""),"""mrwr"":{""label"":""Woody Allen"",""extra"":""1935-, American comedian, actor and director, of Bananas, Annie Hall, Hannah and Her Sisters, and lots of New York Stories."",""sets"":""Expansion Set 2, Party Set""},")</f>
        <v>"mrwr":{"label":"Woody Allen","extra":"1935-, American comedian, actor and director, of Bananas, Annie Hall, Hannah and Her Sisters, and lots of New York Stories.","sets":"Expansion Set 2, Party Set"},</v>
      </c>
    </row>
    <row r="745">
      <c r="A745" s="8" t="str">
        <f>IFERROR(__xludf.DUMMYFUNCTION("""COMPUTED_VALUE"""),"Worms")</f>
        <v>Worms</v>
      </c>
      <c r="B745" s="8" t="str">
        <f>IFERROR(__xludf.DUMMYFUNCTION("""COMPUTED_VALUE"""),"“A man may fish with the worm that hath eat of a king, and eat of the fish that has fed of that worm.” —“Hamlet” Shakespeare")</f>
        <v>“A man may fish with the worm that hath eat of a king, and eat of the fish that has fed of that worm.” —“Hamlet” Shakespeare</v>
      </c>
      <c r="C745" s="13" t="str">
        <f>IFERROR(__xludf.DUMMYFUNCTION("""COMPUTED_VALUE"""),"""qedl"":{""label"":""Worms"",""extra"":""“A man may fish with the worm that hath eat of a king, and eat of the fish that has fed of that worm.” —“Hamlet” Shakespeare"",""sets"":""Basic Set, Party Set""},")</f>
        <v>"qedl":{"label":"Worms","extra":"“A man may fish with the worm that hath eat of a king, and eat of the fish that has fed of that worm.” —“Hamlet” Shakespeare","sets":"Basic Set, Party Set"},</v>
      </c>
    </row>
    <row r="746">
      <c r="A746" s="8" t="str">
        <f>IFERROR(__xludf.DUMMYFUNCTION("""COMPUTED_VALUE"""),"X-Ray Vision")</f>
        <v>X-Ray Vision</v>
      </c>
      <c r="B746" s="8" t="str">
        <f>IFERROR(__xludf.DUMMYFUNCTION("""COMPUTED_VALUE"""),"Available to Superman for emergency use only.")</f>
        <v>Available to Superman for emergency use only.</v>
      </c>
      <c r="C746" s="13" t="str">
        <f>IFERROR(__xludf.DUMMYFUNCTION("""COMPUTED_VALUE"""),"""dtwz"":{""label"":""X-Ray Vision"",""extra"":""Available to Superman for emergency use only."",""sets"":""Expansion Set 1, Party Set""},")</f>
        <v>"dtwz":{"label":"X-Ray Vision","extra":"Available to Superman for emergency use only.","sets":"Expansion Set 1, Party Set"},</v>
      </c>
    </row>
    <row r="747">
      <c r="A747" s="8" t="str">
        <f>IFERROR(__xludf.DUMMYFUNCTION("""COMPUTED_VALUE"""),"X-Rays")</f>
        <v>X-Rays</v>
      </c>
      <c r="B747" s="8" t="str">
        <f>IFERROR(__xludf.DUMMYFUNCTION("""COMPUTED_VALUE"""),"X-Rays were discovered in 1895 by the German physicist Wilhelm Conrad Roentgen. Now if they could just get those X-ray glasses down.")</f>
        <v>X-Rays were discovered in 1895 by the German physicist Wilhelm Conrad Roentgen. Now if they could just get those X-ray glasses down.</v>
      </c>
      <c r="C747" s="13" t="str">
        <f>IFERROR(__xludf.DUMMYFUNCTION("""COMPUTED_VALUE"""),"""ffux"":{""label"":""X-Rays"",""extra"":""X-Rays were discovered in 1895 by the German physicist Wilhelm Conrad Roentgen. Now if they could just get those X-ray glasses down."",""sets"":""Expansion Set 2, Party Set""},")</f>
        <v>"ffux":{"label":"X-Rays","extra":"X-Rays were discovered in 1895 by the German physicist Wilhelm Conrad Roentgen. Now if they could just get those X-ray glasses down.","sets":"Expansion Set 2, Party Set"},</v>
      </c>
    </row>
    <row r="748">
      <c r="A748" s="8" t="str">
        <f>IFERROR(__xludf.DUMMYFUNCTION("""COMPUTED_VALUE"""),"Yellowstone Park")</f>
        <v>Yellowstone Park</v>
      </c>
      <c r="B748" s="8" t="str">
        <f>IFERROR(__xludf.DUMMYFUNCTION("""COMPUTED_VALUE"""),"Home to 3000 geysers and hot springs. More gas and hot air than Washington, D.C.")</f>
        <v>Home to 3000 geysers and hot springs. More gas and hot air than Washington, D.C.</v>
      </c>
      <c r="C748" s="13" t="str">
        <f>IFERROR(__xludf.DUMMYFUNCTION("""COMPUTED_VALUE"""),"""wtgx"":{""label"":""Yellowstone Park"",""extra"":""Home to 3000 geysers and hot springs. More gas and hot air than Washington, D.C."",""sets"":""Basic Set, Party Set""},")</f>
        <v>"wtgx":{"label":"Yellowstone Park","extra":"Home to 3000 geysers and hot springs. More gas and hot air than Washington, D.C.","sets":"Basic Set, Party Set"},</v>
      </c>
    </row>
    <row r="749">
      <c r="A749" s="8" t="str">
        <f>IFERROR(__xludf.DUMMYFUNCTION("""COMPUTED_VALUE"""),"Zen")</f>
        <v>Zen</v>
      </c>
      <c r="B749" s="8" t="str">
        <f>IFERROR(__xludf.DUMMYFUNCTION("""COMPUTED_VALUE"""),"Japanese form of Buddhism, originated in China. Zen again, maybe not.")</f>
        <v>Japanese form of Buddhism, originated in China. Zen again, maybe not.</v>
      </c>
      <c r="C749" s="13" t="str">
        <f>IFERROR(__xludf.DUMMYFUNCTION("""COMPUTED_VALUE"""),"""xnlf"":{""label"":""Zen"",""extra"":""Japanese form of Buddhism, originated in China. Zen again, maybe not."",""sets"":""Expansion Set 1, Party Set""},")</f>
        <v>"xnlf":{"label":"Zen","extra":"Japanese form of Buddhism, originated in China. Zen again, maybe not.","sets":"Expansion Set 1, Party Set"},</v>
      </c>
    </row>
    <row r="750">
      <c r="A750" s="8" t="str">
        <f>IFERROR(__xludf.DUMMYFUNCTION("""COMPUTED_VALUE"""),"Zucchini")</f>
        <v>Zucchini</v>
      </c>
      <c r="B750" s="8" t="str">
        <f>IFERROR(__xludf.DUMMYFUNCTION("""COMPUTED_VALUE"""),"A squashed vegetable.")</f>
        <v>A squashed vegetable.</v>
      </c>
      <c r="C750" s="13" t="str">
        <f>IFERROR(__xludf.DUMMYFUNCTION("""COMPUTED_VALUE"""),"""stdw"":{""label"":""Zucchini"",""extra"":""A squashed vegetable."",""sets"":""Expansion Set 1, Party Set""},")</f>
        <v>"stdw":{"label":"Zucchini","extra":"A squashed vegetable.","sets":"Expansion Set 1, Party Set"},</v>
      </c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hyperlinks>
    <hyperlink r:id="rId1" ref="B605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IFERROR(__xludf.DUMMYFUNCTION("filter(Grn!B3:D1000,search(""Party Expansion"",Grn!H3:H1000))"),"Amazing")</f>
        <v>Amazing</v>
      </c>
      <c r="B2" s="8" t="str">
        <f>IFERROR(__xludf.DUMMYFUNCTION("""COMPUTED_VALUE"""),"(astonishing, surprising, wonderful) ")</f>
        <v>(astonishing, surprising, wonderful) </v>
      </c>
      <c r="C2" s="13" t="str">
        <f>IFERROR(__xludf.DUMMYFUNCTION("""COMPUTED_VALUE"""),"""ztwa"":{""label"":""Amazing"",""extra"":""(astonishing, surprising, wonderful) "",""sets"":""Expansion Set 3, Party Expansion 1""},")</f>
        <v>"ztwa":{"label":"Amazing","extra":"(astonishing, surprising, wonderful) ","sets":"Expansion Set 3, Party Expansion 1"},</v>
      </c>
    </row>
    <row r="3">
      <c r="A3" s="8" t="str">
        <f>IFERROR(__xludf.DUMMYFUNCTION("""COMPUTED_VALUE"""),"Armed &amp; Dangerous")</f>
        <v>Armed &amp; Dangerous</v>
      </c>
      <c r="B3" s="8" t="str">
        <f>IFERROR(__xludf.DUMMYFUNCTION("""COMPUTED_VALUE"""),"(hazardous, threatening, fortified) ")</f>
        <v>(hazardous, threatening, fortified) </v>
      </c>
      <c r="C3" s="13" t="str">
        <f>IFERROR(__xludf.DUMMYFUNCTION("""COMPUTED_VALUE"""),"""oxat"":{""label"":""Armed &amp; Dangerous"",""extra"":""(hazardous, threatening, fortified) "",""sets"":""Expansion Set 4, Party Expansion 1""},")</f>
        <v>"oxat":{"label":"Armed &amp; Dangerous","extra":"(hazardous, threatening, fortified) ","sets":"Expansion Set 4, Party Expansion 1"},</v>
      </c>
    </row>
    <row r="4">
      <c r="A4" s="8" t="str">
        <f>IFERROR(__xludf.DUMMYFUNCTION("""COMPUTED_VALUE"""),"Attractive")</f>
        <v>Attractive</v>
      </c>
      <c r="B4" s="8" t="str">
        <f>IFERROR(__xludf.DUMMYFUNCTION("""COMPUTED_VALUE"""),"(alluring, engaging, good-looking) ")</f>
        <v>(alluring, engaging, good-looking) </v>
      </c>
      <c r="C4" s="13" t="str">
        <f>IFERROR(__xludf.DUMMYFUNCTION("""COMPUTED_VALUE"""),"""ropq"":{""label"":""Attractive"",""extra"":""(alluring, engaging, good-looking) "",""sets"":""Expansion Set 3, Party Expansion 1""},")</f>
        <v>"ropq":{"label":"Attractive","extra":"(alluring, engaging, good-looking) ","sets":"Expansion Set 3, Party Expansion 1"},</v>
      </c>
    </row>
    <row r="5">
      <c r="A5" s="8" t="str">
        <f>IFERROR(__xludf.DUMMYFUNCTION("""COMPUTED_VALUE"""),"Bashful")</f>
        <v>Bashful</v>
      </c>
      <c r="B5" s="8" t="str">
        <f>IFERROR(__xludf.DUMMYFUNCTION("""COMPUTED_VALUE"""),"(shy, timid, modest) ")</f>
        <v>(shy, timid, modest) </v>
      </c>
      <c r="C5" s="13" t="str">
        <f>IFERROR(__xludf.DUMMYFUNCTION("""COMPUTED_VALUE"""),"""resm"":{""label"":""Bashful"",""extra"":""(shy, timid, modest) "",""sets"":""Expansion Set 3, Party Expansion 1""},")</f>
        <v>"resm":{"label":"Bashful","extra":"(shy, timid, modest) ","sets":"Expansion Set 3, Party Expansion 1"},</v>
      </c>
    </row>
    <row r="6">
      <c r="A6" s="8" t="str">
        <f>IFERROR(__xludf.DUMMYFUNCTION("""COMPUTED_VALUE"""),"Big &amp; Tall")</f>
        <v>Big &amp; Tall</v>
      </c>
      <c r="B6" s="8" t="str">
        <f>IFERROR(__xludf.DUMMYFUNCTION("""COMPUTED_VALUE"""),"(large, bulky, gigantic) ")</f>
        <v>(large, bulky, gigantic) </v>
      </c>
      <c r="C6" s="13" t="str">
        <f>IFERROR(__xludf.DUMMYFUNCTION("""COMPUTED_VALUE"""),"""vces"":{""label"":""Big &amp; Tall"",""extra"":""(large, bulky, gigantic) "",""sets"":""Expansion Set 4, Party Expansion 1""},")</f>
        <v>"vces":{"label":"Big &amp; Tall","extra":"(large, bulky, gigantic) ","sets":"Expansion Set 4, Party Expansion 1"},</v>
      </c>
    </row>
    <row r="7">
      <c r="A7" s="8" t="str">
        <f>IFERROR(__xludf.DUMMYFUNCTION("""COMPUTED_VALUE"""),"Black &amp; Blue")</f>
        <v>Black &amp; Blue</v>
      </c>
      <c r="B7" s="8" t="str">
        <f>IFERROR(__xludf.DUMMYFUNCTION("""COMPUTED_VALUE"""),"(bruised, battered, rough) ")</f>
        <v>(bruised, battered, rough) </v>
      </c>
      <c r="C7" s="13" t="str">
        <f>IFERROR(__xludf.DUMMYFUNCTION("""COMPUTED_VALUE"""),"""onli"":{""label"":""Black &amp; Blue"",""extra"":""(bruised, battered, rough) "",""sets"":""Expansion Set 4, Party Expansion 1""},")</f>
        <v>"onli":{"label":"Black &amp; Blue","extra":"(bruised, battered, rough) ","sets":"Expansion Set 4, Party Expansion 1"},</v>
      </c>
    </row>
    <row r="8">
      <c r="A8" s="8" t="str">
        <f>IFERROR(__xludf.DUMMYFUNCTION("""COMPUTED_VALUE"""),"Black &amp; White")</f>
        <v>Black &amp; White</v>
      </c>
      <c r="B8" s="8" t="str">
        <f>IFERROR(__xludf.DUMMYFUNCTION("""COMPUTED_VALUE"""),"(indisputable, distinct, written) ")</f>
        <v>(indisputable, distinct, written) </v>
      </c>
      <c r="C8" s="13" t="str">
        <f>IFERROR(__xludf.DUMMYFUNCTION("""COMPUTED_VALUE"""),"""lsjb"":{""label"":""Black &amp; White"",""extra"":""(indisputable, distinct, written) "",""sets"":""Expansion Set 4, Party Expansion 1""},")</f>
        <v>"lsjb":{"label":"Black &amp; White","extra":"(indisputable, distinct, written) ","sets":"Expansion Set 4, Party Expansion 1"},</v>
      </c>
    </row>
    <row r="9">
      <c r="A9" s="8" t="str">
        <f>IFERROR(__xludf.DUMMYFUNCTION("""COMPUTED_VALUE"""),"Brains &amp; Brawn")</f>
        <v>Brains &amp; Brawn</v>
      </c>
      <c r="B9" s="8" t="str">
        <f>IFERROR(__xludf.DUMMYFUNCTION("""COMPUTED_VALUE"""),"(solid, strong, capable) ")</f>
        <v>(solid, strong, capable) </v>
      </c>
      <c r="C9" s="13" t="str">
        <f>IFERROR(__xludf.DUMMYFUNCTION("""COMPUTED_VALUE"""),"""ydrs"":{""label"":""Brains &amp; Brawn"",""extra"":""(solid, strong, capable) "",""sets"":""Expansion Set 4, Party Expansion 1""},")</f>
        <v>"ydrs":{"label":"Brains &amp; Brawn","extra":"(solid, strong, capable) ","sets":"Expansion Set 4, Party Expansion 1"},</v>
      </c>
    </row>
    <row r="10">
      <c r="A10" s="8" t="str">
        <f>IFERROR(__xludf.DUMMYFUNCTION("""COMPUTED_VALUE"""),"Bright &amp; Shining")</f>
        <v>Bright &amp; Shining</v>
      </c>
      <c r="B10" s="8" t="str">
        <f>IFERROR(__xludf.DUMMYFUNCTION("""COMPUTED_VALUE"""),"(radiant, sparkling, gleaming) ")</f>
        <v>(radiant, sparkling, gleaming) </v>
      </c>
      <c r="C10" s="13" t="str">
        <f>IFERROR(__xludf.DUMMYFUNCTION("""COMPUTED_VALUE"""),"""bkps"":{""label"":""Bright &amp; Shining"",""extra"":""(radiant, sparkling, gleaming) "",""sets"":""Expansion Set 4, Party Expansion 1""},")</f>
        <v>"bkps":{"label":"Bright &amp; Shining","extra":"(radiant, sparkling, gleaming) ","sets":"Expansion Set 4, Party Expansion 1"},</v>
      </c>
    </row>
    <row r="11">
      <c r="A11" s="8" t="str">
        <f>IFERROR(__xludf.DUMMYFUNCTION("""COMPUTED_VALUE"""),"Brutal")</f>
        <v>Brutal</v>
      </c>
      <c r="B11" s="8" t="str">
        <f>IFERROR(__xludf.DUMMYFUNCTION("""COMPUTED_VALUE"""),"(cruel, crude, harsh) ")</f>
        <v>(cruel, crude, harsh) </v>
      </c>
      <c r="C11" s="13" t="str">
        <f>IFERROR(__xludf.DUMMYFUNCTION("""COMPUTED_VALUE"""),"""jjog"":{""label"":""Brutal"",""extra"":""(cruel, crude, harsh) "",""sets"":""Expansion Set 3, Party Expansion 1""},")</f>
        <v>"jjog":{"label":"Brutal","extra":"(cruel, crude, harsh) ","sets":"Expansion Set 3, Party Expansion 1"},</v>
      </c>
    </row>
    <row r="12">
      <c r="A12" s="8" t="str">
        <f>IFERROR(__xludf.DUMMYFUNCTION("""COMPUTED_VALUE"""),"Clever")</f>
        <v>Clever</v>
      </c>
      <c r="B12" s="8" t="str">
        <f>IFERROR(__xludf.DUMMYFUNCTION("""COMPUTED_VALUE"""),"(intelligent, ingenious, witty) ")</f>
        <v>(intelligent, ingenious, witty) </v>
      </c>
      <c r="C12" s="13" t="str">
        <f>IFERROR(__xludf.DUMMYFUNCTION("""COMPUTED_VALUE"""),"""pkmw"":{""label"":""Clever"",""extra"":""(intelligent, ingenious, witty) "",""sets"":""Expansion Set 3, Party Expansion 1""},")</f>
        <v>"pkmw":{"label":"Clever","extra":"(intelligent, ingenious, witty) ","sets":"Expansion Set 3, Party Expansion 1"},</v>
      </c>
    </row>
    <row r="13">
      <c r="A13" s="8" t="str">
        <f>IFERROR(__xludf.DUMMYFUNCTION("""COMPUTED_VALUE"""),"Clumsy")</f>
        <v>Clumsy</v>
      </c>
      <c r="B13" s="8" t="str">
        <f>IFERROR(__xludf.DUMMYFUNCTION("""COMPUTED_VALUE"""),"(awkward, bumbling, uncoordinated) ")</f>
        <v>(awkward, bumbling, uncoordinated) </v>
      </c>
      <c r="C13" s="13" t="str">
        <f>IFERROR(__xludf.DUMMYFUNCTION("""COMPUTED_VALUE"""),"""umfj"":{""label"":""Clumsy"",""extra"":""(awkward, bumbling, uncoordinated) "",""sets"":""Expansion Set 3, Party Expansion 1""},")</f>
        <v>"umfj":{"label":"Clumsy","extra":"(awkward, bumbling, uncoordinated) ","sets":"Expansion Set 3, Party Expansion 1"},</v>
      </c>
    </row>
    <row r="14">
      <c r="A14" s="8" t="str">
        <f>IFERROR(__xludf.DUMMYFUNCTION("""COMPUTED_VALUE"""),"Conceited")</f>
        <v>Conceited</v>
      </c>
      <c r="B14" s="8" t="str">
        <f>IFERROR(__xludf.DUMMYFUNCTION("""COMPUTED_VALUE"""),"(vain, smug, self-centered) ")</f>
        <v>(vain, smug, self-centered) </v>
      </c>
      <c r="C14" s="13" t="str">
        <f>IFERROR(__xludf.DUMMYFUNCTION("""COMPUTED_VALUE"""),"""txfh"":{""label"":""Conceited"",""extra"":""(vain, smug, self-centered) "",""sets"":""Expansion Set 3, Party Expansion 1""},")</f>
        <v>"txfh":{"label":"Conceited","extra":"(vain, smug, self-centered) ","sets":"Expansion Set 3, Party Expansion 1"},</v>
      </c>
    </row>
    <row r="15">
      <c r="A15" s="8" t="str">
        <f>IFERROR(__xludf.DUMMYFUNCTION("""COMPUTED_VALUE"""),"Controversial")</f>
        <v>Controversial</v>
      </c>
      <c r="B15" s="8" t="str">
        <f>IFERROR(__xludf.DUMMYFUNCTION("""COMPUTED_VALUE"""),"(contentious, disputable, debatable) ")</f>
        <v>(contentious, disputable, debatable) </v>
      </c>
      <c r="C15" s="13" t="str">
        <f>IFERROR(__xludf.DUMMYFUNCTION("""COMPUTED_VALUE"""),"""ihwj"":{""label"":""Controversial"",""extra"":""(contentious, disputable, debatable) "",""sets"":""Expansion Set 3, Party Expansion 1""},")</f>
        <v>"ihwj":{"label":"Controversial","extra":"(contentious, disputable, debatable) ","sets":"Expansion Set 3, Party Expansion 1"},</v>
      </c>
    </row>
    <row r="16">
      <c r="A16" s="8" t="str">
        <f>IFERROR(__xludf.DUMMYFUNCTION("""COMPUTED_VALUE"""),"Cool &amp; Collected")</f>
        <v>Cool &amp; Collected</v>
      </c>
      <c r="B16" s="8" t="str">
        <f>IFERROR(__xludf.DUMMYFUNCTION("""COMPUTED_VALUE"""),"(controlled, composed, restrained) ")</f>
        <v>(controlled, composed, restrained) </v>
      </c>
      <c r="C16" s="13" t="str">
        <f>IFERROR(__xludf.DUMMYFUNCTION("""COMPUTED_VALUE"""),"""aukk"":{""label"":""Cool &amp; Collected"",""extra"":""(controlled, composed, restrained) "",""sets"":""Expansion Set 4, Party Expansion 1""},")</f>
        <v>"aukk":{"label":"Cool &amp; Collected","extra":"(controlled, composed, restrained) ","sets":"Expansion Set 4, Party Expansion 1"},</v>
      </c>
    </row>
    <row r="17">
      <c r="A17" s="8" t="str">
        <f>IFERROR(__xludf.DUMMYFUNCTION("""COMPUTED_VALUE"""),"Cozy")</f>
        <v>Cozy</v>
      </c>
      <c r="B17" s="8" t="str">
        <f>IFERROR(__xludf.DUMMYFUNCTION("""COMPUTED_VALUE"""),"(comfortable, snug, warm) ")</f>
        <v>(comfortable, snug, warm) </v>
      </c>
      <c r="C17" s="13" t="str">
        <f>IFERROR(__xludf.DUMMYFUNCTION("""COMPUTED_VALUE"""),"""jpqh"":{""label"":""Cozy"",""extra"":""(comfortable, snug, warm) "",""sets"":""Expansion Set 3, Party Expansion 1""},")</f>
        <v>"jpqh":{"label":"Cozy","extra":"(comfortable, snug, warm) ","sets":"Expansion Set 3, Party Expansion 1"},</v>
      </c>
    </row>
    <row r="18">
      <c r="A18" s="8" t="str">
        <f>IFERROR(__xludf.DUMMYFUNCTION("""COMPUTED_VALUE"""),"Creepy &amp; Crawly")</f>
        <v>Creepy &amp; Crawly</v>
      </c>
      <c r="B18" s="8" t="str">
        <f>IFERROR(__xludf.DUMMYFUNCTION("""COMPUTED_VALUE"""),"(frightening, ghastly, icky) ")</f>
        <v>(frightening, ghastly, icky) </v>
      </c>
      <c r="C18" s="13" t="str">
        <f>IFERROR(__xludf.DUMMYFUNCTION("""COMPUTED_VALUE"""),"""dpmg"":{""label"":""Creepy &amp; Crawly"",""extra"":""(frightening, ghastly, icky) "",""sets"":""Expansion Set 4, Party Expansion 1""},")</f>
        <v>"dpmg":{"label":"Creepy &amp; Crawly","extra":"(frightening, ghastly, icky) ","sets":"Expansion Set 4, Party Expansion 1"},</v>
      </c>
    </row>
    <row r="19">
      <c r="A19" s="8" t="str">
        <f>IFERROR(__xludf.DUMMYFUNCTION("""COMPUTED_VALUE"""),"Crisp")</f>
        <v>Crisp</v>
      </c>
      <c r="B19" s="8" t="str">
        <f>IFERROR(__xludf.DUMMYFUNCTION("""COMPUTED_VALUE"""),"(brittle, brisk, fresh) ")</f>
        <v>(brittle, brisk, fresh) </v>
      </c>
      <c r="C19" s="13" t="str">
        <f>IFERROR(__xludf.DUMMYFUNCTION("""COMPUTED_VALUE"""),"""uhdp"":{""label"":""Crisp"",""extra"":""(brittle, brisk, fresh) "",""sets"":""Expansion Set 3, Party Expansion 1""},")</f>
        <v>"uhdp":{"label":"Crisp","extra":"(brittle, brisk, fresh) ","sets":"Expansion Set 3, Party Expansion 1"},</v>
      </c>
    </row>
    <row r="20">
      <c r="A20" s="8" t="str">
        <f>IFERROR(__xludf.DUMMYFUNCTION("""COMPUTED_VALUE"""),"Crisp &amp; Delicious")</f>
        <v>Crisp &amp; Delicious</v>
      </c>
      <c r="B20" s="8" t="str">
        <f>IFERROR(__xludf.DUMMYFUNCTION("""COMPUTED_VALUE"""),"(tasty, crunchy, savory) ")</f>
        <v>(tasty, crunchy, savory) </v>
      </c>
      <c r="C20" s="13" t="str">
        <f>IFERROR(__xludf.DUMMYFUNCTION("""COMPUTED_VALUE"""),"""xvqy"":{""label"":""Crisp &amp; Delicious"",""extra"":""(tasty, crunchy, savory) "",""sets"":""Expansion Set 4, Party Expansion 1""},")</f>
        <v>"xvqy":{"label":"Crisp &amp; Delicious","extra":"(tasty, crunchy, savory) ","sets":"Expansion Set 4, Party Expansion 1"},</v>
      </c>
    </row>
    <row r="21">
      <c r="A21" s="8" t="str">
        <f>IFERROR(__xludf.DUMMYFUNCTION("""COMPUTED_VALUE"""),"Cruel &amp; Unusual")</f>
        <v>Cruel &amp; Unusual</v>
      </c>
      <c r="B21" s="8" t="str">
        <f>IFERROR(__xludf.DUMMYFUNCTION("""COMPUTED_VALUE"""),"(barbaric, merciless, unwarranted) ")</f>
        <v>(barbaric, merciless, unwarranted) </v>
      </c>
      <c r="C21" s="13" t="str">
        <f>IFERROR(__xludf.DUMMYFUNCTION("""COMPUTED_VALUE"""),"""tush"":{""label"":""Cruel &amp; Unusual"",""extra"":""(barbaric, merciless, unwarranted) "",""sets"":""Expansion Set 4, Party Expansion 1""},")</f>
        <v>"tush":{"label":"Cruel &amp; Unusual","extra":"(barbaric, merciless, unwarranted) ","sets":"Expansion Set 4, Party Expansion 1"},</v>
      </c>
    </row>
    <row r="22">
      <c r="A22" s="8" t="str">
        <f>IFERROR(__xludf.DUMMYFUNCTION("""COMPUTED_VALUE"""),"Cut &amp; Dried")</f>
        <v>Cut &amp; Dried</v>
      </c>
      <c r="B22" s="8" t="str">
        <f>IFERROR(__xludf.DUMMYFUNCTION("""COMPUTED_VALUE"""),"(settled, obvious, indisputable) ")</f>
        <v>(settled, obvious, indisputable) </v>
      </c>
      <c r="C22" s="13" t="str">
        <f>IFERROR(__xludf.DUMMYFUNCTION("""COMPUTED_VALUE"""),"""ghst"":{""label"":""Cut &amp; Dried"",""extra"":""(settled, obvious, indisputable) "",""sets"":""Expansion Set 4, Party Expansion 1""},")</f>
        <v>"ghst":{"label":"Cut &amp; Dried","extra":"(settled, obvious, indisputable) ","sets":"Expansion Set 4, Party Expansion 1"},</v>
      </c>
    </row>
    <row r="23">
      <c r="A23" s="8" t="str">
        <f>IFERROR(__xludf.DUMMYFUNCTION("""COMPUTED_VALUE"""),"Cute &amp; Cuddly")</f>
        <v>Cute &amp; Cuddly</v>
      </c>
      <c r="B23" s="8" t="str">
        <f>IFERROR(__xludf.DUMMYFUNCTION("""COMPUTED_VALUE"""),"(adorable, precious, huggable) ")</f>
        <v>(adorable, precious, huggable) </v>
      </c>
      <c r="C23" s="13" t="str">
        <f>IFERROR(__xludf.DUMMYFUNCTION("""COMPUTED_VALUE"""),"""xgnh"":{""label"":""Cute &amp; Cuddly"",""extra"":""(adorable, precious, huggable) "",""sets"":""Expansion Set 4, Party Expansion 1""},")</f>
        <v>"xgnh":{"label":"Cute &amp; Cuddly","extra":"(adorable, precious, huggable) ","sets":"Expansion Set 4, Party Expansion 1"},</v>
      </c>
    </row>
    <row r="24">
      <c r="A24" s="8" t="str">
        <f>IFERROR(__xludf.DUMMYFUNCTION("""COMPUTED_VALUE"""),"Dark")</f>
        <v>Dark</v>
      </c>
      <c r="B24" s="8" t="str">
        <f>IFERROR(__xludf.DUMMYFUNCTION("""COMPUTED_VALUE"""),"(unlit, morbid, sinister) ")</f>
        <v>(unlit, morbid, sinister) </v>
      </c>
      <c r="C24" s="13" t="str">
        <f>IFERROR(__xludf.DUMMYFUNCTION("""COMPUTED_VALUE"""),"""hdov"":{""label"":""Dark"",""extra"":""(unlit, morbid, sinister) "",""sets"":""Expansion Set 3, Party Expansion 1""},")</f>
        <v>"hdov":{"label":"Dark","extra":"(unlit, morbid, sinister) ","sets":"Expansion Set 3, Party Expansion 1"},</v>
      </c>
    </row>
    <row r="25">
      <c r="A25" s="8" t="str">
        <f>IFERROR(__xludf.DUMMYFUNCTION("""COMPUTED_VALUE"""),"Dashing")</f>
        <v>Dashing</v>
      </c>
      <c r="B25" s="8" t="str">
        <f>IFERROR(__xludf.DUMMYFUNCTION("""COMPUTED_VALUE"""),"(gallant, bold, elegant) ")</f>
        <v>(gallant, bold, elegant) </v>
      </c>
      <c r="C25" s="13" t="str">
        <f>IFERROR(__xludf.DUMMYFUNCTION("""COMPUTED_VALUE"""),"""bffi"":{""label"":""Dashing"",""extra"":""(gallant, bold, elegant) "",""sets"":""Expansion Set 3, Party Expansion 1""},")</f>
        <v>"bffi":{"label":"Dashing","extra":"(gallant, bold, elegant) ","sets":"Expansion Set 3, Party Expansion 1"},</v>
      </c>
    </row>
    <row r="26">
      <c r="A26" s="8" t="str">
        <f>IFERROR(__xludf.DUMMYFUNCTION("""COMPUTED_VALUE"""),"Dazed &amp; Confused")</f>
        <v>Dazed &amp; Confused</v>
      </c>
      <c r="B26" s="8" t="str">
        <f>IFERROR(__xludf.DUMMYFUNCTION("""COMPUTED_VALUE"""),"(stunned, bewildered, disoriented) ")</f>
        <v>(stunned, bewildered, disoriented) </v>
      </c>
      <c r="C26" s="13" t="str">
        <f>IFERROR(__xludf.DUMMYFUNCTION("""COMPUTED_VALUE"""),"""janu"":{""label"":""Dazed &amp; Confused"",""extra"":""(stunned, bewildered, disoriented) "",""sets"":""Expansion Set 4, Party Expansion 1""},")</f>
        <v>"janu":{"label":"Dazed &amp; Confused","extra":"(stunned, bewildered, disoriented) ","sets":"Expansion Set 4, Party Expansion 1"},</v>
      </c>
    </row>
    <row r="27">
      <c r="A27" s="8" t="str">
        <f>IFERROR(__xludf.DUMMYFUNCTION("""COMPUTED_VALUE"""),"Dead &amp; Gone")</f>
        <v>Dead &amp; Gone</v>
      </c>
      <c r="B27" s="8" t="str">
        <f>IFERROR(__xludf.DUMMYFUNCTION("""COMPUTED_VALUE"""),"(deceased, defunct, passe) ")</f>
        <v>(deceased, defunct, passe) </v>
      </c>
      <c r="C27" s="13" t="str">
        <f>IFERROR(__xludf.DUMMYFUNCTION("""COMPUTED_VALUE"""),"""gevi"":{""label"":""Dead &amp; Gone"",""extra"":""(deceased, defunct, passe) "",""sets"":""Expansion Set 4, Party Expansion 1""},")</f>
        <v>"gevi":{"label":"Dead &amp; Gone","extra":"(deceased, defunct, passe) ","sets":"Expansion Set 4, Party Expansion 1"},</v>
      </c>
    </row>
    <row r="28">
      <c r="A28" s="8" t="str">
        <f>IFERROR(__xludf.DUMMYFUNCTION("""COMPUTED_VALUE"""),"Devious")</f>
        <v>Devious</v>
      </c>
      <c r="B28" s="8" t="str">
        <f>IFERROR(__xludf.DUMMYFUNCTION("""COMPUTED_VALUE"""),"(sneaky, shifty, tricky) ")</f>
        <v>(sneaky, shifty, tricky) </v>
      </c>
      <c r="C28" s="13" t="str">
        <f>IFERROR(__xludf.DUMMYFUNCTION("""COMPUTED_VALUE"""),"""hupk"":{""label"":""Devious"",""extra"":""(sneaky, shifty, tricky) "",""sets"":""Expansion Set 3, Party Expansion 1""},")</f>
        <v>"hupk":{"label":"Devious","extra":"(sneaky, shifty, tricky) ","sets":"Expansion Set 3, Party Expansion 1"},</v>
      </c>
    </row>
    <row r="29">
      <c r="A29" s="8" t="str">
        <f>IFERROR(__xludf.DUMMYFUNCTION("""COMPUTED_VALUE"""),"Down &amp; Dirty")</f>
        <v>Down &amp; Dirty</v>
      </c>
      <c r="B29" s="8" t="str">
        <f>IFERROR(__xludf.DUMMYFUNCTION("""COMPUTED_VALUE"""),"(nasty, vicious, unscrupulous) ")</f>
        <v>(nasty, vicious, unscrupulous) </v>
      </c>
      <c r="C29" s="13" t="str">
        <f>IFERROR(__xludf.DUMMYFUNCTION("""COMPUTED_VALUE"""),"""yeoq"":{""label"":""Down &amp; Dirty"",""extra"":""(nasty, vicious, unscrupulous) "",""sets"":""Expansion Set 4, Party Expansion 1""},")</f>
        <v>"yeoq":{"label":"Down &amp; Dirty","extra":"(nasty, vicious, unscrupulous) ","sets":"Expansion Set 4, Party Expansion 1"},</v>
      </c>
    </row>
    <row r="30">
      <c r="A30" s="8" t="str">
        <f>IFERROR(__xludf.DUMMYFUNCTION("""COMPUTED_VALUE"""),"Down &amp; Out")</f>
        <v>Down &amp; Out</v>
      </c>
      <c r="B30" s="8" t="str">
        <f>IFERROR(__xludf.DUMMYFUNCTION("""COMPUTED_VALUE"""),"(destitute, impoverished, penniless) ")</f>
        <v>(destitute, impoverished, penniless) </v>
      </c>
      <c r="C30" s="13" t="str">
        <f>IFERROR(__xludf.DUMMYFUNCTION("""COMPUTED_VALUE"""),"""oaow"":{""label"":""Down &amp; Out"",""extra"":""(destitute, impoverished, penniless) "",""sets"":""Expansion Set 4, Party Expansion 1""},")</f>
        <v>"oaow":{"label":"Down &amp; Out","extra":"(destitute, impoverished, penniless) ","sets":"Expansion Set 4, Party Expansion 1"},</v>
      </c>
    </row>
    <row r="31">
      <c r="A31" s="8" t="str">
        <f>IFERROR(__xludf.DUMMYFUNCTION("""COMPUTED_VALUE"""),"Drunk &amp; Disorderly")</f>
        <v>Drunk &amp; Disorderly</v>
      </c>
      <c r="B31" s="8" t="str">
        <f>IFERROR(__xludf.DUMMYFUNCTION("""COMPUTED_VALUE"""),"(intoxicated, unruly, rowdy) ")</f>
        <v>(intoxicated, unruly, rowdy) </v>
      </c>
      <c r="C31" s="13" t="str">
        <f>IFERROR(__xludf.DUMMYFUNCTION("""COMPUTED_VALUE"""),"""care"":{""label"":""Drunk &amp; Disorderly"",""extra"":""(intoxicated, unruly, rowdy) "",""sets"":""Expansion Set 4, Party Expansion 1""},")</f>
        <v>"care":{"label":"Drunk &amp; Disorderly","extra":"(intoxicated, unruly, rowdy) ","sets":"Expansion Set 4, Party Expansion 1"},</v>
      </c>
    </row>
    <row r="32">
      <c r="A32" s="8" t="str">
        <f>IFERROR(__xludf.DUMMYFUNCTION("""COMPUTED_VALUE"""),"Dumb &amp; Dumber")</f>
        <v>Dumb &amp; Dumber</v>
      </c>
      <c r="B32" s="8" t="str">
        <f>IFERROR(__xludf.DUMMYFUNCTION("""COMPUTED_VALUE"""),"(stupid, dull, rediculous) ")</f>
        <v>(stupid, dull, rediculous) </v>
      </c>
      <c r="C32" s="13" t="str">
        <f>IFERROR(__xludf.DUMMYFUNCTION("""COMPUTED_VALUE"""),"""obzh"":{""label"":""Dumb &amp; Dumber"",""extra"":""(stupid, dull, rediculous) "",""sets"":""Expansion Set 4, Party Expansion 1""},")</f>
        <v>"obzh":{"label":"Dumb &amp; Dumber","extra":"(stupid, dull, rediculous) ","sets":"Expansion Set 4, Party Expansion 1"},</v>
      </c>
    </row>
    <row r="33">
      <c r="A33" s="8" t="str">
        <f>IFERROR(__xludf.DUMMYFUNCTION("""COMPUTED_VALUE"""),"Edgy")</f>
        <v>Edgy</v>
      </c>
      <c r="B33" s="8" t="str">
        <f>IFERROR(__xludf.DUMMYFUNCTION("""COMPUTED_VALUE"""),"(irritable, nervous, tense) ")</f>
        <v>(irritable, nervous, tense) </v>
      </c>
      <c r="C33" s="13" t="str">
        <f>IFERROR(__xludf.DUMMYFUNCTION("""COMPUTED_VALUE"""),"""kvtt"":{""label"":""Edgy"",""extra"":""(irritable, nervous, tense) "",""sets"":""Expansion Set 3, Party Expansion 1""},")</f>
        <v>"kvtt":{"label":"Edgy","extra":"(irritable, nervous, tense) ","sets":"Expansion Set 3, Party Expansion 1"},</v>
      </c>
    </row>
    <row r="34">
      <c r="A34" s="8" t="str">
        <f>IFERROR(__xludf.DUMMYFUNCTION("""COMPUTED_VALUE"""),"Enchanting")</f>
        <v>Enchanting</v>
      </c>
      <c r="B34" s="8" t="str">
        <f>IFERROR(__xludf.DUMMYFUNCTION("""COMPUTED_VALUE"""),"(captivating, charming, spell-binding) ")</f>
        <v>(captivating, charming, spell-binding) </v>
      </c>
      <c r="C34" s="13" t="str">
        <f>IFERROR(__xludf.DUMMYFUNCTION("""COMPUTED_VALUE"""),"""akkm"":{""label"":""Enchanting"",""extra"":""(captivating, charming, spell-binding) "",""sets"":""Expansion Set 3, Party Expansion 1""},")</f>
        <v>"akkm":{"label":"Enchanting","extra":"(captivating, charming, spell-binding) ","sets":"Expansion Set 3, Party Expansion 1"},</v>
      </c>
    </row>
    <row r="35">
      <c r="A35" s="8" t="str">
        <f>IFERROR(__xludf.DUMMYFUNCTION("""COMPUTED_VALUE"""),"Endangered")</f>
        <v>Endangered</v>
      </c>
      <c r="B35" s="8" t="str">
        <f>IFERROR(__xludf.DUMMYFUNCTION("""COMPUTED_VALUE"""),"(at risk, threatened, unprotected) ")</f>
        <v>(at risk, threatened, unprotected) </v>
      </c>
      <c r="C35" s="13" t="str">
        <f>IFERROR(__xludf.DUMMYFUNCTION("""COMPUTED_VALUE"""),"""xmex"":{""label"":""Endangered"",""extra"":""(at risk, threatened, unprotected) "",""sets"":""Expansion Set 3, Party Expansion 1""},")</f>
        <v>"xmex":{"label":"Endangered","extra":"(at risk, threatened, unprotected) ","sets":"Expansion Set 3, Party Expansion 1"},</v>
      </c>
    </row>
    <row r="36">
      <c r="A36" s="8" t="str">
        <f>IFERROR(__xludf.DUMMYFUNCTION("""COMPUTED_VALUE"""),"Energetic")</f>
        <v>Energetic</v>
      </c>
      <c r="B36" s="8" t="str">
        <f>IFERROR(__xludf.DUMMYFUNCTION("""COMPUTED_VALUE"""),"(active, vigorous, forceful) ")</f>
        <v>(active, vigorous, forceful) </v>
      </c>
      <c r="C36" s="13" t="str">
        <f>IFERROR(__xludf.DUMMYFUNCTION("""COMPUTED_VALUE"""),"""pcqc"":{""label"":""Energetic"",""extra"":""(active, vigorous, forceful) "",""sets"":""Expansion Set 3, Party Expansion 1""},")</f>
        <v>"pcqc":{"label":"Energetic","extra":"(active, vigorous, forceful) ","sets":"Expansion Set 3, Party Expansion 1"},</v>
      </c>
    </row>
    <row r="37">
      <c r="A37" s="8" t="str">
        <f>IFERROR(__xludf.DUMMYFUNCTION("""COMPUTED_VALUE"""),"Enjoyable")</f>
        <v>Enjoyable</v>
      </c>
      <c r="B37" s="8" t="str">
        <f>IFERROR(__xludf.DUMMYFUNCTION("""COMPUTED_VALUE"""),"(pleasurable, entertaining, fun) ")</f>
        <v>(pleasurable, entertaining, fun) </v>
      </c>
      <c r="C37" s="13" t="str">
        <f>IFERROR(__xludf.DUMMYFUNCTION("""COMPUTED_VALUE"""),"""btba"":{""label"":""Enjoyable"",""extra"":""(pleasurable, entertaining, fun) "",""sets"":""Expansion Set 3, Party Expansion 1""},")</f>
        <v>"btba":{"label":"Enjoyable","extra":"(pleasurable, entertaining, fun) ","sets":"Expansion Set 3, Party Expansion 1"},</v>
      </c>
    </row>
    <row r="38">
      <c r="A38" s="8" t="str">
        <f>IFERROR(__xludf.DUMMYFUNCTION("""COMPUTED_VALUE"""),"Enormous")</f>
        <v>Enormous</v>
      </c>
      <c r="B38" s="8" t="str">
        <f>IFERROR(__xludf.DUMMYFUNCTION("""COMPUTED_VALUE"""),"(large, huge, gigantic) ")</f>
        <v>(large, huge, gigantic) </v>
      </c>
      <c r="C38" s="13" t="str">
        <f>IFERROR(__xludf.DUMMYFUNCTION("""COMPUTED_VALUE"""),"""pgkp"":{""label"":""Enormous"",""extra"":""(large, huge, gigantic) "",""sets"":""Expansion Set 3, Party Expansion 1""},")</f>
        <v>"pgkp":{"label":"Enormous","extra":"(large, huge, gigantic) ","sets":"Expansion Set 3, Party Expansion 1"},</v>
      </c>
    </row>
    <row r="39">
      <c r="A39" s="8" t="str">
        <f>IFERROR(__xludf.DUMMYFUNCTION("""COMPUTED_VALUE"""),"Entertaining")</f>
        <v>Entertaining</v>
      </c>
      <c r="B39" s="8" t="str">
        <f>IFERROR(__xludf.DUMMYFUNCTION("""COMPUTED_VALUE"""),"(amusing, festive, enjoyable) ")</f>
        <v>(amusing, festive, enjoyable) </v>
      </c>
      <c r="C39" s="13" t="str">
        <f>IFERROR(__xludf.DUMMYFUNCTION("""COMPUTED_VALUE"""),"""kojk"":{""label"":""Entertaining"",""extra"":""(amusing, festive, enjoyable) "",""sets"":""Expansion Set 3, Party Expansion 1""},")</f>
        <v>"kojk":{"label":"Entertaining","extra":"(amusing, festive, enjoyable) ","sets":"Expansion Set 3, Party Expansion 1"},</v>
      </c>
    </row>
    <row r="40">
      <c r="A40" s="8" t="str">
        <f>IFERROR(__xludf.DUMMYFUNCTION("""COMPUTED_VALUE"""),"Evil")</f>
        <v>Evil</v>
      </c>
      <c r="B40" s="8" t="str">
        <f>IFERROR(__xludf.DUMMYFUNCTION("""COMPUTED_VALUE"""),"(wicked, corrupt, depraved) ")</f>
        <v>(wicked, corrupt, depraved) </v>
      </c>
      <c r="C40" s="13" t="str">
        <f>IFERROR(__xludf.DUMMYFUNCTION("""COMPUTED_VALUE"""),"""amer"":{""label"":""Evil"",""extra"":""(wicked, corrupt, depraved) "",""sets"":""Expansion Set 3, Party Expansion 1""},")</f>
        <v>"amer":{"label":"Evil","extra":"(wicked, corrupt, depraved) ","sets":"Expansion Set 3, Party Expansion 1"},</v>
      </c>
    </row>
    <row r="41">
      <c r="A41" s="8" t="str">
        <f>IFERROR(__xludf.DUMMYFUNCTION("""COMPUTED_VALUE"""),"Famous")</f>
        <v>Famous</v>
      </c>
      <c r="B41" s="8" t="str">
        <f>IFERROR(__xludf.DUMMYFUNCTION("""COMPUTED_VALUE"""),"(well-known, celebrated, distinguished) ")</f>
        <v>(well-known, celebrated, distinguished) </v>
      </c>
      <c r="C41" s="13" t="str">
        <f>IFERROR(__xludf.DUMMYFUNCTION("""COMPUTED_VALUE"""),"""ymub"":{""label"":""Famous"",""extra"":""(well-known, celebrated, distinguished) "",""sets"":""Expansion Set 3, Party Expansion 1""},")</f>
        <v>"ymub":{"label":"Famous","extra":"(well-known, celebrated, distinguished) ","sets":"Expansion Set 3, Party Expansion 1"},</v>
      </c>
    </row>
    <row r="42">
      <c r="A42" s="8" t="str">
        <f>IFERROR(__xludf.DUMMYFUNCTION("""COMPUTED_VALUE"""),"Fashionable")</f>
        <v>Fashionable</v>
      </c>
      <c r="B42" s="8" t="str">
        <f>IFERROR(__xludf.DUMMYFUNCTION("""COMPUTED_VALUE"""),"(stylish, dashing, current) ")</f>
        <v>(stylish, dashing, current) </v>
      </c>
      <c r="C42" s="13" t="str">
        <f>IFERROR(__xludf.DUMMYFUNCTION("""COMPUTED_VALUE"""),"""lgoo"":{""label"":""Fashionable"",""extra"":""(stylish, dashing, current) "",""sets"":""Expansion Set 3, Party Expansion 1""},")</f>
        <v>"lgoo":{"label":"Fashionable","extra":"(stylish, dashing, current) ","sets":"Expansion Set 3, Party Expansion 1"},</v>
      </c>
    </row>
    <row r="43">
      <c r="A43" s="8" t="str">
        <f>IFERROR(__xludf.DUMMYFUNCTION("""COMPUTED_VALUE"""),"Fast")</f>
        <v>Fast</v>
      </c>
      <c r="B43" s="8" t="str">
        <f>IFERROR(__xludf.DUMMYFUNCTION("""COMPUTED_VALUE"""),"(swift, quick, rapid) ")</f>
        <v>(swift, quick, rapid) </v>
      </c>
      <c r="C43" s="13" t="str">
        <f>IFERROR(__xludf.DUMMYFUNCTION("""COMPUTED_VALUE"""),"""kvgh"":{""label"":""Fast"",""extra"":""(swift, quick, rapid) "",""sets"":""Expansion Set 3, Party Expansion 1""},")</f>
        <v>"kvgh":{"label":"Fast","extra":"(swift, quick, rapid) ","sets":"Expansion Set 3, Party Expansion 1"},</v>
      </c>
    </row>
    <row r="44">
      <c r="A44" s="8" t="str">
        <f>IFERROR(__xludf.DUMMYFUNCTION("""COMPUTED_VALUE"""),"Fast &amp; Furious")</f>
        <v>Fast &amp; Furious</v>
      </c>
      <c r="B44" s="8" t="str">
        <f>IFERROR(__xludf.DUMMYFUNCTION("""COMPUTED_VALUE"""),"(wild, reckless, breakneck) ")</f>
        <v>(wild, reckless, breakneck) </v>
      </c>
      <c r="C44" s="13" t="str">
        <f>IFERROR(__xludf.DUMMYFUNCTION("""COMPUTED_VALUE"""),"""muyf"":{""label"":""Fast &amp; Furious"",""extra"":""(wild, reckless, breakneck) "",""sets"":""Expansion Set 4, Party Expansion 1""},")</f>
        <v>"muyf":{"label":"Fast &amp; Furious","extra":"(wild, reckless, breakneck) ","sets":"Expansion Set 4, Party Expansion 1"},</v>
      </c>
    </row>
    <row r="45">
      <c r="A45" s="8" t="str">
        <f>IFERROR(__xludf.DUMMYFUNCTION("""COMPUTED_VALUE"""),"Fast &amp; Loose")</f>
        <v>Fast &amp; Loose</v>
      </c>
      <c r="B45" s="8" t="str">
        <f>IFERROR(__xludf.DUMMYFUNCTION("""COMPUTED_VALUE"""),"(deceitful, fraudulent, reckless) ")</f>
        <v>(deceitful, fraudulent, reckless) </v>
      </c>
      <c r="C45" s="13" t="str">
        <f>IFERROR(__xludf.DUMMYFUNCTION("""COMPUTED_VALUE"""),"""rdyj"":{""label"":""Fast &amp; Loose"",""extra"":""(deceitful, fraudulent, reckless) "",""sets"":""Expansion Set 4, Party Expansion 1""},")</f>
        <v>"rdyj":{"label":"Fast &amp; Loose","extra":"(deceitful, fraudulent, reckless) ","sets":"Expansion Set 4, Party Expansion 1"},</v>
      </c>
    </row>
    <row r="46">
      <c r="A46" s="8" t="str">
        <f>IFERROR(__xludf.DUMMYFUNCTION("""COMPUTED_VALUE"""),"Fat &amp; Happy")</f>
        <v>Fat &amp; Happy</v>
      </c>
      <c r="B46" s="8" t="str">
        <f>IFERROR(__xludf.DUMMYFUNCTION("""COMPUTED_VALUE"""),"(content, satisfied, assured) ")</f>
        <v>(content, satisfied, assured) </v>
      </c>
      <c r="C46" s="13" t="str">
        <f>IFERROR(__xludf.DUMMYFUNCTION("""COMPUTED_VALUE"""),"""kgyn"":{""label"":""Fat &amp; Happy"",""extra"":""(content, satisfied, assured) "",""sets"":""Expansion Set 4, Party Expansion 1""},")</f>
        <v>"kgyn":{"label":"Fat &amp; Happy","extra":"(content, satisfied, assured) ","sets":"Expansion Set 4, Party Expansion 1"},</v>
      </c>
    </row>
    <row r="47">
      <c r="A47" s="8" t="str">
        <f>IFERROR(__xludf.DUMMYFUNCTION("""COMPUTED_VALUE"""),"Flaky")</f>
        <v>Flaky</v>
      </c>
      <c r="B47" s="8" t="str">
        <f>IFERROR(__xludf.DUMMYFUNCTION("""COMPUTED_VALUE"""),"(foolish, eccentric, crispy) ")</f>
        <v>(foolish, eccentric, crispy) </v>
      </c>
      <c r="C47" s="13" t="str">
        <f>IFERROR(__xludf.DUMMYFUNCTION("""COMPUTED_VALUE"""),"""quqs"":{""label"":""Flaky"",""extra"":""(foolish, eccentric, crispy) "",""sets"":""Expansion Set 3, Party Expansion 1""},")</f>
        <v>"quqs":{"label":"Flaky","extra":"(foolish, eccentric, crispy) ","sets":"Expansion Set 3, Party Expansion 1"},</v>
      </c>
    </row>
    <row r="48">
      <c r="A48" s="8" t="str">
        <f>IFERROR(__xludf.DUMMYFUNCTION("""COMPUTED_VALUE"""),"Flamboyant")</f>
        <v>Flamboyant</v>
      </c>
      <c r="B48" s="8" t="str">
        <f>IFERROR(__xludf.DUMMYFUNCTION("""COMPUTED_VALUE"""),"(ornate, pompous, extravagant) ")</f>
        <v>(ornate, pompous, extravagant) </v>
      </c>
      <c r="C48" s="13" t="str">
        <f>IFERROR(__xludf.DUMMYFUNCTION("""COMPUTED_VALUE"""),"""vamo"":{""label"":""Flamboyant"",""extra"":""(ornate, pompous, extravagant) "",""sets"":""Expansion Set 3, Party Expansion 1""},")</f>
        <v>"vamo":{"label":"Flamboyant","extra":"(ornate, pompous, extravagant) ","sets":"Expansion Set 3, Party Expansion 1"},</v>
      </c>
    </row>
    <row r="49">
      <c r="A49" s="8" t="str">
        <f>IFERROR(__xludf.DUMMYFUNCTION("""COMPUTED_VALUE"""),"Flavorful")</f>
        <v>Flavorful</v>
      </c>
      <c r="B49" s="8" t="str">
        <f>IFERROR(__xludf.DUMMYFUNCTION("""COMPUTED_VALUE"""),"(tasty, savory, pungent) ")</f>
        <v>(tasty, savory, pungent) </v>
      </c>
      <c r="C49" s="13" t="str">
        <f>IFERROR(__xludf.DUMMYFUNCTION("""COMPUTED_VALUE"""),"""ixnn"":{""label"":""Flavorful"",""extra"":""(tasty, savory, pungent) "",""sets"":""Expansion Set 3, Party Expansion 1""},")</f>
        <v>"ixnn":{"label":"Flavorful","extra":"(tasty, savory, pungent) ","sets":"Expansion Set 3, Party Expansion 1"},</v>
      </c>
    </row>
    <row r="50">
      <c r="A50" s="8" t="str">
        <f>IFERROR(__xludf.DUMMYFUNCTION("""COMPUTED_VALUE"""),"Flawed")</f>
        <v>Flawed</v>
      </c>
      <c r="B50" s="8" t="str">
        <f>IFERROR(__xludf.DUMMYFUNCTION("""COMPUTED_VALUE"""),"(imperfect, defective, unsound) ")</f>
        <v>(imperfect, defective, unsound) </v>
      </c>
      <c r="C50" s="13" t="str">
        <f>IFERROR(__xludf.DUMMYFUNCTION("""COMPUTED_VALUE"""),"""xjhp"":{""label"":""Flawed"",""extra"":""(imperfect, defective, unsound) "",""sets"":""Expansion Set 3, Party Expansion 1""},")</f>
        <v>"xjhp":{"label":"Flawed","extra":"(imperfect, defective, unsound) ","sets":"Expansion Set 3, Party Expansion 1"},</v>
      </c>
    </row>
    <row r="51">
      <c r="A51" s="8" t="str">
        <f>IFERROR(__xludf.DUMMYFUNCTION("""COMPUTED_VALUE"""),"Foot Loose &amp; Fancy Free")</f>
        <v>Foot Loose &amp; Fancy Free</v>
      </c>
      <c r="B51" s="8" t="str">
        <f>IFERROR(__xludf.DUMMYFUNCTION("""COMPUTED_VALUE"""),"(lighthearted, carefree, spontaneous) ")</f>
        <v>(lighthearted, carefree, spontaneous) </v>
      </c>
      <c r="C51" s="13" t="str">
        <f>IFERROR(__xludf.DUMMYFUNCTION("""COMPUTED_VALUE"""),"""gsdx"":{""label"":""Foot Loose &amp; Fancy Free"",""extra"":""(lighthearted, carefree, spontaneous) "",""sets"":""Expansion Set 4, Party Expansion 1""},")</f>
        <v>"gsdx":{"label":"Foot Loose &amp; Fancy Free","extra":"(lighthearted, carefree, spontaneous) ","sets":"Expansion Set 4, Party Expansion 1"},</v>
      </c>
    </row>
    <row r="52">
      <c r="A52" s="8" t="str">
        <f>IFERROR(__xludf.DUMMYFUNCTION("""COMPUTED_VALUE"""),"Fragile")</f>
        <v>Fragile</v>
      </c>
      <c r="B52" s="8" t="str">
        <f>IFERROR(__xludf.DUMMYFUNCTION("""COMPUTED_VALUE"""),"(delicate, frail, breakable) ")</f>
        <v>(delicate, frail, breakable) </v>
      </c>
      <c r="C52" s="13" t="str">
        <f>IFERROR(__xludf.DUMMYFUNCTION("""COMPUTED_VALUE"""),"""mrpq"":{""label"":""Fragile"",""extra"":""(delicate, frail, breakable) "",""sets"":""Expansion Set 3, Party Expansion 1""},")</f>
        <v>"mrpq":{"label":"Fragile","extra":"(delicate, frail, breakable) ","sets":"Expansion Set 3, Party Expansion 1"},</v>
      </c>
    </row>
    <row r="53">
      <c r="A53" s="8" t="str">
        <f>IFERROR(__xludf.DUMMYFUNCTION("""COMPUTED_VALUE"""),"Fun")</f>
        <v>Fun</v>
      </c>
      <c r="B53" s="8" t="str">
        <f>IFERROR(__xludf.DUMMYFUNCTION("""COMPUTED_VALUE"""),"(enjoyable, playful, amusing) ")</f>
        <v>(enjoyable, playful, amusing) </v>
      </c>
      <c r="C53" s="13" t="str">
        <f>IFERROR(__xludf.DUMMYFUNCTION("""COMPUTED_VALUE"""),"""yvjp"":{""label"":""Fun"",""extra"":""(enjoyable, playful, amusing) "",""sets"":""Expansion Set 3, Party Expansion 1""},")</f>
        <v>"yvjp":{"label":"Fun","extra":"(enjoyable, playful, amusing) ","sets":"Expansion Set 3, Party Expansion 1"},</v>
      </c>
    </row>
    <row r="54">
      <c r="A54" s="8" t="str">
        <f>IFERROR(__xludf.DUMMYFUNCTION("""COMPUTED_VALUE"""),"Gloomy")</f>
        <v>Gloomy</v>
      </c>
      <c r="B54" s="8" t="str">
        <f>IFERROR(__xludf.DUMMYFUNCTION("""COMPUTED_VALUE"""),"(dreary, depressing, sullen) ")</f>
        <v>(dreary, depressing, sullen) </v>
      </c>
      <c r="C54" s="13" t="str">
        <f>IFERROR(__xludf.DUMMYFUNCTION("""COMPUTED_VALUE"""),"""bniq"":{""label"":""Gloomy"",""extra"":""(dreary, depressing, sullen) "",""sets"":""Expansion Set 3, Party Expansion 1""},")</f>
        <v>"bniq":{"label":"Gloomy","extra":"(dreary, depressing, sullen) ","sets":"Expansion Set 3, Party Expansion 1"},</v>
      </c>
    </row>
    <row r="55">
      <c r="A55" s="8" t="str">
        <f>IFERROR(__xludf.DUMMYFUNCTION("""COMPUTED_VALUE"""),"Goofy")</f>
        <v>Goofy</v>
      </c>
      <c r="B55" s="8" t="str">
        <f>IFERROR(__xludf.DUMMYFUNCTION("""COMPUTED_VALUE"""),"(silly, foolish, giddy) ")</f>
        <v>(silly, foolish, giddy) </v>
      </c>
      <c r="C55" s="13" t="str">
        <f>IFERROR(__xludf.DUMMYFUNCTION("""COMPUTED_VALUE"""),"""essj"":{""label"":""Goofy"",""extra"":""(silly, foolish, giddy) "",""sets"":""Expansion Set 3, Party Expansion 1""},")</f>
        <v>"essj":{"label":"Goofy","extra":"(silly, foolish, giddy) ","sets":"Expansion Set 3, Party Expansion 1"},</v>
      </c>
    </row>
    <row r="56">
      <c r="A56" s="8" t="str">
        <f>IFERROR(__xludf.DUMMYFUNCTION("""COMPUTED_VALUE"""),"Gorgeous")</f>
        <v>Gorgeous</v>
      </c>
      <c r="B56" s="8" t="str">
        <f>IFERROR(__xludf.DUMMYFUNCTION("""COMPUTED_VALUE"""),"(beautiful, stunning, magnificent) ")</f>
        <v>(beautiful, stunning, magnificent) </v>
      </c>
      <c r="C56" s="13" t="str">
        <f>IFERROR(__xludf.DUMMYFUNCTION("""COMPUTED_VALUE"""),"""qmjy"":{""label"":""Gorgeous"",""extra"":""(beautiful, stunning, magnificent) "",""sets"":""Expansion Set 3, Party Expansion 1""},")</f>
        <v>"qmjy":{"label":"Gorgeous","extra":"(beautiful, stunning, magnificent) ","sets":"Expansion Set 3, Party Expansion 1"},</v>
      </c>
    </row>
    <row r="57">
      <c r="A57" s="8" t="str">
        <f>IFERROR(__xludf.DUMMYFUNCTION("""COMPUTED_VALUE"""),"Grueling")</f>
        <v>Grueling</v>
      </c>
      <c r="B57" s="8" t="str">
        <f>IFERROR(__xludf.DUMMYFUNCTION("""COMPUTED_VALUE"""),"(demanding, exhausting, strenuous) ")</f>
        <v>(demanding, exhausting, strenuous) </v>
      </c>
      <c r="C57" s="13" t="str">
        <f>IFERROR(__xludf.DUMMYFUNCTION("""COMPUTED_VALUE"""),"""gtdi"":{""label"":""Grueling"",""extra"":""(demanding, exhausting, strenuous) "",""sets"":""Expansion Set 3, Party Expansion 1""},")</f>
        <v>"gtdi":{"label":"Grueling","extra":"(demanding, exhausting, strenuous) ","sets":"Expansion Set 3, Party Expansion 1"},</v>
      </c>
    </row>
    <row r="58">
      <c r="A58" s="8" t="str">
        <f>IFERROR(__xludf.DUMMYFUNCTION("""COMPUTED_VALUE"""),"Gruesome")</f>
        <v>Gruesome</v>
      </c>
      <c r="B58" s="8" t="str">
        <f>IFERROR(__xludf.DUMMYFUNCTION("""COMPUTED_VALUE"""),"(ghastly, hideous, grisly) ")</f>
        <v>(ghastly, hideous, grisly) </v>
      </c>
      <c r="C58" s="13" t="str">
        <f>IFERROR(__xludf.DUMMYFUNCTION("""COMPUTED_VALUE"""),"""xnad"":{""label"":""Gruesome"",""extra"":""(ghastly, hideous, grisly) "",""sets"":""Expansion Set 3, Party Expansion 1""},")</f>
        <v>"xnad":{"label":"Gruesome","extra":"(ghastly, hideous, grisly) ","sets":"Expansion Set 3, Party Expansion 1"},</v>
      </c>
    </row>
    <row r="59">
      <c r="A59" s="8" t="str">
        <f>IFERROR(__xludf.DUMMYFUNCTION("""COMPUTED_VALUE"""),"Grungy")</f>
        <v>Grungy</v>
      </c>
      <c r="B59" s="8" t="str">
        <f>IFERROR(__xludf.DUMMYFUNCTION("""COMPUTED_VALUE"""),"(dirty, shabby, seedy) ")</f>
        <v>(dirty, shabby, seedy) </v>
      </c>
      <c r="C59" s="13" t="str">
        <f>IFERROR(__xludf.DUMMYFUNCTION("""COMPUTED_VALUE"""),"""luoa"":{""label"":""Grungy"",""extra"":""(dirty, shabby, seedy) "",""sets"":""Expansion Set 3, Party Expansion 1""},")</f>
        <v>"luoa":{"label":"Grungy","extra":"(dirty, shabby, seedy) ","sets":"Expansion Set 3, Party Expansion 1"},</v>
      </c>
    </row>
    <row r="60">
      <c r="A60" s="8" t="str">
        <f>IFERROR(__xludf.DUMMYFUNCTION("""COMPUTED_VALUE"""),"Hale &amp; Hearty")</f>
        <v>Hale &amp; Hearty</v>
      </c>
      <c r="B60" s="8" t="str">
        <f>IFERROR(__xludf.DUMMYFUNCTION("""COMPUTED_VALUE"""),"(healthy, vigorous, robust) ")</f>
        <v>(healthy, vigorous, robust) </v>
      </c>
      <c r="C60" s="13" t="str">
        <f>IFERROR(__xludf.DUMMYFUNCTION("""COMPUTED_VALUE"""),"""xrsx"":{""label"":""Hale &amp; Hearty"",""extra"":""(healthy, vigorous, robust) "",""sets"":""Expansion Set 4, Party Expansion 1""},")</f>
        <v>"xrsx":{"label":"Hale &amp; Hearty","extra":"(healthy, vigorous, robust) ","sets":"Expansion Set 4, Party Expansion 1"},</v>
      </c>
    </row>
    <row r="61">
      <c r="A61" s="8" t="str">
        <f>IFERROR(__xludf.DUMMYFUNCTION("""COMPUTED_VALUE"""),"Handy")</f>
        <v>Handy</v>
      </c>
      <c r="B61" s="8" t="str">
        <f>IFERROR(__xludf.DUMMYFUNCTION("""COMPUTED_VALUE"""),"(convenient, available, capable) ")</f>
        <v>(convenient, available, capable) </v>
      </c>
      <c r="C61" s="13" t="str">
        <f>IFERROR(__xludf.DUMMYFUNCTION("""COMPUTED_VALUE"""),"""shir"":{""label"":""Handy"",""extra"":""(convenient, available, capable) "",""sets"":""Expansion Set 3, Party Expansion 1""},")</f>
        <v>"shir":{"label":"Handy","extra":"(convenient, available, capable) ","sets":"Expansion Set 3, Party Expansion 1"},</v>
      </c>
    </row>
    <row r="62">
      <c r="A62" s="8" t="str">
        <f>IFERROR(__xludf.DUMMYFUNCTION("""COMPUTED_VALUE"""),"Harsh")</f>
        <v>Harsh</v>
      </c>
      <c r="B62" s="8" t="str">
        <f>IFERROR(__xludf.DUMMYFUNCTION("""COMPUTED_VALUE"""),"(severe, glaring, brutal) ")</f>
        <v>(severe, glaring, brutal) </v>
      </c>
      <c r="C62" s="13" t="str">
        <f>IFERROR(__xludf.DUMMYFUNCTION("""COMPUTED_VALUE"""),"""yfkr"":{""label"":""Harsh"",""extra"":""(severe, glaring, brutal) "",""sets"":""Expansion Set 3, Party Expansion 1""},")</f>
        <v>"yfkr":{"label":"Harsh","extra":"(severe, glaring, brutal) ","sets":"Expansion Set 3, Party Expansion 1"},</v>
      </c>
    </row>
    <row r="63">
      <c r="A63" s="8" t="str">
        <f>IFERROR(__xludf.DUMMYFUNCTION("""COMPUTED_VALUE"""),"Hazardous")</f>
        <v>Hazardous</v>
      </c>
      <c r="B63" s="8" t="str">
        <f>IFERROR(__xludf.DUMMYFUNCTION("""COMPUTED_VALUE"""),"(risky, dangerous, perilous) ")</f>
        <v>(risky, dangerous, perilous) </v>
      </c>
      <c r="C63" s="13" t="str">
        <f>IFERROR(__xludf.DUMMYFUNCTION("""COMPUTED_VALUE"""),"""vqgn"":{""label"":""Hazardous"",""extra"":""(risky, dangerous, perilous) "",""sets"":""Expansion Set 3, Party Expansion 1""},")</f>
        <v>"vqgn":{"label":"Hazardous","extra":"(risky, dangerous, perilous) ","sets":"Expansion Set 3, Party Expansion 1"},</v>
      </c>
    </row>
    <row r="64">
      <c r="A64" s="8" t="str">
        <f>IFERROR(__xludf.DUMMYFUNCTION("""COMPUTED_VALUE"""),"High &amp; Dry")</f>
        <v>High &amp; Dry</v>
      </c>
      <c r="B64" s="8" t="str">
        <f>IFERROR(__xludf.DUMMYFUNCTION("""COMPUTED_VALUE"""),"(abandoned, alone, helpless) ")</f>
        <v>(abandoned, alone, helpless) </v>
      </c>
      <c r="C64" s="13" t="str">
        <f>IFERROR(__xludf.DUMMYFUNCTION("""COMPUTED_VALUE"""),"""ofgj"":{""label"":""High &amp; Dry"",""extra"":""(abandoned, alone, helpless) "",""sets"":""Expansion Set 4, Party Expansion 1""},")</f>
        <v>"ofgj":{"label":"High &amp; Dry","extra":"(abandoned, alone, helpless) ","sets":"Expansion Set 4, Party Expansion 1"},</v>
      </c>
    </row>
    <row r="65">
      <c r="A65" s="8" t="str">
        <f>IFERROR(__xludf.DUMMYFUNCTION("""COMPUTED_VALUE"""),"High &amp; Low")</f>
        <v>High &amp; Low</v>
      </c>
      <c r="B65" s="8" t="str">
        <f>IFERROR(__xludf.DUMMYFUNCTION("""COMPUTED_VALUE"""),"(everywhere, universally, all over) ")</f>
        <v>(everywhere, universally, all over) </v>
      </c>
      <c r="C65" s="13" t="str">
        <f>IFERROR(__xludf.DUMMYFUNCTION("""COMPUTED_VALUE"""),"""yvtu"":{""label"":""High &amp; Low"",""extra"":""(everywhere, universally, all over) "",""sets"":""Expansion Set 4, Party Expansion 1""},")</f>
        <v>"yvtu":{"label":"High &amp; Low","extra":"(everywhere, universally, all over) ","sets":"Expansion Set 4, Party Expansion 1"},</v>
      </c>
    </row>
    <row r="66">
      <c r="A66" s="8" t="str">
        <f>IFERROR(__xludf.DUMMYFUNCTION("""COMPUTED_VALUE"""),"High &amp; Mighty")</f>
        <v>High &amp; Mighty</v>
      </c>
      <c r="B66" s="8" t="str">
        <f>IFERROR(__xludf.DUMMYFUNCTION("""COMPUTED_VALUE"""),"(arrogant, conceited, vain) ")</f>
        <v>(arrogant, conceited, vain) </v>
      </c>
      <c r="C66" s="13" t="str">
        <f>IFERROR(__xludf.DUMMYFUNCTION("""COMPUTED_VALUE"""),"""nqxc"":{""label"":""High &amp; Mighty"",""extra"":""(arrogant, conceited, vain) "",""sets"":""Expansion Set 4, Party Expansion 1""},")</f>
        <v>"nqxc":{"label":"High &amp; Mighty","extra":"(arrogant, conceited, vain) ","sets":"Expansion Set 4, Party Expansion 1"},</v>
      </c>
    </row>
    <row r="67">
      <c r="A67" s="8" t="str">
        <f>IFERROR(__xludf.DUMMYFUNCTION("""COMPUTED_VALUE"""),"Hit &amp; Miss")</f>
        <v>Hit &amp; Miss</v>
      </c>
      <c r="B67" s="8" t="str">
        <f>IFERROR(__xludf.DUMMYFUNCTION("""COMPUTED_VALUE"""),"(sporadic, unreliable, erratic) ")</f>
        <v>(sporadic, unreliable, erratic) </v>
      </c>
      <c r="C67" s="13" t="str">
        <f>IFERROR(__xludf.DUMMYFUNCTION("""COMPUTED_VALUE"""),"""wkty"":{""label"":""Hit &amp; Miss"",""extra"":""(sporadic, unreliable, erratic) "",""sets"":""Expansion Set 4, Party Expansion 1""},")</f>
        <v>"wkty":{"label":"Hit &amp; Miss","extra":"(sporadic, unreliable, erratic) ","sets":"Expansion Set 4, Party Expansion 1"},</v>
      </c>
    </row>
    <row r="68">
      <c r="A68" s="8" t="str">
        <f>IFERROR(__xludf.DUMMYFUNCTION("""COMPUTED_VALUE"""),"Hot &amp; Bothered")</f>
        <v>Hot &amp; Bothered</v>
      </c>
      <c r="B68" s="8" t="str">
        <f>IFERROR(__xludf.DUMMYFUNCTION("""COMPUTED_VALUE"""),"(annoyed, irritated, provoked) ")</f>
        <v>(annoyed, irritated, provoked) </v>
      </c>
      <c r="C68" s="13" t="str">
        <f>IFERROR(__xludf.DUMMYFUNCTION("""COMPUTED_VALUE"""),"""yshe"":{""label"":""Hot &amp; Bothered"",""extra"":""(annoyed, irritated, provoked) "",""sets"":""Expansion Set 4, Party Expansion 1""},")</f>
        <v>"yshe":{"label":"Hot &amp; Bothered","extra":"(annoyed, irritated, provoked) ","sets":"Expansion Set 4, Party Expansion 1"},</v>
      </c>
    </row>
    <row r="69">
      <c r="A69" s="8" t="str">
        <f>IFERROR(__xludf.DUMMYFUNCTION("""COMPUTED_VALUE"""),"Hot &amp; Cold")</f>
        <v>Hot &amp; Cold</v>
      </c>
      <c r="B69" s="8" t="str">
        <f>IFERROR(__xludf.DUMMYFUNCTION("""COMPUTED_VALUE"""),"(ambivalent, indecisive, varying) ")</f>
        <v>(ambivalent, indecisive, varying) </v>
      </c>
      <c r="C69" s="13" t="str">
        <f>IFERROR(__xludf.DUMMYFUNCTION("""COMPUTED_VALUE"""),"""lbyw"":{""label"":""Hot &amp; Cold"",""extra"":""(ambivalent, indecisive, varying) "",""sets"":""Expansion Set 4, Party Expansion 1""},")</f>
        <v>"lbyw":{"label":"Hot &amp; Cold","extra":"(ambivalent, indecisive, varying) ","sets":"Expansion Set 4, Party Expansion 1"},</v>
      </c>
    </row>
    <row r="70">
      <c r="A70" s="8" t="str">
        <f>IFERROR(__xludf.DUMMYFUNCTION("""COMPUTED_VALUE"""),"Hot &amp; Heavy")</f>
        <v>Hot &amp; Heavy</v>
      </c>
      <c r="B70" s="8" t="str">
        <f>IFERROR(__xludf.DUMMYFUNCTION("""COMPUTED_VALUE"""),"(passionate, momentous, serious) ")</f>
        <v>(passionate, momentous, serious) </v>
      </c>
      <c r="C70" s="13" t="str">
        <f>IFERROR(__xludf.DUMMYFUNCTION("""COMPUTED_VALUE"""),"""ynyg"":{""label"":""Hot &amp; Heavy"",""extra"":""(passionate, momentous, serious) "",""sets"":""Expansion Set 4, Party Expansion 1""},")</f>
        <v>"ynyg":{"label":"Hot &amp; Heavy","extra":"(passionate, momentous, serious) ","sets":"Expansion Set 4, Party Expansion 1"},</v>
      </c>
    </row>
    <row r="71">
      <c r="A71" s="8" t="str">
        <f>IFERROR(__xludf.DUMMYFUNCTION("""COMPUTED_VALUE"""),"Hot &amp; Muggy")</f>
        <v>Hot &amp; Muggy</v>
      </c>
      <c r="B71" s="8" t="str">
        <f>IFERROR(__xludf.DUMMYFUNCTION("""COMPUTED_VALUE"""),"(sultry, humid, oppressive) ")</f>
        <v>(sultry, humid, oppressive) </v>
      </c>
      <c r="C71" s="13" t="str">
        <f>IFERROR(__xludf.DUMMYFUNCTION("""COMPUTED_VALUE"""),"""cdla"":{""label"":""Hot &amp; Muggy"",""extra"":""(sultry, humid, oppressive) "",""sets"":""Expansion Set 4, Party Expansion 1""},")</f>
        <v>"cdla":{"label":"Hot &amp; Muggy","extra":"(sultry, humid, oppressive) ","sets":"Expansion Set 4, Party Expansion 1"},</v>
      </c>
    </row>
    <row r="72">
      <c r="A72" s="8" t="str">
        <f>IFERROR(__xludf.DUMMYFUNCTION("""COMPUTED_VALUE"""),"Hot &amp; Spicy")</f>
        <v>Hot &amp; Spicy</v>
      </c>
      <c r="B72" s="8" t="str">
        <f>IFERROR(__xludf.DUMMYFUNCTION("""COMPUTED_VALUE"""),"(zesty, stimulating, pungent) ")</f>
        <v>(zesty, stimulating, pungent) </v>
      </c>
      <c r="C72" s="13" t="str">
        <f>IFERROR(__xludf.DUMMYFUNCTION("""COMPUTED_VALUE"""),"""kpzs"":{""label"":""Hot &amp; Spicy"",""extra"":""(zesty, stimulating, pungent) "",""sets"":""Expansion Set 4, Party Expansion 1""},")</f>
        <v>"kpzs":{"label":"Hot &amp; Spicy","extra":"(zesty, stimulating, pungent) ","sets":"Expansion Set 4, Party Expansion 1"},</v>
      </c>
    </row>
    <row r="73">
      <c r="A73" s="8" t="str">
        <f>IFERROR(__xludf.DUMMYFUNCTION("""COMPUTED_VALUE"""),"Hot &amp; Sweaty")</f>
        <v>Hot &amp; Sweaty</v>
      </c>
      <c r="B73" s="8" t="str">
        <f>IFERROR(__xludf.DUMMYFUNCTION("""COMPUTED_VALUE"""),"(sweltering, intense, perspiring) ")</f>
        <v>(sweltering, intense, perspiring) </v>
      </c>
      <c r="C73" s="13" t="str">
        <f>IFERROR(__xludf.DUMMYFUNCTION("""COMPUTED_VALUE"""),"""rwxi"":{""label"":""Hot &amp; Sweaty"",""extra"":""(sweltering, intense, perspiring) "",""sets"":""Expansion Set 4, Party Expansion 1""},")</f>
        <v>"rwxi":{"label":"Hot &amp; Sweaty","extra":"(sweltering, intense, perspiring) ","sets":"Expansion Set 4, Party Expansion 1"},</v>
      </c>
    </row>
    <row r="74">
      <c r="A74" s="8" t="str">
        <f>IFERROR(__xludf.DUMMYFUNCTION("""COMPUTED_VALUE"""),"Huge")</f>
        <v>Huge</v>
      </c>
      <c r="B74" s="8" t="str">
        <f>IFERROR(__xludf.DUMMYFUNCTION("""COMPUTED_VALUE"""),"(gigantic, immense, important) ")</f>
        <v>(gigantic, immense, important) </v>
      </c>
      <c r="C74" s="13" t="str">
        <f>IFERROR(__xludf.DUMMYFUNCTION("""COMPUTED_VALUE"""),"""kpen"":{""label"":""Huge"",""extra"":""(gigantic, immense, important) "",""sets"":""Expansion Set 3, Party Expansion 1""},")</f>
        <v>"kpen":{"label":"Huge","extra":"(gigantic, immense, important) ","sets":"Expansion Set 3, Party Expansion 1"},</v>
      </c>
    </row>
    <row r="75">
      <c r="A75" s="8" t="str">
        <f>IFERROR(__xludf.DUMMYFUNCTION("""COMPUTED_VALUE"""),"Humorous")</f>
        <v>Humorous</v>
      </c>
      <c r="B75" s="8" t="str">
        <f>IFERROR(__xludf.DUMMYFUNCTION("""COMPUTED_VALUE"""),"(funny, amusing, comical) ")</f>
        <v>(funny, amusing, comical) </v>
      </c>
      <c r="C75" s="13" t="str">
        <f>IFERROR(__xludf.DUMMYFUNCTION("""COMPUTED_VALUE"""),"""ibyj"":{""label"":""Humorous"",""extra"":""(funny, amusing, comical) "",""sets"":""Expansion Set 3, Party Expansion 1""},")</f>
        <v>"ibyj":{"label":"Humorous","extra":"(funny, amusing, comical) ","sets":"Expansion Set 3, Party Expansion 1"},</v>
      </c>
    </row>
    <row r="76">
      <c r="A76" s="8" t="str">
        <f>IFERROR(__xludf.DUMMYFUNCTION("""COMPUTED_VALUE"""),"Icky")</f>
        <v>Icky</v>
      </c>
      <c r="B76" s="8" t="str">
        <f>IFERROR(__xludf.DUMMYFUNCTION("""COMPUTED_VALUE"""),"(sickening, disgusting, repulsive) ")</f>
        <v>(sickening, disgusting, repulsive) </v>
      </c>
      <c r="C76" s="13" t="str">
        <f>IFERROR(__xludf.DUMMYFUNCTION("""COMPUTED_VALUE"""),"""nxfc"":{""label"":""Icky"",""extra"":""(sickening, disgusting, repulsive) "",""sets"":""Expansion Set 3, Party Expansion 1""},")</f>
        <v>"nxfc":{"label":"Icky","extra":"(sickening, disgusting, repulsive) ","sets":"Expansion Set 3, Party Expansion 1"},</v>
      </c>
    </row>
    <row r="77">
      <c r="A77" s="8" t="str">
        <f>IFERROR(__xludf.DUMMYFUNCTION("""COMPUTED_VALUE"""),"Ideal")</f>
        <v>Ideal</v>
      </c>
      <c r="B77" s="8" t="str">
        <f>IFERROR(__xludf.DUMMYFUNCTION("""COMPUTED_VALUE"""),"(perfect, flawless, model) ")</f>
        <v>(perfect, flawless, model) </v>
      </c>
      <c r="C77" s="13" t="str">
        <f>IFERROR(__xludf.DUMMYFUNCTION("""COMPUTED_VALUE"""),"""gccn"":{""label"":""Ideal"",""extra"":""(perfect, flawless, model) "",""sets"":""Expansion Set 3, Party Expansion 1""},")</f>
        <v>"gccn":{"label":"Ideal","extra":"(perfect, flawless, model) ","sets":"Expansion Set 3, Party Expansion 1"},</v>
      </c>
    </row>
    <row r="78">
      <c r="A78" s="8" t="str">
        <f>IFERROR(__xludf.DUMMYFUNCTION("""COMPUTED_VALUE"""),"Jolly")</f>
        <v>Jolly</v>
      </c>
      <c r="B78" s="8" t="str">
        <f>IFERROR(__xludf.DUMMYFUNCTION("""COMPUTED_VALUE"""),"(cheerful, joyous, merry) ")</f>
        <v>(cheerful, joyous, merry) </v>
      </c>
      <c r="C78" s="13" t="str">
        <f>IFERROR(__xludf.DUMMYFUNCTION("""COMPUTED_VALUE"""),"""oxna"":{""label"":""Jolly"",""extra"":""(cheerful, joyous, merry) "",""sets"":""Expansion Set 3, Party Expansion 1""},")</f>
        <v>"oxna":{"label":"Jolly","extra":"(cheerful, joyous, merry) ","sets":"Expansion Set 3, Party Expansion 1"},</v>
      </c>
    </row>
    <row r="79">
      <c r="A79" s="8" t="str">
        <f>IFERROR(__xludf.DUMMYFUNCTION("""COMPUTED_VALUE"""),"Lean &amp; Mean")</f>
        <v>Lean &amp; Mean</v>
      </c>
      <c r="B79" s="8" t="str">
        <f>IFERROR(__xludf.DUMMYFUNCTION("""COMPUTED_VALUE"""),"(vigorous, fit, efficient) ")</f>
        <v>(vigorous, fit, efficient) </v>
      </c>
      <c r="C79" s="13" t="str">
        <f>IFERROR(__xludf.DUMMYFUNCTION("""COMPUTED_VALUE"""),"""pati"":{""label"":""Lean &amp; Mean"",""extra"":""(vigorous, fit, efficient) "",""sets"":""Expansion Set 4, Party Expansion 1""},")</f>
        <v>"pati":{"label":"Lean &amp; Mean","extra":"(vigorous, fit, efficient) ","sets":"Expansion Set 4, Party Expansion 1"},</v>
      </c>
    </row>
    <row r="80">
      <c r="A80" s="8" t="str">
        <f>IFERROR(__xludf.DUMMYFUNCTION("""COMPUTED_VALUE"""),"Lewd &amp; Lascivious")</f>
        <v>Lewd &amp; Lascivious</v>
      </c>
      <c r="B80" s="8" t="str">
        <f>IFERROR(__xludf.DUMMYFUNCTION("""COMPUTED_VALUE"""),"(lustful, obscene, indecent) ")</f>
        <v>(lustful, obscene, indecent) </v>
      </c>
      <c r="C80" s="13" t="str">
        <f>IFERROR(__xludf.DUMMYFUNCTION("""COMPUTED_VALUE"""),"""mwpr"":{""label"":""Lewd &amp; Lascivious"",""extra"":""(lustful, obscene, indecent) "",""sets"":""Expansion Set 4, Party Expansion 1""},")</f>
        <v>"mwpr":{"label":"Lewd &amp; Lascivious","extra":"(lustful, obscene, indecent) ","sets":"Expansion Set 4, Party Expansion 1"},</v>
      </c>
    </row>
    <row r="81">
      <c r="A81" s="8" t="str">
        <f>IFERROR(__xludf.DUMMYFUNCTION("""COMPUTED_VALUE"""),"Light &amp; Fluffy")</f>
        <v>Light &amp; Fluffy</v>
      </c>
      <c r="B81" s="8" t="str">
        <f>IFERROR(__xludf.DUMMYFUNCTION("""COMPUTED_VALUE"""),"(billowy, airy, soft) ")</f>
        <v>(billowy, airy, soft) </v>
      </c>
      <c r="C81" s="13" t="str">
        <f>IFERROR(__xludf.DUMMYFUNCTION("""COMPUTED_VALUE"""),"""bcur"":{""label"":""Light &amp; Fluffy"",""extra"":""(billowy, airy, soft) "",""sets"":""Expansion Set 4, Party Expansion 1""},")</f>
        <v>"bcur":{"label":"Light &amp; Fluffy","extra":"(billowy, airy, soft) ","sets":"Expansion Set 4, Party Expansion 1"},</v>
      </c>
    </row>
    <row r="82">
      <c r="A82" s="8" t="str">
        <f>IFERROR(__xludf.DUMMYFUNCTION("""COMPUTED_VALUE"""),"Long &amp; Lean")</f>
        <v>Long &amp; Lean</v>
      </c>
      <c r="B82" s="8" t="str">
        <f>IFERROR(__xludf.DUMMYFUNCTION("""COMPUTED_VALUE"""),"(slender, lanky, wiry) ")</f>
        <v>(slender, lanky, wiry) </v>
      </c>
      <c r="C82" s="13" t="str">
        <f>IFERROR(__xludf.DUMMYFUNCTION("""COMPUTED_VALUE"""),"""zjul"":{""label"":""Long &amp; Lean"",""extra"":""(slender, lanky, wiry) "",""sets"":""Expansion Set 4, Party Expansion 1""},")</f>
        <v>"zjul":{"label":"Long &amp; Lean","extra":"(slender, lanky, wiry) ","sets":"Expansion Set 4, Party Expansion 1"},</v>
      </c>
    </row>
    <row r="83">
      <c r="A83" s="8" t="str">
        <f>IFERROR(__xludf.DUMMYFUNCTION("""COMPUTED_VALUE"""),"Loud &amp; Clear")</f>
        <v>Loud &amp; Clear</v>
      </c>
      <c r="B83" s="8" t="str">
        <f>IFERROR(__xludf.DUMMYFUNCTION("""COMPUTED_VALUE"""),"(definite, explicit, unequivocal) ")</f>
        <v>(definite, explicit, unequivocal) </v>
      </c>
      <c r="C83" s="13" t="str">
        <f>IFERROR(__xludf.DUMMYFUNCTION("""COMPUTED_VALUE"""),"""fxvb"":{""label"":""Loud &amp; Clear"",""extra"":""(definite, explicit, unequivocal) "",""sets"":""Expansion Set 4, Party Expansion 1""},")</f>
        <v>"fxvb":{"label":"Loud &amp; Clear","extra":"(definite, explicit, unequivocal) ","sets":"Expansion Set 4, Party Expansion 1"},</v>
      </c>
    </row>
    <row r="84">
      <c r="A84" s="8" t="str">
        <f>IFERROR(__xludf.DUMMYFUNCTION("""COMPUTED_VALUE"""),"Mean")</f>
        <v>Mean</v>
      </c>
      <c r="B84" s="8" t="str">
        <f>IFERROR(__xludf.DUMMYFUNCTION("""COMPUTED_VALUE"""),"(malicious, ill-tempered, petty) ")</f>
        <v>(malicious, ill-tempered, petty) </v>
      </c>
      <c r="C84" s="13" t="str">
        <f>IFERROR(__xludf.DUMMYFUNCTION("""COMPUTED_VALUE"""),"""tsto"":{""label"":""Mean"",""extra"":""(malicious, ill-tempered, petty) "",""sets"":""Expansion Set 3, Party Expansion 1""},")</f>
        <v>"tsto":{"label":"Mean","extra":"(malicious, ill-tempered, petty) ","sets":"Expansion Set 3, Party Expansion 1"},</v>
      </c>
    </row>
    <row r="85">
      <c r="A85" s="8" t="str">
        <f>IFERROR(__xludf.DUMMYFUNCTION("""COMPUTED_VALUE"""),"Meek &amp; Mild")</f>
        <v>Meek &amp; Mild</v>
      </c>
      <c r="B85" s="8" t="str">
        <f>IFERROR(__xludf.DUMMYFUNCTION("""COMPUTED_VALUE"""),"(timid, docile, gentle) ")</f>
        <v>(timid, docile, gentle) </v>
      </c>
      <c r="C85" s="13" t="str">
        <f>IFERROR(__xludf.DUMMYFUNCTION("""COMPUTED_VALUE"""),"""vmbs"":{""label"":""Meek &amp; Mild"",""extra"":""(timid, docile, gentle) "",""sets"":""Expansion Set 4, Party Expansion 1""},")</f>
        <v>"vmbs":{"label":"Meek &amp; Mild","extra":"(timid, docile, gentle) ","sets":"Expansion Set 4, Party Expansion 1"},</v>
      </c>
    </row>
    <row r="86">
      <c r="A86" s="8" t="str">
        <f>IFERROR(__xludf.DUMMYFUNCTION("""COMPUTED_VALUE"""),"Mesmerizing")</f>
        <v>Mesmerizing</v>
      </c>
      <c r="B86" s="8" t="str">
        <f>IFERROR(__xludf.DUMMYFUNCTION("""COMPUTED_VALUE"""),"(fascinating, hypnotizing, charming) ")</f>
        <v>(fascinating, hypnotizing, charming) </v>
      </c>
      <c r="C86" s="13" t="str">
        <f>IFERROR(__xludf.DUMMYFUNCTION("""COMPUTED_VALUE"""),"""mgxj"":{""label"":""Mesmerizing"",""extra"":""(fascinating, hypnotizing, charming) "",""sets"":""Expansion Set 3, Party Expansion 1""},")</f>
        <v>"mgxj":{"label":"Mesmerizing","extra":"(fascinating, hypnotizing, charming) ","sets":"Expansion Set 3, Party Expansion 1"},</v>
      </c>
    </row>
    <row r="87">
      <c r="A87" s="8" t="str">
        <f>IFERROR(__xludf.DUMMYFUNCTION("""COMPUTED_VALUE"""),"Messy")</f>
        <v>Messy</v>
      </c>
      <c r="B87" s="8" t="str">
        <f>IFERROR(__xludf.DUMMYFUNCTION("""COMPUTED_VALUE"""),"(sloppy, disorderly, unclean) ")</f>
        <v>(sloppy, disorderly, unclean) </v>
      </c>
      <c r="C87" s="13" t="str">
        <f>IFERROR(__xludf.DUMMYFUNCTION("""COMPUTED_VALUE"""),"""qyxx"":{""label"":""Messy"",""extra"":""(sloppy, disorderly, unclean) "",""sets"":""Expansion Set 3, Party Expansion 1""},")</f>
        <v>"qyxx":{"label":"Messy","extra":"(sloppy, disorderly, unclean) ","sets":"Expansion Set 3, Party Expansion 1"},</v>
      </c>
    </row>
    <row r="88">
      <c r="A88" s="8" t="str">
        <f>IFERROR(__xludf.DUMMYFUNCTION("""COMPUTED_VALUE"""),"Modern")</f>
        <v>Modern</v>
      </c>
      <c r="B88" s="8" t="str">
        <f>IFERROR(__xludf.DUMMYFUNCTION("""COMPUTED_VALUE"""),"(contemporary, fashionable, trendy) ")</f>
        <v>(contemporary, fashionable, trendy) </v>
      </c>
      <c r="C88" s="13" t="str">
        <f>IFERROR(__xludf.DUMMYFUNCTION("""COMPUTED_VALUE"""),"""dnoh"":{""label"":""Modern"",""extra"":""(contemporary, fashionable, trendy) "",""sets"":""Expansion Set 3, Party Expansion 1""},")</f>
        <v>"dnoh":{"label":"Modern","extra":"(contemporary, fashionable, trendy) ","sets":"Expansion Set 3, Party Expansion 1"},</v>
      </c>
    </row>
    <row r="89">
      <c r="A89" s="8" t="str">
        <f>IFERROR(__xludf.DUMMYFUNCTION("""COMPUTED_VALUE"""),"Naughty &amp; Nice")</f>
        <v>Naughty &amp; Nice</v>
      </c>
      <c r="B89" s="8" t="str">
        <f>IFERROR(__xludf.DUMMYFUNCTION("""COMPUTED_VALUE"""),"(impish, mischievous, playful) ")</f>
        <v>(impish, mischievous, playful) </v>
      </c>
      <c r="C89" s="13" t="str">
        <f>IFERROR(__xludf.DUMMYFUNCTION("""COMPUTED_VALUE"""),"""guaj"":{""label"":""Naughty &amp; Nice"",""extra"":""(impish, mischievous, playful) "",""sets"":""Expansion Set 4, Party Expansion 1""},")</f>
        <v>"guaj":{"label":"Naughty &amp; Nice","extra":"(impish, mischievous, playful) ","sets":"Expansion Set 4, Party Expansion 1"},</v>
      </c>
    </row>
    <row r="90">
      <c r="A90" s="8" t="str">
        <f>IFERROR(__xludf.DUMMYFUNCTION("""COMPUTED_VALUE"""),"Neat &amp; Clean")</f>
        <v>Neat &amp; Clean</v>
      </c>
      <c r="B90" s="8" t="str">
        <f>IFERROR(__xludf.DUMMYFUNCTION("""COMPUTED_VALUE"""),"(spotless, tidy, shipshape) ")</f>
        <v>(spotless, tidy, shipshape) </v>
      </c>
      <c r="C90" s="13" t="str">
        <f>IFERROR(__xludf.DUMMYFUNCTION("""COMPUTED_VALUE"""),"""kmbk"":{""label"":""Neat &amp; Clean"",""extra"":""(spotless, tidy, shipshape) "",""sets"":""Expansion Set 4, Party Expansion 1""},")</f>
        <v>"kmbk":{"label":"Neat &amp; Clean","extra":"(spotless, tidy, shipshape) ","sets":"Expansion Set 4, Party Expansion 1"},</v>
      </c>
    </row>
    <row r="91">
      <c r="A91" s="8" t="str">
        <f>IFERROR(__xludf.DUMMYFUNCTION("""COMPUTED_VALUE"""),"New &amp; Improved")</f>
        <v>New &amp; Improved</v>
      </c>
      <c r="B91" s="8" t="str">
        <f>IFERROR(__xludf.DUMMYFUNCTION("""COMPUTED_VALUE"""),"(upgraded, enhanced, revised) ")</f>
        <v>(upgraded, enhanced, revised) </v>
      </c>
      <c r="C91" s="13" t="str">
        <f>IFERROR(__xludf.DUMMYFUNCTION("""COMPUTED_VALUE"""),"""tadj"":{""label"":""New &amp; Improved"",""extra"":""(upgraded, enhanced, revised) "",""sets"":""Expansion Set 4, Party Expansion 1""},")</f>
        <v>"tadj":{"label":"New &amp; Improved","extra":"(upgraded, enhanced, revised) ","sets":"Expansion Set 4, Party Expansion 1"},</v>
      </c>
    </row>
    <row r="92">
      <c r="A92" s="8" t="str">
        <f>IFERROR(__xludf.DUMMYFUNCTION("""COMPUTED_VALUE"""),"Nutty")</f>
        <v>Nutty</v>
      </c>
      <c r="B92" s="8" t="str">
        <f>IFERROR(__xludf.DUMMYFUNCTION("""COMPUTED_VALUE"""),"(kooky, foolish, nutlike) ")</f>
        <v>(kooky, foolish, nutlike) </v>
      </c>
      <c r="C92" s="13" t="str">
        <f>IFERROR(__xludf.DUMMYFUNCTION("""COMPUTED_VALUE"""),"""nhoe"":{""label"":""Nutty"",""extra"":""(kooky, foolish, nutlike) "",""sets"":""Expansion Set 3, Party Expansion 1""},")</f>
        <v>"nhoe":{"label":"Nutty","extra":"(kooky, foolish, nutlike) ","sets":"Expansion Set 3, Party Expansion 1"},</v>
      </c>
    </row>
    <row r="93">
      <c r="A93" s="8" t="str">
        <f>IFERROR(__xludf.DUMMYFUNCTION("""COMPUTED_VALUE"""),"Obscene")</f>
        <v>Obscene</v>
      </c>
      <c r="B93" s="8" t="str">
        <f>IFERROR(__xludf.DUMMYFUNCTION("""COMPUTED_VALUE"""),"(offensive, indecent, lewd) ")</f>
        <v>(offensive, indecent, lewd) </v>
      </c>
      <c r="C93" s="13" t="str">
        <f>IFERROR(__xludf.DUMMYFUNCTION("""COMPUTED_VALUE"""),"""yzcv"":{""label"":""Obscene"",""extra"":""(offensive, indecent, lewd) "",""sets"":""Expansion Set 3, Party Expansion 1""},")</f>
        <v>"yzcv":{"label":"Obscene","extra":"(offensive, indecent, lewd) ","sets":"Expansion Set 3, Party Expansion 1"},</v>
      </c>
    </row>
    <row r="94">
      <c r="A94" s="8" t="str">
        <f>IFERROR(__xludf.DUMMYFUNCTION("""COMPUTED_VALUE"""),"Old")</f>
        <v>Old</v>
      </c>
      <c r="B94" s="8" t="str">
        <f>IFERROR(__xludf.DUMMYFUNCTION("""COMPUTED_VALUE"""),"(aged, elderly, antiquated) ")</f>
        <v>(aged, elderly, antiquated) </v>
      </c>
      <c r="C94" s="13" t="str">
        <f>IFERROR(__xludf.DUMMYFUNCTION("""COMPUTED_VALUE"""),"""tnqv"":{""label"":""Old"",""extra"":""(aged, elderly, antiquated) "",""sets"":""Expansion Set 3, Party Expansion 1""},")</f>
        <v>"tnqv":{"label":"Old","extra":"(aged, elderly, antiquated) ","sets":"Expansion Set 3, Party Expansion 1"},</v>
      </c>
    </row>
    <row r="95">
      <c r="A95" s="8" t="str">
        <f>IFERROR(__xludf.DUMMYFUNCTION("""COMPUTED_VALUE"""),"Old &amp; Cranky")</f>
        <v>Old &amp; Cranky</v>
      </c>
      <c r="B95" s="8" t="str">
        <f>IFERROR(__xludf.DUMMYFUNCTION("""COMPUTED_VALUE"""),"(crabby, cantankerous, aged) ")</f>
        <v>(crabby, cantankerous, aged) </v>
      </c>
      <c r="C95" s="13" t="str">
        <f>IFERROR(__xludf.DUMMYFUNCTION("""COMPUTED_VALUE"""),"""vjfj"":{""label"":""Old &amp; Cranky"",""extra"":""(crabby, cantankerous, aged) "",""sets"":""Expansion Set 4, Party Expansion 1""},")</f>
        <v>"vjfj":{"label":"Old &amp; Cranky","extra":"(crabby, cantankerous, aged) ","sets":"Expansion Set 4, Party Expansion 1"},</v>
      </c>
    </row>
    <row r="96">
      <c r="A96" s="8" t="str">
        <f>IFERROR(__xludf.DUMMYFUNCTION("""COMPUTED_VALUE"""),"Old &amp; Wise")</f>
        <v>Old &amp; Wise</v>
      </c>
      <c r="B96" s="8" t="str">
        <f>IFERROR(__xludf.DUMMYFUNCTION("""COMPUTED_VALUE"""),"(experienced, judicious, shrewd) ")</f>
        <v>(experienced, judicious, shrewd) </v>
      </c>
      <c r="C96" s="13" t="str">
        <f>IFERROR(__xludf.DUMMYFUNCTION("""COMPUTED_VALUE"""),"""xioq"":{""label"":""Old &amp; Wise"",""extra"":""(experienced, judicious, shrewd) "",""sets"":""Expansion Set 4, Party Expansion 1""},")</f>
        <v>"xioq":{"label":"Old &amp; Wise","extra":"(experienced, judicious, shrewd) ","sets":"Expansion Set 4, Party Expansion 1"},</v>
      </c>
    </row>
    <row r="97">
      <c r="A97" s="8" t="str">
        <f>IFERROR(__xludf.DUMMYFUNCTION("""COMPUTED_VALUE"""),"On The Up &amp; Up")</f>
        <v>On The Up &amp; Up</v>
      </c>
      <c r="B97" s="8" t="str">
        <f>IFERROR(__xludf.DUMMYFUNCTION("""COMPUTED_VALUE"""),"(trustworthy, irreproachable, honest) ")</f>
        <v>(trustworthy, irreproachable, honest) </v>
      </c>
      <c r="C97" s="13" t="str">
        <f>IFERROR(__xludf.DUMMYFUNCTION("""COMPUTED_VALUE"""),"""hgpl"":{""label"":""On The Up &amp; Up"",""extra"":""(trustworthy, irreproachable, honest) "",""sets"":""Expansion Set 4, Party Expansion 1""},")</f>
        <v>"hgpl":{"label":"On The Up &amp; Up","extra":"(trustworthy, irreproachable, honest) ","sets":"Expansion Set 4, Party Expansion 1"},</v>
      </c>
    </row>
    <row r="98">
      <c r="A98" s="8" t="str">
        <f>IFERROR(__xludf.DUMMYFUNCTION("""COMPUTED_VALUE"""),"Perverse")</f>
        <v>Perverse</v>
      </c>
      <c r="B98" s="8" t="str">
        <f>IFERROR(__xludf.DUMMYFUNCTION("""COMPUTED_VALUE"""),"(stubborn, obstinate, improper) ")</f>
        <v>(stubborn, obstinate, improper) </v>
      </c>
      <c r="C98" s="13" t="str">
        <f>IFERROR(__xludf.DUMMYFUNCTION("""COMPUTED_VALUE"""),"""lzbv"":{""label"":""Perverse"",""extra"":""(stubborn, obstinate, improper) "",""sets"":""Expansion Set 3, Party Expansion 1""},")</f>
        <v>"lzbv":{"label":"Perverse","extra":"(stubborn, obstinate, improper) ","sets":"Expansion Set 3, Party Expansion 1"},</v>
      </c>
    </row>
    <row r="99">
      <c r="A99" s="8" t="str">
        <f>IFERROR(__xludf.DUMMYFUNCTION("""COMPUTED_VALUE"""),"Plain &amp; Simple")</f>
        <v>Plain &amp; Simple</v>
      </c>
      <c r="B99" s="8" t="str">
        <f>IFERROR(__xludf.DUMMYFUNCTION("""COMPUTED_VALUE"""),"(unadorned, uncomplicated, clear) ")</f>
        <v>(unadorned, uncomplicated, clear) </v>
      </c>
      <c r="C99" s="13" t="str">
        <f>IFERROR(__xludf.DUMMYFUNCTION("""COMPUTED_VALUE"""),"""vjik"":{""label"":""Plain &amp; Simple"",""extra"":""(unadorned, uncomplicated, clear) "",""sets"":""Expansion Set 4, Party Expansion 1""},")</f>
        <v>"vjik":{"label":"Plain &amp; Simple","extra":"(unadorned, uncomplicated, clear) ","sets":"Expansion Set 4, Party Expansion 1"},</v>
      </c>
    </row>
    <row r="100">
      <c r="A100" s="8" t="str">
        <f>IFERROR(__xludf.DUMMYFUNCTION("""COMPUTED_VALUE"""),"Plug &amp; Play")</f>
        <v>Plug &amp; Play</v>
      </c>
      <c r="B100" s="8" t="str">
        <f>IFERROR(__xludf.DUMMYFUNCTION("""COMPUTED_VALUE"""),"(effortless, automatic, self-operating) ")</f>
        <v>(effortless, automatic, self-operating) </v>
      </c>
      <c r="C100" s="13" t="str">
        <f>IFERROR(__xludf.DUMMYFUNCTION("""COMPUTED_VALUE"""),"""ddmm"":{""label"":""Plug &amp; Play"",""extra"":""(effortless, automatic, self-operating) "",""sets"":""Expansion Set 4, Party Expansion 1""},")</f>
        <v>"ddmm":{"label":"Plug &amp; Play","extra":"(effortless, automatic, self-operating) ","sets":"Expansion Set 4, Party Expansion 1"},</v>
      </c>
    </row>
    <row r="101">
      <c r="A101" s="8" t="str">
        <f>IFERROR(__xludf.DUMMYFUNCTION("""COMPUTED_VALUE"""),"Plump &amp; Tender")</f>
        <v>Plump &amp; Tender</v>
      </c>
      <c r="B101" s="8" t="str">
        <f>IFERROR(__xludf.DUMMYFUNCTION("""COMPUTED_VALUE"""),"(ripe, chubby, fleshy) ")</f>
        <v>(ripe, chubby, fleshy) </v>
      </c>
      <c r="C101" s="13" t="str">
        <f>IFERROR(__xludf.DUMMYFUNCTION("""COMPUTED_VALUE"""),"""wdem"":{""label"":""Plump &amp; Tender"",""extra"":""(ripe, chubby, fleshy) "",""sets"":""Expansion Set 4, Party Expansion 1""},")</f>
        <v>"wdem":{"label":"Plump &amp; Tender","extra":"(ripe, chubby, fleshy) ","sets":"Expansion Set 4, Party Expansion 1"},</v>
      </c>
    </row>
    <row r="102">
      <c r="A102" s="8" t="str">
        <f>IFERROR(__xludf.DUMMYFUNCTION("""COMPUTED_VALUE"""),"Pretty")</f>
        <v>Pretty</v>
      </c>
      <c r="B102" s="8" t="str">
        <f>IFERROR(__xludf.DUMMYFUNCTION("""COMPUTED_VALUE"""),"(lovely, attractive, good-looking) ")</f>
        <v>(lovely, attractive, good-looking) </v>
      </c>
      <c r="C102" s="13" t="str">
        <f>IFERROR(__xludf.DUMMYFUNCTION("""COMPUTED_VALUE"""),"""wgbi"":{""label"":""Pretty"",""extra"":""(lovely, attractive, good-looking) "",""sets"":""Expansion Set 3, Party Expansion 1""},")</f>
        <v>"wgbi":{"label":"Pretty","extra":"(lovely, attractive, good-looking) ","sets":"Expansion Set 3, Party Expansion 1"},</v>
      </c>
    </row>
    <row r="103">
      <c r="A103" s="8" t="str">
        <f>IFERROR(__xludf.DUMMYFUNCTION("""COMPUTED_VALUE"""),"Prim &amp; Proper")</f>
        <v>Prim &amp; Proper</v>
      </c>
      <c r="B103" s="8" t="str">
        <f>IFERROR(__xludf.DUMMYFUNCTION("""COMPUTED_VALUE"""),"(reserved, modest, prudish) ")</f>
        <v>(reserved, modest, prudish) </v>
      </c>
      <c r="C103" s="13" t="str">
        <f>IFERROR(__xludf.DUMMYFUNCTION("""COMPUTED_VALUE"""),"""bfdn"":{""label"":""Prim &amp; Proper"",""extra"":""(reserved, modest, prudish) "",""sets"":""Expansion Set 4, Party Expansion 1""},")</f>
        <v>"bfdn":{"label":"Prim &amp; Proper","extra":"(reserved, modest, prudish) ","sets":"Expansion Set 4, Party Expansion 1"},</v>
      </c>
    </row>
    <row r="104">
      <c r="A104" s="8" t="str">
        <f>IFERROR(__xludf.DUMMYFUNCTION("""COMPUTED_VALUE"""),"Quick &amp; Dirty")</f>
        <v>Quick &amp; Dirty</v>
      </c>
      <c r="B104" s="8" t="str">
        <f>IFERROR(__xludf.DUMMYFUNCTION("""COMPUTED_VALUE"""),"(cheap, shoddy, inferior) ")</f>
        <v>(cheap, shoddy, inferior) </v>
      </c>
      <c r="C104" s="13" t="str">
        <f>IFERROR(__xludf.DUMMYFUNCTION("""COMPUTED_VALUE"""),"""hkoc"":{""label"":""Quick &amp; Dirty"",""extra"":""(cheap, shoddy, inferior) "",""sets"":""Expansion Set 4, Party Expansion 1""},")</f>
        <v>"hkoc":{"label":"Quick &amp; Dirty","extra":"(cheap, shoddy, inferior) ","sets":"Expansion Set 4, Party Expansion 1"},</v>
      </c>
    </row>
    <row r="105">
      <c r="A105" s="8" t="str">
        <f>IFERROR(__xludf.DUMMYFUNCTION("""COMPUTED_VALUE"""),"Raw")</f>
        <v>Raw</v>
      </c>
      <c r="B105" s="8" t="str">
        <f>IFERROR(__xludf.DUMMYFUNCTION("""COMPUTED_VALUE"""),"(crude, uncooked, harsh) ")</f>
        <v>(crude, uncooked, harsh) </v>
      </c>
      <c r="C105" s="13" t="str">
        <f>IFERROR(__xludf.DUMMYFUNCTION("""COMPUTED_VALUE"""),"""mitw"":{""label"":""Raw"",""extra"":""(crude, uncooked, harsh) "",""sets"":""Expansion Set 3, Party Expansion 1""},")</f>
        <v>"mitw":{"label":"Raw","extra":"(crude, uncooked, harsh) ","sets":"Expansion Set 3, Party Expansion 1"},</v>
      </c>
    </row>
    <row r="106">
      <c r="A106" s="8" t="str">
        <f>IFERROR(__xludf.DUMMYFUNCTION("""COMPUTED_VALUE"""),"Respectable")</f>
        <v>Respectable</v>
      </c>
      <c r="B106" s="8" t="str">
        <f>IFERROR(__xludf.DUMMYFUNCTION("""COMPUTED_VALUE"""),"(worthy, honorable, decent) ")</f>
        <v>(worthy, honorable, decent) </v>
      </c>
      <c r="C106" s="13" t="str">
        <f>IFERROR(__xludf.DUMMYFUNCTION("""COMPUTED_VALUE"""),"""offe"":{""label"":""Respectable"",""extra"":""(worthy, honorable, decent) "",""sets"":""Expansion Set 3, Party Expansion 1""},")</f>
        <v>"offe":{"label":"Respectable","extra":"(worthy, honorable, decent) ","sets":"Expansion Set 3, Party Expansion 1"},</v>
      </c>
    </row>
    <row r="107">
      <c r="A107" s="8" t="str">
        <f>IFERROR(__xludf.DUMMYFUNCTION("""COMPUTED_VALUE"""),"Rough &amp; Ready")</f>
        <v>Rough &amp; Ready</v>
      </c>
      <c r="B107" s="8" t="str">
        <f>IFERROR(__xludf.DUMMYFUNCTION("""COMPUTED_VALUE"""),"(crude, makeshift, prepared) ")</f>
        <v>(crude, makeshift, prepared) </v>
      </c>
      <c r="C107" s="13" t="str">
        <f>IFERROR(__xludf.DUMMYFUNCTION("""COMPUTED_VALUE"""),"""tsas"":{""label"":""Rough &amp; Ready"",""extra"":""(crude, makeshift, prepared) "",""sets"":""Expansion Set 4, Party Expansion 1""},")</f>
        <v>"tsas":{"label":"Rough &amp; Ready","extra":"(crude, makeshift, prepared) ","sets":"Expansion Set 4, Party Expansion 1"},</v>
      </c>
    </row>
    <row r="108">
      <c r="A108" s="8" t="str">
        <f>IFERROR(__xludf.DUMMYFUNCTION("""COMPUTED_VALUE"""),"Secretive")</f>
        <v>Secretive</v>
      </c>
      <c r="B108" s="8" t="str">
        <f>IFERROR(__xludf.DUMMYFUNCTION("""COMPUTED_VALUE"""),"(concealed, covert, veiled) ")</f>
        <v>(concealed, covert, veiled) </v>
      </c>
      <c r="C108" s="13" t="str">
        <f>IFERROR(__xludf.DUMMYFUNCTION("""COMPUTED_VALUE"""),"""rlxq"":{""label"":""Secretive"",""extra"":""(concealed, covert, veiled) "",""sets"":""Expansion Set 3, Party Expansion 1""},")</f>
        <v>"rlxq":{"label":"Secretive","extra":"(concealed, covert, veiled) ","sets":"Expansion Set 3, Party Expansion 1"},</v>
      </c>
    </row>
    <row r="109">
      <c r="A109" s="8" t="str">
        <f>IFERROR(__xludf.DUMMYFUNCTION("""COMPUTED_VALUE"""),"Sensational")</f>
        <v>Sensational</v>
      </c>
      <c r="B109" s="8" t="str">
        <f>IFERROR(__xludf.DUMMYFUNCTION("""COMPUTED_VALUE"""),"(thrilling, startling, melodramatic) ")</f>
        <v>(thrilling, startling, melodramatic) </v>
      </c>
      <c r="C109" s="13" t="str">
        <f>IFERROR(__xludf.DUMMYFUNCTION("""COMPUTED_VALUE"""),"""eqru"":{""label"":""Sensational"",""extra"":""(thrilling, startling, melodramatic) "",""sets"":""Expansion Set 3, Party Expansion 1""},")</f>
        <v>"eqru":{"label":"Sensational","extra":"(thrilling, startling, melodramatic) ","sets":"Expansion Set 3, Party Expansion 1"},</v>
      </c>
    </row>
    <row r="110">
      <c r="A110" s="8" t="str">
        <f>IFERROR(__xludf.DUMMYFUNCTION("""COMPUTED_VALUE"""),"Short &amp; Stout")</f>
        <v>Short &amp; Stout</v>
      </c>
      <c r="B110" s="8" t="str">
        <f>IFERROR(__xludf.DUMMYFUNCTION("""COMPUTED_VALUE"""),"(plump, portly, tubby) ")</f>
        <v>(plump, portly, tubby) </v>
      </c>
      <c r="C110" s="13" t="str">
        <f>IFERROR(__xludf.DUMMYFUNCTION("""COMPUTED_VALUE"""),"""dbmy"":{""label"":""Short &amp; Stout"",""extra"":""(plump, portly, tubby) "",""sets"":""Expansion Set 4, Party Expansion 1""},")</f>
        <v>"dbmy":{"label":"Short &amp; Stout","extra":"(plump, portly, tubby) ","sets":"Expansion Set 4, Party Expansion 1"},</v>
      </c>
    </row>
    <row r="111">
      <c r="A111" s="8" t="str">
        <f>IFERROR(__xludf.DUMMYFUNCTION("""COMPUTED_VALUE"""),"Short &amp; Sweet")</f>
        <v>Short &amp; Sweet</v>
      </c>
      <c r="B111" s="8" t="str">
        <f>IFERROR(__xludf.DUMMYFUNCTION("""COMPUTED_VALUE"""),"(precise, clear-cut, succinct) ")</f>
        <v>(precise, clear-cut, succinct) </v>
      </c>
      <c r="C111" s="13" t="str">
        <f>IFERROR(__xludf.DUMMYFUNCTION("""COMPUTED_VALUE"""),"""jlpd"":{""label"":""Short &amp; Sweet"",""extra"":""(precise, clear-cut, succinct) "",""sets"":""Expansion Set 4, Party Expansion 1""},")</f>
        <v>"jlpd":{"label":"Short &amp; Sweet","extra":"(precise, clear-cut, succinct) ","sets":"Expansion Set 4, Party Expansion 1"},</v>
      </c>
    </row>
    <row r="112">
      <c r="A112" s="8" t="str">
        <f>IFERROR(__xludf.DUMMYFUNCTION("""COMPUTED_VALUE"""),"Sick &amp; Tired")</f>
        <v>Sick &amp; Tired</v>
      </c>
      <c r="B112" s="8" t="str">
        <f>IFERROR(__xludf.DUMMYFUNCTION("""COMPUTED_VALUE"""),"(worn out, exhausted, exasperated) ")</f>
        <v>(worn out, exhausted, exasperated) </v>
      </c>
      <c r="C112" s="13" t="str">
        <f>IFERROR(__xludf.DUMMYFUNCTION("""COMPUTED_VALUE"""),"""risy"":{""label"":""Sick &amp; Tired"",""extra"":""(worn out, exhausted, exasperated) "",""sets"":""Expansion Set 4, Party Expansion 1""},")</f>
        <v>"risy":{"label":"Sick &amp; Tired","extra":"(worn out, exhausted, exasperated) ","sets":"Expansion Set 4, Party Expansion 1"},</v>
      </c>
    </row>
    <row r="113">
      <c r="A113" s="8" t="str">
        <f>IFERROR(__xludf.DUMMYFUNCTION("""COMPUTED_VALUE"""),"Sick &amp; Twisted")</f>
        <v>Sick &amp; Twisted</v>
      </c>
      <c r="B113" s="8" t="str">
        <f>IFERROR(__xludf.DUMMYFUNCTION("""COMPUTED_VALUE"""),"(depraved, wicked, lascivious) ")</f>
        <v>(depraved, wicked, lascivious) </v>
      </c>
      <c r="C113" s="13" t="str">
        <f>IFERROR(__xludf.DUMMYFUNCTION("""COMPUTED_VALUE"""),"""buyt"":{""label"":""Sick &amp; Twisted"",""extra"":""(depraved, wicked, lascivious) "",""sets"":""Expansion Set 4, Party Expansion 1""},")</f>
        <v>"buyt":{"label":"Sick &amp; Twisted","extra":"(depraved, wicked, lascivious) ","sets":"Expansion Set 4, Party Expansion 1"},</v>
      </c>
    </row>
    <row r="114">
      <c r="A114" s="8" t="str">
        <f>IFERROR(__xludf.DUMMYFUNCTION("""COMPUTED_VALUE"""),"Sickening")</f>
        <v>Sickening</v>
      </c>
      <c r="B114" s="8" t="str">
        <f>IFERROR(__xludf.DUMMYFUNCTION("""COMPUTED_VALUE"""),"(nauseating, disgusting, revolting) ")</f>
        <v>(nauseating, disgusting, revolting) </v>
      </c>
      <c r="C114" s="13" t="str">
        <f>IFERROR(__xludf.DUMMYFUNCTION("""COMPUTED_VALUE"""),"""frrx"":{""label"":""Sickening"",""extra"":""(nauseating, disgusting, revolting) "",""sets"":""Expansion Set 3, Party Expansion 1""},")</f>
        <v>"frrx":{"label":"Sickening","extra":"(nauseating, disgusting, revolting) ","sets":"Expansion Set 3, Party Expansion 1"},</v>
      </c>
    </row>
    <row r="115">
      <c r="A115" s="8" t="str">
        <f>IFERROR(__xludf.DUMMYFUNCTION("""COMPUTED_VALUE"""),"Slow &amp; Steady")</f>
        <v>Slow &amp; Steady</v>
      </c>
      <c r="B115" s="8" t="str">
        <f>IFERROR(__xludf.DUMMYFUNCTION("""COMPUTED_VALUE"""),"(reliable, deliberate, ponderous) ")</f>
        <v>(reliable, deliberate, ponderous) </v>
      </c>
      <c r="C115" s="13" t="str">
        <f>IFERROR(__xludf.DUMMYFUNCTION("""COMPUTED_VALUE"""),"""nmrt"":{""label"":""Slow &amp; Steady"",""extra"":""(reliable, deliberate, ponderous) "",""sets"":""Expansion Set 4, Party Expansion 1""},")</f>
        <v>"nmrt":{"label":"Slow &amp; Steady","extra":"(reliable, deliberate, ponderous) ","sets":"Expansion Set 4, Party Expansion 1"},</v>
      </c>
    </row>
    <row r="116">
      <c r="A116" s="8" t="str">
        <f>IFERROR(__xludf.DUMMYFUNCTION("""COMPUTED_VALUE"""),"Sluggish")</f>
        <v>Sluggish</v>
      </c>
      <c r="B116" s="8" t="str">
        <f>IFERROR(__xludf.DUMMYFUNCTION("""COMPUTED_VALUE"""),"(inactive, lazy, slothful) ")</f>
        <v>(inactive, lazy, slothful) </v>
      </c>
      <c r="C116" s="13" t="str">
        <f>IFERROR(__xludf.DUMMYFUNCTION("""COMPUTED_VALUE"""),"""vrxl"":{""label"":""Sluggish"",""extra"":""(inactive, lazy, slothful) "",""sets"":""Expansion Set 3, Party Expansion 1""},")</f>
        <v>"vrxl":{"label":"Sluggish","extra":"(inactive, lazy, slothful) ","sets":"Expansion Set 3, Party Expansion 1"},</v>
      </c>
    </row>
    <row r="117">
      <c r="A117" s="8" t="str">
        <f>IFERROR(__xludf.DUMMYFUNCTION("""COMPUTED_VALUE"""),"Smooth &amp; Creamy")</f>
        <v>Smooth &amp; Creamy</v>
      </c>
      <c r="B117" s="8" t="str">
        <f>IFERROR(__xludf.DUMMYFUNCTION("""COMPUTED_VALUE"""),"(silky, velvety, rich) ")</f>
        <v>(silky, velvety, rich) </v>
      </c>
      <c r="C117" s="13" t="str">
        <f>IFERROR(__xludf.DUMMYFUNCTION("""COMPUTED_VALUE"""),"""ldkf"":{""label"":""Smooth &amp; Creamy"",""extra"":""(silky, velvety, rich) "",""sets"":""Expansion Set 4, Party Expansion 1""},")</f>
        <v>"ldkf":{"label":"Smooth &amp; Creamy","extra":"(silky, velvety, rich) ","sets":"Expansion Set 4, Party Expansion 1"},</v>
      </c>
    </row>
    <row r="118">
      <c r="A118" s="8" t="str">
        <f>IFERROR(__xludf.DUMMYFUNCTION("""COMPUTED_VALUE"""),"Sophisticated")</f>
        <v>Sophisticated</v>
      </c>
      <c r="B118" s="8" t="str">
        <f>IFERROR(__xludf.DUMMYFUNCTION("""COMPUTED_VALUE"""),"(urbane, cosmopolitan, complex) ")</f>
        <v>(urbane, cosmopolitan, complex) </v>
      </c>
      <c r="C118" s="13" t="str">
        <f>IFERROR(__xludf.DUMMYFUNCTION("""COMPUTED_VALUE"""),"""ckjk"":{""label"":""Sophisticated"",""extra"":""(urbane, cosmopolitan, complex) "",""sets"":""Expansion Set 3, Party Expansion 1""},")</f>
        <v>"ckjk":{"label":"Sophisticated","extra":"(urbane, cosmopolitan, complex) ","sets":"Expansion Set 3, Party Expansion 1"},</v>
      </c>
    </row>
    <row r="119">
      <c r="A119" s="8" t="str">
        <f>IFERROR(__xludf.DUMMYFUNCTION("""COMPUTED_VALUE"""),"Special")</f>
        <v>Special</v>
      </c>
      <c r="B119" s="8" t="str">
        <f>IFERROR(__xludf.DUMMYFUNCTION("""COMPUTED_VALUE"""),"(distinctive, unique, original) ")</f>
        <v>(distinctive, unique, original) </v>
      </c>
      <c r="C119" s="13" t="str">
        <f>IFERROR(__xludf.DUMMYFUNCTION("""COMPUTED_VALUE"""),"""pgjl"":{""label"":""Special"",""extra"":""(distinctive, unique, original) "",""sets"":""Expansion Set 3, Party Expansion 1""},")</f>
        <v>"pgjl":{"label":"Special","extra":"(distinctive, unique, original) ","sets":"Expansion Set 3, Party Expansion 1"},</v>
      </c>
    </row>
    <row r="120">
      <c r="A120" s="8" t="str">
        <f>IFERROR(__xludf.DUMMYFUNCTION("""COMPUTED_VALUE"""),"Spic &amp; Span")</f>
        <v>Spic &amp; Span</v>
      </c>
      <c r="B120" s="8" t="str">
        <f>IFERROR(__xludf.DUMMYFUNCTION("""COMPUTED_VALUE"""),"(spotless, tidy, clean) ")</f>
        <v>(spotless, tidy, clean) </v>
      </c>
      <c r="C120" s="13" t="str">
        <f>IFERROR(__xludf.DUMMYFUNCTION("""COMPUTED_VALUE"""),"""stkb"":{""label"":""Spic &amp; Span"",""extra"":""(spotless, tidy, clean) "",""sets"":""Expansion Set 4, Party Expansion 1""},")</f>
        <v>"stkb":{"label":"Spic &amp; Span","extra":"(spotless, tidy, clean) ","sets":"Expansion Set 4, Party Expansion 1"},</v>
      </c>
    </row>
    <row r="121">
      <c r="A121" s="8" t="str">
        <f>IFERROR(__xludf.DUMMYFUNCTION("""COMPUTED_VALUE"""),"Stupid")</f>
        <v>Stupid</v>
      </c>
      <c r="B121" s="8" t="str">
        <f>IFERROR(__xludf.DUMMYFUNCTION("""COMPUTED_VALUE"""),"(ignorant, unintelligent, inane) ")</f>
        <v>(ignorant, unintelligent, inane) </v>
      </c>
      <c r="C121" s="13" t="str">
        <f>IFERROR(__xludf.DUMMYFUNCTION("""COMPUTED_VALUE"""),"""ccvx"":{""label"":""Stupid"",""extra"":""(ignorant, unintelligent, inane) "",""sets"":""Expansion Set 3, Party Expansion 1""},")</f>
        <v>"ccvx":{"label":"Stupid","extra":"(ignorant, unintelligent, inane) ","sets":"Expansion Set 3, Party Expansion 1"},</v>
      </c>
    </row>
    <row r="122">
      <c r="A122" s="8" t="str">
        <f>IFERROR(__xludf.DUMMYFUNCTION("""COMPUTED_VALUE"""),"Swift &amp; Sure")</f>
        <v>Swift &amp; Sure</v>
      </c>
      <c r="B122" s="8" t="str">
        <f>IFERROR(__xludf.DUMMYFUNCTION("""COMPUTED_VALUE"""),"(steady, prompt, definite) ")</f>
        <v>(steady, prompt, definite) </v>
      </c>
      <c r="C122" s="13" t="str">
        <f>IFERROR(__xludf.DUMMYFUNCTION("""COMPUTED_VALUE"""),"""cekw"":{""label"":""Swift &amp; Sure"",""extra"":""(steady, prompt, definite) "",""sets"":""Expansion Set 4, Party Expansion 1""},")</f>
        <v>"cekw":{"label":"Swift &amp; Sure","extra":"(steady, prompt, definite) ","sets":"Expansion Set 4, Party Expansion 1"},</v>
      </c>
    </row>
    <row r="123">
      <c r="A123" s="8" t="str">
        <f>IFERROR(__xludf.DUMMYFUNCTION("""COMPUTED_VALUE"""),"Tasty")</f>
        <v>Tasty</v>
      </c>
      <c r="B123" s="8" t="str">
        <f>IFERROR(__xludf.DUMMYFUNCTION("""COMPUTED_VALUE"""),"(flavorful, savory, appetizing) ")</f>
        <v>(flavorful, savory, appetizing) </v>
      </c>
      <c r="C123" s="13" t="str">
        <f>IFERROR(__xludf.DUMMYFUNCTION("""COMPUTED_VALUE"""),"""vtgd"":{""label"":""Tasty"",""extra"":""(flavorful, savory, appetizing) "",""sets"":""Expansion Set 3, Party Expansion 1""},")</f>
        <v>"vtgd":{"label":"Tasty","extra":"(flavorful, savory, appetizing) ","sets":"Expansion Set 3, Party Expansion 1"},</v>
      </c>
    </row>
    <row r="124">
      <c r="A124" s="8" t="str">
        <f>IFERROR(__xludf.DUMMYFUNCTION("""COMPUTED_VALUE"""),"Tempting")</f>
        <v>Tempting</v>
      </c>
      <c r="B124" s="8" t="str">
        <f>IFERROR(__xludf.DUMMYFUNCTION("""COMPUTED_VALUE"""),"(seductive, enticing, alluring) ")</f>
        <v>(seductive, enticing, alluring) </v>
      </c>
      <c r="C124" s="13" t="str">
        <f>IFERROR(__xludf.DUMMYFUNCTION("""COMPUTED_VALUE"""),"""quby"":{""label"":""Tempting"",""extra"":""(seductive, enticing, alluring) "",""sets"":""Expansion Set 3, Party Expansion 1""},")</f>
        <v>"quby":{"label":"Tempting","extra":"(seductive, enticing, alluring) ","sets":"Expansion Set 3, Party Expansion 1"},</v>
      </c>
    </row>
    <row r="125">
      <c r="A125" s="8" t="str">
        <f>IFERROR(__xludf.DUMMYFUNCTION("""COMPUTED_VALUE"""),"Tender")</f>
        <v>Tender</v>
      </c>
      <c r="B125" s="8" t="str">
        <f>IFERROR(__xludf.DUMMYFUNCTION("""COMPUTED_VALUE"""),"(soft, compassionate, fragile) ")</f>
        <v>(soft, compassionate, fragile) </v>
      </c>
      <c r="C125" s="13" t="str">
        <f>IFERROR(__xludf.DUMMYFUNCTION("""COMPUTED_VALUE"""),"""osum"":{""label"":""Tender"",""extra"":""(soft, compassionate, fragile) "",""sets"":""Expansion Set 3, Party Expansion 1""},")</f>
        <v>"osum":{"label":"Tender","extra":"(soft, compassionate, fragile) ","sets":"Expansion Set 3, Party Expansion 1"},</v>
      </c>
    </row>
    <row r="126">
      <c r="A126" s="8" t="str">
        <f>IFERROR(__xludf.DUMMYFUNCTION("""COMPUTED_VALUE"""),"Terrific")</f>
        <v>Terrific</v>
      </c>
      <c r="B126" s="8" t="str">
        <f>IFERROR(__xludf.DUMMYFUNCTION("""COMPUTED_VALUE"""),"(sensational, fabulous, severe) ")</f>
        <v>(sensational, fabulous, severe) </v>
      </c>
      <c r="C126" s="13" t="str">
        <f>IFERROR(__xludf.DUMMYFUNCTION("""COMPUTED_VALUE"""),"""kotq"":{""label"":""Terrific"",""extra"":""(sensational, fabulous, severe) "",""sets"":""Expansion Set 3, Party Expansion 1""},")</f>
        <v>"kotq":{"label":"Terrific","extra":"(sensational, fabulous, severe) ","sets":"Expansion Set 3, Party Expansion 1"},</v>
      </c>
    </row>
    <row r="127">
      <c r="A127" s="8" t="str">
        <f>IFERROR(__xludf.DUMMYFUNCTION("""COMPUTED_VALUE"""),"Thick &amp; Chunky")</f>
        <v>Thick &amp; Chunky</v>
      </c>
      <c r="B127" s="8" t="str">
        <f>IFERROR(__xludf.DUMMYFUNCTION("""COMPUTED_VALUE"""),"(bulky, heavy, lumpy) ")</f>
        <v>(bulky, heavy, lumpy) </v>
      </c>
      <c r="C127" s="13" t="str">
        <f>IFERROR(__xludf.DUMMYFUNCTION("""COMPUTED_VALUE"""),"""dxte"":{""label"":""Thick &amp; Chunky"",""extra"":""(bulky, heavy, lumpy) "",""sets"":""Expansion Set 4, Party Expansion 1""},")</f>
        <v>"dxte":{"label":"Thick &amp; Chunky","extra":"(bulky, heavy, lumpy) ","sets":"Expansion Set 4, Party Expansion 1"},</v>
      </c>
    </row>
    <row r="128">
      <c r="A128" s="8" t="str">
        <f>IFERROR(__xludf.DUMMYFUNCTION("""COMPUTED_VALUE"""),"Tormenting")</f>
        <v>Tormenting</v>
      </c>
      <c r="B128" s="8" t="str">
        <f>IFERROR(__xludf.DUMMYFUNCTION("""COMPUTED_VALUE"""),"(torturing, harassing, agonizing) ")</f>
        <v>(torturing, harassing, agonizing) </v>
      </c>
      <c r="C128" s="13" t="str">
        <f>IFERROR(__xludf.DUMMYFUNCTION("""COMPUTED_VALUE"""),"""aawi"":{""label"":""Tormenting"",""extra"":""(torturing, harassing, agonizing) "",""sets"":""Expansion Set 3, Party Expansion 1""},")</f>
        <v>"aawi":{"label":"Tormenting","extra":"(torturing, harassing, agonizing) ","sets":"Expansion Set 3, Party Expansion 1"},</v>
      </c>
    </row>
    <row r="129">
      <c r="A129" s="8" t="str">
        <f>IFERROR(__xludf.DUMMYFUNCTION("""COMPUTED_VALUE"""),"Torn &amp; Tattered")</f>
        <v>Torn &amp; Tattered</v>
      </c>
      <c r="B129" s="8" t="str">
        <f>IFERROR(__xludf.DUMMYFUNCTION("""COMPUTED_VALUE"""),"(shabby, ragged, grungy) ")</f>
        <v>(shabby, ragged, grungy) </v>
      </c>
      <c r="C129" s="13" t="str">
        <f>IFERROR(__xludf.DUMMYFUNCTION("""COMPUTED_VALUE"""),"""crps"":{""label"":""Torn &amp; Tattered"",""extra"":""(shabby, ragged, grungy) "",""sets"":""Expansion Set 4, Party Expansion 1""},")</f>
        <v>"crps":{"label":"Torn &amp; Tattered","extra":"(shabby, ragged, grungy) ","sets":"Expansion Set 4, Party Expansion 1"},</v>
      </c>
    </row>
    <row r="130">
      <c r="A130" s="8" t="str">
        <f>IFERROR(__xludf.DUMMYFUNCTION("""COMPUTED_VALUE"""),"Touch &amp; Go")</f>
        <v>Touch &amp; Go</v>
      </c>
      <c r="B130" s="8" t="str">
        <f>IFERROR(__xludf.DUMMYFUNCTION("""COMPUTED_VALUE"""),"(indecisive, uncertain, insecure) ")</f>
        <v>(indecisive, uncertain, insecure) </v>
      </c>
      <c r="C130" s="13" t="str">
        <f>IFERROR(__xludf.DUMMYFUNCTION("""COMPUTED_VALUE"""),"""vllu"":{""label"":""Touch &amp; Go"",""extra"":""(indecisive, uncertain, insecure) "",""sets"":""Expansion Set 4, Party Expansion 1""},")</f>
        <v>"vllu":{"label":"Touch &amp; Go","extra":"(indecisive, uncertain, insecure) ","sets":"Expansion Set 4, Party Expansion 1"},</v>
      </c>
    </row>
    <row r="131">
      <c r="A131" s="8" t="str">
        <f>IFERROR(__xludf.DUMMYFUNCTION("""COMPUTED_VALUE"""),"Trashy")</f>
        <v>Trashy</v>
      </c>
      <c r="B131" s="8" t="str">
        <f>IFERROR(__xludf.DUMMYFUNCTION("""COMPUTED_VALUE"""),"(shameless, nasty, indecent) ")</f>
        <v>(shameless, nasty, indecent) </v>
      </c>
      <c r="C131" s="13" t="str">
        <f>IFERROR(__xludf.DUMMYFUNCTION("""COMPUTED_VALUE"""),"""ushq"":{""label"":""Trashy"",""extra"":""(shameless, nasty, indecent) "",""sets"":""Expansion Set 3, Party Expansion 1""},")</f>
        <v>"ushq":{"label":"Trashy","extra":"(shameless, nasty, indecent) ","sets":"Expansion Set 3, Party Expansion 1"},</v>
      </c>
    </row>
    <row r="132">
      <c r="A132" s="8" t="str">
        <f>IFERROR(__xludf.DUMMYFUNCTION("""COMPUTED_VALUE"""),"Tried &amp; True")</f>
        <v>Tried &amp; True</v>
      </c>
      <c r="B132" s="8" t="str">
        <f>IFERROR(__xludf.DUMMYFUNCTION("""COMPUTED_VALUE"""),"(tested, proven, trustworthy) ")</f>
        <v>(tested, proven, trustworthy) </v>
      </c>
      <c r="C132" s="13" t="str">
        <f>IFERROR(__xludf.DUMMYFUNCTION("""COMPUTED_VALUE"""),"""wjzj"":{""label"":""Tried &amp; True"",""extra"":""(tested, proven, trustworthy) "",""sets"":""Expansion Set 4, Party Expansion 1""},")</f>
        <v>"wjzj":{"label":"Tried &amp; True","extra":"(tested, proven, trustworthy) ","sets":"Expansion Set 4, Party Expansion 1"},</v>
      </c>
    </row>
    <row r="133">
      <c r="A133" s="8" t="str">
        <f>IFERROR(__xludf.DUMMYFUNCTION("""COMPUTED_VALUE"""),"True &amp; Blue")</f>
        <v>True &amp; Blue</v>
      </c>
      <c r="B133" s="8" t="str">
        <f>IFERROR(__xludf.DUMMYFUNCTION("""COMPUTED_VALUE"""),"(loyal, faithful, patriotic) ")</f>
        <v>(loyal, faithful, patriotic) </v>
      </c>
      <c r="C133" s="13" t="str">
        <f>IFERROR(__xludf.DUMMYFUNCTION("""COMPUTED_VALUE"""),"""njlt"":{""label"":""True &amp; Blue"",""extra"":""(loyal, faithful, patriotic) "",""sets"":""Expansion Set 4, Party Expansion 1""},")</f>
        <v>"njlt":{"label":"True &amp; Blue","extra":"(loyal, faithful, patriotic) ","sets":"Expansion Set 4, Party Expansion 1"},</v>
      </c>
    </row>
    <row r="134">
      <c r="A134" s="8" t="str">
        <f>IFERROR(__xludf.DUMMYFUNCTION("""COMPUTED_VALUE"""),"Up &amp; Coming")</f>
        <v>Up &amp; Coming</v>
      </c>
      <c r="B134" s="8" t="str">
        <f>IFERROR(__xludf.DUMMYFUNCTION("""COMPUTED_VALUE"""),"(promising, enterprising, gifted) ")</f>
        <v>(promising, enterprising, gifted) </v>
      </c>
      <c r="C134" s="13" t="str">
        <f>IFERROR(__xludf.DUMMYFUNCTION("""COMPUTED_VALUE"""),"""juxy"":{""label"":""Up &amp; Coming"",""extra"":""(promising, enterprising, gifted) "",""sets"":""Expansion Set 4, Party Expansion 1""},")</f>
        <v>"juxy":{"label":"Up &amp; Coming","extra":"(promising, enterprising, gifted) ","sets":"Expansion Set 4, Party Expansion 1"},</v>
      </c>
    </row>
    <row r="135">
      <c r="A135" s="8" t="str">
        <f>IFERROR(__xludf.DUMMYFUNCTION("""COMPUTED_VALUE"""),"Up &amp; Down")</f>
        <v>Up &amp; Down</v>
      </c>
      <c r="B135" s="8" t="str">
        <f>IFERROR(__xludf.DUMMYFUNCTION("""COMPUTED_VALUE"""),"(volatile, variable, vertical) ")</f>
        <v>(volatile, variable, vertical) </v>
      </c>
      <c r="C135" s="13" t="str">
        <f>IFERROR(__xludf.DUMMYFUNCTION("""COMPUTED_VALUE"""),"""psmn"":{""label"":""Up &amp; Down"",""extra"":""(volatile, variable, vertical) "",""sets"":""Expansion Set 4, Party Expansion 1""},")</f>
        <v>"psmn":{"label":"Up &amp; Down","extra":"(volatile, variable, vertical) ","sets":"Expansion Set 4, Party Expansion 1"},</v>
      </c>
    </row>
    <row r="136">
      <c r="A136" s="8" t="str">
        <f>IFERROR(__xludf.DUMMYFUNCTION("""COMPUTED_VALUE"""),"Vain")</f>
        <v>Vain</v>
      </c>
      <c r="B136" s="8" t="str">
        <f>IFERROR(__xludf.DUMMYFUNCTION("""COMPUTED_VALUE"""),"(conceited, arrogant, fruitless) ")</f>
        <v>(conceited, arrogant, fruitless) </v>
      </c>
      <c r="C136" s="13" t="str">
        <f>IFERROR(__xludf.DUMMYFUNCTION("""COMPUTED_VALUE"""),"""ixxg"":{""label"":""Vain"",""extra"":""(conceited, arrogant, fruitless) "",""sets"":""Expansion Set 3, Party Expansion 1""},")</f>
        <v>"ixxg":{"label":"Vain","extra":"(conceited, arrogant, fruitless) ","sets":"Expansion Set 3, Party Expansion 1"},</v>
      </c>
    </row>
    <row r="137">
      <c r="A137" s="8" t="str">
        <f>IFERROR(__xludf.DUMMYFUNCTION("""COMPUTED_VALUE"""),"Warm &amp; Cozy")</f>
        <v>Warm &amp; Cozy</v>
      </c>
      <c r="B137" s="8" t="str">
        <f>IFERROR(__xludf.DUMMYFUNCTION("""COMPUTED_VALUE"""),"(snug, comfy, friendly) ")</f>
        <v>(snug, comfy, friendly) </v>
      </c>
      <c r="C137" s="13" t="str">
        <f>IFERROR(__xludf.DUMMYFUNCTION("""COMPUTED_VALUE"""),"""kquy"":{""label"":""Warm &amp; Cozy"",""extra"":""(snug, comfy, friendly) "",""sets"":""Expansion Set 4, Party Expansion 1""},")</f>
        <v>"kquy":{"label":"Warm &amp; Cozy","extra":"(snug, comfy, friendly) ","sets":"Expansion Set 4, Party Expansion 1"},</v>
      </c>
    </row>
    <row r="138">
      <c r="A138" s="8" t="str">
        <f>IFERROR(__xludf.DUMMYFUNCTION("""COMPUTED_VALUE"""),"Warm &amp; Fuzzy")</f>
        <v>Warm &amp; Fuzzy</v>
      </c>
      <c r="B138" s="8" t="str">
        <f>IFERROR(__xludf.DUMMYFUNCTION("""COMPUTED_VALUE"""),"(kindhearted, loving, affectionate) ")</f>
        <v>(kindhearted, loving, affectionate) </v>
      </c>
      <c r="C138" s="13" t="str">
        <f>IFERROR(__xludf.DUMMYFUNCTION("""COMPUTED_VALUE"""),"""xukc"":{""label"":""Warm &amp; Fuzzy"",""extra"":""(kindhearted, loving, affectionate) "",""sets"":""Expansion Set 4, Party Expansion 1""},")</f>
        <v>"xukc":{"label":"Warm &amp; Fuzzy","extra":"(kindhearted, loving, affectionate) ","sets":"Expansion Set 4, Party Expansion 1"},</v>
      </c>
    </row>
    <row r="139">
      <c r="A139" s="8" t="str">
        <f>IFERROR(__xludf.DUMMYFUNCTION("""COMPUTED_VALUE"""),"Wash &amp; Wear")</f>
        <v>Wash &amp; Wear</v>
      </c>
      <c r="B139" s="8" t="str">
        <f>IFERROR(__xludf.DUMMYFUNCTION("""COMPUTED_VALUE"""),"(durable, easy-care, sturdy) ")</f>
        <v>(durable, easy-care, sturdy) </v>
      </c>
      <c r="C139" s="13" t="str">
        <f>IFERROR(__xludf.DUMMYFUNCTION("""COMPUTED_VALUE"""),"""llty"":{""label"":""Wash &amp; Wear"",""extra"":""(durable, easy-care, sturdy) "",""sets"":""Expansion Set 4, Party Expansion 1""},")</f>
        <v>"llty":{"label":"Wash &amp; Wear","extra":"(durable, easy-care, sturdy) ","sets":"Expansion Set 4, Party Expansion 1"},</v>
      </c>
    </row>
    <row r="140">
      <c r="A140" s="8" t="str">
        <f>IFERROR(__xludf.DUMMYFUNCTION("""COMPUTED_VALUE"""),"Whimsical")</f>
        <v>Whimsical</v>
      </c>
      <c r="B140" s="8" t="str">
        <f>IFERROR(__xludf.DUMMYFUNCTION("""COMPUTED_VALUE"""),"(humourous, peculiar, fanciful) ")</f>
        <v>(humourous, peculiar, fanciful) </v>
      </c>
      <c r="C140" s="13" t="str">
        <f>IFERROR(__xludf.DUMMYFUNCTION("""COMPUTED_VALUE"""),"""bflc"":{""label"":""Whimsical"",""extra"":""(humourous, peculiar, fanciful) "",""sets"":""Expansion Set 3, Party Expansion 1""},")</f>
        <v>"bflc":{"label":"Whimsical","extra":"(humourous, peculiar, fanciful) ","sets":"Expansion Set 3, Party Expansion 1"},</v>
      </c>
    </row>
    <row r="141">
      <c r="A141" s="8" t="str">
        <f>IFERROR(__xludf.DUMMYFUNCTION("""COMPUTED_VALUE"""),"Wild &amp; Wooly")</f>
        <v>Wild &amp; Wooly</v>
      </c>
      <c r="B141" s="8" t="str">
        <f>IFERROR(__xludf.DUMMYFUNCTION("""COMPUTED_VALUE"""),"(untamed, uncontrolled, reckless) ")</f>
        <v>(untamed, uncontrolled, reckless) </v>
      </c>
      <c r="C141" s="13" t="str">
        <f>IFERROR(__xludf.DUMMYFUNCTION("""COMPUTED_VALUE"""),"""krgu"":{""label"":""Wild &amp; Wooly"",""extra"":""(untamed, uncontrolled, reckless) "",""sets"":""Expansion Set 4, Party Expansion 1""},")</f>
        <v>"krgu":{"label":"Wild &amp; Wooly","extra":"(untamed, uncontrolled, reckless) ","sets":"Expansion Set 4, Party Expansion 1"},</v>
      </c>
    </row>
    <row r="142">
      <c r="A142" s="8" t="str">
        <f>IFERROR(__xludf.DUMMYFUNCTION("""COMPUTED_VALUE"""),"Wired")</f>
        <v>Wired</v>
      </c>
      <c r="B142" s="8" t="str">
        <f>IFERROR(__xludf.DUMMYFUNCTION("""COMPUTED_VALUE"""),"(strained, tense, nervous) ")</f>
        <v>(strained, tense, nervous) </v>
      </c>
      <c r="C142" s="13" t="str">
        <f>IFERROR(__xludf.DUMMYFUNCTION("""COMPUTED_VALUE"""),"""ozfv"":{""label"":""Wired"",""extra"":""(strained, tense, nervous) "",""sets"":""Expansion Set 3, Party Expansion 1""},")</f>
        <v>"ozfv":{"label":"Wired","extra":"(strained, tense, nervous) ","sets":"Expansion Set 3, Party Expansion 1"},</v>
      </c>
    </row>
    <row r="143">
      <c r="A143" s="8" t="str">
        <f>IFERROR(__xludf.DUMMYFUNCTION("""COMPUTED_VALUE"""),"Young &amp; Restless")</f>
        <v>Young &amp; Restless</v>
      </c>
      <c r="B143" s="8" t="str">
        <f>IFERROR(__xludf.DUMMYFUNCTION("""COMPUTED_VALUE"""),"(fidgety, impatient, flighty) ")</f>
        <v>(fidgety, impatient, flighty) </v>
      </c>
      <c r="C143" s="13" t="str">
        <f>IFERROR(__xludf.DUMMYFUNCTION("""COMPUTED_VALUE"""),"""wmcd"":{""label"":""Young &amp; Restless"",""extra"":""(fidgety, impatient, flighty) "",""sets"":""Expansion Set 4, Party Expansion 1""},")</f>
        <v>"wmcd":{"label":"Young &amp; Restless","extra":"(fidgety, impatient, flighty) ","sets":"Expansion Set 4, Party Expansion 1"},</v>
      </c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02.38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IFERROR(__xludf.DUMMYFUNCTION("filter(Red!B3:D1000,search(""Party Expansion"",Red!H3:H1000))"),"*NSYNC")</f>
        <v>*NSYNC</v>
      </c>
      <c r="B2" s="8" t="str">
        <f>IFERROR(__xludf.DUMMYFUNCTION("""COMPUTED_VALUE"""),"Popular boy band known for their dance routines and harmonies. Bye, Bye, Bye our albums!")</f>
        <v>Popular boy band known for their dance routines and harmonies. Bye, Bye, Bye our albums!</v>
      </c>
      <c r="C2" s="13" t="str">
        <f>IFERROR(__xludf.DUMMYFUNCTION("""COMPUTED_VALUE"""),"""xjkz"":{""label"":""*NSYNC"",""extra"":""Popular boy band known for their dance routines and harmonies. Bye, Bye, Bye our albums!"",""sets"":""Expansion Set 3, Party Expansion 1""},")</f>
        <v>"xjkz":{"label":"*NSYNC","extra":"Popular boy band known for their dance routines and harmonies. Bye, Bye, Bye our albums!","sets":"Expansion Set 3, Party Expansion 1"},</v>
      </c>
    </row>
    <row r="3">
      <c r="A3" s="8" t="str">
        <f>IFERROR(__xludf.DUMMYFUNCTION("""COMPUTED_VALUE"""),"A Cabin In The Woods")</f>
        <v>A Cabin In The Woods</v>
      </c>
      <c r="B3" s="8" t="str">
        <f>IFERROR(__xludf.DUMMYFUNCTION("""COMPUTED_VALUE"""),"Henry David Thoreau went to Walden Pond for two years. All we're asking for is one lousy weekend!")</f>
        <v>Henry David Thoreau went to Walden Pond for two years. All we're asking for is one lousy weekend!</v>
      </c>
      <c r="C3" s="13" t="str">
        <f>IFERROR(__xludf.DUMMYFUNCTION("""COMPUTED_VALUE"""),"""perh"":{""label"":""A Cabin In The Woods"",""extra"":""Henry David Thoreau went to Walden Pond for two years. All we're asking for is one lousy weekend!"",""sets"":""Expansion Set 3, Party Expansion 1""},")</f>
        <v>"perh":{"label":"A Cabin In The Woods","extra":"Henry David Thoreau went to Walden Pond for two years. All we're asking for is one lousy weekend!","sets":"Expansion Set 3, Party Expansion 1"},</v>
      </c>
    </row>
    <row r="4">
      <c r="A4" s="8" t="str">
        <f>IFERROR(__xludf.DUMMYFUNCTION("""COMPUTED_VALUE"""),"A Can Of Worms")</f>
        <v>A Can Of Worms</v>
      </c>
      <c r="B4" s="8" t="str">
        <f>IFERROR(__xludf.DUMMYFUNCTION("""COMPUTED_VALUE"""),"Now you’ve opened it.")</f>
        <v>Now you’ve opened it.</v>
      </c>
      <c r="C4" s="13" t="str">
        <f>IFERROR(__xludf.DUMMYFUNCTION("""COMPUTED_VALUE"""),"""ubnp"":{""label"":""A Can Of Worms"",""extra"":""Now you’ve opened it."",""sets"":""Expansion Set 3, Party Expansion 1""},")</f>
        <v>"ubnp":{"label":"A Can Of Worms","extra":"Now you’ve opened it.","sets":"Expansion Set 3, Party Expansion 1"},</v>
      </c>
    </row>
    <row r="5">
      <c r="A5" s="8" t="str">
        <f>IFERROR(__xludf.DUMMYFUNCTION("""COMPUTED_VALUE"""),"A Few Good Men")</f>
        <v>A Few Good Men</v>
      </c>
      <c r="B5" s="8" t="str">
        <f>IFERROR(__xludf.DUMMYFUNCTION("""COMPUTED_VALUE"""),"Is that too much to ask?")</f>
        <v>Is that too much to ask?</v>
      </c>
      <c r="C5" s="13" t="str">
        <f>IFERROR(__xludf.DUMMYFUNCTION("""COMPUTED_VALUE"""),"""zgol"":{""label"":""A Few Good Men"",""extra"":""Is that too much to ask?"",""sets"":""Expansion Set 3, Party Expansion 1""},")</f>
        <v>"zgol":{"label":"A Few Good Men","extra":"Is that too much to ask?","sets":"Expansion Set 3, Party Expansion 1"},</v>
      </c>
    </row>
    <row r="6">
      <c r="A6" s="8" t="str">
        <f>IFERROR(__xludf.DUMMYFUNCTION("""COMPUTED_VALUE"""),"A Fool &amp; His Money")</f>
        <v>A Fool &amp; His Money</v>
      </c>
      <c r="B6" s="8" t="str">
        <f>IFERROR(__xludf.DUMMYFUNCTION("""COMPUTED_VALUE"""),"Are soon parted… especially on Wall Street.")</f>
        <v>Are soon parted… especially on Wall Street.</v>
      </c>
      <c r="C6" s="13" t="str">
        <f>IFERROR(__xludf.DUMMYFUNCTION("""COMPUTED_VALUE"""),"""knyu"":{""label"":""A Fool &amp; His Money"",""extra"":""Are soon parted… especially on Wall Street."",""sets"":""Expansion Set 4, Party Expansion 1""},")</f>
        <v>"knyu":{"label":"A Fool &amp; His Money","extra":"Are soon parted… especially on Wall Street.","sets":"Expansion Set 4, Party Expansion 1"},</v>
      </c>
    </row>
    <row r="7">
      <c r="A7" s="8" t="str">
        <f>IFERROR(__xludf.DUMMYFUNCTION("""COMPUTED_VALUE"""),"A French Maid")</f>
        <v>A French Maid</v>
      </c>
      <c r="B7" s="8" t="str">
        <f>IFERROR(__xludf.DUMMYFUNCTION("""COMPUTED_VALUE"""),"Ooh, la, la!")</f>
        <v>Ooh, la, la!</v>
      </c>
      <c r="C7" s="13" t="str">
        <f>IFERROR(__xludf.DUMMYFUNCTION("""COMPUTED_VALUE"""),"""xowg"":{""label"":""A French Maid"",""extra"":""Ooh, la, la!"",""sets"":""Expansion Set 3, Party Expansion 1""},")</f>
        <v>"xowg":{"label":"A French Maid","extra":"Ooh, la, la!","sets":"Expansion Set 3, Party Expansion 1"},</v>
      </c>
    </row>
    <row r="8">
      <c r="A8" s="8" t="str">
        <f>IFERROR(__xludf.DUMMYFUNCTION("""COMPUTED_VALUE"""),"A Hole In One")</f>
        <v>A Hole In One</v>
      </c>
      <c r="B8" s="8" t="str">
        <f>IFERROR(__xludf.DUMMYFUNCTION("""COMPUTED_VALUE"""),"Par for the course?")</f>
        <v>Par for the course?</v>
      </c>
      <c r="C8" s="13" t="str">
        <f>IFERROR(__xludf.DUMMYFUNCTION("""COMPUTED_VALUE"""),"""bpsl"":{""label"":""A Hole In One"",""extra"":""Par for the course?"",""sets"":""Expansion Set 3, Party Expansion 1""},")</f>
        <v>"bpsl":{"label":"A Hole In One","extra":"Par for the course?","sets":"Expansion Set 3, Party Expansion 1"},</v>
      </c>
    </row>
    <row r="9">
      <c r="A9" s="8" t="str">
        <f>IFERROR(__xludf.DUMMYFUNCTION("""COMPUTED_VALUE"""),"A Little White Lie")</f>
        <v>A Little White Lie</v>
      </c>
      <c r="B9" s="8" t="str">
        <f>IFERROR(__xludf.DUMMYFUNCTION("""COMPUTED_VALUE"""),"If you can’t say anything nice…")</f>
        <v>If you can’t say anything nice…</v>
      </c>
      <c r="C9" s="13" t="str">
        <f>IFERROR(__xludf.DUMMYFUNCTION("""COMPUTED_VALUE"""),"""hnsx"":{""label"":""A Little White Lie"",""extra"":""If you can’t say anything nice…"",""sets"":""Expansion Set 3, Party Expansion 1""},")</f>
        <v>"hnsx":{"label":"A Little White Lie","extra":"If you can’t say anything nice…","sets":"Expansion Set 3, Party Expansion 1"},</v>
      </c>
    </row>
    <row r="10">
      <c r="A10" s="8" t="str">
        <f>IFERROR(__xludf.DUMMYFUNCTION("""COMPUTED_VALUE"""),"A Million Dollars")</f>
        <v>A Million Dollars</v>
      </c>
      <c r="B10" s="8" t="str">
        <f>IFERROR(__xludf.DUMMYFUNCTION("""COMPUTED_VALUE"""),"If I had a million dollars…")</f>
        <v>If I had a million dollars…</v>
      </c>
      <c r="C10" s="13" t="str">
        <f>IFERROR(__xludf.DUMMYFUNCTION("""COMPUTED_VALUE"""),"""pmla"":{""label"":""A Million Dollars"",""extra"":""If I had a million dollars…"",""sets"":""Expansion Set 3, Party Expansion 1""},")</f>
        <v>"pmla":{"label":"A Million Dollars","extra":"If I had a million dollars…","sets":"Expansion Set 3, Party Expansion 1"},</v>
      </c>
    </row>
    <row r="11">
      <c r="A11" s="8" t="str">
        <f>IFERROR(__xludf.DUMMYFUNCTION("""COMPUTED_VALUE"""),"A Mummy")</f>
        <v>A Mummy</v>
      </c>
      <c r="B11" s="8" t="str">
        <f>IFERROR(__xludf.DUMMYFUNCTION("""COMPUTED_VALUE"""),"“Walk like an Egyptian.” —The Bangles")</f>
        <v>“Walk like an Egyptian.” —The Bangles</v>
      </c>
      <c r="C11" s="13" t="str">
        <f>IFERROR(__xludf.DUMMYFUNCTION("""COMPUTED_VALUE"""),"""rkub"":{""label"":""A Mummy"",""extra"":""“Walk like an Egyptian.” —The Bangles"",""sets"":""Expansion Set 3, Party Expansion 1""},")</f>
        <v>"rkub":{"label":"A Mummy","extra":"“Walk like an Egyptian.” —The Bangles","sets":"Expansion Set 3, Party Expansion 1"},</v>
      </c>
    </row>
    <row r="12">
      <c r="A12" s="8" t="str">
        <f>IFERROR(__xludf.DUMMYFUNCTION("""COMPUTED_VALUE"""),"A Ringing In My Ears")</f>
        <v>A Ringing In My Ears</v>
      </c>
      <c r="B12" s="8" t="str">
        <f>IFERROR(__xludf.DUMMYFUNCTION("""COMPUTED_VALUE"""),"Answer that, would’ya?")</f>
        <v>Answer that, would’ya?</v>
      </c>
      <c r="C12" s="13" t="str">
        <f>IFERROR(__xludf.DUMMYFUNCTION("""COMPUTED_VALUE"""),"""xghi"":{""label"":""A Ringing In My Ears"",""extra"":""Answer that, would’ya?"",""sets"":""Expansion Set 3, Party Expansion 1""},")</f>
        <v>"xghi":{"label":"A Ringing In My Ears","extra":"Answer that, would’ya?","sets":"Expansion Set 3, Party Expansion 1"},</v>
      </c>
    </row>
    <row r="13">
      <c r="A13" s="8" t="str">
        <f>IFERROR(__xludf.DUMMYFUNCTION("""COMPUTED_VALUE"""),"A Spare Tire")</f>
        <v>A Spare Tire</v>
      </c>
      <c r="B13" s="8" t="str">
        <f>IFERROR(__xludf.DUMMYFUNCTION("""COMPUTED_VALUE"""),"The good news is: we have a spare tire…")</f>
        <v>The good news is: we have a spare tire…</v>
      </c>
      <c r="C13" s="13" t="str">
        <f>IFERROR(__xludf.DUMMYFUNCTION("""COMPUTED_VALUE"""),"""zstf"":{""label"":""A Spare Tire"",""extra"":""The good news is: we have a spare tire…"",""sets"":""Expansion Set 3, Party Expansion 1""},")</f>
        <v>"zstf":{"label":"A Spare Tire","extra":"The good news is: we have a spare tire…","sets":"Expansion Set 3, Party Expansion 1"},</v>
      </c>
    </row>
    <row r="14">
      <c r="A14" s="8" t="str">
        <f>IFERROR(__xludf.DUMMYFUNCTION("""COMPUTED_VALUE"""),"Abbot &amp; Costello")</f>
        <v>Abbot &amp; Costello</v>
      </c>
      <c r="B14" s="8" t="str">
        <f>IFERROR(__xludf.DUMMYFUNCTION("""COMPUTED_VALUE"""),"Comedy team who had everyone guessing “Who's on first?”")</f>
        <v>Comedy team who had everyone guessing “Who's on first?”</v>
      </c>
      <c r="C14" s="13" t="str">
        <f>IFERROR(__xludf.DUMMYFUNCTION("""COMPUTED_VALUE"""),"""ryks"":{""label"":""Abbot &amp; Costello"",""extra"":""Comedy team who had everyone guessing “Who's on first?”"",""sets"":""Expansion Set 4, Party Expansion 1""},")</f>
        <v>"ryks":{"label":"Abbot &amp; Costello","extra":"Comedy team who had everyone guessing “Who's on first?”","sets":"Expansion Set 4, Party Expansion 1"},</v>
      </c>
    </row>
    <row r="15">
      <c r="A15" s="8" t="str">
        <f>IFERROR(__xludf.DUMMYFUNCTION("""COMPUTED_VALUE"""),"Adam &amp; Eve")</f>
        <v>Adam &amp; Eve</v>
      </c>
      <c r="B15" s="8" t="str">
        <f>IFERROR(__xludf.DUMMYFUNCTION("""COMPUTED_VALUE"""),"A relationship of Biblical proportions.")</f>
        <v>A relationship of Biblical proportions.</v>
      </c>
      <c r="C15" s="13" t="str">
        <f>IFERROR(__xludf.DUMMYFUNCTION("""COMPUTED_VALUE"""),"""bymr"":{""label"":""Adam &amp; Eve"",""extra"":""A relationship of Biblical proportions."",""sets"":""Expansion Set 4, Party Expansion 1""},")</f>
        <v>"bymr":{"label":"Adam &amp; Eve","extra":"A relationship of Biblical proportions.","sets":"Expansion Set 4, Party Expansion 1"},</v>
      </c>
    </row>
    <row r="16">
      <c r="A16" s="8" t="str">
        <f>IFERROR(__xludf.DUMMYFUNCTION("""COMPUTED_VALUE"""),"Alan Greenspan")</f>
        <v>Alan Greenspan</v>
      </c>
      <c r="B16" s="8" t="str">
        <f>IFERROR(__xludf.DUMMYFUNCTION("""COMPUTED_VALUE"""),"1926-, chairman of the U.S. Federal Reserve Board.")</f>
        <v>1926-, chairman of the U.S. Federal Reserve Board.</v>
      </c>
      <c r="C16" s="13" t="str">
        <f>IFERROR(__xludf.DUMMYFUNCTION("""COMPUTED_VALUE"""),"""bqut"":{""label"":""Alan Greenspan"",""extra"":""1926-, chairman of the U.S. Federal Reserve Board."",""sets"":""Expansion Set 3, Party Expansion 1""},")</f>
        <v>"bqut":{"label":"Alan Greenspan","extra":"1926-, chairman of the U.S. Federal Reserve Board.","sets":"Expansion Set 3, Party Expansion 1"},</v>
      </c>
    </row>
    <row r="17">
      <c r="A17" s="8" t="str">
        <f>IFERROR(__xludf.DUMMYFUNCTION("""COMPUTED_VALUE"""),"AM &amp; FM")</f>
        <v>AM &amp; FM</v>
      </c>
      <c r="B17" s="8" t="str">
        <f>IFERROR(__xludf.DUMMYFUNCTION("""COMPUTED_VALUE"""),"Making waves in radio.")</f>
        <v>Making waves in radio.</v>
      </c>
      <c r="C17" s="13" t="str">
        <f>IFERROR(__xludf.DUMMYFUNCTION("""COMPUTED_VALUE"""),"""ebgr"":{""label"":""AM &amp; FM"",""extra"":""Making waves in radio."",""sets"":""Expansion Set 4, Party Expansion 1""},")</f>
        <v>"ebgr":{"label":"AM &amp; FM","extra":"Making waves in radio.","sets":"Expansion Set 4, Party Expansion 1"},</v>
      </c>
    </row>
    <row r="18">
      <c r="A18" s="8" t="str">
        <f>IFERROR(__xludf.DUMMYFUNCTION("""COMPUTED_VALUE"""),"Amsterdam")</f>
        <v>Amsterdam</v>
      </c>
      <c r="B18" s="8" t="str">
        <f>IFERROR(__xludf.DUMMYFUNCTION("""COMPUTED_VALUE"""),"The capital of the Netherlands, and one of Europe’s most beautiful and notorious cities.")</f>
        <v>The capital of the Netherlands, and one of Europe’s most beautiful and notorious cities.</v>
      </c>
      <c r="C18" s="13" t="str">
        <f>IFERROR(__xludf.DUMMYFUNCTION("""COMPUTED_VALUE"""),"""m{lz"":{""label"":""Amsterdam"",""extra"":""The capital of the Netherlands, and one of Europe’s most beautiful and notorious cities."",""sets"":""Expansion Set 3, Party Expansion 1""},")</f>
        <v>"m{lz":{"label":"Amsterdam","extra":"The capital of the Netherlands, and one of Europe’s most beautiful and notorious cities.","sets":"Expansion Set 3, Party Expansion 1"},</v>
      </c>
    </row>
    <row r="19">
      <c r="A19" s="8" t="str">
        <f>IFERROR(__xludf.DUMMYFUNCTION("""COMPUTED_VALUE"""),"Ancient Rome")</f>
        <v>Ancient Rome</v>
      </c>
      <c r="B19" s="8" t="str">
        <f>IFERROR(__xludf.DUMMYFUNCTION("""COMPUTED_VALUE"""),"In ancient times, all roads led to Rome, and the traffic has only gotten worse.")</f>
        <v>In ancient times, all roads led to Rome, and the traffic has only gotten worse.</v>
      </c>
      <c r="C19" s="13" t="str">
        <f>IFERROR(__xludf.DUMMYFUNCTION("""COMPUTED_VALUE"""),"""rqh{"":{""label"":""Ancient Rome"",""extra"":""In ancient times, all roads led to Rome, and the traffic has only gotten worse."",""sets"":""Expansion Set 3, Party Expansion 1""},")</f>
        <v>"rqh{":{"label":"Ancient Rome","extra":"In ancient times, all roads led to Rome, and the traffic has only gotten worse.","sets":"Expansion Set 3, Party Expansion 1"},</v>
      </c>
    </row>
    <row r="20">
      <c r="A20" s="8" t="str">
        <f>IFERROR(__xludf.DUMMYFUNCTION("""COMPUTED_VALUE"""),"Anna &amp; The King")</f>
        <v>Anna &amp; The King</v>
      </c>
      <c r="B20" s="8" t="str">
        <f>IFERROR(__xludf.DUMMYFUNCTION("""COMPUTED_VALUE"""),"The 1999 film romanticizing the story of Anna Leonowens and King Mongkut of Siam.")</f>
        <v>The 1999 film romanticizing the story of Anna Leonowens and King Mongkut of Siam.</v>
      </c>
      <c r="C20" s="13" t="str">
        <f>IFERROR(__xludf.DUMMYFUNCTION("""COMPUTED_VALUE"""),"""ifum"":{""label"":""Anna &amp; The King"",""extra"":""The 1999 film romanticizing the story of Anna Leonowens and King Mongkut of Siam."",""sets"":""Expansion Set 4, Party Expansion 1""},")</f>
        <v>"ifum":{"label":"Anna &amp; The King","extra":"The 1999 film romanticizing the story of Anna Leonowens and King Mongkut of Siam.","sets":"Expansion Set 4, Party Expansion 1"},</v>
      </c>
    </row>
    <row r="21">
      <c r="A21" s="8" t="str">
        <f>IFERROR(__xludf.DUMMYFUNCTION("""COMPUTED_VALUE"""),"Anna Kournikova")</f>
        <v>Anna Kournikova</v>
      </c>
      <c r="B21" s="8" t="str">
        <f>IFERROR(__xludf.DUMMYFUNCTION("""COMPUTED_VALUE"""),"1981-, Russian-born star of the tennis court and internet.")</f>
        <v>1981-, Russian-born star of the tennis court and internet.</v>
      </c>
      <c r="C21" s="13" t="str">
        <f>IFERROR(__xludf.DUMMYFUNCTION("""COMPUTED_VALUE"""),"""ggju"":{""label"":""Anna Kournikova"",""extra"":""1981-, Russian-born star of the tennis court and internet."",""sets"":""Expansion Set 3, Party Expansion 1""},")</f>
        <v>"ggju":{"label":"Anna Kournikova","extra":"1981-, Russian-born star of the tennis court and internet.","sets":"Expansion Set 3, Party Expansion 1"},</v>
      </c>
    </row>
    <row r="22">
      <c r="A22" s="8" t="str">
        <f>IFERROR(__xludf.DUMMYFUNCTION("""COMPUTED_VALUE"""),"Anthrax")</f>
        <v>Anthrax</v>
      </c>
      <c r="B22" s="8" t="str">
        <f>IFERROR(__xludf.DUMMYFUNCTION("""COMPUTED_VALUE"""),"A potentially deadly infectious disease caused by spore bacteria. Anthrax has been developed as a biological weapon.")</f>
        <v>A potentially deadly infectious disease caused by spore bacteria. Anthrax has been developed as a biological weapon.</v>
      </c>
      <c r="C22" s="13" t="str">
        <f>IFERROR(__xludf.DUMMYFUNCTION("""COMPUTED_VALUE"""),"""kriz"":{""label"":""Anthrax"",""extra"":""A potentially deadly infectious disease caused by spore bacteria. Anthrax has been developed as a biological weapon."",""sets"":""Expansion Set 3, Party Expansion 1""},")</f>
        <v>"kriz":{"label":"Anthrax","extra":"A potentially deadly infectious disease caused by spore bacteria. Anthrax has been developed as a biological weapon.","sets":"Expansion Set 3, Party Expansion 1"},</v>
      </c>
    </row>
    <row r="23">
      <c r="A23" s="8" t="str">
        <f>IFERROR(__xludf.DUMMYFUNCTION("""COMPUTED_VALUE"""),"Antiques Roadshow")</f>
        <v>Antiques Roadshow</v>
      </c>
      <c r="B23" s="8" t="str">
        <f>IFERROR(__xludf.DUMMYFUNCTION("""COMPUTED_VALUE"""),"PBS television program where folks bring oddities for appraisal. One person’s trash is another one’s treasure.")</f>
        <v>PBS television program where folks bring oddities for appraisal. One person’s trash is another one’s treasure.</v>
      </c>
      <c r="C23" s="13" t="str">
        <f>IFERROR(__xludf.DUMMYFUNCTION("""COMPUTED_VALUE"""),"""obcq"":{""label"":""Antiques Roadshow"",""extra"":""PBS television program where folks bring oddities for appraisal. One person’s trash is another one’s treasure."",""sets"":""Expansion Set 3, Party Expansion 1""},")</f>
        <v>"obcq":{"label":"Antiques Roadshow","extra":"PBS television program where folks bring oddities for appraisal. One person’s trash is another one’s treasure.","sets":"Expansion Set 3, Party Expansion 1"},</v>
      </c>
    </row>
    <row r="24">
      <c r="A24" s="8" t="str">
        <f>IFERROR(__xludf.DUMMYFUNCTION("""COMPUTED_VALUE"""),"Antony &amp; Cleopatra")</f>
        <v>Antony &amp; Cleopatra</v>
      </c>
      <c r="B24" s="8" t="str">
        <f>IFERROR(__xludf.DUMMYFUNCTION("""COMPUTED_VALUE"""),"Roman general and Egyptian queen. A love affair that wouldn’t die. Oh, wait, it did.")</f>
        <v>Roman general and Egyptian queen. A love affair that wouldn’t die. Oh, wait, it did.</v>
      </c>
      <c r="C24" s="13" t="str">
        <f>IFERROR(__xludf.DUMMYFUNCTION("""COMPUTED_VALUE"""),"""hhmh"":{""label"":""Antony &amp; Cleopatra"",""extra"":""Roman general and Egyptian queen. A love affair that wouldn’t die. Oh, wait, it did."",""sets"":""Expansion Set 4, Party Expansion 1""},")</f>
        <v>"hhmh":{"label":"Antony &amp; Cleopatra","extra":"Roman general and Egyptian queen. A love affair that wouldn’t die. Oh, wait, it did.","sets":"Expansion Set 4, Party Expansion 1"},</v>
      </c>
    </row>
    <row r="25">
      <c r="A25" s="8" t="str">
        <f>IFERROR(__xludf.DUMMYFUNCTION("""COMPUTED_VALUE"""),"Apples &amp; Oranges")</f>
        <v>Apples &amp; Oranges</v>
      </c>
      <c r="B25" s="8" t="str">
        <f>IFERROR(__xludf.DUMMYFUNCTION("""COMPUTED_VALUE"""),"Don't even TRY to compare them.")</f>
        <v>Don't even TRY to compare them.</v>
      </c>
      <c r="C25" s="13" t="str">
        <f>IFERROR(__xludf.DUMMYFUNCTION("""COMPUTED_VALUE"""),"""oxti"":{""label"":""Apples &amp; Oranges"",""extra"":""Don't even TRY to compare them."",""sets"":""Expansion Set 4, Party Expansion 1""},")</f>
        <v>"oxti":{"label":"Apples &amp; Oranges","extra":"Don't even TRY to compare them.","sets":"Expansion Set 4, Party Expansion 1"},</v>
      </c>
    </row>
    <row r="26">
      <c r="A26" s="8" t="str">
        <f>IFERROR(__xludf.DUMMYFUNCTION("""COMPUTED_VALUE"""),"Aristotle")</f>
        <v>Aristotle</v>
      </c>
      <c r="B26" s="8" t="str">
        <f>IFERROR(__xludf.DUMMYFUNCTION("""COMPUTED_VALUE"""),"384-322 B.C., ancient Greek philosopher. His writings formed the foundation for much of today’s philosophical and political thought.")</f>
        <v>384-322 B.C., ancient Greek philosopher. His writings formed the foundation for much of today’s philosophical and political thought.</v>
      </c>
      <c r="C26" s="13" t="str">
        <f>IFERROR(__xludf.DUMMYFUNCTION("""COMPUTED_VALUE"""),"""qesv"":{""label"":""Aristotle"",""extra"":""384-322 B.C., ancient Greek philosopher. His writings formed the foundation for much of today’s philosophical and political thought."",""sets"":""Expansion Set 3, Party Expansion 1""},")</f>
        <v>"qesv":{"label":"Aristotle","extra":"384-322 B.C., ancient Greek philosopher. His writings formed the foundation for much of today’s philosophical and political thought.","sets":"Expansion Set 3, Party Expansion 1"},</v>
      </c>
    </row>
    <row r="27">
      <c r="A27" s="8" t="str">
        <f>IFERROR(__xludf.DUMMYFUNCTION("""COMPUTED_VALUE"""),"Arm &amp; A Leg")</f>
        <v>Arm &amp; A Leg</v>
      </c>
      <c r="B27" s="8" t="str">
        <f>IFERROR(__xludf.DUMMYFUNCTION("""COMPUTED_VALUE"""),"Sure, they were free, but just try replacing them.")</f>
        <v>Sure, they were free, but just try replacing them.</v>
      </c>
      <c r="C27" s="13" t="str">
        <f>IFERROR(__xludf.DUMMYFUNCTION("""COMPUTED_VALUE"""),"""i{pw"":{""label"":""Arm &amp; A Leg"",""extra"":""Sure, they were free, but just try replacing them."",""sets"":""Expansion Set 4, Party Expansion 1""},")</f>
        <v>"i{pw":{"label":"Arm &amp; A Leg","extra":"Sure, they were free, but just try replacing them.","sets":"Expansion Set 4, Party Expansion 1"},</v>
      </c>
    </row>
    <row r="28">
      <c r="A28" s="8" t="str">
        <f>IFERROR(__xludf.DUMMYFUNCTION("""COMPUTED_VALUE"""),"Armadillo")</f>
        <v>Armadillo</v>
      </c>
      <c r="B28" s="8" t="str">
        <f>IFERROR(__xludf.DUMMYFUNCTION("""COMPUTED_VALUE"""),"Burrowing mammal with armor-like bony plat covering. Roadkill extraordinaire.")</f>
        <v>Burrowing mammal with armor-like bony plat covering. Roadkill extraordinaire.</v>
      </c>
      <c r="C28" s="13" t="str">
        <f>IFERROR(__xludf.DUMMYFUNCTION("""COMPUTED_VALUE"""),"""elgn"":{""label"":""Armadillo"",""extra"":""Burrowing mammal with armor-like bony plat covering. Roadkill extraordinaire."",""sets"":""Expansion Set 3, Party Expansion 1""},")</f>
        <v>"elgn":{"label":"Armadillo","extra":"Burrowing mammal with armor-like bony plat covering. Roadkill extraordinaire.","sets":"Expansion Set 3, Party Expansion 1"},</v>
      </c>
    </row>
    <row r="29">
      <c r="A29" s="8" t="str">
        <f>IFERROR(__xludf.DUMMYFUNCTION("""COMPUTED_VALUE"""),"Arnold Schwarzenegger")</f>
        <v>Arnold Schwarzenegger</v>
      </c>
      <c r="B29" s="8" t="str">
        <f>IFERROR(__xludf.DUMMYFUNCTION("""COMPUTED_VALUE"""),"1947-, Austrian born body-builder turned actor. “My body is like breakfast, lunch, and dinner. I don’t think about it, I just have it.”")</f>
        <v>1947-, Austrian born body-builder turned actor. “My body is like breakfast, lunch, and dinner. I don’t think about it, I just have it.”</v>
      </c>
      <c r="C29" s="13" t="str">
        <f>IFERROR(__xludf.DUMMYFUNCTION("""COMPUTED_VALUE"""),"""sypw"":{""label"":""Arnold Schwarzenegger"",""extra"":""1947-, Austrian born body-builder turned actor. “My body is like breakfast, lunch, and dinner. I don’t think about it, I just have it.”"",""sets"":""Expansion Set 3, Party Expansion 1""},")</f>
        <v>"sypw":{"label":"Arnold Schwarzenegger","extra":"1947-, Austrian born body-builder turned actor. “My body is like breakfast, lunch, and dinner. I don’t think about it, I just have it.”","sets":"Expansion Set 3, Party Expansion 1"},</v>
      </c>
    </row>
    <row r="30">
      <c r="A30" s="8" t="str">
        <f>IFERROR(__xludf.DUMMYFUNCTION("""COMPUTED_VALUE"""),"Aroma Therapy")</f>
        <v>Aroma Therapy</v>
      </c>
      <c r="B30" s="8" t="str">
        <f>IFERROR(__xludf.DUMMYFUNCTION("""COMPUTED_VALUE"""),"Alternative medicine. Something’s smelly about it.")</f>
        <v>Alternative medicine. Something’s smelly about it.</v>
      </c>
      <c r="C30" s="13" t="str">
        <f>IFERROR(__xludf.DUMMYFUNCTION("""COMPUTED_VALUE"""),"""otgn"":{""label"":""Aroma Therapy"",""extra"":""Alternative medicine. Something’s smelly about it."",""sets"":""Expansion Set 3, Party Expansion 1""},")</f>
        <v>"otgn":{"label":"Aroma Therapy","extra":"Alternative medicine. Something’s smelly about it.","sets":"Expansion Set 3, Party Expansion 1"},</v>
      </c>
    </row>
    <row r="31">
      <c r="A31" s="8" t="str">
        <f>IFERROR(__xludf.DUMMYFUNCTION("""COMPUTED_VALUE"""),"Arsenic &amp; Old Lace")</f>
        <v>Arsenic &amp; Old Lace</v>
      </c>
      <c r="B31" s="8" t="str">
        <f>IFERROR(__xludf.DUMMYFUNCTION("""COMPUTED_VALUE"""),"The hilarious dark comedy written by Joseph Kesselring, or the 1944 film adaptation by Frank Capra.")</f>
        <v>The hilarious dark comedy written by Joseph Kesselring, or the 1944 film adaptation by Frank Capra.</v>
      </c>
      <c r="C31" s="13" t="str">
        <f>IFERROR(__xludf.DUMMYFUNCTION("""COMPUTED_VALUE"""),"""ddiw"":{""label"":""Arsenic &amp; Old Lace"",""extra"":""The hilarious dark comedy written by Joseph Kesselring, or the 1944 film adaptation by Frank Capra."",""sets"":""Expansion Set 4, Party Expansion 1""},")</f>
        <v>"ddiw":{"label":"Arsenic &amp; Old Lace","extra":"The hilarious dark comedy written by Joseph Kesselring, or the 1944 film adaptation by Frank Capra.","sets":"Expansion Set 4, Party Expansion 1"},</v>
      </c>
    </row>
    <row r="32">
      <c r="A32" s="8" t="str">
        <f>IFERROR(__xludf.DUMMYFUNCTION("""COMPUTED_VALUE"""),"Assault &amp; Battery")</f>
        <v>Assault &amp; Battery</v>
      </c>
      <c r="B32" s="8" t="str">
        <f>IFERROR(__xludf.DUMMYFUNCTION("""COMPUTED_VALUE"""),"That would be a single “A” battery.")</f>
        <v>That would be a single “A” battery.</v>
      </c>
      <c r="C32" s="13" t="str">
        <f>IFERROR(__xludf.DUMMYFUNCTION("""COMPUTED_VALUE"""),"""yvsk"":{""label"":""Assault &amp; Battery"",""extra"":""That would be a single “A” battery."",""sets"":""Expansion Set 4, Party Expansion 1""},")</f>
        <v>"yvsk":{"label":"Assault &amp; Battery","extra":"That would be a single “A” battery.","sets":"Expansion Set 4, Party Expansion 1"},</v>
      </c>
    </row>
    <row r="33">
      <c r="A33" s="8" t="str">
        <f>IFERROR(__xludf.DUMMYFUNCTION("""COMPUTED_VALUE"""),"Bagels And Lox")</f>
        <v>Bagels And Lox</v>
      </c>
      <c r="B33" s="8" t="str">
        <f>IFERROR(__xludf.DUMMYFUNCTION("""COMPUTED_VALUE"""),"A perfect snack for salmon-chanted evening…")</f>
        <v>A perfect snack for salmon-chanted evening…</v>
      </c>
      <c r="C33" s="13" t="str">
        <f>IFERROR(__xludf.DUMMYFUNCTION("""COMPUTED_VALUE"""),"""lift"":{""label"":""Bagels And Lox"",""extra"":""A perfect snack for salmon-chanted evening…"",""sets"":""Expansion Set 3, Party Expansion 1""},")</f>
        <v>"lift":{"label":"Bagels And Lox","extra":"A perfect snack for salmon-chanted evening…","sets":"Expansion Set 3, Party Expansion 1"},</v>
      </c>
    </row>
    <row r="34">
      <c r="A34" s="8" t="str">
        <f>IFERROR(__xludf.DUMMYFUNCTION("""COMPUTED_VALUE"""),"Ball &amp; Chain")</f>
        <v>Ball &amp; Chain</v>
      </c>
      <c r="B34" s="8" t="str">
        <f>IFERROR(__xludf.DUMMYFUNCTION("""COMPUTED_VALUE"""),"Don’t let it get you down.")</f>
        <v>Don’t let it get you down.</v>
      </c>
      <c r="C34" s="13" t="str">
        <f>IFERROR(__xludf.DUMMYFUNCTION("""COMPUTED_VALUE"""),"""sngq"":{""label"":""Ball &amp; Chain"",""extra"":""Don’t let it get you down."",""sets"":""Expansion Set 4, Party Expansion 1""},")</f>
        <v>"sngq":{"label":"Ball &amp; Chain","extra":"Don’t let it get you down.","sets":"Expansion Set 4, Party Expansion 1"},</v>
      </c>
    </row>
    <row r="35">
      <c r="A35" s="8" t="str">
        <f>IFERROR(__xludf.DUMMYFUNCTION("""COMPUTED_VALUE"""),"Ballroom Dancing")</f>
        <v>Ballroom Dancing</v>
      </c>
      <c r="B35" s="8" t="str">
        <f>IFERROR(__xludf.DUMMYFUNCTION("""COMPUTED_VALUE"""),"Fox-trots, tangos, cha-chas, and more! Are you ready to rumba?")</f>
        <v>Fox-trots, tangos, cha-chas, and more! Are you ready to rumba?</v>
      </c>
      <c r="C35" s="13" t="str">
        <f>IFERROR(__xludf.DUMMYFUNCTION("""COMPUTED_VALUE"""),"""jpcf"":{""label"":""Ballroom Dancing"",""extra"":""Fox-trots, tangos, cha-chas, and more! Are you ready to rumba?"",""sets"":""Expansion Set 3, Party Expansion 1""},")</f>
        <v>"jpcf":{"label":"Ballroom Dancing","extra":"Fox-trots, tangos, cha-chas, and more! Are you ready to rumba?","sets":"Expansion Set 3, Party Expansion 1"},</v>
      </c>
    </row>
    <row r="36">
      <c r="A36" s="8" t="str">
        <f>IFERROR(__xludf.DUMMYFUNCTION("""COMPUTED_VALUE"""),"Barbie &amp; Ken")</f>
        <v>Barbie &amp; Ken</v>
      </c>
      <c r="B36" s="8" t="str">
        <f>IFERROR(__xludf.DUMMYFUNCTION("""COMPUTED_VALUE"""),"Ah, to be blond and plastic…")</f>
        <v>Ah, to be blond and plastic…</v>
      </c>
      <c r="C36" s="13" t="str">
        <f>IFERROR(__xludf.DUMMYFUNCTION("""COMPUTED_VALUE"""),"""lnyb"":{""label"":""Barbie &amp; Ken"",""extra"":""Ah, to be blond and plastic…"",""sets"":""Expansion Set 4, Party Expansion 1""},")</f>
        <v>"lnyb":{"label":"Barbie &amp; Ken","extra":"Ah, to be blond and plastic…","sets":"Expansion Set 4, Party Expansion 1"},</v>
      </c>
    </row>
    <row r="37">
      <c r="A37" s="8" t="str">
        <f>IFERROR(__xludf.DUMMYFUNCTION("""COMPUTED_VALUE"""),"Baseball")</f>
        <v>Baseball</v>
      </c>
      <c r="B37" s="8" t="str">
        <f>IFERROR(__xludf.DUMMYFUNCTION("""COMPUTED_VALUE"""),"Its one, two, three strikes you’re out…")</f>
        <v>Its one, two, three strikes you’re out…</v>
      </c>
      <c r="C37" s="13" t="str">
        <f>IFERROR(__xludf.DUMMYFUNCTION("""COMPUTED_VALUE"""),"""jmkq"":{""label"":""Baseball"",""extra"":""Its one, two, three strikes you’re out…"",""sets"":""Expansion Set 3, Party Expansion 1""},")</f>
        <v>"jmkq":{"label":"Baseball","extra":"Its one, two, three strikes you’re out…","sets":"Expansion Set 3, Party Expansion 1"},</v>
      </c>
    </row>
    <row r="38">
      <c r="A38" s="8" t="str">
        <f>IFERROR(__xludf.DUMMYFUNCTION("""COMPUTED_VALUE"""),"Batman &amp; Robin")</f>
        <v>Batman &amp; Robin</v>
      </c>
      <c r="B38" s="8" t="str">
        <f>IFERROR(__xludf.DUMMYFUNCTION("""COMPUTED_VALUE"""),"Superheroes or vigilantes, you make the call.")</f>
        <v>Superheroes or vigilantes, you make the call.</v>
      </c>
      <c r="C38" s="13" t="str">
        <f>IFERROR(__xludf.DUMMYFUNCTION("""COMPUTED_VALUE"""),"""coqs"":{""label"":""Batman &amp; Robin"",""extra"":""Superheroes or vigilantes, you make the call."",""sets"":""Expansion Set 4, Party Expansion 1""},")</f>
        <v>"coqs":{"label":"Batman &amp; Robin","extra":"Superheroes or vigilantes, you make the call.","sets":"Expansion Set 4, Party Expansion 1"},</v>
      </c>
    </row>
    <row r="39">
      <c r="A39" s="8" t="str">
        <f>IFERROR(__xludf.DUMMYFUNCTION("""COMPUTED_VALUE"""),"Bats &amp; Balls")</f>
        <v>Bats &amp; Balls</v>
      </c>
      <c r="B39" s="8" t="str">
        <f>IFERROR(__xludf.DUMMYFUNCTION("""COMPUTED_VALUE"""),"At least they don’t go on strike.")</f>
        <v>At least they don’t go on strike.</v>
      </c>
      <c r="C39" s="13" t="str">
        <f>IFERROR(__xludf.DUMMYFUNCTION("""COMPUTED_VALUE"""),"""pslr"":{""label"":""Bats &amp; Balls"",""extra"":""At least they don’t go on strike."",""sets"":""Expansion Set 4, Party Expansion 1""},")</f>
        <v>"pslr":{"label":"Bats &amp; Balls","extra":"At least they don’t go on strike.","sets":"Expansion Set 4, Party Expansion 1"},</v>
      </c>
    </row>
    <row r="40">
      <c r="A40" s="8" t="str">
        <f>IFERROR(__xludf.DUMMYFUNCTION("""COMPUTED_VALUE"""),"BB Guns")</f>
        <v>BB Guns</v>
      </c>
      <c r="B40" s="8" t="str">
        <f>IFERROR(__xludf.DUMMYFUNCTION("""COMPUTED_VALUE"""),"“You’ll shoot your eye out!”")</f>
        <v>“You’ll shoot your eye out!”</v>
      </c>
      <c r="C40" s="13" t="str">
        <f>IFERROR(__xludf.DUMMYFUNCTION("""COMPUTED_VALUE"""),"""qxlp"":{""label"":""BB Guns"",""extra"":""“You’ll shoot your eye out!”"",""sets"":""Expansion Set 3, Party Expansion 1""},")</f>
        <v>"qxlp":{"label":"BB Guns","extra":"“You’ll shoot your eye out!”","sets":"Expansion Set 3, Party Expansion 1"},</v>
      </c>
    </row>
    <row r="41">
      <c r="A41" s="8" t="str">
        <f>IFERROR(__xludf.DUMMYFUNCTION("""COMPUTED_VALUE"""),"Beanbag Chairs")</f>
        <v>Beanbag Chairs</v>
      </c>
      <c r="B41" s="8" t="str">
        <f>IFERROR(__xludf.DUMMYFUNCTION("""COMPUTED_VALUE"""),"For beanbag butts…")</f>
        <v>For beanbag butts…</v>
      </c>
      <c r="C41" s="13" t="str">
        <f>IFERROR(__xludf.DUMMYFUNCTION("""COMPUTED_VALUE"""),"""cfxe"":{""label"":""Beanbag Chairs"",""extra"":""For beanbag butts…"",""sets"":""Expansion Set 3, Party Expansion 1""},")</f>
        <v>"cfxe":{"label":"Beanbag Chairs","extra":"For beanbag butts…","sets":"Expansion Set 3, Party Expansion 1"},</v>
      </c>
    </row>
    <row r="42">
      <c r="A42" s="8" t="str">
        <f>IFERROR(__xludf.DUMMYFUNCTION("""COMPUTED_VALUE"""),"Beauty &amp; The Beast")</f>
        <v>Beauty &amp; The Beast</v>
      </c>
      <c r="B42" s="8" t="str">
        <f>IFERROR(__xludf.DUMMYFUNCTION("""COMPUTED_VALUE"""),"A French fairy tale, animated by Disney in 1991.")</f>
        <v>A French fairy tale, animated by Disney in 1991.</v>
      </c>
      <c r="C42" s="13" t="str">
        <f>IFERROR(__xludf.DUMMYFUNCTION("""COMPUTED_VALUE"""),"""zlls"":{""label"":""Beauty &amp; The Beast"",""extra"":""A French fairy tale, animated by Disney in 1991."",""sets"":""Expansion Set 4, Party Expansion 1""},")</f>
        <v>"zlls":{"label":"Beauty &amp; The Beast","extra":"A French fairy tale, animated by Disney in 1991.","sets":"Expansion Set 4, Party Expansion 1"},</v>
      </c>
    </row>
    <row r="43">
      <c r="A43" s="8" t="str">
        <f>IFERROR(__xludf.DUMMYFUNCTION("""COMPUTED_VALUE"""),"Beavis &amp; Butt-Head")</f>
        <v>Beavis &amp; Butt-Head</v>
      </c>
      <c r="B43" s="8" t="str">
        <f>IFERROR(__xludf.DUMMYFUNCTION("""COMPUTED_VALUE"""),"He said “butt.” Huh-huh. Huh-huh.")</f>
        <v>He said “butt.” Huh-huh. Huh-huh.</v>
      </c>
      <c r="C43" s="13" t="str">
        <f>IFERROR(__xludf.DUMMYFUNCTION("""COMPUTED_VALUE"""),"""fswo"":{""label"":""Beavis &amp; Butt-Head"",""extra"":""He said “butt.” Huh-huh. Huh-huh."",""sets"":""Expansion Set 4, Party Expansion 1""},")</f>
        <v>"fswo":{"label":"Beavis &amp; Butt-Head","extra":"He said “butt.” Huh-huh. Huh-huh.","sets":"Expansion Set 4, Party Expansion 1"},</v>
      </c>
    </row>
    <row r="44">
      <c r="A44" s="8" t="str">
        <f>IFERROR(__xludf.DUMMYFUNCTION("""COMPUTED_VALUE"""),"Bed &amp; Breakfast")</f>
        <v>Bed &amp; Breakfast</v>
      </c>
      <c r="B44" s="8" t="str">
        <f>IFERROR(__xludf.DUMMYFUNCTION("""COMPUTED_VALUE"""),"Not the same as breakfast in bed.")</f>
        <v>Not the same as breakfast in bed.</v>
      </c>
      <c r="C44" s="13" t="str">
        <f>IFERROR(__xludf.DUMMYFUNCTION("""COMPUTED_VALUE"""),"""gwnn"":{""label"":""Bed &amp; Breakfast"",""extra"":""Not the same as breakfast in bed."",""sets"":""Expansion Set 4, Party Expansion 1""},")</f>
        <v>"gwnn":{"label":"Bed &amp; Breakfast","extra":"Not the same as breakfast in bed.","sets":"Expansion Set 4, Party Expansion 1"},</v>
      </c>
    </row>
    <row r="45">
      <c r="A45" s="8" t="str">
        <f>IFERROR(__xludf.DUMMYFUNCTION("""COMPUTED_VALUE"""),"Beer &amp; Pretzels")</f>
        <v>Beer &amp; Pretzels</v>
      </c>
      <c r="B45" s="8" t="str">
        <f>IFERROR(__xludf.DUMMYFUNCTION("""COMPUTED_VALUE"""),"“these pretzels are making me thirsty” —Cosmo Kramer, Seinfeld")</f>
        <v>“these pretzels are making me thirsty” —Cosmo Kramer, Seinfeld</v>
      </c>
      <c r="C45" s="13" t="str">
        <f>IFERROR(__xludf.DUMMYFUNCTION("""COMPUTED_VALUE"""),"""rtkj"":{""label"":""Beer &amp; Pretzels"",""extra"":""“these pretzels are making me thirsty” —Cosmo Kramer, Seinfeld"",""sets"":""Expansion Set 4, Party Expansion 1""},")</f>
        <v>"rtkj":{"label":"Beer &amp; Pretzels","extra":"“these pretzels are making me thirsty” —Cosmo Kramer, Seinfeld","sets":"Expansion Set 4, Party Expansion 1"},</v>
      </c>
    </row>
    <row r="46">
      <c r="A46" s="8" t="str">
        <f>IFERROR(__xludf.DUMMYFUNCTION("""COMPUTED_VALUE"""),"Being &amp; Nothingness")</f>
        <v>Being &amp; Nothingness</v>
      </c>
      <c r="B46" s="8" t="str">
        <f>IFERROR(__xludf.DUMMYFUNCTION("""COMPUTED_VALUE"""),"Jean Paul Satre’s 1943 work based on the distinction between things that exist by themselves and those that exist for themselves.")</f>
        <v>Jean Paul Satre’s 1943 work based on the distinction between things that exist by themselves and those that exist for themselves.</v>
      </c>
      <c r="C46" s="13" t="str">
        <f>IFERROR(__xludf.DUMMYFUNCTION("""COMPUTED_VALUE"""),"""t{zk"":{""label"":""Being &amp; Nothingness"",""extra"":""Jean Paul Satre’s 1943 work based on the distinction between things that exist by themselves and those that exist for themselves."",""sets"":""Expansion Set 4, Party Expansion 1""},")</f>
        <v>"t{zk":{"label":"Being &amp; Nothingness","extra":"Jean Paul Satre’s 1943 work based on the distinction between things that exist by themselves and those that exist for themselves.","sets":"Expansion Set 4, Party Expansion 1"},</v>
      </c>
    </row>
    <row r="47">
      <c r="A47" s="8" t="str">
        <f>IFERROR(__xludf.DUMMYFUNCTION("""COMPUTED_VALUE"""),"Bells &amp; Whistles")</f>
        <v>Bells &amp; Whistles</v>
      </c>
      <c r="B47" s="8" t="str">
        <f>IFERROR(__xludf.DUMMYFUNCTION("""COMPUTED_VALUE"""),"It’s got everything!")</f>
        <v>It’s got everything!</v>
      </c>
      <c r="C47" s="13" t="str">
        <f>IFERROR(__xludf.DUMMYFUNCTION("""COMPUTED_VALUE"""),"""ehsb"":{""label"":""Bells &amp; Whistles"",""extra"":""It’s got everything!"",""sets"":""Expansion Set 4, Party Expansion 1""},")</f>
        <v>"ehsb":{"label":"Bells &amp; Whistles","extra":"It’s got everything!","sets":"Expansion Set 4, Party Expansion 1"},</v>
      </c>
    </row>
    <row r="48">
      <c r="A48" s="8" t="str">
        <f>IFERROR(__xludf.DUMMYFUNCTION("""COMPUTED_VALUE"""),"Bert &amp; Ernie")</f>
        <v>Bert &amp; Ernie</v>
      </c>
      <c r="B48" s="8" t="str">
        <f>IFERROR(__xludf.DUMMYFUNCTION("""COMPUTED_VALUE"""),"Sesame Street’s muppet buddies.")</f>
        <v>Sesame Street’s muppet buddies.</v>
      </c>
      <c r="C48" s="13" t="str">
        <f>IFERROR(__xludf.DUMMYFUNCTION("""COMPUTED_VALUE"""),"""ukjy"":{""label"":""Bert &amp; Ernie"",""extra"":""Sesame Street’s muppet buddies."",""sets"":""Expansion Set 4, Party Expansion 1""},")</f>
        <v>"ukjy":{"label":"Bert &amp; Ernie","extra":"Sesame Street’s muppet buddies.","sets":"Expansion Set 4, Party Expansion 1"},</v>
      </c>
    </row>
    <row r="49">
      <c r="A49" s="8" t="str">
        <f>IFERROR(__xludf.DUMMYFUNCTION("""COMPUTED_VALUE"""),"Big Bird")</f>
        <v>Big Bird</v>
      </c>
      <c r="B49" s="8" t="str">
        <f>IFERROR(__xludf.DUMMYFUNCTION("""COMPUTED_VALUE"""),"Beloved Sesame Street character, or the not-necessarily-beloved U.S. spy satellite.")</f>
        <v>Beloved Sesame Street character, or the not-necessarily-beloved U.S. spy satellite.</v>
      </c>
      <c r="C49" s="13" t="str">
        <f>IFERROR(__xludf.DUMMYFUNCTION("""COMPUTED_VALUE"""),"""yfce"":{""label"":""Big Bird"",""extra"":""Beloved Sesame Street character, or the not-necessarily-beloved U.S. spy satellite."",""sets"":""Expansion Set 3, Party Expansion 1""},")</f>
        <v>"yfce":{"label":"Big Bird","extra":"Beloved Sesame Street character, or the not-necessarily-beloved U.S. spy satellite.","sets":"Expansion Set 3, Party Expansion 1"},</v>
      </c>
    </row>
    <row r="50">
      <c r="A50" s="8" t="str">
        <f>IFERROR(__xludf.DUMMYFUNCTION("""COMPUTED_VALUE"""),"Bill &amp; Ted")</f>
        <v>Bill &amp; Ted</v>
      </c>
      <c r="B50" s="8" t="str">
        <f>IFERROR(__xludf.DUMMYFUNCTION("""COMPUTED_VALUE"""),"Characters in Keanu Reeves’ excellent time-travel adventure film. Yeah, dude.")</f>
        <v>Characters in Keanu Reeves’ excellent time-travel adventure film. Yeah, dude.</v>
      </c>
      <c r="C50" s="13" t="str">
        <f>IFERROR(__xludf.DUMMYFUNCTION("""COMPUTED_VALUE"""),"""ixur"":{""label"":""Bill &amp; Ted"",""extra"":""Characters in Keanu Reeves’ excellent time-travel adventure film. Yeah, dude."",""sets"":""Expansion Set 4, Party Expansion 1""},")</f>
        <v>"ixur":{"label":"Bill &amp; Ted","extra":"Characters in Keanu Reeves’ excellent time-travel adventure film. Yeah, dude.","sets":"Expansion Set 4, Party Expansion 1"},</v>
      </c>
    </row>
    <row r="51">
      <c r="A51" s="8" t="str">
        <f>IFERROR(__xludf.DUMMYFUNCTION("""COMPUTED_VALUE"""),"Billy Crystal")</f>
        <v>Billy Crystal</v>
      </c>
      <c r="B51" s="8" t="str">
        <f>IFERROR(__xludf.DUMMYFUNCTION("""COMPUTED_VALUE"""),"1947-, American comedian, actor and director. He looks maaaaah-velous.")</f>
        <v>1947-, American comedian, actor and director. He looks maaaaah-velous.</v>
      </c>
      <c r="C51" s="13" t="str">
        <f>IFERROR(__xludf.DUMMYFUNCTION("""COMPUTED_VALUE"""),"""reuk"":{""label"":""Billy Crystal"",""extra"":""1947-, American comedian, actor and director. He looks maaaaah-velous."",""sets"":""Expansion Set 3, Party Expansion 1""},")</f>
        <v>"reuk":{"label":"Billy Crystal","extra":"1947-, American comedian, actor and director. He looks maaaaah-velous.","sets":"Expansion Set 3, Party Expansion 1"},</v>
      </c>
    </row>
    <row r="52">
      <c r="A52" s="8" t="str">
        <f>IFERROR(__xludf.DUMMYFUNCTION("""COMPUTED_VALUE"""),"Black Cats")</f>
        <v>Black Cats</v>
      </c>
      <c r="B52" s="8" t="str">
        <f>IFERROR(__xludf.DUMMYFUNCTION("""COMPUTED_VALUE"""),"It’s bad luck if they cross your path. You might step in a hairball!")</f>
        <v>It’s bad luck if they cross your path. You might step in a hairball!</v>
      </c>
      <c r="C52" s="13" t="str">
        <f>IFERROR(__xludf.DUMMYFUNCTION("""COMPUTED_VALUE"""),"""egwa"":{""label"":""Black Cats"",""extra"":""It’s bad luck if they cross your path. You might step in a hairball!"",""sets"":""Expansion Set 3, Party Expansion 1""},")</f>
        <v>"egwa":{"label":"Black Cats","extra":"It’s bad luck if they cross your path. You might step in a hairball!","sets":"Expansion Set 3, Party Expansion 1"},</v>
      </c>
    </row>
    <row r="53">
      <c r="A53" s="8" t="str">
        <f>IFERROR(__xludf.DUMMYFUNCTION("""COMPUTED_VALUE"""),"Black Licorice")</f>
        <v>Black Licorice</v>
      </c>
      <c r="B53" s="8" t="str">
        <f>IFERROR(__xludf.DUMMYFUNCTION("""COMPUTED_VALUE"""),"Alexander the Great and Julius Caesar both endorsed the beneficial properties of Licorice. No word on black jelly beans…")</f>
        <v>Alexander the Great and Julius Caesar both endorsed the beneficial properties of Licorice. No word on black jelly beans…</v>
      </c>
      <c r="C53" s="13" t="str">
        <f>IFERROR(__xludf.DUMMYFUNCTION("""COMPUTED_VALUE"""),"""nhsb"":{""label"":""Black Licorice"",""extra"":""Alexander the Great and Julius Caesar both endorsed the beneficial properties of Licorice. No word on black jelly beans…"",""sets"":""Expansion Set 3, Party Expansion 1""},")</f>
        <v>"nhsb":{"label":"Black Licorice","extra":"Alexander the Great and Julius Caesar both endorsed the beneficial properties of Licorice. No word on black jelly beans…","sets":"Expansion Set 3, Party Expansion 1"},</v>
      </c>
    </row>
    <row r="54">
      <c r="A54" s="8" t="str">
        <f>IFERROR(__xludf.DUMMYFUNCTION("""COMPUTED_VALUE"""),"Black Lingerie")</f>
        <v>Black Lingerie</v>
      </c>
      <c r="B54" s="8" t="str">
        <f>IFERROR(__xludf.DUMMYFUNCTION("""COMPUTED_VALUE"""),"Victoria’s REAL secret: selling skimpy negligees at hefty price…")</f>
        <v>Victoria’s REAL secret: selling skimpy negligees at hefty price…</v>
      </c>
      <c r="C54" s="13" t="str">
        <f>IFERROR(__xludf.DUMMYFUNCTION("""COMPUTED_VALUE"""),"""jxkl"":{""label"":""Black Lingerie"",""extra"":""Victoria’s REAL secret: selling skimpy negligees at hefty price…"",""sets"":""Expansion Set 3, Party Expansion 1""},")</f>
        <v>"jxkl":{"label":"Black Lingerie","extra":"Victoria’s REAL secret: selling skimpy negligees at hefty price…","sets":"Expansion Set 3, Party Expansion 1"},</v>
      </c>
    </row>
    <row r="55">
      <c r="A55" s="8" t="str">
        <f>IFERROR(__xludf.DUMMYFUNCTION("""COMPUTED_VALUE"""),"Blackouts")</f>
        <v>Blackouts</v>
      </c>
      <c r="B55" s="8" t="str">
        <f>IFERROR(__xludf.DUMMYFUNCTION("""COMPUTED_VALUE"""),"They can occur at any")</f>
        <v>They can occur at any</v>
      </c>
      <c r="C55" s="13" t="str">
        <f>IFERROR(__xludf.DUMMYFUNCTION("""COMPUTED_VALUE"""),"""izfo"":{""label"":""Blackouts"",""extra"":""They can occur at any"",""sets"":""Expansion Set 3, Party Expansion 1""},")</f>
        <v>"izfo":{"label":"Blackouts","extra":"They can occur at any","sets":"Expansion Set 3, Party Expansion 1"},</v>
      </c>
    </row>
    <row r="56">
      <c r="A56" s="8" t="str">
        <f>IFERROR(__xludf.DUMMYFUNCTION("""COMPUTED_VALUE"""),"Blood &amp; Tears")</f>
        <v>Blood &amp; Tears</v>
      </c>
      <c r="B56" s="8" t="str">
        <f>IFERROR(__xludf.DUMMYFUNCTION("""COMPUTED_VALUE"""),"Don’t forget the sweat.")</f>
        <v>Don’t forget the sweat.</v>
      </c>
      <c r="C56" s="13" t="str">
        <f>IFERROR(__xludf.DUMMYFUNCTION("""COMPUTED_VALUE"""),"""wthd"":{""label"":""Blood &amp; Tears"",""extra"":""Don’t forget the sweat."",""sets"":""Expansion Set 4, Party Expansion 1""},")</f>
        <v>"wthd":{"label":"Blood &amp; Tears","extra":"Don’t forget the sweat.","sets":"Expansion Set 4, Party Expansion 1"},</v>
      </c>
    </row>
    <row r="57">
      <c r="A57" s="8" t="str">
        <f>IFERROR(__xludf.DUMMYFUNCTION("""COMPUTED_VALUE"""),"Blue Velvet")</f>
        <v>Blue Velvet</v>
      </c>
      <c r="B57" s="8" t="str">
        <f>IFERROR(__xludf.DUMMYFUNCTION("""COMPUTED_VALUE"""),"An elegant, textured fabric, Bobby Vinton love song, or David Lynch’s bizarre 1986 film about the dark side of small-town America.")</f>
        <v>An elegant, textured fabric, Bobby Vinton love song, or David Lynch’s bizarre 1986 film about the dark side of small-town America.</v>
      </c>
      <c r="C57" s="13" t="str">
        <f>IFERROR(__xludf.DUMMYFUNCTION("""COMPUTED_VALUE"""),"""royg"":{""label"":""Blue Velvet"",""extra"":""An elegant, textured fabric, Bobby Vinton love song, or David Lynch’s bizarre 1986 film about the dark side of small-town America."",""sets"":""Expansion Set 3, Party Expansion 1""},")</f>
        <v>"royg":{"label":"Blue Velvet","extra":"An elegant, textured fabric, Bobby Vinton love song, or David Lynch’s bizarre 1986 film about the dark side of small-town America.","sets":"Expansion Set 3, Party Expansion 1"},</v>
      </c>
    </row>
    <row r="58">
      <c r="A58" s="8" t="str">
        <f>IFERROR(__xludf.DUMMYFUNCTION("""COMPUTED_VALUE"""),"Boardwalk &amp; Park Place")</f>
        <v>Boardwalk &amp; Park Place</v>
      </c>
      <c r="B58" s="8" t="str">
        <f>IFERROR(__xludf.DUMMYFUNCTION("""COMPUTED_VALUE"""),"Top of the line in the real estate game.")</f>
        <v>Top of the line in the real estate game.</v>
      </c>
      <c r="C58" s="13" t="str">
        <f>IFERROR(__xludf.DUMMYFUNCTION("""COMPUTED_VALUE"""),"""uoiw"":{""label"":""Boardwalk &amp; Park Place"",""extra"":""Top of the line in the real estate game."",""sets"":""Expansion Set 4, Party Expansion 1""},")</f>
        <v>"uoiw":{"label":"Boardwalk &amp; Park Place","extra":"Top of the line in the real estate game.","sets":"Expansion Set 4, Party Expansion 1"},</v>
      </c>
    </row>
    <row r="59">
      <c r="A59" s="8" t="str">
        <f>IFERROR(__xludf.DUMMYFUNCTION("""COMPUTED_VALUE"""),"Body &amp; Soul")</f>
        <v>Body &amp; Soul</v>
      </c>
      <c r="B59" s="8" t="str">
        <f>IFERROR(__xludf.DUMMYFUNCTION("""COMPUTED_VALUE"""),"Just tryin’ to keep it all together.")</f>
        <v>Just tryin’ to keep it all together.</v>
      </c>
      <c r="C59" s="13" t="str">
        <f>IFERROR(__xludf.DUMMYFUNCTION("""COMPUTED_VALUE"""),"""z{rs"":{""label"":""Body &amp; Soul"",""extra"":""Just tryin’ to keep it all together."",""sets"":""Expansion Set 4, Party Expansion 1""},")</f>
        <v>"z{rs":{"label":"Body &amp; Soul","extra":"Just tryin’ to keep it all together.","sets":"Expansion Set 4, Party Expansion 1"},</v>
      </c>
    </row>
    <row r="60">
      <c r="A60" s="8" t="str">
        <f>IFERROR(__xludf.DUMMYFUNCTION("""COMPUTED_VALUE"""),"Body Snatchers")</f>
        <v>Body Snatchers</v>
      </c>
      <c r="B60" s="8" t="str">
        <f>IFERROR(__xludf.DUMMYFUNCTION("""COMPUTED_VALUE"""),"We’d be worried, but nobody would want to snatch OUR bodies…")</f>
        <v>We’d be worried, but nobody would want to snatch OUR bodies…</v>
      </c>
      <c r="C60" s="13" t="str">
        <f>IFERROR(__xludf.DUMMYFUNCTION("""COMPUTED_VALUE"""),"""orbl"":{""label"":""Body Snatchers"",""extra"":""We’d be worried, but nobody would want to snatch OUR bodies…"",""sets"":""Expansion Set 3, Party Expansion 1""},")</f>
        <v>"orbl":{"label":"Body Snatchers","extra":"We’d be worried, but nobody would want to snatch OUR bodies…","sets":"Expansion Set 3, Party Expansion 1"},</v>
      </c>
    </row>
    <row r="61">
      <c r="A61" s="8" t="str">
        <f>IFERROR(__xludf.DUMMYFUNCTION("""COMPUTED_VALUE"""),"Bodybuilders")</f>
        <v>Bodybuilders</v>
      </c>
      <c r="B61" s="8" t="str">
        <f>IFERROR(__xludf.DUMMYFUNCTION("""COMPUTED_VALUE"""),"If you build it they will come.")</f>
        <v>If you build it they will come.</v>
      </c>
      <c r="C61" s="13" t="str">
        <f>IFERROR(__xludf.DUMMYFUNCTION("""COMPUTED_VALUE"""),"""bdxb"":{""label"":""Bodybuilders"",""extra"":""If you build it they will come."",""sets"":""Expansion Set 3, Party Expansion 1""},")</f>
        <v>"bdxb":{"label":"Bodybuilders","extra":"If you build it they will come.","sets":"Expansion Set 3, Party Expansion 1"},</v>
      </c>
    </row>
    <row r="62">
      <c r="A62" s="8" t="str">
        <f>IFERROR(__xludf.DUMMYFUNCTION("""COMPUTED_VALUE"""),"Bonnie &amp; Clyde")</f>
        <v>Bonnie &amp; Clyde</v>
      </c>
      <c r="B62" s="8" t="str">
        <f>IFERROR(__xludf.DUMMYFUNCTION("""COMPUTED_VALUE"""),"American outlaws of the 1920s, played by Faye Dunaway and Warren Beatty in the 1967 film.")</f>
        <v>American outlaws of the 1920s, played by Faye Dunaway and Warren Beatty in the 1967 film.</v>
      </c>
      <c r="C62" s="13" t="str">
        <f>IFERROR(__xludf.DUMMYFUNCTION("""COMPUTED_VALUE"""),"""ywzs"":{""label"":""Bonnie &amp; Clyde"",""extra"":""American outlaws of the 1920s, played by Faye Dunaway and Warren Beatty in the 1967 film."",""sets"":""Expansion Set 4, Party Expansion 1""},")</f>
        <v>"ywzs":{"label":"Bonnie &amp; Clyde","extra":"American outlaws of the 1920s, played by Faye Dunaway and Warren Beatty in the 1967 film.","sets":"Expansion Set 4, Party Expansion 1"},</v>
      </c>
    </row>
    <row r="63">
      <c r="A63" s="8" t="str">
        <f>IFERROR(__xludf.DUMMYFUNCTION("""COMPUTED_VALUE"""),"Bora Bora")</f>
        <v>Bora Bora</v>
      </c>
      <c r="B63" s="8" t="str">
        <f>IFERROR(__xludf.DUMMYFUNCTION("""COMPUTED_VALUE"""),"Volcanic island in the Pacific. Good oranges and vanilla.")</f>
        <v>Volcanic island in the Pacific. Good oranges and vanilla.</v>
      </c>
      <c r="C63" s="13" t="str">
        <f>IFERROR(__xludf.DUMMYFUNCTION("""COMPUTED_VALUE"""),"""kgwh"":{""label"":""Bora Bora"",""extra"":""Volcanic island in the Pacific. Good oranges and vanilla."",""sets"":""Expansion Set 3, Party Expansion 1""},")</f>
        <v>"kgwh":{"label":"Bora Bora","extra":"Volcanic island in the Pacific. Good oranges and vanilla.","sets":"Expansion Set 3, Party Expansion 1"},</v>
      </c>
    </row>
    <row r="64">
      <c r="A64" s="8" t="str">
        <f>IFERROR(__xludf.DUMMYFUNCTION("""COMPUTED_VALUE"""),"Bow &amp; Arrows")</f>
        <v>Bow &amp; Arrows</v>
      </c>
      <c r="B64" s="8" t="str">
        <f>IFERROR(__xludf.DUMMYFUNCTION("""COMPUTED_VALUE"""),"More effective than sticks and stones.")</f>
        <v>More effective than sticks and stones.</v>
      </c>
      <c r="C64" s="13" t="str">
        <f>IFERROR(__xludf.DUMMYFUNCTION("""COMPUTED_VALUE"""),"""tcfo"":{""label"":""Bow &amp; Arrows"",""extra"":""More effective than sticks and stones."",""sets"":""Expansion Set 4, Party Expansion 1""},")</f>
        <v>"tcfo":{"label":"Bow &amp; Arrows","extra":"More effective than sticks and stones.","sets":"Expansion Set 4, Party Expansion 1"},</v>
      </c>
    </row>
    <row r="65">
      <c r="A65" s="8" t="str">
        <f>IFERROR(__xludf.DUMMYFUNCTION("""COMPUTED_VALUE"""),"Bowling")</f>
        <v>Bowling</v>
      </c>
      <c r="B65" s="8" t="str">
        <f>IFERROR(__xludf.DUMMYFUNCTION("""COMPUTED_VALUE"""),"Three strikes and you’re in.")</f>
        <v>Three strikes and you’re in.</v>
      </c>
      <c r="C65" s="13" t="str">
        <f>IFERROR(__xludf.DUMMYFUNCTION("""COMPUTED_VALUE"""),"""cjib"":{""label"":""Bowling"",""extra"":""Three strikes and you’re in."",""sets"":""Expansion Set 3, Party Expansion 1""},")</f>
        <v>"cjib":{"label":"Bowling","extra":"Three strikes and you’re in.","sets":"Expansion Set 3, Party Expansion 1"},</v>
      </c>
    </row>
    <row r="66">
      <c r="A66" s="8" t="str">
        <f>IFERROR(__xludf.DUMMYFUNCTION("""COMPUTED_VALUE"""),"Bread &amp; Water")</f>
        <v>Bread &amp; Water</v>
      </c>
      <c r="B66" s="8" t="str">
        <f>IFERROR(__xludf.DUMMYFUNCTION("""COMPUTED_VALUE"""),"Make that a baguette and a bottle of Perrier.")</f>
        <v>Make that a baguette and a bottle of Perrier.</v>
      </c>
      <c r="C66" s="13" t="str">
        <f>IFERROR(__xludf.DUMMYFUNCTION("""COMPUTED_VALUE"""),"""wljv"":{""label"":""Bread &amp; Water"",""extra"":""Make that a baguette and a bottle of Perrier."",""sets"":""Expansion Set 4, Party Expansion 1""},")</f>
        <v>"wljv":{"label":"Bread &amp; Water","extra":"Make that a baguette and a bottle of Perrier.","sets":"Expansion Set 4, Party Expansion 1"},</v>
      </c>
    </row>
    <row r="67">
      <c r="A67" s="8" t="str">
        <f>IFERROR(__xludf.DUMMYFUNCTION("""COMPUTED_VALUE"""),"Breaking &amp; Entering")</f>
        <v>Breaking &amp; Entering</v>
      </c>
      <c r="B67" s="8" t="str">
        <f>IFERROR(__xludf.DUMMYFUNCTION("""COMPUTED_VALUE"""),"“Honest, Officer, I lost my keys.”")</f>
        <v>“Honest, Officer, I lost my keys.”</v>
      </c>
      <c r="C67" s="13" t="str">
        <f>IFERROR(__xludf.DUMMYFUNCTION("""COMPUTED_VALUE"""),"""qqoy"":{""label"":""Breaking &amp; Entering"",""extra"":""“Honest, Officer, I lost my keys.”"",""sets"":""Expansion Set 4, Party Expansion 1""},")</f>
        <v>"qqoy":{"label":"Breaking &amp; Entering","extra":"“Honest, Officer, I lost my keys.”","sets":"Expansion Set 4, Party Expansion 1"},</v>
      </c>
    </row>
    <row r="68">
      <c r="A68" s="8" t="str">
        <f>IFERROR(__xludf.DUMMYFUNCTION("""COMPUTED_VALUE"""),"Bride &amp; Groom")</f>
        <v>Bride &amp; Groom</v>
      </c>
      <c r="B68" s="8" t="str">
        <f>IFERROR(__xludf.DUMMYFUNCTION("""COMPUTED_VALUE"""),"“With this ring…”")</f>
        <v>“With this ring…”</v>
      </c>
      <c r="C68" s="13" t="str">
        <f>IFERROR(__xludf.DUMMYFUNCTION("""COMPUTED_VALUE"""),"""unfq"":{""label"":""Bride &amp; Groom"",""extra"":""“With this ring…”"",""sets"":""Expansion Set 4, Party Expansion 1""},")</f>
        <v>"unfq":{"label":"Bride &amp; Groom","extra":"“With this ring…”","sets":"Expansion Set 4, Party Expansion 1"},</v>
      </c>
    </row>
    <row r="69">
      <c r="A69" s="8" t="str">
        <f>IFERROR(__xludf.DUMMYFUNCTION("""COMPUTED_VALUE"""),"Brooks &amp; Dunn")</f>
        <v>Brooks &amp; Dunn</v>
      </c>
      <c r="B69" s="8" t="str">
        <f>IFERROR(__xludf.DUMMYFUNCTION("""COMPUTED_VALUE"""),"Extremely successful country &amp; honky-tonk music duo. “If they don’t dance, you’re dead.” —Ronnie Dunn")</f>
        <v>Extremely successful country &amp; honky-tonk music duo. “If they don’t dance, you’re dead.” —Ronnie Dunn</v>
      </c>
      <c r="C69" s="13" t="str">
        <f>IFERROR(__xludf.DUMMYFUNCTION("""COMPUTED_VALUE"""),"""oglo"":{""label"":""Brooks &amp; Dunn"",""extra"":""Extremely successful country &amp; honky-tonk music duo. “If they don’t dance, you’re dead.” —Ronnie Dunn"",""sets"":""Expansion Set 4, Party Expansion 1""},")</f>
        <v>"oglo":{"label":"Brooks &amp; Dunn","extra":"Extremely successful country &amp; honky-tonk music duo. “If they don’t dance, you’re dead.” —Ronnie Dunn","sets":"Expansion Set 4, Party Expansion 1"},</v>
      </c>
    </row>
    <row r="70">
      <c r="A70" s="8" t="str">
        <f>IFERROR(__xludf.DUMMYFUNCTION("""COMPUTED_VALUE"""),"Brothers &amp; Sisters")</f>
        <v>Brothers &amp; Sisters</v>
      </c>
      <c r="B70" s="8" t="str">
        <f>IFERROR(__xludf.DUMMYFUNCTION("""COMPUTED_VALUE"""),"“You can pick your friends, but…”")</f>
        <v>“You can pick your friends, but…”</v>
      </c>
      <c r="C70" s="13" t="str">
        <f>IFERROR(__xludf.DUMMYFUNCTION("""COMPUTED_VALUE"""),"""mxij"":{""label"":""Brothers &amp; Sisters"",""extra"":""“You can pick your friends, but…”"",""sets"":""Expansion Set 4, Party Expansion 1""},")</f>
        <v>"mxij":{"label":"Brothers &amp; Sisters","extra":"“You can pick your friends, but…”","sets":"Expansion Set 4, Party Expansion 1"},</v>
      </c>
    </row>
    <row r="71">
      <c r="A71" s="8" t="str">
        <f>IFERROR(__xludf.DUMMYFUNCTION("""COMPUTED_VALUE"""),"Bulls &amp; Bears")</f>
        <v>Bulls &amp; Bears</v>
      </c>
      <c r="B71" s="8" t="str">
        <f>IFERROR(__xludf.DUMMYFUNCTION("""COMPUTED_VALUE"""),"On or off Wall Street.")</f>
        <v>On or off Wall Street.</v>
      </c>
      <c r="C71" s="13" t="str">
        <f>IFERROR(__xludf.DUMMYFUNCTION("""COMPUTED_VALUE"""),"""ihke"":{""label"":""Bulls &amp; Bears"",""extra"":""On or off Wall Street."",""sets"":""Expansion Set 4, Party Expansion 1""},")</f>
        <v>"ihke":{"label":"Bulls &amp; Bears","extra":"On or off Wall Street.","sets":"Expansion Set 4, Party Expansion 1"},</v>
      </c>
    </row>
    <row r="72">
      <c r="A72" s="8" t="str">
        <f>IFERROR(__xludf.DUMMYFUNCTION("""COMPUTED_VALUE"""),"Bumper Cars")</f>
        <v>Bumper Cars</v>
      </c>
      <c r="B72" s="8" t="str">
        <f>IFERROR(__xludf.DUMMYFUNCTION("""COMPUTED_VALUE"""),"Much like rush hour in Chicago.")</f>
        <v>Much like rush hour in Chicago.</v>
      </c>
      <c r="C72" s="13" t="str">
        <f>IFERROR(__xludf.DUMMYFUNCTION("""COMPUTED_VALUE"""),"""mrvt"":{""label"":""Bumper Cars"",""extra"":""Much like rush hour in Chicago."",""sets"":""Expansion Set 3, Party Expansion 1""},")</f>
        <v>"mrvt":{"label":"Bumper Cars","extra":"Much like rush hour in Chicago.","sets":"Expansion Set 3, Party Expansion 1"},</v>
      </c>
    </row>
    <row r="73">
      <c r="A73" s="8" t="str">
        <f>IFERROR(__xludf.DUMMYFUNCTION("""COMPUTED_VALUE"""),"Burger &amp; Fries")</f>
        <v>Burger &amp; Fries</v>
      </c>
      <c r="B73" s="8" t="str">
        <f>IFERROR(__xludf.DUMMYFUNCTION("""COMPUTED_VALUE"""),"“You want flies with that?”")</f>
        <v>“You want flies with that?”</v>
      </c>
      <c r="C73" s="13" t="str">
        <f>IFERROR(__xludf.DUMMYFUNCTION("""COMPUTED_VALUE"""),"""kmez"":{""label"":""Burger &amp; Fries"",""extra"":""“You want flies with that?”"",""sets"":""Expansion Set 4, Party Expansion 1""},")</f>
        <v>"kmez":{"label":"Burger &amp; Fries","extra":"“You want flies with that?”","sets":"Expansion Set 4, Party Expansion 1"},</v>
      </c>
    </row>
    <row r="74">
      <c r="A74" s="8" t="str">
        <f>IFERROR(__xludf.DUMMYFUNCTION("""COMPUTED_VALUE"""),"Buttons &amp; Bows")</f>
        <v>Buttons &amp; Bows</v>
      </c>
      <c r="B74" s="8" t="str">
        <f>IFERROR(__xludf.DUMMYFUNCTION("""COMPUTED_VALUE"""),"Cute as a button, or a bow.")</f>
        <v>Cute as a button, or a bow.</v>
      </c>
      <c r="C74" s="13" t="str">
        <f>IFERROR(__xludf.DUMMYFUNCTION("""COMPUTED_VALUE"""),"""{wze"":{""label"":""Buttons &amp; Bows"",""extra"":""Cute as a button, or a bow."",""sets"":""Expansion Set 4, Party Expansion 1""},")</f>
        <v>"{wze":{"label":"Buttons &amp; Bows","extra":"Cute as a button, or a bow.","sets":"Expansion Set 4, Party Expansion 1"},</v>
      </c>
    </row>
    <row r="75">
      <c r="A75" s="8" t="str">
        <f>IFERROR(__xludf.DUMMYFUNCTION("""COMPUTED_VALUE"""),"Calvin &amp; Hobbs")</f>
        <v>Calvin &amp; Hobbs</v>
      </c>
      <c r="B75" s="8" t="str">
        <f>IFERROR(__xludf.DUMMYFUNCTION("""COMPUTED_VALUE"""),"Bill Waterson’s late, great comic strip featuring a little boy and his tiger.")</f>
        <v>Bill Waterson’s late, great comic strip featuring a little boy and his tiger.</v>
      </c>
      <c r="C75" s="13" t="str">
        <f>IFERROR(__xludf.DUMMYFUNCTION("""COMPUTED_VALUE"""),"""gqkf"":{""label"":""Calvin &amp; Hobbs"",""extra"":""Bill Waterson’s late, great comic strip featuring a little boy and his tiger."",""sets"":""Expansion Set 4, Party Expansion 1""},")</f>
        <v>"gqkf":{"label":"Calvin &amp; Hobbs","extra":"Bill Waterson’s late, great comic strip featuring a little boy and his tiger.","sets":"Expansion Set 4, Party Expansion 1"},</v>
      </c>
    </row>
    <row r="76">
      <c r="A76" s="8" t="str">
        <f>IFERROR(__xludf.DUMMYFUNCTION("""COMPUTED_VALUE"""),"Camelot")</f>
        <v>Camelot</v>
      </c>
      <c r="B76" s="8" t="str">
        <f>IFERROR(__xludf.DUMMYFUNCTION("""COMPUTED_VALUE"""),"“On second though, let’s not go to Camelot. ’Tis a silly place.” —King Arthur, Monty Python and the Holy Grail")</f>
        <v>“On second though, let’s not go to Camelot. ’Tis a silly place.” —King Arthur, Monty Python and the Holy Grail</v>
      </c>
      <c r="C76" s="13" t="str">
        <f>IFERROR(__xludf.DUMMYFUNCTION("""COMPUTED_VALUE"""),"""xxfw"":{""label"":""Camelot"",""extra"":""“On second though, let’s not go to Camelot. ’Tis a silly place.” —King Arthur, Monty Python and the Holy Grail"",""sets"":""Expansion Set 3, Party Expansion 1""},")</f>
        <v>"xxfw":{"label":"Camelot","extra":"“On second though, let’s not go to Camelot. ’Tis a silly place.” —King Arthur, Monty Python and the Holy Grail","sets":"Expansion Set 3, Party Expansion 1"},</v>
      </c>
    </row>
    <row r="77">
      <c r="A77" s="8" t="str">
        <f>IFERROR(__xludf.DUMMYFUNCTION("""COMPUTED_VALUE"""),"Carlos Santana")</f>
        <v>Carlos Santana</v>
      </c>
      <c r="B77" s="8" t="str">
        <f>IFERROR(__xludf.DUMMYFUNCTION("""COMPUTED_VALUE"""),"1947-, guitar legend and member of the Rock and Roll Hall of Fame. Truly Supernatural.")</f>
        <v>1947-, guitar legend and member of the Rock and Roll Hall of Fame. Truly Supernatural.</v>
      </c>
      <c r="C77" s="13" t="str">
        <f>IFERROR(__xludf.DUMMYFUNCTION("""COMPUTED_VALUE"""),"""bejs"":{""label"":""Carlos Santana"",""extra"":""1947-, guitar legend and member of the Rock and Roll Hall of Fame. Truly Supernatural."",""sets"":""Expansion Set 3, Party Expansion 1""},")</f>
        <v>"bejs":{"label":"Carlos Santana","extra":"1947-, guitar legend and member of the Rock and Roll Hall of Fame. Truly Supernatural.","sets":"Expansion Set 3, Party Expansion 1"},</v>
      </c>
    </row>
    <row r="78">
      <c r="A78" s="8" t="str">
        <f>IFERROR(__xludf.DUMMYFUNCTION("""COMPUTED_VALUE"""),"Carrot &amp; A Stick")</f>
        <v>Carrot &amp; A Stick</v>
      </c>
      <c r="B78" s="8" t="str">
        <f>IFERROR(__xludf.DUMMYFUNCTION("""COMPUTED_VALUE"""),"The ultimate motivator… for a donkey.")</f>
        <v>The ultimate motivator… for a donkey.</v>
      </c>
      <c r="C78" s="13" t="str">
        <f>IFERROR(__xludf.DUMMYFUNCTION("""COMPUTED_VALUE"""),"""xtwx"":{""label"":""Carrot &amp; A Stick"",""extra"":""The ultimate motivator… for a donkey."",""sets"":""Expansion Set 4, Party Expansion 1""},")</f>
        <v>"xtwx":{"label":"Carrot &amp; A Stick","extra":"The ultimate motivator… for a donkey.","sets":"Expansion Set 4, Party Expansion 1"},</v>
      </c>
    </row>
    <row r="79">
      <c r="A79" s="8" t="str">
        <f>IFERROR(__xludf.DUMMYFUNCTION("""COMPUTED_VALUE"""),"Cat &amp; Mouse")</f>
        <v>Cat &amp; Mouse</v>
      </c>
      <c r="B79" s="8" t="str">
        <f>IFERROR(__xludf.DUMMYFUNCTION("""COMPUTED_VALUE"""),"It’s just a game.")</f>
        <v>It’s just a game.</v>
      </c>
      <c r="C79" s="13" t="str">
        <f>IFERROR(__xludf.DUMMYFUNCTION("""COMPUTED_VALUE"""),"""immo"":{""label"":""Cat &amp; Mouse"",""extra"":""It’s just a game."",""sets"":""Expansion Set 4, Party Expansion 1""},")</f>
        <v>"immo":{"label":"Cat &amp; Mouse","extra":"It’s just a game.","sets":"Expansion Set 4, Party Expansion 1"},</v>
      </c>
    </row>
    <row r="80">
      <c r="A80" s="8" t="str">
        <f>IFERROR(__xludf.DUMMYFUNCTION("""COMPUTED_VALUE"""),"Catherine Zeta-Jones")</f>
        <v>Catherine Zeta-Jones</v>
      </c>
      <c r="B80" s="8" t="str">
        <f>IFERROR(__xludf.DUMMYFUNCTION("""COMPUTED_VALUE"""),"1969-, Welsh born actor, famous for her stunning good looks, as seen in The Mask Of Zorro, Entrapment and Traffic.")</f>
        <v>1969-, Welsh born actor, famous for her stunning good looks, as seen in The Mask Of Zorro, Entrapment and Traffic.</v>
      </c>
      <c r="C80" s="13" t="str">
        <f>IFERROR(__xludf.DUMMYFUNCTION("""COMPUTED_VALUE"""),"""jnlv"":{""label"":""Catherine Zeta-Jones"",""extra"":""1969-, Welsh born actor, famous for her stunning good looks, as seen in The Mask Of Zorro, Entrapment and Traffic."",""sets"":""Expansion Set 3, Party Expansion 1""},")</f>
        <v>"jnlv":{"label":"Catherine Zeta-Jones","extra":"1969-, Welsh born actor, famous for her stunning good looks, as seen in The Mask Of Zorro, Entrapment and Traffic.","sets":"Expansion Set 3, Party Expansion 1"},</v>
      </c>
    </row>
    <row r="81">
      <c r="A81" s="8" t="str">
        <f>IFERROR(__xludf.DUMMYFUNCTION("""COMPUTED_VALUE"""),"Cats &amp; Dogs")</f>
        <v>Cats &amp; Dogs</v>
      </c>
      <c r="B81" s="8" t="str">
        <f>IFERROR(__xludf.DUMMYFUNCTION("""COMPUTED_VALUE"""),"Is it raining?")</f>
        <v>Is it raining?</v>
      </c>
      <c r="C81" s="13" t="str">
        <f>IFERROR(__xludf.DUMMYFUNCTION("""COMPUTED_VALUE"""),"""vkbn"":{""label"":""Cats &amp; Dogs"",""extra"":""Is it raining?"",""sets"":""Expansion Set 4, Party Expansion 1""},")</f>
        <v>"vkbn":{"label":"Cats &amp; Dogs","extra":"Is it raining?","sets":"Expansion Set 4, Party Expansion 1"},</v>
      </c>
    </row>
    <row r="82">
      <c r="A82" s="8" t="str">
        <f>IFERROR(__xludf.DUMMYFUNCTION("""COMPUTED_VALUE"""),"Catsup &amp; Mustard")</f>
        <v>Catsup &amp; Mustard</v>
      </c>
      <c r="B82" s="8" t="str">
        <f>IFERROR(__xludf.DUMMYFUNCTION("""COMPUTED_VALUE"""),"The salsa revolution brought down their condiment empire.")</f>
        <v>The salsa revolution brought down their condiment empire.</v>
      </c>
      <c r="C82" s="13" t="str">
        <f>IFERROR(__xludf.DUMMYFUNCTION("""COMPUTED_VALUE"""),"""xvxc"":{""label"":""Catsup &amp; Mustard"",""extra"":""The salsa revolution brought down their condiment empire."",""sets"":""Expansion Set 4, Party Expansion 1""},")</f>
        <v>"xvxc":{"label":"Catsup &amp; Mustard","extra":"The salsa revolution brought down their condiment empire.","sets":"Expansion Set 4, Party Expansion 1"},</v>
      </c>
    </row>
    <row r="83">
      <c r="A83" s="8" t="str">
        <f>IFERROR(__xludf.DUMMYFUNCTION("""COMPUTED_VALUE"""),"Cauliflower")</f>
        <v>Cauliflower</v>
      </c>
      <c r="B83" s="8" t="str">
        <f>IFERROR(__xludf.DUMMYFUNCTION("""COMPUTED_VALUE"""),"Goes down easy when it's cheesy.")</f>
        <v>Goes down easy when it's cheesy.</v>
      </c>
      <c r="C83" s="13" t="str">
        <f>IFERROR(__xludf.DUMMYFUNCTION("""COMPUTED_VALUE"""),"""nkem"":{""label"":""Cauliflower"",""extra"":""Goes down easy when it's cheesy."",""sets"":""Expansion Set 3, Party Expansion 1""},")</f>
        <v>"nkem":{"label":"Cauliflower","extra":"Goes down easy when it's cheesy.","sets":"Expansion Set 3, Party Expansion 1"},</v>
      </c>
    </row>
    <row r="84">
      <c r="A84" s="8" t="str">
        <f>IFERROR(__xludf.DUMMYFUNCTION("""COMPUTED_VALUE"""),"Caviar")</f>
        <v>Caviar</v>
      </c>
      <c r="B84" s="8" t="str">
        <f>IFERROR(__xludf.DUMMYFUNCTION("""COMPUTED_VALUE"""),"It's not JUST fish eggs. It’s… fish eggs… that cost a fortune…")</f>
        <v>It's not JUST fish eggs. It’s… fish eggs… that cost a fortune…</v>
      </c>
      <c r="C84" s="13" t="str">
        <f>IFERROR(__xludf.DUMMYFUNCTION("""COMPUTED_VALUE"""),"""wb{h"":{""label"":""Caviar"",""extra"":""It's not JUST fish eggs. It’s… fish eggs… that cost a fortune…"",""sets"":""Expansion Set 3, Party Expansion 1""},")</f>
        <v>"wb{h":{"label":"Caviar","extra":"It's not JUST fish eggs. It’s… fish eggs… that cost a fortune…","sets":"Expansion Set 3, Party Expansion 1"},</v>
      </c>
    </row>
    <row r="85">
      <c r="A85" s="8" t="str">
        <f>IFERROR(__xludf.DUMMYFUNCTION("""COMPUTED_VALUE"""),"Chain Link Fences")</f>
        <v>Chain Link Fences</v>
      </c>
      <c r="B85" s="8" t="str">
        <f>IFERROR(__xludf.DUMMYFUNCTION("""COMPUTED_VALUE"""),"Good fences make good neighbors.")</f>
        <v>Good fences make good neighbors.</v>
      </c>
      <c r="C85" s="13" t="str">
        <f>IFERROR(__xludf.DUMMYFUNCTION("""COMPUTED_VALUE"""),"""fwmg"":{""label"":""Chain Link Fences"",""extra"":""Good fences make good neighbors."",""sets"":""Expansion Set 3, Party Expansion 1""},")</f>
        <v>"fwmg":{"label":"Chain Link Fences","extra":"Good fences make good neighbors.","sets":"Expansion Set 3, Party Expansion 1"},</v>
      </c>
    </row>
    <row r="86">
      <c r="A86" s="8" t="str">
        <f>IFERROR(__xludf.DUMMYFUNCTION("""COMPUTED_VALUE"""),"Charles &amp; Diana")</f>
        <v>Charles &amp; Diana</v>
      </c>
      <c r="B86" s="8" t="str">
        <f>IFERROR(__xludf.DUMMYFUNCTION("""COMPUTED_VALUE"""),"A right royal marriage.")</f>
        <v>A right royal marriage.</v>
      </c>
      <c r="C86" s="13" t="str">
        <f>IFERROR(__xludf.DUMMYFUNCTION("""COMPUTED_VALUE"""),"""mrtq"":{""label"":""Charles &amp; Diana"",""extra"":""A right royal marriage."",""sets"":""Expansion Set 4, Party Expansion 1""},")</f>
        <v>"mrtq":{"label":"Charles &amp; Diana","extra":"A right royal marriage.","sets":"Expansion Set 4, Party Expansion 1"},</v>
      </c>
    </row>
    <row r="87">
      <c r="A87" s="8" t="str">
        <f>IFERROR(__xludf.DUMMYFUNCTION("""COMPUTED_VALUE"""),"Chat Rooms")</f>
        <v>Chat Rooms</v>
      </c>
      <c r="B87" s="8" t="str">
        <f>IFERROR(__xludf.DUMMYFUNCTION("""COMPUTED_VALUE"""),"Electronic speakeasies for the information age.")</f>
        <v>Electronic speakeasies for the information age.</v>
      </c>
      <c r="C87" s="13" t="str">
        <f>IFERROR(__xludf.DUMMYFUNCTION("""COMPUTED_VALUE"""),"""vsko"":{""label"":""Chat Rooms"",""extra"":""Electronic speakeasies for the information age."",""sets"":""Expansion Set 3, Party Expansion 1""},")</f>
        <v>"vsko":{"label":"Chat Rooms","extra":"Electronic speakeasies for the information age.","sets":"Expansion Set 3, Party Expansion 1"},</v>
      </c>
    </row>
    <row r="88">
      <c r="A88" s="8" t="str">
        <f>IFERROR(__xludf.DUMMYFUNCTION("""COMPUTED_VALUE"""),"Chips &amp; Dip")</f>
        <v>Chips &amp; Dip</v>
      </c>
      <c r="B88" s="8" t="str">
        <f>IFERROR(__xludf.DUMMYFUNCTION("""COMPUTED_VALUE"""),"No double dipping!")</f>
        <v>No double dipping!</v>
      </c>
      <c r="C88" s="13" t="str">
        <f>IFERROR(__xludf.DUMMYFUNCTION("""COMPUTED_VALUE"""),"""zsmw"":{""label"":""Chips &amp; Dip"",""extra"":""No double dipping!"",""sets"":""Expansion Set 4, Party Expansion 1""},")</f>
        <v>"zsmw":{"label":"Chips &amp; Dip","extra":"No double dipping!","sets":"Expansion Set 4, Party Expansion 1"},</v>
      </c>
    </row>
    <row r="89">
      <c r="A89" s="8" t="str">
        <f>IFERROR(__xludf.DUMMYFUNCTION("""COMPUTED_VALUE"""),"Chips &amp; Salsa")</f>
        <v>Chips &amp; Salsa</v>
      </c>
      <c r="B89" s="8" t="str">
        <f>IFERROR(__xludf.DUMMYFUNCTION("""COMPUTED_VALUE"""),"Nacho average snack!")</f>
        <v>Nacho average snack!</v>
      </c>
      <c r="C89" s="13" t="str">
        <f>IFERROR(__xludf.DUMMYFUNCTION("""COMPUTED_VALUE"""),"""sxpp"":{""label"":""Chips &amp; Salsa"",""extra"":""Nacho average snack!"",""sets"":""Expansion Set 4, Party Expansion 1""},")</f>
        <v>"sxpp":{"label":"Chips &amp; Salsa","extra":"Nacho average snack!","sets":"Expansion Set 4, Party Expansion 1"},</v>
      </c>
    </row>
    <row r="90">
      <c r="A90" s="8" t="str">
        <f>IFERROR(__xludf.DUMMYFUNCTION("""COMPUTED_VALUE"""),"Chutes &amp; Ladders")</f>
        <v>Chutes &amp; Ladders</v>
      </c>
      <c r="B90" s="8" t="str">
        <f>IFERROR(__xludf.DUMMYFUNCTION("""COMPUTED_VALUE"""),"A game of ups and downs.")</f>
        <v>A game of ups and downs.</v>
      </c>
      <c r="C90" s="13" t="str">
        <f>IFERROR(__xludf.DUMMYFUNCTION("""COMPUTED_VALUE"""),"""qhee"":{""label"":""Chutes &amp; Ladders"",""extra"":""A game of ups and downs."",""sets"":""Expansion Set 4, Party Expansion 1""},")</f>
        <v>"qhee":{"label":"Chutes &amp; Ladders","extra":"A game of ups and downs.","sets":"Expansion Set 4, Party Expansion 1"},</v>
      </c>
    </row>
    <row r="91">
      <c r="A91" s="8" t="str">
        <f>IFERROR(__xludf.DUMMYFUNCTION("""COMPUTED_VALUE"""),"Circus Peanuts")</f>
        <v>Circus Peanuts</v>
      </c>
      <c r="B91" s="8" t="str">
        <f>IFERROR(__xludf.DUMMYFUNCTION("""COMPUTED_VALUE"""),"Chewy, orange marshmallow things shaped like peanuts. Seldom found at the circus.")</f>
        <v>Chewy, orange marshmallow things shaped like peanuts. Seldom found at the circus.</v>
      </c>
      <c r="C91" s="13" t="str">
        <f>IFERROR(__xludf.DUMMYFUNCTION("""COMPUTED_VALUE"""),"""banc"":{""label"":""Circus Peanuts"",""extra"":""Chewy, orange marshmallow things shaped like peanuts. Seldom found at the circus."",""sets"":""Expansion Set 3, Party Expansion 1""},")</f>
        <v>"banc":{"label":"Circus Peanuts","extra":"Chewy, orange marshmallow things shaped like peanuts. Seldom found at the circus.","sets":"Expansion Set 3, Party Expansion 1"},</v>
      </c>
    </row>
    <row r="92">
      <c r="A92" s="8" t="str">
        <f>IFERROR(__xludf.DUMMYFUNCTION("""COMPUTED_VALUE"""),"Cleveland")</f>
        <v>Cleveland</v>
      </c>
      <c r="B92" s="8" t="str">
        <f>IFERROR(__xludf.DUMMYFUNCTION("""COMPUTED_VALUE"""),"“Cleveland rocks! Cleveland rocks!” —The Drew Carey Show")</f>
        <v>“Cleveland rocks! Cleveland rocks!” —The Drew Carey Show</v>
      </c>
      <c r="C92" s="13" t="str">
        <f>IFERROR(__xludf.DUMMYFUNCTION("""COMPUTED_VALUE"""),"""gobx"":{""label"":""Cleveland"",""extra"":""“Cleveland rocks! Cleveland rocks!” —The Drew Carey Show"",""sets"":""Expansion Set 3, Party Expansion 1""},")</f>
        <v>"gobx":{"label":"Cleveland","extra":"“Cleveland rocks! Cleveland rocks!” —The Drew Carey Show","sets":"Expansion Set 3, Party Expansion 1"},</v>
      </c>
    </row>
    <row r="93">
      <c r="A93" s="8" t="str">
        <f>IFERROR(__xludf.DUMMYFUNCTION("""COMPUTED_VALUE"""),"Cloned Sheep")</f>
        <v>Cloned Sheep</v>
      </c>
      <c r="B93" s="8" t="str">
        <f>IFERROR(__xludf.DUMMYFUNCTION("""COMPUTED_VALUE"""),"Dolly good show!")</f>
        <v>Dolly good show!</v>
      </c>
      <c r="C93" s="13" t="str">
        <f>IFERROR(__xludf.DUMMYFUNCTION("""COMPUTED_VALUE"""),"""cfcf"":{""label"":""Cloned Sheep"",""extra"":""Dolly good show!"",""sets"":""Expansion Set 3, Party Expansion 1""},")</f>
        <v>"cfcf":{"label":"Cloned Sheep","extra":"Dolly good show!","sets":"Expansion Set 3, Party Expansion 1"},</v>
      </c>
    </row>
    <row r="94">
      <c r="A94" s="8" t="str">
        <f>IFERROR(__xludf.DUMMYFUNCTION("""COMPUTED_VALUE"""),"Cockles &amp; Mussels")</f>
        <v>Cockles &amp; Mussels</v>
      </c>
      <c r="B94" s="8" t="str">
        <f>IFERROR(__xludf.DUMMYFUNCTION("""COMPUTED_VALUE"""),"“Alive--alive-o!” I think I just lost my appetite.")</f>
        <v>“Alive--alive-o!” I think I just lost my appetite.</v>
      </c>
      <c r="C94" s="13" t="str">
        <f>IFERROR(__xludf.DUMMYFUNCTION("""COMPUTED_VALUE"""),"""qpkw"":{""label"":""Cockles &amp; Mussels"",""extra"":""“Alive--alive-o!” I think I just lost my appetite."",""sets"":""Expansion Set 4, Party Expansion 1""},")</f>
        <v>"qpkw":{"label":"Cockles &amp; Mussels","extra":"“Alive--alive-o!” I think I just lost my appetite.","sets":"Expansion Set 4, Party Expansion 1"},</v>
      </c>
    </row>
    <row r="95">
      <c r="A95" s="8" t="str">
        <f>IFERROR(__xludf.DUMMYFUNCTION("""COMPUTED_VALUE"""),"Colin Powell")</f>
        <v>Colin Powell</v>
      </c>
      <c r="B95" s="8" t="str">
        <f>IFERROR(__xludf.DUMMYFUNCTION("""COMPUTED_VALUE"""),"1937-, U.S. Secretary of State and Chairman of the Join Chiefs of Staff during the Gulf War. We’d give him four stars.")</f>
        <v>1937-, U.S. Secretary of State and Chairman of the Join Chiefs of Staff during the Gulf War. We’d give him four stars.</v>
      </c>
      <c r="C95" s="13" t="str">
        <f>IFERROR(__xludf.DUMMYFUNCTION("""COMPUTED_VALUE"""),"""yqcw"":{""label"":""Colin Powell"",""extra"":""1937-, U.S. Secretary of State and Chairman of the Join Chiefs of Staff during the Gulf War. We’d give him four stars."",""sets"":""Expansion Set 3, Party Expansion 1""},")</f>
        <v>"yqcw":{"label":"Colin Powell","extra":"1937-, U.S. Secretary of State and Chairman of the Join Chiefs of Staff during the Gulf War. We’d give him four stars.","sets":"Expansion Set 3, Party Expansion 1"},</v>
      </c>
    </row>
    <row r="96">
      <c r="A96" s="8" t="str">
        <f>IFERROR(__xludf.DUMMYFUNCTION("""COMPUTED_VALUE"""),"Comic Books")</f>
        <v>Comic Books</v>
      </c>
      <c r="B96" s="8" t="str">
        <f>IFERROR(__xludf.DUMMYFUNCTION("""COMPUTED_VALUE"""),"THIS looks like a job for… somebody who draws Superman!")</f>
        <v>THIS looks like a job for… somebody who draws Superman!</v>
      </c>
      <c r="C96" s="13" t="str">
        <f>IFERROR(__xludf.DUMMYFUNCTION("""COMPUTED_VALUE"""),"""hbfu"":{""label"":""Comic Books"",""extra"":""THIS looks like a job for… somebody who draws Superman!"",""sets"":""Expansion Set 3, Party Expansion 1""},")</f>
        <v>"hbfu":{"label":"Comic Books","extra":"THIS looks like a job for… somebody who draws Superman!","sets":"Expansion Set 3, Party Expansion 1"},</v>
      </c>
    </row>
    <row r="97">
      <c r="A97" s="8" t="str">
        <f>IFERROR(__xludf.DUMMYFUNCTION("""COMPUTED_VALUE"""),"Convenience Stores")</f>
        <v>Convenience Stores</v>
      </c>
      <c r="B97" s="8" t="str">
        <f>IFERROR(__xludf.DUMMYFUNCTION("""COMPUTED_VALUE"""),"“Thank you come again.”")</f>
        <v>“Thank you come again.”</v>
      </c>
      <c r="C97" s="13" t="str">
        <f>IFERROR(__xludf.DUMMYFUNCTION("""COMPUTED_VALUE"""),"""zsol"":{""label"":""Convenience Stores"",""extra"":""“Thank you come again.”"",""sets"":""Expansion Set 3, Party Expansion 1""},")</f>
        <v>"zsol":{"label":"Convenience Stores","extra":"“Thank you come again.”","sets":"Expansion Set 3, Party Expansion 1"},</v>
      </c>
    </row>
    <row r="98">
      <c r="A98" s="8" t="str">
        <f>IFERROR(__xludf.DUMMYFUNCTION("""COMPUTED_VALUE"""),"Cops &amp; Robbers")</f>
        <v>Cops &amp; Robbers</v>
      </c>
      <c r="B98" s="8" t="str">
        <f>IFERROR(__xludf.DUMMYFUNCTION("""COMPUTED_VALUE"""),"When fighting crime was just child’s play.")</f>
        <v>When fighting crime was just child’s play.</v>
      </c>
      <c r="C98" s="13" t="str">
        <f>IFERROR(__xludf.DUMMYFUNCTION("""COMPUTED_VALUE"""),"""fkjb"":{""label"":""Cops &amp; Robbers"",""extra"":""When fighting crime was just child’s play."",""sets"":""Expansion Set 4, Party Expansion 1""},")</f>
        <v>"fkjb":{"label":"Cops &amp; Robbers","extra":"When fighting crime was just child’s play.","sets":"Expansion Set 4, Party Expansion 1"},</v>
      </c>
    </row>
    <row r="99">
      <c r="A99" s="8" t="str">
        <f>IFERROR(__xludf.DUMMYFUNCTION("""COMPUTED_VALUE"""),"Corn Fields")</f>
        <v>Corn Fields</v>
      </c>
      <c r="B99" s="8" t="str">
        <f>IFERROR(__xludf.DUMMYFUNCTION("""COMPUTED_VALUE"""),"Knee high by the Fourth of July.")</f>
        <v>Knee high by the Fourth of July.</v>
      </c>
      <c r="C99" s="13" t="str">
        <f>IFERROR(__xludf.DUMMYFUNCTION("""COMPUTED_VALUE"""),"""koqn"":{""label"":""Corn Fields"",""extra"":""Knee high by the Fourth of July."",""sets"":""Expansion Set 3, Party Expansion 1""},")</f>
        <v>"koqn":{"label":"Corn Fields","extra":"Knee high by the Fourth of July.","sets":"Expansion Set 3, Party Expansion 1"},</v>
      </c>
    </row>
    <row r="100">
      <c r="A100" s="8" t="str">
        <f>IFERROR(__xludf.DUMMYFUNCTION("""COMPUTED_VALUE"""),"Corned Beef &amp; Cabbage")</f>
        <v>Corned Beef &amp; Cabbage</v>
      </c>
      <c r="B100" s="8" t="str">
        <f>IFERROR(__xludf.DUMMYFUNCTION("""COMPUTED_VALUE"""),"It’s not chopped liver.")</f>
        <v>It’s not chopped liver.</v>
      </c>
      <c r="C100" s="13" t="str">
        <f>IFERROR(__xludf.DUMMYFUNCTION("""COMPUTED_VALUE"""),"""cjch"":{""label"":""Corned Beef &amp; Cabbage"",""extra"":""It’s not chopped liver."",""sets"":""Expansion Set 4, Party Expansion 1""},")</f>
        <v>"cjch":{"label":"Corned Beef &amp; Cabbage","extra":"It’s not chopped liver.","sets":"Expansion Set 4, Party Expansion 1"},</v>
      </c>
    </row>
    <row r="101">
      <c r="A101" s="8" t="str">
        <f>IFERROR(__xludf.DUMMYFUNCTION("""COMPUTED_VALUE"""),"Corrugated Cardboard")</f>
        <v>Corrugated Cardboard</v>
      </c>
      <c r="B101" s="8" t="str">
        <f>IFERROR(__xludf.DUMMYFUNCTION("""COMPUTED_VALUE"""),"When you want to think out of the box…")</f>
        <v>When you want to think out of the box…</v>
      </c>
      <c r="C101" s="13" t="str">
        <f>IFERROR(__xludf.DUMMYFUNCTION("""COMPUTED_VALUE"""),"""dcqf"":{""label"":""Corrugated Cardboard"",""extra"":""When you want to think out of the box…"",""sets"":""Expansion Set 3, Party Expansion 1""},")</f>
        <v>"dcqf":{"label":"Corrugated Cardboard","extra":"When you want to think out of the box…","sets":"Expansion Set 3, Party Expansion 1"},</v>
      </c>
    </row>
    <row r="102">
      <c r="A102" s="8" t="str">
        <f>IFERROR(__xludf.DUMMYFUNCTION("""COMPUTED_VALUE"""),"Cottage Cheese")</f>
        <v>Cottage Cheese</v>
      </c>
      <c r="B102" s="8" t="str">
        <f>IFERROR(__xludf.DUMMYFUNCTION("""COMPUTED_VALUE"""),"If it’s so popular, where are all the Cottage Cheeseheads?")</f>
        <v>If it’s so popular, where are all the Cottage Cheeseheads?</v>
      </c>
      <c r="C102" s="13" t="str">
        <f>IFERROR(__xludf.DUMMYFUNCTION("""COMPUTED_VALUE"""),"""iwbh"":{""label"":""Cottage Cheese"",""extra"":""If it’s so popular, where are all the Cottage Cheeseheads?"",""sets"":""Expansion Set 3, Party Expansion 1""},")</f>
        <v>"iwbh":{"label":"Cottage Cheese","extra":"If it’s so popular, where are all the Cottage Cheeseheads?","sets":"Expansion Set 3, Party Expansion 1"},</v>
      </c>
    </row>
    <row r="103">
      <c r="A103" s="8" t="str">
        <f>IFERROR(__xludf.DUMMYFUNCTION("""COMPUTED_VALUE"""),"Coughing &amp; Sneezing")</f>
        <v>Coughing &amp; Sneezing</v>
      </c>
      <c r="B103" s="8" t="str">
        <f>IFERROR(__xludf.DUMMYFUNCTION("""COMPUTED_VALUE"""),"And no cure in sight.")</f>
        <v>And no cure in sight.</v>
      </c>
      <c r="C103" s="13" t="str">
        <f>IFERROR(__xludf.DUMMYFUNCTION("""COMPUTED_VALUE"""),"""skyb"":{""label"":""Coughing &amp; Sneezing"",""extra"":""And no cure in sight."",""sets"":""Expansion Set 4, Party Expansion 1""},")</f>
        <v>"skyb":{"label":"Coughing &amp; Sneezing","extra":"And no cure in sight.","sets":"Expansion Set 4, Party Expansion 1"},</v>
      </c>
    </row>
    <row r="104">
      <c r="A104" s="8" t="str">
        <f>IFERROR(__xludf.DUMMYFUNCTION("""COMPUTED_VALUE"""),"Cowboys")</f>
        <v>Cowboys</v>
      </c>
      <c r="B104" s="8" t="str">
        <f>IFERROR(__xludf.DUMMYFUNCTION("""COMPUTED_VALUE"""),"Head ’em up and move ’em out!")</f>
        <v>Head ’em up and move ’em out!</v>
      </c>
      <c r="C104" s="13" t="str">
        <f>IFERROR(__xludf.DUMMYFUNCTION("""COMPUTED_VALUE"""),"""asxh"":{""label"":""Cowboys"",""extra"":""Head ’em up and move ’em out!"",""sets"":""Expansion Set 3, Party Expansion 1""},")</f>
        <v>"asxh":{"label":"Cowboys","extra":"Head ’em up and move ’em out!","sets":"Expansion Set 3, Party Expansion 1"},</v>
      </c>
    </row>
    <row r="105">
      <c r="A105" s="8" t="str">
        <f>IFERROR(__xludf.DUMMYFUNCTION("""COMPUTED_VALUE"""),"Cowboys &amp; Indians")</f>
        <v>Cowboys &amp; Indians</v>
      </c>
      <c r="B105" s="8" t="str">
        <f>IFERROR(__xludf.DUMMYFUNCTION("""COMPUTED_VALUE"""),"How the west was won… and lost.")</f>
        <v>How the west was won… and lost.</v>
      </c>
      <c r="C105" s="13" t="str">
        <f>IFERROR(__xludf.DUMMYFUNCTION("""COMPUTED_VALUE"""),"""zkvm"":{""label"":""Cowboys &amp; Indians"",""extra"":""How the west was won… and lost."",""sets"":""Expansion Set 4, Party Expansion 1""},")</f>
        <v>"zkvm":{"label":"Cowboys &amp; Indians","extra":"How the west was won… and lost.","sets":"Expansion Set 4, Party Expansion 1"},</v>
      </c>
    </row>
    <row r="106">
      <c r="A106" s="8" t="str">
        <f>IFERROR(__xludf.DUMMYFUNCTION("""COMPUTED_VALUE"""),"Crabs")</f>
        <v>Crabs</v>
      </c>
      <c r="B106" s="8" t="str">
        <f>IFERROR(__xludf.DUMMYFUNCTION("""COMPUTED_VALUE"""),"As crustaceans, crabs are related to lobster and shrimp. What do they all have in common? They all go well with butter.")</f>
        <v>As crustaceans, crabs are related to lobster and shrimp. What do they all have in common? They all go well with butter.</v>
      </c>
      <c r="C106" s="13" t="str">
        <f>IFERROR(__xludf.DUMMYFUNCTION("""COMPUTED_VALUE"""),"""patj"":{""label"":""Crabs"",""extra"":""As crustaceans, crabs are related to lobster and shrimp. What do they all have in common? They all go well with butter."",""sets"":""Expansion Set 3, Party Expansion 1""},")</f>
        <v>"patj":{"label":"Crabs","extra":"As crustaceans, crabs are related to lobster and shrimp. What do they all have in common? They all go well with butter.","sets":"Expansion Set 3, Party Expansion 1"},</v>
      </c>
    </row>
    <row r="107">
      <c r="A107" s="8" t="str">
        <f>IFERROR(__xludf.DUMMYFUNCTION("""COMPUTED_VALUE"""),"Crash &amp; Burn")</f>
        <v>Crash &amp; Burn</v>
      </c>
      <c r="B107" s="8" t="str">
        <f>IFERROR(__xludf.DUMMYFUNCTION("""COMPUTED_VALUE"""),"Try, try again.")</f>
        <v>Try, try again.</v>
      </c>
      <c r="C107" s="13" t="str">
        <f>IFERROR(__xludf.DUMMYFUNCTION("""COMPUTED_VALUE"""),"""kjpp"":{""label"":""Crash &amp; Burn"",""extra"":""Try, try again."",""sets"":""Expansion Set 4, Party Expansion 1""},")</f>
        <v>"kjpp":{"label":"Crash &amp; Burn","extra":"Try, try again.","sets":"Expansion Set 4, Party Expansion 1"},</v>
      </c>
    </row>
    <row r="108">
      <c r="A108" s="8" t="str">
        <f>IFERROR(__xludf.DUMMYFUNCTION("""COMPUTED_VALUE"""),"Cream &amp; Sugar")</f>
        <v>Cream &amp; Sugar</v>
      </c>
      <c r="B108" s="8" t="str">
        <f>IFERROR(__xludf.DUMMYFUNCTION("""COMPUTED_VALUE"""),"Do you want some coffee with that?")</f>
        <v>Do you want some coffee with that?</v>
      </c>
      <c r="C108" s="13" t="str">
        <f>IFERROR(__xludf.DUMMYFUNCTION("""COMPUTED_VALUE"""),"""j{gc"":{""label"":""Cream &amp; Sugar"",""extra"":""Do you want some coffee with that?"",""sets"":""Expansion Set 4, Party Expansion 1""},")</f>
        <v>"j{gc":{"label":"Cream &amp; Sugar","extra":"Do you want some coffee with that?","sets":"Expansion Set 4, Party Expansion 1"},</v>
      </c>
    </row>
    <row r="109">
      <c r="A109" s="8" t="str">
        <f>IFERROR(__xludf.DUMMYFUNCTION("""COMPUTED_VALUE"""),"Crime &amp; Punishment")</f>
        <v>Crime &amp; Punishment</v>
      </c>
      <c r="B109" s="8" t="str">
        <f>IFERROR(__xludf.DUMMYFUNCTION("""COMPUTED_VALUE"""),"Fyodor Dostoevsky's 1917 classic novel following the tormented life of the murderer Rodion Romanovich Roskolnikov.")</f>
        <v>Fyodor Dostoevsky's 1917 classic novel following the tormented life of the murderer Rodion Romanovich Roskolnikov.</v>
      </c>
      <c r="C109" s="13" t="str">
        <f>IFERROR(__xludf.DUMMYFUNCTION("""COMPUTED_VALUE"""),"""ucyz"":{""label"":""Crime &amp; Punishment"",""extra"":""Fyodor Dostoevsky's 1917 classic novel following the tormented life of the murderer Rodion Romanovich Roskolnikov."",""sets"":""Expansion Set 4, Party Expansion 1""},")</f>
        <v>"ucyz":{"label":"Crime &amp; Punishment","extra":"Fyodor Dostoevsky's 1917 classic novel following the tormented life of the murderer Rodion Romanovich Roskolnikov.","sets":"Expansion Set 4, Party Expansion 1"},</v>
      </c>
    </row>
    <row r="110">
      <c r="A110" s="8" t="str">
        <f>IFERROR(__xludf.DUMMYFUNCTION("""COMPUTED_VALUE"""),"Cup &amp; Saucer")</f>
        <v>Cup &amp; Saucer</v>
      </c>
      <c r="B110" s="8" t="str">
        <f>IFERROR(__xludf.DUMMYFUNCTION("""COMPUTED_VALUE"""),"Tea Time!")</f>
        <v>Tea Time!</v>
      </c>
      <c r="C110" s="13" t="str">
        <f>IFERROR(__xludf.DUMMYFUNCTION("""COMPUTED_VALUE"""),"""bedh"":{""label"":""Cup &amp; Saucer"",""extra"":""Tea Time!"",""sets"":""Expansion Set 4, Party Expansion 1""},")</f>
        <v>"bedh":{"label":"Cup &amp; Saucer","extra":"Tea Time!","sets":"Expansion Set 4, Party Expansion 1"},</v>
      </c>
    </row>
    <row r="111">
      <c r="A111" s="8" t="str">
        <f>IFERROR(__xludf.DUMMYFUNCTION("""COMPUTED_VALUE"""),"Curds &amp; Whey")</f>
        <v>Curds &amp; Whey</v>
      </c>
      <c r="B111" s="8" t="str">
        <f>IFERROR(__xludf.DUMMYFUNCTION("""COMPUTED_VALUE"""),"What? It’s just cottage cheese?")</f>
        <v>What? It’s just cottage cheese?</v>
      </c>
      <c r="C111" s="13" t="str">
        <f>IFERROR(__xludf.DUMMYFUNCTION("""COMPUTED_VALUE"""),"""cumj"":{""label"":""Curds &amp; Whey"",""extra"":""What? It’s just cottage cheese?"",""sets"":""Expansion Set 4, Party Expansion 1""},")</f>
        <v>"cumj":{"label":"Curds &amp; Whey","extra":"What? It’s just cottage cheese?","sets":"Expansion Set 4, Party Expansion 1"},</v>
      </c>
    </row>
    <row r="112">
      <c r="A112" s="8" t="str">
        <f>IFERROR(__xludf.DUMMYFUNCTION("""COMPUTED_VALUE"""),"Currier &amp; Ives")</f>
        <v>Currier &amp; Ives</v>
      </c>
      <c r="B112" s="8" t="str">
        <f>IFERROR(__xludf.DUMMYFUNCTION("""COMPUTED_VALUE"""),"The lithography shop operated from 1834 to 1907 and produced over 7500 titles, all of which could have been called “Life In America.”")</f>
        <v>The lithography shop operated from 1834 to 1907 and produced over 7500 titles, all of which could have been called “Life In America.”</v>
      </c>
      <c r="C112" s="13" t="str">
        <f>IFERROR(__xludf.DUMMYFUNCTION("""COMPUTED_VALUE"""),"""gmex"":{""label"":""Currier &amp; Ives"",""extra"":""The lithography shop operated from 1834 to 1907 and produced over 7500 titles, all of which could have been called “Life In America.”"",""sets"":""Expansion Set 4, Party Expansion 1""},")</f>
        <v>"gmex":{"label":"Currier &amp; Ives","extra":"The lithography shop operated from 1834 to 1907 and produced over 7500 titles, all of which could have been called “Life In America.”","sets":"Expansion Set 4, Party Expansion 1"},</v>
      </c>
    </row>
    <row r="113">
      <c r="A113" s="8" t="str">
        <f>IFERROR(__xludf.DUMMYFUNCTION("""COMPUTED_VALUE"""),"Cut &amp; Curl")</f>
        <v>Cut &amp; Curl</v>
      </c>
      <c r="B113" s="8" t="str">
        <f>IFERROR(__xludf.DUMMYFUNCTION("""COMPUTED_VALUE"""),"You’ll look mah-velous!")</f>
        <v>You’ll look mah-velous!</v>
      </c>
      <c r="C113" s="13" t="str">
        <f>IFERROR(__xludf.DUMMYFUNCTION("""COMPUTED_VALUE"""),"""kuzh"":{""label"":""Cut &amp; Curl"",""extra"":""You’ll look mah-velous!"",""sets"":""Expansion Set 4, Party Expansion 1""},")</f>
        <v>"kuzh":{"label":"Cut &amp; Curl","extra":"You’ll look mah-velous!","sets":"Expansion Set 4, Party Expansion 1"},</v>
      </c>
    </row>
    <row r="114">
      <c r="A114" s="8" t="str">
        <f>IFERROR(__xludf.DUMMYFUNCTION("""COMPUTED_VALUE"""),"D-Day, 1944")</f>
        <v>D-Day, 1944</v>
      </c>
      <c r="B114" s="8" t="str">
        <f>IFERROR(__xludf.DUMMYFUNCTION("""COMPUTED_VALUE"""),"On June 6, 1944 the Allied forces invaded France, employing over 10,000 airplanes, 5,000 ships, and 250,000 servicemen.")</f>
        <v>On June 6, 1944 the Allied forces invaded France, employing over 10,000 airplanes, 5,000 ships, and 250,000 servicemen.</v>
      </c>
      <c r="C114" s="13" t="str">
        <f>IFERROR(__xludf.DUMMYFUNCTION("""COMPUTED_VALUE"""),"""zmwi"":{""label"":""D-Day, 1944"",""extra"":""On June 6, 1944 the Allied forces invaded France, employing over 10,000 airplanes, 5,000 ships, and 250,000 servicemen."",""sets"":""Expansion Set 3, Party Expansion 1""},")</f>
        <v>"zmwi":{"label":"D-Day, 1944","extra":"On June 6, 1944 the Allied forces invaded France, employing over 10,000 airplanes, 5,000 ships, and 250,000 servicemen.","sets":"Expansion Set 3, Party Expansion 1"},</v>
      </c>
    </row>
    <row r="115">
      <c r="A115" s="8" t="str">
        <f>IFERROR(__xludf.DUMMYFUNCTION("""COMPUTED_VALUE"""),"Dallas &amp; Fort Worth")</f>
        <v>Dallas &amp; Fort Worth</v>
      </c>
      <c r="B115" s="8" t="str">
        <f>IFERROR(__xludf.DUMMYFUNCTION("""COMPUTED_VALUE"""),"The heart &amp; soul of Texas.")</f>
        <v>The heart &amp; soul of Texas.</v>
      </c>
      <c r="C115" s="13" t="str">
        <f>IFERROR(__xludf.DUMMYFUNCTION("""COMPUTED_VALUE"""),"""frfz"":{""label"":""Dallas &amp; Fort Worth"",""extra"":""The heart &amp; soul of Texas."",""sets"":""Expansion Set 4, Party Expansion 1""},")</f>
        <v>"frfz":{"label":"Dallas &amp; Fort Worth","extra":"The heart &amp; soul of Texas.","sets":"Expansion Set 4, Party Expansion 1"},</v>
      </c>
    </row>
    <row r="116">
      <c r="A116" s="8" t="str">
        <f>IFERROR(__xludf.DUMMYFUNCTION("""COMPUTED_VALUE"""),"David &amp; Goliath")</f>
        <v>David &amp; Goliath</v>
      </c>
      <c r="B116" s="8" t="str">
        <f>IFERROR(__xludf.DUMMYFUNCTION("""COMPUTED_VALUE"""),"Bible story featuring the future king David and the Philistine giant Goliath. The bigger they come, the harder they fall.")</f>
        <v>Bible story featuring the future king David and the Philistine giant Goliath. The bigger they come, the harder they fall.</v>
      </c>
      <c r="C116" s="13" t="str">
        <f>IFERROR(__xludf.DUMMYFUNCTION("""COMPUTED_VALUE"""),"""wmbo"":{""label"":""David &amp; Goliath"",""extra"":""Bible story featuring the future king David and the Philistine giant Goliath. The bigger they come, the harder they fall."",""sets"":""Expansion Set 4, Party Expansion 1""},")</f>
        <v>"wmbo":{"label":"David &amp; Goliath","extra":"Bible story featuring the future king David and the Philistine giant Goliath. The bigger they come, the harder they fall.","sets":"Expansion Set 4, Party Expansion 1"},</v>
      </c>
    </row>
    <row r="117">
      <c r="A117" s="8" t="str">
        <f>IFERROR(__xludf.DUMMYFUNCTION("""COMPUTED_VALUE"""),"Day Care Centers")</f>
        <v>Day Care Centers</v>
      </c>
      <c r="B117" s="8" t="str">
        <f>IFERROR(__xludf.DUMMYFUNCTION("""COMPUTED_VALUE"""),"Preschool for preschool.")</f>
        <v>Preschool for preschool.</v>
      </c>
      <c r="C117" s="13" t="str">
        <f>IFERROR(__xludf.DUMMYFUNCTION("""COMPUTED_VALUE"""),"""oxnz"":{""label"":""Day Care Centers"",""extra"":""Preschool for preschool."",""sets"":""Expansion Set 3, Party Expansion 1""},")</f>
        <v>"oxnz":{"label":"Day Care Centers","extra":"Preschool for preschool.","sets":"Expansion Set 3, Party Expansion 1"},</v>
      </c>
    </row>
    <row r="118">
      <c r="A118" s="8" t="str">
        <f>IFERROR(__xludf.DUMMYFUNCTION("""COMPUTED_VALUE"""),"Death &amp; Dying")</f>
        <v>Death &amp; Dying</v>
      </c>
      <c r="B118" s="8" t="str">
        <f>IFERROR(__xludf.DUMMYFUNCTION("""COMPUTED_VALUE"""),"The only way out.")</f>
        <v>The only way out.</v>
      </c>
      <c r="C118" s="13" t="str">
        <f>IFERROR(__xludf.DUMMYFUNCTION("""COMPUTED_VALUE"""),"""ylyh"":{""label"":""Death &amp; Dying"",""extra"":""The only way out."",""sets"":""Expansion Set 4, Party Expansion 1""},")</f>
        <v>"ylyh":{"label":"Death &amp; Dying","extra":"The only way out.","sets":"Expansion Set 4, Party Expansion 1"},</v>
      </c>
    </row>
    <row r="119">
      <c r="A119" s="8" t="str">
        <f>IFERROR(__xludf.DUMMYFUNCTION("""COMPUTED_VALUE"""),"Death &amp; Taxes")</f>
        <v>Death &amp; Taxes</v>
      </c>
      <c r="B119" s="8" t="str">
        <f>IFERROR(__xludf.DUMMYFUNCTION("""COMPUTED_VALUE"""),"The two certainties in life.")</f>
        <v>The two certainties in life.</v>
      </c>
      <c r="C119" s="13" t="str">
        <f>IFERROR(__xludf.DUMMYFUNCTION("""COMPUTED_VALUE"""),"""xcgi"":{""label"":""Death &amp; Taxes"",""extra"":""The two certainties in life."",""sets"":""Expansion Set 4, Party Expansion 1""},")</f>
        <v>"xcgi":{"label":"Death &amp; Taxes","extra":"The two certainties in life.","sets":"Expansion Set 4, Party Expansion 1"},</v>
      </c>
    </row>
    <row r="120">
      <c r="A120" s="8" t="str">
        <f>IFERROR(__xludf.DUMMYFUNCTION("""COMPUTED_VALUE"""),"Dinner &amp; A Movie")</f>
        <v>Dinner &amp; A Movie</v>
      </c>
      <c r="B120" s="8" t="str">
        <f>IFERROR(__xludf.DUMMYFUNCTION("""COMPUTED_VALUE"""),"And a mortgage to pay for it.")</f>
        <v>And a mortgage to pay for it.</v>
      </c>
      <c r="C120" s="13" t="str">
        <f>IFERROR(__xludf.DUMMYFUNCTION("""COMPUTED_VALUE"""),"""myyz"":{""label"":""Dinner &amp; A Movie"",""extra"":""And a mortgage to pay for it."",""sets"":""Expansion Set 4, Party Expansion 1""},")</f>
        <v>"myyz":{"label":"Dinner &amp; A Movie","extra":"And a mortgage to pay for it.","sets":"Expansion Set 4, Party Expansion 1"},</v>
      </c>
    </row>
    <row r="121">
      <c r="A121" s="8" t="str">
        <f>IFERROR(__xludf.DUMMYFUNCTION("""COMPUTED_VALUE"""),"Doctors &amp; Dentists")</f>
        <v>Doctors &amp; Dentists</v>
      </c>
      <c r="B121" s="8" t="str">
        <f>IFERROR(__xludf.DUMMYFUNCTION("""COMPUTED_VALUE"""),"For a long life and healthy teeth.")</f>
        <v>For a long life and healthy teeth.</v>
      </c>
      <c r="C121" s="13" t="str">
        <f>IFERROR(__xludf.DUMMYFUNCTION("""COMPUTED_VALUE"""),"""niyg"":{""label"":""Doctors &amp; Dentists"",""extra"":""For a long life and healthy teeth."",""sets"":""Expansion Set 4, Party Expansion 1""},")</f>
        <v>"niyg":{"label":"Doctors &amp; Dentists","extra":"For a long life and healthy teeth.","sets":"Expansion Set 4, Party Expansion 1"},</v>
      </c>
    </row>
    <row r="122">
      <c r="A122" s="8" t="str">
        <f>IFERROR(__xludf.DUMMYFUNCTION("""COMPUTED_VALUE"""),"Dodo Birds")</f>
        <v>Dodo Birds</v>
      </c>
      <c r="B122" s="8" t="str">
        <f>IFERROR(__xludf.DUMMYFUNCTION("""COMPUTED_VALUE"""),"A large, flightless bird of the island of Mauritius. Discovered by Europeans in 1598, extinct by 1681.")</f>
        <v>A large, flightless bird of the island of Mauritius. Discovered by Europeans in 1598, extinct by 1681.</v>
      </c>
      <c r="C122" s="13" t="str">
        <f>IFERROR(__xludf.DUMMYFUNCTION("""COMPUTED_VALUE"""),"""bpkb"":{""label"":""Dodo Birds"",""extra"":""A large, flightless bird of the island of Mauritius. Discovered by Europeans in 1598, extinct by 1681."",""sets"":""Expansion Set 3, Party Expansion 1""},")</f>
        <v>"bpkb":{"label":"Dodo Birds","extra":"A large, flightless bird of the island of Mauritius. Discovered by Europeans in 1598, extinct by 1681.","sets":"Expansion Set 3, Party Expansion 1"},</v>
      </c>
    </row>
    <row r="123">
      <c r="A123" s="8" t="str">
        <f>IFERROR(__xludf.DUMMYFUNCTION("""COMPUTED_VALUE"""),"Dog Days")</f>
        <v>Dog Days</v>
      </c>
      <c r="B123" s="8" t="str">
        <f>IFERROR(__xludf.DUMMYFUNCTION("""COMPUTED_VALUE"""),"101 degrees in the shade.")</f>
        <v>101 degrees in the shade.</v>
      </c>
      <c r="C123" s="13" t="str">
        <f>IFERROR(__xludf.DUMMYFUNCTION("""COMPUTED_VALUE"""),"""pkib"":{""label"":""Dog Days"",""extra"":""101 degrees in the shade."",""sets"":""Expansion Set 3, Party Expansion 1""},")</f>
        <v>"pkib":{"label":"Dog Days","extra":"101 degrees in the shade.","sets":"Expansion Set 3, Party Expansion 1"},</v>
      </c>
    </row>
    <row r="124">
      <c r="A124" s="8" t="str">
        <f>IFERROR(__xludf.DUMMYFUNCTION("""COMPUTED_VALUE"""),"Doing The Hokey-Pokey")</f>
        <v>Doing The Hokey-Pokey</v>
      </c>
      <c r="B124" s="8" t="str">
        <f>IFERROR(__xludf.DUMMYFUNCTION("""COMPUTED_VALUE"""),"That’s what it's all about.")</f>
        <v>That’s what it's all about.</v>
      </c>
      <c r="C124" s="13" t="str">
        <f>IFERROR(__xludf.DUMMYFUNCTION("""COMPUTED_VALUE"""),"""gdpw"":{""label"":""Doing The Hokey-Pokey"",""extra"":""That’s what it's all about."",""sets"":""Expansion Set 3, Party Expansion 1""},")</f>
        <v>"gdpw":{"label":"Doing The Hokey-Pokey","extra":"That’s what it's all about.","sets":"Expansion Set 3, Party Expansion 1"},</v>
      </c>
    </row>
    <row r="125">
      <c r="A125" s="8" t="str">
        <f>IFERROR(__xludf.DUMMYFUNCTION("""COMPUTED_VALUE"""),"Dollars &amp; Cents")</f>
        <v>Dollars &amp; Cents</v>
      </c>
      <c r="B125" s="8" t="str">
        <f>IFERROR(__xludf.DUMMYFUNCTION("""COMPUTED_VALUE"""),"“If it don't make dollars, it don't make sense.”—DJ Quik")</f>
        <v>“If it don't make dollars, it don't make sense.”—DJ Quik</v>
      </c>
      <c r="C125" s="13" t="str">
        <f>IFERROR(__xludf.DUMMYFUNCTION("""COMPUTED_VALUE"""),"""ltek"":{""label"":""Dollars &amp; Cents"",""extra"":""“If it don't make dollars, it don't make sense.”—DJ Quik"",""sets"":""Expansion Set 4, Party Expansion 1""},")</f>
        <v>"ltek":{"label":"Dollars &amp; Cents","extra":"“If it don't make dollars, it don't make sense.”—DJ Quik","sets":"Expansion Set 4, Party Expansion 1"},</v>
      </c>
    </row>
    <row r="126">
      <c r="A126" s="8" t="str">
        <f>IFERROR(__xludf.DUMMYFUNCTION("""COMPUTED_VALUE"""),"Double Thick Malts")</f>
        <v>Double Thick Malts</v>
      </c>
      <c r="B126" s="8" t="str">
        <f>IFERROR(__xludf.DUMMYFUNCTION("""COMPUTED_VALUE"""),"For a double thick ice cream headache.")</f>
        <v>For a double thick ice cream headache.</v>
      </c>
      <c r="C126" s="13" t="str">
        <f>IFERROR(__xludf.DUMMYFUNCTION("""COMPUTED_VALUE"""),"""xdnd"":{""label"":""Double Thick Malts"",""extra"":""For a double thick ice cream headache."",""sets"":""Expansion Set 3, Party Expansion 1""},")</f>
        <v>"xdnd":{"label":"Double Thick Malts","extra":"For a double thick ice cream headache.","sets":"Expansion Set 3, Party Expansion 1"},</v>
      </c>
    </row>
    <row r="127">
      <c r="A127" s="8" t="str">
        <f>IFERROR(__xludf.DUMMYFUNCTION("""COMPUTED_VALUE"""),"Dr. Evil")</f>
        <v>Dr. Evil</v>
      </c>
      <c r="B127" s="8" t="str">
        <f>IFERROR(__xludf.DUMMYFUNCTION("""COMPUTED_VALUE"""),"Arch-nemesis of Austin Powers. Riiiiiiight.")</f>
        <v>Arch-nemesis of Austin Powers. Riiiiiiight.</v>
      </c>
      <c r="C127" s="13" t="str">
        <f>IFERROR(__xludf.DUMMYFUNCTION("""COMPUTED_VALUE"""),"""jnrb"":{""label"":""Dr. Evil"",""extra"":""Arch-nemesis of Austin Powers. Riiiiiiight."",""sets"":""Expansion Set 3, Party Expansion 1""},")</f>
        <v>"jnrb":{"label":"Dr. Evil","extra":"Arch-nemesis of Austin Powers. Riiiiiiight.","sets":"Expansion Set 3, Party Expansion 1"},</v>
      </c>
    </row>
    <row r="128">
      <c r="A128" s="8" t="str">
        <f>IFERROR(__xludf.DUMMYFUNCTION("""COMPUTED_VALUE"""),"Dr. Jekyll &amp; Mr. Hyde")</f>
        <v>Dr. Jekyll &amp; Mr. Hyde</v>
      </c>
      <c r="B128" s="8" t="str">
        <f>IFERROR(__xludf.DUMMYFUNCTION("""COMPUTED_VALUE"""),"Robert Louis Stevenson's 1887 novel revealing the hypocrisy and innate evilness in society. The idea came to him in a dream a bad dream.")</f>
        <v>Robert Louis Stevenson's 1887 novel revealing the hypocrisy and innate evilness in society. The idea came to him in a dream a bad dream.</v>
      </c>
      <c r="C128" s="13" t="str">
        <f>IFERROR(__xludf.DUMMYFUNCTION("""COMPUTED_VALUE"""),"""qrkz"":{""label"":""Dr. Jekyll &amp; Mr. Hyde"",""extra"":""Robert Louis Stevenson's 1887 novel revealing the hypocrisy and innate evilness in society. The idea came to him in a dream a bad dream."",""sets"":""Expansion Set 4, Party Expansion 1""},")</f>
        <v>"qrkz":{"label":"Dr. Jekyll &amp; Mr. Hyde","extra":"Robert Louis Stevenson's 1887 novel revealing the hypocrisy and innate evilness in society. The idea came to him in a dream a bad dream.","sets":"Expansion Set 4, Party Expansion 1"},</v>
      </c>
    </row>
    <row r="129">
      <c r="A129" s="8" t="str">
        <f>IFERROR(__xludf.DUMMYFUNCTION("""COMPUTED_VALUE"""),"Dr. Laura")</f>
        <v>Dr. Laura</v>
      </c>
      <c r="B129" s="8" t="str">
        <f>IFERROR(__xludf.DUMMYFUNCTION("""COMPUTED_VALUE"""),"1947-, American conservative talk show host and promoter of family values. HER family values, that is…")</f>
        <v>1947-, American conservative talk show host and promoter of family values. HER family values, that is…</v>
      </c>
      <c r="C129" s="13" t="str">
        <f>IFERROR(__xludf.DUMMYFUNCTION("""COMPUTED_VALUE"""),"""wyxi"":{""label"":""Dr. Laura"",""extra"":""1947-, American conservative talk show host and promoter of family values. HER family values, that is…"",""sets"":""Expansion Set 3, Party Expansion 1""},")</f>
        <v>"wyxi":{"label":"Dr. Laura","extra":"1947-, American conservative talk show host and promoter of family values. HER family values, that is…","sets":"Expansion Set 3, Party Expansion 1"},</v>
      </c>
    </row>
    <row r="130">
      <c r="A130" s="8" t="str">
        <f>IFERROR(__xludf.DUMMYFUNCTION("""COMPUTED_VALUE"""),"Drew Barrymore")</f>
        <v>Drew Barrymore</v>
      </c>
      <c r="B130" s="8" t="str">
        <f>IFERROR(__xludf.DUMMYFUNCTION("""COMPUTED_VALUE"""),"1975-, heir to the Barrymore acting dynasty. Drew starred in “ET”, “The Wedding Singer”, “Charlie's Angels”, and countless tabloid stories.")</f>
        <v>1975-, heir to the Barrymore acting dynasty. Drew starred in “ET”, “The Wedding Singer”, “Charlie's Angels”, and countless tabloid stories.</v>
      </c>
      <c r="C130" s="13" t="str">
        <f>IFERROR(__xludf.DUMMYFUNCTION("""COMPUTED_VALUE"""),"""pjrc"":{""label"":""Drew Barrymore"",""extra"":""1975-, heir to the Barrymore acting dynasty. Drew starred in “ET”, “The Wedding Singer”, “Charlie's Angels”, and countless tabloid stories."",""sets"":""Expansion Set 3, Party Expansion 1""},")</f>
        <v>"pjrc":{"label":"Drew Barrymore","extra":"1975-, heir to the Barrymore acting dynasty. Drew starred in “ET”, “The Wedding Singer”, “Charlie's Angels”, and countless tabloid stories.","sets":"Expansion Set 3, Party Expansion 1"},</v>
      </c>
    </row>
    <row r="131">
      <c r="A131" s="8" t="str">
        <f>IFERROR(__xludf.DUMMYFUNCTION("""COMPUTED_VALUE"""),"Drew Carey")</f>
        <v>Drew Carey</v>
      </c>
      <c r="B131" s="8" t="str">
        <f>IFERROR(__xludf.DUMMYFUNCTION("""COMPUTED_VALUE"""),"1958-, American comedian and television star. Whose line is it anyway? His.")</f>
        <v>1958-, American comedian and television star. Whose line is it anyway? His.</v>
      </c>
      <c r="C131" s="13" t="str">
        <f>IFERROR(__xludf.DUMMYFUNCTION("""COMPUTED_VALUE"""),"""jzjz"":{""label"":""Drew Carey"",""extra"":""1958-, American comedian and television star. Whose line is it anyway? His."",""sets"":""Expansion Set 3, Party Expansion 1""},")</f>
        <v>"jzjz":{"label":"Drew Carey","extra":"1958-, American comedian and television star. Whose line is it anyway? His.","sets":"Expansion Set 3, Party Expansion 1"},</v>
      </c>
    </row>
    <row r="132">
      <c r="A132" s="8" t="str">
        <f>IFERROR(__xludf.DUMMYFUNCTION("""COMPUTED_VALUE"""),"Drinking &amp; Driving")</f>
        <v>Drinking &amp; Driving</v>
      </c>
      <c r="B132" s="8" t="str">
        <f>IFERROR(__xludf.DUMMYFUNCTION("""COMPUTED_VALUE"""),"Friends don’t let friends drive drunk.")</f>
        <v>Friends don’t let friends drive drunk.</v>
      </c>
      <c r="C132" s="13" t="str">
        <f>IFERROR(__xludf.DUMMYFUNCTION("""COMPUTED_VALUE"""),"""mtzp"":{""label"":""Drinking &amp; Driving"",""extra"":""Friends don’t let friends drive drunk."",""sets"":""Expansion Set 4, Party Expansion 1""},")</f>
        <v>"mtzp":{"label":"Drinking &amp; Driving","extra":"Friends don’t let friends drive drunk.","sets":"Expansion Set 4, Party Expansion 1"},</v>
      </c>
    </row>
    <row r="133">
      <c r="A133" s="8" t="str">
        <f>IFERROR(__xludf.DUMMYFUNCTION("""COMPUTED_VALUE"""),"Drunk Drivers")</f>
        <v>Drunk Drivers</v>
      </c>
      <c r="B133" s="8" t="str">
        <f>IFERROR(__xludf.DUMMYFUNCTION("""COMPUTED_VALUE"""),"Number one highway safety problem.")</f>
        <v>Number one highway safety problem.</v>
      </c>
      <c r="C133" s="13" t="str">
        <f>IFERROR(__xludf.DUMMYFUNCTION("""COMPUTED_VALUE"""),"""tuys"":{""label"":""Drunk Drivers"",""extra"":""Number one highway safety problem."",""sets"":""Expansion Set 3, Party Expansion 1""},")</f>
        <v>"tuys":{"label":"Drunk Drivers","extra":"Number one highway safety problem.","sets":"Expansion Set 3, Party Expansion 1"},</v>
      </c>
    </row>
    <row r="134">
      <c r="A134" s="8" t="str">
        <f>IFERROR(__xludf.DUMMYFUNCTION("""COMPUTED_VALUE"""),"Dumb Blonde Jokes")</f>
        <v>Dumb Blonde Jokes</v>
      </c>
      <c r="B134" s="8" t="str">
        <f>IFERROR(__xludf.DUMMYFUNCTION("""COMPUTED_VALUE"""),"Are they just naturally funny?")</f>
        <v>Are they just naturally funny?</v>
      </c>
      <c r="C134" s="13" t="str">
        <f>IFERROR(__xludf.DUMMYFUNCTION("""COMPUTED_VALUE"""),"""dnqs"":{""label"":""Dumb Blonde Jokes"",""extra"":""Are they just naturally funny?"",""sets"":""Expansion Set 3, Party Expansion 1""},")</f>
        <v>"dnqs":{"label":"Dumb Blonde Jokes","extra":"Are they just naturally funny?","sets":"Expansion Set 3, Party Expansion 1"},</v>
      </c>
    </row>
    <row r="135">
      <c r="A135" s="8" t="str">
        <f>IFERROR(__xludf.DUMMYFUNCTION("""COMPUTED_VALUE"""),"Dungeons &amp; Dragons")</f>
        <v>Dungeons &amp; Dragons</v>
      </c>
      <c r="B135" s="8" t="str">
        <f>IFERROR(__xludf.DUMMYFUNCTION("""COMPUTED_VALUE"""),"Popular role-playing game featuring swords, sorcery and wizards. Repeat after me: it's a game… it's only a game…")</f>
        <v>Popular role-playing game featuring swords, sorcery and wizards. Repeat after me: it's a game… it's only a game…</v>
      </c>
      <c r="C135" s="13" t="str">
        <f>IFERROR(__xludf.DUMMYFUNCTION("""COMPUTED_VALUE"""),"""xops"":{""label"":""Dungeons &amp; Dragons"",""extra"":""Popular role-playing game featuring swords, sorcery and wizards. Repeat after me: it's a game… it's only a game…"",""sets"":""Expansion Set 4, Party Expansion 1""},")</f>
        <v>"xops":{"label":"Dungeons &amp; Dragons","extra":"Popular role-playing game featuring swords, sorcery and wizards. Repeat after me: it's a game… it's only a game…","sets":"Expansion Set 4, Party Expansion 1"},</v>
      </c>
    </row>
    <row r="136">
      <c r="A136" s="8" t="str">
        <f>IFERROR(__xludf.DUMMYFUNCTION("""COMPUTED_VALUE"""),"Dustin Hoffman")</f>
        <v>Dustin Hoffman</v>
      </c>
      <c r="B136" s="8" t="str">
        <f>IFERROR(__xludf.DUMMYFUNCTION("""COMPUTED_VALUE"""),"1937-, highly regarded actor of “The Graduate,” “Midnight Cowboy,” and “Rainman.” He’s an excellent driver!")</f>
        <v>1937-, highly regarded actor of “The Graduate,” “Midnight Cowboy,” and “Rainman.” He’s an excellent driver!</v>
      </c>
      <c r="C136" s="13" t="str">
        <f>IFERROR(__xludf.DUMMYFUNCTION("""COMPUTED_VALUE"""),"""te{s"":{""label"":""Dustin Hoffman"",""extra"":""1937-, highly regarded actor of “The Graduate,” “Midnight Cowboy,” and “Rainman.” He’s an excellent driver!"",""sets"":""Expansion Set 3, Party Expansion 1""},")</f>
        <v>"te{s":{"label":"Dustin Hoffman","extra":"1937-, highly regarded actor of “The Graduate,” “Midnight Cowboy,” and “Rainman.” He’s an excellent driver!","sets":"Expansion Set 3, Party Expansion 1"},</v>
      </c>
    </row>
    <row r="137">
      <c r="A137" s="8" t="str">
        <f>IFERROR(__xludf.DUMMYFUNCTION("""COMPUTED_VALUE"""),"Ebony &amp; Ivory")</f>
        <v>Ebony &amp; Ivory</v>
      </c>
      <c r="B137" s="8" t="str">
        <f>IFERROR(__xludf.DUMMYFUNCTION("""COMPUTED_VALUE"""),"“Ebony and Ivory live together in perfect harmony.”—Paul McCartney")</f>
        <v>“Ebony and Ivory live together in perfect harmony.”—Paul McCartney</v>
      </c>
      <c r="C137" s="13" t="str">
        <f>IFERROR(__xludf.DUMMYFUNCTION("""COMPUTED_VALUE"""),"""{dki"":{""label"":""Ebony &amp; Ivory"",""extra"":""“Ebony and Ivory live together in perfect harmony.”—Paul McCartney"",""sets"":""Expansion Set 4, Party Expansion 1""},")</f>
        <v>"{dki":{"label":"Ebony &amp; Ivory","extra":"“Ebony and Ivory live together in perfect harmony.”—Paul McCartney","sets":"Expansion Set 4, Party Expansion 1"},</v>
      </c>
    </row>
    <row r="138">
      <c r="A138" s="8" t="str">
        <f>IFERROR(__xludf.DUMMYFUNCTION("""COMPUTED_VALUE"""),"Eggplant")</f>
        <v>Eggplant</v>
      </c>
      <c r="B138" s="8" t="str">
        <f>IFERROR(__xludf.DUMMYFUNCTION("""COMPUTED_VALUE"""),"Without it there would be no Eggplant Parmesan.")</f>
        <v>Without it there would be no Eggplant Parmesan.</v>
      </c>
      <c r="C138" s="13" t="str">
        <f>IFERROR(__xludf.DUMMYFUNCTION("""COMPUTED_VALUE"""),"""xuwe"":{""label"":""Eggplant"",""extra"":""Without it there would be no Eggplant Parmesan."",""sets"":""Expansion Set 3, Party Expansion 1""},")</f>
        <v>"xuwe":{"label":"Eggplant","extra":"Without it there would be no Eggplant Parmesan.","sets":"Expansion Set 3, Party Expansion 1"},</v>
      </c>
    </row>
    <row r="139">
      <c r="A139" s="8" t="str">
        <f>IFERROR(__xludf.DUMMYFUNCTION("""COMPUTED_VALUE"""),"Emergency Rooms")</f>
        <v>Emergency Rooms</v>
      </c>
      <c r="B139" s="8" t="str">
        <f>IFERROR(__xludf.DUMMYFUNCTION("""COMPUTED_VALUE"""),"Brings new meaning to he word “heartthrob.”")</f>
        <v>Brings new meaning to he word “heartthrob.”</v>
      </c>
      <c r="C139" s="13" t="str">
        <f>IFERROR(__xludf.DUMMYFUNCTION("""COMPUTED_VALUE"""),"""nhkc"":{""label"":""Emergency Rooms"",""extra"":""Brings new meaning to he word “heartthrob.”"",""sets"":""Expansion Set 3, Party Expansion 1""},")</f>
        <v>"nhkc":{"label":"Emergency Rooms","extra":"Brings new meaning to he word “heartthrob.”","sets":"Expansion Set 3, Party Expansion 1"},</v>
      </c>
    </row>
    <row r="140">
      <c r="A140" s="8" t="str">
        <f>IFERROR(__xludf.DUMMYFUNCTION("""COMPUTED_VALUE"""),"Exterminators")</f>
        <v>Exterminators</v>
      </c>
      <c r="B140" s="8" t="str">
        <f>IFERROR(__xludf.DUMMYFUNCTION("""COMPUTED_VALUE"""),"Bugs, rats and vermin. It’s time for chemical warfare.")</f>
        <v>Bugs, rats and vermin. It’s time for chemical warfare.</v>
      </c>
      <c r="C140" s="13" t="str">
        <f>IFERROR(__xludf.DUMMYFUNCTION("""COMPUTED_VALUE"""),"""wwob"":{""label"":""Exterminators"",""extra"":""Bugs, rats and vermin. It’s time for chemical warfare."",""sets"":""Expansion Set 3, Party Expansion 1""},")</f>
        <v>"wwob":{"label":"Exterminators","extra":"Bugs, rats and vermin. It’s time for chemical warfare.","sets":"Expansion Set 3, Party Expansion 1"},</v>
      </c>
    </row>
    <row r="141">
      <c r="A141" s="8" t="str">
        <f>IFERROR(__xludf.DUMMYFUNCTION("""COMPUTED_VALUE"""),"Fairies")</f>
        <v>Fairies</v>
      </c>
      <c r="B141" s="8" t="str">
        <f>IFERROR(__xludf.DUMMYFUNCTION("""COMPUTED_VALUE"""),"Tiny, mischievous, mythical beings with magic powers. They live in Fairyland. Really.")</f>
        <v>Tiny, mischievous, mythical beings with magic powers. They live in Fairyland. Really.</v>
      </c>
      <c r="C141" s="13" t="str">
        <f>IFERROR(__xludf.DUMMYFUNCTION("""COMPUTED_VALUE"""),"""aylt"":{""label"":""Fairies"",""extra"":""Tiny, mischievous, mythical beings with magic powers. They live in Fairyland. Really."",""sets"":""Expansion Set 3, Party Expansion 1""},")</f>
        <v>"aylt":{"label":"Fairies","extra":"Tiny, mischievous, mythical beings with magic powers. They live in Fairyland. Really.","sets":"Expansion Set 3, Party Expansion 1"},</v>
      </c>
    </row>
    <row r="142">
      <c r="A142" s="8" t="str">
        <f>IFERROR(__xludf.DUMMYFUNCTION("""COMPUTED_VALUE"""),"Faith Hill")</f>
        <v>Faith Hill</v>
      </c>
      <c r="B142" s="8" t="str">
        <f>IFERROR(__xludf.DUMMYFUNCTION("""COMPUTED_VALUE"""),"1967-, American crossover country music artist. You just gotta have Faith.")</f>
        <v>1967-, American crossover country music artist. You just gotta have Faith.</v>
      </c>
      <c r="C142" s="13" t="str">
        <f>IFERROR(__xludf.DUMMYFUNCTION("""COMPUTED_VALUE"""),"""jafa"":{""label"":""Faith Hill"",""extra"":""1967-, American crossover country music artist. You just gotta have Faith."",""sets"":""Expansion Set 3, Party Expansion 1""},")</f>
        <v>"jafa":{"label":"Faith Hill","extra":"1967-, American crossover country music artist. You just gotta have Faith.","sets":"Expansion Set 3, Party Expansion 1"},</v>
      </c>
    </row>
    <row r="143">
      <c r="A143" s="8" t="str">
        <f>IFERROR(__xludf.DUMMYFUNCTION("""COMPUTED_VALUE"""),"Fame &amp; Fortune")</f>
        <v>Fame &amp; Fortune</v>
      </c>
      <c r="B143" s="8" t="str">
        <f>IFERROR(__xludf.DUMMYFUNCTION("""COMPUTED_VALUE"""),"Everybody may have 15 minutes of fame, but fortune is another thing altogether.")</f>
        <v>Everybody may have 15 minutes of fame, but fortune is another thing altogether.</v>
      </c>
      <c r="C143" s="13" t="str">
        <f>IFERROR(__xludf.DUMMYFUNCTION("""COMPUTED_VALUE"""),"""otyw"":{""label"":""Fame &amp; Fortune"",""extra"":""Everybody may have 15 minutes of fame, but fortune is another thing altogether."",""sets"":""Expansion Set 4, Party Expansion 1""},")</f>
        <v>"otyw":{"label":"Fame &amp; Fortune","extra":"Everybody may have 15 minutes of fame, but fortune is another thing altogether.","sets":"Expansion Set 4, Party Expansion 1"},</v>
      </c>
    </row>
    <row r="144">
      <c r="A144" s="8" t="str">
        <f>IFERROR(__xludf.DUMMYFUNCTION("""COMPUTED_VALUE"""),"Fat")</f>
        <v>Fat</v>
      </c>
      <c r="B144" s="8" t="str">
        <f>IFERROR(__xludf.DUMMYFUNCTION("""COMPUTED_VALUE"""),"I can't believe I ate the whooooooole thing.")</f>
        <v>I can't believe I ate the whooooooole thing.</v>
      </c>
      <c r="C144" s="13" t="str">
        <f>IFERROR(__xludf.DUMMYFUNCTION("""COMPUTED_VALUE"""),"""nknb"":{""label"":""Fat"",""extra"":""I can't believe I ate the whooooooole thing."",""sets"":""Expansion Set 3, Party Expansion 1""},")</f>
        <v>"nknb":{"label":"Fat","extra":"I can't believe I ate the whooooooole thing.","sets":"Expansion Set 3, Party Expansion 1"},</v>
      </c>
    </row>
    <row r="145">
      <c r="A145" s="8" t="str">
        <f>IFERROR(__xludf.DUMMYFUNCTION("""COMPUTED_VALUE"""),"Fear &amp; Loathing")</f>
        <v>Fear &amp; Loathing</v>
      </c>
      <c r="B145" s="8" t="str">
        <f>IFERROR(__xludf.DUMMYFUNCTION("""COMPUTED_VALUE"""),"In Las Vegas, or anywhere else.")</f>
        <v>In Las Vegas, or anywhere else.</v>
      </c>
      <c r="C145" s="13" t="str">
        <f>IFERROR(__xludf.DUMMYFUNCTION("""COMPUTED_VALUE"""),"""{kwf"":{""label"":""Fear &amp; Loathing"",""extra"":""In Las Vegas, or anywhere else."",""sets"":""Expansion Set 4, Party Expansion 1""},")</f>
        <v>"{kwf":{"label":"Fear &amp; Loathing","extra":"In Las Vegas, or anywhere else.","sets":"Expansion Set 4, Party Expansion 1"},</v>
      </c>
    </row>
    <row r="146">
      <c r="A146" s="8" t="str">
        <f>IFERROR(__xludf.DUMMYFUNCTION("""COMPUTED_VALUE"""),"Ferdinand &amp; Isabella")</f>
        <v>Ferdinand &amp; Isabella</v>
      </c>
      <c r="B146" s="8" t="str">
        <f>IFERROR(__xludf.DUMMYFUNCTION("""COMPUTED_VALUE"""),"Late 15th century king and queen of Spain. They backed Christopher Columbus and benefitted royally.")</f>
        <v>Late 15th century king and queen of Spain. They backed Christopher Columbus and benefitted royally.</v>
      </c>
      <c r="C146" s="13" t="str">
        <f>IFERROR(__xludf.DUMMYFUNCTION("""COMPUTED_VALUE"""),"""grnv"":{""label"":""Ferdinand &amp; Isabella"",""extra"":""Late 15th century king and queen of Spain. They backed Christopher Columbus and benefitted royally."",""sets"":""Expansion Set 4, Party Expansion 1""},")</f>
        <v>"grnv":{"label":"Ferdinand &amp; Isabella","extra":"Late 15th century king and queen of Spain. They backed Christopher Columbus and benefitted royally.","sets":"Expansion Set 4, Party Expansion 1"},</v>
      </c>
    </row>
    <row r="147">
      <c r="A147" s="8" t="str">
        <f>IFERROR(__xludf.DUMMYFUNCTION("""COMPUTED_VALUE"""),"Fertilizer")</f>
        <v>Fertilizer</v>
      </c>
      <c r="B147" s="8" t="str">
        <f>IFERROR(__xludf.DUMMYFUNCTION("""COMPUTED_VALUE"""),"Viagra for the garden.")</f>
        <v>Viagra for the garden.</v>
      </c>
      <c r="C147" s="13" t="str">
        <f>IFERROR(__xludf.DUMMYFUNCTION("""COMPUTED_VALUE"""),"""crzn"":{""label"":""Fertilizer"",""extra"":""Viagra for the garden."",""sets"":""Expansion Set 3, Party Expansion 1""},")</f>
        <v>"crzn":{"label":"Fertilizer","extra":"Viagra for the garden.","sets":"Expansion Set 3, Party Expansion 1"},</v>
      </c>
    </row>
    <row r="148">
      <c r="A148" s="8" t="str">
        <f>IFERROR(__xludf.DUMMYFUNCTION("""COMPUTED_VALUE"""),"Field &amp; Stream")</f>
        <v>Field &amp; Stream</v>
      </c>
      <c r="B148" s="8" t="str">
        <f>IFERROR(__xludf.DUMMYFUNCTION("""COMPUTED_VALUE"""),"The hunter’s best friend.")</f>
        <v>The hunter’s best friend.</v>
      </c>
      <c r="C148" s="13" t="str">
        <f>IFERROR(__xludf.DUMMYFUNCTION("""COMPUTED_VALUE"""),"""omtj"":{""label"":""Field &amp; Stream"",""extra"":""The hunter’s best friend."",""sets"":""Expansion Set 4, Party Expansion 1""},")</f>
        <v>"omtj":{"label":"Field &amp; Stream","extra":"The hunter’s best friend.","sets":"Expansion Set 4, Party Expansion 1"},</v>
      </c>
    </row>
    <row r="149">
      <c r="A149" s="8" t="str">
        <f>IFERROR(__xludf.DUMMYFUNCTION("""COMPUTED_VALUE"""),"Fish &amp; Chips")</f>
        <v>Fish &amp; Chips</v>
      </c>
      <c r="B149" s="8" t="str">
        <f>IFERROR(__xludf.DUMMYFUNCTION("""COMPUTED_VALUE"""),"Just wrap it in any old newspaper.")</f>
        <v>Just wrap it in any old newspaper.</v>
      </c>
      <c r="C149" s="13" t="str">
        <f>IFERROR(__xludf.DUMMYFUNCTION("""COMPUTED_VALUE"""),"""zldb"":{""label"":""Fish &amp; Chips"",""extra"":""Just wrap it in any old newspaper."",""sets"":""Expansion Set 4, Party Expansion 1""},")</f>
        <v>"zldb":{"label":"Fish &amp; Chips","extra":"Just wrap it in any old newspaper.","sets":"Expansion Set 4, Party Expansion 1"},</v>
      </c>
    </row>
    <row r="150">
      <c r="A150" s="8" t="str">
        <f>IFERROR(__xludf.DUMMYFUNCTION("""COMPUTED_VALUE"""),"Flannel Shirts")</f>
        <v>Flannel Shirts</v>
      </c>
      <c r="B150" s="8" t="str">
        <f>IFERROR(__xludf.DUMMYFUNCTION("""COMPUTED_VALUE"""),"Pick your plaid.")</f>
        <v>Pick your plaid.</v>
      </c>
      <c r="C150" s="13" t="str">
        <f>IFERROR(__xludf.DUMMYFUNCTION("""COMPUTED_VALUE"""),"""fuxp"":{""label"":""Flannel Shirts"",""extra"":""Pick your plaid."",""sets"":""Expansion Set 3, Party Expansion 1""},")</f>
        <v>"fuxp":{"label":"Flannel Shirts","extra":"Pick your plaid.","sets":"Expansion Set 3, Party Expansion 1"},</v>
      </c>
    </row>
    <row r="151">
      <c r="A151" s="8" t="str">
        <f>IFERROR(__xludf.DUMMYFUNCTION("""COMPUTED_VALUE"""),"Flash Floods")</f>
        <v>Flash Floods</v>
      </c>
      <c r="B151" s="8" t="str">
        <f>IFERROR(__xludf.DUMMYFUNCTION("""COMPUTED_VALUE"""),"Too late for sandbags!")</f>
        <v>Too late for sandbags!</v>
      </c>
      <c r="C151" s="13" t="str">
        <f>IFERROR(__xludf.DUMMYFUNCTION("""COMPUTED_VALUE"""),"""oser"":{""label"":""Flash Floods"",""extra"":""Too late for sandbags!"",""sets"":""Expansion Set 3, Party Expansion 1""},")</f>
        <v>"oser":{"label":"Flash Floods","extra":"Too late for sandbags!","sets":"Expansion Set 3, Party Expansion 1"},</v>
      </c>
    </row>
    <row r="152">
      <c r="A152" s="8" t="str">
        <f>IFERROR(__xludf.DUMMYFUNCTION("""COMPUTED_VALUE"""),"Florence Nightengale")</f>
        <v>Florence Nightengale</v>
      </c>
      <c r="B152" s="8" t="str">
        <f>IFERROR(__xludf.DUMMYFUNCTION("""COMPUTED_VALUE"""),"1820-1910, English nurse and health-care reformer. We’ve been singing her praises for years.")</f>
        <v>1820-1910, English nurse and health-care reformer. We’ve been singing her praises for years.</v>
      </c>
      <c r="C152" s="13" t="str">
        <f>IFERROR(__xludf.DUMMYFUNCTION("""COMPUTED_VALUE"""),"""ojms"":{""label"":""Florence Nightengale"",""extra"":""1820-1910, English nurse and health-care reformer. We’ve been singing her praises for years."",""sets"":""Expansion Set 3, Party Expansion 1""},")</f>
        <v>"ojms":{"label":"Florence Nightengale","extra":"1820-1910, English nurse and health-care reformer. We’ve been singing her praises for years.","sets":"Expansion Set 3, Party Expansion 1"},</v>
      </c>
    </row>
    <row r="153">
      <c r="A153" s="8" t="str">
        <f>IFERROR(__xludf.DUMMYFUNCTION("""COMPUTED_VALUE"""),"Flowers &amp; Candy")</f>
        <v>Flowers &amp; Candy</v>
      </c>
      <c r="B153" s="8" t="str">
        <f>IFERROR(__xludf.DUMMYFUNCTION("""COMPUTED_VALUE"""),"When “I’m sorry” is not enough.")</f>
        <v>When “I’m sorry” is not enough.</v>
      </c>
      <c r="C153" s="13" t="str">
        <f>IFERROR(__xludf.DUMMYFUNCTION("""COMPUTED_VALUE"""),"""upav"":{""label"":""Flowers &amp; Candy"",""extra"":""When “I’m sorry” is not enough."",""sets"":""Expansion Set 4, Party Expansion 1""},")</f>
        <v>"upav":{"label":"Flowers &amp; Candy","extra":"When “I’m sorry” is not enough.","sets":"Expansion Set 4, Party Expansion 1"},</v>
      </c>
    </row>
    <row r="154">
      <c r="A154" s="8" t="str">
        <f>IFERROR(__xludf.DUMMYFUNCTION("""COMPUTED_VALUE"""),"Folk Music")</f>
        <v>Folk Music</v>
      </c>
      <c r="B154" s="8" t="str">
        <f>IFERROR(__xludf.DUMMYFUNCTION("""COMPUTED_VALUE"""),"When you’re just fiddling around…")</f>
        <v>When you’re just fiddling around…</v>
      </c>
      <c r="C154" s="13" t="str">
        <f>IFERROR(__xludf.DUMMYFUNCTION("""COMPUTED_VALUE"""),"""cxvt"":{""label"":""Folk Music"",""extra"":""When you’re just fiddling around…"",""sets"":""Expansion Set 3, Party Expansion 1""},")</f>
        <v>"cxvt":{"label":"Folk Music","extra":"When you’re just fiddling around…","sets":"Expansion Set 3, Party Expansion 1"},</v>
      </c>
    </row>
    <row r="155">
      <c r="A155" s="8" t="str">
        <f>IFERROR(__xludf.DUMMYFUNCTION("""COMPUTED_VALUE"""),"Food &amp; Shelter")</f>
        <v>Food &amp; Shelter</v>
      </c>
      <c r="B155" s="8" t="str">
        <f>IFERROR(__xludf.DUMMYFUNCTION("""COMPUTED_VALUE"""),"Gotta have it.")</f>
        <v>Gotta have it.</v>
      </c>
      <c r="C155" s="13" t="str">
        <f>IFERROR(__xludf.DUMMYFUNCTION("""COMPUTED_VALUE"""),"""pkcb"":{""label"":""Food &amp; Shelter"",""extra"":""Gotta have it."",""sets"":""Expansion Set 4, Party Expansion 1""},")</f>
        <v>"pkcb":{"label":"Food &amp; Shelter","extra":"Gotta have it.","sets":"Expansion Set 4, Party Expansion 1"},</v>
      </c>
    </row>
    <row r="156">
      <c r="A156" s="8" t="str">
        <f>IFERROR(__xludf.DUMMYFUNCTION("""COMPUTED_VALUE"""),"Food Poisoning")</f>
        <v>Food Poisoning</v>
      </c>
      <c r="B156" s="8" t="str">
        <f>IFERROR(__xludf.DUMMYFUNCTION("""COMPUTED_VALUE"""),"This chicken tastes kinda funny…")</f>
        <v>This chicken tastes kinda funny…</v>
      </c>
      <c r="C156" s="13" t="str">
        <f>IFERROR(__xludf.DUMMYFUNCTION("""COMPUTED_VALUE"""),"""rwdq"":{""label"":""Food Poisoning"",""extra"":""This chicken tastes kinda funny…"",""sets"":""Expansion Set 3, Party Expansion 1""},")</f>
        <v>"rwdq":{"label":"Food Poisoning","extra":"This chicken tastes kinda funny…","sets":"Expansion Set 3, Party Expansion 1"},</v>
      </c>
    </row>
    <row r="157">
      <c r="A157" s="8" t="str">
        <f>IFERROR(__xludf.DUMMYFUNCTION("""COMPUTED_VALUE"""),"Foot &amp; Mouth")</f>
        <v>Foot &amp; Mouth</v>
      </c>
      <c r="B157" s="8" t="str">
        <f>IFERROR(__xludf.DUMMYFUNCTION("""COMPUTED_VALUE"""),"An infectious disease of animals with hooves. Not the same as foot-IN-mouth disease which affects everybody at one time or another.")</f>
        <v>An infectious disease of animals with hooves. Not the same as foot-IN-mouth disease which affects everybody at one time or another.</v>
      </c>
      <c r="C157" s="13" t="str">
        <f>IFERROR(__xludf.DUMMYFUNCTION("""COMPUTED_VALUE"""),"""tzse"":{""label"":""Foot &amp; Mouth"",""extra"":""An infectious disease of animals with hooves. Not the same as foot-IN-mouth disease which affects everybody at one time or another."",""sets"":""Expansion Set 4, Party Expansion 1""},")</f>
        <v>"tzse":{"label":"Foot &amp; Mouth","extra":"An infectious disease of animals with hooves. Not the same as foot-IN-mouth disease which affects everybody at one time or another.","sets":"Expansion Set 4, Party Expansion 1"},</v>
      </c>
    </row>
    <row r="158">
      <c r="A158" s="8" t="str">
        <f>IFERROR(__xludf.DUMMYFUNCTION("""COMPUTED_VALUE"""),"Forever &amp; Ever")</f>
        <v>Forever &amp; Ever</v>
      </c>
      <c r="B158" s="8" t="str">
        <f>IFERROR(__xludf.DUMMYFUNCTION("""COMPUTED_VALUE"""),"“Oh baby, I'm gonna love you forever / Forever and ever amen.” —Randy Travis")</f>
        <v>“Oh baby, I'm gonna love you forever / Forever and ever amen.” —Randy Travis</v>
      </c>
      <c r="C158" s="13" t="str">
        <f>IFERROR(__xludf.DUMMYFUNCTION("""COMPUTED_VALUE"""),"""xyxk"":{""label"":""Forever &amp; Ever"",""extra"":""“Oh baby, I'm gonna love you forever / Forever and ever amen.” —Randy Travis"",""sets"":""Expansion Set 4, Party Expansion 1""},")</f>
        <v>"xyxk":{"label":"Forever &amp; Ever","extra":"“Oh baby, I'm gonna love you forever / Forever and ever amen.” —Randy Travis","sets":"Expansion Set 4, Party Expansion 1"},</v>
      </c>
    </row>
    <row r="159">
      <c r="A159" s="8" t="str">
        <f>IFERROR(__xludf.DUMMYFUNCTION("""COMPUTED_VALUE"""),"Fortune Cookies")</f>
        <v>Fortune Cookies</v>
      </c>
      <c r="B159" s="8" t="str">
        <f>IFERROR(__xludf.DUMMYFUNCTION("""COMPUTED_VALUE"""),"“You will soon eat a flat, dry, tasteless cookie…”")</f>
        <v>“You will soon eat a flat, dry, tasteless cookie…”</v>
      </c>
      <c r="C159" s="13" t="str">
        <f>IFERROR(__xludf.DUMMYFUNCTION("""COMPUTED_VALUE"""),"""vtwx"":{""label"":""Fortune Cookies"",""extra"":""“You will soon eat a flat, dry, tasteless cookie…”"",""sets"":""Expansion Set 3, Party Expansion 1""},")</f>
        <v>"vtwx":{"label":"Fortune Cookies","extra":"“You will soon eat a flat, dry, tasteless cookie…”","sets":"Expansion Set 3, Party Expansion 1"},</v>
      </c>
    </row>
    <row r="160">
      <c r="A160" s="8" t="str">
        <f>IFERROR(__xludf.DUMMYFUNCTION("""COMPUTED_VALUE"""),"Freaks &amp; Geeks")</f>
        <v>Freaks &amp; Geeks</v>
      </c>
      <c r="B160" s="8" t="str">
        <f>IFERROR(__xludf.DUMMYFUNCTION("""COMPUTED_VALUE"""),"The 1999 television show, or those outside the social norm.")</f>
        <v>The 1999 television show, or those outside the social norm.</v>
      </c>
      <c r="C160" s="13" t="str">
        <f>IFERROR(__xludf.DUMMYFUNCTION("""COMPUTED_VALUE"""),"""ajco"":{""label"":""Freaks &amp; Geeks"",""extra"":""The 1999 television show, or those outside the social norm."",""sets"":""Expansion Set 4, Party Expansion 1""},")</f>
        <v>"ajco":{"label":"Freaks &amp; Geeks","extra":"The 1999 television show, or those outside the social norm.","sets":"Expansion Set 4, Party Expansion 1"},</v>
      </c>
    </row>
    <row r="161">
      <c r="A161" s="8" t="str">
        <f>IFERROR(__xludf.DUMMYFUNCTION("""COMPUTED_VALUE"""),"Fred &amp; Ginger")</f>
        <v>Fred &amp; Ginger</v>
      </c>
      <c r="B161" s="8" t="str">
        <f>IFERROR(__xludf.DUMMYFUNCTION("""COMPUTED_VALUE"""),"Fred Astair &amp; Ginger Rogerstap dancing their way into the hearts of millions.")</f>
        <v>Fred Astair &amp; Ginger Rogerstap dancing their way into the hearts of millions.</v>
      </c>
      <c r="C161" s="13" t="str">
        <f>IFERROR(__xludf.DUMMYFUNCTION("""COMPUTED_VALUE"""),"""myik"":{""label"":""Fred &amp; Ginger"",""extra"":""Fred Astair &amp; Ginger Rogerstap dancing their way into the hearts of millions."",""sets"":""Expansion Set 4, Party Expansion 1""},")</f>
        <v>"myik":{"label":"Fred &amp; Ginger","extra":"Fred Astair &amp; Ginger Rogerstap dancing their way into the hearts of millions.","sets":"Expansion Set 4, Party Expansion 1"},</v>
      </c>
    </row>
    <row r="162">
      <c r="A162" s="8" t="str">
        <f>IFERROR(__xludf.DUMMYFUNCTION("""COMPUTED_VALUE"""),"Fred &amp; Wilma")</f>
        <v>Fred &amp; Wilma</v>
      </c>
      <c r="B162" s="8" t="str">
        <f>IFERROR(__xludf.DUMMYFUNCTION("""COMPUTED_VALUE"""),"Meet the Flintstones. “Yabba-dabba-doooo!”")</f>
        <v>Meet the Flintstones. “Yabba-dabba-doooo!”</v>
      </c>
      <c r="C162" s="13" t="str">
        <f>IFERROR(__xludf.DUMMYFUNCTION("""COMPUTED_VALUE"""),"""ynlf"":{""label"":""Fred &amp; Wilma"",""extra"":""Meet the Flintstones. “Yabba-dabba-doooo!”"",""sets"":""Expansion Set 4, Party Expansion 1""},")</f>
        <v>"ynlf":{"label":"Fred &amp; Wilma","extra":"Meet the Flintstones. “Yabba-dabba-doooo!”","sets":"Expansion Set 4, Party Expansion 1"},</v>
      </c>
    </row>
    <row r="163">
      <c r="A163" s="8" t="str">
        <f>IFERROR(__xludf.DUMMYFUNCTION("""COMPUTED_VALUE"""),"Fred Flintstone")</f>
        <v>Fred Flintstone</v>
      </c>
      <c r="B163" s="8" t="str">
        <f>IFERROR(__xludf.DUMMYFUNCTION("""COMPUTED_VALUE"""),"Yaba-daba-dooooo!")</f>
        <v>Yaba-daba-dooooo!</v>
      </c>
      <c r="C163" s="13" t="str">
        <f>IFERROR(__xludf.DUMMYFUNCTION("""COMPUTED_VALUE"""),"""npvm"":{""label"":""Fred Flintstone"",""extra"":""Yaba-daba-dooooo!"",""sets"":""Expansion Set 3, Party Expansion 1""},")</f>
        <v>"npvm":{"label":"Fred Flintstone","extra":"Yaba-daba-dooooo!","sets":"Expansion Set 3, Party Expansion 1"},</v>
      </c>
    </row>
    <row r="164">
      <c r="A164" s="8" t="str">
        <f>IFERROR(__xludf.DUMMYFUNCTION("""COMPUTED_VALUE"""),"Friends &amp; Family")</f>
        <v>Friends &amp; Family</v>
      </c>
      <c r="B164" s="8" t="str">
        <f>IFERROR(__xludf.DUMMYFUNCTION("""COMPUTED_VALUE"""),"There when you need them.")</f>
        <v>There when you need them.</v>
      </c>
      <c r="C164" s="13" t="str">
        <f>IFERROR(__xludf.DUMMYFUNCTION("""COMPUTED_VALUE"""),"""yscf"":{""label"":""Friends &amp; Family"",""extra"":""There when you need them."",""sets"":""Expansion Set 4, Party Expansion 1""},")</f>
        <v>"yscf":{"label":"Friends &amp; Family","extra":"There when you need them.","sets":"Expansion Set 4, Party Expansion 1"},</v>
      </c>
    </row>
    <row r="165">
      <c r="A165" s="8" t="str">
        <f>IFERROR(__xludf.DUMMYFUNCTION("""COMPUTED_VALUE"""),"Frisbees")</f>
        <v>Frisbees</v>
      </c>
      <c r="B165" s="8" t="str">
        <f>IFERROR(__xludf.DUMMYFUNCTION("""COMPUTED_VALUE"""),"The frisbee was introduced to the market in 1948. Take one for a spin.")</f>
        <v>The frisbee was introduced to the market in 1948. Take one for a spin.</v>
      </c>
      <c r="C165" s="13" t="str">
        <f>IFERROR(__xludf.DUMMYFUNCTION("""COMPUTED_VALUE"""),"""epbw"":{""label"":""Frisbees"",""extra"":""The frisbee was introduced to the market in 1948. Take one for a spin."",""sets"":""Expansion Set 3, Party Expansion 1""},")</f>
        <v>"epbw":{"label":"Frisbees","extra":"The frisbee was introduced to the market in 1948. Take one for a spin.","sets":"Expansion Set 3, Party Expansion 1"},</v>
      </c>
    </row>
    <row r="166">
      <c r="A166" s="8" t="str">
        <f>IFERROR(__xludf.DUMMYFUNCTION("""COMPUTED_VALUE"""),"Frog &amp; Toad")</f>
        <v>Frog &amp; Toad</v>
      </c>
      <c r="B166" s="8" t="str">
        <f>IFERROR(__xludf.DUMMYFUNCTION("""COMPUTED_VALUE"""),"Characters in a series of children’s books by Arnold Lobel, or any of the millions of frogs and toads who choose not to wear clothes.")</f>
        <v>Characters in a series of children’s books by Arnold Lobel, or any of the millions of frogs and toads who choose not to wear clothes.</v>
      </c>
      <c r="C166" s="13" t="str">
        <f>IFERROR(__xludf.DUMMYFUNCTION("""COMPUTED_VALUE"""),"""xodh"":{""label"":""Frog &amp; Toad"",""extra"":""Characters in a series of children’s books by Arnold Lobel, or any of the millions of frogs and toads who choose not to wear clothes."",""sets"":""Expansion Set 4, Party Expansion 1""},")</f>
        <v>"xodh":{"label":"Frog &amp; Toad","extra":"Characters in a series of children’s books by Arnold Lobel, or any of the millions of frogs and toads who choose not to wear clothes.","sets":"Expansion Set 4, Party Expansion 1"},</v>
      </c>
    </row>
    <row r="167">
      <c r="A167" s="8" t="str">
        <f>IFERROR(__xludf.DUMMYFUNCTION("""COMPUTED_VALUE"""),"Gardening")</f>
        <v>Gardening</v>
      </c>
      <c r="B167" s="8" t="str">
        <f>IFERROR(__xludf.DUMMYFUNCTION("""COMPUTED_VALUE"""),"Get in touch with your roots.")</f>
        <v>Get in touch with your roots.</v>
      </c>
      <c r="C167" s="13" t="str">
        <f>IFERROR(__xludf.DUMMYFUNCTION("""COMPUTED_VALUE"""),"""gnda"":{""label"":""Gardening"",""extra"":""Get in touch with your roots."",""sets"":""Expansion Set 3, Party Expansion 1""},")</f>
        <v>"gnda":{"label":"Gardening","extra":"Get in touch with your roots.","sets":"Expansion Set 3, Party Expansion 1"},</v>
      </c>
    </row>
    <row r="168">
      <c r="A168" s="8" t="str">
        <f>IFERROR(__xludf.DUMMYFUNCTION("""COMPUTED_VALUE"""),"George &amp; Jane, His Wife")</f>
        <v>George &amp; Jane, His Wife</v>
      </c>
      <c r="B168" s="8" t="str">
        <f>IFERROR(__xludf.DUMMYFUNCTION("""COMPUTED_VALUE"""),"The Jetsons television show first aired in 1962. In spite of our best efforts, cars still can't fly.")</f>
        <v>The Jetsons television show first aired in 1962. In spite of our best efforts, cars still can't fly.</v>
      </c>
      <c r="C168" s="13" t="str">
        <f>IFERROR(__xludf.DUMMYFUNCTION("""COMPUTED_VALUE"""),"""kqlq"":{""label"":""George &amp; Jane, His Wife"",""extra"":""The Jetsons television show first aired in 1962. In spite of our best efforts, cars still can't fly."",""sets"":""Expansion Set 4, Party Expansion 1""},")</f>
        <v>"kqlq":{"label":"George &amp; Jane, His Wife","extra":"The Jetsons television show first aired in 1962. In spite of our best efforts, cars still can't fly.","sets":"Expansion Set 4, Party Expansion 1"},</v>
      </c>
    </row>
    <row r="169">
      <c r="A169" s="8" t="str">
        <f>IFERROR(__xludf.DUMMYFUNCTION("""COMPUTED_VALUE"""),"Gettysburg, 1863")</f>
        <v>Gettysburg, 1863</v>
      </c>
      <c r="B169" s="8" t="str">
        <f>IFERROR(__xludf.DUMMYFUNCTION("""COMPUTED_VALUE"""),"The turning point of the American Civil War, a bit more than four score and seven years ago.")</f>
        <v>The turning point of the American Civil War, a bit more than four score and seven years ago.</v>
      </c>
      <c r="C169" s="13" t="str">
        <f>IFERROR(__xludf.DUMMYFUNCTION("""COMPUTED_VALUE"""),"""urur"":{""label"":""Gettysburg, 1863"",""extra"":""The turning point of the American Civil War, a bit more than four score and seven years ago."",""sets"":""Expansion Set 3, Party Expansion 1""},")</f>
        <v>"urur":{"label":"Gettysburg, 1863","extra":"The turning point of the American Civil War, a bit more than four score and seven years ago.","sets":"Expansion Set 3, Party Expansion 1"},</v>
      </c>
    </row>
    <row r="170">
      <c r="A170" s="8" t="str">
        <f>IFERROR(__xludf.DUMMYFUNCTION("""COMPUTED_VALUE"""),"Ghosts &amp; Goblins")</f>
        <v>Ghosts &amp; Goblins</v>
      </c>
      <c r="B170" s="8" t="str">
        <f>IFERROR(__xludf.DUMMYFUNCTION("""COMPUTED_VALUE"""),"“I see dead people.” —Cole Sear, The Sixth Sense")</f>
        <v>“I see dead people.” —Cole Sear, The Sixth Sense</v>
      </c>
      <c r="C170" s="13" t="str">
        <f>IFERROR(__xludf.DUMMYFUNCTION("""COMPUTED_VALUE"""),"""zwri"":{""label"":""Ghosts &amp; Goblins"",""extra"":""“I see dead people.” —Cole Sear, The Sixth Sense"",""sets"":""Expansion Set 4, Party Expansion 1""},")</f>
        <v>"zwri":{"label":"Ghosts &amp; Goblins","extra":"“I see dead people.” —Cole Sear, The Sixth Sense","sets":"Expansion Set 4, Party Expansion 1"},</v>
      </c>
    </row>
    <row r="171">
      <c r="A171" s="8" t="str">
        <f>IFERROR(__xludf.DUMMYFUNCTION("""COMPUTED_VALUE"""),"Gilligan's Island")</f>
        <v>Gilligan's Island</v>
      </c>
      <c r="B171" s="8" t="str">
        <f>IFERROR(__xludf.DUMMYFUNCTION("""COMPUTED_VALUE"""),"Who would have thought that you could make a radio out of coconuts.")</f>
        <v>Who would have thought that you could make a radio out of coconuts.</v>
      </c>
      <c r="C171" s="13" t="str">
        <f>IFERROR(__xludf.DUMMYFUNCTION("""COMPUTED_VALUE"""),"""nlsr"":{""label"":""Gilligan's Island"",""extra"":""Who would have thought that you could make a radio out of coconuts."",""sets"":""Expansion Set 3, Party Expansion 1""},")</f>
        <v>"nlsr":{"label":"Gilligan's Island","extra":"Who would have thought that you could make a radio out of coconuts.","sets":"Expansion Set 3, Party Expansion 1"},</v>
      </c>
    </row>
    <row r="172">
      <c r="A172" s="8" t="str">
        <f>IFERROR(__xludf.DUMMYFUNCTION("""COMPUTED_VALUE"""),"Ginger &amp; Mary Ann")</f>
        <v>Ginger &amp; Mary Ann</v>
      </c>
      <c r="B172" s="8" t="str">
        <f>IFERROR(__xludf.DUMMYFUNCTION("""COMPUTED_VALUE"""),"“Here on Gilligan’s Isle.”")</f>
        <v>“Here on Gilligan’s Isle.”</v>
      </c>
      <c r="C172" s="13" t="str">
        <f>IFERROR(__xludf.DUMMYFUNCTION("""COMPUTED_VALUE"""),"""xldh"":{""label"":""Ginger &amp; Mary Ann"",""extra"":""“Here on Gilligan’s Isle.”"",""sets"":""Expansion Set 4, Party Expansion 1""},")</f>
        <v>"xldh":{"label":"Ginger &amp; Mary Ann","extra":"“Here on Gilligan’s Isle.”","sets":"Expansion Set 4, Party Expansion 1"},</v>
      </c>
    </row>
    <row r="173">
      <c r="A173" s="8" t="str">
        <f>IFERROR(__xludf.DUMMYFUNCTION("""COMPUTED_VALUE"""),"Giraffes")</f>
        <v>Giraffes</v>
      </c>
      <c r="B173" s="8" t="str">
        <f>IFERROR(__xludf.DUMMYFUNCTION("""COMPUTED_VALUE"""),"Giraffes can grow to 18 feet tall and have been known to kill a lion with a single kick. Not just another pretty face.")</f>
        <v>Giraffes can grow to 18 feet tall and have been known to kill a lion with a single kick. Not just another pretty face.</v>
      </c>
      <c r="C173" s="13" t="str">
        <f>IFERROR(__xludf.DUMMYFUNCTION("""COMPUTED_VALUE"""),"""w{nm"":{""label"":""Giraffes"",""extra"":""Giraffes can grow to 18 feet tall and have been known to kill a lion with a single kick. Not just another pretty face."",""sets"":""Expansion Set 3, Party Expansion 1""},")</f>
        <v>"w{nm":{"label":"Giraffes","extra":"Giraffes can grow to 18 feet tall and have been known to kill a lion with a single kick. Not just another pretty face.","sets":"Expansion Set 3, Party Expansion 1"},</v>
      </c>
    </row>
    <row r="174">
      <c r="A174" s="8" t="str">
        <f>IFERROR(__xludf.DUMMYFUNCTION("""COMPUTED_VALUE"""),"Go Karts")</f>
        <v>Go Karts</v>
      </c>
      <c r="B174" s="8" t="str">
        <f>IFERROR(__xludf.DUMMYFUNCTION("""COMPUTED_VALUE"""),"Go kart, go!")</f>
        <v>Go kart, go!</v>
      </c>
      <c r="C174" s="13" t="str">
        <f>IFERROR(__xludf.DUMMYFUNCTION("""COMPUTED_VALUE"""),"""lagh"":{""label"":""Go Karts"",""extra"":""Go kart, go!"",""sets"":""Expansion Set 3, Party Expansion 1""},")</f>
        <v>"lagh":{"label":"Go Karts","extra":"Go kart, go!","sets":"Expansion Set 3, Party Expansion 1"},</v>
      </c>
    </row>
    <row r="175">
      <c r="A175" s="8" t="str">
        <f>IFERROR(__xludf.DUMMYFUNCTION("""COMPUTED_VALUE"""),"Going On A Cruise")</f>
        <v>Going On A Cruise</v>
      </c>
      <c r="B175" s="8" t="str">
        <f>IFERROR(__xludf.DUMMYFUNCTION("""COMPUTED_VALUE"""),"Iceberg, dead ahead!")</f>
        <v>Iceberg, dead ahead!</v>
      </c>
      <c r="C175" s="13" t="str">
        <f>IFERROR(__xludf.DUMMYFUNCTION("""COMPUTED_VALUE"""),"""cxmi"":{""label"":""Going On A Cruise"",""extra"":""Iceberg, dead ahead!"",""sets"":""Expansion Set 3, Party Expansion 1""},")</f>
        <v>"cxmi":{"label":"Going On A Cruise","extra":"Iceberg, dead ahead!","sets":"Expansion Set 3, Party Expansion 1"},</v>
      </c>
    </row>
    <row r="176">
      <c r="A176" s="8" t="str">
        <f>IFERROR(__xludf.DUMMYFUNCTION("""COMPUTED_VALUE"""),"Gold &amp; Silver")</f>
        <v>Gold &amp; Silver</v>
      </c>
      <c r="B176" s="8" t="str">
        <f>IFERROR(__xludf.DUMMYFUNCTION("""COMPUTED_VALUE"""),"There’s a good reason Fort Knox is full of gold and not silver.")</f>
        <v>There’s a good reason Fort Knox is full of gold and not silver.</v>
      </c>
      <c r="C176" s="13" t="str">
        <f>IFERROR(__xludf.DUMMYFUNCTION("""COMPUTED_VALUE"""),"""mfey"":{""label"":""Gold &amp; Silver"",""extra"":""There’s a good reason Fort Knox is full of gold and not silver."",""sets"":""Expansion Set 4, Party Expansion 1""},")</f>
        <v>"mfey":{"label":"Gold &amp; Silver","extra":"There’s a good reason Fort Knox is full of gold and not silver.","sets":"Expansion Set 4, Party Expansion 1"},</v>
      </c>
    </row>
    <row r="177">
      <c r="A177" s="8" t="str">
        <f>IFERROR(__xludf.DUMMYFUNCTION("""COMPUTED_VALUE"""),"Good &amp; Plenty")</f>
        <v>Good &amp; Plenty</v>
      </c>
      <c r="B177" s="8" t="str">
        <f>IFERROR(__xludf.DUMMYFUNCTION("""COMPUTED_VALUE"""),"The licorice candy was first produced in 1893, making it the oldest branded candy in the United States.")</f>
        <v>The licorice candy was first produced in 1893, making it the oldest branded candy in the United States.</v>
      </c>
      <c r="C177" s="13" t="str">
        <f>IFERROR(__xludf.DUMMYFUNCTION("""COMPUTED_VALUE"""),"""kpdi"":{""label"":""Good &amp; Plenty"",""extra"":""The licorice candy was first produced in 1893, making it the oldest branded candy in the United States."",""sets"":""Expansion Set 4, Party Expansion 1""},")</f>
        <v>"kpdi":{"label":"Good &amp; Plenty","extra":"The licorice candy was first produced in 1893, making it the oldest branded candy in the United States.","sets":"Expansion Set 4, Party Expansion 1"},</v>
      </c>
    </row>
    <row r="178">
      <c r="A178" s="8" t="str">
        <f>IFERROR(__xludf.DUMMYFUNCTION("""COMPUTED_VALUE"""),"Goose &amp; The Gander")</f>
        <v>Goose &amp; The Gander</v>
      </c>
      <c r="B178" s="8" t="str">
        <f>IFERROR(__xludf.DUMMYFUNCTION("""COMPUTED_VALUE"""),"If it’s good for the goose…")</f>
        <v>If it’s good for the goose…</v>
      </c>
      <c r="C178" s="13" t="str">
        <f>IFERROR(__xludf.DUMMYFUNCTION("""COMPUTED_VALUE"""),"""rvxi"":{""label"":""Goose &amp; The Gander"",""extra"":""If it’s good for the goose…"",""sets"":""Expansion Set 4, Party Expansion 1""},")</f>
        <v>"rvxi":{"label":"Goose &amp; The Gander","extra":"If it’s good for the goose…","sets":"Expansion Set 4, Party Expansion 1"},</v>
      </c>
    </row>
    <row r="179">
      <c r="A179" s="8" t="str">
        <f>IFERROR(__xludf.DUMMYFUNCTION("""COMPUTED_VALUE"""),"Gourmet Coffee Shops")</f>
        <v>Gourmet Coffee Shops</v>
      </c>
      <c r="B179" s="8" t="str">
        <f>IFERROR(__xludf.DUMMYFUNCTION("""COMPUTED_VALUE"""),"I’ll have a tall, double cappuccino, wet, with vanilla, half decaf, to walk.")</f>
        <v>I’ll have a tall, double cappuccino, wet, with vanilla, half decaf, to walk.</v>
      </c>
      <c r="C179" s="13" t="str">
        <f>IFERROR(__xludf.DUMMYFUNCTION("""COMPUTED_VALUE"""),"""dtha"":{""label"":""Gourmet Coffee Shops"",""extra"":""I’ll have a tall, double cappuccino, wet, with vanilla, half decaf, to walk."",""sets"":""Expansion Set 3, Party Expansion 1""},")</f>
        <v>"dtha":{"label":"Gourmet Coffee Shops","extra":"I’ll have a tall, double cappuccino, wet, with vanilla, half decaf, to walk.","sets":"Expansion Set 3, Party Expansion 1"},</v>
      </c>
    </row>
    <row r="180">
      <c r="A180" s="8" t="str">
        <f>IFERROR(__xludf.DUMMYFUNCTION("""COMPUTED_VALUE"""),"Grease")</f>
        <v>Grease</v>
      </c>
      <c r="B180" s="8" t="str">
        <f>IFERROR(__xludf.DUMMYFUNCTION("""COMPUTED_VALUE"""),"Pretty slick!")</f>
        <v>Pretty slick!</v>
      </c>
      <c r="C180" s="13" t="str">
        <f>IFERROR(__xludf.DUMMYFUNCTION("""COMPUTED_VALUE"""),"""bcii"":{""label"":""Grease"",""extra"":""Pretty slick!"",""sets"":""Expansion Set 3, Party Expansion 1""},")</f>
        <v>"bcii":{"label":"Grease","extra":"Pretty slick!","sets":"Expansion Set 3, Party Expansion 1"},</v>
      </c>
    </row>
    <row r="181">
      <c r="A181" s="8" t="str">
        <f>IFERROR(__xludf.DUMMYFUNCTION("""COMPUTED_VALUE"""),"Grease &amp; Grime")</f>
        <v>Grease &amp; Grime</v>
      </c>
      <c r="B181" s="8" t="str">
        <f>IFERROR(__xludf.DUMMYFUNCTION("""COMPUTED_VALUE"""),"What would Martha do?")</f>
        <v>What would Martha do?</v>
      </c>
      <c r="C181" s="13" t="str">
        <f>IFERROR(__xludf.DUMMYFUNCTION("""COMPUTED_VALUE"""),"""nbuo"":{""label"":""Grease &amp; Grime"",""extra"":""What would Martha do?"",""sets"":""Expansion Set 4, Party Expansion 1""},")</f>
        <v>"nbuo":{"label":"Grease &amp; Grime","extra":"What would Martha do?","sets":"Expansion Set 4, Party Expansion 1"},</v>
      </c>
    </row>
    <row r="182">
      <c r="A182" s="8" t="str">
        <f>IFERROR(__xludf.DUMMYFUNCTION("""COMPUTED_VALUE"""),"Haiku")</f>
        <v>Haiku</v>
      </c>
      <c r="B182" s="8" t="str">
        <f>IFERROR(__xludf.DUMMYFUNCTION("""COMPUTED_VALUE"""),"Traditional form of Japanese poetry consisting of three lines, usually containing a reference to nature.")</f>
        <v>Traditional form of Japanese poetry consisting of three lines, usually containing a reference to nature.</v>
      </c>
      <c r="C182" s="13" t="str">
        <f>IFERROR(__xludf.DUMMYFUNCTION("""COMPUTED_VALUE"""),"""whra"":{""label"":""Haiku"",""extra"":""Traditional form of Japanese poetry consisting of three lines, usually containing a reference to nature."",""sets"":""Expansion Set 3, Party Expansion 1""},")</f>
        <v>"whra":{"label":"Haiku","extra":"Traditional form of Japanese poetry consisting of three lines, usually containing a reference to nature.","sets":"Expansion Set 3, Party Expansion 1"},</v>
      </c>
    </row>
    <row r="183">
      <c r="A183" s="8" t="str">
        <f>IFERROR(__xludf.DUMMYFUNCTION("""COMPUTED_VALUE"""),"Hammer &amp; Nails")</f>
        <v>Hammer &amp; Nails</v>
      </c>
      <c r="B183" s="8" t="str">
        <f>IFERROR(__xludf.DUMMYFUNCTION("""COMPUTED_VALUE"""),"“If I had a hammer…” —Peter, Paul and Mary")</f>
        <v>“If I had a hammer…” —Peter, Paul and Mary</v>
      </c>
      <c r="C183" s="13" t="str">
        <f>IFERROR(__xludf.DUMMYFUNCTION("""COMPUTED_VALUE"""),"""ffca"":{""label"":""Hammer &amp; Nails"",""extra"":""“If I had a hammer…” —Peter, Paul and Mary"",""sets"":""Expansion Set 4, Party Expansion 1""},")</f>
        <v>"ffca":{"label":"Hammer &amp; Nails","extra":"“If I had a hammer…” —Peter, Paul and Mary","sets":"Expansion Set 4, Party Expansion 1"},</v>
      </c>
    </row>
    <row r="184">
      <c r="A184" s="8" t="str">
        <f>IFERROR(__xludf.DUMMYFUNCTION("""COMPUTED_VALUE"""),"Hammer &amp; Sickle")</f>
        <v>Hammer &amp; Sickle</v>
      </c>
      <c r="B184" s="8" t="str">
        <f>IFERROR(__xludf.DUMMYFUNCTION("""COMPUTED_VALUE"""),"An emblem of the Communist movement, now retired… as is the Soviet Union.")</f>
        <v>An emblem of the Communist movement, now retired… as is the Soviet Union.</v>
      </c>
      <c r="C184" s="13" t="str">
        <f>IFERROR(__xludf.DUMMYFUNCTION("""COMPUTED_VALUE"""),"""huxd"":{""label"":""Hammer &amp; Sickle"",""extra"":""An emblem of the Communist movement, now retired… as is the Soviet Union."",""sets"":""Expansion Set 4, Party Expansion 1""},")</f>
        <v>"huxd":{"label":"Hammer &amp; Sickle","extra":"An emblem of the Communist movement, now retired… as is the Soviet Union.","sets":"Expansion Set 4, Party Expansion 1"},</v>
      </c>
    </row>
    <row r="185">
      <c r="A185" s="8" t="str">
        <f>IFERROR(__xludf.DUMMYFUNCTION("""COMPUTED_VALUE"""),"Hang Gliding")</f>
        <v>Hang Gliding</v>
      </c>
      <c r="B185" s="8" t="str">
        <f>IFERROR(__xludf.DUMMYFUNCTION("""COMPUTED_VALUE"""),"Trust us. It’s a breeze.")</f>
        <v>Trust us. It’s a breeze.</v>
      </c>
      <c r="C185" s="13" t="str">
        <f>IFERROR(__xludf.DUMMYFUNCTION("""COMPUTED_VALUE"""),"""pwnj"":{""label"":""Hang Gliding"",""extra"":""Trust us. It’s a breeze."",""sets"":""Expansion Set 3, Party Expansion 1""},")</f>
        <v>"pwnj":{"label":"Hang Gliding","extra":"Trust us. It’s a breeze.","sets":"Expansion Set 3, Party Expansion 1"},</v>
      </c>
    </row>
    <row r="186">
      <c r="A186" s="8" t="str">
        <f>IFERROR(__xludf.DUMMYFUNCTION("""COMPUTED_VALUE"""),"Hansel &amp; Gretel")</f>
        <v>Hansel &amp; Gretel</v>
      </c>
      <c r="B186" s="8" t="str">
        <f>IFERROR(__xludf.DUMMYFUNCTION("""COMPUTED_VALUE"""),"One of Grimm’s grimmer fairy tales.")</f>
        <v>One of Grimm’s grimmer fairy tales.</v>
      </c>
      <c r="C186" s="13" t="str">
        <f>IFERROR(__xludf.DUMMYFUNCTION("""COMPUTED_VALUE"""),"""hjir"":{""label"":""Hansel &amp; Gretel"",""extra"":""One of Grimm’s grimmer fairy tales."",""sets"":""Expansion Set 4, Party Expansion 1""},")</f>
        <v>"hjir":{"label":"Hansel &amp; Gretel","extra":"One of Grimm’s grimmer fairy tales.","sets":"Expansion Set 4, Party Expansion 1"},</v>
      </c>
    </row>
    <row r="187">
      <c r="A187" s="8" t="str">
        <f>IFERROR(__xludf.DUMMYFUNCTION("""COMPUTED_VALUE"""),"Hard Boiled Eggs")</f>
        <v>Hard Boiled Eggs</v>
      </c>
      <c r="B187" s="8" t="str">
        <f>IFERROR(__xludf.DUMMYFUNCTION("""COMPUTED_VALUE"""),"Well, I’ll be deviled…")</f>
        <v>Well, I’ll be deviled…</v>
      </c>
      <c r="C187" s="13" t="str">
        <f>IFERROR(__xludf.DUMMYFUNCTION("""COMPUTED_VALUE"""),"""bcme"":{""label"":""Hard Boiled Eggs"",""extra"":""Well, I’ll be deviled…"",""sets"":""Expansion Set 3, Party Expansion 1""},")</f>
        <v>"bcme":{"label":"Hard Boiled Eggs","extra":"Well, I’ll be deviled…","sets":"Expansion Set 3, Party Expansion 1"},</v>
      </c>
    </row>
    <row r="188">
      <c r="A188" s="8" t="str">
        <f>IFERROR(__xludf.DUMMYFUNCTION("""COMPUTED_VALUE"""),"Harrison Ford")</f>
        <v>Harrison Ford</v>
      </c>
      <c r="B188" s="8" t="str">
        <f>IFERROR(__xludf.DUMMYFUNCTION("""COMPUTED_VALUE"""),"1942-, Iconic American actor. “Hokey religions and ancient weapons are no match for a blaster at your side, kid.”")</f>
        <v>1942-, Iconic American actor. “Hokey religions and ancient weapons are no match for a blaster at your side, kid.”</v>
      </c>
      <c r="C188" s="13" t="str">
        <f>IFERROR(__xludf.DUMMYFUNCTION("""COMPUTED_VALUE"""),"""ejjk"":{""label"":""Harrison Ford"",""extra"":""1942-, Iconic American actor. “Hokey religions and ancient weapons are no match for a blaster at your side, kid.”"",""sets"":""Expansion Set 3, Party Expansion 1""},")</f>
        <v>"ejjk":{"label":"Harrison Ford","extra":"1942-, Iconic American actor. “Hokey religions and ancient weapons are no match for a blaster at your side, kid.”","sets":"Expansion Set 3, Party Expansion 1"},</v>
      </c>
    </row>
    <row r="189">
      <c r="A189" s="8" t="str">
        <f>IFERROR(__xludf.DUMMYFUNCTION("""COMPUTED_VALUE"""),"Harry Potter")</f>
        <v>Harry Potter</v>
      </c>
      <c r="B189" s="8" t="str">
        <f>IFERROR(__xludf.DUMMYFUNCTION("""COMPUTED_VALUE"""),"The hero in a series of books by J.K. Rowling featuring muggles and wizards.")</f>
        <v>The hero in a series of books by J.K. Rowling featuring muggles and wizards.</v>
      </c>
      <c r="C189" s="13" t="str">
        <f>IFERROR(__xludf.DUMMYFUNCTION("""COMPUTED_VALUE"""),"""goen"":{""label"":""Harry Potter"",""extra"":""The hero in a series of books by J.K. Rowling featuring muggles and wizards."",""sets"":""Expansion Set 3, Party Expansion 1""},")</f>
        <v>"goen":{"label":"Harry Potter","extra":"The hero in a series of books by J.K. Rowling featuring muggles and wizards.","sets":"Expansion Set 3, Party Expansion 1"},</v>
      </c>
    </row>
    <row r="190">
      <c r="A190" s="8" t="str">
        <f>IFERROR(__xludf.DUMMYFUNCTION("""COMPUTED_VALUE"""),"Harvard &amp; Yale")</f>
        <v>Harvard &amp; Yale</v>
      </c>
      <c r="B190" s="8" t="str">
        <f>IFERROR(__xludf.DUMMYFUNCTION("""COMPUTED_VALUE"""),"“What? Like it's hard?” —Reese Witherspoon, Legally Blond")</f>
        <v>“What? Like it's hard?” —Reese Witherspoon, Legally Blond</v>
      </c>
      <c r="C190" s="13" t="str">
        <f>IFERROR(__xludf.DUMMYFUNCTION("""COMPUTED_VALUE"""),"""rjdg"":{""label"":""Harvard &amp; Yale"",""extra"":""“What? Like it's hard?” —Reese Witherspoon, Legally Blond"",""sets"":""Expansion Set 4, Party Expansion 1""},")</f>
        <v>"rjdg":{"label":"Harvard &amp; Yale","extra":"“What? Like it's hard?” —Reese Witherspoon, Legally Blond","sets":"Expansion Set 4, Party Expansion 1"},</v>
      </c>
    </row>
    <row r="191">
      <c r="A191" s="8" t="str">
        <f>IFERROR(__xludf.DUMMYFUNCTION("""COMPUTED_VALUE"""),"Hawks &amp; Doves")</f>
        <v>Hawks &amp; Doves</v>
      </c>
      <c r="B191" s="8" t="str">
        <f>IFERROR(__xludf.DUMMYFUNCTION("""COMPUTED_VALUE"""),"The big birds of war and peace.")</f>
        <v>The big birds of war and peace.</v>
      </c>
      <c r="C191" s="13" t="str">
        <f>IFERROR(__xludf.DUMMYFUNCTION("""COMPUTED_VALUE"""),"""yvgt"":{""label"":""Hawks &amp; Doves"",""extra"":""The big birds of war and peace."",""sets"":""Expansion Set 4, Party Expansion 1""},")</f>
        <v>"yvgt":{"label":"Hawks &amp; Doves","extra":"The big birds of war and peace.","sets":"Expansion Set 4, Party Expansion 1"},</v>
      </c>
    </row>
    <row r="192">
      <c r="A192" s="8" t="str">
        <f>IFERROR(__xludf.DUMMYFUNCTION("""COMPUTED_VALUE"""),"Head Lice")</f>
        <v>Head Lice</v>
      </c>
      <c r="B192" s="8" t="str">
        <f>IFERROR(__xludf.DUMMYFUNCTION("""COMPUTED_VALUE"""),"Head lice suck blood from the scalp and spread like crazy. A REAL parasite.")</f>
        <v>Head lice suck blood from the scalp and spread like crazy. A REAL parasite.</v>
      </c>
      <c r="C192" s="13" t="str">
        <f>IFERROR(__xludf.DUMMYFUNCTION("""COMPUTED_VALUE"""),"""jici"":{""label"":""Head Lice"",""extra"":""Head lice suck blood from the scalp and spread like crazy. A REAL parasite."",""sets"":""Expansion Set 3, Party Expansion 1""},")</f>
        <v>"jici":{"label":"Head Lice","extra":"Head lice suck blood from the scalp and spread like crazy. A REAL parasite.","sets":"Expansion Set 3, Party Expansion 1"},</v>
      </c>
    </row>
    <row r="193">
      <c r="A193" s="8" t="str">
        <f>IFERROR(__xludf.DUMMYFUNCTION("""COMPUTED_VALUE"""),"Heart &amp; Soul")</f>
        <v>Heart &amp; Soul</v>
      </c>
      <c r="B193" s="8" t="str">
        <f>IFERROR(__xludf.DUMMYFUNCTION("""COMPUTED_VALUE"""),"They’re yours. All yours!")</f>
        <v>They’re yours. All yours!</v>
      </c>
      <c r="C193" s="13" t="str">
        <f>IFERROR(__xludf.DUMMYFUNCTION("""COMPUTED_VALUE"""),"""{tsd"":{""label"":""Heart &amp; Soul"",""extra"":""They’re yours. All yours!"",""sets"":""Expansion Set 4, Party Expansion 1""},")</f>
        <v>"{tsd":{"label":"Heart &amp; Soul","extra":"They’re yours. All yours!","sets":"Expansion Set 4, Party Expansion 1"},</v>
      </c>
    </row>
    <row r="194">
      <c r="A194" s="8" t="str">
        <f>IFERROR(__xludf.DUMMYFUNCTION("""COMPUTED_VALUE"""),"Heaven &amp; Hell")</f>
        <v>Heaven &amp; Hell</v>
      </c>
      <c r="B194" s="8" t="str">
        <f>IFERROR(__xludf.DUMMYFUNCTION("""COMPUTED_VALUE"""),"The ups and down of the afterlife.")</f>
        <v>The ups and down of the afterlife.</v>
      </c>
      <c r="C194" s="13" t="str">
        <f>IFERROR(__xludf.DUMMYFUNCTION("""COMPUTED_VALUE"""),"""swlj"":{""label"":""Heaven &amp; Hell"",""extra"":""The ups and down of the afterlife."",""sets"":""Expansion Set 4, Party Expansion 1""},")</f>
        <v>"swlj":{"label":"Heaven &amp; Hell","extra":"The ups and down of the afterlife.","sets":"Expansion Set 4, Party Expansion 1"},</v>
      </c>
    </row>
    <row r="195">
      <c r="A195" s="8" t="str">
        <f>IFERROR(__xludf.DUMMYFUNCTION("""COMPUTED_VALUE"""),"Herb Gardens")</f>
        <v>Herb Gardens</v>
      </c>
      <c r="B195" s="8" t="str">
        <f>IFERROR(__xludf.DUMMYFUNCTION("""COMPUTED_VALUE"""),"Rosemary, Basil, Chive… is it a herb garden or the cast from a British drama?")</f>
        <v>Rosemary, Basil, Chive… is it a herb garden or the cast from a British drama?</v>
      </c>
      <c r="C195" s="13" t="str">
        <f>IFERROR(__xludf.DUMMYFUNCTION("""COMPUTED_VALUE"""),"""d{zq"":{""label"":""Herb Gardens"",""extra"":""Rosemary, Basil, Chive… is it a herb garden or the cast from a British drama?"",""sets"":""Expansion Set 3, Party Expansion 1""},")</f>
        <v>"d{zq":{"label":"Herb Gardens","extra":"Rosemary, Basil, Chive… is it a herb garden or the cast from a British drama?","sets":"Expansion Set 3, Party Expansion 1"},</v>
      </c>
    </row>
    <row r="196">
      <c r="A196" s="8" t="str">
        <f>IFERROR(__xludf.DUMMYFUNCTION("""COMPUTED_VALUE"""),"Here &amp; There")</f>
        <v>Here &amp; There</v>
      </c>
      <c r="B196" s="8" t="str">
        <f>IFERROR(__xludf.DUMMYFUNCTION("""COMPUTED_VALUE"""),"And everywhere.")</f>
        <v>And everywhere.</v>
      </c>
      <c r="C196" s="13" t="str">
        <f>IFERROR(__xludf.DUMMYFUNCTION("""COMPUTED_VALUE"""),"""jdye"":{""label"":""Here &amp; There"",""extra"":""And everywhere."",""sets"":""Expansion Set 4, Party Expansion 1""},")</f>
        <v>"jdye":{"label":"Here &amp; There","extra":"And everywhere.","sets":"Expansion Set 4, Party Expansion 1"},</v>
      </c>
    </row>
    <row r="197">
      <c r="A197" s="8" t="str">
        <f>IFERROR(__xludf.DUMMYFUNCTION("""COMPUTED_VALUE"""),"Hills &amp; Valleys")</f>
        <v>Hills &amp; Valleys</v>
      </c>
      <c r="B197" s="8" t="str">
        <f>IFERROR(__xludf.DUMMYFUNCTION("""COMPUTED_VALUE"""),"Nature’s little ups and down.")</f>
        <v>Nature’s little ups and down.</v>
      </c>
      <c r="C197" s="13" t="str">
        <f>IFERROR(__xludf.DUMMYFUNCTION("""COMPUTED_VALUE"""),"""rlyx"":{""label"":""Hills &amp; Valleys"",""extra"":""Nature’s little ups and down."",""sets"":""Expansion Set 4, Party Expansion 1""},")</f>
        <v>"rlyx":{"label":"Hills &amp; Valleys","extra":"Nature’s little ups and down.","sets":"Expansion Set 4, Party Expansion 1"},</v>
      </c>
    </row>
    <row r="198">
      <c r="A198" s="8" t="str">
        <f>IFERROR(__xludf.DUMMYFUNCTION("""COMPUTED_VALUE"""),"Hip Hop")</f>
        <v>Hip Hop</v>
      </c>
      <c r="B198" s="8" t="str">
        <f>IFERROR(__xludf.DUMMYFUNCTION("""COMPUTED_VALUE"""),"Musical and cultural movement that gained popularity in the 1980s. Yo, yo, yo.")</f>
        <v>Musical and cultural movement that gained popularity in the 1980s. Yo, yo, yo.</v>
      </c>
      <c r="C198" s="13" t="str">
        <f>IFERROR(__xludf.DUMMYFUNCTION("""COMPUTED_VALUE"""),"""llgm"":{""label"":""Hip Hop"",""extra"":""Musical and cultural movement that gained popularity in the 1980s. Yo, yo, yo."",""sets"":""Expansion Set 3, Party Expansion 1""},")</f>
        <v>"llgm":{"label":"Hip Hop","extra":"Musical and cultural movement that gained popularity in the 1980s. Yo, yo, yo.","sets":"Expansion Set 3, Party Expansion 1"},</v>
      </c>
    </row>
    <row r="199">
      <c r="A199" s="8" t="str">
        <f>IFERROR(__xludf.DUMMYFUNCTION("""COMPUTED_VALUE"""),"Hit &amp; Run")</f>
        <v>Hit &amp; Run</v>
      </c>
      <c r="B199" s="8" t="str">
        <f>IFERROR(__xludf.DUMMYFUNCTION("""COMPUTED_VALUE"""),"An automobile crash, or a baseball play.")</f>
        <v>An automobile crash, or a baseball play.</v>
      </c>
      <c r="C199" s="13" t="str">
        <f>IFERROR(__xludf.DUMMYFUNCTION("""COMPUTED_VALUE"""),"""gwos"":{""label"":""Hit &amp; Run"",""extra"":""An automobile crash, or a baseball play."",""sets"":""Expansion Set 4, Party Expansion 1""},")</f>
        <v>"gwos":{"label":"Hit &amp; Run","extra":"An automobile crash, or a baseball play.","sets":"Expansion Set 4, Party Expansion 1"},</v>
      </c>
    </row>
    <row r="200">
      <c r="A200" s="8" t="str">
        <f>IFERROR(__xludf.DUMMYFUNCTION("""COMPUTED_VALUE"""),"Hollywood &amp; Vine")</f>
        <v>Hollywood &amp; Vine</v>
      </c>
      <c r="B200" s="8" t="str">
        <f>IFERROR(__xludf.DUMMYFUNCTION("""COMPUTED_VALUE"""),"The Los Angeles street corner where dreams come true.")</f>
        <v>The Los Angeles street corner where dreams come true.</v>
      </c>
      <c r="C200" s="13" t="str">
        <f>IFERROR(__xludf.DUMMYFUNCTION("""COMPUTED_VALUE"""),"""pgrk"":{""label"":""Hollywood &amp; Vine"",""extra"":""The Los Angeles street corner where dreams come true."",""sets"":""Expansion Set 4, Party Expansion 1""},")</f>
        <v>"pgrk":{"label":"Hollywood &amp; Vine","extra":"The Los Angeles street corner where dreams come true.","sets":"Expansion Set 4, Party Expansion 1"},</v>
      </c>
    </row>
    <row r="201">
      <c r="A201" s="8" t="str">
        <f>IFERROR(__xludf.DUMMYFUNCTION("""COMPUTED_VALUE"""),"Hook &amp; Ladder Trucks")</f>
        <v>Hook &amp; Ladder Trucks</v>
      </c>
      <c r="B201" s="8" t="str">
        <f>IFERROR(__xludf.DUMMYFUNCTION("""COMPUTED_VALUE"""),"One big reason to become a firefighter.")</f>
        <v>One big reason to become a firefighter.</v>
      </c>
      <c r="C201" s="13" t="str">
        <f>IFERROR(__xludf.DUMMYFUNCTION("""COMPUTED_VALUE"""),"""nomg"":{""label"":""Hook &amp; Ladder Trucks"",""extra"":""One big reason to become a firefighter."",""sets"":""Expansion Set 4, Party Expansion 1""},")</f>
        <v>"nomg":{"label":"Hook &amp; Ladder Trucks","extra":"One big reason to become a firefighter.","sets":"Expansion Set 4, Party Expansion 1"},</v>
      </c>
    </row>
    <row r="202">
      <c r="A202" s="8" t="str">
        <f>IFERROR(__xludf.DUMMYFUNCTION("""COMPUTED_VALUE"""),"Hootie &amp; The Blowfish")</f>
        <v>Hootie &amp; The Blowfish</v>
      </c>
      <c r="B202" s="8" t="str">
        <f>IFERROR(__xludf.DUMMYFUNCTION("""COMPUTED_VALUE"""),"One of the most commercially successful pop bands to emerge in the 1990s. I go blind when I think about them.")</f>
        <v>One of the most commercially successful pop bands to emerge in the 1990s. I go blind when I think about them.</v>
      </c>
      <c r="C202" s="13" t="str">
        <f>IFERROR(__xludf.DUMMYFUNCTION("""COMPUTED_VALUE"""),"""obfq"":{""label"":""Hootie &amp; The Blowfish"",""extra"":""One of the most commercially successful pop bands to emerge in the 1990s. I go blind when I think about them."",""sets"":""Expansion Set 4, Party Expansion 1""},")</f>
        <v>"obfq":{"label":"Hootie &amp; The Blowfish","extra":"One of the most commercially successful pop bands to emerge in the 1990s. I go blind when I think about them.","sets":"Expansion Set 4, Party Expansion 1"},</v>
      </c>
    </row>
    <row r="203">
      <c r="A203" s="8" t="str">
        <f>IFERROR(__xludf.DUMMYFUNCTION("""COMPUTED_VALUE"""),"Horse &amp; Cart")</f>
        <v>Horse &amp; Cart</v>
      </c>
      <c r="B203" s="8" t="str">
        <f>IFERROR(__xludf.DUMMYFUNCTION("""COMPUTED_VALUE"""),"Get the order right!")</f>
        <v>Get the order right!</v>
      </c>
      <c r="C203" s="13" t="str">
        <f>IFERROR(__xludf.DUMMYFUNCTION("""COMPUTED_VALUE"""),"""dbmp"":{""label"":""Horse &amp; Cart"",""extra"":""Get the order right!"",""sets"":""Expansion Set 4, Party Expansion 1""},")</f>
        <v>"dbmp":{"label":"Horse &amp; Cart","extra":"Get the order right!","sets":"Expansion Set 4, Party Expansion 1"},</v>
      </c>
    </row>
    <row r="204">
      <c r="A204" s="8" t="str">
        <f>IFERROR(__xludf.DUMMYFUNCTION("""COMPUTED_VALUE"""),"Hospital Gowns")</f>
        <v>Hospital Gowns</v>
      </c>
      <c r="B204" s="8" t="str">
        <f>IFERROR(__xludf.DUMMYFUNCTION("""COMPUTED_VALUE"""),"Open all hours.")</f>
        <v>Open all hours.</v>
      </c>
      <c r="C204" s="13" t="str">
        <f>IFERROR(__xludf.DUMMYFUNCTION("""COMPUTED_VALUE"""),"""y{er"":{""label"":""Hospital Gowns"",""extra"":""Open all hours."",""sets"":""Expansion Set 3, Party Expansion 1""},")</f>
        <v>"y{er":{"label":"Hospital Gowns","extra":"Open all hours.","sets":"Expansion Set 3, Party Expansion 1"},</v>
      </c>
    </row>
    <row r="205">
      <c r="A205" s="8" t="str">
        <f>IFERROR(__xludf.DUMMYFUNCTION("""COMPUTED_VALUE"""),"Hotels &amp; Motels")</f>
        <v>Hotels &amp; Motels</v>
      </c>
      <c r="B205" s="8" t="str">
        <f>IFERROR(__xludf.DUMMYFUNCTION("""COMPUTED_VALUE"""),"Get a room!")</f>
        <v>Get a room!</v>
      </c>
      <c r="C205" s="13" t="str">
        <f>IFERROR(__xludf.DUMMYFUNCTION("""COMPUTED_VALUE"""),"""imkn"":{""label"":""Hotels &amp; Motels"",""extra"":""Get a room!"",""sets"":""Expansion Set 4, Party Expansion 1""},")</f>
        <v>"imkn":{"label":"Hotels &amp; Motels","extra":"Get a room!","sets":"Expansion Set 4, Party Expansion 1"},</v>
      </c>
    </row>
    <row r="206">
      <c r="A206" s="8" t="str">
        <f>IFERROR(__xludf.DUMMYFUNCTION("""COMPUTED_VALUE"""),"House &amp; Home")</f>
        <v>House &amp; Home</v>
      </c>
      <c r="B206" s="8" t="str">
        <f>IFERROR(__xludf.DUMMYFUNCTION("""COMPUTED_VALUE"""),"And money pit.")</f>
        <v>And money pit.</v>
      </c>
      <c r="C206" s="13" t="str">
        <f>IFERROR(__xludf.DUMMYFUNCTION("""COMPUTED_VALUE"""),"""tckf"":{""label"":""House &amp; Home"",""extra"":""And money pit."",""sets"":""Expansion Set 4, Party Expansion 1""},")</f>
        <v>"tckf":{"label":"House &amp; Home","extra":"And money pit.","sets":"Expansion Set 4, Party Expansion 1"},</v>
      </c>
    </row>
    <row r="207">
      <c r="A207" s="8" t="str">
        <f>IFERROR(__xludf.DUMMYFUNCTION("""COMPUTED_VALUE"""),"Howard Stern")</f>
        <v>Howard Stern</v>
      </c>
      <c r="B207" s="8" t="str">
        <f>IFERROR(__xludf.DUMMYFUNCTION("""COMPUTED_VALUE"""),"1954-, American shock disc jockey. His autobiography is titled Private Parts. If only they WERE private.")</f>
        <v>1954-, American shock disc jockey. His autobiography is titled Private Parts. If only they WERE private.</v>
      </c>
      <c r="C207" s="13" t="str">
        <f>IFERROR(__xludf.DUMMYFUNCTION("""COMPUTED_VALUE"""),"""socu"":{""label"":""Howard Stern"",""extra"":""1954-, American shock disc jockey. His autobiography is titled Private Parts. If only they WERE private."",""sets"":""Expansion Set 3, Party Expansion 1""},")</f>
        <v>"socu":{"label":"Howard Stern","extra":"1954-, American shock disc jockey. His autobiography is titled Private Parts. If only they WERE private.","sets":"Expansion Set 3, Party Expansion 1"},</v>
      </c>
    </row>
    <row r="208">
      <c r="A208" s="8" t="str">
        <f>IFERROR(__xludf.DUMMYFUNCTION("""COMPUTED_VALUE"""),"Husbands &amp; Wives")</f>
        <v>Husbands &amp; Wives</v>
      </c>
      <c r="B208" s="8" t="str">
        <f>IFERROR(__xludf.DUMMYFUNCTION("""COMPUTED_VALUE"""),"For richer… hopefully.")</f>
        <v>For richer… hopefully.</v>
      </c>
      <c r="C208" s="13" t="str">
        <f>IFERROR(__xludf.DUMMYFUNCTION("""COMPUTED_VALUE"""),"""lemt"":{""label"":""Husbands &amp; Wives"",""extra"":""For richer… hopefully."",""sets"":""Expansion Set 4, Party Expansion 1""},")</f>
        <v>"lemt":{"label":"Husbands &amp; Wives","extra":"For richer… hopefully.","sets":"Expansion Set 4, Party Expansion 1"},</v>
      </c>
    </row>
    <row r="209">
      <c r="A209" s="8" t="str">
        <f>IFERROR(__xludf.DUMMYFUNCTION("""COMPUTED_VALUE"""),"Ice &amp; Snow")</f>
        <v>Ice &amp; Snow</v>
      </c>
      <c r="B209" s="8" t="str">
        <f>IFERROR(__xludf.DUMMYFUNCTION("""COMPUTED_VALUE"""),"“We come from the land of the ice and snow / From the midnight sun where the hot springs blow.” —Led Zeppelin")</f>
        <v>“We come from the land of the ice and snow / From the midnight sun where the hot springs blow.” —Led Zeppelin</v>
      </c>
      <c r="C209" s="13" t="str">
        <f>IFERROR(__xludf.DUMMYFUNCTION("""COMPUTED_VALUE"""),"""gqfj"":{""label"":""Ice &amp; Snow"",""extra"":""“We come from the land of the ice and snow / From the midnight sun where the hot springs blow.” —Led Zeppelin"",""sets"":""Expansion Set 4, Party Expansion 1""},")</f>
        <v>"gqfj":{"label":"Ice &amp; Snow","extra":"“We come from the land of the ice and snow / From the midnight sun where the hot springs blow.” —Led Zeppelin","sets":"Expansion Set 4, Party Expansion 1"},</v>
      </c>
    </row>
    <row r="210">
      <c r="A210" s="8" t="str">
        <f>IFERROR(__xludf.DUMMYFUNCTION("""COMPUTED_VALUE"""),"In The Doghouse")</f>
        <v>In The Doghouse</v>
      </c>
      <c r="B210" s="8" t="str">
        <f>IFERROR(__xludf.DUMMYFUNCTION("""COMPUTED_VALUE"""),"All told, I’d rather be in the cathouse.")</f>
        <v>All told, I’d rather be in the cathouse.</v>
      </c>
      <c r="C210" s="13" t="str">
        <f>IFERROR(__xludf.DUMMYFUNCTION("""COMPUTED_VALUE"""),"""zwkx"":{""label"":""In The Doghouse"",""extra"":""All told, I’d rather be in the cathouse."",""sets"":""Expansion Set 3, Party Expansion 1""},")</f>
        <v>"zwkx":{"label":"In The Doghouse","extra":"All told, I’d rather be in the cathouse.","sets":"Expansion Set 3, Party Expansion 1"},</v>
      </c>
    </row>
    <row r="211">
      <c r="A211" s="8" t="str">
        <f>IFERROR(__xludf.DUMMYFUNCTION("""COMPUTED_VALUE"""),"Irrational Fears")</f>
        <v>Irrational Fears</v>
      </c>
      <c r="B211" s="8" t="str">
        <f>IFERROR(__xludf.DUMMYFUNCTION("""COMPUTED_VALUE"""),"What’s that sound?")</f>
        <v>What’s that sound?</v>
      </c>
      <c r="C211" s="13" t="str">
        <f>IFERROR(__xludf.DUMMYFUNCTION("""COMPUTED_VALUE"""),"""ucgf"":{""label"":""Irrational Fears"",""extra"":""What’s that sound?"",""sets"":""Expansion Set 3, Party Expansion 1""},")</f>
        <v>"ucgf":{"label":"Irrational Fears","extra":"What’s that sound?","sets":"Expansion Set 3, Party Expansion 1"},</v>
      </c>
    </row>
    <row r="212">
      <c r="A212" s="8" t="str">
        <f>IFERROR(__xludf.DUMMYFUNCTION("""COMPUTED_VALUE"""),"Jenna &amp; Barbara")</f>
        <v>Jenna &amp; Barbara</v>
      </c>
      <c r="B212" s="8" t="str">
        <f>IFERROR(__xludf.DUMMYFUNCTION("""COMPUTED_VALUE"""),"President Bush’s daughters, the “First Twins.”")</f>
        <v>President Bush’s daughters, the “First Twins.”</v>
      </c>
      <c r="C212" s="13" t="str">
        <f>IFERROR(__xludf.DUMMYFUNCTION("""COMPUTED_VALUE"""),"""wuun"":{""label"":""Jenna &amp; Barbara"",""extra"":""President Bush’s daughters, the “First Twins.”"",""sets"":""Expansion Set 4, Party Expansion 1""},")</f>
        <v>"wuun":{"label":"Jenna &amp; Barbara","extra":"President Bush’s daughters, the “First Twins.”","sets":"Expansion Set 4, Party Expansion 1"},</v>
      </c>
    </row>
    <row r="213">
      <c r="A213" s="8" t="str">
        <f>IFERROR(__xludf.DUMMYFUNCTION("""COMPUTED_VALUE"""),"John Wayne")</f>
        <v>John Wayne</v>
      </c>
      <c r="B213" s="8" t="str">
        <f>IFERROR(__xludf.DUMMYFUNCTION("""COMPUTED_VALUE"""),"1907-79, legendary American actor, “The Duke” starred in such classics as “Stagecoach,” “The Sands of Iwo Jima” and “True Grit.”")</f>
        <v>1907-79, legendary American actor, “The Duke” starred in such classics as “Stagecoach,” “The Sands of Iwo Jima” and “True Grit.”</v>
      </c>
      <c r="C213" s="13" t="str">
        <f>IFERROR(__xludf.DUMMYFUNCTION("""COMPUTED_VALUE"""),"""vluf"":{""label"":""John Wayne"",""extra"":""1907-79, legendary American actor, “The Duke” starred in such classics as “Stagecoach,” “The Sands of Iwo Jima” and “True Grit.”"",""sets"":""Expansion Set 3, Party Expansion 1""},")</f>
        <v>"vluf":{"label":"John Wayne","extra":"1907-79, legendary American actor, “The Duke” starred in such classics as “Stagecoach,” “The Sands of Iwo Jima” and “True Grit.”","sets":"Expansion Set 3, Party Expansion 1"},</v>
      </c>
    </row>
    <row r="214">
      <c r="A214" s="8" t="str">
        <f>IFERROR(__xludf.DUMMYFUNCTION("""COMPUTED_VALUE"""),"Johnny Depp")</f>
        <v>Johnny Depp</v>
      </c>
      <c r="B214" s="8" t="str">
        <f>IFERROR(__xludf.DUMMYFUNCTION("""COMPUTED_VALUE"""),"1963-, American actor and heart-throb. From “Cry-Baby” to “The Man Who Cried” he's as smooth as “Chocolat.”")</f>
        <v>1963-, American actor and heart-throb. From “Cry-Baby” to “The Man Who Cried” he's as smooth as “Chocolat.”</v>
      </c>
      <c r="C214" s="13" t="str">
        <f>IFERROR(__xludf.DUMMYFUNCTION("""COMPUTED_VALUE"""),"""zrsd"":{""label"":""Johnny Depp"",""extra"":""1963-, American actor and heart-throb. From “Cry-Baby” to “The Man Who Cried” he's as smooth as “Chocolat.”"",""sets"":""Expansion Set 3, Party Expansion 1""},")</f>
        <v>"zrsd":{"label":"Johnny Depp","extra":"1963-, American actor and heart-throb. From “Cry-Baby” to “The Man Who Cried” he's as smooth as “Chocolat.”","sets":"Expansion Set 3, Party Expansion 1"},</v>
      </c>
    </row>
    <row r="215">
      <c r="A215" s="8" t="str">
        <f>IFERROR(__xludf.DUMMYFUNCTION("""COMPUTED_VALUE"""),"Jonah &amp; The Whale")</f>
        <v>Jonah &amp; The Whale</v>
      </c>
      <c r="B215" s="8" t="str">
        <f>IFERROR(__xludf.DUMMYFUNCTION("""COMPUTED_VALUE"""),"The greatest fish story ever told, in the Bible, that is.")</f>
        <v>The greatest fish story ever told, in the Bible, that is.</v>
      </c>
      <c r="C215" s="13" t="str">
        <f>IFERROR(__xludf.DUMMYFUNCTION("""COMPUTED_VALUE"""),"""cdye"":{""label"":""Jonah &amp; The Whale"",""extra"":""The greatest fish story ever told, in the Bible, that is."",""sets"":""Expansion Set 4, Party Expansion 1""},")</f>
        <v>"cdye":{"label":"Jonah &amp; The Whale","extra":"The greatest fish story ever told, in the Bible, that is.","sets":"Expansion Set 4, Party Expansion 1"},</v>
      </c>
    </row>
    <row r="216">
      <c r="A216" s="8" t="str">
        <f>IFERROR(__xludf.DUMMYFUNCTION("""COMPUTED_VALUE"""),"Junkyard Dogs")</f>
        <v>Junkyard Dogs</v>
      </c>
      <c r="B216" s="8" t="str">
        <f>IFERROR(__xludf.DUMMYFUNCTION("""COMPUTED_VALUE"""),"Not as mean as bad, bad Leroy Brown.")</f>
        <v>Not as mean as bad, bad Leroy Brown.</v>
      </c>
      <c r="C216" s="13" t="str">
        <f>IFERROR(__xludf.DUMMYFUNCTION("""COMPUTED_VALUE"""),"""djnv"":{""label"":""Junkyard Dogs"",""extra"":""Not as mean as bad, bad Leroy Brown."",""sets"":""Expansion Set 3, Party Expansion 1""},")</f>
        <v>"djnv":{"label":"Junkyard Dogs","extra":"Not as mean as bad, bad Leroy Brown.","sets":"Expansion Set 3, Party Expansion 1"},</v>
      </c>
    </row>
    <row r="217">
      <c r="A217" s="8" t="str">
        <f>IFERROR(__xludf.DUMMYFUNCTION("""COMPUTED_VALUE"""),"Jurassic Park")</f>
        <v>Jurassic Park</v>
      </c>
      <c r="B217" s="8" t="str">
        <f>IFERROR(__xludf.DUMMYFUNCTION("""COMPUTED_VALUE"""),"1993 film based on Michael Chrichton's book about dinosaurs brought back to life, with Oscar-winning visual effects.")</f>
        <v>1993 film based on Michael Chrichton's book about dinosaurs brought back to life, with Oscar-winning visual effects.</v>
      </c>
      <c r="C217" s="13" t="str">
        <f>IFERROR(__xludf.DUMMYFUNCTION("""COMPUTED_VALUE"""),"""snzp"":{""label"":""Jurassic Park"",""extra"":""1993 film based on Michael Chrichton's book about dinosaurs brought back to life, with Oscar-winning visual effects."",""sets"":""Expansion Set 3, Party Expansion 1""},")</f>
        <v>"snzp":{"label":"Jurassic Park","extra":"1993 film based on Michael Chrichton's book about dinosaurs brought back to life, with Oscar-winning visual effects.","sets":"Expansion Set 3, Party Expansion 1"},</v>
      </c>
    </row>
    <row r="218">
      <c r="A218" s="8" t="str">
        <f>IFERROR(__xludf.DUMMYFUNCTION("""COMPUTED_VALUE"""),"King Tut")</f>
        <v>King Tut</v>
      </c>
      <c r="B218" s="8" t="str">
        <f>IFERROR(__xludf.DUMMYFUNCTION("""COMPUTED_VALUE"""),"Boy king who ruled Egypt from 1333 to 1323 B.C., known for the great wealth of objects found in his tomb. He took it with him.")</f>
        <v>Boy king who ruled Egypt from 1333 to 1323 B.C., known for the great wealth of objects found in his tomb. He took it with him.</v>
      </c>
      <c r="C218" s="13" t="str">
        <f>IFERROR(__xludf.DUMMYFUNCTION("""COMPUTED_VALUE"""),"""bpdn"":{""label"":""King Tut"",""extra"":""Boy king who ruled Egypt from 1333 to 1323 B.C., known for the great wealth of objects found in his tomb. He took it with him."",""sets"":""Expansion Set 3, Party Expansion 1""},")</f>
        <v>"bpdn":{"label":"King Tut","extra":"Boy king who ruled Egypt from 1333 to 1323 B.C., known for the great wealth of objects found in his tomb. He took it with him.","sets":"Expansion Set 3, Party Expansion 1"},</v>
      </c>
    </row>
    <row r="219">
      <c r="A219" s="8" t="str">
        <f>IFERROR(__xludf.DUMMYFUNCTION("""COMPUTED_VALUE"""),"Kiss &amp; Tell")</f>
        <v>Kiss &amp; Tell</v>
      </c>
      <c r="B219" s="8" t="str">
        <f>IFERROR(__xludf.DUMMYFUNCTION("""COMPUTED_VALUE"""),"Best to keep your mouth shut.")</f>
        <v>Best to keep your mouth shut.</v>
      </c>
      <c r="C219" s="13" t="str">
        <f>IFERROR(__xludf.DUMMYFUNCTION("""COMPUTED_VALUE"""),"""dgpl"":{""label"":""Kiss &amp; Tell"",""extra"":""Best to keep your mouth shut."",""sets"":""Expansion Set 4, Party Expansion 1""},")</f>
        <v>"dgpl":{"label":"Kiss &amp; Tell","extra":"Best to keep your mouth shut.","sets":"Expansion Set 4, Party Expansion 1"},</v>
      </c>
    </row>
    <row r="220">
      <c r="A220" s="8" t="str">
        <f>IFERROR(__xludf.DUMMYFUNCTION("""COMPUTED_VALUE"""),"Knife &amp; Fork")</f>
        <v>Knife &amp; Fork</v>
      </c>
      <c r="B220" s="8" t="str">
        <f>IFERROR(__xludf.DUMMYFUNCTION("""COMPUTED_VALUE"""),"Knife on the right, fork on the left.")</f>
        <v>Knife on the right, fork on the left.</v>
      </c>
      <c r="C220" s="13" t="str">
        <f>IFERROR(__xludf.DUMMYFUNCTION("""COMPUTED_VALUE"""),"""l{zk"":{""label"":""Knife &amp; Fork"",""extra"":""Knife on the right, fork on the left."",""sets"":""Expansion Set 4, Party Expansion 1""},")</f>
        <v>"l{zk":{"label":"Knife &amp; Fork","extra":"Knife on the right, fork on the left.","sets":"Expansion Set 4, Party Expansion 1"},</v>
      </c>
    </row>
    <row r="221">
      <c r="A221" s="8" t="str">
        <f>IFERROR(__xludf.DUMMYFUNCTION("""COMPUTED_VALUE"""),"Knitting Needles")</f>
        <v>Knitting Needles</v>
      </c>
      <c r="B221" s="8" t="str">
        <f>IFERROR(__xludf.DUMMYFUNCTION("""COMPUTED_VALUE"""),"Knit one, pearl two…")</f>
        <v>Knit one, pearl two…</v>
      </c>
      <c r="C221" s="13" t="str">
        <f>IFERROR(__xludf.DUMMYFUNCTION("""COMPUTED_VALUE"""),"""zgyl"":{""label"":""Knitting Needles"",""extra"":""Knit one, pearl two…"",""sets"":""Expansion Set 3, Party Expansion 1""},")</f>
        <v>"zgyl":{"label":"Knitting Needles","extra":"Knit one, pearl two…","sets":"Expansion Set 3, Party Expansion 1"},</v>
      </c>
    </row>
    <row r="222">
      <c r="A222" s="8" t="str">
        <f>IFERROR(__xludf.DUMMYFUNCTION("""COMPUTED_VALUE"""),"Lady &amp; The Tramp")</f>
        <v>Lady &amp; The Tramp</v>
      </c>
      <c r="B222" s="8" t="str">
        <f>IFERROR(__xludf.DUMMYFUNCTION("""COMPUTED_VALUE"""),"The 1955 Disney animated film featuring dogs, love and spaghetti.")</f>
        <v>The 1955 Disney animated film featuring dogs, love and spaghetti.</v>
      </c>
      <c r="C222" s="13" t="str">
        <f>IFERROR(__xludf.DUMMYFUNCTION("""COMPUTED_VALUE"""),"""faht"":{""label"":""Lady &amp; The Tramp"",""extra"":""The 1955 Disney animated film featuring dogs, love and spaghetti."",""sets"":""Expansion Set 4, Party Expansion 1""},")</f>
        <v>"faht":{"label":"Lady &amp; The Tramp","extra":"The 1955 Disney animated film featuring dogs, love and spaghetti.","sets":"Expansion Set 4, Party Expansion 1"},</v>
      </c>
    </row>
    <row r="223">
      <c r="A223" s="8" t="str">
        <f>IFERROR(__xludf.DUMMYFUNCTION("""COMPUTED_VALUE"""),"Lance Armstrong")</f>
        <v>Lance Armstrong</v>
      </c>
      <c r="B223" s="8" t="str">
        <f>IFERROR(__xludf.DUMMYFUNCTION("""COMPUTED_VALUE"""),"1971-, American cyclist, cancer survivor and winner of the Tour De France brought new meaning to the phrase “Going Postal.”")</f>
        <v>1971-, American cyclist, cancer survivor and winner of the Tour De France brought new meaning to the phrase “Going Postal.”</v>
      </c>
      <c r="C223" s="13" t="str">
        <f>IFERROR(__xludf.DUMMYFUNCTION("""COMPUTED_VALUE"""),"""jjxi"":{""label"":""Lance Armstrong"",""extra"":""1971-, American cyclist, cancer survivor and winner of the Tour De France brought new meaning to the phrase “Going Postal.”"",""sets"":""Expansion Set 3, Party Expansion 1""},")</f>
        <v>"jjxi":{"label":"Lance Armstrong","extra":"1971-, American cyclist, cancer survivor and winner of the Tour De France brought new meaning to the phrase “Going Postal.”","sets":"Expansion Set 3, Party Expansion 1"},</v>
      </c>
    </row>
    <row r="224">
      <c r="A224" s="8" t="str">
        <f>IFERROR(__xludf.DUMMYFUNCTION("""COMPUTED_VALUE"""),"Lassie")</f>
        <v>Lassie</v>
      </c>
      <c r="B224" s="8" t="str">
        <f>IFERROR(__xludf.DUMMYFUNCTION("""COMPUTED_VALUE"""),"A famous collie, Lassie starred in her own TV show. “What’s that you say Lassie? Little Timmy’s fallen down the well?”")</f>
        <v>A famous collie, Lassie starred in her own TV show. “What’s that you say Lassie? Little Timmy’s fallen down the well?”</v>
      </c>
      <c r="C224" s="13" t="str">
        <f>IFERROR(__xludf.DUMMYFUNCTION("""COMPUTED_VALUE"""),"""mpre"":{""label"":""Lassie"",""extra"":""A famous collie, Lassie starred in her own TV show. “What’s that you say Lassie? Little Timmy’s fallen down the well?”"",""sets"":""Expansion Set 3, Party Expansion 1""},")</f>
        <v>"mpre":{"label":"Lassie","extra":"A famous collie, Lassie starred in her own TV show. “What’s that you say Lassie? Little Timmy’s fallen down the well?”","sets":"Expansion Set 3, Party Expansion 1"},</v>
      </c>
    </row>
    <row r="225">
      <c r="A225" s="8" t="str">
        <f>IFERROR(__xludf.DUMMYFUNCTION("""COMPUTED_VALUE"""),"Last Night")</f>
        <v>Last Night</v>
      </c>
      <c r="B225" s="8" t="str">
        <f>IFERROR(__xludf.DUMMYFUNCTION("""COMPUTED_VALUE"""),"About last night…")</f>
        <v>About last night…</v>
      </c>
      <c r="C225" s="13" t="str">
        <f>IFERROR(__xludf.DUMMYFUNCTION("""COMPUTED_VALUE"""),"""xumk"":{""label"":""Last Night"",""extra"":""About last night…"",""sets"":""Expansion Set 3, Party Expansion 1""},")</f>
        <v>"xumk":{"label":"Last Night","extra":"About last night…","sets":"Expansion Set 3, Party Expansion 1"},</v>
      </c>
    </row>
    <row r="226">
      <c r="A226" s="8" t="str">
        <f>IFERROR(__xludf.DUMMYFUNCTION("""COMPUTED_VALUE"""),"Last Will &amp; Testament")</f>
        <v>Last Will &amp; Testament</v>
      </c>
      <c r="B226" s="8" t="str">
        <f>IFERROR(__xludf.DUMMYFUNCTION("""COMPUTED_VALUE"""),"It may be your only chance to get the last word on anything.")</f>
        <v>It may be your only chance to get the last word on anything.</v>
      </c>
      <c r="C226" s="13" t="str">
        <f>IFERROR(__xludf.DUMMYFUNCTION("""COMPUTED_VALUE"""),"""uuec"":{""label"":""Last Will &amp; Testament"",""extra"":""It may be your only chance to get the last word on anything."",""sets"":""Expansion Set 4, Party Expansion 1""},")</f>
        <v>"uuec":{"label":"Last Will &amp; Testament","extra":"It may be your only chance to get the last word on anything.","sets":"Expansion Set 4, Party Expansion 1"},</v>
      </c>
    </row>
    <row r="227">
      <c r="A227" s="8" t="str">
        <f>IFERROR(__xludf.DUMMYFUNCTION("""COMPUTED_VALUE"""),"Laurel &amp; Hardy")</f>
        <v>Laurel &amp; Hardy</v>
      </c>
      <c r="B227" s="8" t="str">
        <f>IFERROR(__xludf.DUMMYFUNCTION("""COMPUTED_VALUE"""),"Classic fat-skinny comedy duo of the 1920s.")</f>
        <v>Classic fat-skinny comedy duo of the 1920s.</v>
      </c>
      <c r="C227" s="13" t="str">
        <f>IFERROR(__xludf.DUMMYFUNCTION("""COMPUTED_VALUE"""),"""uzco"":{""label"":""Laurel &amp; Hardy"",""extra"":""Classic fat-skinny comedy duo of the 1920s."",""sets"":""Expansion Set 4, Party Expansion 1""},")</f>
        <v>"uzco":{"label":"Laurel &amp; Hardy","extra":"Classic fat-skinny comedy duo of the 1920s.","sets":"Expansion Set 4, Party Expansion 1"},</v>
      </c>
    </row>
    <row r="228">
      <c r="A228" s="8" t="str">
        <f>IFERROR(__xludf.DUMMYFUNCTION("""COMPUTED_VALUE"""),"Laverne &amp; Shirley")</f>
        <v>Laverne &amp; Shirley</v>
      </c>
      <c r="B228" s="8" t="str">
        <f>IFERROR(__xludf.DUMMYFUNCTION("""COMPUTED_VALUE"""),"The 1970s sitcom phenomenon that defined Milwaukee for the world. And Milwaukee’s still trying to live it down!")</f>
        <v>The 1970s sitcom phenomenon that defined Milwaukee for the world. And Milwaukee’s still trying to live it down!</v>
      </c>
      <c r="C228" s="13" t="str">
        <f>IFERROR(__xludf.DUMMYFUNCTION("""COMPUTED_VALUE"""),"""srsx"":{""label"":""Laverne &amp; Shirley"",""extra"":""The 1970s sitcom phenomenon that defined Milwaukee for the world. And Milwaukee’s still trying to live it down!"",""sets"":""Expansion Set 4, Party Expansion 1""},")</f>
        <v>"srsx":{"label":"Laverne &amp; Shirley","extra":"The 1970s sitcom phenomenon that defined Milwaukee for the world. And Milwaukee’s still trying to live it down!","sets":"Expansion Set 4, Party Expansion 1"},</v>
      </c>
    </row>
    <row r="229">
      <c r="A229" s="8" t="str">
        <f>IFERROR(__xludf.DUMMYFUNCTION("""COMPUTED_VALUE"""),"Law &amp; Order")</f>
        <v>Law &amp; Order</v>
      </c>
      <c r="B229" s="8" t="str">
        <f>IFERROR(__xludf.DUMMYFUNCTION("""COMPUTED_VALUE"""),"The television show, or the concept.")</f>
        <v>The television show, or the concept.</v>
      </c>
      <c r="C229" s="13" t="str">
        <f>IFERROR(__xludf.DUMMYFUNCTION("""COMPUTED_VALUE"""),"""qubc"":{""label"":""Law &amp; Order"",""extra"":""The television show, or the concept."",""sets"":""Expansion Set 4, Party Expansion 1""},")</f>
        <v>"qubc":{"label":"Law &amp; Order","extra":"The television show, or the concept.","sets":"Expansion Set 4, Party Expansion 1"},</v>
      </c>
    </row>
    <row r="230">
      <c r="A230" s="8" t="str">
        <f>IFERROR(__xludf.DUMMYFUNCTION("""COMPUTED_VALUE"""),"Leather &amp; Lace")</f>
        <v>Leather &amp; Lace</v>
      </c>
      <c r="B230" s="8" t="str">
        <f>IFERROR(__xludf.DUMMYFUNCTION("""COMPUTED_VALUE"""),"It’s a texture thing.")</f>
        <v>It’s a texture thing.</v>
      </c>
      <c r="C230" s="13" t="str">
        <f>IFERROR(__xludf.DUMMYFUNCTION("""COMPUTED_VALUE"""),"""enla"":{""label"":""Leather &amp; Lace"",""extra"":""It’s a texture thing."",""sets"":""Expansion Set 4, Party Expansion 1""},")</f>
        <v>"enla":{"label":"Leather &amp; Lace","extra":"It’s a texture thing.","sets":"Expansion Set 4, Party Expansion 1"},</v>
      </c>
    </row>
    <row r="231">
      <c r="A231" s="8" t="str">
        <f>IFERROR(__xludf.DUMMYFUNCTION("""COMPUTED_VALUE"""),"Lemon &amp; Lime")</f>
        <v>Lemon &amp; Lime</v>
      </c>
      <c r="B231" s="8" t="str">
        <f>IFERROR(__xludf.DUMMYFUNCTION("""COMPUTED_VALUE"""),"Pucker up.")</f>
        <v>Pucker up.</v>
      </c>
      <c r="C231" s="13" t="str">
        <f>IFERROR(__xludf.DUMMYFUNCTION("""COMPUTED_VALUE"""),"""wykx"":{""label"":""Lemon &amp; Lime"",""extra"":""Pucker up."",""sets"":""Expansion Set 4, Party Expansion 1""},")</f>
        <v>"wykx":{"label":"Lemon &amp; Lime","extra":"Pucker up.","sets":"Expansion Set 4, Party Expansion 1"},</v>
      </c>
    </row>
    <row r="232">
      <c r="A232" s="8" t="str">
        <f>IFERROR(__xludf.DUMMYFUNCTION("""COMPUTED_VALUE"""),"Lemon Meringue Pie")</f>
        <v>Lemon Meringue Pie</v>
      </c>
      <c r="B232" s="8" t="str">
        <f>IFERROR(__xludf.DUMMYFUNCTION("""COMPUTED_VALUE"""),"Tart, sweet and smooth.")</f>
        <v>Tart, sweet and smooth.</v>
      </c>
      <c r="C232" s="13" t="str">
        <f>IFERROR(__xludf.DUMMYFUNCTION("""COMPUTED_VALUE"""),"""zxbf"":{""label"":""Lemon Meringue Pie"",""extra"":""Tart, sweet and smooth."",""sets"":""Expansion Set 3, Party Expansion 1""},")</f>
        <v>"zxbf":{"label":"Lemon Meringue Pie","extra":"Tart, sweet and smooth.","sets":"Expansion Set 3, Party Expansion 1"},</v>
      </c>
    </row>
    <row r="233">
      <c r="A233" s="8" t="str">
        <f>IFERROR(__xludf.DUMMYFUNCTION("""COMPUTED_VALUE"""),"Lethal Injection")</f>
        <v>Lethal Injection</v>
      </c>
      <c r="B233" s="8" t="str">
        <f>IFERROR(__xludf.DUMMYFUNCTION("""COMPUTED_VALUE"""),"It’s a killer.")</f>
        <v>It’s a killer.</v>
      </c>
      <c r="C233" s="13" t="str">
        <f>IFERROR(__xludf.DUMMYFUNCTION("""COMPUTED_VALUE"""),"""xljs"":{""label"":""Lethal Injection"",""extra"":""It’s a killer."",""sets"":""Expansion Set 3, Party Expansion 1""},")</f>
        <v>"xljs":{"label":"Lethal Injection","extra":"It’s a killer.","sets":"Expansion Set 3, Party Expansion 1"},</v>
      </c>
    </row>
    <row r="234">
      <c r="A234" s="8" t="str">
        <f>IFERROR(__xludf.DUMMYFUNCTION("""COMPUTED_VALUE"""),"Lewis &amp; Clark")</f>
        <v>Lewis &amp; Clark</v>
      </c>
      <c r="B234" s="8" t="str">
        <f>IFERROR(__xludf.DUMMYFUNCTION("""COMPUTED_VALUE"""),"The early 1800s expedition covered over 8000 miles and confirmed that the Louisiana Purchase was a very good deal.")</f>
        <v>The early 1800s expedition covered over 8000 miles and confirmed that the Louisiana Purchase was a very good deal.</v>
      </c>
      <c r="C234" s="13" t="str">
        <f>IFERROR(__xludf.DUMMYFUNCTION("""COMPUTED_VALUE"""),"""fgua"":{""label"":""Lewis &amp; Clark"",""extra"":""The early 1800s expedition covered over 8000 miles and confirmed that the Louisiana Purchase was a very good deal."",""sets"":""Expansion Set 4, Party Expansion 1""},")</f>
        <v>"fgua":{"label":"Lewis &amp; Clark","extra":"The early 1800s expedition covered over 8000 miles and confirmed that the Louisiana Purchase was a very good deal.","sets":"Expansion Set 4, Party Expansion 1"},</v>
      </c>
    </row>
    <row r="235">
      <c r="A235" s="8" t="str">
        <f>IFERROR(__xludf.DUMMYFUNCTION("""COMPUTED_VALUE"""),"Liberty &amp; Justice")</f>
        <v>Liberty &amp; Justice</v>
      </c>
      <c r="B235" s="8" t="str">
        <f>IFERROR(__xludf.DUMMYFUNCTION("""COMPUTED_VALUE"""),"For all.")</f>
        <v>For all.</v>
      </c>
      <c r="C235" s="13" t="str">
        <f>IFERROR(__xludf.DUMMYFUNCTION("""COMPUTED_VALUE"""),"""wnkj"":{""label"":""Liberty &amp; Justice"",""extra"":""For all."",""sets"":""Expansion Set 4, Party Expansion 1""},")</f>
        <v>"wnkj":{"label":"Liberty &amp; Justice","extra":"For all.","sets":"Expansion Set 4, Party Expansion 1"},</v>
      </c>
    </row>
    <row r="236">
      <c r="A236" s="8" t="str">
        <f>IFERROR(__xludf.DUMMYFUNCTION("""COMPUTED_VALUE"""),"Linguine With Clam Sauce")</f>
        <v>Linguine With Clam Sauce</v>
      </c>
      <c r="B236" s="8" t="str">
        <f>IFERROR(__xludf.DUMMYFUNCTION("""COMPUTED_VALUE"""),"Pass the parmesan…")</f>
        <v>Pass the parmesan…</v>
      </c>
      <c r="C236" s="13" t="str">
        <f>IFERROR(__xludf.DUMMYFUNCTION("""COMPUTED_VALUE"""),"""xfqv"":{""label"":""Linguine With Clam Sauce"",""extra"":""Pass the parmesan…"",""sets"":""Expansion Set 3, Party Expansion 1""},")</f>
        <v>"xfqv":{"label":"Linguine With Clam Sauce","extra":"Pass the parmesan…","sets":"Expansion Set 3, Party Expansion 1"},</v>
      </c>
    </row>
    <row r="237">
      <c r="A237" s="8" t="str">
        <f>IFERROR(__xludf.DUMMYFUNCTION("""COMPUTED_VALUE"""),"Lions &amp; Tigers")</f>
        <v>Lions &amp; Tigers</v>
      </c>
      <c r="B237" s="8" t="str">
        <f>IFERROR(__xludf.DUMMYFUNCTION("""COMPUTED_VALUE"""),"And bears…")</f>
        <v>And bears…</v>
      </c>
      <c r="C237" s="13" t="str">
        <f>IFERROR(__xludf.DUMMYFUNCTION("""COMPUTED_VALUE"""),"""pjah"":{""label"":""Lions &amp; Tigers"",""extra"":""And bears…"",""sets"":""Expansion Set 4, Party Expansion 1""},")</f>
        <v>"pjah":{"label":"Lions &amp; Tigers","extra":"And bears…","sets":"Expansion Set 4, Party Expansion 1"},</v>
      </c>
    </row>
    <row r="238">
      <c r="A238" s="8" t="str">
        <f>IFERROR(__xludf.DUMMYFUNCTION("""COMPUTED_VALUE"""),"Liposuction")</f>
        <v>Liposuction</v>
      </c>
      <c r="B238" s="8" t="str">
        <f>IFERROR(__xludf.DUMMYFUNCTION("""COMPUTED_VALUE"""),"Fatty tissue? That sucks…")</f>
        <v>Fatty tissue? That sucks…</v>
      </c>
      <c r="C238" s="13" t="str">
        <f>IFERROR(__xludf.DUMMYFUNCTION("""COMPUTED_VALUE"""),"""rlif"":{""label"":""Liposuction"",""extra"":""Fatty tissue? That sucks…"",""sets"":""Expansion Set 3, Party Expansion 1""},")</f>
        <v>"rlif":{"label":"Liposuction","extra":"Fatty tissue? That sucks…","sets":"Expansion Set 3, Party Expansion 1"},</v>
      </c>
    </row>
    <row r="239">
      <c r="A239" s="8" t="str">
        <f>IFERROR(__xludf.DUMMYFUNCTION("""COMPUTED_VALUE"""),"Liver And Onions")</f>
        <v>Liver And Onions</v>
      </c>
      <c r="B239" s="8" t="str">
        <f>IFERROR(__xludf.DUMMYFUNCTION("""COMPUTED_VALUE"""),"An acquired taste.")</f>
        <v>An acquired taste.</v>
      </c>
      <c r="C239" s="13" t="str">
        <f>IFERROR(__xludf.DUMMYFUNCTION("""COMPUTED_VALUE"""),"""ixyu"":{""label"":""Liver And Onions"",""extra"":""An acquired taste."",""sets"":""Expansion Set 3, Party Expansion 1""},")</f>
        <v>"ixyu":{"label":"Liver And Onions","extra":"An acquired taste.","sets":"Expansion Set 3, Party Expansion 1"},</v>
      </c>
    </row>
    <row r="240">
      <c r="A240" s="8" t="str">
        <f>IFERROR(__xludf.DUMMYFUNCTION("""COMPUTED_VALUE"""),"Loch Ness Monster")</f>
        <v>Loch Ness Monster</v>
      </c>
      <c r="B240" s="8" t="str">
        <f>IFERROR(__xludf.DUMMYFUNCTION("""COMPUTED_VALUE"""),"“Nessie,” the legendary beast of Loch Ness, Scotland. It must be real, they have pictures.")</f>
        <v>“Nessie,” the legendary beast of Loch Ness, Scotland. It must be real, they have pictures.</v>
      </c>
      <c r="C240" s="13" t="str">
        <f>IFERROR(__xludf.DUMMYFUNCTION("""COMPUTED_VALUE"""),"""otnz"":{""label"":""Loch Ness Monster"",""extra"":""“Nessie,” the legendary beast of Loch Ness, Scotland. It must be real, they have pictures."",""sets"":""Expansion Set 3, Party Expansion 1""},")</f>
        <v>"otnz":{"label":"Loch Ness Monster","extra":"“Nessie,” the legendary beast of Loch Ness, Scotland. It must be real, they have pictures.","sets":"Expansion Set 3, Party Expansion 1"},</v>
      </c>
    </row>
    <row r="241">
      <c r="A241" s="8" t="str">
        <f>IFERROR(__xludf.DUMMYFUNCTION("""COMPUTED_VALUE"""),"Lock &amp; Key")</f>
        <v>Lock &amp; Key</v>
      </c>
      <c r="B241" s="8" t="str">
        <f>IFERROR(__xludf.DUMMYFUNCTION("""COMPUTED_VALUE"""),"Quit picking on me!")</f>
        <v>Quit picking on me!</v>
      </c>
      <c r="C241" s="13" t="str">
        <f>IFERROR(__xludf.DUMMYFUNCTION("""COMPUTED_VALUE"""),"""gjsr"":{""label"":""Lock &amp; Key"",""extra"":""Quit picking on me!"",""sets"":""Expansion Set 4, Party Expansion 1""},")</f>
        <v>"gjsr":{"label":"Lock &amp; Key","extra":"Quit picking on me!","sets":"Expansion Set 4, Party Expansion 1"},</v>
      </c>
    </row>
    <row r="242">
      <c r="A242" s="8" t="str">
        <f>IFERROR(__xludf.DUMMYFUNCTION("""COMPUTED_VALUE"""),"Lock &amp; Load")</f>
        <v>Lock &amp; Load</v>
      </c>
      <c r="B242" s="8" t="str">
        <f>IFERROR(__xludf.DUMMYFUNCTION("""COMPUTED_VALUE"""),"It’s off to war we go.")</f>
        <v>It’s off to war we go.</v>
      </c>
      <c r="C242" s="13" t="str">
        <f>IFERROR(__xludf.DUMMYFUNCTION("""COMPUTED_VALUE"""),"""mcfl"":{""label"":""Lock &amp; Load"",""extra"":""It’s off to war we go."",""sets"":""Expansion Set 4, Party Expansion 1""},")</f>
        <v>"mcfl":{"label":"Lock &amp; Load","extra":"It’s off to war we go.","sets":"Expansion Set 4, Party Expansion 1"},</v>
      </c>
    </row>
    <row r="243">
      <c r="A243" s="8" t="str">
        <f>IFERROR(__xludf.DUMMYFUNCTION("""COMPUTED_VALUE"""),"Looney Tunes")</f>
        <v>Looney Tunes</v>
      </c>
      <c r="B243" s="8" t="str">
        <f>IFERROR(__xludf.DUMMYFUNCTION("""COMPUTED_VALUE"""),"Warner Brothers cartoons featuring Porky Pig and Bugs Bunny.")</f>
        <v>Warner Brothers cartoons featuring Porky Pig and Bugs Bunny.</v>
      </c>
      <c r="C243" s="13" t="str">
        <f>IFERROR(__xludf.DUMMYFUNCTION("""COMPUTED_VALUE"""),"""cyxc"":{""label"":""Looney Tunes"",""extra"":""Warner Brothers cartoons featuring Porky Pig and Bugs Bunny."",""sets"":""Expansion Set 3, Party Expansion 1""},")</f>
        <v>"cyxc":{"label":"Looney Tunes","extra":"Warner Brothers cartoons featuring Porky Pig and Bugs Bunny.","sets":"Expansion Set 3, Party Expansion 1"},</v>
      </c>
    </row>
    <row r="244">
      <c r="A244" s="8" t="str">
        <f>IFERROR(__xludf.DUMMYFUNCTION("""COMPUTED_VALUE"""),"Love &amp; Marriage")</f>
        <v>Love &amp; Marriage</v>
      </c>
      <c r="B244" s="8" t="str">
        <f>IFERROR(__xludf.DUMMYFUNCTION("""COMPUTED_VALUE"""),"First comes love, then comes marriage…")</f>
        <v>First comes love, then comes marriage…</v>
      </c>
      <c r="C244" s="13" t="str">
        <f>IFERROR(__xludf.DUMMYFUNCTION("""COMPUTED_VALUE"""),"""wout"":{""label"":""Love &amp; Marriage"",""extra"":""First comes love, then comes marriage…"",""sets"":""Expansion Set 4, Party Expansion 1""},")</f>
        <v>"wout":{"label":"Love &amp; Marriage","extra":"First comes love, then comes marriage…","sets":"Expansion Set 4, Party Expansion 1"},</v>
      </c>
    </row>
    <row r="245">
      <c r="A245" s="8" t="str">
        <f>IFERROR(__xludf.DUMMYFUNCTION("""COMPUTED_VALUE"""),"Lox &amp; Bagels")</f>
        <v>Lox &amp; Bagels</v>
      </c>
      <c r="B245" s="8" t="str">
        <f>IFERROR(__xludf.DUMMYFUNCTION("""COMPUTED_VALUE"""),"A deli favorite. Pass the cream cheese!")</f>
        <v>A deli favorite. Pass the cream cheese!</v>
      </c>
      <c r="C245" s="13" t="str">
        <f>IFERROR(__xludf.DUMMYFUNCTION("""COMPUTED_VALUE"""),"""vcmk"":{""label"":""Lox &amp; Bagels"",""extra"":""A deli favorite. Pass the cream cheese!"",""sets"":""Expansion Set 4, Party Expansion 1""},")</f>
        <v>"vcmk":{"label":"Lox &amp; Bagels","extra":"A deli favorite. Pass the cream cheese!","sets":"Expansion Set 4, Party Expansion 1"},</v>
      </c>
    </row>
    <row r="246">
      <c r="A246" s="8" t="str">
        <f>IFERROR(__xludf.DUMMYFUNCTION("""COMPUTED_VALUE"""),"Lucy &amp; Desi")</f>
        <v>Lucy &amp; Desi</v>
      </c>
      <c r="B246" s="8" t="str">
        <f>IFERROR(__xludf.DUMMYFUNCTION("""COMPUTED_VALUE"""),"Thirty years later and we still love Lucy.")</f>
        <v>Thirty years later and we still love Lucy.</v>
      </c>
      <c r="C246" s="13" t="str">
        <f>IFERROR(__xludf.DUMMYFUNCTION("""COMPUTED_VALUE"""),"""ljzd"":{""label"":""Lucy &amp; Desi"",""extra"":""Thirty years later and we still love Lucy."",""sets"":""Expansion Set 4, Party Expansion 1""},")</f>
        <v>"ljzd":{"label":"Lucy &amp; Desi","extra":"Thirty years later and we still love Lucy.","sets":"Expansion Set 4, Party Expansion 1"},</v>
      </c>
    </row>
    <row r="247">
      <c r="A247" s="8" t="str">
        <f>IFERROR(__xludf.DUMMYFUNCTION("""COMPUTED_VALUE"""),"M &amp; M's")</f>
        <v>M &amp; M's</v>
      </c>
      <c r="B247" s="8" t="str">
        <f>IFERROR(__xludf.DUMMYFUNCTION("""COMPUTED_VALUE"""),"Candy coated chocolates first sold in 1941. Now available in purple.")</f>
        <v>Candy coated chocolates first sold in 1941. Now available in purple.</v>
      </c>
      <c r="C247" s="13" t="str">
        <f>IFERROR(__xludf.DUMMYFUNCTION("""COMPUTED_VALUE"""),"""rfzc"":{""label"":""M &amp; M's"",""extra"":""Candy coated chocolates first sold in 1941. Now available in purple."",""sets"":""Expansion Set 4, Party Expansion 1""},")</f>
        <v>"rfzc":{"label":"M &amp; M's","extra":"Candy coated chocolates first sold in 1941. Now available in purple.","sets":"Expansion Set 4, Party Expansion 1"},</v>
      </c>
    </row>
    <row r="248">
      <c r="A248" s="8" t="str">
        <f>IFERROR(__xludf.DUMMYFUNCTION("""COMPUTED_VALUE"""),"Macaroni &amp; Cheese")</f>
        <v>Macaroni &amp; Cheese</v>
      </c>
      <c r="B248" s="8" t="str">
        <f>IFERROR(__xludf.DUMMYFUNCTION("""COMPUTED_VALUE"""),"It’s the easiest.")</f>
        <v>It’s the easiest.</v>
      </c>
      <c r="C248" s="13" t="str">
        <f>IFERROR(__xludf.DUMMYFUNCTION("""COMPUTED_VALUE"""),"""ttpb"":{""label"":""Macaroni &amp; Cheese"",""extra"":""It’s the easiest."",""sets"":""Expansion Set 4, Party Expansion 1""},")</f>
        <v>"ttpb":{"label":"Macaroni &amp; Cheese","extra":"It’s the easiest.","sets":"Expansion Set 4, Party Expansion 1"},</v>
      </c>
    </row>
    <row r="249">
      <c r="A249" s="8" t="str">
        <f>IFERROR(__xludf.DUMMYFUNCTION("""COMPUTED_VALUE"""),"Mae West")</f>
        <v>Mae West</v>
      </c>
      <c r="B249" s="8" t="str">
        <f>IFERROR(__xludf.DUMMYFUNCTION("""COMPUTED_VALUE"""),"1892-1980, American stage and film comedian. “Too much of a good thing can be wonderful.”")</f>
        <v>1892-1980, American stage and film comedian. “Too much of a good thing can be wonderful.”</v>
      </c>
      <c r="C249" s="13" t="str">
        <f>IFERROR(__xludf.DUMMYFUNCTION("""COMPUTED_VALUE"""),"""negt"":{""label"":""Mae West"",""extra"":""1892-1980, American stage and film comedian. “Too much of a good thing can be wonderful.”"",""sets"":""Expansion Set 3, Party Expansion 1""},")</f>
        <v>"negt":{"label":"Mae West","extra":"1892-1980, American stage and film comedian. “Too much of a good thing can be wonderful.”","sets":"Expansion Set 3, Party Expansion 1"},</v>
      </c>
    </row>
    <row r="250">
      <c r="A250" s="8" t="str">
        <f>IFERROR(__xludf.DUMMYFUNCTION("""COMPUTED_VALUE"""),"Maggots")</f>
        <v>Maggots</v>
      </c>
      <c r="B250" s="8" t="str">
        <f>IFERROR(__xludf.DUMMYFUNCTION("""COMPUTED_VALUE"""),"I though it was rice.")</f>
        <v>I though it was rice.</v>
      </c>
      <c r="C250" s="13" t="str">
        <f>IFERROR(__xludf.DUMMYFUNCTION("""COMPUTED_VALUE"""),"""aser"":{""label"":""Maggots"",""extra"":""I though it was rice."",""sets"":""Expansion Set 3, Party Expansion 1""},")</f>
        <v>"aser":{"label":"Maggots","extra":"I though it was rice.","sets":"Expansion Set 3, Party Expansion 1"},</v>
      </c>
    </row>
    <row r="251">
      <c r="A251" s="8" t="str">
        <f>IFERROR(__xludf.DUMMYFUNCTION("""COMPUTED_VALUE"""),"Maple Syrup")</f>
        <v>Maple Syrup</v>
      </c>
      <c r="B251" s="8" t="str">
        <f>IFERROR(__xludf.DUMMYFUNCTION("""COMPUTED_VALUE"""),"Made from the sweet sap of the maple tree or black maple tree, produced only in North America a “must have” for pancakes.")</f>
        <v>Made from the sweet sap of the maple tree or black maple tree, produced only in North America a “must have” for pancakes.</v>
      </c>
      <c r="C251" s="13" t="str">
        <f>IFERROR(__xludf.DUMMYFUNCTION("""COMPUTED_VALUE"""),"""shge"":{""label"":""Maple Syrup"",""extra"":""Made from the sweet sap of the maple tree or black maple tree, produced only in North America a “must have” for pancakes."",""sets"":""Expansion Set 3, Party Expansion 1""},")</f>
        <v>"shge":{"label":"Maple Syrup","extra":"Made from the sweet sap of the maple tree or black maple tree, produced only in North America a “must have” for pancakes.","sets":"Expansion Set 3, Party Expansion 1"},</v>
      </c>
    </row>
    <row r="252">
      <c r="A252" s="8" t="str">
        <f>IFERROR(__xludf.DUMMYFUNCTION("""COMPUTED_VALUE"""),"Marlon Brando")</f>
        <v>Marlon Brando</v>
      </c>
      <c r="B252" s="8" t="str">
        <f>IFERROR(__xludf.DUMMYFUNCTION("""COMPUTED_VALUE"""),"1924-, legendary America actor who starred in “A Streetcar Named Desire” and won awards for “On the Waterfront” and “The Godfather.”")</f>
        <v>1924-, legendary America actor who starred in “A Streetcar Named Desire” and won awards for “On the Waterfront” and “The Godfather.”</v>
      </c>
      <c r="C252" s="13" t="str">
        <f>IFERROR(__xludf.DUMMYFUNCTION("""COMPUTED_VALUE"""),"""zrnt"":{""label"":""Marlon Brando"",""extra"":""1924-, legendary America actor who starred in “A Streetcar Named Desire” and won awards for “On the Waterfront” and “The Godfather.”"",""sets"":""Expansion Set 3, Party Expansion 1""},")</f>
        <v>"zrnt":{"label":"Marlon Brando","extra":"1924-, legendary America actor who starred in “A Streetcar Named Desire” and won awards for “On the Waterfront” and “The Godfather.”","sets":"Expansion Set 3, Party Expansion 1"},</v>
      </c>
    </row>
    <row r="253">
      <c r="A253" s="8" t="str">
        <f>IFERROR(__xludf.DUMMYFUNCTION("""COMPUTED_VALUE"""),"Matzo Balls")</f>
        <v>Matzo Balls</v>
      </c>
      <c r="B253" s="8" t="str">
        <f>IFERROR(__xludf.DUMMYFUNCTION("""COMPUTED_VALUE"""),"Soul for the chicken soup.")</f>
        <v>Soul for the chicken soup.</v>
      </c>
      <c r="C253" s="13" t="str">
        <f>IFERROR(__xludf.DUMMYFUNCTION("""COMPUTED_VALUE"""),"""mwds"":{""label"":""Matzo Balls"",""extra"":""Soul for the chicken soup."",""sets"":""Expansion Set 3, Party Expansion 1""},")</f>
        <v>"mwds":{"label":"Matzo Balls","extra":"Soul for the chicken soup.","sets":"Expansion Set 3, Party Expansion 1"},</v>
      </c>
    </row>
    <row r="254">
      <c r="A254" s="8" t="str">
        <f>IFERROR(__xludf.DUMMYFUNCTION("""COMPUTED_VALUE"""),"Maui")</f>
        <v>Maui</v>
      </c>
      <c r="B254" s="8" t="str">
        <f>IFERROR(__xludf.DUMMYFUNCTION("""COMPUTED_VALUE"""),"Hawaiian volcanic island, 728 square miles in area. Heaven on Earth.")</f>
        <v>Hawaiian volcanic island, 728 square miles in area. Heaven on Earth.</v>
      </c>
      <c r="C254" s="13" t="str">
        <f>IFERROR(__xludf.DUMMYFUNCTION("""COMPUTED_VALUE"""),"""ocqt"":{""label"":""Maui"",""extra"":""Hawaiian volcanic island, 728 square miles in area. Heaven on Earth."",""sets"":""Expansion Set 3, Party Expansion 1""},")</f>
        <v>"ocqt":{"label":"Maui","extra":"Hawaiian volcanic island, 728 square miles in area. Heaven on Earth.","sets":"Expansion Set 3, Party Expansion 1"},</v>
      </c>
    </row>
    <row r="255">
      <c r="A255" s="8" t="str">
        <f>IFERROR(__xludf.DUMMYFUNCTION("""COMPUTED_VALUE"""),"Maximum Security Prison")</f>
        <v>Maximum Security Prison</v>
      </c>
      <c r="B255" s="8" t="str">
        <f>IFERROR(__xludf.DUMMYFUNCTION("""COMPUTED_VALUE"""),"When a regular strength prison just won’t do.")</f>
        <v>When a regular strength prison just won’t do.</v>
      </c>
      <c r="C255" s="13" t="str">
        <f>IFERROR(__xludf.DUMMYFUNCTION("""COMPUTED_VALUE"""),"""rqmy"":{""label"":""Maximum Security Prison"",""extra"":""When a regular strength prison just won’t do."",""sets"":""Expansion Set 3, Party Expansion 1""},")</f>
        <v>"rqmy":{"label":"Maximum Security Prison","extra":"When a regular strength prison just won’t do.","sets":"Expansion Set 3, Party Expansion 1"},</v>
      </c>
    </row>
    <row r="256">
      <c r="A256" s="8" t="str">
        <f>IFERROR(__xludf.DUMMYFUNCTION("""COMPUTED_VALUE"""),"Me &amp; My Shadow")</f>
        <v>Me &amp; My Shadow</v>
      </c>
      <c r="B256" s="8" t="str">
        <f>IFERROR(__xludf.DUMMYFUNCTION("""COMPUTED_VALUE"""),"“Strolling down the avenue…”")</f>
        <v>“Strolling down the avenue…”</v>
      </c>
      <c r="C256" s="13" t="str">
        <f>IFERROR(__xludf.DUMMYFUNCTION("""COMPUTED_VALUE"""),"""iqyd"":{""label"":""Me &amp; My Shadow"",""extra"":""“Strolling down the avenue…”"",""sets"":""Expansion Set 4, Party Expansion 1""},")</f>
        <v>"iqyd":{"label":"Me &amp; My Shadow","extra":"“Strolling down the avenue…”","sets":"Expansion Set 4, Party Expansion 1"},</v>
      </c>
    </row>
    <row r="257">
      <c r="A257" s="8" t="str">
        <f>IFERROR(__xludf.DUMMYFUNCTION("""COMPUTED_VALUE"""),"Meat &amp; Potatoes")</f>
        <v>Meat &amp; Potatoes</v>
      </c>
      <c r="B257" s="8" t="str">
        <f>IFERROR(__xludf.DUMMYFUNCTION("""COMPUTED_VALUE"""),"A simpler meal for a simpler time.")</f>
        <v>A simpler meal for a simpler time.</v>
      </c>
      <c r="C257" s="13" t="str">
        <f>IFERROR(__xludf.DUMMYFUNCTION("""COMPUTED_VALUE"""),"""ijkz"":{""label"":""Meat &amp; Potatoes"",""extra"":""A simpler meal for a simpler time."",""sets"":""Expansion Set 4, Party Expansion 1""},")</f>
        <v>"ijkz":{"label":"Meat &amp; Potatoes","extra":"A simpler meal for a simpler time.","sets":"Expansion Set 4, Party Expansion 1"},</v>
      </c>
    </row>
    <row r="258">
      <c r="A258" s="8" t="str">
        <f>IFERROR(__xludf.DUMMYFUNCTION("""COMPUTED_VALUE"""),"Meat Markets")</f>
        <v>Meat Markets</v>
      </c>
      <c r="B258" s="8" t="str">
        <f>IFERROR(__xludf.DUMMYFUNCTION("""COMPUTED_VALUE"""),"A cut above the rest.")</f>
        <v>A cut above the rest.</v>
      </c>
      <c r="C258" s="13" t="str">
        <f>IFERROR(__xludf.DUMMYFUNCTION("""COMPUTED_VALUE"""),"""kveq"":{""label"":""Meat Markets"",""extra"":""A cut above the rest."",""sets"":""Expansion Set 3, Party Expansion 1""},")</f>
        <v>"kveq":{"label":"Meat Markets","extra":"A cut above the rest.","sets":"Expansion Set 3, Party Expansion 1"},</v>
      </c>
    </row>
    <row r="259">
      <c r="A259" s="8" t="str">
        <f>IFERROR(__xludf.DUMMYFUNCTION("""COMPUTED_VALUE"""),"Mensa High IQ Society")</f>
        <v>Mensa High IQ Society</v>
      </c>
      <c r="B259" s="8" t="str">
        <f>IFERROR(__xludf.DUMMYFUNCTION("""COMPUTED_VALUE"""),"Members have IQ's in the top 2% of the population.")</f>
        <v>Members have IQ's in the top 2% of the population.</v>
      </c>
      <c r="C259" s="13" t="str">
        <f>IFERROR(__xludf.DUMMYFUNCTION("""COMPUTED_VALUE"""),"""mgrb"":{""label"":""Mensa High IQ Society"",""extra"":""Members have IQ's in the top 2% of the population."",""sets"":""Expansion Set 3, Party Expansion 1""},")</f>
        <v>"mgrb":{"label":"Mensa High IQ Society","extra":"Members have IQ's in the top 2% of the population.","sets":"Expansion Set 3, Party Expansion 1"},</v>
      </c>
    </row>
    <row r="260">
      <c r="A260" s="8" t="str">
        <f>IFERROR(__xludf.DUMMYFUNCTION("""COMPUTED_VALUE"""),"Mickey &amp; Minnie")</f>
        <v>Mickey &amp; Minnie</v>
      </c>
      <c r="B260" s="8" t="str">
        <f>IFERROR(__xludf.DUMMYFUNCTION("""COMPUTED_VALUE"""),"Mouse, that is. Disney’s dynamic duo.")</f>
        <v>Mouse, that is. Disney’s dynamic duo.</v>
      </c>
      <c r="C260" s="13" t="str">
        <f>IFERROR(__xludf.DUMMYFUNCTION("""COMPUTED_VALUE"""),"""lczl"":{""label"":""Mickey &amp; Minnie"",""extra"":""Mouse, that is. Disney’s dynamic duo."",""sets"":""Expansion Set 4, Party Expansion 1""},")</f>
        <v>"lczl":{"label":"Mickey &amp; Minnie","extra":"Mouse, that is. Disney’s dynamic duo.","sets":"Expansion Set 4, Party Expansion 1"},</v>
      </c>
    </row>
    <row r="261">
      <c r="A261" s="8" t="str">
        <f>IFERROR(__xludf.DUMMYFUNCTION("""COMPUTED_VALUE"""),"Migraine Headaches")</f>
        <v>Migraine Headaches</v>
      </c>
      <c r="B261" s="8" t="str">
        <f>IFERROR(__xludf.DUMMYFUNCTION("""COMPUTED_VALUE"""),"Not just any headache.")</f>
        <v>Not just any headache.</v>
      </c>
      <c r="C261" s="13" t="str">
        <f>IFERROR(__xludf.DUMMYFUNCTION("""COMPUTED_VALUE"""),"""wias"":{""label"":""Migraine Headaches"",""extra"":""Not just any headache."",""sets"":""Expansion Set 3, Party Expansion 1""},")</f>
        <v>"wias":{"label":"Migraine Headaches","extra":"Not just any headache.","sets":"Expansion Set 3, Party Expansion 1"},</v>
      </c>
    </row>
    <row r="262">
      <c r="A262" s="8" t="str">
        <f>IFERROR(__xludf.DUMMYFUNCTION("""COMPUTED_VALUE"""),"Milk &amp; Cookies")</f>
        <v>Milk &amp; Cookies</v>
      </c>
      <c r="B262" s="8" t="str">
        <f>IFERROR(__xludf.DUMMYFUNCTION("""COMPUTED_VALUE"""),"The ultimate after-school special.")</f>
        <v>The ultimate after-school special.</v>
      </c>
      <c r="C262" s="13" t="str">
        <f>IFERROR(__xludf.DUMMYFUNCTION("""COMPUTED_VALUE"""),"""cqfe"":{""label"":""Milk &amp; Cookies"",""extra"":""The ultimate after-school special."",""sets"":""Expansion Set 4, Party Expansion 1""},")</f>
        <v>"cqfe":{"label":"Milk &amp; Cookies","extra":"The ultimate after-school special.","sets":"Expansion Set 4, Party Expansion 1"},</v>
      </c>
    </row>
    <row r="263">
      <c r="A263" s="8" t="str">
        <f>IFERROR(__xludf.DUMMYFUNCTION("""COMPUTED_VALUE"""),"Milwaukee")</f>
        <v>Milwaukee</v>
      </c>
      <c r="B263" s="8" t="str">
        <f>IFERROR(__xludf.DUMMYFUNCTION("""COMPUTED_VALUE"""),"The Genuine American City. It’s come along way since Laverne and Shirley.")</f>
        <v>The Genuine American City. It’s come along way since Laverne and Shirley.</v>
      </c>
      <c r="C263" s="13" t="str">
        <f>IFERROR(__xludf.DUMMYFUNCTION("""COMPUTED_VALUE"""),"""cdqg"":{""label"":""Milwaukee"",""extra"":""The Genuine American City. It’s come along way since Laverne and Shirley."",""sets"":""Expansion Set 3, Party Expansion 1""},")</f>
        <v>"cdqg":{"label":"Milwaukee","extra":"The Genuine American City. It’s come along way since Laverne and Shirley.","sets":"Expansion Set 3, Party Expansion 1"},</v>
      </c>
    </row>
    <row r="264">
      <c r="A264" s="8" t="str">
        <f>IFERROR(__xludf.DUMMYFUNCTION("""COMPUTED_VALUE"""),"Minneapolis &amp; St. Paul")</f>
        <v>Minneapolis &amp; St. Paul</v>
      </c>
      <c r="B264" s="8" t="str">
        <f>IFERROR(__xludf.DUMMYFUNCTION("""COMPUTED_VALUE"""),"The “Twin Cities” are Minnesota’s largest population center. They may be twins but you can tell the difference.")</f>
        <v>The “Twin Cities” are Minnesota’s largest population center. They may be twins but you can tell the difference.</v>
      </c>
      <c r="C264" s="13" t="str">
        <f>IFERROR(__xludf.DUMMYFUNCTION("""COMPUTED_VALUE"""),"""ebaj"":{""label"":""Minneapolis &amp; St. Paul"",""extra"":""The “Twin Cities” are Minnesota’s largest population center. They may be twins but you can tell the difference."",""sets"":""Expansion Set 4, Party Expansion 1""},")</f>
        <v>"ebaj":{"label":"Minneapolis &amp; St. Paul","extra":"The “Twin Cities” are Minnesota’s largest population center. They may be twins but you can tell the difference.","sets":"Expansion Set 4, Party Expansion 1"},</v>
      </c>
    </row>
    <row r="265">
      <c r="A265" s="8" t="str">
        <f>IFERROR(__xludf.DUMMYFUNCTION("""COMPUTED_VALUE"""),"Mom &amp; Apple Pie")</f>
        <v>Mom &amp; Apple Pie</v>
      </c>
      <c r="B265" s="8" t="str">
        <f>IFERROR(__xludf.DUMMYFUNCTION("""COMPUTED_VALUE"""),"Worth fighting for.")</f>
        <v>Worth fighting for.</v>
      </c>
      <c r="C265" s="13" t="str">
        <f>IFERROR(__xludf.DUMMYFUNCTION("""COMPUTED_VALUE"""),"""zybh"":{""label"":""Mom &amp; Apple Pie"",""extra"":""Worth fighting for."",""sets"":""Expansion Set 4, Party Expansion 1""},")</f>
        <v>"zybh":{"label":"Mom &amp; Apple Pie","extra":"Worth fighting for.","sets":"Expansion Set 4, Party Expansion 1"},</v>
      </c>
    </row>
    <row r="266">
      <c r="A266" s="8" t="str">
        <f>IFERROR(__xludf.DUMMYFUNCTION("""COMPUTED_VALUE"""),"Mom &amp; Pop")</f>
        <v>Mom &amp; Pop</v>
      </c>
      <c r="B266" s="8" t="str">
        <f>IFERROR(__xludf.DUMMYFUNCTION("""COMPUTED_VALUE"""),"Hey! Maybe they should open a store!")</f>
        <v>Hey! Maybe they should open a store!</v>
      </c>
      <c r="C266" s="13" t="str">
        <f>IFERROR(__xludf.DUMMYFUNCTION("""COMPUTED_VALUE"""),"""tk{b"":{""label"":""Mom &amp; Pop"",""extra"":""Hey! Maybe they should open a store!"",""sets"":""Expansion Set 4, Party Expansion 1""},")</f>
        <v>"tk{b":{"label":"Mom &amp; Pop","extra":"Hey! Maybe they should open a store!","sets":"Expansion Set 4, Party Expansion 1"},</v>
      </c>
    </row>
    <row r="267">
      <c r="A267" s="8" t="str">
        <f>IFERROR(__xludf.DUMMYFUNCTION("""COMPUTED_VALUE"""),"Mom's Cooking")</f>
        <v>Mom's Cooking</v>
      </c>
      <c r="B267" s="8" t="str">
        <f>IFERROR(__xludf.DUMMYFUNCTION("""COMPUTED_VALUE"""),"Just like Mom USED to make.")</f>
        <v>Just like Mom USED to make.</v>
      </c>
      <c r="C267" s="13" t="str">
        <f>IFERROR(__xludf.DUMMYFUNCTION("""COMPUTED_VALUE"""),"""w{lj"":{""label"":""Mom's Cooking"",""extra"":""Just like Mom USED to make."",""sets"":""Expansion Set 3, Party Expansion 1""},")</f>
        <v>"w{lj":{"label":"Mom's Cooking","extra":"Just like Mom USED to make.","sets":"Expansion Set 3, Party Expansion 1"},</v>
      </c>
    </row>
    <row r="268">
      <c r="A268" s="8" t="str">
        <f>IFERROR(__xludf.DUMMYFUNCTION("""COMPUTED_VALUE"""),"Monitor &amp; The Merrimac")</f>
        <v>Monitor &amp; The Merrimac</v>
      </c>
      <c r="B268" s="8" t="str">
        <f>IFERROR(__xludf.DUMMYFUNCTION("""COMPUTED_VALUE"""),"American Civil War ironclads, first fought each other in 1862.")</f>
        <v>American Civil War ironclads, first fought each other in 1862.</v>
      </c>
      <c r="C268" s="13" t="str">
        <f>IFERROR(__xludf.DUMMYFUNCTION("""COMPUTED_VALUE"""),"""nudy"":{""label"":""Monitor &amp; The Merrimac"",""extra"":""American Civil War ironclads, first fought each other in 1862."",""sets"":""Expansion Set 4, Party Expansion 1""},")</f>
        <v>"nudy":{"label":"Monitor &amp; The Merrimac","extra":"American Civil War ironclads, first fought each other in 1862.","sets":"Expansion Set 4, Party Expansion 1"},</v>
      </c>
    </row>
    <row r="269">
      <c r="A269" s="8" t="str">
        <f>IFERROR(__xludf.DUMMYFUNCTION("""COMPUTED_VALUE"""),"Monkeys")</f>
        <v>Monkeys</v>
      </c>
      <c r="B269" s="8" t="str">
        <f>IFERROR(__xludf.DUMMYFUNCTION("""COMPUTED_VALUE"""),"Monkeys see…")</f>
        <v>Monkeys see…</v>
      </c>
      <c r="C269" s="13" t="str">
        <f>IFERROR(__xludf.DUMMYFUNCTION("""COMPUTED_VALUE"""),"""aglg"":{""label"":""Monkeys"",""extra"":""Monkeys see…"",""sets"":""Expansion Set 3, Party Expansion 1""},")</f>
        <v>"aglg":{"label":"Monkeys","extra":"Monkeys see…","sets":"Expansion Set 3, Party Expansion 1"},</v>
      </c>
    </row>
    <row r="270">
      <c r="A270" s="8" t="str">
        <f>IFERROR(__xludf.DUMMYFUNCTION("""COMPUTED_VALUE"""),"Moon &amp; The Stars")</f>
        <v>Moon &amp; The Stars</v>
      </c>
      <c r="B270" s="8" t="str">
        <f>IFERROR(__xludf.DUMMYFUNCTION("""COMPUTED_VALUE"""),"You want what?")</f>
        <v>You want what?</v>
      </c>
      <c r="C270" s="13" t="str">
        <f>IFERROR(__xludf.DUMMYFUNCTION("""COMPUTED_VALUE"""),"""wxir"":{""label"":""Moon &amp; The Stars"",""extra"":""You want what?"",""sets"":""Expansion Set 4, Party Expansion 1""},")</f>
        <v>"wxir":{"label":"Moon &amp; The Stars","extra":"You want what?","sets":"Expansion Set 4, Party Expansion 1"},</v>
      </c>
    </row>
    <row r="271">
      <c r="A271" s="8" t="str">
        <f>IFERROR(__xludf.DUMMYFUNCTION("""COMPUTED_VALUE"""),"Mount Vesuvius")</f>
        <v>Mount Vesuvius</v>
      </c>
      <c r="B271" s="8" t="str">
        <f>IFERROR(__xludf.DUMMYFUNCTION("""COMPUTED_VALUE"""),"Italian volcano that rises above the Bay of Naples and blew its top in 79 A.D., much to Pompeii’s regret.")</f>
        <v>Italian volcano that rises above the Bay of Naples and blew its top in 79 A.D., much to Pompeii’s regret.</v>
      </c>
      <c r="C271" s="13" t="str">
        <f>IFERROR(__xludf.DUMMYFUNCTION("""COMPUTED_VALUE"""),"""prph"":{""label"":""Mount Vesuvius"",""extra"":""Italian volcano that rises above the Bay of Naples and blew its top in 79 A.D., much to Pompeii’s regret."",""sets"":""Expansion Set 3, Party Expansion 1""},")</f>
        <v>"prph":{"label":"Mount Vesuvius","extra":"Italian volcano that rises above the Bay of Naples and blew its top in 79 A.D., much to Pompeii’s regret.","sets":"Expansion Set 3, Party Expansion 1"},</v>
      </c>
    </row>
    <row r="272">
      <c r="A272" s="8" t="str">
        <f>IFERROR(__xludf.DUMMYFUNCTION("""COMPUTED_VALUE"""),"Mutual Funds")</f>
        <v>Mutual Funds</v>
      </c>
      <c r="B272" s="8" t="str">
        <f>IFERROR(__xludf.DUMMYFUNCTION("""COMPUTED_VALUE"""),"Mutually benefits you and your broker.")</f>
        <v>Mutually benefits you and your broker.</v>
      </c>
      <c r="C272" s="13" t="str">
        <f>IFERROR(__xludf.DUMMYFUNCTION("""COMPUTED_VALUE"""),"""agzp"":{""label"":""Mutual Funds"",""extra"":""Mutually benefits you and your broker."",""sets"":""Expansion Set 3, Party Expansion 1""},")</f>
        <v>"agzp":{"label":"Mutual Funds","extra":"Mutually benefits you and your broker.","sets":"Expansion Set 3, Party Expansion 1"},</v>
      </c>
    </row>
    <row r="273">
      <c r="A273" s="8" t="str">
        <f>IFERROR(__xludf.DUMMYFUNCTION("""COMPUTED_VALUE"""),"My Father")</f>
        <v>My Father</v>
      </c>
      <c r="B273" s="8" t="str">
        <f>IFERROR(__xludf.DUMMYFUNCTION("""COMPUTED_VALUE"""),"“Go ask your mother.”")</f>
        <v>“Go ask your mother.”</v>
      </c>
      <c r="C273" s="13" t="str">
        <f>IFERROR(__xludf.DUMMYFUNCTION("""COMPUTED_VALUE"""),"""wxyq"":{""label"":""My Father"",""extra"":""“Go ask your mother.”"",""sets"":""Expansion Set 3, Party Expansion 1""},")</f>
        <v>"wxyq":{"label":"My Father","extra":"“Go ask your mother.”","sets":"Expansion Set 3, Party Expansion 1"},</v>
      </c>
    </row>
    <row r="274">
      <c r="A274" s="8" t="str">
        <f>IFERROR(__xludf.DUMMYFUNCTION("""COMPUTED_VALUE"""),"My Life")</f>
        <v>My Life</v>
      </c>
      <c r="B274" s="8" t="str">
        <f>IFERROR(__xludf.DUMMYFUNCTION("""COMPUTED_VALUE"""),"“There are places I'll remember / All my life / though some have changed…” —The Beatles")</f>
        <v>“There are places I'll remember / All my life / though some have changed…” —The Beatles</v>
      </c>
      <c r="C274" s="13" t="str">
        <f>IFERROR(__xludf.DUMMYFUNCTION("""COMPUTED_VALUE"""),"""vsdh"":{""label"":""My Life"",""extra"":""“There are places I'll remember / All my life / though some have changed…” —The Beatles"",""sets"":""Expansion Set 3, Party Expansion 1""},")</f>
        <v>"vsdh":{"label":"My Life","extra":"“There are places I'll remember / All my life / though some have changed…” —The Beatles","sets":"Expansion Set 3, Party Expansion 1"},</v>
      </c>
    </row>
    <row r="275">
      <c r="A275" s="8" t="str">
        <f>IFERROR(__xludf.DUMMYFUNCTION("""COMPUTED_VALUE"""),"My Memories")</f>
        <v>My Memories</v>
      </c>
      <c r="B275" s="8" t="str">
        <f>IFERROR(__xludf.DUMMYFUNCTION("""COMPUTED_VALUE"""),"Thanks for the memories…")</f>
        <v>Thanks for the memories…</v>
      </c>
      <c r="C275" s="13" t="str">
        <f>IFERROR(__xludf.DUMMYFUNCTION("""COMPUTED_VALUE"""),"""ovep"":{""label"":""My Memories"",""extra"":""Thanks for the memories…"",""sets"":""Expansion Set 3, Party Expansion 1""},")</f>
        <v>"ovep":{"label":"My Memories","extra":"Thanks for the memories…","sets":"Expansion Set 3, Party Expansion 1"},</v>
      </c>
    </row>
    <row r="276">
      <c r="A276" s="8" t="str">
        <f>IFERROR(__xludf.DUMMYFUNCTION("""COMPUTED_VALUE"""),"My Mother")</f>
        <v>My Mother</v>
      </c>
      <c r="B276" s="8" t="str">
        <f>IFERROR(__xludf.DUMMYFUNCTION("""COMPUTED_VALUE"""),"”Go ask your father.”")</f>
        <v>”Go ask your father.”</v>
      </c>
      <c r="C276" s="13" t="str">
        <f>IFERROR(__xludf.DUMMYFUNCTION("""COMPUTED_VALUE"""),"""rkjk"":{""label"":""My Mother"",""extra"":""”Go ask your father.”"",""sets"":""Expansion Set 3, Party Expansion 1""},")</f>
        <v>"rkjk":{"label":"My Mother","extra":"”Go ask your father.”","sets":"Expansion Set 3, Party Expansion 1"},</v>
      </c>
    </row>
    <row r="277">
      <c r="A277" s="8" t="str">
        <f>IFERROR(__xludf.DUMMYFUNCTION("""COMPUTED_VALUE"""),"NASA")</f>
        <v>NASA</v>
      </c>
      <c r="B277" s="8" t="str">
        <f>IFERROR(__xludf.DUMMYFUNCTION("""COMPUTED_VALUE"""),"National Aeronautics and Space Administration, established in 1958 in part in response to the U.S.S.R. launching Sputnik.")</f>
        <v>National Aeronautics and Space Administration, established in 1958 in part in response to the U.S.S.R. launching Sputnik.</v>
      </c>
      <c r="C277" s="13" t="str">
        <f>IFERROR(__xludf.DUMMYFUNCTION("""COMPUTED_VALUE"""),"""bojf"":{""label"":""NASA"",""extra"":""National Aeronautics and Space Administration, established in 1958 in part in response to the U.S.S.R. launching Sputnik."",""sets"":""Expansion Set 3, Party Expansion 1""},")</f>
        <v>"bojf":{"label":"NASA","extra":"National Aeronautics and Space Administration, established in 1958 in part in response to the U.S.S.R. launching Sputnik.","sets":"Expansion Set 3, Party Expansion 1"},</v>
      </c>
    </row>
    <row r="278">
      <c r="A278" s="8" t="str">
        <f>IFERROR(__xludf.DUMMYFUNCTION("""COMPUTED_VALUE"""),"Nashville")</f>
        <v>Nashville</v>
      </c>
      <c r="B278" s="8" t="str">
        <f>IFERROR(__xludf.DUMMYFUNCTION("""COMPUTED_VALUE"""),"Capital of Tennessee and capital of country music also known as Nash Vegas.")</f>
        <v>Capital of Tennessee and capital of country music also known as Nash Vegas.</v>
      </c>
      <c r="C278" s="13" t="str">
        <f>IFERROR(__xludf.DUMMYFUNCTION("""COMPUTED_VALUE"""),"""nolm"":{""label"":""Nashville"",""extra"":""Capital of Tennessee and capital of country music also known as Nash Vegas."",""sets"":""Expansion Set 3, Party Expansion 1""},")</f>
        <v>"nolm":{"label":"Nashville","extra":"Capital of Tennessee and capital of country music also known as Nash Vegas.","sets":"Expansion Set 3, Party Expansion 1"},</v>
      </c>
    </row>
    <row r="279">
      <c r="A279" s="8" t="str">
        <f>IFERROR(__xludf.DUMMYFUNCTION("""COMPUTED_VALUE"""),"New Yorkers")</f>
        <v>New Yorkers</v>
      </c>
      <c r="B279" s="8" t="str">
        <f>IFERROR(__xludf.DUMMYFUNCTION("""COMPUTED_VALUE"""),"Brash, brawny and full of bravado.")</f>
        <v>Brash, brawny and full of bravado.</v>
      </c>
      <c r="C279" s="13" t="str">
        <f>IFERROR(__xludf.DUMMYFUNCTION("""COMPUTED_VALUE"""),"""treu"":{""label"":""New Yorkers"",""extra"":""Brash, brawny and full of bravado."",""sets"":""Expansion Set 3, Party Expansion 1""},")</f>
        <v>"treu":{"label":"New Yorkers","extra":"Brash, brawny and full of bravado.","sets":"Expansion Set 3, Party Expansion 1"},</v>
      </c>
    </row>
    <row r="280">
      <c r="A280" s="8" t="str">
        <f>IFERROR(__xludf.DUMMYFUNCTION("""COMPUTED_VALUE"""),"Nirvana")</f>
        <v>Nirvana</v>
      </c>
      <c r="B280" s="8" t="str">
        <f>IFERROR(__xludf.DUMMYFUNCTION("""COMPUTED_VALUE"""),"A state of supreme spiritual bliss and liberation. And then there’s the band…")</f>
        <v>A state of supreme spiritual bliss and liberation. And then there’s the band…</v>
      </c>
      <c r="C280" s="13" t="str">
        <f>IFERROR(__xludf.DUMMYFUNCTION("""COMPUTED_VALUE"""),"""ymdt"":{""label"":""Nirvana"",""extra"":""A state of supreme spiritual bliss and liberation. And then there’s the band…"",""sets"":""Expansion Set 3, Party Expansion 1""},")</f>
        <v>"ymdt":{"label":"Nirvana","extra":"A state of supreme spiritual bliss and liberation. And then there’s the band…","sets":"Expansion Set 3, Party Expansion 1"},</v>
      </c>
    </row>
    <row r="281">
      <c r="A281" s="8" t="str">
        <f>IFERROR(__xludf.DUMMYFUNCTION("""COMPUTED_VALUE"""),"North &amp; South Dakota")</f>
        <v>North &amp; South Dakota</v>
      </c>
      <c r="B281" s="8" t="str">
        <f>IFERROR(__xludf.DUMMYFUNCTION("""COMPUTED_VALUE"""),"It’s all north.")</f>
        <v>It’s all north.</v>
      </c>
      <c r="C281" s="13" t="str">
        <f>IFERROR(__xludf.DUMMYFUNCTION("""COMPUTED_VALUE"""),"""pqbk"":{""label"":""North &amp; South Dakota"",""extra"":""It’s all north."",""sets"":""Expansion Set 4, Party Expansion 1""},")</f>
        <v>"pqbk":{"label":"North &amp; South Dakota","extra":"It’s all north.","sets":"Expansion Set 4, Party Expansion 1"},</v>
      </c>
    </row>
    <row r="282">
      <c r="A282" s="8" t="str">
        <f>IFERROR(__xludf.DUMMYFUNCTION("""COMPUTED_VALUE"""),"Nosebleeds")</f>
        <v>Nosebleeds</v>
      </c>
      <c r="B282" s="8" t="str">
        <f>IFERROR(__xludf.DUMMYFUNCTION("""COMPUTED_VALUE"""),"Keep your chin up.")</f>
        <v>Keep your chin up.</v>
      </c>
      <c r="C282" s="13" t="str">
        <f>IFERROR(__xludf.DUMMYFUNCTION("""COMPUTED_VALUE"""),"""dizv"":{""label"":""Nosebleeds"",""extra"":""Keep your chin up."",""sets"":""Expansion Set 3, Party Expansion 1""},")</f>
        <v>"dizv":{"label":"Nosebleeds","extra":"Keep your chin up.","sets":"Expansion Set 3, Party Expansion 1"},</v>
      </c>
    </row>
    <row r="283">
      <c r="A283" s="8" t="str">
        <f>IFERROR(__xludf.DUMMYFUNCTION("""COMPUTED_VALUE"""),"Nuts &amp; Bolts")</f>
        <v>Nuts &amp; Bolts</v>
      </c>
      <c r="B283" s="8" t="str">
        <f>IFERROR(__xludf.DUMMYFUNCTION("""COMPUTED_VALUE"""),"A good way to stay connected.")</f>
        <v>A good way to stay connected.</v>
      </c>
      <c r="C283" s="13" t="str">
        <f>IFERROR(__xludf.DUMMYFUNCTION("""COMPUTED_VALUE"""),"""llyk"":{""label"":""Nuts &amp; Bolts"",""extra"":""A good way to stay connected."",""sets"":""Expansion Set 4, Party Expansion 1""},")</f>
        <v>"llyk":{"label":"Nuts &amp; Bolts","extra":"A good way to stay connected.","sets":"Expansion Set 4, Party Expansion 1"},</v>
      </c>
    </row>
    <row r="284">
      <c r="A284" s="8" t="str">
        <f>IFERROR(__xludf.DUMMYFUNCTION("""COMPUTED_VALUE"""),"Odds &amp; Ends")</f>
        <v>Odds &amp; Ends</v>
      </c>
      <c r="B284" s="8" t="str">
        <f>IFERROR(__xludf.DUMMYFUNCTION("""COMPUTED_VALUE"""),"It’s in the junk drawer.")</f>
        <v>It’s in the junk drawer.</v>
      </c>
      <c r="C284" s="13" t="str">
        <f>IFERROR(__xludf.DUMMYFUNCTION("""COMPUTED_VALUE"""),"""cufb"":{""label"":""Odds &amp; Ends"",""extra"":""It’s in the junk drawer."",""sets"":""Expansion Set 4, Party Expansion 1""},")</f>
        <v>"cufb":{"label":"Odds &amp; Ends","extra":"It’s in the junk drawer.","sets":"Expansion Set 4, Party Expansion 1"},</v>
      </c>
    </row>
    <row r="285">
      <c r="A285" s="8" t="str">
        <f>IFERROR(__xludf.DUMMYFUNCTION("""COMPUTED_VALUE"""),"Oil &amp; Filter")</f>
        <v>Oil &amp; Filter</v>
      </c>
      <c r="B285" s="8" t="str">
        <f>IFERROR(__xludf.DUMMYFUNCTION("""COMPUTED_VALUE"""),"Let me top that off for you.")</f>
        <v>Let me top that off for you.</v>
      </c>
      <c r="C285" s="13" t="str">
        <f>IFERROR(__xludf.DUMMYFUNCTION("""COMPUTED_VALUE"""),"""icys"":{""label"":""Oil &amp; Filter"",""extra"":""Let me top that off for you."",""sets"":""Expansion Set 4, Party Expansion 1""},")</f>
        <v>"icys":{"label":"Oil &amp; Filter","extra":"Let me top that off for you.","sets":"Expansion Set 4, Party Expansion 1"},</v>
      </c>
    </row>
    <row r="286">
      <c r="A286" s="8" t="str">
        <f>IFERROR(__xludf.DUMMYFUNCTION("""COMPUTED_VALUE"""),"Oil &amp; Vinegar")</f>
        <v>Oil &amp; Vinegar</v>
      </c>
      <c r="B286" s="8" t="str">
        <f>IFERROR(__xludf.DUMMYFUNCTION("""COMPUTED_VALUE"""),"They don’t mix, but we keep trying.")</f>
        <v>They don’t mix, but we keep trying.</v>
      </c>
      <c r="C286" s="13" t="str">
        <f>IFERROR(__xludf.DUMMYFUNCTION("""COMPUTED_VALUE"""),"""ahvb"":{""label"":""Oil &amp; Vinegar"",""extra"":""They don’t mix, but we keep trying."",""sets"":""Expansion Set 4, Party Expansion 1""},")</f>
        <v>"ahvb":{"label":"Oil &amp; Vinegar","extra":"They don’t mix, but we keep trying.","sets":"Expansion Set 4, Party Expansion 1"},</v>
      </c>
    </row>
    <row r="287">
      <c r="A287" s="8" t="str">
        <f>IFERROR(__xludf.DUMMYFUNCTION("""COMPUTED_VALUE"""),"Old Age")</f>
        <v>Old Age</v>
      </c>
      <c r="B287" s="8" t="str">
        <f>IFERROR(__xludf.DUMMYFUNCTION("""COMPUTED_VALUE"""),"It looks good when you consider the alternative.")</f>
        <v>It looks good when you consider the alternative.</v>
      </c>
      <c r="C287" s="13" t="str">
        <f>IFERROR(__xludf.DUMMYFUNCTION("""COMPUTED_VALUE"""),"""jyjj"":{""label"":""Old Age"",""extra"":""It looks good when you consider the alternative."",""sets"":""Expansion Set 3, Party Expansion 1""},")</f>
        <v>"jyjj":{"label":"Old Age","extra":"It looks good when you consider the alternative.","sets":"Expansion Set 3, Party Expansion 1"},</v>
      </c>
    </row>
    <row r="288">
      <c r="A288" s="8" t="str">
        <f>IFERROR(__xludf.DUMMYFUNCTION("""COMPUTED_VALUE"""),"Ordinary People")</f>
        <v>Ordinary People</v>
      </c>
      <c r="B288" s="8" t="str">
        <f>IFERROR(__xludf.DUMMYFUNCTION("""COMPUTED_VALUE"""),"Nothing special.")</f>
        <v>Nothing special.</v>
      </c>
      <c r="C288" s="13" t="str">
        <f>IFERROR(__xludf.DUMMYFUNCTION("""COMPUTED_VALUE"""),"""xgcm"":{""label"":""Ordinary People"",""extra"":""Nothing special."",""sets"":""Expansion Set 3, Party Expansion 1""},")</f>
        <v>"xgcm":{"label":"Ordinary People","extra":"Nothing special.","sets":"Expansion Set 3, Party Expansion 1"},</v>
      </c>
    </row>
    <row r="289">
      <c r="A289" s="8" t="str">
        <f>IFERROR(__xludf.DUMMYFUNCTION("""COMPUTED_VALUE"""),"Pail &amp; Shovel")</f>
        <v>Pail &amp; Shovel</v>
      </c>
      <c r="B289" s="8" t="str">
        <f>IFERROR(__xludf.DUMMYFUNCTION("""COMPUTED_VALUE"""),"I can dig it.")</f>
        <v>I can dig it.</v>
      </c>
      <c r="C289" s="13" t="str">
        <f>IFERROR(__xludf.DUMMYFUNCTION("""COMPUTED_VALUE"""),"""loiy"":{""label"":""Pail &amp; Shovel"",""extra"":""I can dig it."",""sets"":""Expansion Set 4, Party Expansion 1""},")</f>
        <v>"loiy":{"label":"Pail &amp; Shovel","extra":"I can dig it.","sets":"Expansion Set 4, Party Expansion 1"},</v>
      </c>
    </row>
    <row r="290">
      <c r="A290" s="8" t="str">
        <f>IFERROR(__xludf.DUMMYFUNCTION("""COMPUTED_VALUE"""),"Panning For Gold")</f>
        <v>Panning For Gold</v>
      </c>
      <c r="B290" s="8" t="str">
        <f>IFERROR(__xludf.DUMMYFUNCTION("""COMPUTED_VALUE"""),"The dot-coms of the 1840s…")</f>
        <v>The dot-coms of the 1840s…</v>
      </c>
      <c r="C290" s="13" t="str">
        <f>IFERROR(__xludf.DUMMYFUNCTION("""COMPUTED_VALUE"""),"""lqdn"":{""label"":""Panning For Gold"",""extra"":""The dot-coms of the 1840s…"",""sets"":""Expansion Set 3, Party Expansion 1""},")</f>
        <v>"lqdn":{"label":"Panning For Gold","extra":"The dot-coms of the 1840s…","sets":"Expansion Set 3, Party Expansion 1"},</v>
      </c>
    </row>
    <row r="291">
      <c r="A291" s="8" t="str">
        <f>IFERROR(__xludf.DUMMYFUNCTION("""COMPUTED_VALUE"""),"Paul McCartney &amp; Wings")</f>
        <v>Paul McCartney &amp; Wings</v>
      </c>
      <c r="B291" s="8" t="str">
        <f>IFERROR(__xludf.DUMMYFUNCTION("""COMPUTED_VALUE"""),"Life after The Beatles.")</f>
        <v>Life after The Beatles.</v>
      </c>
      <c r="C291" s="13" t="str">
        <f>IFERROR(__xludf.DUMMYFUNCTION("""COMPUTED_VALUE"""),"""ixup"":{""label"":""Paul McCartney &amp; Wings"",""extra"":""Life after The Beatles."",""sets"":""Expansion Set 4, Party Expansion 1""},")</f>
        <v>"ixup":{"label":"Paul McCartney &amp; Wings","extra":"Life after The Beatles.","sets":"Expansion Set 4, Party Expansion 1"},</v>
      </c>
    </row>
    <row r="292">
      <c r="A292" s="8" t="str">
        <f>IFERROR(__xludf.DUMMYFUNCTION("""COMPUTED_VALUE"""),"Peace &amp; Love")</f>
        <v>Peace &amp; Love</v>
      </c>
      <c r="B292" s="8" t="str">
        <f>IFERROR(__xludf.DUMMYFUNCTION("""COMPUTED_VALUE"""),"Flower Power!")</f>
        <v>Flower Power!</v>
      </c>
      <c r="C292" s="13" t="str">
        <f>IFERROR(__xludf.DUMMYFUNCTION("""COMPUTED_VALUE"""),"""iwjk"":{""label"":""Peace &amp; Love"",""extra"":""Flower Power!"",""sets"":""Expansion Set 4, Party Expansion 1""},")</f>
        <v>"iwjk":{"label":"Peace &amp; Love","extra":"Flower Power!","sets":"Expansion Set 4, Party Expansion 1"},</v>
      </c>
    </row>
    <row r="293">
      <c r="A293" s="8" t="str">
        <f>IFERROR(__xludf.DUMMYFUNCTION("""COMPUTED_VALUE"""),"Peace &amp; Quiet")</f>
        <v>Peace &amp; Quiet</v>
      </c>
      <c r="B293" s="8" t="str">
        <f>IFERROR(__xludf.DUMMYFUNCTION("""COMPUTED_VALUE"""),"Truly appreciated during parenthood.")</f>
        <v>Truly appreciated during parenthood.</v>
      </c>
      <c r="C293" s="13" t="str">
        <f>IFERROR(__xludf.DUMMYFUNCTION("""COMPUTED_VALUE"""),"""dms{"":{""label"":""Peace &amp; Quiet"",""extra"":""Truly appreciated during parenthood."",""sets"":""Expansion Set 4, Party Expansion 1""},")</f>
        <v>"dms{":{"label":"Peace &amp; Quiet","extra":"Truly appreciated during parenthood.","sets":"Expansion Set 4, Party Expansion 1"},</v>
      </c>
    </row>
    <row r="294">
      <c r="A294" s="8" t="str">
        <f>IFERROR(__xludf.DUMMYFUNCTION("""COMPUTED_VALUE"""),"Peaches &amp; Cream")</f>
        <v>Peaches &amp; Cream</v>
      </c>
      <c r="B294" s="8" t="str">
        <f>IFERROR(__xludf.DUMMYFUNCTION("""COMPUTED_VALUE"""),"A great complexion and a great dessert.")</f>
        <v>A great complexion and a great dessert.</v>
      </c>
      <c r="C294" s="13" t="str">
        <f>IFERROR(__xludf.DUMMYFUNCTION("""COMPUTED_VALUE"""),"""hlwe"":{""label"":""Peaches &amp; Cream"",""extra"":""A great complexion and a great dessert."",""sets"":""Expansion Set 4, Party Expansion 1""},")</f>
        <v>"hlwe":{"label":"Peaches &amp; Cream","extra":"A great complexion and a great dessert.","sets":"Expansion Set 4, Party Expansion 1"},</v>
      </c>
    </row>
    <row r="295">
      <c r="A295" s="8" t="str">
        <f>IFERROR(__xludf.DUMMYFUNCTION("""COMPUTED_VALUE"""),"Peanut Butter &amp; Jelly")</f>
        <v>Peanut Butter &amp; Jelly</v>
      </c>
      <c r="B295" s="8" t="str">
        <f>IFERROR(__xludf.DUMMYFUNCTION("""COMPUTED_VALUE"""),"On white bread; cut off the crusts.")</f>
        <v>On white bread; cut off the crusts.</v>
      </c>
      <c r="C295" s="13" t="str">
        <f>IFERROR(__xludf.DUMMYFUNCTION("""COMPUTED_VALUE"""),"""fjui"":{""label"":""Peanut Butter &amp; Jelly"",""extra"":""On white bread; cut off the crusts."",""sets"":""Expansion Set 4, Party Expansion 1""},")</f>
        <v>"fjui":{"label":"Peanut Butter &amp; Jelly","extra":"On white bread; cut off the crusts.","sets":"Expansion Set 4, Party Expansion 1"},</v>
      </c>
    </row>
    <row r="296">
      <c r="A296" s="8" t="str">
        <f>IFERROR(__xludf.DUMMYFUNCTION("""COMPUTED_VALUE"""),"Peanuts &amp; Popcorn")</f>
        <v>Peanuts &amp; Popcorn</v>
      </c>
      <c r="B296" s="8" t="str">
        <f>IFERROR(__xludf.DUMMYFUNCTION("""COMPUTED_VALUE"""),"It's a crackerjack combination!")</f>
        <v>It's a crackerjack combination!</v>
      </c>
      <c r="C296" s="13" t="str">
        <f>IFERROR(__xludf.DUMMYFUNCTION("""COMPUTED_VALUE"""),"""bfhj"":{""label"":""Peanuts &amp; Popcorn"",""extra"":""It's a crackerjack combination!"",""sets"":""Expansion Set 4, Party Expansion 1""},")</f>
        <v>"bfhj":{"label":"Peanuts &amp; Popcorn","extra":"It's a crackerjack combination!","sets":"Expansion Set 4, Party Expansion 1"},</v>
      </c>
    </row>
    <row r="297">
      <c r="A297" s="8" t="str">
        <f>IFERROR(__xludf.DUMMYFUNCTION("""COMPUTED_VALUE"""),"Pebbles &amp; Bamm-Bamm")</f>
        <v>Pebbles &amp; Bamm-Bamm</v>
      </c>
      <c r="B297" s="8" t="str">
        <f>IFERROR(__xludf.DUMMYFUNCTION("""COMPUTED_VALUE"""),"The cartoon kids from The Flintstones. BAM-BAM, BAM-BAM, BAM-BAM.")</f>
        <v>The cartoon kids from The Flintstones. BAM-BAM, BAM-BAM, BAM-BAM.</v>
      </c>
      <c r="C297" s="13" t="str">
        <f>IFERROR(__xludf.DUMMYFUNCTION("""COMPUTED_VALUE"""),"""ajvr"":{""label"":""Pebbles &amp; Bamm-Bamm"",""extra"":""The cartoon kids from The Flintstones. BAM-BAM, BAM-BAM, BAM-BAM."",""sets"":""Expansion Set 4, Party Expansion 1""},")</f>
        <v>"ajvr":{"label":"Pebbles &amp; Bamm-Bamm","extra":"The cartoon kids from The Flintstones. BAM-BAM, BAM-BAM, BAM-BAM.","sets":"Expansion Set 4, Party Expansion 1"},</v>
      </c>
    </row>
    <row r="298">
      <c r="A298" s="8" t="str">
        <f>IFERROR(__xludf.DUMMYFUNCTION("""COMPUTED_VALUE"""),"Pencil &amp; Paper")</f>
        <v>Pencil &amp; Paper</v>
      </c>
      <c r="B298" s="8" t="str">
        <f>IFERROR(__xludf.DUMMYFUNCTION("""COMPUTED_VALUE"""),"We’re drawn to them!")</f>
        <v>We’re drawn to them!</v>
      </c>
      <c r="C298" s="13" t="str">
        <f>IFERROR(__xludf.DUMMYFUNCTION("""COMPUTED_VALUE"""),"""sl{b"":{""label"":""Pencil &amp; Paper"",""extra"":""We’re drawn to them!"",""sets"":""Expansion Set 4, Party Expansion 1""},")</f>
        <v>"sl{b":{"label":"Pencil &amp; Paper","extra":"We’re drawn to them!","sets":"Expansion Set 4, Party Expansion 1"},</v>
      </c>
    </row>
    <row r="299">
      <c r="A299" s="8" t="str">
        <f>IFERROR(__xludf.DUMMYFUNCTION("""COMPUTED_VALUE"""),"Penn &amp; Teller")</f>
        <v>Penn &amp; Teller</v>
      </c>
      <c r="B299" s="8" t="str">
        <f>IFERROR(__xludf.DUMMYFUNCTION("""COMPUTED_VALUE"""),"Magicians, illusionists, entertainers, and comedians.")</f>
        <v>Magicians, illusionists, entertainers, and comedians.</v>
      </c>
      <c r="C299" s="13" t="str">
        <f>IFERROR(__xludf.DUMMYFUNCTION("""COMPUTED_VALUE"""),"""mypp"":{""label"":""Penn &amp; Teller"",""extra"":""Magicians, illusionists, entertainers, and comedians."",""sets"":""Expansion Set 4, Party Expansion 1""},")</f>
        <v>"mypp":{"label":"Penn &amp; Teller","extra":"Magicians, illusionists, entertainers, and comedians.","sets":"Expansion Set 4, Party Expansion 1"},</v>
      </c>
    </row>
    <row r="300">
      <c r="A300" s="8" t="str">
        <f>IFERROR(__xludf.DUMMYFUNCTION("""COMPUTED_VALUE"""),"Pez Dispensers")</f>
        <v>Pez Dispensers</v>
      </c>
      <c r="B300" s="8" t="str">
        <f>IFERROR(__xludf.DUMMYFUNCTION("""COMPUTED_VALUE"""),"Collectable candy dispensers first being sold in 1952. Believe it or not, there has never been an Elvis Pez dispenser.")</f>
        <v>Collectable candy dispensers first being sold in 1952. Believe it or not, there has never been an Elvis Pez dispenser.</v>
      </c>
      <c r="C300" s="13" t="str">
        <f>IFERROR(__xludf.DUMMYFUNCTION("""COMPUTED_VALUE"""),"""yjsn"":{""label"":""Pez Dispensers"",""extra"":""Collectable candy dispensers first being sold in 1952. Believe it or not, there has never been an Elvis Pez dispenser."",""sets"":""Expansion Set 3, Party Expansion 1""},")</f>
        <v>"yjsn":{"label":"Pez Dispensers","extra":"Collectable candy dispensers first being sold in 1952. Believe it or not, there has never been an Elvis Pez dispenser.","sets":"Expansion Set 3, Party Expansion 1"},</v>
      </c>
    </row>
    <row r="301">
      <c r="A301" s="8" t="str">
        <f>IFERROR(__xludf.DUMMYFUNCTION("""COMPUTED_VALUE"""),"Phone &amp; Fax")</f>
        <v>Phone &amp; Fax</v>
      </c>
      <c r="B301" s="8" t="str">
        <f>IFERROR(__xludf.DUMMYFUNCTION("""COMPUTED_VALUE"""),"Soon you won’t need to leave the house at all!")</f>
        <v>Soon you won’t need to leave the house at all!</v>
      </c>
      <c r="C301" s="13" t="str">
        <f>IFERROR(__xludf.DUMMYFUNCTION("""COMPUTED_VALUE"""),"""rrqz"":{""label"":""Phone &amp; Fax"",""extra"":""Soon you won’t need to leave the house at all!"",""sets"":""Expansion Set 4, Party Expansion 1""},")</f>
        <v>"rrqz":{"label":"Phone &amp; Fax","extra":"Soon you won’t need to leave the house at all!","sets":"Expansion Set 4, Party Expansion 1"},</v>
      </c>
    </row>
    <row r="302">
      <c r="A302" s="8" t="str">
        <f>IFERROR(__xludf.DUMMYFUNCTION("""COMPUTED_VALUE"""),"Pineapple")</f>
        <v>Pineapple</v>
      </c>
      <c r="B302" s="8" t="str">
        <f>IFERROR(__xludf.DUMMYFUNCTION("""COMPUTED_VALUE"""),"Tropical fruit, or the less lush hand grenade.")</f>
        <v>Tropical fruit, or the less lush hand grenade.</v>
      </c>
      <c r="C302" s="13" t="str">
        <f>IFERROR(__xludf.DUMMYFUNCTION("""COMPUTED_VALUE"""),"""eqlt"":{""label"":""Pineapple"",""extra"":""Tropical fruit, or the less lush hand grenade."",""sets"":""Expansion Set 3, Party Expansion 1""},")</f>
        <v>"eqlt":{"label":"Pineapple","extra":"Tropical fruit, or the less lush hand grenade.","sets":"Expansion Set 3, Party Expansion 1"},</v>
      </c>
    </row>
    <row r="303">
      <c r="A303" s="8" t="str">
        <f>IFERROR(__xludf.DUMMYFUNCTION("""COMPUTED_VALUE"""),"Pink Flamingos")</f>
        <v>Pink Flamingos</v>
      </c>
      <c r="B303" s="8" t="str">
        <f>IFERROR(__xludf.DUMMYFUNCTION("""COMPUTED_VALUE"""),"Gracing America’s lawns for more than 40 years sold only in pairs.")</f>
        <v>Gracing America’s lawns for more than 40 years sold only in pairs.</v>
      </c>
      <c r="C303" s="13" t="str">
        <f>IFERROR(__xludf.DUMMYFUNCTION("""COMPUTED_VALUE"""),"""rtrn"":{""label"":""Pink Flamingos"",""extra"":""Gracing America’s lawns for more than 40 years sold only in pairs."",""sets"":""Expansion Set 3, Party Expansion 1""},")</f>
        <v>"rtrn":{"label":"Pink Flamingos","extra":"Gracing America’s lawns for more than 40 years sold only in pairs.","sets":"Expansion Set 3, Party Expansion 1"},</v>
      </c>
    </row>
    <row r="304">
      <c r="A304" s="8" t="str">
        <f>IFERROR(__xludf.DUMMYFUNCTION("""COMPUTED_VALUE"""),"Pins &amp; Needles")</f>
        <v>Pins &amp; Needles</v>
      </c>
      <c r="B304" s="8" t="str">
        <f>IFERROR(__xludf.DUMMYFUNCTION("""COMPUTED_VALUE"""),"It’s all sewed up!")</f>
        <v>It’s all sewed up!</v>
      </c>
      <c r="C304" s="13" t="str">
        <f>IFERROR(__xludf.DUMMYFUNCTION("""COMPUTED_VALUE"""),"""nvfn"":{""label"":""Pins &amp; Needles"",""extra"":""It’s all sewed up!"",""sets"":""Expansion Set 4, Party Expansion 1""},")</f>
        <v>"nvfn":{"label":"Pins &amp; Needles","extra":"It’s all sewed up!","sets":"Expansion Set 4, Party Expansion 1"},</v>
      </c>
    </row>
    <row r="305">
      <c r="A305" s="8" t="str">
        <f>IFERROR(__xludf.DUMMYFUNCTION("""COMPUTED_VALUE"""),"Playing Golf")</f>
        <v>Playing Golf</v>
      </c>
      <c r="B305" s="8" t="str">
        <f>IFERROR(__xludf.DUMMYFUNCTION("""COMPUTED_VALUE"""),"For stress reduction. Now, get that head down and straighten your arm!")</f>
        <v>For stress reduction. Now, get that head down and straighten your arm!</v>
      </c>
      <c r="C305" s="13" t="str">
        <f>IFERROR(__xludf.DUMMYFUNCTION("""COMPUTED_VALUE"""),"""ftxj"":{""label"":""Playing Golf"",""extra"":""For stress reduction. Now, get that head down and straighten your arm!"",""sets"":""Expansion Set 3, Party Expansion 1""},")</f>
        <v>"ftxj":{"label":"Playing Golf","extra":"For stress reduction. Now, get that head down and straighten your arm!","sets":"Expansion Set 3, Party Expansion 1"},</v>
      </c>
    </row>
    <row r="306">
      <c r="A306" s="8" t="str">
        <f>IFERROR(__xludf.DUMMYFUNCTION("""COMPUTED_VALUE"""),"Pole Vaulting")</f>
        <v>Pole Vaulting</v>
      </c>
      <c r="B306" s="8" t="str">
        <f>IFERROR(__xludf.DUMMYFUNCTION("""COMPUTED_VALUE"""),"The sport where you can reach new heights.")</f>
        <v>The sport where you can reach new heights.</v>
      </c>
      <c r="C306" s="13" t="str">
        <f>IFERROR(__xludf.DUMMYFUNCTION("""COMPUTED_VALUE"""),"""ghkm"":{""label"":""Pole Vaulting"",""extra"":""The sport where you can reach new heights."",""sets"":""Expansion Set 3, Party Expansion 1""},")</f>
        <v>"ghkm":{"label":"Pole Vaulting","extra":"The sport where you can reach new heights.","sets":"Expansion Set 3, Party Expansion 1"},</v>
      </c>
    </row>
    <row r="307">
      <c r="A307" s="8" t="str">
        <f>IFERROR(__xludf.DUMMYFUNCTION("""COMPUTED_VALUE"""),"Pomp &amp; Circumstance")</f>
        <v>Pomp &amp; Circumstance</v>
      </c>
      <c r="B307" s="8" t="str">
        <f>IFERROR(__xludf.DUMMYFUNCTION("""COMPUTED_VALUE"""),"La-de-da.")</f>
        <v>La-de-da.</v>
      </c>
      <c r="C307" s="13" t="str">
        <f>IFERROR(__xludf.DUMMYFUNCTION("""COMPUTED_VALUE"""),"""trxy"":{""label"":""Pomp &amp; Circumstance"",""extra"":""La-de-da."",""sets"":""Expansion Set 4, Party Expansion 1""},")</f>
        <v>"trxy":{"label":"Pomp &amp; Circumstance","extra":"La-de-da.","sets":"Expansion Set 4, Party Expansion 1"},</v>
      </c>
    </row>
    <row r="308">
      <c r="A308" s="8" t="str">
        <f>IFERROR(__xludf.DUMMYFUNCTION("""COMPUTED_VALUE"""),"Porcupines")</f>
        <v>Porcupines</v>
      </c>
      <c r="B308" s="8" t="str">
        <f>IFERROR(__xludf.DUMMYFUNCTION("""COMPUTED_VALUE"""),"Quill-bearing rodents that can leave you in a prickly situation.")</f>
        <v>Quill-bearing rodents that can leave you in a prickly situation.</v>
      </c>
      <c r="C308" s="13" t="str">
        <f>IFERROR(__xludf.DUMMYFUNCTION("""COMPUTED_VALUE"""),"""heqd"":{""label"":""Porcupines"",""extra"":""Quill-bearing rodents that can leave you in a prickly situation."",""sets"":""Expansion Set 3, Party Expansion 1""},")</f>
        <v>"heqd":{"label":"Porcupines","extra":"Quill-bearing rodents that can leave you in a prickly situation.","sets":"Expansion Set 3, Party Expansion 1"},</v>
      </c>
    </row>
    <row r="309">
      <c r="A309" s="8" t="str">
        <f>IFERROR(__xludf.DUMMYFUNCTION("""COMPUTED_VALUE"""),"Pork &amp; Beans")</f>
        <v>Pork &amp; Beans</v>
      </c>
      <c r="B309" s="8" t="str">
        <f>IFERROR(__xludf.DUMMYFUNCTION("""COMPUTED_VALUE"""),"Rustle us up some grub, Cookie.")</f>
        <v>Rustle us up some grub, Cookie.</v>
      </c>
      <c r="C309" s="13" t="str">
        <f>IFERROR(__xludf.DUMMYFUNCTION("""COMPUTED_VALUE"""),"""rnta"":{""label"":""Pork &amp; Beans"",""extra"":""Rustle us up some grub, Cookie."",""sets"":""Expansion Set 4, Party Expansion 1""},")</f>
        <v>"rnta":{"label":"Pork &amp; Beans","extra":"Rustle us up some grub, Cookie.","sets":"Expansion Set 4, Party Expansion 1"},</v>
      </c>
    </row>
    <row r="310">
      <c r="A310" s="8" t="str">
        <f>IFERROR(__xludf.DUMMYFUNCTION("""COMPUTED_VALUE"""),"Power &amp; Glory")</f>
        <v>Power &amp; Glory</v>
      </c>
      <c r="B310" s="8" t="str">
        <f>IFERROR(__xludf.DUMMYFUNCTION("""COMPUTED_VALUE"""),"The spoils of war.")</f>
        <v>The spoils of war.</v>
      </c>
      <c r="C310" s="13" t="str">
        <f>IFERROR(__xludf.DUMMYFUNCTION("""COMPUTED_VALUE"""),"""ptnx"":{""label"":""Power &amp; Glory"",""extra"":""The spoils of war."",""sets"":""Expansion Set 4, Party Expansion 1""},")</f>
        <v>"ptnx":{"label":"Power &amp; Glory","extra":"The spoils of war.","sets":"Expansion Set 4, Party Expansion 1"},</v>
      </c>
    </row>
    <row r="311">
      <c r="A311" s="8" t="str">
        <f>IFERROR(__xludf.DUMMYFUNCTION("""COMPUTED_VALUE"""),"President Bush")</f>
        <v>President Bush</v>
      </c>
      <c r="B311" s="8" t="str">
        <f>IFERROR(__xludf.DUMMYFUNCTION("""COMPUTED_VALUE"""),"1946-, 43rd president of the United States.")</f>
        <v>1946-, 43rd president of the United States.</v>
      </c>
      <c r="C311" s="13" t="str">
        <f>IFERROR(__xludf.DUMMYFUNCTION("""COMPUTED_VALUE"""),"""qxpl"":{""label"":""President Bush"",""extra"":""1946-, 43rd president of the United States."",""sets"":""Expansion Set 3, Party Expansion 1""},")</f>
        <v>"qxpl":{"label":"President Bush","extra":"1946-, 43rd president of the United States.","sets":"Expansion Set 3, Party Expansion 1"},</v>
      </c>
    </row>
    <row r="312">
      <c r="A312" s="8" t="str">
        <f>IFERROR(__xludf.DUMMYFUNCTION("""COMPUTED_VALUE"""),"Pride &amp; Prejudice")</f>
        <v>Pride &amp; Prejudice</v>
      </c>
      <c r="B312" s="8" t="str">
        <f>IFERROR(__xludf.DUMMYFUNCTION("""COMPUTED_VALUE"""),"Jane Austin's 1813 classic novel expounding on the consequences of pride.")</f>
        <v>Jane Austin's 1813 classic novel expounding on the consequences of pride.</v>
      </c>
      <c r="C312" s="13" t="str">
        <f>IFERROR(__xludf.DUMMYFUNCTION("""COMPUTED_VALUE"""),"""pjsj"":{""label"":""Pride &amp; Prejudice"",""extra"":""Jane Austin's 1813 classic novel expounding on the consequences of pride."",""sets"":""Expansion Set 4, Party Expansion 1""},")</f>
        <v>"pjsj":{"label":"Pride &amp; Prejudice","extra":"Jane Austin's 1813 classic novel expounding on the consequences of pride.","sets":"Expansion Set 4, Party Expansion 1"},</v>
      </c>
    </row>
    <row r="313">
      <c r="A313" s="8" t="str">
        <f>IFERROR(__xludf.DUMMYFUNCTION("""COMPUTED_VALUE"""),"Queen Elizabeth II")</f>
        <v>Queen Elizabeth II</v>
      </c>
      <c r="B313" s="8" t="str">
        <f>IFERROR(__xludf.DUMMYFUNCTION("""COMPUTED_VALUE"""),"1926-, Queen of the United Kingdom and Northern Ireland since 1952. Shame about the kids, though…")</f>
        <v>1926-, Queen of the United Kingdom and Northern Ireland since 1952. Shame about the kids, though…</v>
      </c>
      <c r="C313" s="13" t="str">
        <f>IFERROR(__xludf.DUMMYFUNCTION("""COMPUTED_VALUE"""),"""stly"":{""label"":""Queen Elizabeth II"",""extra"":""1926-, Queen of the United Kingdom and Northern Ireland since 1952. Shame about the kids, though…"",""sets"":""Expansion Set 3, Party Expansion 1""},")</f>
        <v>"stly":{"label":"Queen Elizabeth II","extra":"1926-, Queen of the United Kingdom and Northern Ireland since 1952. Shame about the kids, though…","sets":"Expansion Set 3, Party Expansion 1"},</v>
      </c>
    </row>
    <row r="314">
      <c r="A314" s="8" t="str">
        <f>IFERROR(__xludf.DUMMYFUNCTION("""COMPUTED_VALUE"""),"R &amp; B")</f>
        <v>R &amp; B</v>
      </c>
      <c r="B314" s="8" t="str">
        <f>IFERROR(__xludf.DUMMYFUNCTION("""COMPUTED_VALUE"""),"Rhythm and Blues.")</f>
        <v>Rhythm and Blues.</v>
      </c>
      <c r="C314" s="13" t="str">
        <f>IFERROR(__xludf.DUMMYFUNCTION("""COMPUTED_VALUE"""),"""zswl"":{""label"":""R &amp; B"",""extra"":""Rhythm and Blues."",""sets"":""Expansion Set 4, Party Expansion 1""},")</f>
        <v>"zswl":{"label":"R &amp; B","extra":"Rhythm and Blues.","sets":"Expansion Set 4, Party Expansion 1"},</v>
      </c>
    </row>
    <row r="315">
      <c r="A315" s="8" t="str">
        <f>IFERROR(__xludf.DUMMYFUNCTION("""COMPUTED_VALUE"""),"R &amp; D")</f>
        <v>R &amp; D</v>
      </c>
      <c r="B315" s="8" t="str">
        <f>IFERROR(__xludf.DUMMYFUNCTION("""COMPUTED_VALUE"""),"Research and Development.")</f>
        <v>Research and Development.</v>
      </c>
      <c r="C315" s="13" t="str">
        <f>IFERROR(__xludf.DUMMYFUNCTION("""COMPUTED_VALUE"""),"""cclu"":{""label"":""R &amp; D"",""extra"":""Research and Development."",""sets"":""Expansion Set 4, Party Expansion 1""},")</f>
        <v>"cclu":{"label":"R &amp; D","extra":"Research and Development.","sets":"Expansion Set 4, Party Expansion 1"},</v>
      </c>
    </row>
    <row r="316">
      <c r="A316" s="8" t="str">
        <f>IFERROR(__xludf.DUMMYFUNCTION("""COMPUTED_VALUE"""),"R &amp; R")</f>
        <v>R &amp; R</v>
      </c>
      <c r="B316" s="8" t="str">
        <f>IFERROR(__xludf.DUMMYFUNCTION("""COMPUTED_VALUE"""),"Rest and relaxation, recreation, or could be recuperation.")</f>
        <v>Rest and relaxation, recreation, or could be recuperation.</v>
      </c>
      <c r="C316" s="13" t="str">
        <f>IFERROR(__xludf.DUMMYFUNCTION("""COMPUTED_VALUE"""),"""igch"":{""label"":""R &amp; R"",""extra"":""Rest and relaxation, recreation, or could be recuperation."",""sets"":""Expansion Set 4, Party Expansion 1""},")</f>
        <v>"igch":{"label":"R &amp; R","extra":"Rest and relaxation, recreation, or could be recuperation.","sets":"Expansion Set 4, Party Expansion 1"},</v>
      </c>
    </row>
    <row r="317">
      <c r="A317" s="8" t="str">
        <f>IFERROR(__xludf.DUMMYFUNCTION("""COMPUTED_VALUE"""),"Raves")</f>
        <v>Raves</v>
      </c>
      <c r="B317" s="8" t="str">
        <f>IFERROR(__xludf.DUMMYFUNCTION("""COMPUTED_VALUE"""),"Neo-psychadelic all-night dance parties centered around acid house and techno music. All the rave.")</f>
        <v>Neo-psychadelic all-night dance parties centered around acid house and techno music. All the rave.</v>
      </c>
      <c r="C317" s="13" t="str">
        <f>IFERROR(__xludf.DUMMYFUNCTION("""COMPUTED_VALUE"""),"""svyx"":{""label"":""Raves"",""extra"":""Neo-psychadelic all-night dance parties centered around acid house and techno music. All the rave."",""sets"":""Expansion Set 3, Party Expansion 1""},")</f>
        <v>"svyx":{"label":"Raves","extra":"Neo-psychadelic all-night dance parties centered around acid house and techno music. All the rave.","sets":"Expansion Set 3, Party Expansion 1"},</v>
      </c>
    </row>
    <row r="318">
      <c r="A318" s="8" t="str">
        <f>IFERROR(__xludf.DUMMYFUNCTION("""COMPUTED_VALUE"""),"Reading &amp; Writing")</f>
        <v>Reading &amp; Writing</v>
      </c>
      <c r="B318" s="8" t="str">
        <f>IFERROR(__xludf.DUMMYFUNCTION("""COMPUTED_VALUE"""),"Old-fashioned skill, amazingly still useful today.")</f>
        <v>Old-fashioned skill, amazingly still useful today.</v>
      </c>
      <c r="C318" s="13" t="str">
        <f>IFERROR(__xludf.DUMMYFUNCTION("""COMPUTED_VALUE"""),"""huon"":{""label"":""Reading &amp; Writing"",""extra"":""Old-fashioned skill, amazingly still useful today."",""sets"":""Expansion Set 4, Party Expansion 1""},")</f>
        <v>"huon":{"label":"Reading &amp; Writing","extra":"Old-fashioned skill, amazingly still useful today.","sets":"Expansion Set 4, Party Expansion 1"},</v>
      </c>
    </row>
    <row r="319">
      <c r="A319" s="8" t="str">
        <f>IFERROR(__xludf.DUMMYFUNCTION("""COMPUTED_VALUE"""),"Regis &amp;…")</f>
        <v>Regis &amp;…</v>
      </c>
      <c r="B319" s="8" t="str">
        <f>IFERROR(__xludf.DUMMYFUNCTION("""COMPUTED_VALUE"""),"Kathy Lee or Kelly your choice.")</f>
        <v>Kathy Lee or Kelly your choice.</v>
      </c>
      <c r="C319" s="13" t="str">
        <f>IFERROR(__xludf.DUMMYFUNCTION("""COMPUTED_VALUE"""),"""xgde"":{""label"":""Regis &amp;…"",""extra"":""Kathy Lee or Kelly your choice."",""sets"":""Expansion Set 4, Party Expansion 1""},")</f>
        <v>"xgde":{"label":"Regis &amp;…","extra":"Kathy Lee or Kelly your choice.","sets":"Expansion Set 4, Party Expansion 1"},</v>
      </c>
    </row>
    <row r="320">
      <c r="A320" s="8" t="str">
        <f>IFERROR(__xludf.DUMMYFUNCTION("""COMPUTED_VALUE"""),"Rice &amp; Beans")</f>
        <v>Rice &amp; Beans</v>
      </c>
      <c r="B320" s="8" t="str">
        <f>IFERROR(__xludf.DUMMYFUNCTION("""COMPUTED_VALUE"""),"South-of-the-border meat &amp; potatoes.")</f>
        <v>South-of-the-border meat &amp; potatoes.</v>
      </c>
      <c r="C320" s="13" t="str">
        <f>IFERROR(__xludf.DUMMYFUNCTION("""COMPUTED_VALUE"""),"""eaaj"":{""label"":""Rice &amp; Beans"",""extra"":""South-of-the-border meat &amp; potatoes."",""sets"":""Expansion Set 4, Party Expansion 1""},")</f>
        <v>"eaaj":{"label":"Rice &amp; Beans","extra":"South-of-the-border meat &amp; potatoes.","sets":"Expansion Set 4, Party Expansion 1"},</v>
      </c>
    </row>
    <row r="321">
      <c r="A321" s="8" t="str">
        <f>IFERROR(__xludf.DUMMYFUNCTION("""COMPUTED_VALUE"""),"Rice Krispies Treats")</f>
        <v>Rice Krispies Treats</v>
      </c>
      <c r="B321" s="8" t="str">
        <f>IFERROR(__xludf.DUMMYFUNCTION("""COMPUTED_VALUE"""),"How could you go wrong with Rice Krispies, marshmallows, and butter.")</f>
        <v>How could you go wrong with Rice Krispies, marshmallows, and butter.</v>
      </c>
      <c r="C321" s="13" t="str">
        <f>IFERROR(__xludf.DUMMYFUNCTION("""COMPUTED_VALUE"""),"""xfkk"":{""label"":""Rice Krispies Treats"",""extra"":""How could you go wrong with Rice Krispies, marshmallows, and butter."",""sets"":""Expansion Set 3, Party Expansion 1""},")</f>
        <v>"xfkk":{"label":"Rice Krispies Treats","extra":"How could you go wrong with Rice Krispies, marshmallows, and butter.","sets":"Expansion Set 3, Party Expansion 1"},</v>
      </c>
    </row>
    <row r="322">
      <c r="A322" s="8" t="str">
        <f>IFERROR(__xludf.DUMMYFUNCTION("""COMPUTED_VALUE"""),"Richard Simmons")</f>
        <v>Richard Simmons</v>
      </c>
      <c r="B322" s="8" t="str">
        <f>IFERROR(__xludf.DUMMYFUNCTION("""COMPUTED_VALUE"""),"1948-, American fitness guru famous for his extroverted style, short shorts and Sweatin'’ to the Oldies.")</f>
        <v>1948-, American fitness guru famous for his extroverted style, short shorts and Sweatin'’ to the Oldies.</v>
      </c>
      <c r="C322" s="13" t="str">
        <f>IFERROR(__xludf.DUMMYFUNCTION("""COMPUTED_VALUE"""),"""fmmi"":{""label"":""Richard Simmons"",""extra"":""1948-, American fitness guru famous for his extroverted style, short shorts and Sweatin'’ to the Oldies."",""sets"":""Expansion Set 3, Party Expansion 1""},")</f>
        <v>"fmmi":{"label":"Richard Simmons","extra":"1948-, American fitness guru famous for his extroverted style, short shorts and Sweatin'’ to the Oldies.","sets":"Expansion Set 3, Party Expansion 1"},</v>
      </c>
    </row>
    <row r="323">
      <c r="A323" s="8" t="str">
        <f>IFERROR(__xludf.DUMMYFUNCTION("""COMPUTED_VALUE"""),"Rio De Janeiro")</f>
        <v>Rio De Janeiro</v>
      </c>
      <c r="B323" s="8" t="str">
        <f>IFERROR(__xludf.DUMMYFUNCTION("""COMPUTED_VALUE"""),"Vibrant Brazilian city and home to Carnival. Blame it on Rio!")</f>
        <v>Vibrant Brazilian city and home to Carnival. Blame it on Rio!</v>
      </c>
      <c r="C323" s="13" t="str">
        <f>IFERROR(__xludf.DUMMYFUNCTION("""COMPUTED_VALUE"""),"""zfzx"":{""label"":""Rio De Janeiro"",""extra"":""Vibrant Brazilian city and home to Carnival. Blame it on Rio!"",""sets"":""Expansion Set 3, Party Expansion 1""},")</f>
        <v>"zfzx":{"label":"Rio De Janeiro","extra":"Vibrant Brazilian city and home to Carnival. Blame it on Rio!","sets":"Expansion Set 3, Party Expansion 1"},</v>
      </c>
    </row>
    <row r="324">
      <c r="A324" s="8" t="str">
        <f>IFERROR(__xludf.DUMMYFUNCTION("""COMPUTED_VALUE"""),"Road Rage")</f>
        <v>Road Rage</v>
      </c>
      <c r="B324" s="8" t="str">
        <f>IFERROR(__xludf.DUMMYFUNCTION("""COMPUTED_VALUE"""),"Ten years ago we complained about potholes. NOW we’re dodging pot-shots.")</f>
        <v>Ten years ago we complained about potholes. NOW we’re dodging pot-shots.</v>
      </c>
      <c r="C324" s="13" t="str">
        <f>IFERROR(__xludf.DUMMYFUNCTION("""COMPUTED_VALUE"""),"""pxef"":{""label"":""Road Rage"",""extra"":""Ten years ago we complained about potholes. NOW we’re dodging pot-shots."",""sets"":""Expansion Set 3, Party Expansion 1""},")</f>
        <v>"pxef":{"label":"Road Rage","extra":"Ten years ago we complained about potholes. NOW we’re dodging pot-shots.","sets":"Expansion Set 3, Party Expansion 1"},</v>
      </c>
    </row>
    <row r="325">
      <c r="A325" s="8" t="str">
        <f>IFERROR(__xludf.DUMMYFUNCTION("""COMPUTED_VALUE"""),"Robin Hood")</f>
        <v>Robin Hood</v>
      </c>
      <c r="B325" s="8" t="str">
        <f>IFERROR(__xludf.DUMMYFUNCTION("""COMPUTED_VALUE"""),"Legendary British outlaw who stole from the rich and gave to the poor, known for his courage, skill, and Merry Men.")</f>
        <v>Legendary British outlaw who stole from the rich and gave to the poor, known for his courage, skill, and Merry Men.</v>
      </c>
      <c r="C325" s="13" t="str">
        <f>IFERROR(__xludf.DUMMYFUNCTION("""COMPUTED_VALUE"""),"""svsz"":{""label"":""Robin Hood"",""extra"":""Legendary British outlaw who stole from the rich and gave to the poor, known for his courage, skill, and Merry Men."",""sets"":""Expansion Set 3, Party Expansion 1""},")</f>
        <v>"svsz":{"label":"Robin Hood","extra":"Legendary British outlaw who stole from the rich and gave to the poor, known for his courage, skill, and Merry Men.","sets":"Expansion Set 3, Party Expansion 1"},</v>
      </c>
    </row>
    <row r="326">
      <c r="A326" s="8" t="str">
        <f>IFERROR(__xludf.DUMMYFUNCTION("""COMPUTED_VALUE"""),"Rock &amp; Roll")</f>
        <v>Rock &amp; Roll</v>
      </c>
      <c r="B326" s="8" t="str">
        <f>IFERROR(__xludf.DUMMYFUNCTION("""COMPUTED_VALUE"""),"It’ll never die. Unlike Rock and Roll musicians.")</f>
        <v>It’ll never die. Unlike Rock and Roll musicians.</v>
      </c>
      <c r="C326" s="13" t="str">
        <f>IFERROR(__xludf.DUMMYFUNCTION("""COMPUTED_VALUE"""),"""ulqb"":{""label"":""Rock &amp; Roll"",""extra"":""It’ll never die. Unlike Rock and Roll musicians."",""sets"":""Expansion Set 4, Party Expansion 1""},")</f>
        <v>"ulqb":{"label":"Rock &amp; Roll","extra":"It’ll never die. Unlike Rock and Roll musicians.","sets":"Expansion Set 4, Party Expansion 1"},</v>
      </c>
    </row>
    <row r="327">
      <c r="A327" s="8" t="str">
        <f>IFERROR(__xludf.DUMMYFUNCTION("""COMPUTED_VALUE"""),"Rod &amp; Reel")</f>
        <v>Rod &amp; Reel</v>
      </c>
      <c r="B327" s="8" t="str">
        <f>IFERROR(__xludf.DUMMYFUNCTION("""COMPUTED_VALUE"""),"He took it hook, line, and sinker.")</f>
        <v>He took it hook, line, and sinker.</v>
      </c>
      <c r="C327" s="13" t="str">
        <f>IFERROR(__xludf.DUMMYFUNCTION("""COMPUTED_VALUE"""),"""xkoe"":{""label"":""Rod &amp; Reel"",""extra"":""He took it hook, line, and sinker."",""sets"":""Expansion Set 4, Party Expansion 1""},")</f>
        <v>"xkoe":{"label":"Rod &amp; Reel","extra":"He took it hook, line, and sinker.","sets":"Expansion Set 4, Party Expansion 1"},</v>
      </c>
    </row>
    <row r="328">
      <c r="A328" s="8" t="str">
        <f>IFERROR(__xludf.DUMMYFUNCTION("""COMPUTED_VALUE"""),"Rogers &amp; Hammerstein")</f>
        <v>Rogers &amp; Hammerstein</v>
      </c>
      <c r="B328" s="8" t="str">
        <f>IFERROR(__xludf.DUMMYFUNCTION("""COMPUTED_VALUE"""),"Kings of the Broadway Musical: “The Sound of Music,” “The King and I,” “South Pacific,” and many, many more.")</f>
        <v>Kings of the Broadway Musical: “The Sound of Music,” “The King and I,” “South Pacific,” and many, many more.</v>
      </c>
      <c r="C328" s="13" t="str">
        <f>IFERROR(__xludf.DUMMYFUNCTION("""COMPUTED_VALUE"""),"""yqkf"":{""label"":""Rogers &amp; Hammerstein"",""extra"":""Kings of the Broadway Musical: “The Sound of Music,” “The King and I,” “South Pacific,” and many, many more."",""sets"":""Expansion Set 4, Party Expansion 1""},")</f>
        <v>"yqkf":{"label":"Rogers &amp; Hammerstein","extra":"Kings of the Broadway Musical: “The Sound of Music,” “The King and I,” “South Pacific,” and many, many more.","sets":"Expansion Set 4, Party Expansion 1"},</v>
      </c>
    </row>
    <row r="329">
      <c r="A329" s="8" t="str">
        <f>IFERROR(__xludf.DUMMYFUNCTION("""COMPUTED_VALUE"""),"Rope Burns")</f>
        <v>Rope Burns</v>
      </c>
      <c r="B329" s="8" t="str">
        <f>IFERROR(__xludf.DUMMYFUNCTION("""COMPUTED_VALUE"""),"You were playing WHAT?")</f>
        <v>You were playing WHAT?</v>
      </c>
      <c r="C329" s="13" t="str">
        <f>IFERROR(__xludf.DUMMYFUNCTION("""COMPUTED_VALUE"""),"""thtu"":{""label"":""Rope Burns"",""extra"":""You were playing WHAT?"",""sets"":""Expansion Set 3, Party Expansion 1""},")</f>
        <v>"thtu":{"label":"Rope Burns","extra":"You were playing WHAT?","sets":"Expansion Set 3, Party Expansion 1"},</v>
      </c>
    </row>
    <row r="330">
      <c r="A330" s="8" t="str">
        <f>IFERROR(__xludf.DUMMYFUNCTION("""COMPUTED_VALUE"""),"Rusty Nails")</f>
        <v>Rusty Nails</v>
      </c>
      <c r="B330" s="8" t="str">
        <f>IFERROR(__xludf.DUMMYFUNCTION("""COMPUTED_VALUE"""),"Good name for a country western singer.")</f>
        <v>Good name for a country western singer.</v>
      </c>
      <c r="C330" s="13" t="str">
        <f>IFERROR(__xludf.DUMMYFUNCTION("""COMPUTED_VALUE"""),"""keme"":{""label"":""Rusty Nails"",""extra"":""Good name for a country western singer."",""sets"":""Expansion Set 3, Party Expansion 1""},")</f>
        <v>"keme":{"label":"Rusty Nails","extra":"Good name for a country western singer.","sets":"Expansion Set 3, Party Expansion 1"},</v>
      </c>
    </row>
    <row r="331">
      <c r="A331" s="8" t="str">
        <f>IFERROR(__xludf.DUMMYFUNCTION("""COMPUTED_VALUE"""),"Salt 'N Pepa")</f>
        <v>Salt 'N Pepa</v>
      </c>
      <c r="B331" s="8" t="str">
        <f>IFERROR(__xludf.DUMMYFUNCTION("""COMPUTED_VALUE"""),"Extremely successful rap group formed in the 1980s, known for their portrayals of the woman's perspective on relationships.")</f>
        <v>Extremely successful rap group formed in the 1980s, known for their portrayals of the woman's perspective on relationships.</v>
      </c>
      <c r="C331" s="13" t="str">
        <f>IFERROR(__xludf.DUMMYFUNCTION("""COMPUTED_VALUE"""),"""dq{{"":{""label"":""Salt 'N Pepa"",""extra"":""Extremely successful rap group formed in the 1980s, known for their portrayals of the woman's perspective on relationships."",""sets"":""Expansion Set 4, Party Expansion 1""},")</f>
        <v>"dq{{":{"label":"Salt 'N Pepa","extra":"Extremely successful rap group formed in the 1980s, known for their portrayals of the woman's perspective on relationships.","sets":"Expansion Set 4, Party Expansion 1"},</v>
      </c>
    </row>
    <row r="332">
      <c r="A332" s="8" t="str">
        <f>IFERROR(__xludf.DUMMYFUNCTION("""COMPUTED_VALUE"""),"Salt &amp; Pepper")</f>
        <v>Salt &amp; Pepper</v>
      </c>
      <c r="B332" s="8" t="str">
        <f>IFERROR(__xludf.DUMMYFUNCTION("""COMPUTED_VALUE"""),"“Pump it up a notch! BAM! ” —Emeril Lagasse.")</f>
        <v>“Pump it up a notch! BAM! ” —Emeril Lagasse.</v>
      </c>
      <c r="C332" s="13" t="str">
        <f>IFERROR(__xludf.DUMMYFUNCTION("""COMPUTED_VALUE"""),"""pmkf"":{""label"":""Salt &amp; Pepper"",""extra"":""“Pump it up a notch! BAM! ” —Emeril Lagasse."",""sets"":""Expansion Set 4, Party Expansion 1""},")</f>
        <v>"pmkf":{"label":"Salt &amp; Pepper","extra":"“Pump it up a notch! BAM! ” —Emeril Lagasse.","sets":"Expansion Set 4, Party Expansion 1"},</v>
      </c>
    </row>
    <row r="333">
      <c r="A333" s="8" t="str">
        <f>IFERROR(__xludf.DUMMYFUNCTION("""COMPUTED_VALUE"""),"Sand &amp; Surf")</f>
        <v>Sand &amp; Surf</v>
      </c>
      <c r="B333" s="8" t="str">
        <f>IFERROR(__xludf.DUMMYFUNCTION("""COMPUTED_VALUE"""),"Life’s a beach!")</f>
        <v>Life’s a beach!</v>
      </c>
      <c r="C333" s="13" t="str">
        <f>IFERROR(__xludf.DUMMYFUNCTION("""COMPUTED_VALUE"""),"""hose"":{""label"":""Sand &amp; Surf"",""extra"":""Life’s a beach!"",""sets"":""Expansion Set 4, Party Expansion 1""},")</f>
        <v>"hose":{"label":"Sand &amp; Surf","extra":"Life’s a beach!","sets":"Expansion Set 4, Party Expansion 1"},</v>
      </c>
    </row>
    <row r="334">
      <c r="A334" s="8" t="str">
        <f>IFERROR(__xludf.DUMMYFUNCTION("""COMPUTED_VALUE"""),"Sandra Bullock")</f>
        <v>Sandra Bullock</v>
      </c>
      <c r="B334" s="8" t="str">
        <f>IFERROR(__xludf.DUMMYFUNCTION("""COMPUTED_VALUE"""),"1964-, American actor who starred in “Speed,” “Miss Congeniality,” and “While You Were Sleeping.” The classic girl-next-door.")</f>
        <v>1964-, American actor who starred in “Speed,” “Miss Congeniality,” and “While You Were Sleeping.” The classic girl-next-door.</v>
      </c>
      <c r="C334" s="13" t="str">
        <f>IFERROR(__xludf.DUMMYFUNCTION("""COMPUTED_VALUE"""),"""yitg"":{""label"":""Sandra Bullock"",""extra"":""1964-, American actor who starred in “Speed,” “Miss Congeniality,” and “While You Were Sleeping.” The classic girl-next-door."",""sets"":""Expansion Set 3, Party Expansion 1""},")</f>
        <v>"yitg":{"label":"Sandra Bullock","extra":"1964-, American actor who starred in “Speed,” “Miss Congeniality,” and “While You Were Sleeping.” The classic girl-next-door.","sets":"Expansion Set 3, Party Expansion 1"},</v>
      </c>
    </row>
    <row r="335">
      <c r="A335" s="8" t="str">
        <f>IFERROR(__xludf.DUMMYFUNCTION("""COMPUTED_VALUE"""),"Scented Candles")</f>
        <v>Scented Candles</v>
      </c>
      <c r="B335" s="8" t="str">
        <f>IFERROR(__xludf.DUMMYFUNCTION("""COMPUTED_VALUE"""),"You didn’t have to BAKE an apple pie just light a candle.")</f>
        <v>You didn’t have to BAKE an apple pie just light a candle.</v>
      </c>
      <c r="C335" s="13" t="str">
        <f>IFERROR(__xludf.DUMMYFUNCTION("""COMPUTED_VALUE"""),"""orpr"":{""label"":""Scented Candles"",""extra"":""You didn’t have to BAKE an apple pie just light a candle."",""sets"":""Expansion Set 3, Party Expansion 1""},")</f>
        <v>"orpr":{"label":"Scented Candles","extra":"You didn’t have to BAKE an apple pie just light a candle.","sets":"Expansion Set 3, Party Expansion 1"},</v>
      </c>
    </row>
    <row r="336">
      <c r="A336" s="8" t="str">
        <f>IFERROR(__xludf.DUMMYFUNCTION("""COMPUTED_VALUE"""),"Shake &amp; Bake")</f>
        <v>Shake &amp; Bake</v>
      </c>
      <c r="B336" s="8" t="str">
        <f>IFERROR(__xludf.DUMMYFUNCTION("""COMPUTED_VALUE"""),"…and eat.")</f>
        <v>…and eat.</v>
      </c>
      <c r="C336" s="13" t="str">
        <f>IFERROR(__xludf.DUMMYFUNCTION("""COMPUTED_VALUE"""),"""hnzy"":{""label"":""Shake &amp; Bake"",""extra"":""…and eat."",""sets"":""Expansion Set 4, Party Expansion 1""},")</f>
        <v>"hnzy":{"label":"Shake &amp; Bake","extra":"…and eat.","sets":"Expansion Set 4, Party Expansion 1"},</v>
      </c>
    </row>
    <row r="337">
      <c r="A337" s="8" t="str">
        <f>IFERROR(__xludf.DUMMYFUNCTION("""COMPUTED_VALUE"""),"Shave &amp; A Haircut")</f>
        <v>Shave &amp; A Haircut</v>
      </c>
      <c r="B337" s="8" t="str">
        <f>IFERROR(__xludf.DUMMYFUNCTION("""COMPUTED_VALUE"""),"Two bits.")</f>
        <v>Two bits.</v>
      </c>
      <c r="C337" s="13" t="str">
        <f>IFERROR(__xludf.DUMMYFUNCTION("""COMPUTED_VALUE"""),"""axew"":{""label"":""Shave &amp; A Haircut"",""extra"":""Two bits."",""sets"":""Expansion Set 4, Party Expansion 1""},")</f>
        <v>"axew":{"label":"Shave &amp; A Haircut","extra":"Two bits.","sets":"Expansion Set 4, Party Expansion 1"},</v>
      </c>
    </row>
    <row r="338">
      <c r="A338" s="8" t="str">
        <f>IFERROR(__xludf.DUMMYFUNCTION("""COMPUTED_VALUE"""),"Shipwrecks")</f>
        <v>Shipwrecks</v>
      </c>
      <c r="B338" s="8" t="str">
        <f>IFERROR(__xludf.DUMMYFUNCTION("""COMPUTED_VALUE"""),"“The lake it is said never gives up her dead…” —The Wreck of the Edmund Fitzgerald")</f>
        <v>“The lake it is said never gives up her dead…” —The Wreck of the Edmund Fitzgerald</v>
      </c>
      <c r="C338" s="13" t="str">
        <f>IFERROR(__xludf.DUMMYFUNCTION("""COMPUTED_VALUE"""),"""meei"":{""label"":""Shipwrecks"",""extra"":""“The lake it is said never gives up her dead…” —The Wreck of the Edmund Fitzgerald"",""sets"":""Expansion Set 3, Party Expansion 1""},")</f>
        <v>"meei":{"label":"Shipwrecks","extra":"“The lake it is said never gives up her dead…” —The Wreck of the Edmund Fitzgerald","sets":"Expansion Set 3, Party Expansion 1"},</v>
      </c>
    </row>
    <row r="339">
      <c r="A339" s="8" t="str">
        <f>IFERROR(__xludf.DUMMYFUNCTION("""COMPUTED_VALUE"""),"Sigmund Freud")</f>
        <v>Sigmund Freud</v>
      </c>
      <c r="B339" s="8" t="str">
        <f>IFERROR(__xludf.DUMMYFUNCTION("""COMPUTED_VALUE"""),"1856-1939, Viennese psychologist and the originator of psychoanalysis and the Freudian slip.")</f>
        <v>1856-1939, Viennese psychologist and the originator of psychoanalysis and the Freudian slip.</v>
      </c>
      <c r="C339" s="13" t="str">
        <f>IFERROR(__xludf.DUMMYFUNCTION("""COMPUTED_VALUE"""),"""mfuv"":{""label"":""Sigmund Freud"",""extra"":""1856-1939, Viennese psychologist and the originator of psychoanalysis and the Freudian slip."",""sets"":""Expansion Set 3, Party Expansion 1""},")</f>
        <v>"mfuv":{"label":"Sigmund Freud","extra":"1856-1939, Viennese psychologist and the originator of psychoanalysis and the Freudian slip.","sets":"Expansion Set 3, Party Expansion 1"},</v>
      </c>
    </row>
    <row r="340">
      <c r="A340" s="8" t="str">
        <f>IFERROR(__xludf.DUMMYFUNCTION("""COMPUTED_VALUE"""),"Sin &amp; Redemption")</f>
        <v>Sin &amp; Redemption</v>
      </c>
      <c r="B340" s="8" t="str">
        <f>IFERROR(__xludf.DUMMYFUNCTION("""COMPUTED_VALUE"""),"Everybody deserves a second chance.")</f>
        <v>Everybody deserves a second chance.</v>
      </c>
      <c r="C340" s="13" t="str">
        <f>IFERROR(__xludf.DUMMYFUNCTION("""COMPUTED_VALUE"""),"""wctd"":{""label"":""Sin &amp; Redemption"",""extra"":""Everybody deserves a second chance."",""sets"":""Expansion Set 4, Party Expansion 1""},")</f>
        <v>"wctd":{"label":"Sin &amp; Redemption","extra":"Everybody deserves a second chance.","sets":"Expansion Set 4, Party Expansion 1"},</v>
      </c>
    </row>
    <row r="341">
      <c r="A341" s="8" t="str">
        <f>IFERROR(__xludf.DUMMYFUNCTION("""COMPUTED_VALUE"""),"Sitcoms")</f>
        <v>Sitcoms</v>
      </c>
      <c r="B341" s="8" t="str">
        <f>IFERROR(__xludf.DUMMYFUNCTION("""COMPUTED_VALUE"""),"If they're so funny, WHY THE LAUGH TRACK?")</f>
        <v>If they're so funny, WHY THE LAUGH TRACK?</v>
      </c>
      <c r="C341" s="13" t="str">
        <f>IFERROR(__xludf.DUMMYFUNCTION("""COMPUTED_VALUE"""),"""dfqg"":{""label"":""Sitcoms"",""extra"":""If they're so funny, WHY THE LAUGH TRACK?"",""sets"":""Expansion Set 3, Party Expansion 1""},")</f>
        <v>"dfqg":{"label":"Sitcoms","extra":"If they're so funny, WHY THE LAUGH TRACK?","sets":"Expansion Set 3, Party Expansion 1"},</v>
      </c>
    </row>
    <row r="342">
      <c r="A342" s="8" t="str">
        <f>IFERROR(__xludf.DUMMYFUNCTION("""COMPUTED_VALUE"""),"Skin &amp; Bones")</f>
        <v>Skin &amp; Bones</v>
      </c>
      <c r="B342" s="8" t="str">
        <f>IFERROR(__xludf.DUMMYFUNCTION("""COMPUTED_VALUE"""),"What would you be without them?")</f>
        <v>What would you be without them?</v>
      </c>
      <c r="C342" s="13" t="str">
        <f>IFERROR(__xludf.DUMMYFUNCTION("""COMPUTED_VALUE"""),"""msrh"":{""label"":""Skin &amp; Bones"",""extra"":""What would you be without them?"",""sets"":""Expansion Set 4, Party Expansion 1""},")</f>
        <v>"msrh":{"label":"Skin &amp; Bones","extra":"What would you be without them?","sets":"Expansion Set 4, Party Expansion 1"},</v>
      </c>
    </row>
    <row r="343">
      <c r="A343" s="8" t="str">
        <f>IFERROR(__xludf.DUMMYFUNCTION("""COMPUTED_VALUE"""),"Slash &amp; Burn")</f>
        <v>Slash &amp; Burn</v>
      </c>
      <c r="B343" s="8" t="str">
        <f>IFERROR(__xludf.DUMMYFUNCTION("""COMPUTED_VALUE"""),"And there goes another rain forest…")</f>
        <v>And there goes another rain forest…</v>
      </c>
      <c r="C343" s="13" t="str">
        <f>IFERROR(__xludf.DUMMYFUNCTION("""COMPUTED_VALUE"""),"""awiz"":{""label"":""Slash &amp; Burn"",""extra"":""And there goes another rain forest…"",""sets"":""Expansion Set 4, Party Expansion 1""},")</f>
        <v>"awiz":{"label":"Slash &amp; Burn","extra":"And there goes another rain forest…","sets":"Expansion Set 4, Party Expansion 1"},</v>
      </c>
    </row>
    <row r="344">
      <c r="A344" s="8" t="str">
        <f>IFERROR(__xludf.DUMMYFUNCTION("""COMPUTED_VALUE"""),"Slasher Films")</f>
        <v>Slasher Films</v>
      </c>
      <c r="B344" s="8" t="str">
        <f>IFERROR(__xludf.DUMMYFUNCTION("""COMPUTED_VALUE"""),"A real nightmare.")</f>
        <v>A real nightmare.</v>
      </c>
      <c r="C344" s="13" t="str">
        <f>IFERROR(__xludf.DUMMYFUNCTION("""COMPUTED_VALUE"""),"""mevr"":{""label"":""Slasher Films"",""extra"":""A real nightmare."",""sets"":""Expansion Set 3, Party Expansion 1""},")</f>
        <v>"mevr":{"label":"Slasher Films","extra":"A real nightmare.","sets":"Expansion Set 3, Party Expansion 1"},</v>
      </c>
    </row>
    <row r="345">
      <c r="A345" s="8" t="str">
        <f>IFERROR(__xludf.DUMMYFUNCTION("""COMPUTED_VALUE"""),"Slice &amp; Dice")</f>
        <v>Slice &amp; Dice</v>
      </c>
      <c r="B345" s="8" t="str">
        <f>IFERROR(__xludf.DUMMYFUNCTION("""COMPUTED_VALUE"""),"A sharp knife is a safe knife.")</f>
        <v>A sharp knife is a safe knife.</v>
      </c>
      <c r="C345" s="13" t="str">
        <f>IFERROR(__xludf.DUMMYFUNCTION("""COMPUTED_VALUE"""),"""gufz"":{""label"":""Slice &amp; Dice"",""extra"":""A sharp knife is a safe knife."",""sets"":""Expansion Set 4, Party Expansion 1""},")</f>
        <v>"gufz":{"label":"Slice &amp; Dice","extra":"A sharp knife is a safe knife.","sets":"Expansion Set 4, Party Expansion 1"},</v>
      </c>
    </row>
    <row r="346">
      <c r="A346" s="8" t="str">
        <f>IFERROR(__xludf.DUMMYFUNCTION("""COMPUTED_VALUE"""),"Slip &amp; Fall")</f>
        <v>Slip &amp; Fall</v>
      </c>
      <c r="B346" s="8" t="str">
        <f>IFERROR(__xludf.DUMMYFUNCTION("""COMPUTED_VALUE"""),"Watch out for… too late!")</f>
        <v>Watch out for… too late!</v>
      </c>
      <c r="C346" s="13" t="str">
        <f>IFERROR(__xludf.DUMMYFUNCTION("""COMPUTED_VALUE"""),"""gmfq"":{""label"":""Slip &amp; Fall"",""extra"":""Watch out for… too late!"",""sets"":""Expansion Set 4, Party Expansion 1""},")</f>
        <v>"gmfq":{"label":"Slip &amp; Fall","extra":"Watch out for… too late!","sets":"Expansion Set 4, Party Expansion 1"},</v>
      </c>
    </row>
    <row r="347">
      <c r="A347" s="8" t="str">
        <f>IFERROR(__xludf.DUMMYFUNCTION("""COMPUTED_VALUE"""),"Slobodan Milosevic")</f>
        <v>Slobodan Milosevic</v>
      </c>
      <c r="B347" s="8" t="str">
        <f>IFERROR(__xludf.DUMMYFUNCTION("""COMPUTED_VALUE"""),"1941-, former leader of Serbia, also known as “the Butcher of the Balkans.”")</f>
        <v>1941-, former leader of Serbia, also known as “the Butcher of the Balkans.”</v>
      </c>
      <c r="C347" s="13" t="str">
        <f>IFERROR(__xludf.DUMMYFUNCTION("""COMPUTED_VALUE"""),"""csg{"":{""label"":""Slobodan Milosevic"",""extra"":""1941-, former leader of Serbia, also known as “the Butcher of the Balkans.”"",""sets"":""Expansion Set 3, Party Expansion 1""},")</f>
        <v>"csg{":{"label":"Slobodan Milosevic","extra":"1941-, former leader of Serbia, also known as “the Butcher of the Balkans.”","sets":"Expansion Set 3, Party Expansion 1"},</v>
      </c>
    </row>
    <row r="348">
      <c r="A348" s="8" t="str">
        <f>IFERROR(__xludf.DUMMYFUNCTION("""COMPUTED_VALUE"""),"Smith &amp; Wesson")</f>
        <v>Smith &amp; Wesson</v>
      </c>
      <c r="B348" s="8" t="str">
        <f>IFERROR(__xludf.DUMMYFUNCTION("""COMPUTED_VALUE"""),"Firearms when ready!")</f>
        <v>Firearms when ready!</v>
      </c>
      <c r="C348" s="13" t="str">
        <f>IFERROR(__xludf.DUMMYFUNCTION("""COMPUTED_VALUE"""),"""mhiv"":{""label"":""Smith &amp; Wesson"",""extra"":""Firearms when ready!"",""sets"":""Expansion Set 4, Party Expansion 1""},")</f>
        <v>"mhiv":{"label":"Smith &amp; Wesson","extra":"Firearms when ready!","sets":"Expansion Set 4, Party Expansion 1"},</v>
      </c>
    </row>
    <row r="349">
      <c r="A349" s="8" t="str">
        <f>IFERROR(__xludf.DUMMYFUNCTION("""COMPUTED_VALUE"""),"Smoke &amp; Mirrors")</f>
        <v>Smoke &amp; Mirrors</v>
      </c>
      <c r="B349" s="8" t="str">
        <f>IFERROR(__xludf.DUMMYFUNCTION("""COMPUTED_VALUE"""),"That’s how we do it!")</f>
        <v>That’s how we do it!</v>
      </c>
      <c r="C349" s="13" t="str">
        <f>IFERROR(__xludf.DUMMYFUNCTION("""COMPUTED_VALUE"""),"""hwgk"":{""label"":""Smoke &amp; Mirrors"",""extra"":""That’s how we do it!"",""sets"":""Expansion Set 4, Party Expansion 1""},")</f>
        <v>"hwgk":{"label":"Smoke &amp; Mirrors","extra":"That’s how we do it!","sets":"Expansion Set 4, Party Expansion 1"},</v>
      </c>
    </row>
    <row r="350">
      <c r="A350" s="8" t="str">
        <f>IFERROR(__xludf.DUMMYFUNCTION("""COMPUTED_VALUE"""),"Snips &amp; Snails")</f>
        <v>Snips &amp; Snails</v>
      </c>
      <c r="B350" s="8" t="str">
        <f>IFERROR(__xludf.DUMMYFUNCTION("""COMPUTED_VALUE"""),"And puppy dog tails.")</f>
        <v>And puppy dog tails.</v>
      </c>
      <c r="C350" s="13" t="str">
        <f>IFERROR(__xludf.DUMMYFUNCTION("""COMPUTED_VALUE"""),"""htnz"":{""label"":""Snips &amp; Snails"",""extra"":""And puppy dog tails."",""sets"":""Expansion Set 4, Party Expansion 1""},")</f>
        <v>"htnz":{"label":"Snips &amp; Snails","extra":"And puppy dog tails.","sets":"Expansion Set 4, Party Expansion 1"},</v>
      </c>
    </row>
    <row r="351">
      <c r="A351" s="8" t="str">
        <f>IFERROR(__xludf.DUMMYFUNCTION("""COMPUTED_VALUE"""),"Snoopy &amp; The Red Barron")</f>
        <v>Snoopy &amp; The Red Barron</v>
      </c>
      <c r="B351" s="8" t="str">
        <f>IFERROR(__xludf.DUMMYFUNCTION("""COMPUTED_VALUE"""),"Characters in the Peanuts comic strip. Talk about a dog fight!")</f>
        <v>Characters in the Peanuts comic strip. Talk about a dog fight!</v>
      </c>
      <c r="C351" s="13" t="str">
        <f>IFERROR(__xludf.DUMMYFUNCTION("""COMPUTED_VALUE"""),"""gzkx"":{""label"":""Snoopy &amp; The Red Barron"",""extra"":""Characters in the Peanuts comic strip. Talk about a dog fight!"",""sets"":""Expansion Set 4, Party Expansion 1""},")</f>
        <v>"gzkx":{"label":"Snoopy &amp; The Red Barron","extra":"Characters in the Peanuts comic strip. Talk about a dog fight!","sets":"Expansion Set 4, Party Expansion 1"},</v>
      </c>
    </row>
    <row r="352">
      <c r="A352" s="8" t="str">
        <f>IFERROR(__xludf.DUMMYFUNCTION("""COMPUTED_VALUE"""),"Space &amp; Time")</f>
        <v>Space &amp; Time</v>
      </c>
      <c r="B352" s="8" t="str">
        <f>IFERROR(__xludf.DUMMYFUNCTION("""COMPUTED_VALUE"""),"Infinite.")</f>
        <v>Infinite.</v>
      </c>
      <c r="C352" s="13" t="str">
        <f>IFERROR(__xludf.DUMMYFUNCTION("""COMPUTED_VALUE"""),"""yydu"":{""label"":""Space &amp; Time"",""extra"":""Infinite."",""sets"":""Expansion Set 4, Party Expansion 1""},")</f>
        <v>"yydu":{"label":"Space &amp; Time","extra":"Infinite.","sets":"Expansion Set 4, Party Expansion 1"},</v>
      </c>
    </row>
    <row r="353">
      <c r="A353" s="8" t="str">
        <f>IFERROR(__xludf.DUMMYFUNCTION("""COMPUTED_VALUE"""),"Spiders &amp; Snakes")</f>
        <v>Spiders &amp; Snakes</v>
      </c>
      <c r="B353" s="8" t="str">
        <f>IFERROR(__xludf.DUMMYFUNCTION("""COMPUTED_VALUE"""),"Creepy! Legs or no legs.")</f>
        <v>Creepy! Legs or no legs.</v>
      </c>
      <c r="C353" s="13" t="str">
        <f>IFERROR(__xludf.DUMMYFUNCTION("""COMPUTED_VALUE"""),"""soex"":{""label"":""Spiders &amp; Snakes"",""extra"":""Creepy! Legs or no legs."",""sets"":""Expansion Set 4, Party Expansion 1""},")</f>
        <v>"soex":{"label":"Spiders &amp; Snakes","extra":"Creepy! Legs or no legs.","sets":"Expansion Set 4, Party Expansion 1"},</v>
      </c>
    </row>
    <row r="354">
      <c r="A354" s="8" t="str">
        <f>IFERROR(__xludf.DUMMYFUNCTION("""COMPUTED_VALUE"""),"Spit &amp; Polish")</f>
        <v>Spit &amp; Polish</v>
      </c>
      <c r="B354" s="8" t="str">
        <f>IFERROR(__xludf.DUMMYFUNCTION("""COMPUTED_VALUE"""),"We could do with less spit and more polish.")</f>
        <v>We could do with less spit and more polish.</v>
      </c>
      <c r="C354" s="13" t="str">
        <f>IFERROR(__xludf.DUMMYFUNCTION("""COMPUTED_VALUE"""),"""eebn"":{""label"":""Spit &amp; Polish"",""extra"":""We could do with less spit and more polish."",""sets"":""Expansion Set 4, Party Expansion 1""},")</f>
        <v>"eebn":{"label":"Spit &amp; Polish","extra":"We could do with less spit and more polish.","sets":"Expansion Set 4, Party Expansion 1"},</v>
      </c>
    </row>
    <row r="355">
      <c r="A355" s="8" t="str">
        <f>IFERROR(__xludf.DUMMYFUNCTION("""COMPUTED_VALUE"""),"Stalactites &amp; Stalagmites")</f>
        <v>Stalactites &amp; Stalagmites</v>
      </c>
      <c r="B355" s="8" t="str">
        <f>IFERROR(__xludf.DUMMYFUNCTION("""COMPUTED_VALUE"""),"The ups and downs of spelunking.")</f>
        <v>The ups and downs of spelunking.</v>
      </c>
      <c r="C355" s="13" t="str">
        <f>IFERROR(__xludf.DUMMYFUNCTION("""COMPUTED_VALUE"""),"""vzne"":{""label"":""Stalactites &amp; Stalagmites"",""extra"":""The ups and downs of spelunking."",""sets"":""Expansion Set 4, Party Expansion 1""},")</f>
        <v>"vzne":{"label":"Stalactites &amp; Stalagmites","extra":"The ups and downs of spelunking.","sets":"Expansion Set 4, Party Expansion 1"},</v>
      </c>
    </row>
    <row r="356">
      <c r="A356" s="8" t="str">
        <f>IFERROR(__xludf.DUMMYFUNCTION("""COMPUTED_VALUE"""),"Stamp Collecting")</f>
        <v>Stamp Collecting</v>
      </c>
      <c r="B356" s="8" t="str">
        <f>IFERROR(__xludf.DUMMYFUNCTION("""COMPUTED_VALUE"""),"If you can't lick ’em, collect ’em.")</f>
        <v>If you can't lick ’em, collect ’em.</v>
      </c>
      <c r="C356" s="13" t="str">
        <f>IFERROR(__xludf.DUMMYFUNCTION("""COMPUTED_VALUE"""),"""vsi{"":{""label"":""Stamp Collecting"",""extra"":""If you can't lick ’em, collect ’em."",""sets"":""Expansion Set 3, Party Expansion 1""},")</f>
        <v>"vsi{":{"label":"Stamp Collecting","extra":"If you can't lick ’em, collect ’em.","sets":"Expansion Set 3, Party Expansion 1"},</v>
      </c>
    </row>
    <row r="357">
      <c r="A357" s="8" t="str">
        <f>IFERROR(__xludf.DUMMYFUNCTION("""COMPUTED_VALUE"""),"Stanley &amp; Livingston")</f>
        <v>Stanley &amp; Livingston</v>
      </c>
      <c r="B357" s="8" t="str">
        <f>IFERROR(__xludf.DUMMYFUNCTION("""COMPUTED_VALUE"""),"Britons who explored Africa, I presume.")</f>
        <v>Britons who explored Africa, I presume.</v>
      </c>
      <c r="C357" s="13" t="str">
        <f>IFERROR(__xludf.DUMMYFUNCTION("""COMPUTED_VALUE"""),"""hnwc"":{""label"":""Stanley &amp; Livingston"",""extra"":""Britons who explored Africa, I presume."",""sets"":""Expansion Set 4, Party Expansion 1""},")</f>
        <v>"hnwc":{"label":"Stanley &amp; Livingston","extra":"Britons who explored Africa, I presume.","sets":"Expansion Set 4, Party Expansion 1"},</v>
      </c>
    </row>
    <row r="358">
      <c r="A358" s="8" t="str">
        <f>IFERROR(__xludf.DUMMYFUNCTION("""COMPUTED_VALUE"""),"Stars &amp; Stripes")</f>
        <v>Stars &amp; Stripes</v>
      </c>
      <c r="B358" s="8" t="str">
        <f>IFERROR(__xludf.DUMMYFUNCTION("""COMPUTED_VALUE"""),"Three cheers for the red, white, and blue!")</f>
        <v>Three cheers for the red, white, and blue!</v>
      </c>
      <c r="C358" s="13" t="str">
        <f>IFERROR(__xludf.DUMMYFUNCTION("""COMPUTED_VALUE"""),"""gubc"":{""label"":""Stars &amp; Stripes"",""extra"":""Three cheers for the red, white, and blue!"",""sets"":""Expansion Set 4, Party Expansion 1""},")</f>
        <v>"gubc":{"label":"Stars &amp; Stripes","extra":"Three cheers for the red, white, and blue!","sets":"Expansion Set 4, Party Expansion 1"},</v>
      </c>
    </row>
    <row r="359">
      <c r="A359" s="8" t="str">
        <f>IFERROR(__xludf.DUMMYFUNCTION("""COMPUTED_VALUE"""),"Sticks &amp; Stones")</f>
        <v>Sticks &amp; Stones</v>
      </c>
      <c r="B359" s="8" t="str">
        <f>IFERROR(__xludf.DUMMYFUNCTION("""COMPUTED_VALUE"""),"When words are not enough.")</f>
        <v>When words are not enough.</v>
      </c>
      <c r="C359" s="13" t="str">
        <f>IFERROR(__xludf.DUMMYFUNCTION("""COMPUTED_VALUE"""),"""flky"":{""label"":""Sticks &amp; Stones"",""extra"":""When words are not enough."",""sets"":""Expansion Set 4, Party Expansion 1""},")</f>
        <v>"flky":{"label":"Sticks &amp; Stones","extra":"When words are not enough.","sets":"Expansion Set 4, Party Expansion 1"},</v>
      </c>
    </row>
    <row r="360">
      <c r="A360" s="8" t="str">
        <f>IFERROR(__xludf.DUMMYFUNCTION("""COMPUTED_VALUE"""),"Stocks &amp; Bonds")</f>
        <v>Stocks &amp; Bonds</v>
      </c>
      <c r="B360" s="8" t="str">
        <f>IFERROR(__xludf.DUMMYFUNCTION("""COMPUTED_VALUE"""),"At least they'’e worth the paper they're printed on… We hope.")</f>
        <v>At least they'’e worth the paper they're printed on… We hope.</v>
      </c>
      <c r="C360" s="13" t="str">
        <f>IFERROR(__xludf.DUMMYFUNCTION("""COMPUTED_VALUE"""),"""onbm"":{""label"":""Stocks &amp; Bonds"",""extra"":""At least they'’e worth the paper they're printed on… We hope."",""sets"":""Expansion Set 4, Party Expansion 1""},")</f>
        <v>"onbm":{"label":"Stocks &amp; Bonds","extra":"At least they'’e worth the paper they're printed on… We hope.","sets":"Expansion Set 4, Party Expansion 1"},</v>
      </c>
    </row>
    <row r="361">
      <c r="A361" s="8" t="str">
        <f>IFERROR(__xludf.DUMMYFUNCTION("""COMPUTED_VALUE"""),"Stop Signs")</f>
        <v>Stop Signs</v>
      </c>
      <c r="B361" s="8" t="str">
        <f>IFERROR(__xludf.DUMMYFUNCTION("""COMPUTED_VALUE"""),"Gee, Officer, I THOUGHT it was green!")</f>
        <v>Gee, Officer, I THOUGHT it was green!</v>
      </c>
      <c r="C361" s="13" t="str">
        <f>IFERROR(__xludf.DUMMYFUNCTION("""COMPUTED_VALUE"""),"""iilb"":{""label"":""Stop Signs"",""extra"":""Gee, Officer, I THOUGHT it was green!"",""sets"":""Expansion Set 3, Party Expansion 1""},")</f>
        <v>"iilb":{"label":"Stop Signs","extra":"Gee, Officer, I THOUGHT it was green!","sets":"Expansion Set 3, Party Expansion 1"},</v>
      </c>
    </row>
    <row r="362">
      <c r="A362" s="8" t="str">
        <f>IFERROR(__xludf.DUMMYFUNCTION("""COMPUTED_VALUE"""),"Strained Peas")</f>
        <v>Strained Peas</v>
      </c>
      <c r="B362" s="8" t="str">
        <f>IFERROR(__xludf.DUMMYFUNCTION("""COMPUTED_VALUE"""),"The strain comes when you have to eat them.")</f>
        <v>The strain comes when you have to eat them.</v>
      </c>
      <c r="C362" s="13" t="str">
        <f>IFERROR(__xludf.DUMMYFUNCTION("""COMPUTED_VALUE"""),"""yydp"":{""label"":""Strained Peas"",""extra"":""The strain comes when you have to eat them."",""sets"":""Expansion Set 3, Party Expansion 1""},")</f>
        <v>"yydp":{"label":"Strained Peas","extra":"The strain comes when you have to eat them.","sets":"Expansion Set 3, Party Expansion 1"},</v>
      </c>
    </row>
    <row r="363">
      <c r="A363" s="8" t="str">
        <f>IFERROR(__xludf.DUMMYFUNCTION("""COMPUTED_VALUE"""),"Street Mimes")</f>
        <v>Street Mimes</v>
      </c>
      <c r="B363" s="8" t="str">
        <f>IFERROR(__xludf.DUMMYFUNCTION("""COMPUTED_VALUE"""),"A mime is a terrible thing to waste. On second thought…")</f>
        <v>A mime is a terrible thing to waste. On second thought…</v>
      </c>
      <c r="C363" s="13" t="str">
        <f>IFERROR(__xludf.DUMMYFUNCTION("""COMPUTED_VALUE"""),"""xjsz"":{""label"":""Street Mimes"",""extra"":""A mime is a terrible thing to waste. On second thought…"",""sets"":""Expansion Set 3, Party Expansion 1""},")</f>
        <v>"xjsz":{"label":"Street Mimes","extra":"A mime is a terrible thing to waste. On second thought…","sets":"Expansion Set 3, Party Expansion 1"},</v>
      </c>
    </row>
    <row r="364">
      <c r="A364" s="8" t="str">
        <f>IFERROR(__xludf.DUMMYFUNCTION("""COMPUTED_VALUE"""),"Stretch Limos")</f>
        <v>Stretch Limos</v>
      </c>
      <c r="B364" s="8" t="str">
        <f>IFERROR(__xludf.DUMMYFUNCTION("""COMPUTED_VALUE"""),"Stretch your legs, stretch your wallet.")</f>
        <v>Stretch your legs, stretch your wallet.</v>
      </c>
      <c r="C364" s="13" t="str">
        <f>IFERROR(__xludf.DUMMYFUNCTION("""COMPUTED_VALUE"""),"""iquh"":{""label"":""Stretch Limos"",""extra"":""Stretch your legs, stretch your wallet."",""sets"":""Expansion Set 3, Party Expansion 1""},")</f>
        <v>"iquh":{"label":"Stretch Limos","extra":"Stretch your legs, stretch your wallet.","sets":"Expansion Set 3, Party Expansion 1"},</v>
      </c>
    </row>
    <row r="365">
      <c r="A365" s="8" t="str">
        <f>IFERROR(__xludf.DUMMYFUNCTION("""COMPUTED_VALUE"""),"Strip Malls")</f>
        <v>Strip Malls</v>
      </c>
      <c r="B365" s="8" t="str">
        <f>IFERROR(__xludf.DUMMYFUNCTION("""COMPUTED_VALUE"""),"Almost as attractive as stip mines.")</f>
        <v>Almost as attractive as stip mines.</v>
      </c>
      <c r="C365" s="13" t="str">
        <f>IFERROR(__xludf.DUMMYFUNCTION("""COMPUTED_VALUE"""),"""jhos"":{""label"":""Strip Malls"",""extra"":""Almost as attractive as stip mines."",""sets"":""Expansion Set 3, Party Expansion 1""},")</f>
        <v>"jhos":{"label":"Strip Malls","extra":"Almost as attractive as stip mines.","sets":"Expansion Set 3, Party Expansion 1"},</v>
      </c>
    </row>
    <row r="366">
      <c r="A366" s="8" t="str">
        <f>IFERROR(__xludf.DUMMYFUNCTION("""COMPUTED_VALUE"""),"Sugar &amp; Spice")</f>
        <v>Sugar &amp; Spice</v>
      </c>
      <c r="B366" s="8" t="str">
        <f>IFERROR(__xludf.DUMMYFUNCTION("""COMPUTED_VALUE"""),"And everything nice.")</f>
        <v>And everything nice.</v>
      </c>
      <c r="C366" s="13" t="str">
        <f>IFERROR(__xludf.DUMMYFUNCTION("""COMPUTED_VALUE"""),"""llwf"":{""label"":""Sugar &amp; Spice"",""extra"":""And everything nice."",""sets"":""Expansion Set 4, Party Expansion 1""},")</f>
        <v>"llwf":{"label":"Sugar &amp; Spice","extra":"And everything nice.","sets":"Expansion Set 4, Party Expansion 1"},</v>
      </c>
    </row>
    <row r="367">
      <c r="A367" s="8" t="str">
        <f>IFERROR(__xludf.DUMMYFUNCTION("""COMPUTED_VALUE"""),"Suit &amp; Tie")</f>
        <v>Suit &amp; Tie</v>
      </c>
      <c r="B367" s="8" t="str">
        <f>IFERROR(__xludf.DUMMYFUNCTION("""COMPUTED_VALUE"""),"It’s business as usual!")</f>
        <v>It’s business as usual!</v>
      </c>
      <c r="C367" s="13" t="str">
        <f>IFERROR(__xludf.DUMMYFUNCTION("""COMPUTED_VALUE"""),"""uazq"":{""label"":""Suit &amp; Tie"",""extra"":""It’s business as usual!"",""sets"":""Expansion Set 4, Party Expansion 1""},")</f>
        <v>"uazq":{"label":"Suit &amp; Tie","extra":"It’s business as usual!","sets":"Expansion Set 4, Party Expansion 1"},</v>
      </c>
    </row>
    <row r="368">
      <c r="A368" s="8" t="str">
        <f>IFERROR(__xludf.DUMMYFUNCTION("""COMPUTED_VALUE"""),"Sumo Wrestlers")</f>
        <v>Sumo Wrestlers</v>
      </c>
      <c r="B368" s="8" t="str">
        <f>IFERROR(__xludf.DUMMYFUNCTION("""COMPUTED_VALUE"""),"Wrestlers usually weigh 300-400 pounds and win this Japanese form of wrestling by forcing an opponent out of the ring.")</f>
        <v>Wrestlers usually weigh 300-400 pounds and win this Japanese form of wrestling by forcing an opponent out of the ring.</v>
      </c>
      <c r="C368" s="13" t="str">
        <f>IFERROR(__xludf.DUMMYFUNCTION("""COMPUTED_VALUE"""),"""nalo"":{""label"":""Sumo Wrestlers"",""extra"":""Wrestlers usually weigh 300-400 pounds and win this Japanese form of wrestling by forcing an opponent out of the ring."",""sets"":""Expansion Set 3, Party Expansion 1""},")</f>
        <v>"nalo":{"label":"Sumo Wrestlers","extra":"Wrestlers usually weigh 300-400 pounds and win this Japanese form of wrestling by forcing an opponent out of the ring.","sets":"Expansion Set 3, Party Expansion 1"},</v>
      </c>
    </row>
    <row r="369">
      <c r="A369" s="8" t="str">
        <f>IFERROR(__xludf.DUMMYFUNCTION("""COMPUTED_VALUE"""),"Surf &amp; Turf")</f>
        <v>Surf &amp; Turf</v>
      </c>
      <c r="B369" s="8" t="str">
        <f>IFERROR(__xludf.DUMMYFUNCTION("""COMPUTED_VALUE"""),"Steak and lobster. No need to choose.")</f>
        <v>Steak and lobster. No need to choose.</v>
      </c>
      <c r="C369" s="13" t="str">
        <f>IFERROR(__xludf.DUMMYFUNCTION("""COMPUTED_VALUE"""),"""cgzx"":{""label"":""Surf &amp; Turf"",""extra"":""Steak and lobster. No need to choose."",""sets"":""Expansion Set 4, Party Expansion 1""},")</f>
        <v>"cgzx":{"label":"Surf &amp; Turf","extra":"Steak and lobster. No need to choose.","sets":"Expansion Set 4, Party Expansion 1"},</v>
      </c>
    </row>
    <row r="370">
      <c r="A370" s="8" t="str">
        <f>IFERROR(__xludf.DUMMYFUNCTION("""COMPUTED_VALUE"""),"Surprise Parties")</f>
        <v>Surprise Parties</v>
      </c>
      <c r="B370" s="8" t="str">
        <f>IFERROR(__xludf.DUMMYFUNCTION("""COMPUTED_VALUE"""),"SURPRISE! Oh. He had a heart condition… that WAS a surprise…")</f>
        <v>SURPRISE! Oh. He had a heart condition… that WAS a surprise…</v>
      </c>
      <c r="C370" s="13" t="str">
        <f>IFERROR(__xludf.DUMMYFUNCTION("""COMPUTED_VALUE"""),"""ldrv"":{""label"":""Surprise Parties"",""extra"":""SURPRISE! Oh. He had a heart condition… that WAS a surprise…"",""sets"":""Expansion Set 3, Party Expansion 1""},")</f>
        <v>"ldrv":{"label":"Surprise Parties","extra":"SURPRISE! Oh. He had a heart condition… that WAS a surprise…","sets":"Expansion Set 3, Party Expansion 1"},</v>
      </c>
    </row>
    <row r="371">
      <c r="A371" s="8" t="str">
        <f>IFERROR(__xludf.DUMMYFUNCTION("""COMPUTED_VALUE"""),"Tarred &amp; Feathered")</f>
        <v>Tarred &amp; Feathered</v>
      </c>
      <c r="B371" s="8" t="str">
        <f>IFERROR(__xludf.DUMMYFUNCTION("""COMPUTED_VALUE"""),"It’s a sticky situation.")</f>
        <v>It’s a sticky situation.</v>
      </c>
      <c r="C371" s="13" t="str">
        <f>IFERROR(__xludf.DUMMYFUNCTION("""COMPUTED_VALUE"""),"""hqsd"":{""label"":""Tarred &amp; Feathered"",""extra"":""It’s a sticky situation."",""sets"":""Expansion Set 4, Party Expansion 1""},")</f>
        <v>"hqsd":{"label":"Tarred &amp; Feathered","extra":"It’s a sticky situation.","sets":"Expansion Set 4, Party Expansion 1"},</v>
      </c>
    </row>
    <row r="372">
      <c r="A372" s="8" t="str">
        <f>IFERROR(__xludf.DUMMYFUNCTION("""COMPUTED_VALUE"""),"Tarzan &amp; Jane")</f>
        <v>Tarzan &amp; Jane</v>
      </c>
      <c r="B372" s="8" t="str">
        <f>IFERROR(__xludf.DUMMYFUNCTION("""COMPUTED_VALUE"""),"He went ape over her.")</f>
        <v>He went ape over her.</v>
      </c>
      <c r="C372" s="13" t="str">
        <f>IFERROR(__xludf.DUMMYFUNCTION("""COMPUTED_VALUE"""),"""jyme"":{""label"":""Tarzan &amp; Jane"",""extra"":""He went ape over her."",""sets"":""Expansion Set 4, Party Expansion 1""},")</f>
        <v>"jyme":{"label":"Tarzan &amp; Jane","extra":"He went ape over her.","sets":"Expansion Set 4, Party Expansion 1"},</v>
      </c>
    </row>
    <row r="373">
      <c r="A373" s="8" t="str">
        <f>IFERROR(__xludf.DUMMYFUNCTION("""COMPUTED_VALUE"""),"Tattoo Parlors")</f>
        <v>Tattoo Parlors</v>
      </c>
      <c r="B373" s="8" t="str">
        <f>IFERROR(__xludf.DUMMYFUNCTION("""COMPUTED_VALUE"""),"“With nothing to show but this brand new tattoo… how I got it here I haven't a clue.” —Jimmy Buffett")</f>
        <v>“With nothing to show but this brand new tattoo… how I got it here I haven't a clue.” —Jimmy Buffett</v>
      </c>
      <c r="C373" s="13" t="str">
        <f>IFERROR(__xludf.DUMMYFUNCTION("""COMPUTED_VALUE"""),"""nuvx"":{""label"":""Tattoo Parlors"",""extra"":""“With nothing to show but this brand new tattoo… how I got it here I haven't a clue.” —Jimmy Buffett"",""sets"":""Expansion Set 3, Party Expansion 1""},")</f>
        <v>"nuvx":{"label":"Tattoo Parlors","extra":"“With nothing to show but this brand new tattoo… how I got it here I haven't a clue.” —Jimmy Buffett","sets":"Expansion Set 3, Party Expansion 1"},</v>
      </c>
    </row>
    <row r="374">
      <c r="A374" s="8" t="str">
        <f>IFERROR(__xludf.DUMMYFUNCTION("""COMPUTED_VALUE"""),"Tea &amp; Crumpets")</f>
        <v>Tea &amp; Crumpets</v>
      </c>
      <c r="B374" s="8" t="str">
        <f>IFERROR(__xludf.DUMMYFUNCTION("""COMPUTED_VALUE"""),"Upper-crust toast &amp; jelly.")</f>
        <v>Upper-crust toast &amp; jelly.</v>
      </c>
      <c r="C374" s="13" t="str">
        <f>IFERROR(__xludf.DUMMYFUNCTION("""COMPUTED_VALUE"""),"""svni"":{""label"":""Tea &amp; Crumpets"",""extra"":""Upper-crust toast &amp; jelly."",""sets"":""Expansion Set 4, Party Expansion 1""},")</f>
        <v>"svni":{"label":"Tea &amp; Crumpets","extra":"Upper-crust toast &amp; jelly.","sets":"Expansion Set 4, Party Expansion 1"},</v>
      </c>
    </row>
    <row r="375">
      <c r="A375" s="8" t="str">
        <f>IFERROR(__xludf.DUMMYFUNCTION("""COMPUTED_VALUE"""),"The 1990s")</f>
        <v>The 1990s</v>
      </c>
      <c r="B375" s="8" t="str">
        <f>IFERROR(__xludf.DUMMYFUNCTION("""COMPUTED_VALUE"""),"Dot-coms, Clinton and designer coffee. The good old days.")</f>
        <v>Dot-coms, Clinton and designer coffee. The good old days.</v>
      </c>
      <c r="C375" s="13" t="str">
        <f>IFERROR(__xludf.DUMMYFUNCTION("""COMPUTED_VALUE"""),"""grwu"":{""label"":""The 1990s"",""extra"":""Dot-coms, Clinton and designer coffee. The good old days."",""sets"":""Expansion Set 3, Party Expansion 1""},")</f>
        <v>"grwu":{"label":"The 1990s","extra":"Dot-coms, Clinton and designer coffee. The good old days.","sets":"Expansion Set 3, Party Expansion 1"},</v>
      </c>
    </row>
    <row r="376">
      <c r="A376" s="8" t="str">
        <f>IFERROR(__xludf.DUMMYFUNCTION("""COMPUTED_VALUE"""),"The Atlantic &amp; Pacific")</f>
        <v>The Atlantic &amp; Pacific</v>
      </c>
      <c r="B376" s="8" t="str">
        <f>IFERROR(__xludf.DUMMYFUNCTION("""COMPUTED_VALUE"""),"Oceans apart.")</f>
        <v>Oceans apart.</v>
      </c>
      <c r="C376" s="13" t="str">
        <f>IFERROR(__xludf.DUMMYFUNCTION("""COMPUTED_VALUE"""),"""xwc{"":{""label"":""The Atlantic &amp; Pacific"",""extra"":""Oceans apart."",""sets"":""Expansion Set 4, Party Expansion 1""},")</f>
        <v>"xwc{":{"label":"The Atlantic &amp; Pacific","extra":"Oceans apart.","sets":"Expansion Set 4, Party Expansion 1"},</v>
      </c>
    </row>
    <row r="377">
      <c r="A377" s="8" t="str">
        <f>IFERROR(__xludf.DUMMYFUNCTION("""COMPUTED_VALUE"""),"The Big Dipper")</f>
        <v>The Big Dipper</v>
      </c>
      <c r="B377" s="8" t="str">
        <f>IFERROR(__xludf.DUMMYFUNCTION("""COMPUTED_VALUE"""),"Group of stars in the Northern sky that form part of the constellation Ursa Major.")</f>
        <v>Group of stars in the Northern sky that form part of the constellation Ursa Major.</v>
      </c>
      <c r="C377" s="13" t="str">
        <f>IFERROR(__xludf.DUMMYFUNCTION("""COMPUTED_VALUE"""),"""sbrj"":{""label"":""The Big Dipper"",""extra"":""Group of stars in the Northern sky that form part of the constellation Ursa Major."",""sets"":""Expansion Set 3, Party Expansion 1""},")</f>
        <v>"sbrj":{"label":"The Big Dipper","extra":"Group of stars in the Northern sky that form part of the constellation Ursa Major.","sets":"Expansion Set 3, Party Expansion 1"},</v>
      </c>
    </row>
    <row r="378">
      <c r="A378" s="8" t="str">
        <f>IFERROR(__xludf.DUMMYFUNCTION("""COMPUTED_VALUE"""),"The Birds &amp; The Bees")</f>
        <v>The Birds &amp; The Bees</v>
      </c>
      <c r="B378" s="8" t="str">
        <f>IFERROR(__xludf.DUMMYFUNCTION("""COMPUTED_VALUE"""),"We’ll tell you about them sometime.")</f>
        <v>We’ll tell you about them sometime.</v>
      </c>
      <c r="C378" s="13" t="str">
        <f>IFERROR(__xludf.DUMMYFUNCTION("""COMPUTED_VALUE"""),"""ckac"":{""label"":""The Birds &amp; The Bees"",""extra"":""We’ll tell you about them sometime."",""sets"":""Expansion Set 4, Party Expansion 1""},")</f>
        <v>"ckac":{"label":"The Birds &amp; The Bees","extra":"We’ll tell you about them sometime.","sets":"Expansion Set 4, Party Expansion 1"},</v>
      </c>
    </row>
    <row r="379">
      <c r="A379" s="8" t="str">
        <f>IFERROR(__xludf.DUMMYFUNCTION("""COMPUTED_VALUE"""),"The Chicken &amp; The Egg")</f>
        <v>The Chicken &amp; The Egg</v>
      </c>
      <c r="B379" s="8" t="str">
        <f>IFERROR(__xludf.DUMMYFUNCTION("""COMPUTED_VALUE"""),"Which came first? The egg. Look it up!")</f>
        <v>Which came first? The egg. Look it up!</v>
      </c>
      <c r="C379" s="13" t="str">
        <f>IFERROR(__xludf.DUMMYFUNCTION("""COMPUTED_VALUE"""),"""ykas"":{""label"":""The Chicken &amp; The Egg"",""extra"":""Which came first? The egg. Look it up!"",""sets"":""Expansion Set 4, Party Expansion 1""},")</f>
        <v>"ykas":{"label":"The Chicken &amp; The Egg","extra":"Which came first? The egg. Look it up!","sets":"Expansion Set 4, Party Expansion 1"},</v>
      </c>
    </row>
    <row r="380">
      <c r="A380" s="8" t="str">
        <f>IFERROR(__xludf.DUMMYFUNCTION("""COMPUTED_VALUE"""),"The Dalai Lama")</f>
        <v>The Dalai Lama</v>
      </c>
      <c r="B380" s="8" t="str">
        <f>IFERROR(__xludf.DUMMYFUNCTION("""COMPUTED_VALUE"""),"Title of the leader of Tibetan Buddhism, in exile since 1959. Hello, Dalai!")</f>
        <v>Title of the leader of Tibetan Buddhism, in exile since 1959. Hello, Dalai!</v>
      </c>
      <c r="C380" s="13" t="str">
        <f>IFERROR(__xludf.DUMMYFUNCTION("""COMPUTED_VALUE"""),"""oycd"":{""label"":""The Dalai Lama"",""extra"":""Title of the leader of Tibetan Buddhism, in exile since 1959. Hello, Dalai!"",""sets"":""Expansion Set 3, Party Expansion 1""},")</f>
        <v>"oycd":{"label":"The Dalai Lama","extra":"Title of the leader of Tibetan Buddhism, in exile since 1959. Hello, Dalai!","sets":"Expansion Set 3, Party Expansion 1"},</v>
      </c>
    </row>
    <row r="381">
      <c r="A381" s="8" t="str">
        <f>IFERROR(__xludf.DUMMYFUNCTION("""COMPUTED_VALUE"""),"The Dixie Chicks")</f>
        <v>The Dixie Chicks</v>
      </c>
      <c r="B381" s="8" t="str">
        <f>IFERROR(__xludf.DUMMYFUNCTION("""COMPUTED_VALUE"""),"Female country and western band with pop leanings. Winners of multiple Country Music Association awards. Goodbye, Earl!")</f>
        <v>Female country and western band with pop leanings. Winners of multiple Country Music Association awards. Goodbye, Earl!</v>
      </c>
      <c r="C381" s="13" t="str">
        <f>IFERROR(__xludf.DUMMYFUNCTION("""COMPUTED_VALUE"""),"""onlm"":{""label"":""The Dixie Chicks"",""extra"":""Female country and western band with pop leanings. Winners of multiple Country Music Association awards. Goodbye, Earl!"",""sets"":""Expansion Set 3, Party Expansion 1""},")</f>
        <v>"onlm":{"label":"The Dixie Chicks","extra":"Female country and western band with pop leanings. Winners of multiple Country Music Association awards. Goodbye, Earl!","sets":"Expansion Set 3, Party Expansion 1"},</v>
      </c>
    </row>
    <row r="382">
      <c r="A382" s="8" t="str">
        <f>IFERROR(__xludf.DUMMYFUNCTION("""COMPUTED_VALUE"""),"The Graveyard Shift")</f>
        <v>The Graveyard Shift</v>
      </c>
      <c r="B382" s="8" t="str">
        <f>IFERROR(__xludf.DUMMYFUNCTION("""COMPUTED_VALUE"""),"It WILL be the death of me…")</f>
        <v>It WILL be the death of me…</v>
      </c>
      <c r="C382" s="13" t="str">
        <f>IFERROR(__xludf.DUMMYFUNCTION("""COMPUTED_VALUE"""),"""h{ru"":{""label"":""The Graveyard Shift"",""extra"":""It WILL be the death of me…"",""sets"":""Expansion Set 3, Party Expansion 1""},")</f>
        <v>"h{ru":{"label":"The Graveyard Shift","extra":"It WILL be the death of me…","sets":"Expansion Set 3, Party Expansion 1"},</v>
      </c>
    </row>
    <row r="383">
      <c r="A383" s="8" t="str">
        <f>IFERROR(__xludf.DUMMYFUNCTION("""COMPUTED_VALUE"""),"The Great Barrier Reef")</f>
        <v>The Great Barrier Reef</v>
      </c>
      <c r="B383" s="8" t="str">
        <f>IFERROR(__xludf.DUMMYFUNCTION("""COMPUTED_VALUE"""),"Coral reefs, shoals and islets off the northern coast of Australia. Scuba heaven.")</f>
        <v>Coral reefs, shoals and islets off the northern coast of Australia. Scuba heaven.</v>
      </c>
      <c r="C383" s="13" t="str">
        <f>IFERROR(__xludf.DUMMYFUNCTION("""COMPUTED_VALUE"""),"""yepq"":{""label"":""The Great Barrier Reef"",""extra"":""Coral reefs, shoals and islets off the northern coast of Australia. Scuba heaven."",""sets"":""Expansion Set 3, Party Expansion 1""},")</f>
        <v>"yepq":{"label":"The Great Barrier Reef","extra":"Coral reefs, shoals and islets off the northern coast of Australia. Scuba heaven.","sets":"Expansion Set 3, Party Expansion 1"},</v>
      </c>
    </row>
    <row r="384">
      <c r="A384" s="8" t="str">
        <f>IFERROR(__xludf.DUMMYFUNCTION("""COMPUTED_VALUE"""),"The Great Wall Of China")</f>
        <v>The Great Wall Of China</v>
      </c>
      <c r="B384" s="8" t="str">
        <f>IFERROR(__xludf.DUMMYFUNCTION("""COMPUTED_VALUE"""),"A 1500 mile long wall across northern China. Built for fortification but better for tourism.")</f>
        <v>A 1500 mile long wall across northern China. Built for fortification but better for tourism.</v>
      </c>
      <c r="C384" s="13" t="str">
        <f>IFERROR(__xludf.DUMMYFUNCTION("""COMPUTED_VALUE"""),"""qcze"":{""label"":""The Great Wall Of China"",""extra"":""A 1500 mile long wall across northern China. Built for fortification but better for tourism."",""sets"":""Expansion Set 3, Party Expansion 1""},")</f>
        <v>"qcze":{"label":"The Great Wall Of China","extra":"A 1500 mile long wall across northern China. Built for fortification but better for tourism.","sets":"Expansion Set 3, Party Expansion 1"},</v>
      </c>
    </row>
    <row r="385">
      <c r="A385" s="8" t="str">
        <f>IFERROR(__xludf.DUMMYFUNCTION("""COMPUTED_VALUE"""),"The Ice Age")</f>
        <v>The Ice Age</v>
      </c>
      <c r="B385" s="8" t="str">
        <f>IFERROR(__xludf.DUMMYFUNCTION("""COMPUTED_VALUE"""),"Polarity analysis of deep-sea sediment suggests the Pleistocene age began more than 1.8 million years ago. Bla-bla-bla.")</f>
        <v>Polarity analysis of deep-sea sediment suggests the Pleistocene age began more than 1.8 million years ago. Bla-bla-bla.</v>
      </c>
      <c r="C385" s="13" t="str">
        <f>IFERROR(__xludf.DUMMYFUNCTION("""COMPUTED_VALUE"""),"""legg"":{""label"":""The Ice Age"",""extra"":""Polarity analysis of deep-sea sediment suggests the Pleistocene age began more than 1.8 million years ago. Bla-bla-bla."",""sets"":""Expansion Set 3, Party Expansion 1""},")</f>
        <v>"legg":{"label":"The Ice Age","extra":"Polarity analysis of deep-sea sediment suggests the Pleistocene age began more than 1.8 million years ago. Bla-bla-bla.","sets":"Expansion Set 3, Party Expansion 1"},</v>
      </c>
    </row>
    <row r="386">
      <c r="A386" s="8" t="str">
        <f>IFERROR(__xludf.DUMMYFUNCTION("""COMPUTED_VALUE"""),"The Judge")</f>
        <v>The Judge</v>
      </c>
      <c r="B386" s="8" t="str">
        <f>IFERROR(__xludf.DUMMYFUNCTION("""COMPUTED_VALUE"""),"Smile when you play this card.")</f>
        <v>Smile when you play this card.</v>
      </c>
      <c r="C386" s="13" t="str">
        <f>IFERROR(__xludf.DUMMYFUNCTION("""COMPUTED_VALUE"""),"""myds"":{""label"":""The Judge"",""extra"":""Smile when you play this card."",""sets"":""Expansion Set 3, Party Expansion 1""},")</f>
        <v>"myds":{"label":"The Judge","extra":"Smile when you play this card.","sets":"Expansion Set 3, Party Expansion 1"},</v>
      </c>
    </row>
    <row r="387">
      <c r="A387" s="8" t="str">
        <f>IFERROR(__xludf.DUMMYFUNCTION("""COMPUTED_VALUE"""),"The Mounties")</f>
        <v>The Mounties</v>
      </c>
      <c r="B387" s="8" t="str">
        <f>IFERROR(__xludf.DUMMYFUNCTION("""COMPUTED_VALUE"""),"The Royal Canadian Mounted Police. They always get their man.")</f>
        <v>The Royal Canadian Mounted Police. They always get their man.</v>
      </c>
      <c r="C387" s="13" t="str">
        <f>IFERROR(__xludf.DUMMYFUNCTION("""COMPUTED_VALUE"""),"""ppnz"":{""label"":""The Mounties"",""extra"":""The Royal Canadian Mounted Police. They always get their man."",""sets"":""Expansion Set 3, Party Expansion 1""},")</f>
        <v>"ppnz":{"label":"The Mounties","extra":"The Royal Canadian Mounted Police. They always get their man.","sets":"Expansion Set 3, Party Expansion 1"},</v>
      </c>
    </row>
    <row r="388">
      <c r="A388" s="8" t="str">
        <f>IFERROR(__xludf.DUMMYFUNCTION("""COMPUTED_VALUE"""),"The North Pole")</f>
        <v>The North Pole</v>
      </c>
      <c r="B388" s="8" t="str">
        <f>IFERROR(__xludf.DUMMYFUNCTION("""COMPUTED_VALUE"""),"Things can only go south from here…")</f>
        <v>Things can only go south from here…</v>
      </c>
      <c r="C388" s="13" t="str">
        <f>IFERROR(__xludf.DUMMYFUNCTION("""COMPUTED_VALUE"""),"""vdc{"":{""label"":""The North Pole"",""extra"":""Things can only go south from here…"",""sets"":""Expansion Set 3, Party Expansion 1""},")</f>
        <v>"vdc{":{"label":"The North Pole","extra":"Things can only go south from here…","sets":"Expansion Set 3, Party Expansion 1"},</v>
      </c>
    </row>
    <row r="389">
      <c r="A389" s="8" t="str">
        <f>IFERROR(__xludf.DUMMYFUNCTION("""COMPUTED_VALUE"""),"The Princess &amp; The Pea")</f>
        <v>The Princess &amp; The Pea</v>
      </c>
      <c r="B389" s="8" t="str">
        <f>IFERROR(__xludf.DUMMYFUNCTION("""COMPUTED_VALUE"""),"The true test of a princess, fairy tale or otherwise.")</f>
        <v>The true test of a princess, fairy tale or otherwise.</v>
      </c>
      <c r="C389" s="13" t="str">
        <f>IFERROR(__xludf.DUMMYFUNCTION("""COMPUTED_VALUE"""),"""wfeb"":{""label"":""The Princess &amp; The Pea"",""extra"":""The true test of a princess, fairy tale or otherwise."",""sets"":""Expansion Set 4, Party Expansion 1""},")</f>
        <v>"wfeb":{"label":"The Princess &amp; The Pea","extra":"The true test of a princess, fairy tale or otherwise.","sets":"Expansion Set 4, Party Expansion 1"},</v>
      </c>
    </row>
    <row r="390">
      <c r="A390" s="8" t="str">
        <f>IFERROR(__xludf.DUMMYFUNCTION("""COMPUTED_VALUE"""),"The Scarlet Letter")</f>
        <v>The Scarlet Letter</v>
      </c>
      <c r="B390" s="8" t="str">
        <f>IFERROR(__xludf.DUMMYFUNCTION("""COMPUTED_VALUE"""),"Hawthorne’s 1845 novel about Puritan New England, moral conflicts, guilt, and down-right nastiness. (It was an “A”.)")</f>
        <v>Hawthorne’s 1845 novel about Puritan New England, moral conflicts, guilt, and down-right nastiness. (It was an “A”.)</v>
      </c>
      <c r="C390" s="13" t="str">
        <f>IFERROR(__xludf.DUMMYFUNCTION("""COMPUTED_VALUE"""),"""dqci"":{""label"":""The Scarlet Letter"",""extra"":""Hawthorne’s 1845 novel about Puritan New England, moral conflicts, guilt, and down-right nastiness. (It was an “A”.)"",""sets"":""Expansion Set 3, Party Expansion 1""},")</f>
        <v>"dqci":{"label":"The Scarlet Letter","extra":"Hawthorne’s 1845 novel about Puritan New England, moral conflicts, guilt, and down-right nastiness. (It was an “A”.)","sets":"Expansion Set 3, Party Expansion 1"},</v>
      </c>
    </row>
    <row r="391">
      <c r="A391" s="8" t="str">
        <f>IFERROR(__xludf.DUMMYFUNCTION("""COMPUTED_VALUE"""),"The Symphony")</f>
        <v>The Symphony</v>
      </c>
      <c r="B391" s="8" t="str">
        <f>IFERROR(__xludf.DUMMYFUNCTION("""COMPUTED_VALUE"""),"It’s music to our ears.")</f>
        <v>It’s music to our ears.</v>
      </c>
      <c r="C391" s="13" t="str">
        <f>IFERROR(__xludf.DUMMYFUNCTION("""COMPUTED_VALUE"""),"""cfel"":{""label"":""The Symphony"",""extra"":""It’s music to our ears."",""sets"":""Expansion Set 3, Party Expansion 1""},")</f>
        <v>"cfel":{"label":"The Symphony","extra":"It’s music to our ears.","sets":"Expansion Set 3, Party Expansion 1"},</v>
      </c>
    </row>
    <row r="392">
      <c r="A392" s="8" t="str">
        <f>IFERROR(__xludf.DUMMYFUNCTION("""COMPUTED_VALUE"""),"The Three Stooges")</f>
        <v>The Three Stooges</v>
      </c>
      <c r="B392" s="8" t="str">
        <f>IFERROR(__xludf.DUMMYFUNCTION("""COMPUTED_VALUE"""),"Nyuk, nyuk, nyuk. A wiseguy, eh?")</f>
        <v>Nyuk, nyuk, nyuk. A wiseguy, eh?</v>
      </c>
      <c r="C392" s="13" t="str">
        <f>IFERROR(__xludf.DUMMYFUNCTION("""COMPUTED_VALUE"""),"""hx{c"":{""label"":""The Three Stooges"",""extra"":""Nyuk, nyuk, nyuk. A wiseguy, eh?"",""sets"":""Expansion Set 3, Party Expansion 1""},")</f>
        <v>"hx{c":{"label":"The Three Stooges","extra":"Nyuk, nyuk, nyuk. A wiseguy, eh?","sets":"Expansion Set 3, Party Expansion 1"},</v>
      </c>
    </row>
    <row r="393">
      <c r="A393" s="8" t="str">
        <f>IFERROR(__xludf.DUMMYFUNCTION("""COMPUTED_VALUE"""),"The U.S. Constitution")</f>
        <v>The U.S. Constitution</v>
      </c>
      <c r="B393" s="8" t="str">
        <f>IFERROR(__xludf.DUMMYFUNCTION("""COMPUTED_VALUE"""),"We the people…")</f>
        <v>We the people…</v>
      </c>
      <c r="C393" s="13" t="str">
        <f>IFERROR(__xludf.DUMMYFUNCTION("""COMPUTED_VALUE"""),"""lljc"":{""label"":""The U.S. Constitution"",""extra"":""We the people…"",""sets"":""Expansion Set 3, Party Expansion 1""},")</f>
        <v>"lljc":{"label":"The U.S. Constitution","extra":"We the people…","sets":"Expansion Set 3, Party Expansion 1"},</v>
      </c>
    </row>
    <row r="394">
      <c r="A394" s="8" t="str">
        <f>IFERROR(__xludf.DUMMYFUNCTION("""COMPUTED_VALUE"""),"The Young &amp; The Restless")</f>
        <v>The Young &amp; The Restless</v>
      </c>
      <c r="B394" s="8" t="str">
        <f>IFERROR(__xludf.DUMMYFUNCTION("""COMPUTED_VALUE"""),"Launched in 1973, this soap opera isn’t young, but it’s still restless.")</f>
        <v>Launched in 1973, this soap opera isn’t young, but it’s still restless.</v>
      </c>
      <c r="C394" s="13" t="str">
        <f>IFERROR(__xludf.DUMMYFUNCTION("""COMPUTED_VALUE"""),"""yhis"":{""label"":""The Young &amp; The Restless"",""extra"":""Launched in 1973, this soap opera isn’t young, but it’s still restless."",""sets"":""Expansion Set 4, Party Expansion 1""},")</f>
        <v>"yhis":{"label":"The Young &amp; The Restless","extra":"Launched in 1973, this soap opera isn’t young, but it’s still restless.","sets":"Expansion Set 4, Party Expansion 1"},</v>
      </c>
    </row>
    <row r="395">
      <c r="A395" s="8" t="str">
        <f>IFERROR(__xludf.DUMMYFUNCTION("""COMPUTED_VALUE"""),"Thelma &amp; Louise")</f>
        <v>Thelma &amp; Louise</v>
      </c>
      <c r="B395" s="8" t="str">
        <f>IFERROR(__xludf.DUMMYFUNCTION("""COMPUTED_VALUE"""),"1991 Ridley Scott film starring Susan Sarandon and Geena Davis as two over-the-edge women.")</f>
        <v>1991 Ridley Scott film starring Susan Sarandon and Geena Davis as two over-the-edge women.</v>
      </c>
      <c r="C395" s="13" t="str">
        <f>IFERROR(__xludf.DUMMYFUNCTION("""COMPUTED_VALUE"""),"""qird"":{""label"":""Thelma &amp; Louise"",""extra"":""1991 Ridley Scott film starring Susan Sarandon and Geena Davis as two over-the-edge women."",""sets"":""Expansion Set 4, Party Expansion 1""},")</f>
        <v>"qird":{"label":"Thelma &amp; Louise","extra":"1991 Ridley Scott film starring Susan Sarandon and Geena Davis as two over-the-edge women.","sets":"Expansion Set 4, Party Expansion 1"},</v>
      </c>
    </row>
    <row r="396">
      <c r="A396" s="8" t="str">
        <f>IFERROR(__xludf.DUMMYFUNCTION("""COMPUTED_VALUE"""),"Three Men &amp; A Baby")</f>
        <v>Three Men &amp; A Baby</v>
      </c>
      <c r="B396" s="8" t="str">
        <f>IFERROR(__xludf.DUMMYFUNCTION("""COMPUTED_VALUE"""),"The 1987 comedy film. You do the math.")</f>
        <v>The 1987 comedy film. You do the math.</v>
      </c>
      <c r="C396" s="13" t="str">
        <f>IFERROR(__xludf.DUMMYFUNCTION("""COMPUTED_VALUE"""),"""cwvv"":{""label"":""Three Men &amp; A Baby"",""extra"":""The 1987 comedy film. You do the math."",""sets"":""Expansion Set 4, Party Expansion 1""},")</f>
        <v>"cwvv":{"label":"Three Men &amp; A Baby","extra":"The 1987 comedy film. You do the math.","sets":"Expansion Set 4, Party Expansion 1"},</v>
      </c>
    </row>
    <row r="397">
      <c r="A397" s="8" t="str">
        <f>IFERROR(__xludf.DUMMYFUNCTION("""COMPUTED_VALUE"""),"Thunder &amp; Lightning")</f>
        <v>Thunder &amp; Lightning</v>
      </c>
      <c r="B397" s="8" t="str">
        <f>IFERROR(__xludf.DUMMYFUNCTION("""COMPUTED_VALUE"""),"Nature’s fireworks.")</f>
        <v>Nature’s fireworks.</v>
      </c>
      <c r="C397" s="13" t="str">
        <f>IFERROR(__xludf.DUMMYFUNCTION("""COMPUTED_VALUE"""),"""clpv"":{""label"":""Thunder &amp; Lightning"",""extra"":""Nature’s fireworks."",""sets"":""Expansion Set 4, Party Expansion 1""},")</f>
        <v>"clpv":{"label":"Thunder &amp; Lightning","extra":"Nature’s fireworks.","sets":"Expansion Set 4, Party Expansion 1"},</v>
      </c>
    </row>
    <row r="398">
      <c r="A398" s="8" t="str">
        <f>IFERROR(__xludf.DUMMYFUNCTION("""COMPUTED_VALUE"""),"Timbuktu")</f>
        <v>Timbuktu</v>
      </c>
      <c r="B398" s="8" t="str">
        <f>IFERROR(__xludf.DUMMYFUNCTION("""COMPUTED_VALUE"""),"City of 20,000 located in the West African nation of Mali. The official name is Tombouctou. From here to Timbuktu.")</f>
        <v>City of 20,000 located in the West African nation of Mali. The official name is Tombouctou. From here to Timbuktu.</v>
      </c>
      <c r="C398" s="13" t="str">
        <f>IFERROR(__xludf.DUMMYFUNCTION("""COMPUTED_VALUE"""),"""mfcf"":{""label"":""Timbuktu"",""extra"":""City of 20,000 located in the West African nation of Mali. The official name is Tombouctou. From here to Timbuktu."",""sets"":""Expansion Set 3, Party Expansion 1""},")</f>
        <v>"mfcf":{"label":"Timbuktu","extra":"City of 20,000 located in the West African nation of Mali. The official name is Tombouctou. From here to Timbuktu.","sets":"Expansion Set 3, Party Expansion 1"},</v>
      </c>
    </row>
    <row r="399">
      <c r="A399" s="8" t="str">
        <f>IFERROR(__xludf.DUMMYFUNCTION("""COMPUTED_VALUE"""),"Time Travel")</f>
        <v>Time Travel</v>
      </c>
      <c r="B399" s="8" t="str">
        <f>IFERROR(__xludf.DUMMYFUNCTION("""COMPUTED_VALUE"""),"“What do you mean I missed my connection in the 14th Century?”")</f>
        <v>“What do you mean I missed my connection in the 14th Century?”</v>
      </c>
      <c r="C399" s="13" t="str">
        <f>IFERROR(__xludf.DUMMYFUNCTION("""COMPUTED_VALUE"""),"""vpio"":{""label"":""Time Travel"",""extra"":""“What do you mean I missed my connection in the 14th Century?”"",""sets"":""Expansion Set 3, Party Expansion 1""},")</f>
        <v>"vpio":{"label":"Time Travel","extra":"“What do you mean I missed my connection in the 14th Century?”","sets":"Expansion Set 3, Party Expansion 1"},</v>
      </c>
    </row>
    <row r="400">
      <c r="A400" s="8" t="str">
        <f>IFERROR(__xludf.DUMMYFUNCTION("""COMPUTED_VALUE"""),"Timothy McVey")</f>
        <v>Timothy McVey</v>
      </c>
      <c r="B400" s="8" t="str">
        <f>IFERROR(__xludf.DUMMYFUNCTION("""COMPUTED_VALUE"""),"1961-2001, the Oklahoma City Bomber.")</f>
        <v>1961-2001, the Oklahoma City Bomber.</v>
      </c>
      <c r="C400" s="13" t="str">
        <f>IFERROR(__xludf.DUMMYFUNCTION("""COMPUTED_VALUE"""),"""hdmq"":{""label"":""Timothy McVey"",""extra"":""1961-2001, the Oklahoma City Bomber."",""sets"":""Expansion Set 3, Party Expansion 1""},")</f>
        <v>"hdmq":{"label":"Timothy McVey","extra":"1961-2001, the Oklahoma City Bomber.","sets":"Expansion Set 3, Party Expansion 1"},</v>
      </c>
    </row>
    <row r="401">
      <c r="A401" s="8" t="str">
        <f>IFERROR(__xludf.DUMMYFUNCTION("""COMPUTED_VALUE"""),"Tom &amp; Jerry")</f>
        <v>Tom &amp; Jerry</v>
      </c>
      <c r="B401" s="8" t="str">
        <f>IFERROR(__xludf.DUMMYFUNCTION("""COMPUTED_VALUE"""),"A good chaser.")</f>
        <v>A good chaser.</v>
      </c>
      <c r="C401" s="13" t="str">
        <f>IFERROR(__xludf.DUMMYFUNCTION("""COMPUTED_VALUE"""),"""h{gs"":{""label"":""Tom &amp; Jerry"",""extra"":""A good chaser."",""sets"":""Expansion Set 4, Party Expansion 1""},")</f>
        <v>"h{gs":{"label":"Tom &amp; Jerry","extra":"A good chaser.","sets":"Expansion Set 4, Party Expansion 1"},</v>
      </c>
    </row>
    <row r="402">
      <c r="A402" s="8" t="str">
        <f>IFERROR(__xludf.DUMMYFUNCTION("""COMPUTED_VALUE"""),"Tony Blair")</f>
        <v>Tony Blair</v>
      </c>
      <c r="B402" s="8" t="str">
        <f>IFERROR(__xludf.DUMMYFUNCTION("""COMPUTED_VALUE"""),"1951-, British Prime Minister, “We will not rest until this evil is driven from our world.” Sept. 11, 2001.")</f>
        <v>1951-, British Prime Minister, “We will not rest until this evil is driven from our world.” Sept. 11, 2001.</v>
      </c>
      <c r="C402" s="13" t="str">
        <f>IFERROR(__xludf.DUMMYFUNCTION("""COMPUTED_VALUE"""),"""rosx"":{""label"":""Tony Blair"",""extra"":""1951-, British Prime Minister, “We will not rest until this evil is driven from our world.” Sept. 11, 2001."",""sets"":""Expansion Set 3, Party Expansion 1""},")</f>
        <v>"rosx":{"label":"Tony Blair","extra":"1951-, British Prime Minister, “We will not rest until this evil is driven from our world.” Sept. 11, 2001.","sets":"Expansion Set 3, Party Expansion 1"},</v>
      </c>
    </row>
    <row r="403">
      <c r="A403" s="8" t="str">
        <f>IFERROR(__xludf.DUMMYFUNCTION("""COMPUTED_VALUE"""),"Track &amp; Field")</f>
        <v>Track &amp; Field</v>
      </c>
      <c r="B403" s="8" t="str">
        <f>IFERROR(__xludf.DUMMYFUNCTION("""COMPUTED_VALUE"""),"It’s eventful.")</f>
        <v>It’s eventful.</v>
      </c>
      <c r="C403" s="13" t="str">
        <f>IFERROR(__xludf.DUMMYFUNCTION("""COMPUTED_VALUE"""),"""zgtb"":{""label"":""Track &amp; Field"",""extra"":""It’s eventful."",""sets"":""Expansion Set 4, Party Expansion 1""},")</f>
        <v>"zgtb":{"label":"Track &amp; Field","extra":"It’s eventful.","sets":"Expansion Set 4, Party Expansion 1"},</v>
      </c>
    </row>
    <row r="404">
      <c r="A404" s="8" t="str">
        <f>IFERROR(__xludf.DUMMYFUNCTION("""COMPUTED_VALUE"""),"Tractors")</f>
        <v>Tractors</v>
      </c>
      <c r="B404" s="8" t="str">
        <f>IFERROR(__xludf.DUMMYFUNCTION("""COMPUTED_VALUE"""),"“She thinks My Tractor’s Sexy.” —Kenny Chesney")</f>
        <v>“She thinks My Tractor’s Sexy.” —Kenny Chesney</v>
      </c>
      <c r="C404" s="13" t="str">
        <f>IFERROR(__xludf.DUMMYFUNCTION("""COMPUTED_VALUE"""),"""hapm"":{""label"":""Tractors"",""extra"":""“She thinks My Tractor’s Sexy.” —Kenny Chesney"",""sets"":""Expansion Set 3, Party Expansion 1""},")</f>
        <v>"hapm":{"label":"Tractors","extra":"“She thinks My Tractor’s Sexy.” —Kenny Chesney","sets":"Expansion Set 3, Party Expansion 1"},</v>
      </c>
    </row>
    <row r="405">
      <c r="A405" s="8" t="str">
        <f>IFERROR(__xludf.DUMMYFUNCTION("""COMPUTED_VALUE"""),"Treasure Hunting")</f>
        <v>Treasure Hunting</v>
      </c>
      <c r="B405" s="8" t="str">
        <f>IFERROR(__xludf.DUMMYFUNCTION("""COMPUTED_VALUE"""),"Gold Doubloons! Gold Doubloons! AT A YARD SALE?")</f>
        <v>Gold Doubloons! Gold Doubloons! AT A YARD SALE?</v>
      </c>
      <c r="C405" s="13" t="str">
        <f>IFERROR(__xludf.DUMMYFUNCTION("""COMPUTED_VALUE"""),"""gwjh"":{""label"":""Treasure Hunting"",""extra"":""Gold Doubloons! Gold Doubloons! AT A YARD SALE?"",""sets"":""Expansion Set 3, Party Expansion 1""},")</f>
        <v>"gwjh":{"label":"Treasure Hunting","extra":"Gold Doubloons! Gold Doubloons! AT A YARD SALE?","sets":"Expansion Set 3, Party Expansion 1"},</v>
      </c>
    </row>
    <row r="406">
      <c r="A406" s="8" t="str">
        <f>IFERROR(__xludf.DUMMYFUNCTION("""COMPUTED_VALUE"""),"Trekkies")</f>
        <v>Trekkies</v>
      </c>
      <c r="B406" s="8" t="str">
        <f>IFERROR(__xludf.DUMMYFUNCTION("""COMPUTED_VALUE"""),"Beam them up, PLEASE!")</f>
        <v>Beam them up, PLEASE!</v>
      </c>
      <c r="C406" s="13" t="str">
        <f>IFERROR(__xludf.DUMMYFUNCTION("""COMPUTED_VALUE"""),"""kyyo"":{""label"":""Trekkies"",""extra"":""Beam them up, PLEASE!"",""sets"":""Expansion Set 3, Party Expansion 1""},")</f>
        <v>"kyyo":{"label":"Trekkies","extra":"Beam them up, PLEASE!","sets":"Expansion Set 3, Party Expansion 1"},</v>
      </c>
    </row>
    <row r="407">
      <c r="A407" s="8" t="str">
        <f>IFERROR(__xludf.DUMMYFUNCTION("""COMPUTED_VALUE"""),"Trinidad &amp; Tobago")</f>
        <v>Trinidad &amp; Tobago</v>
      </c>
      <c r="B407" s="8" t="str">
        <f>IFERROR(__xludf.DUMMYFUNCTION("""COMPUTED_VALUE"""),"Tiny, lush Caribbean republic. One of the most prosperous countries in the area due to petroleum and natural gas production.")</f>
        <v>Tiny, lush Caribbean republic. One of the most prosperous countries in the area due to petroleum and natural gas production.</v>
      </c>
      <c r="C407" s="13" t="str">
        <f>IFERROR(__xludf.DUMMYFUNCTION("""COMPUTED_VALUE"""),"""wjzd"":{""label"":""Trinidad &amp; Tobago"",""extra"":""Tiny, lush Caribbean republic. One of the most prosperous countries in the area due to petroleum and natural gas production."",""sets"":""Expansion Set 4, Party Expansion 1""},")</f>
        <v>"wjzd":{"label":"Trinidad &amp; Tobago","extra":"Tiny, lush Caribbean republic. One of the most prosperous countries in the area due to petroleum and natural gas production.","sets":"Expansion Set 4, Party Expansion 1"},</v>
      </c>
    </row>
    <row r="408">
      <c r="A408" s="8" t="str">
        <f>IFERROR(__xludf.DUMMYFUNCTION("""COMPUTED_VALUE"""),"Truth &amp; Justice")</f>
        <v>Truth &amp; Justice</v>
      </c>
      <c r="B408" s="8" t="str">
        <f>IFERROR(__xludf.DUMMYFUNCTION("""COMPUTED_VALUE"""),"Sounds good on paper.")</f>
        <v>Sounds good on paper.</v>
      </c>
      <c r="C408" s="13" t="str">
        <f>IFERROR(__xludf.DUMMYFUNCTION("""COMPUTED_VALUE"""),"""sgin"":{""label"":""Truth &amp; Justice"",""extra"":""Sounds good on paper."",""sets"":""Expansion Set 4, Party Expansion 1""},")</f>
        <v>"sgin":{"label":"Truth &amp; Justice","extra":"Sounds good on paper.","sets":"Expansion Set 4, Party Expansion 1"},</v>
      </c>
    </row>
    <row r="409">
      <c r="A409" s="8" t="str">
        <f>IFERROR(__xludf.DUMMYFUNCTION("""COMPUTED_VALUE"""),"Turkey &amp; Stuffing")</f>
        <v>Turkey &amp; Stuffing</v>
      </c>
      <c r="B409" s="8" t="str">
        <f>IFERROR(__xludf.DUMMYFUNCTION("""COMPUTED_VALUE"""),"Get stuffed.")</f>
        <v>Get stuffed.</v>
      </c>
      <c r="C409" s="13" t="str">
        <f>IFERROR(__xludf.DUMMYFUNCTION("""COMPUTED_VALUE"""),"""krfo"":{""label"":""Turkey &amp; Stuffing"",""extra"":""Get stuffed."",""sets"":""Expansion Set 4, Party Expansion 1""},")</f>
        <v>"krfo":{"label":"Turkey &amp; Stuffing","extra":"Get stuffed.","sets":"Expansion Set 4, Party Expansion 1"},</v>
      </c>
    </row>
    <row r="410">
      <c r="A410" s="8" t="str">
        <f>IFERROR(__xludf.DUMMYFUNCTION("""COMPUTED_VALUE"""),"Tyra Banks")</f>
        <v>Tyra Banks</v>
      </c>
      <c r="B410" s="8" t="str">
        <f>IFERROR(__xludf.DUMMYFUNCTION("""COMPUTED_VALUE"""),"1973-, American model, starred in “Coyote Ugly.” Probably the only time you'll see the words “ugly” and “Tyra Banks” in the same sentence.")</f>
        <v>1973-, American model, starred in “Coyote Ugly.” Probably the only time you'll see the words “ugly” and “Tyra Banks” in the same sentence.</v>
      </c>
      <c r="C410" s="13" t="str">
        <f>IFERROR(__xludf.DUMMYFUNCTION("""COMPUTED_VALUE"""),"""hhdd"":{""label"":""Tyra Banks"",""extra"":""1973-, American model, starred in “Coyote Ugly.” Probably the only time you'll see the words “ugly” and “Tyra Banks” in the same sentence."",""sets"":""Expansion Set 3, Party Expansion 1""},")</f>
        <v>"hhdd":{"label":"Tyra Banks","extra":"1973-, American model, starred in “Coyote Ugly.” Probably the only time you'll see the words “ugly” and “Tyra Banks” in the same sentence.","sets":"Expansion Set 3, Party Expansion 1"},</v>
      </c>
    </row>
    <row r="411">
      <c r="A411" s="8" t="str">
        <f>IFERROR(__xludf.DUMMYFUNCTION("""COMPUTED_VALUE"""),"Umbrella Drinks")</f>
        <v>Umbrella Drinks</v>
      </c>
      <c r="B411" s="8" t="str">
        <f>IFERROR(__xludf.DUMMYFUNCTION("""COMPUTED_VALUE"""),"Extra fruit, please!")</f>
        <v>Extra fruit, please!</v>
      </c>
      <c r="C411" s="13" t="str">
        <f>IFERROR(__xludf.DUMMYFUNCTION("""COMPUTED_VALUE"""),"""ogmj"":{""label"":""Umbrella Drinks"",""extra"":""Extra fruit, please!"",""sets"":""Expansion Set 3, Party Expansion 1""},")</f>
        <v>"ogmj":{"label":"Umbrella Drinks","extra":"Extra fruit, please!","sets":"Expansion Set 3, Party Expansion 1"},</v>
      </c>
    </row>
    <row r="412">
      <c r="A412" s="8" t="str">
        <f>IFERROR(__xludf.DUMMYFUNCTION("""COMPUTED_VALUE"""),"Urban Sprawl")</f>
        <v>Urban Sprawl</v>
      </c>
      <c r="B412" s="8" t="str">
        <f>IFERROR(__xludf.DUMMYFUNCTION("""COMPUTED_VALUE"""),"Oh give me a home where the edge of town roams…")</f>
        <v>Oh give me a home where the edge of town roams…</v>
      </c>
      <c r="C412" s="13" t="str">
        <f>IFERROR(__xludf.DUMMYFUNCTION("""COMPUTED_VALUE"""),"""ygul"":{""label"":""Urban Sprawl"",""extra"":""Oh give me a home where the edge of town roams…"",""sets"":""Expansion Set 3, Party Expansion 1""},")</f>
        <v>"ygul":{"label":"Urban Sprawl","extra":"Oh give me a home where the edge of town roams…","sets":"Expansion Set 3, Party Expansion 1"},</v>
      </c>
    </row>
    <row r="413">
      <c r="A413" s="8" t="str">
        <f>IFERROR(__xludf.DUMMYFUNCTION("""COMPUTED_VALUE"""),"Velcro")</f>
        <v>Velcro</v>
      </c>
      <c r="B413" s="8" t="str">
        <f>IFERROR(__xludf.DUMMYFUNCTION("""COMPUTED_VALUE"""),"A hook-and-loop fastener that can really grab you.")</f>
        <v>A hook-and-loop fastener that can really grab you.</v>
      </c>
      <c r="C413" s="13" t="str">
        <f>IFERROR(__xludf.DUMMYFUNCTION("""COMPUTED_VALUE"""),"""qaxs"":{""label"":""Velcro"",""extra"":""A hook-and-loop fastener that can really grab you."",""sets"":""Expansion Set 3, Party Expansion 1""},")</f>
        <v>"qaxs":{"label":"Velcro","extra":"A hook-and-loop fastener that can really grab you.","sets":"Expansion Set 3, Party Expansion 1"},</v>
      </c>
    </row>
    <row r="414">
      <c r="A414" s="8" t="str">
        <f>IFERROR(__xludf.DUMMYFUNCTION("""COMPUTED_VALUE"""),"Venus &amp; Mars")</f>
        <v>Venus &amp; Mars</v>
      </c>
      <c r="B414" s="8" t="str">
        <f>IFERROR(__xludf.DUMMYFUNCTION("""COMPUTED_VALUE"""),"As different as men &amp; women.")</f>
        <v>As different as men &amp; women.</v>
      </c>
      <c r="C414" s="13" t="str">
        <f>IFERROR(__xludf.DUMMYFUNCTION("""COMPUTED_VALUE"""),"""zhho"":{""label"":""Venus &amp; Mars"",""extra"":""As different as men &amp; women."",""sets"":""Expansion Set 4, Party Expansion 1""},")</f>
        <v>"zhho":{"label":"Venus &amp; Mars","extra":"As different as men &amp; women.","sets":"Expansion Set 4, Party Expansion 1"},</v>
      </c>
    </row>
    <row r="415">
      <c r="A415" s="8" t="str">
        <f>IFERROR(__xludf.DUMMYFUNCTION("""COMPUTED_VALUE"""),"Viagra")</f>
        <v>Viagra</v>
      </c>
      <c r="B415" s="8" t="str">
        <f>IFERROR(__xludf.DUMMYFUNCTION("""COMPUTED_VALUE"""),"It works for Bob Dole, it'll work for you.")</f>
        <v>It works for Bob Dole, it'll work for you.</v>
      </c>
      <c r="C415" s="13" t="str">
        <f>IFERROR(__xludf.DUMMYFUNCTION("""COMPUTED_VALUE"""),"""xqrz"":{""label"":""Viagra"",""extra"":""It works for Bob Dole, it'll work for you."",""sets"":""Expansion Set 3, Party Expansion 1""},")</f>
        <v>"xqrz":{"label":"Viagra","extra":"It works for Bob Dole, it'll work for you.","sets":"Expansion Set 3, Party Expansion 1"},</v>
      </c>
    </row>
    <row r="416">
      <c r="A416" s="8" t="str">
        <f>IFERROR(__xludf.DUMMYFUNCTION("""COMPUTED_VALUE"""),"Volcanoes")</f>
        <v>Volcanoes</v>
      </c>
      <c r="B416" s="8" t="str">
        <f>IFERROR(__xludf.DUMMYFUNCTION("""COMPUTED_VALUE"""),"Vents in the crust of the earth from which steam, debris and molten rock spew, with explosive results.")</f>
        <v>Vents in the crust of the earth from which steam, debris and molten rock spew, with explosive results.</v>
      </c>
      <c r="C416" s="13" t="str">
        <f>IFERROR(__xludf.DUMMYFUNCTION("""COMPUTED_VALUE"""),"""ittz"":{""label"":""Volcanoes"",""extra"":""Vents in the crust of the earth from which steam, debris and molten rock spew, with explosive results."",""sets"":""Expansion Set 3, Party Expansion 1""},")</f>
        <v>"ittz":{"label":"Volcanoes","extra":"Vents in the crust of the earth from which steam, debris and molten rock spew, with explosive results.","sets":"Expansion Set 3, Party Expansion 1"},</v>
      </c>
    </row>
    <row r="417">
      <c r="A417" s="8" t="str">
        <f>IFERROR(__xludf.DUMMYFUNCTION("""COMPUTED_VALUE"""),"War &amp; Peace")</f>
        <v>War &amp; Peace</v>
      </c>
      <c r="B417" s="8" t="str">
        <f>IFERROR(__xludf.DUMMYFUNCTION("""COMPUTED_VALUE"""),"Tolstoy's 1805 epic novel of the Napoleonic wars, a celebration of Russian spirit.")</f>
        <v>Tolstoy's 1805 epic novel of the Napoleonic wars, a celebration of Russian spirit.</v>
      </c>
      <c r="C417" s="13" t="str">
        <f>IFERROR(__xludf.DUMMYFUNCTION("""COMPUTED_VALUE"""),"""ggdl"":{""label"":""War &amp; Peace"",""extra"":""Tolstoy's 1805 epic novel of the Napoleonic wars, a celebration of Russian spirit."",""sets"":""Expansion Set 4, Party Expansion 1""},")</f>
        <v>"ggdl":{"label":"War &amp; Peace","extra":"Tolstoy's 1805 epic novel of the Napoleonic wars, a celebration of Russian spirit.","sets":"Expansion Set 4, Party Expansion 1"},</v>
      </c>
    </row>
    <row r="418">
      <c r="A418" s="8" t="str">
        <f>IFERROR(__xludf.DUMMYFUNCTION("""COMPUTED_VALUE"""),"Washer &amp; Dryer")</f>
        <v>Washer &amp; Dryer</v>
      </c>
      <c r="B418" s="8" t="str">
        <f>IFERROR(__xludf.DUMMYFUNCTION("""COMPUTED_VALUE"""),"Take them out for a spin.")</f>
        <v>Take them out for a spin.</v>
      </c>
      <c r="C418" s="13" t="str">
        <f>IFERROR(__xludf.DUMMYFUNCTION("""COMPUTED_VALUE"""),"""qftj"":{""label"":""Washer &amp; Dryer"",""extra"":""Take them out for a spin."",""sets"":""Expansion Set 4, Party Expansion 1""},")</f>
        <v>"qftj":{"label":"Washer &amp; Dryer","extra":"Take them out for a spin.","sets":"Expansion Set 4, Party Expansion 1"},</v>
      </c>
    </row>
    <row r="419">
      <c r="A419" s="8" t="str">
        <f>IFERROR(__xludf.DUMMYFUNCTION("""COMPUTED_VALUE"""),"Waxing The Floor")</f>
        <v>Waxing The Floor</v>
      </c>
      <c r="B419" s="8" t="str">
        <f>IFERROR(__xludf.DUMMYFUNCTION("""COMPUTED_VALUE"""),"It's a pain in the neck, and back, and knees…")</f>
        <v>It's a pain in the neck, and back, and knees…</v>
      </c>
      <c r="C419" s="13" t="str">
        <f>IFERROR(__xludf.DUMMYFUNCTION("""COMPUTED_VALUE"""),"""bsld"":{""label"":""Waxing The Floor"",""extra"":""It's a pain in the neck, and back, and knees…"",""sets"":""Expansion Set 3, Party Expansion 1""},")</f>
        <v>"bsld":{"label":"Waxing The Floor","extra":"It's a pain in the neck, and back, and knees…","sets":"Expansion Set 3, Party Expansion 1"},</v>
      </c>
    </row>
    <row r="420">
      <c r="A420" s="8" t="str">
        <f>IFERROR(__xludf.DUMMYFUNCTION("""COMPUTED_VALUE"""),"Weed &amp; Feed")</f>
        <v>Weed &amp; Feed</v>
      </c>
      <c r="B420" s="8" t="str">
        <f>IFERROR(__xludf.DUMMYFUNCTION("""COMPUTED_VALUE"""),"Make sure the grass is greener on YOUR side of the fence.")</f>
        <v>Make sure the grass is greener on YOUR side of the fence.</v>
      </c>
      <c r="C420" s="13" t="str">
        <f>IFERROR(__xludf.DUMMYFUNCTION("""COMPUTED_VALUE"""),"""jpdk"":{""label"":""Weed &amp; Feed"",""extra"":""Make sure the grass is greener on YOUR side of the fence."",""sets"":""Expansion Set 4, Party Expansion 1""},")</f>
        <v>"jpdk":{"label":"Weed &amp; Feed","extra":"Make sure the grass is greener on YOUR side of the fence.","sets":"Expansion Set 4, Party Expansion 1"},</v>
      </c>
    </row>
    <row r="421">
      <c r="A421" s="8" t="str">
        <f>IFERROR(__xludf.DUMMYFUNCTION("""COMPUTED_VALUE"""),"Weird Al Yankovic")</f>
        <v>Weird Al Yankovic</v>
      </c>
      <c r="B421" s="8" t="str">
        <f>IFERROR(__xludf.DUMMYFUNCTION("""COMPUTED_VALUE"""),"1959-, American musical humorist, born Alfred Matthew Yankovic, which is nothing to laugh about…")</f>
        <v>1959-, American musical humorist, born Alfred Matthew Yankovic, which is nothing to laugh about…</v>
      </c>
      <c r="C421" s="13" t="str">
        <f>IFERROR(__xludf.DUMMYFUNCTION("""COMPUTED_VALUE"""),"""koyb"":{""label"":""Weird Al Yankovic"",""extra"":""1959-, American musical humorist, born Alfred Matthew Yankovic, which is nothing to laugh about…"",""sets"":""Expansion Set 3, Party Expansion 1""},")</f>
        <v>"koyb":{"label":"Weird Al Yankovic","extra":"1959-, American musical humorist, born Alfred Matthew Yankovic, which is nothing to laugh about…","sets":"Expansion Set 3, Party Expansion 1"},</v>
      </c>
    </row>
    <row r="422">
      <c r="A422" s="8" t="str">
        <f>IFERROR(__xludf.DUMMYFUNCTION("""COMPUTED_VALUE"""),"Whips &amp; Chains")</f>
        <v>Whips &amp; Chains</v>
      </c>
      <c r="B422" s="8" t="str">
        <f>IFERROR(__xludf.DUMMYFUNCTION("""COMPUTED_VALUE"""),"Popular before prison reform the good old days.")</f>
        <v>Popular before prison reform the good old days.</v>
      </c>
      <c r="C422" s="13" t="str">
        <f>IFERROR(__xludf.DUMMYFUNCTION("""COMPUTED_VALUE"""),"""cvph"":{""label"":""Whips &amp; Chains"",""extra"":""Popular before prison reform the good old days."",""sets"":""Expansion Set 4, Party Expansion 1""},")</f>
        <v>"cvph":{"label":"Whips &amp; Chains","extra":"Popular before prison reform the good old days.","sets":"Expansion Set 4, Party Expansion 1"},</v>
      </c>
    </row>
    <row r="423">
      <c r="A423" s="8" t="str">
        <f>IFERROR(__xludf.DUMMYFUNCTION("""COMPUTED_VALUE"""),"White Collar Crime")</f>
        <v>White Collar Crime</v>
      </c>
      <c r="B423" s="8" t="str">
        <f>IFERROR(__xludf.DUMMYFUNCTION("""COMPUTED_VALUE"""),"Three strikes and you're OUT… to a cozy little low-level detention facility with a pool and tennis court.")</f>
        <v>Three strikes and you're OUT… to a cozy little low-level detention facility with a pool and tennis court.</v>
      </c>
      <c r="C423" s="13" t="str">
        <f>IFERROR(__xludf.DUMMYFUNCTION("""COMPUTED_VALUE"""),"""fpce"":{""label"":""White Collar Crime"",""extra"":""Three strikes and you're OUT… to a cozy little low-level detention facility with a pool and tennis court."",""sets"":""Expansion Set 3, Party Expansion 1""},")</f>
        <v>"fpce":{"label":"White Collar Crime","extra":"Three strikes and you're OUT… to a cozy little low-level detention facility with a pool and tennis court.","sets":"Expansion Set 3, Party Expansion 1"},</v>
      </c>
    </row>
    <row r="424">
      <c r="A424" s="8" t="str">
        <f>IFERROR(__xludf.DUMMYFUNCTION("""COMPUTED_VALUE"""),"Will &amp; Grace")</f>
        <v>Will &amp; Grace</v>
      </c>
      <c r="B424" s="8" t="str">
        <f>IFERROR(__xludf.DUMMYFUNCTION("""COMPUTED_VALUE"""),"Popular sitcom debuted in 1998. Not your average next door neighbors.")</f>
        <v>Popular sitcom debuted in 1998. Not your average next door neighbors.</v>
      </c>
      <c r="C424" s="13" t="str">
        <f>IFERROR(__xludf.DUMMYFUNCTION("""COMPUTED_VALUE"""),"""nftl"":{""label"":""Will &amp; Grace"",""extra"":""Popular sitcom debuted in 1998. Not your average next door neighbors."",""sets"":""Expansion Set 4, Party Expansion 1""},")</f>
        <v>"nftl":{"label":"Will &amp; Grace","extra":"Popular sitcom debuted in 1998. Not your average next door neighbors.","sets":"Expansion Set 4, Party Expansion 1"},</v>
      </c>
    </row>
    <row r="425">
      <c r="A425" s="8" t="str">
        <f>IFERROR(__xludf.DUMMYFUNCTION("""COMPUTED_VALUE"""),"Working Out")</f>
        <v>Working Out</v>
      </c>
      <c r="B425" s="8" t="str">
        <f>IFERROR(__xludf.DUMMYFUNCTION("""COMPUTED_VALUE"""),"No pain, no gain.")</f>
        <v>No pain, no gain.</v>
      </c>
      <c r="C425" s="13" t="str">
        <f>IFERROR(__xludf.DUMMYFUNCTION("""COMPUTED_VALUE"""),"""mjiu"":{""label"":""Working Out"",""extra"":""No pain, no gain."",""sets"":""Expansion Set 3, Party Expansion 1""},")</f>
        <v>"mjiu":{"label":"Working Out","extra":"No pain, no gain.","sets":"Expansion Set 3, Party Expansion 1"},</v>
      </c>
    </row>
    <row r="426">
      <c r="A426" s="8" t="str">
        <f>IFERROR(__xludf.DUMMYFUNCTION("""COMPUTED_VALUE"""),"Xena, Warrior Princess")</f>
        <v>Xena, Warrior Princess</v>
      </c>
      <c r="B426" s="8" t="str">
        <f>IFERROR(__xludf.DUMMYFUNCTION("""COMPUTED_VALUE"""),"Popular TV fantasy, adventure program. Xena, played by Lucy Lawless, and her friend Gabrielle, seek adventure and fight evil.")</f>
        <v>Popular TV fantasy, adventure program. Xena, played by Lucy Lawless, and her friend Gabrielle, seek adventure and fight evil.</v>
      </c>
      <c r="C426" s="13" t="str">
        <f>IFERROR(__xludf.DUMMYFUNCTION("""COMPUTED_VALUE"""),"""w{of"":{""label"":""Xena, Warrior Princess"",""extra"":""Popular TV fantasy, adventure program. Xena, played by Lucy Lawless, and her friend Gabrielle, seek adventure and fight evil."",""sets"":""Expansion Set 3, Party Expansion 1""},")</f>
        <v>"w{of":{"label":"Xena, Warrior Princess","extra":"Popular TV fantasy, adventure program. Xena, played by Lucy Lawless, and her friend Gabrielle, seek adventure and fight evil.","sets":"Expansion Set 3, Party Expansion 1"},</v>
      </c>
    </row>
    <row r="427">
      <c r="A427" s="8" t="str">
        <f>IFERROR(__xludf.DUMMYFUNCTION("""COMPUTED_VALUE"""),"Yin &amp; Yang")</f>
        <v>Yin &amp; Yang</v>
      </c>
      <c r="B427" s="8" t="str">
        <f>IFERROR(__xludf.DUMMYFUNCTION("""COMPUTED_VALUE"""),"Two elements that oppose each other and give life balance. If you're lucky.")</f>
        <v>Two elements that oppose each other and give life balance. If you're lucky.</v>
      </c>
      <c r="C427" s="13" t="str">
        <f>IFERROR(__xludf.DUMMYFUNCTION("""COMPUTED_VALUE"""),"""gous"":{""label"":""Yin &amp; Yang"",""extra"":""Two elements that oppose each other and give life balance. If you're lucky."",""sets"":""Expansion Set 4, Party Expansion 1""},")</f>
        <v>"gous":{"label":"Yin &amp; Yang","extra":"Two elements that oppose each other and give life balance. If you're lucky.","sets":"Expansion Set 4, Party Expansion 1"},</v>
      </c>
    </row>
    <row r="428">
      <c r="A428" s="8" t="str">
        <f>IFERROR(__xludf.DUMMYFUNCTION("""COMPUTED_VALUE"""),"Zippers")</f>
        <v>Zippers</v>
      </c>
      <c r="B428" s="8" t="str">
        <f>IFERROR(__xludf.DUMMYFUNCTION("""COMPUTED_VALUE"""),"Zip it, zip it good.")</f>
        <v>Zip it, zip it good.</v>
      </c>
      <c r="C428" s="13" t="str">
        <f>IFERROR(__xludf.DUMMYFUNCTION("""COMPUTED_VALUE"""),"""cprr"":{""label"":""Zippers"",""extra"":""Zip it, zip it good."",""sets"":""Expansion Set 3, Party Expansion 1""},")</f>
        <v>"cprr":{"label":"Zippers","extra":"Zip it, zip it good.","sets":"Expansion Set 3, Party Expansion 1"},</v>
      </c>
    </row>
    <row r="429">
      <c r="A429" s="8" t="str">
        <f>IFERROR(__xludf.DUMMYFUNCTION("""COMPUTED_VALUE"""),"Zombies")</f>
        <v>Zombies</v>
      </c>
      <c r="B429" s="8" t="str">
        <f>IFERROR(__xludf.DUMMYFUNCTION("""COMPUTED_VALUE"""),"Undead ghouls that feed off of brains. So WE'RE safe…")</f>
        <v>Undead ghouls that feed off of brains. So WE'RE safe…</v>
      </c>
      <c r="C429" s="13" t="str">
        <f>IFERROR(__xludf.DUMMYFUNCTION("""COMPUTED_VALUE"""),"""owp{"":{""label"":""Zombies"",""extra"":""Undead ghouls that feed off of brains. So WE'RE safe…"",""sets"":""Expansion Set 3, Party Expansion 1""},")</f>
        <v>"owp{":{"label":"Zombies","extra":"Undead ghouls that feed off of brains. So WE'RE safe…","sets":"Expansion Set 3, Party Expansion 1"},</v>
      </c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IFERROR(__xludf.DUMMYFUNCTION("filter(Grn!B3:D1000,search(""Junior"",Grn!H3:H1000))"),"Adorable")</f>
        <v>Adorable</v>
      </c>
      <c r="B2" s="8" t="str">
        <f>IFERROR(__xludf.DUMMYFUNCTION("""COMPUTED_VALUE"""),"(lovable, cute) ")</f>
        <v>(lovable, cute) </v>
      </c>
      <c r="C2" s="13" t="str">
        <f>IFERROR(__xludf.DUMMYFUNCTION("""COMPUTED_VALUE"""),"""slsm"":{""label"":""Adorable"",""extra"":""(lovable, cute) "",""sets"":""Junior 9+ (2nd)""},")</f>
        <v>"slsm":{"label":"Adorable","extra":"(lovable, cute) ","sets":"Junior 9+ (2nd)"},</v>
      </c>
    </row>
    <row r="3">
      <c r="A3" s="8" t="str">
        <f>IFERROR(__xludf.DUMMYFUNCTION("""COMPUTED_VALUE"""),"Amazing")</f>
        <v>Amazing</v>
      </c>
      <c r="B3" s="8" t="str">
        <f>IFERROR(__xludf.DUMMYFUNCTION("""COMPUTED_VALUE"""),"(surprising, wonderful) ")</f>
        <v>(surprising, wonderful) </v>
      </c>
      <c r="C3" s="13" t="str">
        <f>IFERROR(__xludf.DUMMYFUNCTION("""COMPUTED_VALUE"""),"""bzlm"":{""label"":""Amazing"",""extra"":""(surprising, wonderful) "",""sets"":""Junior 9+ (1st) &amp; (2nd)""},")</f>
        <v>"bzlm":{"label":"Amazing","extra":"(surprising, wonderful) ","sets":"Junior 9+ (1st) &amp; (2nd)"},</v>
      </c>
    </row>
    <row r="4">
      <c r="A4" s="8" t="str">
        <f>IFERROR(__xludf.DUMMYFUNCTION("""COMPUTED_VALUE"""),"Annoying")</f>
        <v>Annoying</v>
      </c>
      <c r="B4" s="8" t="str">
        <f>IFERROR(__xludf.DUMMYFUNCTION("""COMPUTED_VALUE"""),"(bothersome, irritating) ")</f>
        <v>(bothersome, irritating) </v>
      </c>
      <c r="C4" s="13" t="str">
        <f>IFERROR(__xludf.DUMMYFUNCTION("""COMPUTED_VALUE"""),"""mffo"":{""label"":""Annoying"",""extra"":""(bothersome, irritating) "",""sets"":""Junior 9+ (2nd)""},")</f>
        <v>"mffo":{"label":"Annoying","extra":"(bothersome, irritating) ","sets":"Junior 9+ (2nd)"},</v>
      </c>
    </row>
    <row r="5">
      <c r="A5" s="8" t="str">
        <f>IFERROR(__xludf.DUMMYFUNCTION("""COMPUTED_VALUE"""),"Attractive")</f>
        <v>Attractive</v>
      </c>
      <c r="B5" s="8" t="str">
        <f>IFERROR(__xludf.DUMMYFUNCTION("""COMPUTED_VALUE"""),"(pretty, good-looking) ")</f>
        <v>(pretty, good-looking) </v>
      </c>
      <c r="C5" s="13" t="str">
        <f>IFERROR(__xludf.DUMMYFUNCTION("""COMPUTED_VALUE"""),"""myqb"":{""label"":""Attractive"",""extra"":""(pretty, good-looking) "",""sets"":""Junior 9+ (2nd)""},")</f>
        <v>"myqb":{"label":"Attractive","extra":"(pretty, good-looking) ","sets":"Junior 9+ (2nd)"},</v>
      </c>
    </row>
    <row r="6">
      <c r="A6" s="8" t="str">
        <f>IFERROR(__xludf.DUMMYFUNCTION("""COMPUTED_VALUE"""),"Awful")</f>
        <v>Awful</v>
      </c>
      <c r="B6" s="8" t="str">
        <f>IFERROR(__xludf.DUMMYFUNCTION("""COMPUTED_VALUE"""),"(very bad, horrible) ")</f>
        <v>(very bad, horrible) </v>
      </c>
      <c r="C6" s="13" t="str">
        <f>IFERROR(__xludf.DUMMYFUNCTION("""COMPUTED_VALUE"""),"""exdq"":{""label"":""Awful"",""extra"":""(very bad, horrible) "",""sets"":""Junior 9+ (1st) &amp; (2nd)""},")</f>
        <v>"exdq":{"label":"Awful","extra":"(very bad, horrible) ","sets":"Junior 9+ (1st) &amp; (2nd)"},</v>
      </c>
    </row>
    <row r="7">
      <c r="A7" s="8" t="str">
        <f>IFERROR(__xludf.DUMMYFUNCTION("""COMPUTED_VALUE"""),"Bad")</f>
        <v>Bad</v>
      </c>
      <c r="B7" s="8" t="str">
        <f>IFERROR(__xludf.DUMMYFUNCTION("""COMPUTED_VALUE"""),"(rotten, hurtful) ")</f>
        <v>(rotten, hurtful) </v>
      </c>
      <c r="C7" s="13" t="str">
        <f>IFERROR(__xludf.DUMMYFUNCTION("""COMPUTED_VALUE"""),"""uocu"":{""label"":""Bad"",""extra"":""(rotten, hurtful) "",""sets"":""Junior""},")</f>
        <v>"uocu":{"label":"Bad","extra":"(rotten, hurtful) ","sets":"Junior"},</v>
      </c>
    </row>
    <row r="8">
      <c r="A8" s="8" t="str">
        <f>IFERROR(__xludf.DUMMYFUNCTION("""COMPUTED_VALUE"""),"Beautiful")</f>
        <v>Beautiful</v>
      </c>
      <c r="B8" s="8" t="str">
        <f>IFERROR(__xludf.DUMMYFUNCTION("""COMPUTED_VALUE"""),"(pretty, lovely) ")</f>
        <v>(pretty, lovely) </v>
      </c>
      <c r="C8" s="13" t="str">
        <f>IFERROR(__xludf.DUMMYFUNCTION("""COMPUTED_VALUE"""),"""otvc"":{""label"":""Beautiful"",""extra"":""(pretty, lovely) "",""sets"":""Junior 9+ (1st) &amp; (2nd)""},")</f>
        <v>"otvc":{"label":"Beautiful","extra":"(pretty, lovely) ","sets":"Junior 9+ (1st) &amp; (2nd)"},</v>
      </c>
    </row>
    <row r="9">
      <c r="A9" s="8" t="str">
        <f>IFERROR(__xludf.DUMMYFUNCTION("""COMPUTED_VALUE"""),"Best")</f>
        <v>Best</v>
      </c>
      <c r="B9" s="8" t="str">
        <f>IFERROR(__xludf.DUMMYFUNCTION("""COMPUTED_VALUE"""),"(greatest, finest) ")</f>
        <v>(greatest, finest) </v>
      </c>
      <c r="C9" s="13" t="str">
        <f>IFERROR(__xludf.DUMMYFUNCTION("""COMPUTED_VALUE"""),"""tsuh"":{""label"":""Best"",""extra"":""(greatest, finest) "",""sets"":""Junior 9+ (2nd)""},")</f>
        <v>"tsuh":{"label":"Best","extra":"(greatest, finest) ","sets":"Junior 9+ (2nd)"},</v>
      </c>
    </row>
    <row r="10">
      <c r="A10" s="8" t="str">
        <f>IFERROR(__xludf.DUMMYFUNCTION("""COMPUTED_VALUE"""),"Big")</f>
        <v>Big</v>
      </c>
      <c r="B10" s="8" t="str">
        <f>IFERROR(__xludf.DUMMYFUNCTION("""COMPUTED_VALUE"""),"(large, huge) ")</f>
        <v>(large, huge) </v>
      </c>
      <c r="C10" s="13" t="str">
        <f>IFERROR(__xludf.DUMMYFUNCTION("""COMPUTED_VALUE"""),"""nxwg"":{""label"":""Big"",""extra"":""(large, huge) "",""sets"":""Junior""},")</f>
        <v>"nxwg":{"label":"Big","extra":"(large, huge) ","sets":"Junior"},</v>
      </c>
    </row>
    <row r="11">
      <c r="A11" s="8" t="str">
        <f>IFERROR(__xludf.DUMMYFUNCTION("""COMPUTED_VALUE"""),"Bitter")</f>
        <v>Bitter</v>
      </c>
      <c r="B11" s="8" t="str">
        <f>IFERROR(__xludf.DUMMYFUNCTION("""COMPUTED_VALUE"""),"(sour, tart) ")</f>
        <v>(sour, tart) </v>
      </c>
      <c r="C11" s="13" t="str">
        <f>IFERROR(__xludf.DUMMYFUNCTION("""COMPUTED_VALUE"""),"""nrvw"":{""label"":""Bitter"",""extra"":""(sour, tart) "",""sets"":""Junior 9+ (2nd)""},")</f>
        <v>"nrvw":{"label":"Bitter","extra":"(sour, tart) ","sets":"Junior 9+ (2nd)"},</v>
      </c>
    </row>
    <row r="12">
      <c r="A12" s="8" t="str">
        <f>IFERROR(__xludf.DUMMYFUNCTION("""COMPUTED_VALUE"""),"Bold")</f>
        <v>Bold</v>
      </c>
      <c r="B12" s="8" t="str">
        <f>IFERROR(__xludf.DUMMYFUNCTION("""COMPUTED_VALUE"""),"(daring, courageous) ")</f>
        <v>(daring, courageous) </v>
      </c>
      <c r="C12" s="13" t="str">
        <f>IFERROR(__xludf.DUMMYFUNCTION("""COMPUTED_VALUE"""),"""kuxn"":{""label"":""Bold"",""extra"":""(daring, courageous) "",""sets"":""Junior 9+ (2nd)""},")</f>
        <v>"kuxn":{"label":"Bold","extra":"(daring, courageous) ","sets":"Junior 9+ (2nd)"},</v>
      </c>
    </row>
    <row r="13">
      <c r="A13" s="8" t="str">
        <f>IFERROR(__xludf.DUMMYFUNCTION("""COMPUTED_VALUE"""),"Boring")</f>
        <v>Boring</v>
      </c>
      <c r="B13" s="8" t="str">
        <f>IFERROR(__xludf.DUMMYFUNCTION("""COMPUTED_VALUE"""),"(not interesting, dull) ")</f>
        <v>(not interesting, dull) </v>
      </c>
      <c r="C13" s="13" t="str">
        <f>IFERROR(__xludf.DUMMYFUNCTION("""COMPUTED_VALUE"""),"""gnvz"":{""label"":""Boring"",""extra"":""(not interesting, dull) "",""sets"":""Junior""},")</f>
        <v>"gnvz":{"label":"Boring","extra":"(not interesting, dull) ","sets":"Junior"},</v>
      </c>
    </row>
    <row r="14">
      <c r="A14" s="8" t="str">
        <f>IFERROR(__xludf.DUMMYFUNCTION("""COMPUTED_VALUE"""),"Brave")</f>
        <v>Brave</v>
      </c>
      <c r="B14" s="8" t="str">
        <f>IFERROR(__xludf.DUMMYFUNCTION("""COMPUTED_VALUE"""),"(fearless, courageous) ")</f>
        <v>(fearless, courageous) </v>
      </c>
      <c r="C14" s="13" t="str">
        <f>IFERROR(__xludf.DUMMYFUNCTION("""COMPUTED_VALUE"""),"""nhfa"":{""label"":""Brave"",""extra"":""(fearless, courageous) "",""sets"":""Junior""},")</f>
        <v>"nhfa":{"label":"Brave","extra":"(fearless, courageous) ","sets":"Junior"},</v>
      </c>
    </row>
    <row r="15">
      <c r="A15" s="8" t="str">
        <f>IFERROR(__xludf.DUMMYFUNCTION("""COMPUTED_VALUE"""),"Bright")</f>
        <v>Bright</v>
      </c>
      <c r="B15" s="8" t="str">
        <f>IFERROR(__xludf.DUMMYFUNCTION("""COMPUTED_VALUE"""),"(light, intelligent) ")</f>
        <v>(light, intelligent) </v>
      </c>
      <c r="C15" s="13" t="str">
        <f>IFERROR(__xludf.DUMMYFUNCTION("""COMPUTED_VALUE"""),"""kbbf"":{""label"":""Bright"",""extra"":""(light, intelligent) "",""sets"":""Junior 9+ (2nd)""},")</f>
        <v>"kbbf":{"label":"Bright","extra":"(light, intelligent) ","sets":"Junior 9+ (2nd)"},</v>
      </c>
    </row>
    <row r="16">
      <c r="A16" s="8" t="str">
        <f>IFERROR(__xludf.DUMMYFUNCTION("""COMPUTED_VALUE"""),"Bumpy")</f>
        <v>Bumpy</v>
      </c>
      <c r="B16" s="8" t="str">
        <f>IFERROR(__xludf.DUMMYFUNCTION("""COMPUTED_VALUE"""),"(lumpy, bouncy) ")</f>
        <v>(lumpy, bouncy) </v>
      </c>
      <c r="C16" s="13" t="str">
        <f>IFERROR(__xludf.DUMMYFUNCTION("""COMPUTED_VALUE"""),"""ltnt"":{""label"":""Bumpy"",""extra"":""(lumpy, bouncy) "",""sets"":""Junior 9+ (1st) &amp; (2nd)""},")</f>
        <v>"ltnt":{"label":"Bumpy","extra":"(lumpy, bouncy) ","sets":"Junior 9+ (1st) &amp; (2nd)"},</v>
      </c>
    </row>
    <row r="17">
      <c r="A17" s="8" t="str">
        <f>IFERROR(__xludf.DUMMYFUNCTION("""COMPUTED_VALUE"""),"Busy")</f>
        <v>Busy</v>
      </c>
      <c r="B17" s="8" t="str">
        <f>IFERROR(__xludf.DUMMYFUNCTION("""COMPUTED_VALUE"""),"(active, unavailable) ")</f>
        <v>(active, unavailable) </v>
      </c>
      <c r="C17" s="13" t="str">
        <f>IFERROR(__xludf.DUMMYFUNCTION("""COMPUTED_VALUE"""),"""zbud"":{""label"":""Busy"",""extra"":""(active, unavailable) "",""sets"":""Junior 9+ (1st) &amp; (2nd)""},")</f>
        <v>"zbud":{"label":"Busy","extra":"(active, unavailable) ","sets":"Junior 9+ (1st) &amp; (2nd)"},</v>
      </c>
    </row>
    <row r="18">
      <c r="A18" s="8" t="str">
        <f>IFERROR(__xludf.DUMMYFUNCTION("""COMPUTED_VALUE"""),"Calm")</f>
        <v>Calm</v>
      </c>
      <c r="B18" s="8" t="str">
        <f>IFERROR(__xludf.DUMMYFUNCTION("""COMPUTED_VALUE"""),"(peaceful, still) ")</f>
        <v>(peaceful, still) </v>
      </c>
      <c r="C18" s="13" t="str">
        <f>IFERROR(__xludf.DUMMYFUNCTION("""COMPUTED_VALUE"""),"""stok"":{""label"":""Calm"",""extra"":""(peaceful, still) "",""sets"":""Junior 9+ (1st) &amp; (2nd)""},")</f>
        <v>"stok":{"label":"Calm","extra":"(peaceful, still) ","sets":"Junior 9+ (1st) &amp; (2nd)"},</v>
      </c>
    </row>
    <row r="19">
      <c r="A19" s="8" t="str">
        <f>IFERROR(__xludf.DUMMYFUNCTION("""COMPUTED_VALUE"""),"Careful")</f>
        <v>Careful</v>
      </c>
      <c r="B19" s="8" t="str">
        <f>IFERROR(__xludf.DUMMYFUNCTION("""COMPUTED_VALUE"""),"(cautious, thoughtful) ")</f>
        <v>(cautious, thoughtful) </v>
      </c>
      <c r="C19" s="13" t="str">
        <f>IFERROR(__xludf.DUMMYFUNCTION("""COMPUTED_VALUE"""),"""gpir"":{""label"":""Careful"",""extra"":""(cautious, thoughtful) "",""sets"":""Junior 9+ (1st) &amp; (2nd)""},")</f>
        <v>"gpir":{"label":"Careful","extra":"(cautious, thoughtful) ","sets":"Junior 9+ (1st) &amp; (2nd)"},</v>
      </c>
    </row>
    <row r="20">
      <c r="A20" s="8" t="str">
        <f>IFERROR(__xludf.DUMMYFUNCTION("""COMPUTED_VALUE"""),"Caring")</f>
        <v>Caring</v>
      </c>
      <c r="B20" s="8" t="str">
        <f>IFERROR(__xludf.DUMMYFUNCTION("""COMPUTED_VALUE"""),"(concerned, interested) ")</f>
        <v>(concerned, interested) </v>
      </c>
      <c r="C20" s="13" t="str">
        <f>IFERROR(__xludf.DUMMYFUNCTION("""COMPUTED_VALUE"""),"""nbuc"":{""label"":""Caring"",""extra"":""(concerned, interested) "",""sets"":""Junior 9+ (2nd)""},")</f>
        <v>"nbuc":{"label":"Caring","extra":"(concerned, interested) ","sets":"Junior 9+ (2nd)"},</v>
      </c>
    </row>
    <row r="21">
      <c r="A21" s="8" t="str">
        <f>IFERROR(__xludf.DUMMYFUNCTION("""COMPUTED_VALUE"""),"Charming")</f>
        <v>Charming</v>
      </c>
      <c r="B21" s="8" t="str">
        <f>IFERROR(__xludf.DUMMYFUNCTION("""COMPUTED_VALUE"""),"(pleasant, polite) ")</f>
        <v>(pleasant, polite) </v>
      </c>
      <c r="C21" s="13" t="str">
        <f>IFERROR(__xludf.DUMMYFUNCTION("""COMPUTED_VALUE"""),"""rhcx"":{""label"":""Charming"",""extra"":""(pleasant, polite) "",""sets"":""Junior 9+ (2nd)""},")</f>
        <v>"rhcx":{"label":"Charming","extra":"(pleasant, polite) ","sets":"Junior 9+ (2nd)"},</v>
      </c>
    </row>
    <row r="22">
      <c r="A22" s="8" t="str">
        <f>IFERROR(__xludf.DUMMYFUNCTION("""COMPUTED_VALUE"""),"Cheerful")</f>
        <v>Cheerful</v>
      </c>
      <c r="B22" s="8" t="str">
        <f>IFERROR(__xludf.DUMMYFUNCTION("""COMPUTED_VALUE"""),"(happy, lively) ")</f>
        <v>(happy, lively) </v>
      </c>
      <c r="C22" s="13" t="str">
        <f>IFERROR(__xludf.DUMMYFUNCTION("""COMPUTED_VALUE"""),"""ttzj"":{""label"":""Cheerful"",""extra"":""(happy, lively) "",""sets"":""Junior 9+ (1st) &amp; (2nd)""},")</f>
        <v>"ttzj":{"label":"Cheerful","extra":"(happy, lively) ","sets":"Junior 9+ (1st) &amp; (2nd)"},</v>
      </c>
    </row>
    <row r="23">
      <c r="A23" s="8" t="str">
        <f>IFERROR(__xludf.DUMMYFUNCTION("""COMPUTED_VALUE"""),"Chewy")</f>
        <v>Chewy</v>
      </c>
      <c r="B23" s="8" t="str">
        <f>IFERROR(__xludf.DUMMYFUNCTION("""COMPUTED_VALUE"""),"(gummy, rubbery) ")</f>
        <v>(gummy, rubbery) </v>
      </c>
      <c r="C23" s="13" t="str">
        <f>IFERROR(__xludf.DUMMYFUNCTION("""COMPUTED_VALUE"""),"""epjb"":{""label"":""Chewy"",""extra"":""(gummy, rubbery) "",""sets"":""Junior 9+ (1st) &amp; (2nd)""},")</f>
        <v>"epjb":{"label":"Chewy","extra":"(gummy, rubbery) ","sets":"Junior 9+ (1st) &amp; (2nd)"},</v>
      </c>
    </row>
    <row r="24">
      <c r="A24" s="8" t="str">
        <f>IFERROR(__xludf.DUMMYFUNCTION("""COMPUTED_VALUE"""),"Chubby")</f>
        <v>Chubby</v>
      </c>
      <c r="B24" s="8" t="str">
        <f>IFERROR(__xludf.DUMMYFUNCTION("""COMPUTED_VALUE"""),"(plump, round) ")</f>
        <v>(plump, round) </v>
      </c>
      <c r="C24" s="13" t="str">
        <f>IFERROR(__xludf.DUMMYFUNCTION("""COMPUTED_VALUE"""),"""atqp"":{""label"":""Chubby"",""extra"":""(plump, round) "",""sets"":""Junior 9+ (2nd)""},")</f>
        <v>"atqp":{"label":"Chubby","extra":"(plump, round) ","sets":"Junior 9+ (2nd)"},</v>
      </c>
    </row>
    <row r="25">
      <c r="A25" s="8" t="str">
        <f>IFERROR(__xludf.DUMMYFUNCTION("""COMPUTED_VALUE"""),"Clean")</f>
        <v>Clean</v>
      </c>
      <c r="B25" s="8" t="str">
        <f>IFERROR(__xludf.DUMMYFUNCTION("""COMPUTED_VALUE"""),"(spotless, clear) ")</f>
        <v>(spotless, clear) </v>
      </c>
      <c r="C25" s="13" t="str">
        <f>IFERROR(__xludf.DUMMYFUNCTION("""COMPUTED_VALUE"""),"""syal"":{""label"":""Clean"",""extra"":""(spotless, clear) "",""sets"":""Junior""},")</f>
        <v>"syal":{"label":"Clean","extra":"(spotless, clear) ","sets":"Junior"},</v>
      </c>
    </row>
    <row r="26">
      <c r="A26" s="8" t="str">
        <f>IFERROR(__xludf.DUMMYFUNCTION("""COMPUTED_VALUE"""),"Clumsy")</f>
        <v>Clumsy</v>
      </c>
      <c r="B26" s="8" t="str">
        <f>IFERROR(__xludf.DUMMYFUNCTION("""COMPUTED_VALUE"""),"(awkward, not graceful) ")</f>
        <v>(awkward, not graceful) </v>
      </c>
      <c r="C26" s="13" t="str">
        <f>IFERROR(__xludf.DUMMYFUNCTION("""COMPUTED_VALUE"""),"""mwss"":{""label"":""Clumsy"",""extra"":""(awkward, not graceful) "",""sets"":""Junior 9+ (1st) &amp; (2nd)""},")</f>
        <v>"mwss":{"label":"Clumsy","extra":"(awkward, not graceful) ","sets":"Junior 9+ (1st) &amp; (2nd)"},</v>
      </c>
    </row>
    <row r="27">
      <c r="A27" s="8" t="str">
        <f>IFERROR(__xludf.DUMMYFUNCTION("""COMPUTED_VALUE"""),"Cold")</f>
        <v>Cold</v>
      </c>
      <c r="B27" s="8" t="str">
        <f>IFERROR(__xludf.DUMMYFUNCTION("""COMPUTED_VALUE"""),"(cool, chilly) ")</f>
        <v>(cool, chilly) </v>
      </c>
      <c r="C27" s="13" t="str">
        <f>IFERROR(__xludf.DUMMYFUNCTION("""COMPUTED_VALUE"""),"""efpl"":{""label"":""Cold"",""extra"":""(cool, chilly) "",""sets"":""Junior""},")</f>
        <v>"efpl":{"label":"Cold","extra":"(cool, chilly) ","sets":"Junior"},</v>
      </c>
    </row>
    <row r="28">
      <c r="A28" s="8" t="str">
        <f>IFERROR(__xludf.DUMMYFUNCTION("""COMPUTED_VALUE"""),"Colorful")</f>
        <v>Colorful</v>
      </c>
      <c r="B28" s="8" t="str">
        <f>IFERROR(__xludf.DUMMYFUNCTION("""COMPUTED_VALUE"""),"(full of color, bright) ")</f>
        <v>(full of color, bright) </v>
      </c>
      <c r="C28" s="13" t="str">
        <f>IFERROR(__xludf.DUMMYFUNCTION("""COMPUTED_VALUE"""),"""mkch"":{""label"":""Colorful"",""extra"":""(full of color, bright) "",""sets"":""Junior""},")</f>
        <v>"mkch":{"label":"Colorful","extra":"(full of color, bright) ","sets":"Junior"},</v>
      </c>
    </row>
    <row r="29">
      <c r="A29" s="8" t="str">
        <f>IFERROR(__xludf.DUMMYFUNCTION("""COMPUTED_VALUE"""),"Comfortable")</f>
        <v>Comfortable</v>
      </c>
      <c r="B29" s="8" t="str">
        <f>IFERROR(__xludf.DUMMYFUNCTION("""COMPUTED_VALUE"""),"(cozy, pleasant) ")</f>
        <v>(cozy, pleasant) </v>
      </c>
      <c r="C29" s="13" t="str">
        <f>IFERROR(__xludf.DUMMYFUNCTION("""COMPUTED_VALUE"""),"""qqtw"":{""label"":""Comfortable"",""extra"":""(cozy, pleasant) "",""sets"":""Junior 9+ (1st) &amp; (2nd)""},")</f>
        <v>"qqtw":{"label":"Comfortable","extra":"(cozy, pleasant) ","sets":"Junior 9+ (1st) &amp; (2nd)"},</v>
      </c>
    </row>
    <row r="30">
      <c r="A30" s="8" t="str">
        <f>IFERROR(__xludf.DUMMYFUNCTION("""COMPUTED_VALUE"""),"Confusing")</f>
        <v>Confusing</v>
      </c>
      <c r="B30" s="8" t="str">
        <f>IFERROR(__xludf.DUMMYFUNCTION("""COMPUTED_VALUE"""),"(puzzling, weird) ")</f>
        <v>(puzzling, weird) </v>
      </c>
      <c r="C30" s="13" t="str">
        <f>IFERROR(__xludf.DUMMYFUNCTION("""COMPUTED_VALUE"""),"""ofks"":{""label"":""Confusing"",""extra"":""(puzzling, weird) "",""sets"":""Junior 9+ (2nd)""},")</f>
        <v>"ofks":{"label":"Confusing","extra":"(puzzling, weird) ","sets":"Junior 9+ (2nd)"},</v>
      </c>
    </row>
    <row r="31">
      <c r="A31" s="8" t="str">
        <f>IFERROR(__xludf.DUMMYFUNCTION("""COMPUTED_VALUE"""),"Cool")</f>
        <v>Cool</v>
      </c>
      <c r="B31" s="8" t="str">
        <f>IFERROR(__xludf.DUMMYFUNCTION("""COMPUTED_VALUE"""),"(not hot, chilled) ")</f>
        <v>(not hot, chilled) </v>
      </c>
      <c r="C31" s="13" t="str">
        <f>IFERROR(__xludf.DUMMYFUNCTION("""COMPUTED_VALUE"""),"""hzse"":{""label"":""Cool"",""extra"":""(not hot, chilled) "",""sets"":""Junior 9+ (1st) &amp; (2nd)""},")</f>
        <v>"hzse":{"label":"Cool","extra":"(not hot, chilled) ","sets":"Junior 9+ (1st) &amp; (2nd)"},</v>
      </c>
    </row>
    <row r="32">
      <c r="A32" s="8" t="str">
        <f>IFERROR(__xludf.DUMMYFUNCTION("""COMPUTED_VALUE"""),"Costly")</f>
        <v>Costly</v>
      </c>
      <c r="B32" s="8" t="str">
        <f>IFERROR(__xludf.DUMMYFUNCTION("""COMPUTED_VALUE"""),"(expensive, valuable) ")</f>
        <v>(expensive, valuable) </v>
      </c>
      <c r="C32" s="13" t="str">
        <f>IFERROR(__xludf.DUMMYFUNCTION("""COMPUTED_VALUE"""),"""trbd"":{""label"":""Costly"",""extra"":""(expensive, valuable) "",""sets"":""Junior 9+ (2nd)""},")</f>
        <v>"trbd":{"label":"Costly","extra":"(expensive, valuable) ","sets":"Junior 9+ (2nd)"},</v>
      </c>
    </row>
    <row r="33">
      <c r="A33" s="8" t="str">
        <f>IFERROR(__xludf.DUMMYFUNCTION("""COMPUTED_VALUE"""),"Courageous")</f>
        <v>Courageous</v>
      </c>
      <c r="B33" s="8" t="str">
        <f>IFERROR(__xludf.DUMMYFUNCTION("""COMPUTED_VALUE"""),"(brave, bold) ")</f>
        <v>(brave, bold) </v>
      </c>
      <c r="C33" s="13" t="str">
        <f>IFERROR(__xludf.DUMMYFUNCTION("""COMPUTED_VALUE"""),"""lxtj"":{""label"":""Courageous"",""extra"":""(brave, bold) "",""sets"":""Junior 9+ (2nd)""},")</f>
        <v>"lxtj":{"label":"Courageous","extra":"(brave, bold) ","sets":"Junior 9+ (2nd)"},</v>
      </c>
    </row>
    <row r="34">
      <c r="A34" s="8" t="str">
        <f>IFERROR(__xludf.DUMMYFUNCTION("""COMPUTED_VALUE"""),"Cozy")</f>
        <v>Cozy</v>
      </c>
      <c r="B34" s="8" t="str">
        <f>IFERROR(__xludf.DUMMYFUNCTION("""COMPUTED_VALUE"""),"(comfortable, warm) ")</f>
        <v>(comfortable, warm) </v>
      </c>
      <c r="C34" s="13" t="str">
        <f>IFERROR(__xludf.DUMMYFUNCTION("""COMPUTED_VALUE"""),"""dwdw"":{""label"":""Cozy"",""extra"":""(comfortable, warm) "",""sets"":""Junior 9+ (1st) &amp; (2nd)""},")</f>
        <v>"dwdw":{"label":"Cozy","extra":"(comfortable, warm) ","sets":"Junior 9+ (1st) &amp; (2nd)"},</v>
      </c>
    </row>
    <row r="35">
      <c r="A35" s="8" t="str">
        <f>IFERROR(__xludf.DUMMYFUNCTION("""COMPUTED_VALUE"""),"Crazy")</f>
        <v>Crazy</v>
      </c>
      <c r="B35" s="8" t="str">
        <f>IFERROR(__xludf.DUMMYFUNCTION("""COMPUTED_VALUE"""),"(silly, foolish) ")</f>
        <v>(silly, foolish) </v>
      </c>
      <c r="C35" s="13" t="str">
        <f>IFERROR(__xludf.DUMMYFUNCTION("""COMPUTED_VALUE"""),"""onif"":{""label"":""Crazy"",""extra"":""(silly, foolish) "",""sets"":""Junior 9+ (1st) &amp; (2nd)""},")</f>
        <v>"onif":{"label":"Crazy","extra":"(silly, foolish) ","sets":"Junior 9+ (1st) &amp; (2nd)"},</v>
      </c>
    </row>
    <row r="36">
      <c r="A36" s="8" t="str">
        <f>IFERROR(__xludf.DUMMYFUNCTION("""COMPUTED_VALUE"""),"Creepy")</f>
        <v>Creepy</v>
      </c>
      <c r="B36" s="8" t="str">
        <f>IFERROR(__xludf.DUMMYFUNCTION("""COMPUTED_VALUE"""),"(spooky, scary) ")</f>
        <v>(spooky, scary) </v>
      </c>
      <c r="C36" s="13" t="str">
        <f>IFERROR(__xludf.DUMMYFUNCTION("""COMPUTED_VALUE"""),"""tpaz"":{""label"":""Creepy"",""extra"":""(spooky, scary) "",""sets"":""Junior""},")</f>
        <v>"tpaz":{"label":"Creepy","extra":"(spooky, scary) ","sets":"Junior"},</v>
      </c>
    </row>
    <row r="37">
      <c r="A37" s="8" t="str">
        <f>IFERROR(__xludf.DUMMYFUNCTION("""COMPUTED_VALUE"""),"Crooked")</f>
        <v>Crooked</v>
      </c>
      <c r="B37" s="8" t="str">
        <f>IFERROR(__xludf.DUMMYFUNCTION("""COMPUTED_VALUE"""),"(bent, not straight) ")</f>
        <v>(bent, not straight) </v>
      </c>
      <c r="C37" s="13" t="str">
        <f>IFERROR(__xludf.DUMMYFUNCTION("""COMPUTED_VALUE"""),"""wimz"":{""label"":""Crooked"",""extra"":""(bent, not straight) "",""sets"":""Junior 9+ (2nd)""},")</f>
        <v>"wimz":{"label":"Crooked","extra":"(bent, not straight) ","sets":"Junior 9+ (2nd)"},</v>
      </c>
    </row>
    <row r="38">
      <c r="A38" s="8" t="str">
        <f>IFERROR(__xludf.DUMMYFUNCTION("""COMPUTED_VALUE"""),"Crunchy")</f>
        <v>Crunchy</v>
      </c>
      <c r="B38" s="8" t="str">
        <f>IFERROR(__xludf.DUMMYFUNCTION("""COMPUTED_VALUE"""),"(crispy, crackling) ")</f>
        <v>(crispy, crackling) </v>
      </c>
      <c r="C38" s="13" t="str">
        <f>IFERROR(__xludf.DUMMYFUNCTION("""COMPUTED_VALUE"""),"""xxix"":{""label"":""Crunchy"",""extra"":""(crispy, crackling) "",""sets"":""Junior 9+ (1st) &amp; (2nd)""},")</f>
        <v>"xxix":{"label":"Crunchy","extra":"(crispy, crackling) ","sets":"Junior 9+ (1st) &amp; (2nd)"},</v>
      </c>
    </row>
    <row r="39">
      <c r="A39" s="8" t="str">
        <f>IFERROR(__xludf.DUMMYFUNCTION("""COMPUTED_VALUE"""),"Cuddly")</f>
        <v>Cuddly</v>
      </c>
      <c r="B39" s="8" t="str">
        <f>IFERROR(__xludf.DUMMYFUNCTION("""COMPUTED_VALUE"""),"(cozy, soft) ")</f>
        <v>(cozy, soft) </v>
      </c>
      <c r="C39" s="13" t="str">
        <f>IFERROR(__xludf.DUMMYFUNCTION("""COMPUTED_VALUE"""),"""qlxc"":{""label"":""Cuddly"",""extra"":""(cozy, soft) "",""sets"":""Junior 9+ (1st) &amp; (2nd)""},")</f>
        <v>"qlxc":{"label":"Cuddly","extra":"(cozy, soft) ","sets":"Junior 9+ (1st) &amp; (2nd)"},</v>
      </c>
    </row>
    <row r="40">
      <c r="A40" s="8" t="str">
        <f>IFERROR(__xludf.DUMMYFUNCTION("""COMPUTED_VALUE"""),"Curved")</f>
        <v>Curved</v>
      </c>
      <c r="B40" s="8" t="str">
        <f>IFERROR(__xludf.DUMMYFUNCTION("""COMPUTED_VALUE"""),"(bent, rounded) ")</f>
        <v>(bent, rounded) </v>
      </c>
      <c r="C40" s="13" t="str">
        <f>IFERROR(__xludf.DUMMYFUNCTION("""COMPUTED_VALUE"""),"""brib"":{""label"":""Curved"",""extra"":""(bent, rounded) "",""sets"":""Junior 9+ (2nd)""},")</f>
        <v>"brib":{"label":"Curved","extra":"(bent, rounded) ","sets":"Junior 9+ (2nd)"},</v>
      </c>
    </row>
    <row r="41">
      <c r="A41" s="8" t="str">
        <f>IFERROR(__xludf.DUMMYFUNCTION("""COMPUTED_VALUE"""),"Cute")</f>
        <v>Cute</v>
      </c>
      <c r="B41" s="8" t="str">
        <f>IFERROR(__xludf.DUMMYFUNCTION("""COMPUTED_VALUE"""),"(pretty, good-looking) ")</f>
        <v>(pretty, good-looking) </v>
      </c>
      <c r="C41" s="13" t="str">
        <f>IFERROR(__xludf.DUMMYFUNCTION("""COMPUTED_VALUE"""),"""rpsm"":{""label"":""Cute"",""extra"":""(pretty, good-looking) "",""sets"":""Junior""},")</f>
        <v>"rpsm":{"label":"Cute","extra":"(pretty, good-looking) ","sets":"Junior"},</v>
      </c>
    </row>
    <row r="42">
      <c r="A42" s="8" t="str">
        <f>IFERROR(__xludf.DUMMYFUNCTION("""COMPUTED_VALUE"""),"Dainty")</f>
        <v>Dainty</v>
      </c>
      <c r="B42" s="8" t="str">
        <f>IFERROR(__xludf.DUMMYFUNCTION("""COMPUTED_VALUE"""),"(delicate, elegant) ")</f>
        <v>(delicate, elegant) </v>
      </c>
      <c r="C42" s="13" t="str">
        <f>IFERROR(__xludf.DUMMYFUNCTION("""COMPUTED_VALUE"""),"""bmzr"":{""label"":""Dainty"",""extra"":""(delicate, elegant) "",""sets"":""Junior 9+ (2nd)""},")</f>
        <v>"bmzr":{"label":"Dainty","extra":"(delicate, elegant) ","sets":"Junior 9+ (2nd)"},</v>
      </c>
    </row>
    <row r="43">
      <c r="A43" s="8" t="str">
        <f>IFERROR(__xludf.DUMMYFUNCTION("""COMPUTED_VALUE"""),"Dangerous")</f>
        <v>Dangerous</v>
      </c>
      <c r="B43" s="8" t="str">
        <f>IFERROR(__xludf.DUMMYFUNCTION("""COMPUTED_VALUE"""),"(unsafe, risky) ")</f>
        <v>(unsafe, risky) </v>
      </c>
      <c r="C43" s="13" t="str">
        <f>IFERROR(__xludf.DUMMYFUNCTION("""COMPUTED_VALUE"""),"""xlar"":{""label"":""Dangerous"",""extra"":""(unsafe, risky) "",""sets"":""Junior""},")</f>
        <v>"xlar":{"label":"Dangerous","extra":"(unsafe, risky) ","sets":"Junior"},</v>
      </c>
    </row>
    <row r="44">
      <c r="A44" s="8" t="str">
        <f>IFERROR(__xludf.DUMMYFUNCTION("""COMPUTED_VALUE"""),"Daring")</f>
        <v>Daring</v>
      </c>
      <c r="B44" s="8" t="str">
        <f>IFERROR(__xludf.DUMMYFUNCTION("""COMPUTED_VALUE"""),"(brave, bold) ")</f>
        <v>(brave, bold) </v>
      </c>
      <c r="C44" s="13" t="str">
        <f>IFERROR(__xludf.DUMMYFUNCTION("""COMPUTED_VALUE"""),"""kkix"":{""label"":""Daring"",""extra"":""(brave, bold) "",""sets"":""Junior 9+ (2nd)""},")</f>
        <v>"kkix":{"label":"Daring","extra":"(brave, bold) ","sets":"Junior 9+ (2nd)"},</v>
      </c>
    </row>
    <row r="45">
      <c r="A45" s="8" t="str">
        <f>IFERROR(__xludf.DUMMYFUNCTION("""COMPUTED_VALUE"""),"Dark")</f>
        <v>Dark</v>
      </c>
      <c r="B45" s="8" t="str">
        <f>IFERROR(__xludf.DUMMYFUNCTION("""COMPUTED_VALUE"""),"(without light, nearly black) ")</f>
        <v>(without light, nearly black) </v>
      </c>
      <c r="C45" s="13" t="str">
        <f>IFERROR(__xludf.DUMMYFUNCTION("""COMPUTED_VALUE"""),"""zmpp"":{""label"":""Dark"",""extra"":""(without light, nearly black) "",""sets"":""Junior""},")</f>
        <v>"zmpp":{"label":"Dark","extra":"(without light, nearly black) ","sets":"Junior"},</v>
      </c>
    </row>
    <row r="46">
      <c r="A46" s="8" t="str">
        <f>IFERROR(__xludf.DUMMYFUNCTION("""COMPUTED_VALUE"""),"Delicate")</f>
        <v>Delicate</v>
      </c>
      <c r="B46" s="8" t="str">
        <f>IFERROR(__xludf.DUMMYFUNCTION("""COMPUTED_VALUE"""),"(breakable, dainty) ")</f>
        <v>(breakable, dainty) </v>
      </c>
      <c r="C46" s="13" t="str">
        <f>IFERROR(__xludf.DUMMYFUNCTION("""COMPUTED_VALUE"""),"""hjxf"":{""label"":""Delicate"",""extra"":""(breakable, dainty) "",""sets"":""Junior 9+ (1st) &amp; (2nd)""},")</f>
        <v>"hjxf":{"label":"Delicate","extra":"(breakable, dainty) ","sets":"Junior 9+ (1st) &amp; (2nd)"},</v>
      </c>
    </row>
    <row r="47">
      <c r="A47" s="8" t="str">
        <f>IFERROR(__xludf.DUMMYFUNCTION("""COMPUTED_VALUE"""),"Delicious")</f>
        <v>Delicious</v>
      </c>
      <c r="B47" s="8" t="str">
        <f>IFERROR(__xludf.DUMMYFUNCTION("""COMPUTED_VALUE"""),"(tasty, pleasing) ")</f>
        <v>(tasty, pleasing) </v>
      </c>
      <c r="C47" s="13" t="str">
        <f>IFERROR(__xludf.DUMMYFUNCTION("""COMPUTED_VALUE"""),"""lild"":{""label"":""Delicious"",""extra"":""(tasty, pleasing) "",""sets"":""Junior 9+ (1st) &amp; (2nd)""},")</f>
        <v>"lild":{"label":"Delicious","extra":"(tasty, pleasing) ","sets":"Junior 9+ (1st) &amp; (2nd)"},</v>
      </c>
    </row>
    <row r="48">
      <c r="A48" s="8" t="str">
        <f>IFERROR(__xludf.DUMMYFUNCTION("""COMPUTED_VALUE"""),"Difficult")</f>
        <v>Difficult</v>
      </c>
      <c r="B48" s="8" t="str">
        <f>IFERROR(__xludf.DUMMYFUNCTION("""COMPUTED_VALUE"""),"(complicated, hard) ")</f>
        <v>(complicated, hard) </v>
      </c>
      <c r="C48" s="13" t="str">
        <f>IFERROR(__xludf.DUMMYFUNCTION("""COMPUTED_VALUE"""),"""cwri"":{""label"":""Difficult"",""extra"":""(complicated, hard) "",""sets"":""Junior 9+ (2nd)""},")</f>
        <v>"cwri":{"label":"Difficult","extra":"(complicated, hard) ","sets":"Junior 9+ (2nd)"},</v>
      </c>
    </row>
    <row r="49">
      <c r="A49" s="8" t="str">
        <f>IFERROR(__xludf.DUMMYFUNCTION("""COMPUTED_VALUE"""),"Dirty")</f>
        <v>Dirty</v>
      </c>
      <c r="B49" s="8" t="str">
        <f>IFERROR(__xludf.DUMMYFUNCTION("""COMPUTED_VALUE"""),"(unclean, filthy) ")</f>
        <v>(unclean, filthy) </v>
      </c>
      <c r="C49" s="13" t="str">
        <f>IFERROR(__xludf.DUMMYFUNCTION("""COMPUTED_VALUE"""),"""ctmc"":{""label"":""Dirty"",""extra"":""(unclean, filthy) "",""sets"":""Junior""},")</f>
        <v>"ctmc":{"label":"Dirty","extra":"(unclean, filthy) ","sets":"Junior"},</v>
      </c>
    </row>
    <row r="50">
      <c r="A50" s="8" t="str">
        <f>IFERROR(__xludf.DUMMYFUNCTION("""COMPUTED_VALUE"""),"Disgusting")</f>
        <v>Disgusting</v>
      </c>
      <c r="B50" s="8" t="str">
        <f>IFERROR(__xludf.DUMMYFUNCTION("""COMPUTED_VALUE"""),"(sickening, horrible) ")</f>
        <v>(sickening, horrible) </v>
      </c>
      <c r="C50" s="13" t="str">
        <f>IFERROR(__xludf.DUMMYFUNCTION("""COMPUTED_VALUE"""),"""xhby"":{""label"":""Disgusting"",""extra"":""(sickening, horrible) "",""sets"":""Junior 9+ (2nd)""},")</f>
        <v>"xhby":{"label":"Disgusting","extra":"(sickening, horrible) ","sets":"Junior 9+ (2nd)"},</v>
      </c>
    </row>
    <row r="51">
      <c r="A51" s="8" t="str">
        <f>IFERROR(__xludf.DUMMYFUNCTION("""COMPUTED_VALUE"""),"Dull")</f>
        <v>Dull</v>
      </c>
      <c r="B51" s="8" t="str">
        <f>IFERROR(__xludf.DUMMYFUNCTION("""COMPUTED_VALUE"""),"(not sharp, plain) ")</f>
        <v>(not sharp, plain) </v>
      </c>
      <c r="C51" s="13" t="str">
        <f>IFERROR(__xludf.DUMMYFUNCTION("""COMPUTED_VALUE"""),"""dunv"":{""label"":""Dull"",""extra"":""(not sharp, plain) "",""sets"":""Junior 9+ (1st) &amp; (2nd)""},")</f>
        <v>"dunv":{"label":"Dull","extra":"(not sharp, plain) ","sets":"Junior 9+ (1st) &amp; (2nd)"},</v>
      </c>
    </row>
    <row r="52">
      <c r="A52" s="8" t="str">
        <f>IFERROR(__xludf.DUMMYFUNCTION("""COMPUTED_VALUE"""),"Dumb")</f>
        <v>Dumb</v>
      </c>
      <c r="B52" s="8" t="str">
        <f>IFERROR(__xludf.DUMMYFUNCTION("""COMPUTED_VALUE"""),"(silent, not smart) ")</f>
        <v>(silent, not smart) </v>
      </c>
      <c r="C52" s="13" t="str">
        <f>IFERROR(__xludf.DUMMYFUNCTION("""COMPUTED_VALUE"""),"""okfq"":{""label"":""Dumb"",""extra"":""(silent, not smart) "",""sets"":""Junior 9+ (2nd)""},")</f>
        <v>"okfq":{"label":"Dumb","extra":"(silent, not smart) ","sets":"Junior 9+ (2nd)"},</v>
      </c>
    </row>
    <row r="53">
      <c r="A53" s="8" t="str">
        <f>IFERROR(__xludf.DUMMYFUNCTION("""COMPUTED_VALUE"""),"Easy")</f>
        <v>Easy</v>
      </c>
      <c r="B53" s="8" t="str">
        <f>IFERROR(__xludf.DUMMYFUNCTION("""COMPUTED_VALUE"""),"(simple, not hard) ")</f>
        <v>(simple, not hard) </v>
      </c>
      <c r="C53" s="13" t="str">
        <f>IFERROR(__xludf.DUMMYFUNCTION("""COMPUTED_VALUE"""),"""gvwn"":{""label"":""Easy"",""extra"":""(simple, not hard) "",""sets"":""Junior 9+ (1st) &amp; (2nd)""},")</f>
        <v>"gvwn":{"label":"Easy","extra":"(simple, not hard) ","sets":"Junior 9+ (1st) &amp; (2nd)"},</v>
      </c>
    </row>
    <row r="54">
      <c r="A54" s="8" t="str">
        <f>IFERROR(__xludf.DUMMYFUNCTION("""COMPUTED_VALUE"""),"Elderly")</f>
        <v>Elderly</v>
      </c>
      <c r="B54" s="8" t="str">
        <f>IFERROR(__xludf.DUMMYFUNCTION("""COMPUTED_VALUE"""),"(old, aged) ")</f>
        <v>(old, aged) </v>
      </c>
      <c r="C54" s="13" t="str">
        <f>IFERROR(__xludf.DUMMYFUNCTION("""COMPUTED_VALUE"""),"""oqxn"":{""label"":""Elderly"",""extra"":""(old, aged) "",""sets"":""Junior 9+ (2nd)""},")</f>
        <v>"oqxn":{"label":"Elderly","extra":"(old, aged) ","sets":"Junior 9+ (2nd)"},</v>
      </c>
    </row>
    <row r="55">
      <c r="A55" s="8" t="str">
        <f>IFERROR(__xludf.DUMMYFUNCTION("""COMPUTED_VALUE"""),"Energetic")</f>
        <v>Energetic</v>
      </c>
      <c r="B55" s="8" t="str">
        <f>IFERROR(__xludf.DUMMYFUNCTION("""COMPUTED_VALUE"""),"(active, lively) ")</f>
        <v>(active, lively) </v>
      </c>
      <c r="C55" s="13" t="str">
        <f>IFERROR(__xludf.DUMMYFUNCTION("""COMPUTED_VALUE"""),"""syvn"":{""label"":""Energetic"",""extra"":""(active, lively) "",""sets"":""Junior 9+ (2nd)""},")</f>
        <v>"syvn":{"label":"Energetic","extra":"(active, lively) ","sets":"Junior 9+ (2nd)"},</v>
      </c>
    </row>
    <row r="56">
      <c r="A56" s="8" t="str">
        <f>IFERROR(__xludf.DUMMYFUNCTION("""COMPUTED_VALUE"""),"Enjoyable")</f>
        <v>Enjoyable</v>
      </c>
      <c r="B56" s="8" t="str">
        <f>IFERROR(__xludf.DUMMYFUNCTION("""COMPUTED_VALUE"""),"(pleasant, fun) ")</f>
        <v>(pleasant, fun) </v>
      </c>
      <c r="C56" s="13" t="str">
        <f>IFERROR(__xludf.DUMMYFUNCTION("""COMPUTED_VALUE"""),"""cjux"":{""label"":""Enjoyable"",""extra"":""(pleasant, fun) "",""sets"":""Junior 9+ (1st) &amp; (2nd)""},")</f>
        <v>"cjux":{"label":"Enjoyable","extra":"(pleasant, fun) ","sets":"Junior 9+ (1st) &amp; (2nd)"},</v>
      </c>
    </row>
    <row r="57">
      <c r="A57" s="8" t="str">
        <f>IFERROR(__xludf.DUMMYFUNCTION("""COMPUTED_VALUE"""),"Enormous")</f>
        <v>Enormous</v>
      </c>
      <c r="B57" s="8" t="str">
        <f>IFERROR(__xludf.DUMMYFUNCTION("""COMPUTED_VALUE"""),"(huge, gigantic) ")</f>
        <v>(huge, gigantic) </v>
      </c>
      <c r="C57" s="13" t="str">
        <f>IFERROR(__xludf.DUMMYFUNCTION("""COMPUTED_VALUE"""),"""duwr"":{""label"":""Enormous"",""extra"":""(huge, gigantic) "",""sets"":""Junior 9+ (2nd)""},")</f>
        <v>"duwr":{"label":"Enormous","extra":"(huge, gigantic) ","sets":"Junior 9+ (2nd)"},</v>
      </c>
    </row>
    <row r="58">
      <c r="A58" s="8" t="str">
        <f>IFERROR(__xludf.DUMMYFUNCTION("""COMPUTED_VALUE"""),"Entertaining")</f>
        <v>Entertaining</v>
      </c>
      <c r="B58" s="8" t="str">
        <f>IFERROR(__xludf.DUMMYFUNCTION("""COMPUTED_VALUE"""),"(interesting, fun) ")</f>
        <v>(interesting, fun) </v>
      </c>
      <c r="C58" s="13" t="str">
        <f>IFERROR(__xludf.DUMMYFUNCTION("""COMPUTED_VALUE"""),"""lcmk"":{""label"":""Entertaining"",""extra"":""(interesting, fun) "",""sets"":""Junior 9+ (2nd)""},")</f>
        <v>"lcmk":{"label":"Entertaining","extra":"(interesting, fun) ","sets":"Junior 9+ (2nd)"},</v>
      </c>
    </row>
    <row r="59">
      <c r="A59" s="8" t="str">
        <f>IFERROR(__xludf.DUMMYFUNCTION("""COMPUTED_VALUE"""),"Excellent")</f>
        <v>Excellent</v>
      </c>
      <c r="B59" s="8" t="str">
        <f>IFERROR(__xludf.DUMMYFUNCTION("""COMPUTED_VALUE"""),"(very good, outstanding) ")</f>
        <v>(very good, outstanding) </v>
      </c>
      <c r="C59" s="13" t="str">
        <f>IFERROR(__xludf.DUMMYFUNCTION("""COMPUTED_VALUE"""),"""dnjn"":{""label"":""Excellent"",""extra"":""(very good, outstanding) "",""sets"":""Junior 9+ (1st) &amp; (2nd)""},")</f>
        <v>"dnjn":{"label":"Excellent","extra":"(very good, outstanding) ","sets":"Junior 9+ (1st) &amp; (2nd)"},</v>
      </c>
    </row>
    <row r="60">
      <c r="A60" s="8" t="str">
        <f>IFERROR(__xludf.DUMMYFUNCTION("""COMPUTED_VALUE"""),"Exciting")</f>
        <v>Exciting</v>
      </c>
      <c r="B60" s="8" t="str">
        <f>IFERROR(__xludf.DUMMYFUNCTION("""COMPUTED_VALUE"""),"(thrilling, interesting) ")</f>
        <v>(thrilling, interesting) </v>
      </c>
      <c r="C60" s="13" t="str">
        <f>IFERROR(__xludf.DUMMYFUNCTION("""COMPUTED_VALUE"""),"""hklo"":{""label"":""Exciting"",""extra"":""(thrilling, interesting) "",""sets"":""Junior""},")</f>
        <v>"hklo":{"label":"Exciting","extra":"(thrilling, interesting) ","sets":"Junior"},</v>
      </c>
    </row>
    <row r="61">
      <c r="A61" s="8" t="str">
        <f>IFERROR(__xludf.DUMMYFUNCTION("""COMPUTED_VALUE"""),"Expensive")</f>
        <v>Expensive</v>
      </c>
      <c r="B61" s="8" t="str">
        <f>IFERROR(__xludf.DUMMYFUNCTION("""COMPUTED_VALUE"""),"(costly, high priced) ")</f>
        <v>(costly, high priced) </v>
      </c>
      <c r="C61" s="13" t="str">
        <f>IFERROR(__xludf.DUMMYFUNCTION("""COMPUTED_VALUE"""),"""pwyl"":{""label"":""Expensive"",""extra"":""(costly, high priced) "",""sets"":""Junior 9+ (1st) &amp; (2nd)""},")</f>
        <v>"pwyl":{"label":"Expensive","extra":"(costly, high priced) ","sets":"Junior 9+ (1st) &amp; (2nd)"},</v>
      </c>
    </row>
    <row r="62">
      <c r="A62" s="8" t="str">
        <f>IFERROR(__xludf.DUMMYFUNCTION("""COMPUTED_VALUE"""),"Famous")</f>
        <v>Famous</v>
      </c>
      <c r="B62" s="8" t="str">
        <f>IFERROR(__xludf.DUMMYFUNCTION("""COMPUTED_VALUE"""),"(well-known, important) ")</f>
        <v>(well-known, important) </v>
      </c>
      <c r="C62" s="13" t="str">
        <f>IFERROR(__xludf.DUMMYFUNCTION("""COMPUTED_VALUE"""),"""uvjj"":{""label"":""Famous"",""extra"":""(well-known, important) "",""sets"":""Junior 9+ (2nd)""},")</f>
        <v>"uvjj":{"label":"Famous","extra":"(well-known, important) ","sets":"Junior 9+ (2nd)"},</v>
      </c>
    </row>
    <row r="63">
      <c r="A63" s="8" t="str">
        <f>IFERROR(__xludf.DUMMYFUNCTION("""COMPUTED_VALUE"""),"Fancy")</f>
        <v>Fancy</v>
      </c>
      <c r="B63" s="8" t="str">
        <f>IFERROR(__xludf.DUMMYFUNCTION("""COMPUTED_VALUE"""),"(decorated, elegant) ")</f>
        <v>(decorated, elegant) </v>
      </c>
      <c r="C63" s="13" t="str">
        <f>IFERROR(__xludf.DUMMYFUNCTION("""COMPUTED_VALUE"""),"""gwpm"":{""label"":""Fancy"",""extra"":""(decorated, elegant) "",""sets"":""Junior""},")</f>
        <v>"gwpm":{"label":"Fancy","extra":"(decorated, elegant) ","sets":"Junior"},</v>
      </c>
    </row>
    <row r="64">
      <c r="A64" s="8" t="str">
        <f>IFERROR(__xludf.DUMMYFUNCTION("""COMPUTED_VALUE"""),"Fascinating")</f>
        <v>Fascinating</v>
      </c>
      <c r="B64" s="8" t="str">
        <f>IFERROR(__xludf.DUMMYFUNCTION("""COMPUTED_VALUE"""),"(interesting, attractive) ")</f>
        <v>(interesting, attractive) </v>
      </c>
      <c r="C64" s="13" t="str">
        <f>IFERROR(__xludf.DUMMYFUNCTION("""COMPUTED_VALUE"""),"""yubk"":{""label"":""Fascinating"",""extra"":""(interesting, attractive) "",""sets"":""Junior 9+ (2nd)""},")</f>
        <v>"yubk":{"label":"Fascinating","extra":"(interesting, attractive) ","sets":"Junior 9+ (2nd)"},</v>
      </c>
    </row>
    <row r="65">
      <c r="A65" s="8" t="str">
        <f>IFERROR(__xludf.DUMMYFUNCTION("""COMPUTED_VALUE"""),"Fast")</f>
        <v>Fast</v>
      </c>
      <c r="B65" s="8" t="str">
        <f>IFERROR(__xludf.DUMMYFUNCTION("""COMPUTED_VALUE"""),"(speedy, quick) ")</f>
        <v>(speedy, quick) </v>
      </c>
      <c r="C65" s="13" t="str">
        <f>IFERROR(__xludf.DUMMYFUNCTION("""COMPUTED_VALUE"""),"""scqo"":{""label"":""Fast"",""extra"":""(speedy, quick) "",""sets"":""Junior""},")</f>
        <v>"scqo":{"label":"Fast","extra":"(speedy, quick) ","sets":"Junior"},</v>
      </c>
    </row>
    <row r="66">
      <c r="A66" s="8" t="str">
        <f>IFERROR(__xludf.DUMMYFUNCTION("""COMPUTED_VALUE"""),"Fat")</f>
        <v>Fat</v>
      </c>
      <c r="B66" s="8" t="str">
        <f>IFERROR(__xludf.DUMMYFUNCTION("""COMPUTED_VALUE"""),"(plump, thick) ")</f>
        <v>(plump, thick) </v>
      </c>
      <c r="C66" s="13" t="str">
        <f>IFERROR(__xludf.DUMMYFUNCTION("""COMPUTED_VALUE"""),"""edeh"":{""label"":""Fat"",""extra"":""(plump, thick) "",""sets"":""Junior""},")</f>
        <v>"edeh":{"label":"Fat","extra":"(plump, thick) ","sets":"Junior"},</v>
      </c>
    </row>
    <row r="67">
      <c r="A67" s="8" t="str">
        <f>IFERROR(__xludf.DUMMYFUNCTION("""COMPUTED_VALUE"""),"Favorite")</f>
        <v>Favorite</v>
      </c>
      <c r="B67" s="8" t="str">
        <f>IFERROR(__xludf.DUMMYFUNCTION("""COMPUTED_VALUE"""),"(preferred, desired) ")</f>
        <v>(preferred, desired) </v>
      </c>
      <c r="C67" s="13" t="str">
        <f>IFERROR(__xludf.DUMMYFUNCTION("""COMPUTED_VALUE"""),"""rwds"":{""label"":""Favorite"",""extra"":""(preferred, desired) "",""sets"":""Junior 9+ (2nd)""},")</f>
        <v>"rwds":{"label":"Favorite","extra":"(preferred, desired) ","sets":"Junior 9+ (2nd)"},</v>
      </c>
    </row>
    <row r="68">
      <c r="A68" s="8" t="str">
        <f>IFERROR(__xludf.DUMMYFUNCTION("""COMPUTED_VALUE"""),"Fearful")</f>
        <v>Fearful</v>
      </c>
      <c r="B68" s="8" t="str">
        <f>IFERROR(__xludf.DUMMYFUNCTION("""COMPUTED_VALUE"""),"(scared, worried) ")</f>
        <v>(scared, worried) </v>
      </c>
      <c r="C68" s="13" t="str">
        <f>IFERROR(__xludf.DUMMYFUNCTION("""COMPUTED_VALUE"""),"""xtso"":{""label"":""Fearful"",""extra"":""(scared, worried) "",""sets"":""Junior 9+ (2nd)""},")</f>
        <v>"xtso":{"label":"Fearful","extra":"(scared, worried) ","sets":"Junior 9+ (2nd)"},</v>
      </c>
    </row>
    <row r="69">
      <c r="A69" s="8" t="str">
        <f>IFERROR(__xludf.DUMMYFUNCTION("""COMPUTED_VALUE"""),"Flat")</f>
        <v>Flat</v>
      </c>
      <c r="B69" s="8" t="str">
        <f>IFERROR(__xludf.DUMMYFUNCTION("""COMPUTED_VALUE"""),"(smooth, level) ")</f>
        <v>(smooth, level) </v>
      </c>
      <c r="C69" s="13" t="str">
        <f>IFERROR(__xludf.DUMMYFUNCTION("""COMPUTED_VALUE"""),"""runr"":{""label"":""Flat"",""extra"":""(smooth, level) "",""sets"":""Junior 9+ (2nd)""},")</f>
        <v>"runr":{"label":"Flat","extra":"(smooth, level) ","sets":"Junior 9+ (2nd)"},</v>
      </c>
    </row>
    <row r="70">
      <c r="A70" s="8" t="str">
        <f>IFERROR(__xludf.DUMMYFUNCTION("""COMPUTED_VALUE"""),"Flavorful")</f>
        <v>Flavorful</v>
      </c>
      <c r="B70" s="8" t="str">
        <f>IFERROR(__xludf.DUMMYFUNCTION("""COMPUTED_VALUE"""),"(tasty, appetizing) ")</f>
        <v>(tasty, appetizing) </v>
      </c>
      <c r="C70" s="13" t="str">
        <f>IFERROR(__xludf.DUMMYFUNCTION("""COMPUTED_VALUE"""),"""qikl"":{""label"":""Flavorful"",""extra"":""(tasty, appetizing) "",""sets"":""Junior 9+ (2nd)""},")</f>
        <v>"qikl":{"label":"Flavorful","extra":"(tasty, appetizing) ","sets":"Junior 9+ (2nd)"},</v>
      </c>
    </row>
    <row r="71">
      <c r="A71" s="8" t="str">
        <f>IFERROR(__xludf.DUMMYFUNCTION("""COMPUTED_VALUE"""),"Fragile")</f>
        <v>Fragile</v>
      </c>
      <c r="B71" s="8" t="str">
        <f>IFERROR(__xludf.DUMMYFUNCTION("""COMPUTED_VALUE"""),"(delicate, weak) ")</f>
        <v>(delicate, weak) </v>
      </c>
      <c r="C71" s="13" t="str">
        <f>IFERROR(__xludf.DUMMYFUNCTION("""COMPUTED_VALUE"""),"""hrlz"":{""label"":""Fragile"",""extra"":""(delicate, weak) "",""sets"":""Junior 9+ (1st) &amp; (2nd)""},")</f>
        <v>"hrlz":{"label":"Fragile","extra":"(delicate, weak) ","sets":"Junior 9+ (1st) &amp; (2nd)"},</v>
      </c>
    </row>
    <row r="72">
      <c r="A72" s="8" t="str">
        <f>IFERROR(__xludf.DUMMYFUNCTION("""COMPUTED_VALUE"""),"Frail")</f>
        <v>Frail</v>
      </c>
      <c r="B72" s="8" t="str">
        <f>IFERROR(__xludf.DUMMYFUNCTION("""COMPUTED_VALUE"""),"(fragile, weak) ")</f>
        <v>(fragile, weak) </v>
      </c>
      <c r="C72" s="13" t="str">
        <f>IFERROR(__xludf.DUMMYFUNCTION("""COMPUTED_VALUE"""),"""rakq"":{""label"":""Frail"",""extra"":""(fragile, weak) "",""sets"":""Junior 9+ (2nd)""},")</f>
        <v>"rakq":{"label":"Frail","extra":"(fragile, weak) ","sets":"Junior 9+ (2nd)"},</v>
      </c>
    </row>
    <row r="73">
      <c r="A73" s="8" t="str">
        <f>IFERROR(__xludf.DUMMYFUNCTION("""COMPUTED_VALUE"""),"Fresh")</f>
        <v>Fresh</v>
      </c>
      <c r="B73" s="8" t="str">
        <f>IFERROR(__xludf.DUMMYFUNCTION("""COMPUTED_VALUE"""),"(new, clean) ")</f>
        <v>(new, clean) </v>
      </c>
      <c r="C73" s="13" t="str">
        <f>IFERROR(__xludf.DUMMYFUNCTION("""COMPUTED_VALUE"""),"""xaco"":{""label"":""Fresh"",""extra"":""(new, clean) "",""sets"":""Junior 9+ (1st) &amp; (2nd)""},")</f>
        <v>"xaco":{"label":"Fresh","extra":"(new, clean) ","sets":"Junior 9+ (1st) &amp; (2nd)"},</v>
      </c>
    </row>
    <row r="74">
      <c r="A74" s="8" t="str">
        <f>IFERROR(__xludf.DUMMYFUNCTION("""COMPUTED_VALUE"""),"Friendly")</f>
        <v>Friendly</v>
      </c>
      <c r="B74" s="8" t="str">
        <f>IFERROR(__xludf.DUMMYFUNCTION("""COMPUTED_VALUE"""),"(kind, nice) ")</f>
        <v>(kind, nice) </v>
      </c>
      <c r="C74" s="13" t="str">
        <f>IFERROR(__xludf.DUMMYFUNCTION("""COMPUTED_VALUE"""),"""egfk"":{""label"":""Friendly"",""extra"":""(kind, nice) "",""sets"":""Junior 9+ (1st) &amp; (2nd)""},")</f>
        <v>"egfk":{"label":"Friendly","extra":"(kind, nice) ","sets":"Junior 9+ (1st) &amp; (2nd)"},</v>
      </c>
    </row>
    <row r="75">
      <c r="A75" s="8" t="str">
        <f>IFERROR(__xludf.DUMMYFUNCTION("""COMPUTED_VALUE"""),"Frightening")</f>
        <v>Frightening</v>
      </c>
      <c r="B75" s="8" t="str">
        <f>IFERROR(__xludf.DUMMYFUNCTION("""COMPUTED_VALUE"""),"(scary, horrifying) ")</f>
        <v>(scary, horrifying) </v>
      </c>
      <c r="C75" s="13" t="str">
        <f>IFERROR(__xludf.DUMMYFUNCTION("""COMPUTED_VALUE"""),"""auth"":{""label"":""Frightening"",""extra"":""(scary, horrifying) "",""sets"":""Junior 9+ (1st) &amp; (2nd)""},")</f>
        <v>"auth":{"label":"Frightening","extra":"(scary, horrifying) ","sets":"Junior 9+ (1st) &amp; (2nd)"},</v>
      </c>
    </row>
    <row r="76">
      <c r="A76" s="8" t="str">
        <f>IFERROR(__xludf.DUMMYFUNCTION("""COMPUTED_VALUE"""),"Fun")</f>
        <v>Fun</v>
      </c>
      <c r="B76" s="8" t="str">
        <f>IFERROR(__xludf.DUMMYFUNCTION("""COMPUTED_VALUE"""),"(enjoyable, playful) ")</f>
        <v>(enjoyable, playful) </v>
      </c>
      <c r="C76" s="13" t="str">
        <f>IFERROR(__xludf.DUMMYFUNCTION("""COMPUTED_VALUE"""),"""cnve"":{""label"":""Fun"",""extra"":""(enjoyable, playful) "",""sets"":""Junior""},")</f>
        <v>"cnve":{"label":"Fun","extra":"(enjoyable, playful) ","sets":"Junior"},</v>
      </c>
    </row>
    <row r="77">
      <c r="A77" s="8" t="str">
        <f>IFERROR(__xludf.DUMMYFUNCTION("""COMPUTED_VALUE"""),"Funny")</f>
        <v>Funny</v>
      </c>
      <c r="B77" s="8" t="str">
        <f>IFERROR(__xludf.DUMMYFUNCTION("""COMPUTED_VALUE"""),"(silly, goofy) ")</f>
        <v>(silly, goofy) </v>
      </c>
      <c r="C77" s="13" t="str">
        <f>IFERROR(__xludf.DUMMYFUNCTION("""COMPUTED_VALUE"""),"""bqup"":{""label"":""Funny"",""extra"":""(silly, goofy) "",""sets"":""Junior""},")</f>
        <v>"bqup":{"label":"Funny","extra":"(silly, goofy) ","sets":"Junior"},</v>
      </c>
    </row>
    <row r="78">
      <c r="A78" s="8" t="str">
        <f>IFERROR(__xludf.DUMMYFUNCTION("""COMPUTED_VALUE"""),"Furry")</f>
        <v>Furry</v>
      </c>
      <c r="B78" s="8" t="str">
        <f>IFERROR(__xludf.DUMMYFUNCTION("""COMPUTED_VALUE"""),"(hairy, fuzzy) ")</f>
        <v>(hairy, fuzzy) </v>
      </c>
      <c r="C78" s="13" t="str">
        <f>IFERROR(__xludf.DUMMYFUNCTION("""COMPUTED_VALUE"""),"""ksml"":{""label"":""Furry"",""extra"":""(hairy, fuzzy) "",""sets"":""Junior 9+ (1st) &amp; (2nd)""},")</f>
        <v>"ksml":{"label":"Furry","extra":"(hairy, fuzzy) ","sets":"Junior 9+ (1st) &amp; (2nd)"},</v>
      </c>
    </row>
    <row r="79">
      <c r="A79" s="8" t="str">
        <f>IFERROR(__xludf.DUMMYFUNCTION("""COMPUTED_VALUE"""),"Fuzzy")</f>
        <v>Fuzzy</v>
      </c>
      <c r="B79" s="8" t="str">
        <f>IFERROR(__xludf.DUMMYFUNCTION("""COMPUTED_VALUE"""),"(furry, fuzz-covered) ")</f>
        <v>(furry, fuzz-covered) </v>
      </c>
      <c r="C79" s="13" t="str">
        <f>IFERROR(__xludf.DUMMYFUNCTION("""COMPUTED_VALUE"""),"""wutc"":{""label"":""Fuzzy"",""extra"":""(furry, fuzz-covered) "",""sets"":""Junior""},")</f>
        <v>"wutc":{"label":"Fuzzy","extra":"(furry, fuzz-covered) ","sets":"Junior"},</v>
      </c>
    </row>
    <row r="80">
      <c r="A80" s="8" t="str">
        <f>IFERROR(__xludf.DUMMYFUNCTION("""COMPUTED_VALUE"""),"Gentle")</f>
        <v>Gentle</v>
      </c>
      <c r="B80" s="8" t="str">
        <f>IFERROR(__xludf.DUMMYFUNCTION("""COMPUTED_VALUE"""),"(tame, mild) ")</f>
        <v>(tame, mild) </v>
      </c>
      <c r="C80" s="13" t="str">
        <f>IFERROR(__xludf.DUMMYFUNCTION("""COMPUTED_VALUE"""),"""lcyj"":{""label"":""Gentle"",""extra"":""(tame, mild) "",""sets"":""Junior 9+ (1st) &amp; (2nd)""},")</f>
        <v>"lcyj":{"label":"Gentle","extra":"(tame, mild) ","sets":"Junior 9+ (1st) &amp; (2nd)"},</v>
      </c>
    </row>
    <row r="81">
      <c r="A81" s="8" t="str">
        <f>IFERROR(__xludf.DUMMYFUNCTION("""COMPUTED_VALUE"""),"Gigantic")</f>
        <v>Gigantic</v>
      </c>
      <c r="B81" s="8" t="str">
        <f>IFERROR(__xludf.DUMMYFUNCTION("""COMPUTED_VALUE"""),"(huge, large) ")</f>
        <v>(huge, large) </v>
      </c>
      <c r="C81" s="13" t="str">
        <f>IFERROR(__xludf.DUMMYFUNCTION("""COMPUTED_VALUE"""),"""rpev"":{""label"":""Gigantic"",""extra"":""(huge, large) "",""sets"":""Junior 9+ (2nd)""},")</f>
        <v>"rpev":{"label":"Gigantic","extra":"(huge, large) ","sets":"Junior 9+ (2nd)"},</v>
      </c>
    </row>
    <row r="82">
      <c r="A82" s="8" t="str">
        <f>IFERROR(__xludf.DUMMYFUNCTION("""COMPUTED_VALUE"""),"Good")</f>
        <v>Good</v>
      </c>
      <c r="B82" s="8" t="str">
        <f>IFERROR(__xludf.DUMMYFUNCTION("""COMPUTED_VALUE"""),"(not bad, fine) ")</f>
        <v>(not bad, fine) </v>
      </c>
      <c r="C82" s="13" t="str">
        <f>IFERROR(__xludf.DUMMYFUNCTION("""COMPUTED_VALUE"""),"""faqf"":{""label"":""Good"",""extra"":""(not bad, fine) "",""sets"":""Junior""},")</f>
        <v>"faqf":{"label":"Good","extra":"(not bad, fine) ","sets":"Junior"},</v>
      </c>
    </row>
    <row r="83">
      <c r="A83" s="8" t="str">
        <f>IFERROR(__xludf.DUMMYFUNCTION("""COMPUTED_VALUE"""),"Goofy")</f>
        <v>Goofy</v>
      </c>
      <c r="B83" s="8" t="str">
        <f>IFERROR(__xludf.DUMMYFUNCTION("""COMPUTED_VALUE"""),"(silly, weird) ")</f>
        <v>(silly, weird) </v>
      </c>
      <c r="C83" s="13" t="str">
        <f>IFERROR(__xludf.DUMMYFUNCTION("""COMPUTED_VALUE"""),"""btov"":{""label"":""Goofy"",""extra"":""(silly, weird) "",""sets"":""Junior 9+ (1st) &amp; (2nd)""},")</f>
        <v>"btov":{"label":"Goofy","extra":"(silly, weird) ","sets":"Junior 9+ (1st) &amp; (2nd)"},</v>
      </c>
    </row>
    <row r="84">
      <c r="A84" s="8" t="str">
        <f>IFERROR(__xludf.DUMMYFUNCTION("""COMPUTED_VALUE"""),"Gorgeous")</f>
        <v>Gorgeous</v>
      </c>
      <c r="B84" s="8" t="str">
        <f>IFERROR(__xludf.DUMMYFUNCTION("""COMPUTED_VALUE"""),"(beautiful, dazzling) ")</f>
        <v>(beautiful, dazzling) </v>
      </c>
      <c r="C84" s="13" t="str">
        <f>IFERROR(__xludf.DUMMYFUNCTION("""COMPUTED_VALUE"""),"""dggn"":{""label"":""Gorgeous"",""extra"":""(beautiful, dazzling) "",""sets"":""Junior 9+ (2nd)""},")</f>
        <v>"dggn":{"label":"Gorgeous","extra":"(beautiful, dazzling) ","sets":"Junior 9+ (2nd)"},</v>
      </c>
    </row>
    <row r="85">
      <c r="A85" s="8" t="str">
        <f>IFERROR(__xludf.DUMMYFUNCTION("""COMPUTED_VALUE"""),"Graceful")</f>
        <v>Graceful</v>
      </c>
      <c r="B85" s="8" t="str">
        <f>IFERROR(__xludf.DUMMYFUNCTION("""COMPUTED_VALUE"""),"(elegant, flowing) ")</f>
        <v>(elegant, flowing) </v>
      </c>
      <c r="C85" s="13" t="str">
        <f>IFERROR(__xludf.DUMMYFUNCTION("""COMPUTED_VALUE"""),"""ioew"":{""label"":""Graceful"",""extra"":""(elegant, flowing) "",""sets"":""Junior 9+ (2nd)""},")</f>
        <v>"ioew":{"label":"Graceful","extra":"(elegant, flowing) ","sets":"Junior 9+ (2nd)"},</v>
      </c>
    </row>
    <row r="86">
      <c r="A86" s="8" t="str">
        <f>IFERROR(__xludf.DUMMYFUNCTION("""COMPUTED_VALUE"""),"Great")</f>
        <v>Great</v>
      </c>
      <c r="B86" s="8" t="str">
        <f>IFERROR(__xludf.DUMMYFUNCTION("""COMPUTED_VALUE"""),"(very good, important) ")</f>
        <v>(very good, important) </v>
      </c>
      <c r="C86" s="13" t="str">
        <f>IFERROR(__xludf.DUMMYFUNCTION("""COMPUTED_VALUE"""),"""ygjq"":{""label"":""Great"",""extra"":""(very good, important) "",""sets"":""Junior""},")</f>
        <v>"ygjq":{"label":"Great","extra":"(very good, important) ","sets":"Junior"},</v>
      </c>
    </row>
    <row r="87">
      <c r="A87" s="8" t="str">
        <f>IFERROR(__xludf.DUMMYFUNCTION("""COMPUTED_VALUE"""),"Hairy")</f>
        <v>Hairy</v>
      </c>
      <c r="B87" s="8" t="str">
        <f>IFERROR(__xludf.DUMMYFUNCTION("""COMPUTED_VALUE"""),"(not bald, furry) ")</f>
        <v>(not bald, furry) </v>
      </c>
      <c r="C87" s="13" t="str">
        <f>IFERROR(__xludf.DUMMYFUNCTION("""COMPUTED_VALUE"""),"""tgqh"":{""label"":""Hairy"",""extra"":""(not bald, furry) "",""sets"":""Junior""},")</f>
        <v>"tgqh":{"label":"Hairy","extra":"(not bald, furry) ","sets":"Junior"},</v>
      </c>
    </row>
    <row r="88">
      <c r="A88" s="8" t="str">
        <f>IFERROR(__xludf.DUMMYFUNCTION("""COMPUTED_VALUE"""),"Handy")</f>
        <v>Handy</v>
      </c>
      <c r="B88" s="8" t="str">
        <f>IFERROR(__xludf.DUMMYFUNCTION("""COMPUTED_VALUE"""),"(useful, helpful) ")</f>
        <v>(useful, helpful) </v>
      </c>
      <c r="C88" s="13" t="str">
        <f>IFERROR(__xludf.DUMMYFUNCTION("""COMPUTED_VALUE"""),"""nhcb"":{""label"":""Handy"",""extra"":""(useful, helpful) "",""sets"":""Junior 9+ (2nd)""},")</f>
        <v>"nhcb":{"label":"Handy","extra":"(useful, helpful) ","sets":"Junior 9+ (2nd)"},</v>
      </c>
    </row>
    <row r="89">
      <c r="A89" s="8" t="str">
        <f>IFERROR(__xludf.DUMMYFUNCTION("""COMPUTED_VALUE"""),"Happy")</f>
        <v>Happy</v>
      </c>
      <c r="B89" s="8" t="str">
        <f>IFERROR(__xludf.DUMMYFUNCTION("""COMPUTED_VALUE"""),"(glad, jolly) ")</f>
        <v>(glad, jolly) </v>
      </c>
      <c r="C89" s="13" t="str">
        <f>IFERROR(__xludf.DUMMYFUNCTION("""COMPUTED_VALUE"""),"""byxl"":{""label"":""Happy"",""extra"":""(glad, jolly) "",""sets"":""Junior""},")</f>
        <v>"byxl":{"label":"Happy","extra":"(glad, jolly) ","sets":"Junior"},</v>
      </c>
    </row>
    <row r="90">
      <c r="A90" s="8" t="str">
        <f>IFERROR(__xludf.DUMMYFUNCTION("""COMPUTED_VALUE"""),"Hard")</f>
        <v>Hard</v>
      </c>
      <c r="B90" s="8" t="str">
        <f>IFERROR(__xludf.DUMMYFUNCTION("""COMPUTED_VALUE"""),"(not soft, difficult) ")</f>
        <v>(not soft, difficult) </v>
      </c>
      <c r="C90" s="13" t="str">
        <f>IFERROR(__xludf.DUMMYFUNCTION("""COMPUTED_VALUE"""),"""vmye"":{""label"":""Hard"",""extra"":""(not soft, difficult) "",""sets"":""Junior""},")</f>
        <v>"vmye":{"label":"Hard","extra":"(not soft, difficult) ","sets":"Junior"},</v>
      </c>
    </row>
    <row r="91">
      <c r="A91" s="8" t="str">
        <f>IFERROR(__xludf.DUMMYFUNCTION("""COMPUTED_VALUE"""),"Hardworking")</f>
        <v>Hardworking</v>
      </c>
      <c r="B91" s="8" t="str">
        <f>IFERROR(__xludf.DUMMYFUNCTION("""COMPUTED_VALUE"""),"(industrious, careful) ")</f>
        <v>(industrious, careful) </v>
      </c>
      <c r="C91" s="13" t="str">
        <f>IFERROR(__xludf.DUMMYFUNCTION("""COMPUTED_VALUE"""),"""rryv"":{""label"":""Hardworking"",""extra"":""(industrious, careful) "",""sets"":""Junior 9+ (2nd)""},")</f>
        <v>"rryv":{"label":"Hardworking","extra":"(industrious, careful) ","sets":"Junior 9+ (2nd)"},</v>
      </c>
    </row>
    <row r="92">
      <c r="A92" s="8" t="str">
        <f>IFERROR(__xludf.DUMMYFUNCTION("""COMPUTED_VALUE"""),"Harmful")</f>
        <v>Harmful</v>
      </c>
      <c r="B92" s="8" t="str">
        <f>IFERROR(__xludf.DUMMYFUNCTION("""COMPUTED_VALUE"""),"(hurtful, damaging) ")</f>
        <v>(hurtful, damaging) </v>
      </c>
      <c r="C92" s="13" t="str">
        <f>IFERROR(__xludf.DUMMYFUNCTION("""COMPUTED_VALUE"""),"""edvo"":{""label"":""Harmful"",""extra"":""(hurtful, damaging) "",""sets"":""Junior 9+ (1st) &amp; (2nd)""},")</f>
        <v>"edvo":{"label":"Harmful","extra":"(hurtful, damaging) ","sets":"Junior 9+ (1st) &amp; (2nd)"},</v>
      </c>
    </row>
    <row r="93">
      <c r="A93" s="8" t="str">
        <f>IFERROR(__xludf.DUMMYFUNCTION("""COMPUTED_VALUE"""),"Healthy")</f>
        <v>Healthy</v>
      </c>
      <c r="B93" s="8" t="str">
        <f>IFERROR(__xludf.DUMMYFUNCTION("""COMPUTED_VALUE"""),"(not sick, well) ")</f>
        <v>(not sick, well) </v>
      </c>
      <c r="C93" s="13" t="str">
        <f>IFERROR(__xludf.DUMMYFUNCTION("""COMPUTED_VALUE"""),"""mixr"":{""label"":""Healthy"",""extra"":""(not sick, well) "",""sets"":""Junior 9+ (1st) &amp; (2nd)""},")</f>
        <v>"mixr":{"label":"Healthy","extra":"(not sick, well) ","sets":"Junior 9+ (1st) &amp; (2nd)"},</v>
      </c>
    </row>
    <row r="94">
      <c r="A94" s="8" t="str">
        <f>IFERROR(__xludf.DUMMYFUNCTION("""COMPUTED_VALUE"""),"Heavy")</f>
        <v>Heavy</v>
      </c>
      <c r="B94" s="8" t="str">
        <f>IFERROR(__xludf.DUMMYFUNCTION("""COMPUTED_VALUE"""),"(not light, bulky) ")</f>
        <v>(not light, bulky) </v>
      </c>
      <c r="C94" s="13" t="str">
        <f>IFERROR(__xludf.DUMMYFUNCTION("""COMPUTED_VALUE"""),"""cyqy"":{""label"":""Heavy"",""extra"":""(not light, bulky) "",""sets"":""Junior""},")</f>
        <v>"cyqy":{"label":"Heavy","extra":"(not light, bulky) ","sets":"Junior"},</v>
      </c>
    </row>
    <row r="95">
      <c r="A95" s="8" t="str">
        <f>IFERROR(__xludf.DUMMYFUNCTION("""COMPUTED_VALUE"""),"Helpful")</f>
        <v>Helpful</v>
      </c>
      <c r="B95" s="8" t="str">
        <f>IFERROR(__xludf.DUMMYFUNCTION("""COMPUTED_VALUE"""),"(useful, assisting) ")</f>
        <v>(useful, assisting) </v>
      </c>
      <c r="C95" s="13" t="str">
        <f>IFERROR(__xludf.DUMMYFUNCTION("""COMPUTED_VALUE"""),"""suhi"":{""label"":""Helpful"",""extra"":""(useful, assisting) "",""sets"":""Junior""},")</f>
        <v>"suhi":{"label":"Helpful","extra":"(useful, assisting) ","sets":"Junior"},</v>
      </c>
    </row>
    <row r="96">
      <c r="A96" s="8" t="str">
        <f>IFERROR(__xludf.DUMMYFUNCTION("""COMPUTED_VALUE"""),"Honest")</f>
        <v>Honest</v>
      </c>
      <c r="B96" s="8" t="str">
        <f>IFERROR(__xludf.DUMMYFUNCTION("""COMPUTED_VALUE"""),"(trustworthy, truthful) ")</f>
        <v>(trustworthy, truthful) </v>
      </c>
      <c r="C96" s="13" t="str">
        <f>IFERROR(__xludf.DUMMYFUNCTION("""COMPUTED_VALUE"""),"""rdoy"":{""label"":""Honest"",""extra"":""(trustworthy, truthful) "",""sets"":""Junior 9+ (1st) &amp; (2nd)""},")</f>
        <v>"rdoy":{"label":"Honest","extra":"(trustworthy, truthful) ","sets":"Junior 9+ (1st) &amp; (2nd)"},</v>
      </c>
    </row>
    <row r="97">
      <c r="A97" s="8" t="str">
        <f>IFERROR(__xludf.DUMMYFUNCTION("""COMPUTED_VALUE"""),"Horrible")</f>
        <v>Horrible</v>
      </c>
      <c r="B97" s="8" t="str">
        <f>IFERROR(__xludf.DUMMYFUNCTION("""COMPUTED_VALUE"""),"(frightening, awful) ")</f>
        <v>(frightening, awful) </v>
      </c>
      <c r="C97" s="13" t="str">
        <f>IFERROR(__xludf.DUMMYFUNCTION("""COMPUTED_VALUE"""),"""mvli"":{""label"":""Horrible"",""extra"":""(frightening, awful) "",""sets"":""Junior 9+ (1st) &amp; (2nd)""},")</f>
        <v>"mvli":{"label":"Horrible","extra":"(frightening, awful) ","sets":"Junior 9+ (1st) &amp; (2nd)"},</v>
      </c>
    </row>
    <row r="98">
      <c r="A98" s="8" t="str">
        <f>IFERROR(__xludf.DUMMYFUNCTION("""COMPUTED_VALUE"""),"Hot")</f>
        <v>Hot</v>
      </c>
      <c r="B98" s="8" t="str">
        <f>IFERROR(__xludf.DUMMYFUNCTION("""COMPUTED_VALUE"""),"(very warm, heated) ")</f>
        <v>(very warm, heated) </v>
      </c>
      <c r="C98" s="13" t="str">
        <f>IFERROR(__xludf.DUMMYFUNCTION("""COMPUTED_VALUE"""),"""vmvj"":{""label"":""Hot"",""extra"":""(very warm, heated) "",""sets"":""Junior""},")</f>
        <v>"vmvj":{"label":"Hot","extra":"(very warm, heated) ","sets":"Junior"},</v>
      </c>
    </row>
    <row r="99">
      <c r="A99" s="8" t="str">
        <f>IFERROR(__xludf.DUMMYFUNCTION("""COMPUTED_VALUE"""),"Huge")</f>
        <v>Huge</v>
      </c>
      <c r="B99" s="8" t="str">
        <f>IFERROR(__xludf.DUMMYFUNCTION("""COMPUTED_VALUE"""),"(big, large) ")</f>
        <v>(big, large) </v>
      </c>
      <c r="C99" s="13" t="str">
        <f>IFERROR(__xludf.DUMMYFUNCTION("""COMPUTED_VALUE"""),"""ddbb"":{""label"":""Huge"",""extra"":""(big, large) "",""sets"":""Junior 9+ (1st) &amp; (2nd)""},")</f>
        <v>"ddbb":{"label":"Huge","extra":"(big, large) ","sets":"Junior 9+ (1st) &amp; (2nd)"},</v>
      </c>
    </row>
    <row r="100">
      <c r="A100" s="8" t="str">
        <f>IFERROR(__xludf.DUMMYFUNCTION("""COMPUTED_VALUE"""),"Important")</f>
        <v>Important</v>
      </c>
      <c r="B100" s="8" t="str">
        <f>IFERROR(__xludf.DUMMYFUNCTION("""COMPUTED_VALUE"""),"(valuable, worthwhile) ")</f>
        <v>(valuable, worthwhile) </v>
      </c>
      <c r="C100" s="13" t="str">
        <f>IFERROR(__xludf.DUMMYFUNCTION("""COMPUTED_VALUE"""),"""jwoq"":{""label"":""Important"",""extra"":""(valuable, worthwhile) "",""sets"":""Junior""},")</f>
        <v>"jwoq":{"label":"Important","extra":"(valuable, worthwhile) ","sets":"Junior"},</v>
      </c>
    </row>
    <row r="101">
      <c r="A101" s="8" t="str">
        <f>IFERROR(__xludf.DUMMYFUNCTION("""COMPUTED_VALUE"""),"Interesting")</f>
        <v>Interesting</v>
      </c>
      <c r="B101" s="8" t="str">
        <f>IFERROR(__xludf.DUMMYFUNCTION("""COMPUTED_VALUE"""),"(fascinating, exciting) ")</f>
        <v>(fascinating, exciting) </v>
      </c>
      <c r="C101" s="13" t="str">
        <f>IFERROR(__xludf.DUMMYFUNCTION("""COMPUTED_VALUE"""),"""ndhj"":{""label"":""Interesting"",""extra"":""(fascinating, exciting) "",""sets"":""Junior 9+ (2nd)""},")</f>
        <v>"ndhj":{"label":"Interesting","extra":"(fascinating, exciting) ","sets":"Junior 9+ (2nd)"},</v>
      </c>
    </row>
    <row r="102">
      <c r="A102" s="8" t="str">
        <f>IFERROR(__xludf.DUMMYFUNCTION("""COMPUTED_VALUE"""),"Jolly")</f>
        <v>Jolly</v>
      </c>
      <c r="B102" s="8" t="str">
        <f>IFERROR(__xludf.DUMMYFUNCTION("""COMPUTED_VALUE"""),"(cheerful, fun) ")</f>
        <v>(cheerful, fun) </v>
      </c>
      <c r="C102" s="13" t="str">
        <f>IFERROR(__xludf.DUMMYFUNCTION("""COMPUTED_VALUE"""),"""lgqk"":{""label"":""Jolly"",""extra"":""(cheerful, fun) "",""sets"":""Junior""},")</f>
        <v>"lgqk":{"label":"Jolly","extra":"(cheerful, fun) ","sets":"Junior"},</v>
      </c>
    </row>
    <row r="103">
      <c r="A103" s="8" t="str">
        <f>IFERROR(__xludf.DUMMYFUNCTION("""COMPUTED_VALUE"""),"Juicy")</f>
        <v>Juicy</v>
      </c>
      <c r="B103" s="8" t="str">
        <f>IFERROR(__xludf.DUMMYFUNCTION("""COMPUTED_VALUE"""),"(wet, squishy) ")</f>
        <v>(wet, squishy) </v>
      </c>
      <c r="C103" s="13" t="str">
        <f>IFERROR(__xludf.DUMMYFUNCTION("""COMPUTED_VALUE"""),"""xxmx"":{""label"":""Juicy"",""extra"":""(wet, squishy) "",""sets"":""Junior""},")</f>
        <v>"xxmx":{"label":"Juicy","extra":"(wet, squishy) ","sets":"Junior"},</v>
      </c>
    </row>
    <row r="104">
      <c r="A104" s="8" t="str">
        <f>IFERROR(__xludf.DUMMYFUNCTION("""COMPUTED_VALUE"""),"Kind")</f>
        <v>Kind</v>
      </c>
      <c r="B104" s="8" t="str">
        <f>IFERROR(__xludf.DUMMYFUNCTION("""COMPUTED_VALUE"""),"(nice, helpful) ")</f>
        <v>(nice, helpful) </v>
      </c>
      <c r="C104" s="13" t="str">
        <f>IFERROR(__xludf.DUMMYFUNCTION("""COMPUTED_VALUE"""),"""lshh"":{""label"":""Kind"",""extra"":""(nice, helpful) "",""sets"":""Junior 9+ (1st) &amp; (2nd)""},")</f>
        <v>"lshh":{"label":"Kind","extra":"(nice, helpful) ","sets":"Junior 9+ (1st) &amp; (2nd)"},</v>
      </c>
    </row>
    <row r="105">
      <c r="A105" s="8" t="str">
        <f>IFERROR(__xludf.DUMMYFUNCTION("""COMPUTED_VALUE"""),"Large")</f>
        <v>Large</v>
      </c>
      <c r="B105" s="8" t="str">
        <f>IFERROR(__xludf.DUMMYFUNCTION("""COMPUTED_VALUE"""),"(big, not small) ")</f>
        <v>(big, not small) </v>
      </c>
      <c r="C105" s="13" t="str">
        <f>IFERROR(__xludf.DUMMYFUNCTION("""COMPUTED_VALUE"""),"""bdsu"":{""label"":""Large"",""extra"":""(big, not small) "",""sets"":""Junior""},")</f>
        <v>"bdsu":{"label":"Large","extra":"(big, not small) ","sets":"Junior"},</v>
      </c>
    </row>
    <row r="106">
      <c r="A106" s="8" t="str">
        <f>IFERROR(__xludf.DUMMYFUNCTION("""COMPUTED_VALUE"""),"Lazy")</f>
        <v>Lazy</v>
      </c>
      <c r="B106" s="8" t="str">
        <f>IFERROR(__xludf.DUMMYFUNCTION("""COMPUTED_VALUE"""),"(slow, careless) ")</f>
        <v>(slow, careless) </v>
      </c>
      <c r="C106" s="13" t="str">
        <f>IFERROR(__xludf.DUMMYFUNCTION("""COMPUTED_VALUE"""),"""iemt"":{""label"":""Lazy"",""extra"":""(slow, careless) "",""sets"":""Junior 9+ (1st) &amp; (2nd)""},")</f>
        <v>"iemt":{"label":"Lazy","extra":"(slow, careless) ","sets":"Junior 9+ (1st) &amp; (2nd)"},</v>
      </c>
    </row>
    <row r="107">
      <c r="A107" s="8" t="str">
        <f>IFERROR(__xludf.DUMMYFUNCTION("""COMPUTED_VALUE"""),"Light")</f>
        <v>Light</v>
      </c>
      <c r="B107" s="8" t="str">
        <f>IFERROR(__xludf.DUMMYFUNCTION("""COMPUTED_VALUE"""),"(not dark, not heavy) ")</f>
        <v>(not dark, not heavy) </v>
      </c>
      <c r="C107" s="13" t="str">
        <f>IFERROR(__xludf.DUMMYFUNCTION("""COMPUTED_VALUE"""),"""uwun"":{""label"":""Light"",""extra"":""(not dark, not heavy) "",""sets"":""Junior""},")</f>
        <v>"uwun":{"label":"Light","extra":"(not dark, not heavy) ","sets":"Junior"},</v>
      </c>
    </row>
    <row r="108">
      <c r="A108" s="8" t="str">
        <f>IFERROR(__xludf.DUMMYFUNCTION("""COMPUTED_VALUE"""),"Little")</f>
        <v>Little</v>
      </c>
      <c r="B108" s="8" t="str">
        <f>IFERROR(__xludf.DUMMYFUNCTION("""COMPUTED_VALUE"""),"(small, tiny) ")</f>
        <v>(small, tiny) </v>
      </c>
      <c r="C108" s="13" t="str">
        <f>IFERROR(__xludf.DUMMYFUNCTION("""COMPUTED_VALUE"""),"""olmt"":{""label"":""Little"",""extra"":""(small, tiny) "",""sets"":""Junior 9+ (1st) &amp; (2nd)""},")</f>
        <v>"olmt":{"label":"Little","extra":"(small, tiny) ","sets":"Junior 9+ (1st) &amp; (2nd)"},</v>
      </c>
    </row>
    <row r="109">
      <c r="A109" s="8" t="str">
        <f>IFERROR(__xludf.DUMMYFUNCTION("""COMPUTED_VALUE"""),"Lively")</f>
        <v>Lively</v>
      </c>
      <c r="B109" s="8" t="str">
        <f>IFERROR(__xludf.DUMMYFUNCTION("""COMPUTED_VALUE"""),"(cheerful, active) ")</f>
        <v>(cheerful, active) </v>
      </c>
      <c r="C109" s="13" t="str">
        <f>IFERROR(__xludf.DUMMYFUNCTION("""COMPUTED_VALUE"""),"""sqbb"":{""label"":""Lively"",""extra"":""(cheerful, active) "",""sets"":""Junior""},")</f>
        <v>"sqbb":{"label":"Lively","extra":"(cheerful, active) ","sets":"Junior"},</v>
      </c>
    </row>
    <row r="110">
      <c r="A110" s="8" t="str">
        <f>IFERROR(__xludf.DUMMYFUNCTION("""COMPUTED_VALUE"""),"Long")</f>
        <v>Long</v>
      </c>
      <c r="B110" s="8" t="str">
        <f>IFERROR(__xludf.DUMMYFUNCTION("""COMPUTED_VALUE"""),"(not short, stretched) ")</f>
        <v>(not short, stretched) </v>
      </c>
      <c r="C110" s="13" t="str">
        <f>IFERROR(__xludf.DUMMYFUNCTION("""COMPUTED_VALUE"""),"""dosn"":{""label"":""Long"",""extra"":""(not short, stretched) "",""sets"":""Junior 9+ (2nd)""},")</f>
        <v>"dosn":{"label":"Long","extra":"(not short, stretched) ","sets":"Junior 9+ (2nd)"},</v>
      </c>
    </row>
    <row r="111">
      <c r="A111" s="8" t="str">
        <f>IFERROR(__xludf.DUMMYFUNCTION("""COMPUTED_VALUE"""),"Loud")</f>
        <v>Loud</v>
      </c>
      <c r="B111" s="8" t="str">
        <f>IFERROR(__xludf.DUMMYFUNCTION("""COMPUTED_VALUE"""),"(noisy, not quiet) ")</f>
        <v>(noisy, not quiet) </v>
      </c>
      <c r="C111" s="13" t="str">
        <f>IFERROR(__xludf.DUMMYFUNCTION("""COMPUTED_VALUE"""),"""nfmq"":{""label"":""Loud"",""extra"":""(noisy, not quiet) "",""sets"":""Junior""},")</f>
        <v>"nfmq":{"label":"Loud","extra":"(noisy, not quiet) ","sets":"Junior"},</v>
      </c>
    </row>
    <row r="112">
      <c r="A112" s="8" t="str">
        <f>IFERROR(__xludf.DUMMYFUNCTION("""COMPUTED_VALUE"""),"Lovable")</f>
        <v>Lovable</v>
      </c>
      <c r="B112" s="8" t="str">
        <f>IFERROR(__xludf.DUMMYFUNCTION("""COMPUTED_VALUE"""),"(adorable, enchanting) ")</f>
        <v>(adorable, enchanting) </v>
      </c>
      <c r="C112" s="13" t="str">
        <f>IFERROR(__xludf.DUMMYFUNCTION("""COMPUTED_VALUE"""),"""ptph"":{""label"":""Lovable"",""extra"":""(adorable, enchanting) "",""sets"":""Junior 9+ (2nd)""},")</f>
        <v>"ptph":{"label":"Lovable","extra":"(adorable, enchanting) ","sets":"Junior 9+ (2nd)"},</v>
      </c>
    </row>
    <row r="113">
      <c r="A113" s="8" t="str">
        <f>IFERROR(__xludf.DUMMYFUNCTION("""COMPUTED_VALUE"""),"Loving")</f>
        <v>Loving</v>
      </c>
      <c r="B113" s="8" t="str">
        <f>IFERROR(__xludf.DUMMYFUNCTION("""COMPUTED_VALUE"""),"(caring, kind) ")</f>
        <v>(caring, kind) </v>
      </c>
      <c r="C113" s="13" t="str">
        <f>IFERROR(__xludf.DUMMYFUNCTION("""COMPUTED_VALUE"""),"""yvoa"":{""label"":""Loving"",""extra"":""(caring, kind) "",""sets"":""Junior 9+ (1st) &amp; (2nd)""},")</f>
        <v>"yvoa":{"label":"Loving","extra":"(caring, kind) ","sets":"Junior 9+ (1st) &amp; (2nd)"},</v>
      </c>
    </row>
    <row r="114">
      <c r="A114" s="8" t="str">
        <f>IFERROR(__xludf.DUMMYFUNCTION("""COMPUTED_VALUE"""),"Lucky")</f>
        <v>Lucky</v>
      </c>
      <c r="B114" s="8" t="str">
        <f>IFERROR(__xludf.DUMMYFUNCTION("""COMPUTED_VALUE"""),"(fortunate, favored) ")</f>
        <v>(fortunate, favored) </v>
      </c>
      <c r="C114" s="13" t="str">
        <f>IFERROR(__xludf.DUMMYFUNCTION("""COMPUTED_VALUE"""),"""nshf"":{""label"":""Lucky"",""extra"":""(fortunate, favored) "",""sets"":""Junior 9+ (1st) &amp; (2nd)""},")</f>
        <v>"nshf":{"label":"Lucky","extra":"(fortunate, favored) ","sets":"Junior 9+ (1st) &amp; (2nd)"},</v>
      </c>
    </row>
    <row r="115">
      <c r="A115" s="8" t="str">
        <f>IFERROR(__xludf.DUMMYFUNCTION("""COMPUTED_VALUE"""),"Lumpy")</f>
        <v>Lumpy</v>
      </c>
      <c r="B115" s="8" t="str">
        <f>IFERROR(__xludf.DUMMYFUNCTION("""COMPUTED_VALUE"""),"(bumpy, clumpy) ")</f>
        <v>(bumpy, clumpy) </v>
      </c>
      <c r="C115" s="13" t="str">
        <f>IFERROR(__xludf.DUMMYFUNCTION("""COMPUTED_VALUE"""),"""ujcd"":{""label"":""Lumpy"",""extra"":""(bumpy, clumpy) "",""sets"":""Junior""},")</f>
        <v>"ujcd":{"label":"Lumpy","extra":"(bumpy, clumpy) ","sets":"Junior"},</v>
      </c>
    </row>
    <row r="116">
      <c r="A116" s="8" t="str">
        <f>IFERROR(__xludf.DUMMYFUNCTION("""COMPUTED_VALUE"""),"Magical")</f>
        <v>Magical</v>
      </c>
      <c r="B116" s="8" t="str">
        <f>IFERROR(__xludf.DUMMYFUNCTION("""COMPUTED_VALUE"""),"(mysterious, delightful) ")</f>
        <v>(mysterious, delightful) </v>
      </c>
      <c r="C116" s="13" t="str">
        <f>IFERROR(__xludf.DUMMYFUNCTION("""COMPUTED_VALUE"""),"""uwxo"":{""label"":""Magical"",""extra"":""(mysterious, delightful) "",""sets"":""Junior 9+ (2nd)""},")</f>
        <v>"uwxo":{"label":"Magical","extra":"(mysterious, delightful) ","sets":"Junior 9+ (2nd)"},</v>
      </c>
    </row>
    <row r="117">
      <c r="A117" s="8" t="str">
        <f>IFERROR(__xludf.DUMMYFUNCTION("""COMPUTED_VALUE"""),"Mean")</f>
        <v>Mean</v>
      </c>
      <c r="B117" s="8" t="str">
        <f>IFERROR(__xludf.DUMMYFUNCTION("""COMPUTED_VALUE"""),"(unkind, nasty) ")</f>
        <v>(unkind, nasty) </v>
      </c>
      <c r="C117" s="13" t="str">
        <f>IFERROR(__xludf.DUMMYFUNCTION("""COMPUTED_VALUE"""),"""eytm"":{""label"":""Mean"",""extra"":""(unkind, nasty) "",""sets"":""Junior""},")</f>
        <v>"eytm":{"label":"Mean","extra":"(unkind, nasty) ","sets":"Junior"},</v>
      </c>
    </row>
    <row r="118">
      <c r="A118" s="8" t="str">
        <f>IFERROR(__xludf.DUMMYFUNCTION("""COMPUTED_VALUE"""),"Messy")</f>
        <v>Messy</v>
      </c>
      <c r="B118" s="8" t="str">
        <f>IFERROR(__xludf.DUMMYFUNCTION("""COMPUTED_VALUE"""),"(sloppy, dirty) ")</f>
        <v>(sloppy, dirty) </v>
      </c>
      <c r="C118" s="13" t="str">
        <f>IFERROR(__xludf.DUMMYFUNCTION("""COMPUTED_VALUE"""),"""ansp"":{""label"":""Messy"",""extra"":""(sloppy, dirty) "",""sets"":""Junior 9+ (1st) &amp; (2nd)""},")</f>
        <v>"ansp":{"label":"Messy","extra":"(sloppy, dirty) ","sets":"Junior 9+ (1st) &amp; (2nd)"},</v>
      </c>
    </row>
    <row r="119">
      <c r="A119" s="8" t="str">
        <f>IFERROR(__xludf.DUMMYFUNCTION("""COMPUTED_VALUE"""),"Miserable")</f>
        <v>Miserable</v>
      </c>
      <c r="B119" s="8" t="str">
        <f>IFERROR(__xludf.DUMMYFUNCTION("""COMPUTED_VALUE"""),"(unhappy, sorrowful) ")</f>
        <v>(unhappy, sorrowful) </v>
      </c>
      <c r="C119" s="13" t="str">
        <f>IFERROR(__xludf.DUMMYFUNCTION("""COMPUTED_VALUE"""),"""louq"":{""label"":""Miserable"",""extra"":""(unhappy, sorrowful) "",""sets"":""Junior 9+ (2nd)""},")</f>
        <v>"louq":{"label":"Miserable","extra":"(unhappy, sorrowful) ","sets":"Junior 9+ (2nd)"},</v>
      </c>
    </row>
    <row r="120">
      <c r="A120" s="8" t="str">
        <f>IFERROR(__xludf.DUMMYFUNCTION("""COMPUTED_VALUE"""),"Mushy")</f>
        <v>Mushy</v>
      </c>
      <c r="B120" s="8" t="str">
        <f>IFERROR(__xludf.DUMMYFUNCTION("""COMPUTED_VALUE"""),"(soft, squishy) ")</f>
        <v>(soft, squishy) </v>
      </c>
      <c r="C120" s="13" t="str">
        <f>IFERROR(__xludf.DUMMYFUNCTION("""COMPUTED_VALUE"""),"""wgaz"":{""label"":""Mushy"",""extra"":""(soft, squishy) "",""sets"":""Junior 9+ (1st) &amp; (2nd)""},")</f>
        <v>"wgaz":{"label":"Mushy","extra":"(soft, squishy) ","sets":"Junior 9+ (1st) &amp; (2nd)"},</v>
      </c>
    </row>
    <row r="121">
      <c r="A121" s="8" t="str">
        <f>IFERROR(__xludf.DUMMYFUNCTION("""COMPUTED_VALUE"""),"Mysterious")</f>
        <v>Mysterious</v>
      </c>
      <c r="B121" s="8" t="str">
        <f>IFERROR(__xludf.DUMMYFUNCTION("""COMPUTED_VALUE"""),"(strange, secretive) ")</f>
        <v>(strange, secretive) </v>
      </c>
      <c r="C121" s="13" t="str">
        <f>IFERROR(__xludf.DUMMYFUNCTION("""COMPUTED_VALUE"""),"""atjp"":{""label"":""Mysterious"",""extra"":""(strange, secretive) "",""sets"":""Junior 9+ (2nd)""},")</f>
        <v>"atjp":{"label":"Mysterious","extra":"(strange, secretive) ","sets":"Junior 9+ (2nd)"},</v>
      </c>
    </row>
    <row r="122">
      <c r="A122" s="8" t="str">
        <f>IFERROR(__xludf.DUMMYFUNCTION("""COMPUTED_VALUE"""),"Nasty")</f>
        <v>Nasty</v>
      </c>
      <c r="B122" s="8" t="str">
        <f>IFERROR(__xludf.DUMMYFUNCTION("""COMPUTED_VALUE"""),"(mean, wicked) ")</f>
        <v>(mean, wicked) </v>
      </c>
      <c r="C122" s="13" t="str">
        <f>IFERROR(__xludf.DUMMYFUNCTION("""COMPUTED_VALUE"""),"""ynac"":{""label"":""Nasty"",""extra"":""(mean, wicked) "",""sets"":""Junior 9+ (2nd)""},")</f>
        <v>"ynac":{"label":"Nasty","extra":"(mean, wicked) ","sets":"Junior 9+ (2nd)"},</v>
      </c>
    </row>
    <row r="123">
      <c r="A123" s="8" t="str">
        <f>IFERROR(__xludf.DUMMYFUNCTION("""COMPUTED_VALUE"""),"Natural")</f>
        <v>Natural</v>
      </c>
      <c r="B123" s="8" t="str">
        <f>IFERROR(__xludf.DUMMYFUNCTION("""COMPUTED_VALUE"""),"(normal, pure) ")</f>
        <v>(normal, pure) </v>
      </c>
      <c r="C123" s="13" t="str">
        <f>IFERROR(__xludf.DUMMYFUNCTION("""COMPUTED_VALUE"""),"""ilwk"":{""label"":""Natural"",""extra"":""(normal, pure) "",""sets"":""Junior 9+ (2nd)""},")</f>
        <v>"ilwk":{"label":"Natural","extra":"(normal, pure) ","sets":"Junior 9+ (2nd)"},</v>
      </c>
    </row>
    <row r="124">
      <c r="A124" s="8" t="str">
        <f>IFERROR(__xludf.DUMMYFUNCTION("""COMPUTED_VALUE"""),"Neat")</f>
        <v>Neat</v>
      </c>
      <c r="B124" s="8" t="str">
        <f>IFERROR(__xludf.DUMMYFUNCTION("""COMPUTED_VALUE"""),"(clean, orderly) ")</f>
        <v>(clean, orderly) </v>
      </c>
      <c r="C124" s="13" t="str">
        <f>IFERROR(__xludf.DUMMYFUNCTION("""COMPUTED_VALUE"""),"""wwhr"":{""label"":""Neat"",""extra"":""(clean, orderly) "",""sets"":""Junior 9+ (1st) &amp; (2nd)""},")</f>
        <v>"wwhr":{"label":"Neat","extra":"(clean, orderly) ","sets":"Junior 9+ (1st) &amp; (2nd)"},</v>
      </c>
    </row>
    <row r="125">
      <c r="A125" s="8" t="str">
        <f>IFERROR(__xludf.DUMMYFUNCTION("""COMPUTED_VALUE"""),"New")</f>
        <v>New</v>
      </c>
      <c r="B125" s="8" t="str">
        <f>IFERROR(__xludf.DUMMYFUNCTION("""COMPUTED_VALUE"""),"(fresh, modern) ")</f>
        <v>(fresh, modern) </v>
      </c>
      <c r="C125" s="13" t="str">
        <f>IFERROR(__xludf.DUMMYFUNCTION("""COMPUTED_VALUE"""),"""xbvk"":{""label"":""New"",""extra"":""(fresh, modern) "",""sets"":""Junior""},")</f>
        <v>"xbvk":{"label":"New","extra":"(fresh, modern) ","sets":"Junior"},</v>
      </c>
    </row>
    <row r="126">
      <c r="A126" s="8" t="str">
        <f>IFERROR(__xludf.DUMMYFUNCTION("""COMPUTED_VALUE"""),"Nice")</f>
        <v>Nice</v>
      </c>
      <c r="B126" s="8" t="str">
        <f>IFERROR(__xludf.DUMMYFUNCTION("""COMPUTED_VALUE"""),"(pleasant, kind) ")</f>
        <v>(pleasant, kind) </v>
      </c>
      <c r="C126" s="13" t="str">
        <f>IFERROR(__xludf.DUMMYFUNCTION("""COMPUTED_VALUE"""),"""eptq"":{""label"":""Nice"",""extra"":""(pleasant, kind) "",""sets"":""Junior""},")</f>
        <v>"eptq":{"label":"Nice","extra":"(pleasant, kind) ","sets":"Junior"},</v>
      </c>
    </row>
    <row r="127">
      <c r="A127" s="8" t="str">
        <f>IFERROR(__xludf.DUMMYFUNCTION("""COMPUTED_VALUE"""),"Noisy")</f>
        <v>Noisy</v>
      </c>
      <c r="B127" s="8" t="str">
        <f>IFERROR(__xludf.DUMMYFUNCTION("""COMPUTED_VALUE"""),"(loud, not quiet) ")</f>
        <v>(loud, not quiet) </v>
      </c>
      <c r="C127" s="13" t="str">
        <f>IFERROR(__xludf.DUMMYFUNCTION("""COMPUTED_VALUE"""),"""ffhp"":{""label"":""Noisy"",""extra"":""(loud, not quiet) "",""sets"":""Junior""},")</f>
        <v>"ffhp":{"label":"Noisy","extra":"(loud, not quiet) ","sets":"Junior"},</v>
      </c>
    </row>
    <row r="128">
      <c r="A128" s="8" t="str">
        <f>IFERROR(__xludf.DUMMYFUNCTION("""COMPUTED_VALUE"""),"Odd")</f>
        <v>Odd</v>
      </c>
      <c r="B128" s="8" t="str">
        <f>IFERROR(__xludf.DUMMYFUNCTION("""COMPUTED_VALUE"""),"(unusual, strange) ")</f>
        <v>(unusual, strange) </v>
      </c>
      <c r="C128" s="13" t="str">
        <f>IFERROR(__xludf.DUMMYFUNCTION("""COMPUTED_VALUE"""),"""mued"":{""label"":""Odd"",""extra"":""(unusual, strange) "",""sets"":""Junior 9+ (1st) &amp; (2nd)""},")</f>
        <v>"mued":{"label":"Odd","extra":"(unusual, strange) ","sets":"Junior 9+ (1st) &amp; (2nd)"},</v>
      </c>
    </row>
    <row r="129">
      <c r="A129" s="8" t="str">
        <f>IFERROR(__xludf.DUMMYFUNCTION("""COMPUTED_VALUE"""),"Old")</f>
        <v>Old</v>
      </c>
      <c r="B129" s="8" t="str">
        <f>IFERROR(__xludf.DUMMYFUNCTION("""COMPUTED_VALUE"""),"(not new, used) ")</f>
        <v>(not new, used) </v>
      </c>
      <c r="C129" s="13" t="str">
        <f>IFERROR(__xludf.DUMMYFUNCTION("""COMPUTED_VALUE"""),"""hkws"":{""label"":""Old"",""extra"":""(not new, used) "",""sets"":""Junior""},")</f>
        <v>"hkws":{"label":"Old","extra":"(not new, used) ","sets":"Junior"},</v>
      </c>
    </row>
    <row r="130">
      <c r="A130" s="8" t="str">
        <f>IFERROR(__xludf.DUMMYFUNCTION("""COMPUTED_VALUE"""),"Ordinary")</f>
        <v>Ordinary</v>
      </c>
      <c r="B130" s="8" t="str">
        <f>IFERROR(__xludf.DUMMYFUNCTION("""COMPUTED_VALUE"""),"(normal, common) ")</f>
        <v>(normal, common) </v>
      </c>
      <c r="C130" s="13" t="str">
        <f>IFERROR(__xludf.DUMMYFUNCTION("""COMPUTED_VALUE"""),"""tdpq"":{""label"":""Ordinary"",""extra"":""(normal, common) "",""sets"":""Junior 9+ (2nd)""},")</f>
        <v>"tdpq":{"label":"Ordinary","extra":"(normal, common) ","sets":"Junior 9+ (2nd)"},</v>
      </c>
    </row>
    <row r="131">
      <c r="A131" s="8" t="str">
        <f>IFERROR(__xludf.DUMMYFUNCTION("""COMPUTED_VALUE"""),"Painful")</f>
        <v>Painful</v>
      </c>
      <c r="B131" s="8" t="str">
        <f>IFERROR(__xludf.DUMMYFUNCTION("""COMPUTED_VALUE"""),"(hurting, sore) ")</f>
        <v>(hurting, sore) </v>
      </c>
      <c r="C131" s="13" t="str">
        <f>IFERROR(__xludf.DUMMYFUNCTION("""COMPUTED_VALUE"""),"""zsfq"":{""label"":""Painful"",""extra"":""(hurting, sore) "",""sets"":""Junior 9+ (1st) &amp; (2nd)""},")</f>
        <v>"zsfq":{"label":"Painful","extra":"(hurting, sore) ","sets":"Junior 9+ (1st) &amp; (2nd)"},</v>
      </c>
    </row>
    <row r="132">
      <c r="A132" s="8" t="str">
        <f>IFERROR(__xludf.DUMMYFUNCTION("""COMPUTED_VALUE"""),"Pale")</f>
        <v>Pale</v>
      </c>
      <c r="B132" s="8" t="str">
        <f>IFERROR(__xludf.DUMMYFUNCTION("""COMPUTED_VALUE"""),"(faded, colorless) ")</f>
        <v>(faded, colorless) </v>
      </c>
      <c r="C132" s="13" t="str">
        <f>IFERROR(__xludf.DUMMYFUNCTION("""COMPUTED_VALUE"""),"""vcuf"":{""label"":""Pale"",""extra"":""(faded, colorless) "",""sets"":""Junior 9+ (2nd)""},")</f>
        <v>"vcuf":{"label":"Pale","extra":"(faded, colorless) ","sets":"Junior 9+ (2nd)"},</v>
      </c>
    </row>
    <row r="133">
      <c r="A133" s="8" t="str">
        <f>IFERROR(__xludf.DUMMYFUNCTION("""COMPUTED_VALUE"""),"Peaceful")</f>
        <v>Peaceful</v>
      </c>
      <c r="B133" s="8" t="str">
        <f>IFERROR(__xludf.DUMMYFUNCTION("""COMPUTED_VALUE"""),"(calm, quiet) ")</f>
        <v>(calm, quiet) </v>
      </c>
      <c r="C133" s="13" t="str">
        <f>IFERROR(__xludf.DUMMYFUNCTION("""COMPUTED_VALUE"""),"""khqb"":{""label"":""Peaceful"",""extra"":""(calm, quiet) "",""sets"":""Junior 9+ (1st) &amp; (2nd)""},")</f>
        <v>"khqb":{"label":"Peaceful","extra":"(calm, quiet) ","sets":"Junior 9+ (1st) &amp; (2nd)"},</v>
      </c>
    </row>
    <row r="134">
      <c r="A134" s="8" t="str">
        <f>IFERROR(__xludf.DUMMYFUNCTION("""COMPUTED_VALUE"""),"Perfect")</f>
        <v>Perfect</v>
      </c>
      <c r="B134" s="8" t="str">
        <f>IFERROR(__xludf.DUMMYFUNCTION("""COMPUTED_VALUE"""),"(ideal, wonderful) ")</f>
        <v>(ideal, wonderful) </v>
      </c>
      <c r="C134" s="13" t="str">
        <f>IFERROR(__xludf.DUMMYFUNCTION("""COMPUTED_VALUE"""),"""uotu"":{""label"":""Perfect"",""extra"":""(ideal, wonderful) "",""sets"":""Junior 9+ (2nd)""},")</f>
        <v>"uotu":{"label":"Perfect","extra":"(ideal, wonderful) ","sets":"Junior 9+ (2nd)"},</v>
      </c>
    </row>
    <row r="135">
      <c r="A135" s="8" t="str">
        <f>IFERROR(__xludf.DUMMYFUNCTION("""COMPUTED_VALUE"""),"Plain")</f>
        <v>Plain</v>
      </c>
      <c r="B135" s="8" t="str">
        <f>IFERROR(__xludf.DUMMYFUNCTION("""COMPUTED_VALUE"""),"(simple, dull) ")</f>
        <v>(simple, dull) </v>
      </c>
      <c r="C135" s="13" t="str">
        <f>IFERROR(__xludf.DUMMYFUNCTION("""COMPUTED_VALUE"""),"""tvch"":{""label"":""Plain"",""extra"":""(simple, dull) "",""sets"":""Junior 9+ (1st) &amp; (2nd)""},")</f>
        <v>"tvch":{"label":"Plain","extra":"(simple, dull) ","sets":"Junior 9+ (1st) &amp; (2nd)"},</v>
      </c>
    </row>
    <row r="136">
      <c r="A136" s="8" t="str">
        <f>IFERROR(__xludf.DUMMYFUNCTION("""COMPUTED_VALUE"""),"Playful")</f>
        <v>Playful</v>
      </c>
      <c r="B136" s="8" t="str">
        <f>IFERROR(__xludf.DUMMYFUNCTION("""COMPUTED_VALUE"""),"(fun, cheerful) ")</f>
        <v>(fun, cheerful) </v>
      </c>
      <c r="C136" s="13" t="str">
        <f>IFERROR(__xludf.DUMMYFUNCTION("""COMPUTED_VALUE"""),"""byhn"":{""label"":""Playful"",""extra"":""(fun, cheerful) "",""sets"":""Junior 9+ (1st) &amp; (2nd)""},")</f>
        <v>"byhn":{"label":"Playful","extra":"(fun, cheerful) ","sets":"Junior 9+ (1st) &amp; (2nd)"},</v>
      </c>
    </row>
    <row r="137">
      <c r="A137" s="8" t="str">
        <f>IFERROR(__xludf.DUMMYFUNCTION("""COMPUTED_VALUE"""),"Pleasant")</f>
        <v>Pleasant</v>
      </c>
      <c r="B137" s="8" t="str">
        <f>IFERROR(__xludf.DUMMYFUNCTION("""COMPUTED_VALUE"""),"(enjoyable, nice) ")</f>
        <v>(enjoyable, nice) </v>
      </c>
      <c r="C137" s="13" t="str">
        <f>IFERROR(__xludf.DUMMYFUNCTION("""COMPUTED_VALUE"""),"""crhw"":{""label"":""Pleasant"",""extra"":""(enjoyable, nice) "",""sets"":""Junior 9+ (2nd)""},")</f>
        <v>"crhw":{"label":"Pleasant","extra":"(enjoyable, nice) ","sets":"Junior 9+ (2nd)"},</v>
      </c>
    </row>
    <row r="138">
      <c r="A138" s="8" t="str">
        <f>IFERROR(__xludf.DUMMYFUNCTION("""COMPUTED_VALUE"""),"Polite")</f>
        <v>Polite</v>
      </c>
      <c r="B138" s="8" t="str">
        <f>IFERROR(__xludf.DUMMYFUNCTION("""COMPUTED_VALUE"""),"(respectful, well-mannered) ")</f>
        <v>(respectful, well-mannered) </v>
      </c>
      <c r="C138" s="13" t="str">
        <f>IFERROR(__xludf.DUMMYFUNCTION("""COMPUTED_VALUE"""),"""cdhu"":{""label"":""Polite"",""extra"":""(respectful, well-mannered) "",""sets"":""Junior 9+ (2nd)""},")</f>
        <v>"cdhu":{"label":"Polite","extra":"(respectful, well-mannered) ","sets":"Junior 9+ (2nd)"},</v>
      </c>
    </row>
    <row r="139">
      <c r="A139" s="8" t="str">
        <f>IFERROR(__xludf.DUMMYFUNCTION("""COMPUTED_VALUE"""),"Poor")</f>
        <v>Poor</v>
      </c>
      <c r="B139" s="8" t="str">
        <f>IFERROR(__xludf.DUMMYFUNCTION("""COMPUTED_VALUE"""),"(not rich, unfortunate) ")</f>
        <v>(not rich, unfortunate) </v>
      </c>
      <c r="C139" s="13" t="str">
        <f>IFERROR(__xludf.DUMMYFUNCTION("""COMPUTED_VALUE"""),"""xibk"":{""label"":""Poor"",""extra"":""(not rich, unfortunate) "",""sets"":""Junior 9+ (2nd)""},")</f>
        <v>"xibk":{"label":"Poor","extra":"(not rich, unfortunate) ","sets":"Junior 9+ (2nd)"},</v>
      </c>
    </row>
    <row r="140">
      <c r="A140" s="8" t="str">
        <f>IFERROR(__xludf.DUMMYFUNCTION("""COMPUTED_VALUE"""),"Powerful")</f>
        <v>Powerful</v>
      </c>
      <c r="B140" s="8" t="str">
        <f>IFERROR(__xludf.DUMMYFUNCTION("""COMPUTED_VALUE"""),"(strong, forceful) ")</f>
        <v>(strong, forceful) </v>
      </c>
      <c r="C140" s="13" t="str">
        <f>IFERROR(__xludf.DUMMYFUNCTION("""COMPUTED_VALUE"""),"""jouh"":{""label"":""Powerful"",""extra"":""(strong, forceful) "",""sets"":""Junior 9+ (1st) &amp; (2nd)""},")</f>
        <v>"jouh":{"label":"Powerful","extra":"(strong, forceful) ","sets":"Junior 9+ (1st) &amp; (2nd)"},</v>
      </c>
    </row>
    <row r="141">
      <c r="A141" s="8" t="str">
        <f>IFERROR(__xludf.DUMMYFUNCTION("""COMPUTED_VALUE"""),"Practical")</f>
        <v>Practical</v>
      </c>
      <c r="B141" s="8" t="str">
        <f>IFERROR(__xludf.DUMMYFUNCTION("""COMPUTED_VALUE"""),"(useful, helpful) ")</f>
        <v>(useful, helpful) </v>
      </c>
      <c r="C141" s="13" t="str">
        <f>IFERROR(__xludf.DUMMYFUNCTION("""COMPUTED_VALUE"""),"""hbjp"":{""label"":""Practical"",""extra"":""(useful, helpful) "",""sets"":""Junior 9+ (2nd)""},")</f>
        <v>"hbjp":{"label":"Practical","extra":"(useful, helpful) ","sets":"Junior 9+ (2nd)"},</v>
      </c>
    </row>
    <row r="142">
      <c r="A142" s="8" t="str">
        <f>IFERROR(__xludf.DUMMYFUNCTION("""COMPUTED_VALUE"""),"Pretty")</f>
        <v>Pretty</v>
      </c>
      <c r="B142" s="8" t="str">
        <f>IFERROR(__xludf.DUMMYFUNCTION("""COMPUTED_VALUE"""),"(good-looking, pleasing) ")</f>
        <v>(good-looking, pleasing) </v>
      </c>
      <c r="C142" s="13" t="str">
        <f>IFERROR(__xludf.DUMMYFUNCTION("""COMPUTED_VALUE"""),"""bbtq"":{""label"":""Pretty"",""extra"":""(good-looking, pleasing) "",""sets"":""Junior""},")</f>
        <v>"bbtq":{"label":"Pretty","extra":"(good-looking, pleasing) ","sets":"Junior"},</v>
      </c>
    </row>
    <row r="143">
      <c r="A143" s="8" t="str">
        <f>IFERROR(__xludf.DUMMYFUNCTION("""COMPUTED_VALUE"""),"Proud")</f>
        <v>Proud</v>
      </c>
      <c r="B143" s="8" t="str">
        <f>IFERROR(__xludf.DUMMYFUNCTION("""COMPUTED_VALUE"""),"(dignified, satisfied) ")</f>
        <v>(dignified, satisfied) </v>
      </c>
      <c r="C143" s="13" t="str">
        <f>IFERROR(__xludf.DUMMYFUNCTION("""COMPUTED_VALUE"""),"""nyjp"":{""label"":""Proud"",""extra"":""(dignified, satisfied) "",""sets"":""Junior 9+ (1st) &amp; (2nd)""},")</f>
        <v>"nyjp":{"label":"Proud","extra":"(dignified, satisfied) ","sets":"Junior 9+ (1st) &amp; (2nd)"},</v>
      </c>
    </row>
    <row r="144">
      <c r="A144" s="8" t="str">
        <f>IFERROR(__xludf.DUMMYFUNCTION("""COMPUTED_VALUE"""),"Quick")</f>
        <v>Quick</v>
      </c>
      <c r="B144" s="8" t="str">
        <f>IFERROR(__xludf.DUMMYFUNCTION("""COMPUTED_VALUE"""),"(fast, speedy) ")</f>
        <v>(fast, speedy) </v>
      </c>
      <c r="C144" s="13" t="str">
        <f>IFERROR(__xludf.DUMMYFUNCTION("""COMPUTED_VALUE"""),"""xhsk"":{""label"":""Quick"",""extra"":""(fast, speedy) "",""sets"":""Junior 9+ (1st) &amp; (2nd)""},")</f>
        <v>"xhsk":{"label":"Quick","extra":"(fast, speedy) ","sets":"Junior 9+ (1st) &amp; (2nd)"},</v>
      </c>
    </row>
    <row r="145">
      <c r="A145" s="8" t="str">
        <f>IFERROR(__xludf.DUMMYFUNCTION("""COMPUTED_VALUE"""),"Quiet")</f>
        <v>Quiet</v>
      </c>
      <c r="B145" s="8" t="str">
        <f>IFERROR(__xludf.DUMMYFUNCTION("""COMPUTED_VALUE"""),"(silent, noiseless) ")</f>
        <v>(silent, noiseless) </v>
      </c>
      <c r="C145" s="13" t="str">
        <f>IFERROR(__xludf.DUMMYFUNCTION("""COMPUTED_VALUE"""),"""xztq"":{""label"":""Quiet"",""extra"":""(silent, noiseless) "",""sets"":""Junior""},")</f>
        <v>"xztq":{"label":"Quiet","extra":"(silent, noiseless) ","sets":"Junior"},</v>
      </c>
    </row>
    <row r="146">
      <c r="A146" s="8" t="str">
        <f>IFERROR(__xludf.DUMMYFUNCTION("""COMPUTED_VALUE"""),"Relaxed")</f>
        <v>Relaxed</v>
      </c>
      <c r="B146" s="8" t="str">
        <f>IFERROR(__xludf.DUMMYFUNCTION("""COMPUTED_VALUE"""),"(calm, not tense) ")</f>
        <v>(calm, not tense) </v>
      </c>
      <c r="C146" s="13" t="str">
        <f>IFERROR(__xludf.DUMMYFUNCTION("""COMPUTED_VALUE"""),"""fdjj"":{""label"":""Relaxed"",""extra"":""(calm, not tense) "",""sets"":""Junior 9+ (1st) &amp; (2nd)""},")</f>
        <v>"fdjj":{"label":"Relaxed","extra":"(calm, not tense) ","sets":"Junior 9+ (1st) &amp; (2nd)"},</v>
      </c>
    </row>
    <row r="147">
      <c r="A147" s="8" t="str">
        <f>IFERROR(__xludf.DUMMYFUNCTION("""COMPUTED_VALUE"""),"Rich")</f>
        <v>Rich</v>
      </c>
      <c r="B147" s="8" t="str">
        <f>IFERROR(__xludf.DUMMYFUNCTION("""COMPUTED_VALUE"""),"(wealthy, not poor) ")</f>
        <v>(wealthy, not poor) </v>
      </c>
      <c r="C147" s="13" t="str">
        <f>IFERROR(__xludf.DUMMYFUNCTION("""COMPUTED_VALUE"""),"""ortz"":{""label"":""Rich"",""extra"":""(wealthy, not poor) "",""sets"":""Junior 9+ (2nd)""},")</f>
        <v>"ortz":{"label":"Rich","extra":"(wealthy, not poor) ","sets":"Junior 9+ (2nd)"},</v>
      </c>
    </row>
    <row r="148">
      <c r="A148" s="8" t="str">
        <f>IFERROR(__xludf.DUMMYFUNCTION("""COMPUTED_VALUE"""),"Rough")</f>
        <v>Rough</v>
      </c>
      <c r="B148" s="8" t="str">
        <f>IFERROR(__xludf.DUMMYFUNCTION("""COMPUTED_VALUE"""),"(not smooth, not gentle) ")</f>
        <v>(not smooth, not gentle) </v>
      </c>
      <c r="C148" s="13" t="str">
        <f>IFERROR(__xludf.DUMMYFUNCTION("""COMPUTED_VALUE"""),"""qisb"":{""label"":""Rough"",""extra"":""(not smooth, not gentle) "",""sets"":""Junior""},")</f>
        <v>"qisb":{"label":"Rough","extra":"(not smooth, not gentle) ","sets":"Junior"},</v>
      </c>
    </row>
    <row r="149">
      <c r="A149" s="8" t="str">
        <f>IFERROR(__xludf.DUMMYFUNCTION("""COMPUTED_VALUE"""),"Round")</f>
        <v>Round</v>
      </c>
      <c r="B149" s="8" t="str">
        <f>IFERROR(__xludf.DUMMYFUNCTION("""COMPUTED_VALUE"""),"(circular, ring shaped) ")</f>
        <v>(circular, ring shaped) </v>
      </c>
      <c r="C149" s="13" t="str">
        <f>IFERROR(__xludf.DUMMYFUNCTION("""COMPUTED_VALUE"""),"""qnev"":{""label"":""Round"",""extra"":""(circular, ring shaped) "",""sets"":""Junior 9+ (1st) &amp; (2nd)""},")</f>
        <v>"qnev":{"label":"Round","extra":"(circular, ring shaped) ","sets":"Junior 9+ (1st) &amp; (2nd)"},</v>
      </c>
    </row>
    <row r="150">
      <c r="A150" s="8" t="str">
        <f>IFERROR(__xludf.DUMMYFUNCTION("""COMPUTED_VALUE"""),"Sad")</f>
        <v>Sad</v>
      </c>
      <c r="B150" s="8" t="str">
        <f>IFERROR(__xludf.DUMMYFUNCTION("""COMPUTED_VALUE"""),"(unhappy, gloomy) ")</f>
        <v>(unhappy, gloomy) </v>
      </c>
      <c r="C150" s="13" t="str">
        <f>IFERROR(__xludf.DUMMYFUNCTION("""COMPUTED_VALUE"""),"""jsbx"":{""label"":""Sad"",""extra"":""(unhappy, gloomy) "",""sets"":""Junior 9+ (1st) &amp; (2nd)""},")</f>
        <v>"jsbx":{"label":"Sad","extra":"(unhappy, gloomy) ","sets":"Junior 9+ (1st) &amp; (2nd)"},</v>
      </c>
    </row>
    <row r="151">
      <c r="A151" s="8" t="str">
        <f>IFERROR(__xludf.DUMMYFUNCTION("""COMPUTED_VALUE"""),"Scary")</f>
        <v>Scary</v>
      </c>
      <c r="B151" s="8" t="str">
        <f>IFERROR(__xludf.DUMMYFUNCTION("""COMPUTED_VALUE"""),"(frightening, spooky) ")</f>
        <v>(frightening, spooky) </v>
      </c>
      <c r="C151" s="13" t="str">
        <f>IFERROR(__xludf.DUMMYFUNCTION("""COMPUTED_VALUE"""),"""jhfl"":{""label"":""Scary"",""extra"":""(frightening, spooky) "",""sets"":""Junior 9+ (1st) &amp; (2nd)""},")</f>
        <v>"jhfl":{"label":"Scary","extra":"(frightening, spooky) ","sets":"Junior 9+ (1st) &amp; (2nd)"},</v>
      </c>
    </row>
    <row r="152">
      <c r="A152" s="8" t="str">
        <f>IFERROR(__xludf.DUMMYFUNCTION("""COMPUTED_VALUE"""),"Scented")</f>
        <v>Scented</v>
      </c>
      <c r="B152" s="8" t="str">
        <f>IFERROR(__xludf.DUMMYFUNCTION("""COMPUTED_VALUE"""),"(perfumed, fragrant) ")</f>
        <v>(perfumed, fragrant) </v>
      </c>
      <c r="C152" s="13" t="str">
        <f>IFERROR(__xludf.DUMMYFUNCTION("""COMPUTED_VALUE"""),"""tmwd"":{""label"":""Scented"",""extra"":""(perfumed, fragrant) "",""sets"":""Junior 9+ (2nd)""},")</f>
        <v>"tmwd":{"label":"Scented","extra":"(perfumed, fragrant) ","sets":"Junior 9+ (2nd)"},</v>
      </c>
    </row>
    <row r="153">
      <c r="A153" s="8" t="str">
        <f>IFERROR(__xludf.DUMMYFUNCTION("""COMPUTED_VALUE"""),"Serious")</f>
        <v>Serious</v>
      </c>
      <c r="B153" s="8" t="str">
        <f>IFERROR(__xludf.DUMMYFUNCTION("""COMPUTED_VALUE"""),"(important, thoughtful) ")</f>
        <v>(important, thoughtful) </v>
      </c>
      <c r="C153" s="13" t="str">
        <f>IFERROR(__xludf.DUMMYFUNCTION("""COMPUTED_VALUE"""),"""nxjm"":{""label"":""Serious"",""extra"":""(important, thoughtful) "",""sets"":""Junior 9+ (1st) &amp; (2nd)""},")</f>
        <v>"nxjm":{"label":"Serious","extra":"(important, thoughtful) ","sets":"Junior 9+ (1st) &amp; (2nd)"},</v>
      </c>
    </row>
    <row r="154">
      <c r="A154" s="8" t="str">
        <f>IFERROR(__xludf.DUMMYFUNCTION("""COMPUTED_VALUE"""),"Shaggy")</f>
        <v>Shaggy</v>
      </c>
      <c r="B154" s="8" t="str">
        <f>IFERROR(__xludf.DUMMYFUNCTION("""COMPUTED_VALUE"""),"(bushy, stringy) ")</f>
        <v>(bushy, stringy) </v>
      </c>
      <c r="C154" s="13" t="str">
        <f>IFERROR(__xludf.DUMMYFUNCTION("""COMPUTED_VALUE"""),"""asyg"":{""label"":""Shaggy"",""extra"":""(bushy, stringy) "",""sets"":""Junior""},")</f>
        <v>"asyg":{"label":"Shaggy","extra":"(bushy, stringy) ","sets":"Junior"},</v>
      </c>
    </row>
    <row r="155">
      <c r="A155" s="8" t="str">
        <f>IFERROR(__xludf.DUMMYFUNCTION("""COMPUTED_VALUE"""),"Sharp")</f>
        <v>Sharp</v>
      </c>
      <c r="B155" s="8" t="str">
        <f>IFERROR(__xludf.DUMMYFUNCTION("""COMPUTED_VALUE"""),"(pointed, not rounded) ")</f>
        <v>(pointed, not rounded) </v>
      </c>
      <c r="C155" s="13" t="str">
        <f>IFERROR(__xludf.DUMMYFUNCTION("""COMPUTED_VALUE"""),"""uomg"":{""label"":""Sharp"",""extra"":""(pointed, not rounded) "",""sets"":""Junior""},")</f>
        <v>"uomg":{"label":"Sharp","extra":"(pointed, not rounded) ","sets":"Junior"},</v>
      </c>
    </row>
    <row r="156">
      <c r="A156" s="8" t="str">
        <f>IFERROR(__xludf.DUMMYFUNCTION("""COMPUTED_VALUE"""),"Shiny")</f>
        <v>Shiny</v>
      </c>
      <c r="B156" s="8" t="str">
        <f>IFERROR(__xludf.DUMMYFUNCTION("""COMPUTED_VALUE"""),"(bright, glossy) ")</f>
        <v>(bright, glossy) </v>
      </c>
      <c r="C156" s="13" t="str">
        <f>IFERROR(__xludf.DUMMYFUNCTION("""COMPUTED_VALUE"""),"""pkew"":{""label"":""Shiny"",""extra"":""(bright, glossy) "",""sets"":""Junior""},")</f>
        <v>"pkew":{"label":"Shiny","extra":"(bright, glossy) ","sets":"Junior"},</v>
      </c>
    </row>
    <row r="157">
      <c r="A157" s="8" t="str">
        <f>IFERROR(__xludf.DUMMYFUNCTION("""COMPUTED_VALUE"""),"Short")</f>
        <v>Short</v>
      </c>
      <c r="B157" s="8" t="str">
        <f>IFERROR(__xludf.DUMMYFUNCTION("""COMPUTED_VALUE"""),"(not long, not tall) ")</f>
        <v>(not long, not tall) </v>
      </c>
      <c r="C157" s="13" t="str">
        <f>IFERROR(__xludf.DUMMYFUNCTION("""COMPUTED_VALUE"""),"""tidf"":{""label"":""Short"",""extra"":""(not long, not tall) "",""sets"":""Junior""},")</f>
        <v>"tidf":{"label":"Short","extra":"(not long, not tall) ","sets":"Junior"},</v>
      </c>
    </row>
    <row r="158">
      <c r="A158" s="8" t="str">
        <f>IFERROR(__xludf.DUMMYFUNCTION("""COMPUTED_VALUE"""),"Shy")</f>
        <v>Shy</v>
      </c>
      <c r="B158" s="8" t="str">
        <f>IFERROR(__xludf.DUMMYFUNCTION("""COMPUTED_VALUE"""),"(bashful, timid) ")</f>
        <v>(bashful, timid) </v>
      </c>
      <c r="C158" s="13" t="str">
        <f>IFERROR(__xludf.DUMMYFUNCTION("""COMPUTED_VALUE"""),"""xsll"":{""label"":""Shy"",""extra"":""(bashful, timid) "",""sets"":""Junior 9+ (2nd)""},")</f>
        <v>"xsll":{"label":"Shy","extra":"(bashful, timid) ","sets":"Junior 9+ (2nd)"},</v>
      </c>
    </row>
    <row r="159">
      <c r="A159" s="8" t="str">
        <f>IFERROR(__xludf.DUMMYFUNCTION("""COMPUTED_VALUE"""),"Sickening")</f>
        <v>Sickening</v>
      </c>
      <c r="B159" s="8" t="str">
        <f>IFERROR(__xludf.DUMMYFUNCTION("""COMPUTED_VALUE"""),"(disgusting, horrible) ")</f>
        <v>(disgusting, horrible) </v>
      </c>
      <c r="C159" s="13" t="str">
        <f>IFERROR(__xludf.DUMMYFUNCTION("""COMPUTED_VALUE"""),"""tuid"":{""label"":""Sickening"",""extra"":""(disgusting, horrible) "",""sets"":""Junior 9+ (2nd)""},")</f>
        <v>"tuid":{"label":"Sickening","extra":"(disgusting, horrible) ","sets":"Junior 9+ (2nd)"},</v>
      </c>
    </row>
    <row r="160">
      <c r="A160" s="8" t="str">
        <f>IFERROR(__xludf.DUMMYFUNCTION("""COMPUTED_VALUE"""),"Silent")</f>
        <v>Silent</v>
      </c>
      <c r="B160" s="8" t="str">
        <f>IFERROR(__xludf.DUMMYFUNCTION("""COMPUTED_VALUE"""),"(quiet, still) ")</f>
        <v>(quiet, still) </v>
      </c>
      <c r="C160" s="13" t="str">
        <f>IFERROR(__xludf.DUMMYFUNCTION("""COMPUTED_VALUE"""),"""ubat"":{""label"":""Silent"",""extra"":""(quiet, still) "",""sets"":""Junior 9+ (1st) &amp; (2nd)""},")</f>
        <v>"ubat":{"label":"Silent","extra":"(quiet, still) ","sets":"Junior 9+ (1st) &amp; (2nd)"},</v>
      </c>
    </row>
    <row r="161">
      <c r="A161" s="8" t="str">
        <f>IFERROR(__xludf.DUMMYFUNCTION("""COMPUTED_VALUE"""),"Silky")</f>
        <v>Silky</v>
      </c>
      <c r="B161" s="8" t="str">
        <f>IFERROR(__xludf.DUMMYFUNCTION("""COMPUTED_VALUE"""),"(smooth, soft) ")</f>
        <v>(smooth, soft) </v>
      </c>
      <c r="C161" s="13" t="str">
        <f>IFERROR(__xludf.DUMMYFUNCTION("""COMPUTED_VALUE"""),"""fnwu"":{""label"":""Silky"",""extra"":""(smooth, soft) "",""sets"":""Junior 9+ (1st) &amp; (2nd)""},")</f>
        <v>"fnwu":{"label":"Silky","extra":"(smooth, soft) ","sets":"Junior 9+ (1st) &amp; (2nd)"},</v>
      </c>
    </row>
    <row r="162">
      <c r="A162" s="8" t="str">
        <f>IFERROR(__xludf.DUMMYFUNCTION("""COMPUTED_VALUE"""),"Silly")</f>
        <v>Silly</v>
      </c>
      <c r="B162" s="8" t="str">
        <f>IFERROR(__xludf.DUMMYFUNCTION("""COMPUTED_VALUE"""),"(foolish, goofy) ")</f>
        <v>(foolish, goofy) </v>
      </c>
      <c r="C162" s="13" t="str">
        <f>IFERROR(__xludf.DUMMYFUNCTION("""COMPUTED_VALUE"""),"""bapo"":{""label"":""Silly"",""extra"":""(foolish, goofy) "",""sets"":""Junior""},")</f>
        <v>"bapo":{"label":"Silly","extra":"(foolish, goofy) ","sets":"Junior"},</v>
      </c>
    </row>
    <row r="163">
      <c r="A163" s="8" t="str">
        <f>IFERROR(__xludf.DUMMYFUNCTION("""COMPUTED_VALUE"""),"Simple")</f>
        <v>Simple</v>
      </c>
      <c r="B163" s="8" t="str">
        <f>IFERROR(__xludf.DUMMYFUNCTION("""COMPUTED_VALUE"""),"(plain, easy) ")</f>
        <v>(plain, easy) </v>
      </c>
      <c r="C163" s="13" t="str">
        <f>IFERROR(__xludf.DUMMYFUNCTION("""COMPUTED_VALUE"""),"""tfkq"":{""label"":""Simple"",""extra"":""(plain, easy) "",""sets"":""Junior 9+ (1st) &amp; (2nd)""},")</f>
        <v>"tfkq":{"label":"Simple","extra":"(plain, easy) ","sets":"Junior 9+ (1st) &amp; (2nd)"},</v>
      </c>
    </row>
    <row r="164">
      <c r="A164" s="8" t="str">
        <f>IFERROR(__xludf.DUMMYFUNCTION("""COMPUTED_VALUE"""),"Skillful")</f>
        <v>Skillful</v>
      </c>
      <c r="B164" s="8" t="str">
        <f>IFERROR(__xludf.DUMMYFUNCTION("""COMPUTED_VALUE"""),"(expert, talented) ")</f>
        <v>(expert, talented) </v>
      </c>
      <c r="C164" s="13" t="str">
        <f>IFERROR(__xludf.DUMMYFUNCTION("""COMPUTED_VALUE"""),"""wyfq"":{""label"":""Skillful"",""extra"":""(expert, talented) "",""sets"":""Junior 9+ (1st) &amp; (2nd)""},")</f>
        <v>"wyfq":{"label":"Skillful","extra":"(expert, talented) ","sets":"Junior 9+ (1st) &amp; (2nd)"},</v>
      </c>
    </row>
    <row r="165">
      <c r="A165" s="8" t="str">
        <f>IFERROR(__xludf.DUMMYFUNCTION("""COMPUTED_VALUE"""),"Skinny")</f>
        <v>Skinny</v>
      </c>
      <c r="B165" s="8" t="str">
        <f>IFERROR(__xludf.DUMMYFUNCTION("""COMPUTED_VALUE"""),"(thin, lean) ")</f>
        <v>(thin, lean) </v>
      </c>
      <c r="C165" s="13" t="str">
        <f>IFERROR(__xludf.DUMMYFUNCTION("""COMPUTED_VALUE"""),"""srhd"":{""label"":""Skinny"",""extra"":""(thin, lean) "",""sets"":""Junior""},")</f>
        <v>"srhd":{"label":"Skinny","extra":"(thin, lean) ","sets":"Junior"},</v>
      </c>
    </row>
    <row r="166">
      <c r="A166" s="8" t="str">
        <f>IFERROR(__xludf.DUMMYFUNCTION("""COMPUTED_VALUE"""),"Slender")</f>
        <v>Slender</v>
      </c>
      <c r="B166" s="8" t="str">
        <f>IFERROR(__xludf.DUMMYFUNCTION("""COMPUTED_VALUE"""),"(slim, small) ")</f>
        <v>(slim, small) </v>
      </c>
      <c r="C166" s="13" t="str">
        <f>IFERROR(__xludf.DUMMYFUNCTION("""COMPUTED_VALUE"""),"""kjha"":{""label"":""Slender"",""extra"":""(slim, small) "",""sets"":""Junior 9+ (2nd)""},")</f>
        <v>"kjha":{"label":"Slender","extra":"(slim, small) ","sets":"Junior 9+ (2nd)"},</v>
      </c>
    </row>
    <row r="167">
      <c r="A167" s="8" t="str">
        <f>IFERROR(__xludf.DUMMYFUNCTION("""COMPUTED_VALUE"""),"Slimy")</f>
        <v>Slimy</v>
      </c>
      <c r="B167" s="8" t="str">
        <f>IFERROR(__xludf.DUMMYFUNCTION("""COMPUTED_VALUE"""),"(slippery, gooey) ")</f>
        <v>(slippery, gooey) </v>
      </c>
      <c r="C167" s="13" t="str">
        <f>IFERROR(__xludf.DUMMYFUNCTION("""COMPUTED_VALUE"""),"""ildo"":{""label"":""Slimy"",""extra"":""(slippery, gooey) "",""sets"":""Junior 9+ (1st) &amp; (2nd)""},")</f>
        <v>"ildo":{"label":"Slimy","extra":"(slippery, gooey) ","sets":"Junior 9+ (1st) &amp; (2nd)"},</v>
      </c>
    </row>
    <row r="168">
      <c r="A168" s="8" t="str">
        <f>IFERROR(__xludf.DUMMYFUNCTION("""COMPUTED_VALUE"""),"Slippery")</f>
        <v>Slippery</v>
      </c>
      <c r="B168" s="8" t="str">
        <f>IFERROR(__xludf.DUMMYFUNCTION("""COMPUTED_VALUE"""),"(slick, sliding) ")</f>
        <v>(slick, sliding) </v>
      </c>
      <c r="C168" s="13" t="str">
        <f>IFERROR(__xludf.DUMMYFUNCTION("""COMPUTED_VALUE"""),"""cram"":{""label"":""Slippery"",""extra"":""(slick, sliding) "",""sets"":""Junior""},")</f>
        <v>"cram":{"label":"Slippery","extra":"(slick, sliding) ","sets":"Junior"},</v>
      </c>
    </row>
    <row r="169">
      <c r="A169" s="8" t="str">
        <f>IFERROR(__xludf.DUMMYFUNCTION("""COMPUTED_VALUE"""),"Sloppy")</f>
        <v>Sloppy</v>
      </c>
      <c r="B169" s="8" t="str">
        <f>IFERROR(__xludf.DUMMYFUNCTION("""COMPUTED_VALUE"""),"(messy, careless) ")</f>
        <v>(messy, careless) </v>
      </c>
      <c r="C169" s="13" t="str">
        <f>IFERROR(__xludf.DUMMYFUNCTION("""COMPUTED_VALUE"""),"""ebvj"":{""label"":""Sloppy"",""extra"":""(messy, careless) "",""sets"":""Junior""},")</f>
        <v>"ebvj":{"label":"Sloppy","extra":"(messy, careless) ","sets":"Junior"},</v>
      </c>
    </row>
    <row r="170">
      <c r="A170" s="8" t="str">
        <f>IFERROR(__xludf.DUMMYFUNCTION("""COMPUTED_VALUE"""),"Slow")</f>
        <v>Slow</v>
      </c>
      <c r="B170" s="8" t="str">
        <f>IFERROR(__xludf.DUMMYFUNCTION("""COMPUTED_VALUE"""),"(not fast, pokey) ")</f>
        <v>(not fast, pokey) </v>
      </c>
      <c r="C170" s="13" t="str">
        <f>IFERROR(__xludf.DUMMYFUNCTION("""COMPUTED_VALUE"""),"""xsdf"":{""label"":""Slow"",""extra"":""(not fast, pokey) "",""sets"":""Junior""},")</f>
        <v>"xsdf":{"label":"Slow","extra":"(not fast, pokey) ","sets":"Junior"},</v>
      </c>
    </row>
    <row r="171">
      <c r="A171" s="8" t="str">
        <f>IFERROR(__xludf.DUMMYFUNCTION("""COMPUTED_VALUE"""),"Small")</f>
        <v>Small</v>
      </c>
      <c r="B171" s="8" t="str">
        <f>IFERROR(__xludf.DUMMYFUNCTION("""COMPUTED_VALUE"""),"(little, not large) ")</f>
        <v>(little, not large) </v>
      </c>
      <c r="C171" s="13" t="str">
        <f>IFERROR(__xludf.DUMMYFUNCTION("""COMPUTED_VALUE"""),"""vtwy"":{""label"":""Small"",""extra"":""(little, not large) "",""sets"":""Junior""},")</f>
        <v>"vtwy":{"label":"Small","extra":"(little, not large) ","sets":"Junior"},</v>
      </c>
    </row>
    <row r="172">
      <c r="A172" s="8" t="str">
        <f>IFERROR(__xludf.DUMMYFUNCTION("""COMPUTED_VALUE"""),"Smart")</f>
        <v>Smart</v>
      </c>
      <c r="B172" s="8" t="str">
        <f>IFERROR(__xludf.DUMMYFUNCTION("""COMPUTED_VALUE"""),"(intelligent, clever) ")</f>
        <v>(intelligent, clever) </v>
      </c>
      <c r="C172" s="13" t="str">
        <f>IFERROR(__xludf.DUMMYFUNCTION("""COMPUTED_VALUE"""),"""zswk"":{""label"":""Smart"",""extra"":""(intelligent, clever) "",""sets"":""Junior 9+ (1st) &amp; (2nd)""},")</f>
        <v>"zswk":{"label":"Smart","extra":"(intelligent, clever) ","sets":"Junior 9+ (1st) &amp; (2nd)"},</v>
      </c>
    </row>
    <row r="173">
      <c r="A173" s="8" t="str">
        <f>IFERROR(__xludf.DUMMYFUNCTION("""COMPUTED_VALUE"""),"Smelly")</f>
        <v>Smelly</v>
      </c>
      <c r="B173" s="8" t="str">
        <f>IFERROR(__xludf.DUMMYFUNCTION("""COMPUTED_VALUE"""),"(stinky, bad odor) ")</f>
        <v>(stinky, bad odor) </v>
      </c>
      <c r="C173" s="13" t="str">
        <f>IFERROR(__xludf.DUMMYFUNCTION("""COMPUTED_VALUE"""),"""jlio"":{""label"":""Smelly"",""extra"":""(stinky, bad odor) "",""sets"":""Junior 9+ (1st) &amp; (2nd)""},")</f>
        <v>"jlio":{"label":"Smelly","extra":"(stinky, bad odor) ","sets":"Junior 9+ (1st) &amp; (2nd)"},</v>
      </c>
    </row>
    <row r="174">
      <c r="A174" s="8" t="str">
        <f>IFERROR(__xludf.DUMMYFUNCTION("""COMPUTED_VALUE"""),"Smooth")</f>
        <v>Smooth</v>
      </c>
      <c r="B174" s="8" t="str">
        <f>IFERROR(__xludf.DUMMYFUNCTION("""COMPUTED_VALUE"""),"(not bumpy, flat) ")</f>
        <v>(not bumpy, flat) </v>
      </c>
      <c r="C174" s="13" t="str">
        <f>IFERROR(__xludf.DUMMYFUNCTION("""COMPUTED_VALUE"""),"""tozm"":{""label"":""Smooth"",""extra"":""(not bumpy, flat) "",""sets"":""Junior""},")</f>
        <v>"tozm":{"label":"Smooth","extra":"(not bumpy, flat) ","sets":"Junior"},</v>
      </c>
    </row>
    <row r="175">
      <c r="A175" s="8" t="str">
        <f>IFERROR(__xludf.DUMMYFUNCTION("""COMPUTED_VALUE"""),"Sneaky")</f>
        <v>Sneaky</v>
      </c>
      <c r="B175" s="8" t="str">
        <f>IFERROR(__xludf.DUMMYFUNCTION("""COMPUTED_VALUE"""),"(tricky, mean) ")</f>
        <v>(tricky, mean) </v>
      </c>
      <c r="C175" s="13" t="str">
        <f>IFERROR(__xludf.DUMMYFUNCTION("""COMPUTED_VALUE"""),"""uegh"":{""label"":""Sneaky"",""extra"":""(tricky, mean) "",""sets"":""Junior 9+ (2nd)""},")</f>
        <v>"uegh":{"label":"Sneaky","extra":"(tricky, mean) ","sets":"Junior 9+ (2nd)"},</v>
      </c>
    </row>
    <row r="176">
      <c r="A176" s="8" t="str">
        <f>IFERROR(__xludf.DUMMYFUNCTION("""COMPUTED_VALUE"""),"Soft")</f>
        <v>Soft</v>
      </c>
      <c r="B176" s="8" t="str">
        <f>IFERROR(__xludf.DUMMYFUNCTION("""COMPUTED_VALUE"""),"(not hard, tender) ")</f>
        <v>(not hard, tender) </v>
      </c>
      <c r="C176" s="13" t="str">
        <f>IFERROR(__xludf.DUMMYFUNCTION("""COMPUTED_VALUE"""),"""hscj"":{""label"":""Soft"",""extra"":""(not hard, tender) "",""sets"":""Junior""},")</f>
        <v>"hscj":{"label":"Soft","extra":"(not hard, tender) ","sets":"Junior"},</v>
      </c>
    </row>
    <row r="177">
      <c r="A177" s="8" t="str">
        <f>IFERROR(__xludf.DUMMYFUNCTION("""COMPUTED_VALUE"""),"Sour")</f>
        <v>Sour</v>
      </c>
      <c r="B177" s="8" t="str">
        <f>IFERROR(__xludf.DUMMYFUNCTION("""COMPUTED_VALUE"""),"(bitter, tart) ")</f>
        <v>(bitter, tart) </v>
      </c>
      <c r="C177" s="13" t="str">
        <f>IFERROR(__xludf.DUMMYFUNCTION("""COMPUTED_VALUE"""),"""stlj"":{""label"":""Sour"",""extra"":""(bitter, tart) "",""sets"":""Junior""},")</f>
        <v>"stlj":{"label":"Sour","extra":"(bitter, tart) ","sets":"Junior"},</v>
      </c>
    </row>
    <row r="178">
      <c r="A178" s="8" t="str">
        <f>IFERROR(__xludf.DUMMYFUNCTION("""COMPUTED_VALUE"""),"Special")</f>
        <v>Special</v>
      </c>
      <c r="B178" s="8" t="str">
        <f>IFERROR(__xludf.DUMMYFUNCTION("""COMPUTED_VALUE"""),"(individual, unique) ")</f>
        <v>(individual, unique) </v>
      </c>
      <c r="C178" s="13" t="str">
        <f>IFERROR(__xludf.DUMMYFUNCTION("""COMPUTED_VALUE"""),"""jkdw"":{""label"":""Special"",""extra"":""(individual, unique) "",""sets"":""Junior 9+ (2nd)""},")</f>
        <v>"jkdw":{"label":"Special","extra":"(individual, unique) ","sets":"Junior 9+ (2nd)"},</v>
      </c>
    </row>
    <row r="179">
      <c r="A179" s="8" t="str">
        <f>IFERROR(__xludf.DUMMYFUNCTION("""COMPUTED_VALUE"""),"Speedy")</f>
        <v>Speedy</v>
      </c>
      <c r="B179" s="8" t="str">
        <f>IFERROR(__xludf.DUMMYFUNCTION("""COMPUTED_VALUE"""),"(quick, fast) ")</f>
        <v>(quick, fast) </v>
      </c>
      <c r="C179" s="13" t="str">
        <f>IFERROR(__xludf.DUMMYFUNCTION("""COMPUTED_VALUE"""),"""brep"":{""label"":""Speedy"",""extra"":""(quick, fast) "",""sets"":""Junior 9+ (2nd)""},")</f>
        <v>"brep":{"label":"Speedy","extra":"(quick, fast) ","sets":"Junior 9+ (2nd)"},</v>
      </c>
    </row>
    <row r="180">
      <c r="A180" s="8" t="str">
        <f>IFERROR(__xludf.DUMMYFUNCTION("""COMPUTED_VALUE"""),"Spooky")</f>
        <v>Spooky</v>
      </c>
      <c r="B180" s="8" t="str">
        <f>IFERROR(__xludf.DUMMYFUNCTION("""COMPUTED_VALUE"""),"(scary, frightening) ")</f>
        <v>(scary, frightening) </v>
      </c>
      <c r="C180" s="13" t="str">
        <f>IFERROR(__xludf.DUMMYFUNCTION("""COMPUTED_VALUE"""),"""nqro"":{""label"":""Spooky"",""extra"":""(scary, frightening) "",""sets"":""Junior""},")</f>
        <v>"nqro":{"label":"Spooky","extra":"(scary, frightening) ","sets":"Junior"},</v>
      </c>
    </row>
    <row r="181">
      <c r="A181" s="8" t="str">
        <f>IFERROR(__xludf.DUMMYFUNCTION("""COMPUTED_VALUE"""),"Sporty")</f>
        <v>Sporty</v>
      </c>
      <c r="B181" s="8" t="str">
        <f>IFERROR(__xludf.DUMMYFUNCTION("""COMPUTED_VALUE"""),"(athletic, active) ")</f>
        <v>(athletic, active) </v>
      </c>
      <c r="C181" s="13" t="str">
        <f>IFERROR(__xludf.DUMMYFUNCTION("""COMPUTED_VALUE"""),"""ewfu"":{""label"":""Sporty"",""extra"":""(athletic, active) "",""sets"":""Junior 9+ (2nd)""},")</f>
        <v>"ewfu":{"label":"Sporty","extra":"(athletic, active) ","sets":"Junior 9+ (2nd)"},</v>
      </c>
    </row>
    <row r="182">
      <c r="A182" s="8" t="str">
        <f>IFERROR(__xludf.DUMMYFUNCTION("""COMPUTED_VALUE"""),"Spotless")</f>
        <v>Spotless</v>
      </c>
      <c r="B182" s="8" t="str">
        <f>IFERROR(__xludf.DUMMYFUNCTION("""COMPUTED_VALUE"""),"(clean, pure) ")</f>
        <v>(clean, pure) </v>
      </c>
      <c r="C182" s="13" t="str">
        <f>IFERROR(__xludf.DUMMYFUNCTION("""COMPUTED_VALUE"""),"""uxnb"":{""label"":""Spotless"",""extra"":""(clean, pure) "",""sets"":""Junior 9+ (2nd)""},")</f>
        <v>"uxnb":{"label":"Spotless","extra":"(clean, pure) ","sets":"Junior 9+ (2nd)"},</v>
      </c>
    </row>
    <row r="183">
      <c r="A183" s="8" t="str">
        <f>IFERROR(__xludf.DUMMYFUNCTION("""COMPUTED_VALUE"""),"Sticky")</f>
        <v>Sticky</v>
      </c>
      <c r="B183" s="8" t="str">
        <f>IFERROR(__xludf.DUMMYFUNCTION("""COMPUTED_VALUE"""),"(gummy, pasty) ")</f>
        <v>(gummy, pasty) </v>
      </c>
      <c r="C183" s="13" t="str">
        <f>IFERROR(__xludf.DUMMYFUNCTION("""COMPUTED_VALUE"""),"""yyge"":{""label"":""Sticky"",""extra"":""(gummy, pasty) "",""sets"":""Junior 9+ (2nd)""},")</f>
        <v>"yyge":{"label":"Sticky","extra":"(gummy, pasty) ","sets":"Junior 9+ (2nd)"},</v>
      </c>
    </row>
    <row r="184">
      <c r="A184" s="8" t="str">
        <f>IFERROR(__xludf.DUMMYFUNCTION("""COMPUTED_VALUE"""),"Stinky")</f>
        <v>Stinky</v>
      </c>
      <c r="B184" s="8" t="str">
        <f>IFERROR(__xludf.DUMMYFUNCTION("""COMPUTED_VALUE"""),"(smelly, bad odor) ")</f>
        <v>(smelly, bad odor) </v>
      </c>
      <c r="C184" s="13" t="str">
        <f>IFERROR(__xludf.DUMMYFUNCTION("""COMPUTED_VALUE"""),"""wxdi"":{""label"":""Stinky"",""extra"":""(smelly, bad odor) "",""sets"":""Junior""},")</f>
        <v>"wxdi":{"label":"Stinky","extra":"(smelly, bad odor) ","sets":"Junior"},</v>
      </c>
    </row>
    <row r="185">
      <c r="A185" s="8" t="str">
        <f>IFERROR(__xludf.DUMMYFUNCTION("""COMPUTED_VALUE"""),"Straight")</f>
        <v>Straight</v>
      </c>
      <c r="B185" s="8" t="str">
        <f>IFERROR(__xludf.DUMMYFUNCTION("""COMPUTED_VALUE"""),"(not curved, direct) ")</f>
        <v>(not curved, direct) </v>
      </c>
      <c r="C185" s="13" t="str">
        <f>IFERROR(__xludf.DUMMYFUNCTION("""COMPUTED_VALUE"""),"""izbb"":{""label"":""Straight"",""extra"":""(not curved, direct) "",""sets"":""Junior 9+ (2nd)""},")</f>
        <v>"izbb":{"label":"Straight","extra":"(not curved, direct) ","sets":"Junior 9+ (2nd)"},</v>
      </c>
    </row>
    <row r="186">
      <c r="A186" s="8" t="str">
        <f>IFERROR(__xludf.DUMMYFUNCTION("""COMPUTED_VALUE"""),"Strange")</f>
        <v>Strange</v>
      </c>
      <c r="B186" s="8" t="str">
        <f>IFERROR(__xludf.DUMMYFUNCTION("""COMPUTED_VALUE"""),"(odd, unusual) ")</f>
        <v>(odd, unusual) </v>
      </c>
      <c r="C186" s="13" t="str">
        <f>IFERROR(__xludf.DUMMYFUNCTION("""COMPUTED_VALUE"""),"""kpnf"":{""label"":""Strange"",""extra"":""(odd, unusual) "",""sets"":""Junior""},")</f>
        <v>"kpnf":{"label":"Strange","extra":"(odd, unusual) ","sets":"Junior"},</v>
      </c>
    </row>
    <row r="187">
      <c r="A187" s="8" t="str">
        <f>IFERROR(__xludf.DUMMYFUNCTION("""COMPUTED_VALUE"""),"Strong")</f>
        <v>Strong</v>
      </c>
      <c r="B187" s="8" t="str">
        <f>IFERROR(__xludf.DUMMYFUNCTION("""COMPUTED_VALUE"""),"(powerful, forceful) ")</f>
        <v>(powerful, forceful) </v>
      </c>
      <c r="C187" s="13" t="str">
        <f>IFERROR(__xludf.DUMMYFUNCTION("""COMPUTED_VALUE"""),"""krtf"":{""label"":""Strong"",""extra"":""(powerful, forceful) "",""sets"":""Junior""},")</f>
        <v>"krtf":{"label":"Strong","extra":"(powerful, forceful) ","sets":"Junior"},</v>
      </c>
    </row>
    <row r="188">
      <c r="A188" s="8" t="str">
        <f>IFERROR(__xludf.DUMMYFUNCTION("""COMPUTED_VALUE"""),"Surprising")</f>
        <v>Surprising</v>
      </c>
      <c r="B188" s="8" t="str">
        <f>IFERROR(__xludf.DUMMYFUNCTION("""COMPUTED_VALUE"""),"(unexpected, amazing) ")</f>
        <v>(unexpected, amazing) </v>
      </c>
      <c r="C188" s="13" t="str">
        <f>IFERROR(__xludf.DUMMYFUNCTION("""COMPUTED_VALUE"""),"""rtno"":{""label"":""Surprising"",""extra"":""(unexpected, amazing) "",""sets"":""Junior 9+ (2nd)""},")</f>
        <v>"rtno":{"label":"Surprising","extra":"(unexpected, amazing) ","sets":"Junior 9+ (2nd)"},</v>
      </c>
    </row>
    <row r="189">
      <c r="A189" s="8" t="str">
        <f>IFERROR(__xludf.DUMMYFUNCTION("""COMPUTED_VALUE"""),"Sweet")</f>
        <v>Sweet</v>
      </c>
      <c r="B189" s="8" t="str">
        <f>IFERROR(__xludf.DUMMYFUNCTION("""COMPUTED_VALUE"""),"(sugary, nice) ")</f>
        <v>(sugary, nice) </v>
      </c>
      <c r="C189" s="13" t="str">
        <f>IFERROR(__xludf.DUMMYFUNCTION("""COMPUTED_VALUE"""),"""hbxd"":{""label"":""Sweet"",""extra"":""(sugary, nice) "",""sets"":""Junior""},")</f>
        <v>"hbxd":{"label":"Sweet","extra":"(sugary, nice) ","sets":"Junior"},</v>
      </c>
    </row>
    <row r="190">
      <c r="A190" s="8" t="str">
        <f>IFERROR(__xludf.DUMMYFUNCTION("""COMPUTED_VALUE"""),"Talented")</f>
        <v>Talented</v>
      </c>
      <c r="B190" s="8" t="str">
        <f>IFERROR(__xludf.DUMMYFUNCTION("""COMPUTED_VALUE"""),"(skillful, gifted) ")</f>
        <v>(skillful, gifted) </v>
      </c>
      <c r="C190" s="13" t="str">
        <f>IFERROR(__xludf.DUMMYFUNCTION("""COMPUTED_VALUE"""),"""bkwd"":{""label"":""Talented"",""extra"":""(skillful, gifted) "",""sets"":""Junior 9+ (1st) &amp; (2nd)""},")</f>
        <v>"bkwd":{"label":"Talented","extra":"(skillful, gifted) ","sets":"Junior 9+ (1st) &amp; (2nd)"},</v>
      </c>
    </row>
    <row r="191">
      <c r="A191" s="8" t="str">
        <f>IFERROR(__xludf.DUMMYFUNCTION("""COMPUTED_VALUE"""),"Tall")</f>
        <v>Tall</v>
      </c>
      <c r="B191" s="8" t="str">
        <f>IFERROR(__xludf.DUMMYFUNCTION("""COMPUTED_VALUE"""),"(not short, not low) ")</f>
        <v>(not short, not low) </v>
      </c>
      <c r="C191" s="13" t="str">
        <f>IFERROR(__xludf.DUMMYFUNCTION("""COMPUTED_VALUE"""),"""bgrf"":{""label"":""Tall"",""extra"":""(not short, not low) "",""sets"":""Junior""},")</f>
        <v>"bgrf":{"label":"Tall","extra":"(not short, not low) ","sets":"Junior"},</v>
      </c>
    </row>
    <row r="192">
      <c r="A192" s="8" t="str">
        <f>IFERROR(__xludf.DUMMYFUNCTION("""COMPUTED_VALUE"""),"Tame")</f>
        <v>Tame</v>
      </c>
      <c r="B192" s="8" t="str">
        <f>IFERROR(__xludf.DUMMYFUNCTION("""COMPUTED_VALUE"""),"(not wild, mild) ")</f>
        <v>(not wild, mild) </v>
      </c>
      <c r="C192" s="13" t="str">
        <f>IFERROR(__xludf.DUMMYFUNCTION("""COMPUTED_VALUE"""),"""jrik"":{""label"":""Tame"",""extra"":""(not wild, mild) "",""sets"":""Junior 9+ (1st) &amp; (2nd)""},")</f>
        <v>"jrik":{"label":"Tame","extra":"(not wild, mild) ","sets":"Junior 9+ (1st) &amp; (2nd)"},</v>
      </c>
    </row>
    <row r="193">
      <c r="A193" s="8" t="str">
        <f>IFERROR(__xludf.DUMMYFUNCTION("""COMPUTED_VALUE"""),"Tasty")</f>
        <v>Tasty</v>
      </c>
      <c r="B193" s="8" t="str">
        <f>IFERROR(__xludf.DUMMYFUNCTION("""COMPUTED_VALUE"""),"(flavorful, yummy) ")</f>
        <v>(flavorful, yummy) </v>
      </c>
      <c r="C193" s="13" t="str">
        <f>IFERROR(__xludf.DUMMYFUNCTION("""COMPUTED_VALUE"""),"""qxtb"":{""label"":""Tasty"",""extra"":""(flavorful, yummy) "",""sets"":""Junior""},")</f>
        <v>"qxtb":{"label":"Tasty","extra":"(flavorful, yummy) ","sets":"Junior"},</v>
      </c>
    </row>
    <row r="194">
      <c r="A194" s="8" t="str">
        <f>IFERROR(__xludf.DUMMYFUNCTION("""COMPUTED_VALUE"""),"Terrible")</f>
        <v>Terrible</v>
      </c>
      <c r="B194" s="8" t="str">
        <f>IFERROR(__xludf.DUMMYFUNCTION("""COMPUTED_VALUE"""),"(awful, dreadful) ")</f>
        <v>(awful, dreadful) </v>
      </c>
      <c r="C194" s="13" t="str">
        <f>IFERROR(__xludf.DUMMYFUNCTION("""COMPUTED_VALUE"""),"""sroa"":{""label"":""Terrible"",""extra"":""(awful, dreadful) "",""sets"":""Junior 9+ (2nd)""},")</f>
        <v>"sroa":{"label":"Terrible","extra":"(awful, dreadful) ","sets":"Junior 9+ (2nd)"},</v>
      </c>
    </row>
    <row r="195">
      <c r="A195" s="8" t="str">
        <f>IFERROR(__xludf.DUMMYFUNCTION("""COMPUTED_VALUE"""),"Thick")</f>
        <v>Thick</v>
      </c>
      <c r="B195" s="8" t="str">
        <f>IFERROR(__xludf.DUMMYFUNCTION("""COMPUTED_VALUE"""),"(wide, solid) ")</f>
        <v>(wide, solid) </v>
      </c>
      <c r="C195" s="13" t="str">
        <f>IFERROR(__xludf.DUMMYFUNCTION("""COMPUTED_VALUE"""),"""aivr"":{""label"":""Thick"",""extra"":""(wide, solid) "",""sets"":""Junior 9+ (2nd)""},")</f>
        <v>"aivr":{"label":"Thick","extra":"(wide, solid) ","sets":"Junior 9+ (2nd)"},</v>
      </c>
    </row>
    <row r="196">
      <c r="A196" s="8" t="str">
        <f>IFERROR(__xludf.DUMMYFUNCTION("""COMPUTED_VALUE"""),"Thin")</f>
        <v>Thin</v>
      </c>
      <c r="B196" s="8" t="str">
        <f>IFERROR(__xludf.DUMMYFUNCTION("""COMPUTED_VALUE"""),"(skinny, narrow) ")</f>
        <v>(skinny, narrow) </v>
      </c>
      <c r="C196" s="13" t="str">
        <f>IFERROR(__xludf.DUMMYFUNCTION("""COMPUTED_VALUE"""),"""ydnv"":{""label"":""Thin"",""extra"":""(skinny, narrow) "",""sets"":""Junior 9+ (1st) &amp; (2nd)""},")</f>
        <v>"ydnv":{"label":"Thin","extra":"(skinny, narrow) ","sets":"Junior 9+ (1st) &amp; (2nd)"},</v>
      </c>
    </row>
    <row r="197">
      <c r="A197" s="8" t="str">
        <f>IFERROR(__xludf.DUMMYFUNCTION("""COMPUTED_VALUE"""),"Thoughtful")</f>
        <v>Thoughtful</v>
      </c>
      <c r="B197" s="8" t="str">
        <f>IFERROR(__xludf.DUMMYFUNCTION("""COMPUTED_VALUE"""),"(caring, unselfish) ")</f>
        <v>(caring, unselfish) </v>
      </c>
      <c r="C197" s="13" t="str">
        <f>IFERROR(__xludf.DUMMYFUNCTION("""COMPUTED_VALUE"""),"""ddmx"":{""label"":""Thoughtful"",""extra"":""(caring, unselfish) "",""sets"":""Junior 9+ (2nd)""},")</f>
        <v>"ddmx":{"label":"Thoughtful","extra":"(caring, unselfish) ","sets":"Junior 9+ (2nd)"},</v>
      </c>
    </row>
    <row r="198">
      <c r="A198" s="8" t="str">
        <f>IFERROR(__xludf.DUMMYFUNCTION("""COMPUTED_VALUE"""),"Tiny")</f>
        <v>Tiny</v>
      </c>
      <c r="B198" s="8" t="str">
        <f>IFERROR(__xludf.DUMMYFUNCTION("""COMPUTED_VALUE"""),"(little, very small) ")</f>
        <v>(little, very small) </v>
      </c>
      <c r="C198" s="13" t="str">
        <f>IFERROR(__xludf.DUMMYFUNCTION("""COMPUTED_VALUE"""),"""ggxo"":{""label"":""Tiny"",""extra"":""(little, very small) "",""sets"":""Junior""},")</f>
        <v>"ggxo":{"label":"Tiny","extra":"(little, very small) ","sets":"Junior"},</v>
      </c>
    </row>
    <row r="199">
      <c r="A199" s="8" t="str">
        <f>IFERROR(__xludf.DUMMYFUNCTION("""COMPUTED_VALUE"""),"Tough")</f>
        <v>Tough</v>
      </c>
      <c r="B199" s="8" t="str">
        <f>IFERROR(__xludf.DUMMYFUNCTION("""COMPUTED_VALUE"""),"(strong, hard) ")</f>
        <v>(strong, hard) </v>
      </c>
      <c r="C199" s="13" t="str">
        <f>IFERROR(__xludf.DUMMYFUNCTION("""COMPUTED_VALUE"""),"""wfkd"":{""label"":""Tough"",""extra"":""(strong, hard) "",""sets"":""Junior 9+ (1st) &amp; (2nd)""},")</f>
        <v>"wfkd":{"label":"Tough","extra":"(strong, hard) ","sets":"Junior 9+ (1st) &amp; (2nd)"},</v>
      </c>
    </row>
    <row r="200">
      <c r="A200" s="8" t="str">
        <f>IFERROR(__xludf.DUMMYFUNCTION("""COMPUTED_VALUE"""),"Trustworthy")</f>
        <v>Trustworthy</v>
      </c>
      <c r="B200" s="8" t="str">
        <f>IFERROR(__xludf.DUMMYFUNCTION("""COMPUTED_VALUE"""),"(dependable, honest) ")</f>
        <v>(dependable, honest) </v>
      </c>
      <c r="C200" s="13" t="str">
        <f>IFERROR(__xludf.DUMMYFUNCTION("""COMPUTED_VALUE"""),"""oepj"":{""label"":""Trustworthy"",""extra"":""(dependable, honest) "",""sets"":""Junior 9+ (1st) &amp; (2nd)""},")</f>
        <v>"oepj":{"label":"Trustworthy","extra":"(dependable, honest) ","sets":"Junior 9+ (1st) &amp; (2nd)"},</v>
      </c>
    </row>
    <row r="201">
      <c r="A201" s="8" t="str">
        <f>IFERROR(__xludf.DUMMYFUNCTION("""COMPUTED_VALUE"""),"Ugly")</f>
        <v>Ugly</v>
      </c>
      <c r="B201" s="8" t="str">
        <f>IFERROR(__xludf.DUMMYFUNCTION("""COMPUTED_VALUE"""),"(not pretty, unpleasant) ")</f>
        <v>(not pretty, unpleasant) </v>
      </c>
      <c r="C201" s="13" t="str">
        <f>IFERROR(__xludf.DUMMYFUNCTION("""COMPUTED_VALUE"""),"""gpuq"":{""label"":""Ugly"",""extra"":""(not pretty, unpleasant) "",""sets"":""Junior""},")</f>
        <v>"gpuq":{"label":"Ugly","extra":"(not pretty, unpleasant) ","sets":"Junior"},</v>
      </c>
    </row>
    <row r="202">
      <c r="A202" s="8" t="str">
        <f>IFERROR(__xludf.DUMMYFUNCTION("""COMPUTED_VALUE"""),"Unforgettable")</f>
        <v>Unforgettable</v>
      </c>
      <c r="B202" s="8" t="str">
        <f>IFERROR(__xludf.DUMMYFUNCTION("""COMPUTED_VALUE"""),"(memorable, treasured) ")</f>
        <v>(memorable, treasured) </v>
      </c>
      <c r="C202" s="13" t="str">
        <f>IFERROR(__xludf.DUMMYFUNCTION("""COMPUTED_VALUE"""),"""mtdx"":{""label"":""Unforgettable"",""extra"":""(memorable, treasured) "",""sets"":""Junior 9+ (2nd)""},")</f>
        <v>"mtdx":{"label":"Unforgettable","extra":"(memorable, treasured) ","sets":"Junior 9+ (2nd)"},</v>
      </c>
    </row>
    <row r="203">
      <c r="A203" s="8" t="str">
        <f>IFERROR(__xludf.DUMMYFUNCTION("""COMPUTED_VALUE"""),"Unhappy")</f>
        <v>Unhappy</v>
      </c>
      <c r="B203" s="8" t="str">
        <f>IFERROR(__xludf.DUMMYFUNCTION("""COMPUTED_VALUE"""),"(sad, sorrowful) ")</f>
        <v>(sad, sorrowful) </v>
      </c>
      <c r="C203" s="13" t="str">
        <f>IFERROR(__xludf.DUMMYFUNCTION("""COMPUTED_VALUE"""),"""rpti"":{""label"":""Unhappy"",""extra"":""(sad, sorrowful) "",""sets"":""Junior 9+ (1st) &amp; (2nd)""},")</f>
        <v>"rpti":{"label":"Unhappy","extra":"(sad, sorrowful) ","sets":"Junior 9+ (1st) &amp; (2nd)"},</v>
      </c>
    </row>
    <row r="204">
      <c r="A204" s="8" t="str">
        <f>IFERROR(__xludf.DUMMYFUNCTION("""COMPUTED_VALUE"""),"Untamed")</f>
        <v>Untamed</v>
      </c>
      <c r="B204" s="8" t="str">
        <f>IFERROR(__xludf.DUMMYFUNCTION("""COMPUTED_VALUE"""),"(wild, natural) ")</f>
        <v>(wild, natural) </v>
      </c>
      <c r="C204" s="13" t="str">
        <f>IFERROR(__xludf.DUMMYFUNCTION("""COMPUTED_VALUE"""),"""rnje"":{""label"":""Untamed"",""extra"":""(wild, natural) "",""sets"":""Junior 9+ (2nd)""},")</f>
        <v>"rnje":{"label":"Untamed","extra":"(wild, natural) ","sets":"Junior 9+ (2nd)"},</v>
      </c>
    </row>
    <row r="205">
      <c r="A205" s="8" t="str">
        <f>IFERROR(__xludf.DUMMYFUNCTION("""COMPUTED_VALUE"""),"Useful")</f>
        <v>Useful</v>
      </c>
      <c r="B205" s="8" t="str">
        <f>IFERROR(__xludf.DUMMYFUNCTION("""COMPUTED_VALUE"""),"(helpful, handy) ")</f>
        <v>(helpful, handy) </v>
      </c>
      <c r="C205" s="13" t="str">
        <f>IFERROR(__xludf.DUMMYFUNCTION("""COMPUTED_VALUE"""),"""ldyt"":{""label"":""Useful"",""extra"":""(helpful, handy) "",""sets"":""Junior""},")</f>
        <v>"ldyt":{"label":"Useful","extra":"(helpful, handy) ","sets":"Junior"},</v>
      </c>
    </row>
    <row r="206">
      <c r="A206" s="8" t="str">
        <f>IFERROR(__xludf.DUMMYFUNCTION("""COMPUTED_VALUE"""),"Useless")</f>
        <v>Useless</v>
      </c>
      <c r="B206" s="8" t="str">
        <f>IFERROR(__xludf.DUMMYFUNCTION("""COMPUTED_VALUE"""),"(worthless, not valuable) ")</f>
        <v>(worthless, not valuable) </v>
      </c>
      <c r="C206" s="13" t="str">
        <f>IFERROR(__xludf.DUMMYFUNCTION("""COMPUTED_VALUE"""),"""auoi"":{""label"":""Useless"",""extra"":""(worthless, not valuable) "",""sets"":""Junior 9+ (1st) &amp; (2nd)""},")</f>
        <v>"auoi":{"label":"Useless","extra":"(worthless, not valuable) ","sets":"Junior 9+ (1st) &amp; (2nd)"},</v>
      </c>
    </row>
    <row r="207">
      <c r="A207" s="8" t="str">
        <f>IFERROR(__xludf.DUMMYFUNCTION("""COMPUTED_VALUE"""),"Valuable")</f>
        <v>Valuable</v>
      </c>
      <c r="B207" s="8" t="str">
        <f>IFERROR(__xludf.DUMMYFUNCTION("""COMPUTED_VALUE"""),"(expensive, important) ")</f>
        <v>(expensive, important) </v>
      </c>
      <c r="C207" s="13" t="str">
        <f>IFERROR(__xludf.DUMMYFUNCTION("""COMPUTED_VALUE"""),"""pzua"":{""label"":""Valuable"",""extra"":""(expensive, important) "",""sets"":""Junior 9+ (2nd)""},")</f>
        <v>"pzua":{"label":"Valuable","extra":"(expensive, important) ","sets":"Junior 9+ (2nd)"},</v>
      </c>
    </row>
    <row r="208">
      <c r="A208" s="8" t="str">
        <f>IFERROR(__xludf.DUMMYFUNCTION("""COMPUTED_VALUE"""),"Warm")</f>
        <v>Warm</v>
      </c>
      <c r="B208" s="8" t="str">
        <f>IFERROR(__xludf.DUMMYFUNCTION("""COMPUTED_VALUE"""),"(heated, somewhat hot) ")</f>
        <v>(heated, somewhat hot) </v>
      </c>
      <c r="C208" s="13" t="str">
        <f>IFERROR(__xludf.DUMMYFUNCTION("""COMPUTED_VALUE"""),"""dias"":{""label"":""Warm"",""extra"":""(heated, somewhat hot) "",""sets"":""Junior""},")</f>
        <v>"dias":{"label":"Warm","extra":"(heated, somewhat hot) ","sets":"Junior"},</v>
      </c>
    </row>
    <row r="209">
      <c r="A209" s="8" t="str">
        <f>IFERROR(__xludf.DUMMYFUNCTION("""COMPUTED_VALUE"""),"Weak")</f>
        <v>Weak</v>
      </c>
      <c r="B209" s="8" t="str">
        <f>IFERROR(__xludf.DUMMYFUNCTION("""COMPUTED_VALUE"""),"(not strong, sickly) ")</f>
        <v>(not strong, sickly) </v>
      </c>
      <c r="C209" s="13" t="str">
        <f>IFERROR(__xludf.DUMMYFUNCTION("""COMPUTED_VALUE"""),"""acjv"":{""label"":""Weak"",""extra"":""(not strong, sickly) "",""sets"":""Junior 9+ (1st) &amp; (2nd)""},")</f>
        <v>"acjv":{"label":"Weak","extra":"(not strong, sickly) ","sets":"Junior 9+ (1st) &amp; (2nd)"},</v>
      </c>
    </row>
    <row r="210">
      <c r="A210" s="8" t="str">
        <f>IFERROR(__xludf.DUMMYFUNCTION("""COMPUTED_VALUE"""),"Weird")</f>
        <v>Weird</v>
      </c>
      <c r="B210" s="8" t="str">
        <f>IFERROR(__xludf.DUMMYFUNCTION("""COMPUTED_VALUE"""),"(odd, mysterious) ")</f>
        <v>(odd, mysterious) </v>
      </c>
      <c r="C210" s="13" t="str">
        <f>IFERROR(__xludf.DUMMYFUNCTION("""COMPUTED_VALUE"""),"""tjif"":{""label"":""Weird"",""extra"":""(odd, mysterious) "",""sets"":""Junior""},")</f>
        <v>"tjif":{"label":"Weird","extra":"(odd, mysterious) ","sets":"Junior"},</v>
      </c>
    </row>
    <row r="211">
      <c r="A211" s="8" t="str">
        <f>IFERROR(__xludf.DUMMYFUNCTION("""COMPUTED_VALUE"""),"Wet")</f>
        <v>Wet</v>
      </c>
      <c r="B211" s="8" t="str">
        <f>IFERROR(__xludf.DUMMYFUNCTION("""COMPUTED_VALUE"""),"(watery, soaked) ")</f>
        <v>(watery, soaked) </v>
      </c>
      <c r="C211" s="13" t="str">
        <f>IFERROR(__xludf.DUMMYFUNCTION("""COMPUTED_VALUE"""),"""ashk"":{""label"":""Wet"",""extra"":""(watery, soaked) "",""sets"":""Junior""},")</f>
        <v>"ashk":{"label":"Wet","extra":"(watery, soaked) ","sets":"Junior"},</v>
      </c>
    </row>
    <row r="212">
      <c r="A212" s="8" t="str">
        <f>IFERROR(__xludf.DUMMYFUNCTION("""COMPUTED_VALUE"""),"Wide")</f>
        <v>Wide</v>
      </c>
      <c r="B212" s="8" t="str">
        <f>IFERROR(__xludf.DUMMYFUNCTION("""COMPUTED_VALUE"""),"(broad, thick) ")</f>
        <v>(broad, thick) </v>
      </c>
      <c r="C212" s="13" t="str">
        <f>IFERROR(__xludf.DUMMYFUNCTION("""COMPUTED_VALUE"""),"""oujt"":{""label"":""Wide"",""extra"":""(broad, thick) "",""sets"":""Junior 9+ (2nd)""},")</f>
        <v>"oujt":{"label":"Wide","extra":"(broad, thick) ","sets":"Junior 9+ (2nd)"},</v>
      </c>
    </row>
    <row r="213">
      <c r="A213" s="8" t="str">
        <f>IFERROR(__xludf.DUMMYFUNCTION("""COMPUTED_VALUE"""),"Wild")</f>
        <v>Wild</v>
      </c>
      <c r="B213" s="8" t="str">
        <f>IFERROR(__xludf.DUMMYFUNCTION("""COMPUTED_VALUE"""),"(not tame, crazy) ")</f>
        <v>(not tame, crazy) </v>
      </c>
      <c r="C213" s="13" t="str">
        <f>IFERROR(__xludf.DUMMYFUNCTION("""COMPUTED_VALUE"""),"""xfvg"":{""label"":""Wild"",""extra"":""(not tame, crazy) "",""sets"":""Junior""},")</f>
        <v>"xfvg":{"label":"Wild","extra":"(not tame, crazy) ","sets":"Junior"},</v>
      </c>
    </row>
    <row r="214">
      <c r="A214" s="8" t="str">
        <f>IFERROR(__xludf.DUMMYFUNCTION("""COMPUTED_VALUE"""),"Wonderful")</f>
        <v>Wonderful</v>
      </c>
      <c r="B214" s="8" t="str">
        <f>IFERROR(__xludf.DUMMYFUNCTION("""COMPUTED_VALUE"""),"(great, excellent) ")</f>
        <v>(great, excellent) </v>
      </c>
      <c r="C214" s="13" t="str">
        <f>IFERROR(__xludf.DUMMYFUNCTION("""COMPUTED_VALUE"""),"""vfyi"":{""label"":""Wonderful"",""extra"":""(great, excellent) "",""sets"":""Junior""},")</f>
        <v>"vfyi":{"label":"Wonderful","extra":"(great, excellent) ","sets":"Junior"},</v>
      </c>
    </row>
    <row r="215">
      <c r="A215" s="8" t="str">
        <f>IFERROR(__xludf.DUMMYFUNCTION("""COMPUTED_VALUE"""),"Worthless")</f>
        <v>Worthless</v>
      </c>
      <c r="B215" s="8" t="str">
        <f>IFERROR(__xludf.DUMMYFUNCTION("""COMPUTED_VALUE"""),"(useless, meaningless) ")</f>
        <v>(useless, meaningless) </v>
      </c>
      <c r="C215" s="13" t="str">
        <f>IFERROR(__xludf.DUMMYFUNCTION("""COMPUTED_VALUE"""),"""juey"":{""label"":""Worthless"",""extra"":""(useless, meaningless) "",""sets"":""Junior 9+ (2nd)""},")</f>
        <v>"juey":{"label":"Worthless","extra":"(useless, meaningless) ","sets":"Junior 9+ (2nd)"},</v>
      </c>
    </row>
    <row r="216">
      <c r="A216" s="8" t="str">
        <f>IFERROR(__xludf.DUMMYFUNCTION("""COMPUTED_VALUE"""),"Young")</f>
        <v>Young</v>
      </c>
      <c r="B216" s="8" t="str">
        <f>IFERROR(__xludf.DUMMYFUNCTION("""COMPUTED_VALUE"""),"(not old, new) ")</f>
        <v>(not old, new) </v>
      </c>
      <c r="C216" s="13" t="str">
        <f>IFERROR(__xludf.DUMMYFUNCTION("""COMPUTED_VALUE"""),"""dqey"":{""label"":""Young"",""extra"":""(not old, new) "",""sets"":""Junior 9+ (1st) &amp; (2nd)""},")</f>
        <v>"dqey":{"label":"Young","extra":"(not old, new) ","sets":"Junior 9+ (1st) &amp; (2nd)"},</v>
      </c>
    </row>
    <row r="217">
      <c r="A217" s="8" t="str">
        <f>IFERROR(__xludf.DUMMYFUNCTION("""COMPUTED_VALUE"""),"Yucky")</f>
        <v>Yucky</v>
      </c>
      <c r="B217" s="8" t="str">
        <f>IFERROR(__xludf.DUMMYFUNCTION("""COMPUTED_VALUE"""),"(icky, sickening) ")</f>
        <v>(icky, sickening) </v>
      </c>
      <c r="C217" s="13" t="str">
        <f>IFERROR(__xludf.DUMMYFUNCTION("""COMPUTED_VALUE"""),"""bnel"":{""label"":""Yucky"",""extra"":""(icky, sickening) "",""sets"":""Junior""},")</f>
        <v>"bnel":{"label":"Yucky","extra":"(icky, sickening) ","sets":"Junior"},</v>
      </c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31.63"/>
    <col customWidth="1" min="3" max="3" width="15.63"/>
  </cols>
  <sheetData>
    <row r="1">
      <c r="A1" s="6" t="str">
        <f>Grn!B2</f>
        <v>label</v>
      </c>
      <c r="B1" s="6" t="str">
        <f>Grn!C2</f>
        <v>extra</v>
      </c>
      <c r="C1" s="4" t="s">
        <v>8</v>
      </c>
    </row>
    <row r="2">
      <c r="A2" s="8" t="str">
        <f>IFERROR(__xludf.DUMMYFUNCTION("filter(Red!B3:D1000,search(""Junior"",Red!H3:H1000))"),"A Bakery")</f>
        <v>A Bakery</v>
      </c>
      <c r="B2" s="8" t="str">
        <f>IFERROR(__xludf.DUMMYFUNCTION("""COMPUTED_VALUE"""),"Some bakers start work at 3:00 in the morning, so breads and donuts are fresh for breakfast.")</f>
        <v>Some bakers start work at 3:00 in the morning, so breads and donuts are fresh for breakfast.</v>
      </c>
      <c r="C2" s="13" t="str">
        <f>IFERROR(__xludf.DUMMYFUNCTION("""COMPUTED_VALUE"""),"""roua"":{""label"":""A Bakery"",""extra"":""Some bakers start work at 3:00 in the morning, so breads and donuts are fresh for breakfast."",""sets"":""Junior 9+ (1st) &amp; (2nd)""},")</f>
        <v>"roua":{"label":"A Bakery","extra":"Some bakers start work at 3:00 in the morning, so breads and donuts are fresh for breakfast.","sets":"Junior 9+ (1st) &amp; (2nd)"},</v>
      </c>
    </row>
    <row r="3">
      <c r="A3" s="8" t="str">
        <f>IFERROR(__xludf.DUMMYFUNCTION("""COMPUTED_VALUE"""),"A Broken Leg")</f>
        <v>A Broken Leg</v>
      </c>
      <c r="B3" s="8" t="str">
        <f>IFERROR(__xludf.DUMMYFUNCTION("""COMPUTED_VALUE"""),"I was riding my bike when I hit this big rock…")</f>
        <v>I was riding my bike when I hit this big rock…</v>
      </c>
      <c r="C3" s="13" t="str">
        <f>IFERROR(__xludf.DUMMYFUNCTION("""COMPUTED_VALUE"""),"""hign"":{""label"":""A Broken Leg"",""extra"":""I was riding my bike when I hit this big rock…"",""sets"":""Junior 9+ (1st) &amp; (2nd)""},")</f>
        <v>"hign":{"label":"A Broken Leg","extra":"I was riding my bike when I hit this big rock…","sets":"Junior 9+ (1st) &amp; (2nd)"},</v>
      </c>
    </row>
    <row r="4">
      <c r="A4" s="8" t="str">
        <f>IFERROR(__xludf.DUMMYFUNCTION("""COMPUTED_VALUE"""),"A Cookbook")</f>
        <v>A Cookbook</v>
      </c>
      <c r="B4" s="8" t="str">
        <f>IFERROR(__xludf.DUMMYFUNCTION("""COMPUTED_VALUE"""),"The best ones include favorite family recipes.")</f>
        <v>The best ones include favorite family recipes.</v>
      </c>
      <c r="C4" s="13" t="str">
        <f>IFERROR(__xludf.DUMMYFUNCTION("""COMPUTED_VALUE"""),"""fsqo"":{""label"":""A Cookbook"",""extra"":""The best ones include favorite family recipes."",""sets"":""Junior 9+ (2nd)""},")</f>
        <v>"fsqo":{"label":"A Cookbook","extra":"The best ones include favorite family recipes.","sets":"Junior 9+ (2nd)"},</v>
      </c>
    </row>
    <row r="5">
      <c r="A5" s="8" t="str">
        <f>IFERROR(__xludf.DUMMYFUNCTION("""COMPUTED_VALUE"""),"A Crown")</f>
        <v>A Crown</v>
      </c>
      <c r="B5" s="8" t="str">
        <f>IFERROR(__xludf.DUMMYFUNCTION("""COMPUTED_VALUE"""),"A crown is a symbol of royalty.")</f>
        <v>A crown is a symbol of royalty.</v>
      </c>
      <c r="C5" s="13" t="str">
        <f>IFERROR(__xludf.DUMMYFUNCTION("""COMPUTED_VALUE"""),"""omym"":{""label"":""A Crown"",""extra"":""A crown is a symbol of royalty."",""sets"":""Junior 9+ (2nd)""},")</f>
        <v>"omym":{"label":"A Crown","extra":"A crown is a symbol of royalty.","sets":"Junior 9+ (2nd)"},</v>
      </c>
    </row>
    <row r="6">
      <c r="A6" s="8" t="str">
        <f>IFERROR(__xludf.DUMMYFUNCTION("""COMPUTED_VALUE"""),"A Desert")</f>
        <v>A Desert</v>
      </c>
      <c r="B6" s="8" t="str">
        <f>IFERROR(__xludf.DUMMYFUNCTION("""COMPUTED_VALUE"""),"Hot, dry and sandy.")</f>
        <v>Hot, dry and sandy.</v>
      </c>
      <c r="C6" s="13" t="str">
        <f>IFERROR(__xludf.DUMMYFUNCTION("""COMPUTED_VALUE"""),"""sqve"":{""label"":""A Desert"",""extra"":""Hot, dry and sandy."",""sets"":""Junior 9+ (1st) &amp; (2nd)""},")</f>
        <v>"sqve":{"label":"A Desert","extra":"Hot, dry and sandy.","sets":"Junior 9+ (1st) &amp; (2nd)"},</v>
      </c>
    </row>
    <row r="7">
      <c r="A7" s="8" t="str">
        <f>IFERROR(__xludf.DUMMYFUNCTION("""COMPUTED_VALUE"""),"A Dollar")</f>
        <v>A Dollar</v>
      </c>
      <c r="B7" s="8" t="str">
        <f>IFERROR(__xludf.DUMMYFUNCTION("""COMPUTED_VALUE"""),"Spend it wisely!")</f>
        <v>Spend it wisely!</v>
      </c>
      <c r="C7" s="13" t="str">
        <f>IFERROR(__xludf.DUMMYFUNCTION("""COMPUTED_VALUE"""),"""xeqx"":{""label"":""A Dollar"",""extra"":""Spend it wisely!"",""sets"":""Junior 9+ (2nd)""},")</f>
        <v>"xeqx":{"label":"A Dollar","extra":"Spend it wisely!","sets":"Junior 9+ (2nd)"},</v>
      </c>
    </row>
    <row r="8">
      <c r="A8" s="8" t="str">
        <f>IFERROR(__xludf.DUMMYFUNCTION("""COMPUTED_VALUE"""),"A Fairy")</f>
        <v>A Fairy</v>
      </c>
      <c r="B8" s="8" t="str">
        <f>IFERROR(__xludf.DUMMYFUNCTION("""COMPUTED_VALUE"""),"A tiny creature who has magical powers and can fly, like Tinkerbell.")</f>
        <v>A tiny creature who has magical powers and can fly, like Tinkerbell.</v>
      </c>
      <c r="C8" s="13" t="str">
        <f>IFERROR(__xludf.DUMMYFUNCTION("""COMPUTED_VALUE"""),"""lrta"":{""label"":""A Fairy"",""extra"":""A tiny creature who has magical powers and can fly, like Tinkerbell."",""sets"":""Junior""},")</f>
        <v>"lrta":{"label":"A Fairy","extra":"A tiny creature who has magical powers and can fly, like Tinkerbell.","sets":"Junior"},</v>
      </c>
    </row>
    <row r="9">
      <c r="A9" s="8" t="str">
        <f>IFERROR(__xludf.DUMMYFUNCTION("""COMPUTED_VALUE"""),"A Forest")</f>
        <v>A Forest</v>
      </c>
      <c r="B9" s="8" t="str">
        <f>IFERROR(__xludf.DUMMYFUNCTION("""COMPUTED_VALUE"""),"Home to Bambi, Winnie the Pooh, Robin Hood, and many woodland animals.")</f>
        <v>Home to Bambi, Winnie the Pooh, Robin Hood, and many woodland animals.</v>
      </c>
      <c r="C9" s="13" t="str">
        <f>IFERROR(__xludf.DUMMYFUNCTION("""COMPUTED_VALUE"""),"""ehqw"":{""label"":""A Forest"",""extra"":""Home to Bambi, Winnie the Pooh, Robin Hood, and many woodland animals."",""sets"":""Junior""},")</f>
        <v>"ehqw":{"label":"A Forest","extra":"Home to Bambi, Winnie the Pooh, Robin Hood, and many woodland animals.","sets":"Junior"},</v>
      </c>
    </row>
    <row r="10">
      <c r="A10" s="8" t="str">
        <f>IFERROR(__xludf.DUMMYFUNCTION("""COMPUTED_VALUE"""),"A Funeral")</f>
        <v>A Funeral</v>
      </c>
      <c r="B10" s="8" t="str">
        <f>IFERROR(__xludf.DUMMYFUNCTION("""COMPUTED_VALUE"""),"A ceremony held to honor a person who has died.")</f>
        <v>A ceremony held to honor a person who has died.</v>
      </c>
      <c r="C10" s="13" t="str">
        <f>IFERROR(__xludf.DUMMYFUNCTION("""COMPUTED_VALUE"""),"""lbxz"":{""label"":""A Funeral"",""extra"":""A ceremony held to honor a person who has died."",""sets"":""Junior 9+ (1st) &amp; (2nd)""},")</f>
        <v>"lbxz":{"label":"A Funeral","extra":"A ceremony held to honor a person who has died.","sets":"Junior 9+ (1st) &amp; (2nd)"},</v>
      </c>
    </row>
    <row r="11">
      <c r="A11" s="8" t="str">
        <f>IFERROR(__xludf.DUMMYFUNCTION("""COMPUTED_VALUE"""),"A Giant")</f>
        <v>A Giant</v>
      </c>
      <c r="B11" s="8" t="str">
        <f>IFERROR(__xludf.DUMMYFUNCTION("""COMPUTED_VALUE"""),"A very large and powerful person. When Jack climbed the bean stalk, he met a hungry giant.")</f>
        <v>A very large and powerful person. When Jack climbed the bean stalk, he met a hungry giant.</v>
      </c>
      <c r="C11" s="13" t="str">
        <f>IFERROR(__xludf.DUMMYFUNCTION("""COMPUTED_VALUE"""),"""gkbi"":{""label"":""A Giant"",""extra"":""A very large and powerful person. When Jack climbed the bean stalk, he met a hungry giant."",""sets"":""Junior""},")</f>
        <v>"gkbi":{"label":"A Giant","extra":"A very large and powerful person. When Jack climbed the bean stalk, he met a hungry giant.","sets":"Junior"},</v>
      </c>
    </row>
    <row r="12">
      <c r="A12" s="8" t="str">
        <f>IFERROR(__xludf.DUMMYFUNCTION("""COMPUTED_VALUE"""),"A King")</f>
        <v>A King</v>
      </c>
      <c r="B12" s="8" t="str">
        <f>IFERROR(__xludf.DUMMYFUNCTION("""COMPUTED_VALUE"""),"King Arthur became famous when he pulled a magical sword from a stone.")</f>
        <v>King Arthur became famous when he pulled a magical sword from a stone.</v>
      </c>
      <c r="C12" s="13" t="str">
        <f>IFERROR(__xludf.DUMMYFUNCTION("""COMPUTED_VALUE"""),"""vhur"":{""label"":""A King"",""extra"":""King Arthur became famous when he pulled a magical sword from a stone."",""sets"":""Junior""},")</f>
        <v>"vhur":{"label":"A King","extra":"King Arthur became famous when he pulled a magical sword from a stone.","sets":"Junior"},</v>
      </c>
    </row>
    <row r="13">
      <c r="A13" s="8" t="str">
        <f>IFERROR(__xludf.DUMMYFUNCTION("""COMPUTED_VALUE"""),"A Leaky Boat")</f>
        <v>A Leaky Boat</v>
      </c>
      <c r="B13" s="8" t="str">
        <f>IFERROR(__xludf.DUMMYFUNCTION("""COMPUTED_VALUE"""),"Time to bail out.")</f>
        <v>Time to bail out.</v>
      </c>
      <c r="C13" s="13" t="str">
        <f>IFERROR(__xludf.DUMMYFUNCTION("""COMPUTED_VALUE"""),"""kdri"":{""label"":""A Leaky Boat"",""extra"":""Time to bail out."",""sets"":""Junior 9+ (2nd)""},")</f>
        <v>"kdri":{"label":"A Leaky Boat","extra":"Time to bail out.","sets":"Junior 9+ (2nd)"},</v>
      </c>
    </row>
    <row r="14">
      <c r="A14" s="8" t="str">
        <f>IFERROR(__xludf.DUMMYFUNCTION("""COMPUTED_VALUE"""),"A Log Cabin")</f>
        <v>A Log Cabin</v>
      </c>
      <c r="B14" s="8" t="str">
        <f>IFERROR(__xludf.DUMMYFUNCTION("""COMPUTED_VALUE"""),"Just cut down a few trees and make a house.")</f>
        <v>Just cut down a few trees and make a house.</v>
      </c>
      <c r="C14" s="13" t="str">
        <f>IFERROR(__xludf.DUMMYFUNCTION("""COMPUTED_VALUE"""),"""kfyr"":{""label"":""A Log Cabin"",""extra"":""Just cut down a few trees and make a house."",""sets"":""Junior 9+ (2nd)""},")</f>
        <v>"kfyr":{"label":"A Log Cabin","extra":"Just cut down a few trees and make a house.","sets":"Junior 9+ (2nd)"},</v>
      </c>
    </row>
    <row r="15">
      <c r="A15" s="8" t="str">
        <f>IFERROR(__xludf.DUMMYFUNCTION("""COMPUTED_VALUE"""),"A Mermaid")</f>
        <v>A Mermaid</v>
      </c>
      <c r="B15" s="8" t="str">
        <f>IFERROR(__xludf.DUMMYFUNCTION("""COMPUTED_VALUE"""),"An imaginary creature with the upper body of a woman and the tail of a fish.")</f>
        <v>An imaginary creature with the upper body of a woman and the tail of a fish.</v>
      </c>
      <c r="C15" s="13" t="str">
        <f>IFERROR(__xludf.DUMMYFUNCTION("""COMPUTED_VALUE"""),"""xrks"":{""label"":""A Mermaid"",""extra"":""An imaginary creature with the upper body of a woman and the tail of a fish."",""sets"":""Junior 9+ (2nd)""},")</f>
        <v>"xrks":{"label":"A Mermaid","extra":"An imaginary creature with the upper body of a woman and the tail of a fish.","sets":"Junior 9+ (2nd)"},</v>
      </c>
    </row>
    <row r="16">
      <c r="A16" s="8" t="str">
        <f>IFERROR(__xludf.DUMMYFUNCTION("""COMPUTED_VALUE"""),"A Microwave Oven")</f>
        <v>A Microwave Oven</v>
      </c>
      <c r="B16" s="8" t="str">
        <f>IFERROR(__xludf.DUMMYFUNCTION("""COMPUTED_VALUE"""),"You’ll have popcorn in two minutes.")</f>
        <v>You’ll have popcorn in two minutes.</v>
      </c>
      <c r="C16" s="13" t="str">
        <f>IFERROR(__xludf.DUMMYFUNCTION("""COMPUTED_VALUE"""),"""{cal"":{""label"":""A Microwave Oven"",""extra"":""You’ll have popcorn in two minutes."",""sets"":""Junior 9+ (2nd)""},")</f>
        <v>"{cal":{"label":"A Microwave Oven","extra":"You’ll have popcorn in two minutes.","sets":"Junior 9+ (2nd)"},</v>
      </c>
    </row>
    <row r="17">
      <c r="A17" s="8" t="str">
        <f>IFERROR(__xludf.DUMMYFUNCTION("""COMPUTED_VALUE"""),"A Movie Theater")</f>
        <v>A Movie Theater</v>
      </c>
      <c r="B17" s="8" t="str">
        <f>IFERROR(__xludf.DUMMYFUNCTION("""COMPUTED_VALUE"""),"When you want a REALLY big screen.")</f>
        <v>When you want a REALLY big screen.</v>
      </c>
      <c r="C17" s="13" t="str">
        <f>IFERROR(__xludf.DUMMYFUNCTION("""COMPUTED_VALUE"""),"""eyik"":{""label"":""A Movie Theater"",""extra"":""When you want a REALLY big screen."",""sets"":""Junior 9+ (2nd)""},")</f>
        <v>"eyik":{"label":"A Movie Theater","extra":"When you want a REALLY big screen.","sets":"Junior 9+ (2nd)"},</v>
      </c>
    </row>
    <row r="18">
      <c r="A18" s="8" t="str">
        <f>IFERROR(__xludf.DUMMYFUNCTION("""COMPUTED_VALUE"""),"A Mummy")</f>
        <v>A Mummy</v>
      </c>
      <c r="B18" s="8" t="str">
        <f>IFERROR(__xludf.DUMMYFUNCTION("""COMPUTED_VALUE"""),"In Egypt there are mummies that are over 3,000 years old.")</f>
        <v>In Egypt there are mummies that are over 3,000 years old.</v>
      </c>
      <c r="C18" s="13" t="str">
        <f>IFERROR(__xludf.DUMMYFUNCTION("""COMPUTED_VALUE"""),"""irhi"":{""label"":""A Mummy"",""extra"":""In Egypt there are mummies that are over 3,000 years old."",""sets"":""Junior 9+ (2nd)""},")</f>
        <v>"irhi":{"label":"A Mummy","extra":"In Egypt there are mummies that are over 3,000 years old.","sets":"Junior 9+ (2nd)"},</v>
      </c>
    </row>
    <row r="19">
      <c r="A19" s="8" t="str">
        <f>IFERROR(__xludf.DUMMYFUNCTION("""COMPUTED_VALUE"""),"A Parade")</f>
        <v>A Parade</v>
      </c>
      <c r="B19" s="8" t="str">
        <f>IFERROR(__xludf.DUMMYFUNCTION("""COMPUTED_VALUE"""),"I love a parade.")</f>
        <v>I love a parade.</v>
      </c>
      <c r="C19" s="13" t="str">
        <f>IFERROR(__xludf.DUMMYFUNCTION("""COMPUTED_VALUE"""),"""ppfm"":{""label"":""A Parade"",""extra"":""I love a parade."",""sets"":""Junior 9+ (2nd)""},")</f>
        <v>"ppfm":{"label":"A Parade","extra":"I love a parade.","sets":"Junior 9+ (2nd)"},</v>
      </c>
    </row>
    <row r="20">
      <c r="A20" s="8" t="str">
        <f>IFERROR(__xludf.DUMMYFUNCTION("""COMPUTED_VALUE"""),"A Piano")</f>
        <v>A Piano</v>
      </c>
      <c r="B20" s="8" t="str">
        <f>IFERROR(__xludf.DUMMYFUNCTION("""COMPUTED_VALUE"""),"A piano is a percussion instrument, like a drum or cymbal.")</f>
        <v>A piano is a percussion instrument, like a drum or cymbal.</v>
      </c>
      <c r="C20" s="13" t="str">
        <f>IFERROR(__xludf.DUMMYFUNCTION("""COMPUTED_VALUE"""),"""oe{k"":{""label"":""A Piano"",""extra"":""A piano is a percussion instrument, like a drum or cymbal."",""sets"":""Junior 9+ (2nd)""},")</f>
        <v>"oe{k":{"label":"A Piano","extra":"A piano is a percussion instrument, like a drum or cymbal.","sets":"Junior 9+ (2nd)"},</v>
      </c>
    </row>
    <row r="21">
      <c r="A21" s="8" t="str">
        <f>IFERROR(__xludf.DUMMYFUNCTION("""COMPUTED_VALUE"""),"A Pile Of Leaves")</f>
        <v>A Pile Of Leaves</v>
      </c>
      <c r="B21" s="8" t="str">
        <f>IFERROR(__xludf.DUMMYFUNCTION("""COMPUTED_VALUE"""),"Rake them up and jump in!")</f>
        <v>Rake them up and jump in!</v>
      </c>
      <c r="C21" s="13" t="str">
        <f>IFERROR(__xludf.DUMMYFUNCTION("""COMPUTED_VALUE"""),"""hqnc"":{""label"":""A Pile Of Leaves"",""extra"":""Rake them up and jump in!"",""sets"":""Junior""},")</f>
        <v>"hqnc":{"label":"A Pile Of Leaves","extra":"Rake them up and jump in!","sets":"Junior"},</v>
      </c>
    </row>
    <row r="22">
      <c r="A22" s="8" t="str">
        <f>IFERROR(__xludf.DUMMYFUNCTION("""COMPUTED_VALUE"""),"A Prince")</f>
        <v>A Prince</v>
      </c>
      <c r="B22" s="8" t="str">
        <f>IFERROR(__xludf.DUMMYFUNCTION("""COMPUTED_VALUE"""),"Some are real, but most are just in fairy tales.")</f>
        <v>Some are real, but most are just in fairy tales.</v>
      </c>
      <c r="C22" s="13" t="str">
        <f>IFERROR(__xludf.DUMMYFUNCTION("""COMPUTED_VALUE"""),"""qgun"":{""label"":""A Prince"",""extra"":""Some are real, but most are just in fairy tales."",""sets"":""Junior 9+ (2nd)""},")</f>
        <v>"qgun":{"label":"A Prince","extra":"Some are real, but most are just in fairy tales.","sets":"Junior 9+ (2nd)"},</v>
      </c>
    </row>
    <row r="23">
      <c r="A23" s="8" t="str">
        <f>IFERROR(__xludf.DUMMYFUNCTION("""COMPUTED_VALUE"""),"A Princess")</f>
        <v>A Princess</v>
      </c>
      <c r="B23" s="8" t="str">
        <f>IFERROR(__xludf.DUMMYFUNCTION("""COMPUTED_VALUE"""),"Some are real, but most are just in fairy tales.")</f>
        <v>Some are real, but most are just in fairy tales.</v>
      </c>
      <c r="C23" s="13" t="str">
        <f>IFERROR(__xludf.DUMMYFUNCTION("""COMPUTED_VALUE"""),"""shwu"":{""label"":""A Princess"",""extra"":""Some are real, but most are just in fairy tales."",""sets"":""Junior 9+ (2nd)""},")</f>
        <v>"shwu":{"label":"A Princess","extra":"Some are real, but most are just in fairy tales.","sets":"Junior 9+ (2nd)"},</v>
      </c>
    </row>
    <row r="24">
      <c r="A24" s="8" t="str">
        <f>IFERROR(__xludf.DUMMYFUNCTION("""COMPUTED_VALUE"""),"A Queen")</f>
        <v>A Queen</v>
      </c>
      <c r="B24" s="8" t="str">
        <f>IFERROR(__xludf.DUMMYFUNCTION("""COMPUTED_VALUE"""),"A wicked queen tried to kill Snow White with a poison apple.")</f>
        <v>A wicked queen tried to kill Snow White with a poison apple.</v>
      </c>
      <c r="C24" s="13" t="str">
        <f>IFERROR(__xludf.DUMMYFUNCTION("""COMPUTED_VALUE"""),"""yntr"":{""label"":""A Queen"",""extra"":""A wicked queen tried to kill Snow White with a poison apple."",""sets"":""Junior""},")</f>
        <v>"yntr":{"label":"A Queen","extra":"A wicked queen tried to kill Snow White with a poison apple.","sets":"Junior"},</v>
      </c>
    </row>
    <row r="25">
      <c r="A25" s="8" t="str">
        <f>IFERROR(__xludf.DUMMYFUNCTION("""COMPUTED_VALUE"""),"A Refrigerator")</f>
        <v>A Refrigerator</v>
      </c>
      <c r="B25" s="8" t="str">
        <f>IFERROR(__xludf.DUMMYFUNCTION("""COMPUTED_VALUE"""),"First stop after school.")</f>
        <v>First stop after school.</v>
      </c>
      <c r="C25" s="13" t="str">
        <f>IFERROR(__xludf.DUMMYFUNCTION("""COMPUTED_VALUE"""),"""ctht"":{""label"":""A Refrigerator"",""extra"":""First stop after school."",""sets"":""Junior 9+ (2nd)""},")</f>
        <v>"ctht":{"label":"A Refrigerator","extra":"First stop after school.","sets":"Junior 9+ (2nd)"},</v>
      </c>
    </row>
    <row r="26">
      <c r="A26" s="8" t="str">
        <f>IFERROR(__xludf.DUMMYFUNCTION("""COMPUTED_VALUE"""),"A Saw")</f>
        <v>A Saw</v>
      </c>
      <c r="B26" s="8" t="str">
        <f>IFERROR(__xludf.DUMMYFUNCTION("""COMPUTED_VALUE"""),"A metal tool with sharp teeth used to cut metal and wood. Some are used as musical instruments.")</f>
        <v>A metal tool with sharp teeth used to cut metal and wood. Some are used as musical instruments.</v>
      </c>
      <c r="C26" s="13" t="str">
        <f>IFERROR(__xludf.DUMMYFUNCTION("""COMPUTED_VALUE"""),"""lgxd"":{""label"":""A Saw"",""extra"":""A metal tool with sharp teeth used to cut metal and wood. Some are used as musical instruments."",""sets"":""Junior""},")</f>
        <v>"lgxd":{"label":"A Saw","extra":"A metal tool with sharp teeth used to cut metal and wood. Some are used as musical instruments.","sets":"Junior"},</v>
      </c>
    </row>
    <row r="27">
      <c r="A27" s="8" t="str">
        <f>IFERROR(__xludf.DUMMYFUNCTION("""COMPUTED_VALUE"""),"A School Dance")</f>
        <v>A School Dance</v>
      </c>
      <c r="B27" s="8" t="str">
        <f>IFERROR(__xludf.DUMMYFUNCTION("""COMPUTED_VALUE"""),"No chicken dance or hokey-pokey!")</f>
        <v>No chicken dance or hokey-pokey!</v>
      </c>
      <c r="C27" s="13" t="str">
        <f>IFERROR(__xludf.DUMMYFUNCTION("""COMPUTED_VALUE"""),"""osno"":{""label"":""A School Dance"",""extra"":""No chicken dance or hokey-pokey!"",""sets"":""Junior 9+ (1st) &amp; (2nd)""},")</f>
        <v>"osno":{"label":"A School Dance","extra":"No chicken dance or hokey-pokey!","sets":"Junior 9+ (1st) &amp; (2nd)"},</v>
      </c>
    </row>
    <row r="28">
      <c r="A28" s="8" t="str">
        <f>IFERROR(__xludf.DUMMYFUNCTION("""COMPUTED_VALUE"""),"A Submarine")</f>
        <v>A Submarine</v>
      </c>
      <c r="B28" s="8" t="str">
        <f>IFERROR(__xludf.DUMMYFUNCTION("""COMPUTED_VALUE"""),"It’s a sandwich shaped like a boat.or a boat shaped like a sandwich.")</f>
        <v>It’s a sandwich shaped like a boat.or a boat shaped like a sandwich.</v>
      </c>
      <c r="C28" s="13" t="str">
        <f>IFERROR(__xludf.DUMMYFUNCTION("""COMPUTED_VALUE"""),"""nluh"":{""label"":""A Submarine"",""extra"":""It’s a sandwich shaped like a boat.or a boat shaped like a sandwich."",""sets"":""Junior 9+ (2nd)""},")</f>
        <v>"nluh":{"label":"A Submarine","extra":"It’s a sandwich shaped like a boat.or a boat shaped like a sandwich.","sets":"Junior 9+ (2nd)"},</v>
      </c>
    </row>
    <row r="29">
      <c r="A29" s="8" t="str">
        <f>IFERROR(__xludf.DUMMYFUNCTION("""COMPUTED_VALUE"""),"A Surprise")</f>
        <v>A Surprise</v>
      </c>
      <c r="B29" s="8" t="str">
        <f>IFERROR(__xludf.DUMMYFUNCTION("""COMPUTED_VALUE"""),"Something that is unexpected, like a present from a friend.")</f>
        <v>Something that is unexpected, like a present from a friend.</v>
      </c>
      <c r="C29" s="13" t="str">
        <f>IFERROR(__xludf.DUMMYFUNCTION("""COMPUTED_VALUE"""),"""xmic"":{""label"":""A Surprise"",""extra"":""Something that is unexpected, like a present from a friend."",""sets"":""Junior""},")</f>
        <v>"xmic":{"label":"A Surprise","extra":"Something that is unexpected, like a present from a friend.","sets":"Junior"},</v>
      </c>
    </row>
    <row r="30">
      <c r="A30" s="8" t="str">
        <f>IFERROR(__xludf.DUMMYFUNCTION("""COMPUTED_VALUE"""),"A Swimming Pool")</f>
        <v>A Swimming Pool</v>
      </c>
      <c r="B30" s="8" t="str">
        <f>IFERROR(__xludf.DUMMYFUNCTION("""COMPUTED_VALUE"""),"No diving in the shallow end.")</f>
        <v>No diving in the shallow end.</v>
      </c>
      <c r="C30" s="13" t="str">
        <f>IFERROR(__xludf.DUMMYFUNCTION("""COMPUTED_VALUE"""),"""ycjk"":{""label"":""A Swimming Pool"",""extra"":""No diving in the shallow end."",""sets"":""Junior 9+ (1st) &amp; (2nd)""},")</f>
        <v>"ycjk":{"label":"A Swimming Pool","extra":"No diving in the shallow end.","sets":"Junior 9+ (1st) &amp; (2nd)"},</v>
      </c>
    </row>
    <row r="31">
      <c r="A31" s="8" t="str">
        <f>IFERROR(__xludf.DUMMYFUNCTION("""COMPUTED_VALUE"""),"A Volcano")</f>
        <v>A Volcano</v>
      </c>
      <c r="B31" s="8" t="str">
        <f>IFERROR(__xludf.DUMMYFUNCTION("""COMPUTED_VALUE"""),"Hot lava!")</f>
        <v>Hot lava!</v>
      </c>
      <c r="C31" s="13" t="str">
        <f>IFERROR(__xludf.DUMMYFUNCTION("""COMPUTED_VALUE"""),"""gxzr"":{""label"":""A Volcano"",""extra"":""Hot lava!"",""sets"":""Junior 9+ (1st) &amp; (2nd)""},")</f>
        <v>"gxzr":{"label":"A Volcano","extra":"Hot lava!","sets":"Junior 9+ (1st) &amp; (2nd)"},</v>
      </c>
    </row>
    <row r="32">
      <c r="A32" s="8" t="str">
        <f>IFERROR(__xludf.DUMMYFUNCTION("""COMPUTED_VALUE"""),"Abraham Lincoln")</f>
        <v>Abraham Lincoln</v>
      </c>
      <c r="B32" s="8" t="str">
        <f>IFERROR(__xludf.DUMMYFUNCTION("""COMPUTED_VALUE"""),"President of the U.S. during the Civil War. He was called “Honest Abe.”")</f>
        <v>President of the U.S. during the Civil War. He was called “Honest Abe.”</v>
      </c>
      <c r="C32" s="13" t="str">
        <f>IFERROR(__xludf.DUMMYFUNCTION("""COMPUTED_VALUE"""),"""wgkg"":{""label"":""Abraham Lincoln"",""extra"":""President of the U.S. during the Civil War. He was called “Honest Abe.”"",""sets"":""Junior 9+ (1st) &amp; (2nd)""},")</f>
        <v>"wgkg":{"label":"Abraham Lincoln","extra":"President of the U.S. during the Civil War. He was called “Honest Abe.”","sets":"Junior 9+ (1st) &amp; (2nd)"},</v>
      </c>
    </row>
    <row r="33">
      <c r="A33" s="8" t="str">
        <f>IFERROR(__xludf.DUMMYFUNCTION("""COMPUTED_VALUE"""),"Actors")</f>
        <v>Actors</v>
      </c>
      <c r="B33" s="8" t="str">
        <f>IFERROR(__xludf.DUMMYFUNCTION("""COMPUTED_VALUE"""),"If they’re really good, you can’t tell they’re acting.")</f>
        <v>If they’re really good, you can’t tell they’re acting.</v>
      </c>
      <c r="C33" s="13" t="str">
        <f>IFERROR(__xludf.DUMMYFUNCTION("""COMPUTED_VALUE"""),"""ejzn"":{""label"":""Actors"",""extra"":""If they’re really good, you can’t tell they’re acting."",""sets"":""Junior 9+ (2nd)""},")</f>
        <v>"ejzn":{"label":"Actors","extra":"If they’re really good, you can’t tell they’re acting.","sets":"Junior 9+ (2nd)"},</v>
      </c>
    </row>
    <row r="34">
      <c r="A34" s="8" t="str">
        <f>IFERROR(__xludf.DUMMYFUNCTION("""COMPUTED_VALUE"""),"Actresses")</f>
        <v>Actresses</v>
      </c>
      <c r="B34" s="8" t="str">
        <f>IFERROR(__xludf.DUMMYFUNCTION("""COMPUTED_VALUE"""),"“O Romeo, Romeo, wherefore art thou Romeo?”—Romeo and Juliet by William Shakespeare")</f>
        <v>“O Romeo, Romeo, wherefore art thou Romeo?”—Romeo and Juliet by William Shakespeare</v>
      </c>
      <c r="C34" s="13" t="str">
        <f>IFERROR(__xludf.DUMMYFUNCTION("""COMPUTED_VALUE"""),"""pmbp"":{""label"":""Actresses"",""extra"":""“O Romeo, Romeo, wherefore art thou Romeo?”—Romeo and Juliet by William Shakespeare"",""sets"":""Junior 9+ (2nd)""},")</f>
        <v>"pmbp":{"label":"Actresses","extra":"“O Romeo, Romeo, wherefore art thou Romeo?”—Romeo and Juliet by William Shakespeare","sets":"Junior 9+ (2nd)"},</v>
      </c>
    </row>
    <row r="35">
      <c r="A35" s="8" t="str">
        <f>IFERROR(__xludf.DUMMYFUNCTION("""COMPUTED_VALUE"""),"Africa")</f>
        <v>Africa</v>
      </c>
      <c r="B35" s="8" t="str">
        <f>IFERROR(__xludf.DUMMYFUNCTION("""COMPUTED_VALUE"""),"The continent located between the Atlantic Ocean and Indian Ocean.")</f>
        <v>The continent located between the Atlantic Ocean and Indian Ocean.</v>
      </c>
      <c r="C35" s="13" t="str">
        <f>IFERROR(__xludf.DUMMYFUNCTION("""COMPUTED_VALUE"""),"""qnad"":{""label"":""Africa"",""extra"":""The continent located between the Atlantic Ocean and Indian Ocean."",""sets"":""Junior 9+ (1st) &amp; (2nd)""},")</f>
        <v>"qnad":{"label":"Africa","extra":"The continent located between the Atlantic Ocean and Indian Ocean.","sets":"Junior 9+ (1st) &amp; (2nd)"},</v>
      </c>
    </row>
    <row r="36">
      <c r="A36" s="8" t="str">
        <f>IFERROR(__xludf.DUMMYFUNCTION("""COMPUTED_VALUE"""),"Airplane")</f>
        <v>Airplane</v>
      </c>
      <c r="B36" s="8" t="str">
        <f>IFERROR(__xludf.DUMMYFUNCTION("""COMPUTED_VALUE"""),"The Wright Brothers were “wright” when they added power to a glider in order to make it fly.")</f>
        <v>The Wright Brothers were “wright” when they added power to a glider in order to make it fly.</v>
      </c>
      <c r="C36" s="13" t="str">
        <f>IFERROR(__xludf.DUMMYFUNCTION("""COMPUTED_VALUE"""),"""yu{n"":{""label"":""Airplane"",""extra"":""The Wright Brothers were “wright” when they added power to a glider in order to make it fly."",""sets"":""Junior 9+ (2nd)""},")</f>
        <v>"yu{n":{"label":"Airplane","extra":"The Wright Brothers were “wright” when they added power to a glider in order to make it fly.","sets":"Junior 9+ (2nd)"},</v>
      </c>
    </row>
    <row r="37">
      <c r="A37" s="8" t="str">
        <f>IFERROR(__xludf.DUMMYFUNCTION("""COMPUTED_VALUE"""),"Airplanes")</f>
        <v>Airplanes</v>
      </c>
      <c r="B37" s="8" t="str">
        <f>IFERROR(__xludf.DUMMYFUNCTION("""COMPUTED_VALUE"""),"I want to sit by the window!")</f>
        <v>I want to sit by the window!</v>
      </c>
      <c r="C37" s="13" t="str">
        <f>IFERROR(__xludf.DUMMYFUNCTION("""COMPUTED_VALUE"""),"""kcde"":{""label"":""Airplanes"",""extra"":""I want to sit by the window!"",""sets"":""Junior""},")</f>
        <v>"kcde":{"label":"Airplanes","extra":"I want to sit by the window!","sets":"Junior"},</v>
      </c>
    </row>
    <row r="38">
      <c r="A38" s="8" t="str">
        <f>IFERROR(__xludf.DUMMYFUNCTION("""COMPUTED_VALUE"""),"Aladdin")</f>
        <v>Aladdin</v>
      </c>
      <c r="B38" s="8" t="str">
        <f>IFERROR(__xludf.DUMMYFUNCTION("""COMPUTED_VALUE"""),"Folktale character who found a magic lamp with a gentle genie inside.")</f>
        <v>Folktale character who found a magic lamp with a gentle genie inside.</v>
      </c>
      <c r="C38" s="13" t="str">
        <f>IFERROR(__xludf.DUMMYFUNCTION("""COMPUTED_VALUE"""),"""fpzc"":{""label"":""Aladdin"",""extra"":""Folktale character who found a magic lamp with a gentle genie inside."",""sets"":""Junior""},")</f>
        <v>"fpzc":{"label":"Aladdin","extra":"Folktale character who found a magic lamp with a gentle genie inside.","sets":"Junior"},</v>
      </c>
    </row>
    <row r="39">
      <c r="A39" s="8" t="str">
        <f>IFERROR(__xludf.DUMMYFUNCTION("""COMPUTED_VALUE"""),"Alaska")</f>
        <v>Alaska</v>
      </c>
      <c r="B39" s="8" t="str">
        <f>IFERROR(__xludf.DUMMYFUNCTION("""COMPUTED_VALUE"""),"The 49th state. It’s the home of Mount McKinley.")</f>
        <v>The 49th state. It’s the home of Mount McKinley.</v>
      </c>
      <c r="C39" s="13" t="str">
        <f>IFERROR(__xludf.DUMMYFUNCTION("""COMPUTED_VALUE"""),"""duwl"":{""label"":""Alaska"",""extra"":""The 49th state. It’s the home of Mount McKinley."",""sets"":""Junior 9+ (2nd)""},")</f>
        <v>"duwl":{"label":"Alaska","extra":"The 49th state. It’s the home of Mount McKinley.","sets":"Junior 9+ (2nd)"},</v>
      </c>
    </row>
    <row r="40">
      <c r="A40" s="8" t="str">
        <f>IFERROR(__xludf.DUMMYFUNCTION("""COMPUTED_VALUE"""),"Aliens")</f>
        <v>Aliens</v>
      </c>
      <c r="B40" s="8" t="str">
        <f>IFERROR(__xludf.DUMMYFUNCTION("""COMPUTED_VALUE"""),"They’re not from around here!")</f>
        <v>They’re not from around here!</v>
      </c>
      <c r="C40" s="13" t="str">
        <f>IFERROR(__xludf.DUMMYFUNCTION("""COMPUTED_VALUE"""),"""tqfe"":{""label"":""Aliens"",""extra"":""They’re not from around here!"",""sets"":""Junior 9+ (1st) &amp; (2nd)""},")</f>
        <v>"tqfe":{"label":"Aliens","extra":"They’re not from around here!","sets":"Junior 9+ (1st) &amp; (2nd)"},</v>
      </c>
    </row>
    <row r="41">
      <c r="A41" s="8" t="str">
        <f>IFERROR(__xludf.DUMMYFUNCTION("""COMPUTED_VALUE"""),"Alligators")</f>
        <v>Alligators</v>
      </c>
      <c r="B41" s="8" t="str">
        <f>IFERROR(__xludf.DUMMYFUNCTION("""COMPUTED_VALUE"""),"Large reptiles with strong jaws and long tails. Their skins are made into shoes and purses.")</f>
        <v>Large reptiles with strong jaws and long tails. Their skins are made into shoes and purses.</v>
      </c>
      <c r="C41" s="13" t="str">
        <f>IFERROR(__xludf.DUMMYFUNCTION("""COMPUTED_VALUE"""),"""ekkr"":{""label"":""Alligators"",""extra"":""Large reptiles with strong jaws and long tails. Their skins are made into shoes and purses."",""sets"":""Junior 9+ (1st) &amp; (2nd)""},")</f>
        <v>"ekkr":{"label":"Alligators","extra":"Large reptiles with strong jaws and long tails. Their skins are made into shoes and purses.","sets":"Junior 9+ (1st) &amp; (2nd)"},</v>
      </c>
    </row>
    <row r="42">
      <c r="A42" s="8" t="str">
        <f>IFERROR(__xludf.DUMMYFUNCTION("""COMPUTED_VALUE"""),"An Igloo")</f>
        <v>An Igloo</v>
      </c>
      <c r="B42" s="8" t="str">
        <f>IFERROR(__xludf.DUMMYFUNCTION("""COMPUTED_VALUE"""),"A domed-shaped house made from blocks of hard snow or ice.")</f>
        <v>A domed-shaped house made from blocks of hard snow or ice.</v>
      </c>
      <c r="C42" s="13" t="str">
        <f>IFERROR(__xludf.DUMMYFUNCTION("""COMPUTED_VALUE"""),"""bb{c"":{""label"":""An Igloo"",""extra"":""A domed-shaped house made from blocks of hard snow or ice."",""sets"":""Junior""},")</f>
        <v>"bb{c":{"label":"An Igloo","extra":"A domed-shaped house made from blocks of hard snow or ice.","sets":"Junior"},</v>
      </c>
    </row>
    <row r="43">
      <c r="A43" s="8" t="str">
        <f>IFERROR(__xludf.DUMMYFUNCTION("""COMPUTED_VALUE"""),"Ants")</f>
        <v>Ants</v>
      </c>
      <c r="B43" s="8" t="str">
        <f>IFERROR(__xludf.DUMMYFUNCTION("""COMPUTED_VALUE"""),"Some are black and some are red. I don’t want them in my bed!")</f>
        <v>Some are black and some are red. I don’t want them in my bed!</v>
      </c>
      <c r="C43" s="13" t="str">
        <f>IFERROR(__xludf.DUMMYFUNCTION("""COMPUTED_VALUE"""),"""nhnb"":{""label"":""Ants"",""extra"":""Some are black and some are red. I don’t want them in my bed!"",""sets"":""Junior""},")</f>
        <v>"nhnb":{"label":"Ants","extra":"Some are black and some are red. I don’t want them in my bed!","sets":"Junior"},</v>
      </c>
    </row>
    <row r="44">
      <c r="A44" s="8" t="str">
        <f>IFERROR(__xludf.DUMMYFUNCTION("""COMPUTED_VALUE"""),"Apple Juice")</f>
        <v>Apple Juice</v>
      </c>
      <c r="B44" s="8" t="str">
        <f>IFERROR(__xludf.DUMMYFUNCTION("""COMPUTED_VALUE"""),"Baby’s first juice.")</f>
        <v>Baby’s first juice.</v>
      </c>
      <c r="C44" s="13" t="str">
        <f>IFERROR(__xludf.DUMMYFUNCTION("""COMPUTED_VALUE"""),"""trsk"":{""label"":""Apple Juice"",""extra"":""Baby’s first juice."",""sets"":""Junior""},")</f>
        <v>"trsk":{"label":"Apple Juice","extra":"Baby’s first juice.","sets":"Junior"},</v>
      </c>
    </row>
    <row r="45">
      <c r="A45" s="8" t="str">
        <f>IFERROR(__xludf.DUMMYFUNCTION("""COMPUTED_VALUE"""),"Apples")</f>
        <v>Apples</v>
      </c>
      <c r="B45" s="8" t="str">
        <f>IFERROR(__xludf.DUMMYFUNCTION("""COMPUTED_VALUE"""),"Johnny Appleseed traveled across the United States planting seeds for apple trees.")</f>
        <v>Johnny Appleseed traveled across the United States planting seeds for apple trees.</v>
      </c>
      <c r="C45" s="13" t="str">
        <f>IFERROR(__xludf.DUMMYFUNCTION("""COMPUTED_VALUE"""),"""nwsz"":{""label"":""Apples"",""extra"":""Johnny Appleseed traveled across the United States planting seeds for apple trees."",""sets"":""Junior""},")</f>
        <v>"nwsz":{"label":"Apples","extra":"Johnny Appleseed traveled across the United States planting seeds for apple trees.","sets":"Junior"},</v>
      </c>
    </row>
    <row r="46">
      <c r="A46" s="8" t="str">
        <f>IFERROR(__xludf.DUMMYFUNCTION("""COMPUTED_VALUE"""),"Artists")</f>
        <v>Artists</v>
      </c>
      <c r="B46" s="8" t="str">
        <f>IFERROR(__xludf.DUMMYFUNCTION("""COMPUTED_VALUE"""),"So creative!")</f>
        <v>So creative!</v>
      </c>
      <c r="C46" s="13" t="str">
        <f>IFERROR(__xludf.DUMMYFUNCTION("""COMPUTED_VALUE"""),"""skey"":{""label"":""Artists"",""extra"":""So creative!"",""sets"":""Junior 9+ (1st) &amp; (2nd)""},")</f>
        <v>"skey":{"label":"Artists","extra":"So creative!","sets":"Junior 9+ (1st) &amp; (2nd)"},</v>
      </c>
    </row>
    <row r="47">
      <c r="A47" s="8" t="str">
        <f>IFERROR(__xludf.DUMMYFUNCTION("""COMPUTED_VALUE"""),"Astronauts")</f>
        <v>Astronauts</v>
      </c>
      <c r="B47" s="8" t="str">
        <f>IFERROR(__xludf.DUMMYFUNCTION("""COMPUTED_VALUE"""),"It’s a great day for a space walk!")</f>
        <v>It’s a great day for a space walk!</v>
      </c>
      <c r="C47" s="13" t="str">
        <f>IFERROR(__xludf.DUMMYFUNCTION("""COMPUTED_VALUE"""),"""vvln"":{""label"":""Astronauts"",""extra"":""It’s a great day for a space walk!"",""sets"":""Junior 9+ (2nd)""},")</f>
        <v>"vvln":{"label":"Astronauts","extra":"It’s a great day for a space walk!","sets":"Junior 9+ (2nd)"},</v>
      </c>
    </row>
    <row r="48">
      <c r="A48" s="8" t="str">
        <f>IFERROR(__xludf.DUMMYFUNCTION("""COMPUTED_VALUE"""),"Babies")</f>
        <v>Babies</v>
      </c>
      <c r="B48" s="8" t="str">
        <f>IFERROR(__xludf.DUMMYFUNCTION("""COMPUTED_VALUE"""),"Very young children or infants. They cry a lot!")</f>
        <v>Very young children or infants. They cry a lot!</v>
      </c>
      <c r="C48" s="13" t="str">
        <f>IFERROR(__xludf.DUMMYFUNCTION("""COMPUTED_VALUE"""),"""kigu"":{""label"":""Babies"",""extra"":""Very young children or infants. They cry a lot!"",""sets"":""Junior""},")</f>
        <v>"kigu":{"label":"Babies","extra":"Very young children or infants. They cry a lot!","sets":"Junior"},</v>
      </c>
    </row>
    <row r="49">
      <c r="A49" s="8" t="str">
        <f>IFERROR(__xludf.DUMMYFUNCTION("""COMPUTED_VALUE"""),"Baby Dolls")</f>
        <v>Baby Dolls</v>
      </c>
      <c r="B49" s="8" t="str">
        <f>IFERROR(__xludf.DUMMYFUNCTION("""COMPUTED_VALUE"""),"Some of them talk, some of them walk, and some even wet their pants!")</f>
        <v>Some of them talk, some of them walk, and some even wet their pants!</v>
      </c>
      <c r="C49" s="13" t="str">
        <f>IFERROR(__xludf.DUMMYFUNCTION("""COMPUTED_VALUE"""),"""wilu"":{""label"":""Baby Dolls"",""extra"":""Some of them talk, some of them walk, and some even wet their pants!"",""sets"":""Junior""},")</f>
        <v>"wilu":{"label":"Baby Dolls","extra":"Some of them talk, some of them walk, and some even wet their pants!","sets":"Junior"},</v>
      </c>
    </row>
    <row r="50">
      <c r="A50" s="8" t="str">
        <f>IFERROR(__xludf.DUMMYFUNCTION("""COMPUTED_VALUE"""),"Baby Food")</f>
        <v>Baby Food</v>
      </c>
      <c r="B50" s="8" t="str">
        <f>IFERROR(__xludf.DUMMYFUNCTION("""COMPUTED_VALUE"""),"Strained peas and mushy meat. Doesn’t that sound good?")</f>
        <v>Strained peas and mushy meat. Doesn’t that sound good?</v>
      </c>
      <c r="C50" s="13" t="str">
        <f>IFERROR(__xludf.DUMMYFUNCTION("""COMPUTED_VALUE"""),"""kwvp"":{""label"":""Baby Food"",""extra"":""Strained peas and mushy meat. Doesn’t that sound good?"",""sets"":""Junior 9+ (1st) &amp; (2nd)""},")</f>
        <v>"kwvp":{"label":"Baby Food","extra":"Strained peas and mushy meat. Doesn’t that sound good?","sets":"Junior 9+ (1st) &amp; (2nd)"},</v>
      </c>
    </row>
    <row r="51">
      <c r="A51" s="8" t="str">
        <f>IFERROR(__xludf.DUMMYFUNCTION("""COMPUTED_VALUE"""),"Babysitters")</f>
        <v>Babysitters</v>
      </c>
      <c r="B51" s="8" t="str">
        <f>IFERROR(__xludf.DUMMYFUNCTION("""COMPUTED_VALUE"""),"The good ones let you stay up late.")</f>
        <v>The good ones let you stay up late.</v>
      </c>
      <c r="C51" s="13" t="str">
        <f>IFERROR(__xludf.DUMMYFUNCTION("""COMPUTED_VALUE"""),"""xqxg"":{""label"":""Babysitters"",""extra"":""The good ones let you stay up late."",""sets"":""Junior""},")</f>
        <v>"xqxg":{"label":"Babysitters","extra":"The good ones let you stay up late.","sets":"Junior"},</v>
      </c>
    </row>
    <row r="52">
      <c r="A52" s="8" t="str">
        <f>IFERROR(__xludf.DUMMYFUNCTION("""COMPUTED_VALUE"""),"Backyards")</f>
        <v>Backyards</v>
      </c>
      <c r="B52" s="8" t="str">
        <f>IFERROR(__xludf.DUMMYFUNCTION("""COMPUTED_VALUE"""),"Your playground at home!")</f>
        <v>Your playground at home!</v>
      </c>
      <c r="C52" s="13" t="str">
        <f>IFERROR(__xludf.DUMMYFUNCTION("""COMPUTED_VALUE"""),"""neey"":{""label"":""Backyards"",""extra"":""Your playground at home!"",""sets"":""Junior 9+ (1st) &amp; (2nd)""},")</f>
        <v>"neey":{"label":"Backyards","extra":"Your playground at home!","sets":"Junior 9+ (1st) &amp; (2nd)"},</v>
      </c>
    </row>
    <row r="53">
      <c r="A53" s="8" t="str">
        <f>IFERROR(__xludf.DUMMYFUNCTION("""COMPUTED_VALUE"""),"Bacon")</f>
        <v>Bacon</v>
      </c>
      <c r="B53" s="8" t="str">
        <f>IFERROR(__xludf.DUMMYFUNCTION("""COMPUTED_VALUE"""),"Meat from a pig, flavored with salt and smoke. Oink!")</f>
        <v>Meat from a pig, flavored with salt and smoke. Oink!</v>
      </c>
      <c r="C53" s="13" t="str">
        <f>IFERROR(__xludf.DUMMYFUNCTION("""COMPUTED_VALUE"""),"""mbfe"":{""label"":""Bacon"",""extra"":""Meat from a pig, flavored with salt and smoke. Oink!"",""sets"":""Junior 9+ (1st) &amp; (2nd)""},")</f>
        <v>"mbfe":{"label":"Bacon","extra":"Meat from a pig, flavored with salt and smoke. Oink!","sets":"Junior 9+ (1st) &amp; (2nd)"},</v>
      </c>
    </row>
    <row r="54">
      <c r="A54" s="8" t="str">
        <f>IFERROR(__xludf.DUMMYFUNCTION("""COMPUTED_VALUE"""),"Bad Dreams")</f>
        <v>Bad Dreams</v>
      </c>
      <c r="B54" s="8" t="str">
        <f>IFERROR(__xludf.DUMMYFUNCTION("""COMPUTED_VALUE"""),"Like good dreams, but with monsters.")</f>
        <v>Like good dreams, but with monsters.</v>
      </c>
      <c r="C54" s="13" t="str">
        <f>IFERROR(__xludf.DUMMYFUNCTION("""COMPUTED_VALUE"""),"""vitz"":{""label"":""Bad Dreams"",""extra"":""Like good dreams, but with monsters."",""sets"":""Junior""},")</f>
        <v>"vitz":{"label":"Bad Dreams","extra":"Like good dreams, but with monsters.","sets":"Junior"},</v>
      </c>
    </row>
    <row r="55">
      <c r="A55" s="8" t="str">
        <f>IFERROR(__xludf.DUMMYFUNCTION("""COMPUTED_VALUE"""),"Baking Cookies")</f>
        <v>Baking Cookies</v>
      </c>
      <c r="B55" s="8" t="str">
        <f>IFERROR(__xludf.DUMMYFUNCTION("""COMPUTED_VALUE"""),"Mix up the dough and put them in the oven.")</f>
        <v>Mix up the dough and put them in the oven.</v>
      </c>
      <c r="C55" s="13" t="str">
        <f>IFERROR(__xludf.DUMMYFUNCTION("""COMPUTED_VALUE"""),"""ifbq"":{""label"":""Baking Cookies"",""extra"":""Mix up the dough and put them in the oven."",""sets"":""Junior""},")</f>
        <v>"ifbq":{"label":"Baking Cookies","extra":"Mix up the dough and put them in the oven.","sets":"Junior"},</v>
      </c>
    </row>
    <row r="56">
      <c r="A56" s="8" t="str">
        <f>IFERROR(__xludf.DUMMYFUNCTION("""COMPUTED_VALUE"""),"Bald Eagles")</f>
        <v>Bald Eagles</v>
      </c>
      <c r="B56" s="8" t="str">
        <f>IFERROR(__xludf.DUMMYFUNCTION("""COMPUTED_VALUE"""),"They're not really bald. The white feathers on their heads make them look that way.")</f>
        <v>They're not really bald. The white feathers on their heads make them look that way.</v>
      </c>
      <c r="C56" s="13" t="str">
        <f>IFERROR(__xludf.DUMMYFUNCTION("""COMPUTED_VALUE"""),"""acms"":{""label"":""Bald Eagles"",""extra"":""They're not really bald. The white feathers on their heads make them look that way."",""sets"":""Junior 9+ (1st) &amp; (2nd)""},")</f>
        <v>"acms":{"label":"Bald Eagles","extra":"They're not really bald. The white feathers on their heads make them look that way.","sets":"Junior 9+ (1st) &amp; (2nd)"},</v>
      </c>
    </row>
    <row r="57">
      <c r="A57" s="8" t="str">
        <f>IFERROR(__xludf.DUMMYFUNCTION("""COMPUTED_VALUE"""),"Ballerinas")</f>
        <v>Ballerinas</v>
      </c>
      <c r="B57" s="8" t="str">
        <f>IFERROR(__xludf.DUMMYFUNCTION("""COMPUTED_VALUE"""),"It takes years of training before a ballerina can dance in toe shoes.")</f>
        <v>It takes years of training before a ballerina can dance in toe shoes.</v>
      </c>
      <c r="C57" s="13" t="str">
        <f>IFERROR(__xludf.DUMMYFUNCTION("""COMPUTED_VALUE"""),"""bgxv"":{""label"":""Ballerinas"",""extra"":""It takes years of training before a ballerina can dance in toe shoes."",""sets"":""Junior 9+ (1st) &amp; (2nd)""},")</f>
        <v>"bgxv":{"label":"Ballerinas","extra":"It takes years of training before a ballerina can dance in toe shoes.","sets":"Junior 9+ (1st) &amp; (2nd)"},</v>
      </c>
    </row>
    <row r="58">
      <c r="A58" s="8" t="str">
        <f>IFERROR(__xludf.DUMMYFUNCTION("""COMPUTED_VALUE"""),"Balloons")</f>
        <v>Balloons</v>
      </c>
      <c r="B58" s="8" t="str">
        <f>IFERROR(__xludf.DUMMYFUNCTION("""COMPUTED_VALUE"""),"Lots of colors, shapes, and sizes.")</f>
        <v>Lots of colors, shapes, and sizes.</v>
      </c>
      <c r="C58" s="13" t="str">
        <f>IFERROR(__xludf.DUMMYFUNCTION("""COMPUTED_VALUE"""),"""nszh"":{""label"":""Balloons"",""extra"":""Lots of colors, shapes, and sizes."",""sets"":""Junior""},")</f>
        <v>"nszh":{"label":"Balloons","extra":"Lots of colors, shapes, and sizes.","sets":"Junior"},</v>
      </c>
    </row>
    <row r="59">
      <c r="A59" s="8" t="str">
        <f>IFERROR(__xludf.DUMMYFUNCTION("""COMPUTED_VALUE"""),"Bananas")</f>
        <v>Bananas</v>
      </c>
      <c r="B59" s="8" t="str">
        <f>IFERROR(__xludf.DUMMYFUNCTION("""COMPUTED_VALUE"""),"Monkeys like them a bunch!")</f>
        <v>Monkeys like them a bunch!</v>
      </c>
      <c r="C59" s="13" t="str">
        <f>IFERROR(__xludf.DUMMYFUNCTION("""COMPUTED_VALUE"""),"""xcen"":{""label"":""Bananas"",""extra"":""Monkeys like them a bunch!"",""sets"":""Junior""},")</f>
        <v>"xcen":{"label":"Bananas","extra":"Monkeys like them a bunch!","sets":"Junior"},</v>
      </c>
    </row>
    <row r="60">
      <c r="A60" s="8" t="str">
        <f>IFERROR(__xludf.DUMMYFUNCTION("""COMPUTED_VALUE"""),"Band-Aids")</f>
        <v>Band-Aids</v>
      </c>
      <c r="B60" s="8" t="str">
        <f>IFERROR(__xludf.DUMMYFUNCTION("""COMPUTED_VALUE"""),"Available in lots of colors and shapes. A fun way to cover cuts and scrapes.")</f>
        <v>Available in lots of colors and shapes. A fun way to cover cuts and scrapes.</v>
      </c>
      <c r="C60" s="13" t="str">
        <f>IFERROR(__xludf.DUMMYFUNCTION("""COMPUTED_VALUE"""),"""ierd"":{""label"":""Band-Aids"",""extra"":""Available in lots of colors and shapes. A fun way to cover cuts and scrapes."",""sets"":""Junior 9+ (1st) &amp; (2nd)""},")</f>
        <v>"ierd":{"label":"Band-Aids","extra":"Available in lots of colors and shapes. A fun way to cover cuts and scrapes.","sets":"Junior 9+ (1st) &amp; (2nd)"},</v>
      </c>
    </row>
    <row r="61">
      <c r="A61" s="8" t="str">
        <f>IFERROR(__xludf.DUMMYFUNCTION("""COMPUTED_VALUE"""),"Barbershops")</f>
        <v>Barbershops</v>
      </c>
      <c r="B61" s="8" t="str">
        <f>IFERROR(__xludf.DUMMYFUNCTION("""COMPUTED_VALUE"""),"It’s a beauty shop for guys.")</f>
        <v>It’s a beauty shop for guys.</v>
      </c>
      <c r="C61" s="13" t="str">
        <f>IFERROR(__xludf.DUMMYFUNCTION("""COMPUTED_VALUE"""),"""zhma"":{""label"":""Barbershops"",""extra"":""It’s a beauty shop for guys."",""sets"":""Junior 9+ (2nd)""},")</f>
        <v>"zhma":{"label":"Barbershops","extra":"It’s a beauty shop for guys.","sets":"Junior 9+ (2nd)"},</v>
      </c>
    </row>
    <row r="62">
      <c r="A62" s="8" t="str">
        <f>IFERROR(__xludf.DUMMYFUNCTION("""COMPUTED_VALUE"""),"Barbie Dolls")</f>
        <v>Barbie Dolls</v>
      </c>
      <c r="B62" s="8" t="str">
        <f>IFERROR(__xludf.DUMMYFUNCTION("""COMPUTED_VALUE"""),"Tall, thin, fashion dolls with lots of clothes and tiny feet.")</f>
        <v>Tall, thin, fashion dolls with lots of clothes and tiny feet.</v>
      </c>
      <c r="C62" s="13" t="str">
        <f>IFERROR(__xludf.DUMMYFUNCTION("""COMPUTED_VALUE"""),"""vocv"":{""label"":""Barbie Dolls"",""extra"":""Tall, thin, fashion dolls with lots of clothes and tiny feet."",""sets"":""Junior""},")</f>
        <v>"vocv":{"label":"Barbie Dolls","extra":"Tall, thin, fashion dolls with lots of clothes and tiny feet.","sets":"Junior"},</v>
      </c>
    </row>
    <row r="63">
      <c r="A63" s="8" t="str">
        <f>IFERROR(__xludf.DUMMYFUNCTION("""COMPUTED_VALUE"""),"Barney")</f>
        <v>Barney</v>
      </c>
      <c r="B63" s="8" t="str">
        <f>IFERROR(__xludf.DUMMYFUNCTION("""COMPUTED_VALUE"""),"A large, purple dinosaur. “I love you, you love me.”")</f>
        <v>A large, purple dinosaur. “I love you, you love me.”</v>
      </c>
      <c r="C63" s="13" t="str">
        <f>IFERROR(__xludf.DUMMYFUNCTION("""COMPUTED_VALUE"""),"""quqo"":{""label"":""Barney"",""extra"":""A large, purple dinosaur. “I love you, you love me.”"",""sets"":""Junior""},")</f>
        <v>"quqo":{"label":"Barney","extra":"A large, purple dinosaur. “I love you, you love me.”","sets":"Junior"},</v>
      </c>
    </row>
    <row r="64">
      <c r="A64" s="8" t="str">
        <f>IFERROR(__xludf.DUMMYFUNCTION("""COMPUTED_VALUE"""),"Baseball Fields")</f>
        <v>Baseball Fields</v>
      </c>
      <c r="B64" s="8" t="str">
        <f>IFERROR(__xludf.DUMMYFUNCTION("""COMPUTED_VALUE"""),"It's 90 feet from home plate to first base. But it seems longer when you’re trying to reach it!")</f>
        <v>It's 90 feet from home plate to first base. But it seems longer when you’re trying to reach it!</v>
      </c>
      <c r="C64" s="13" t="str">
        <f>IFERROR(__xludf.DUMMYFUNCTION("""COMPUTED_VALUE"""),"""wnsf"":{""label"":""Baseball Fields"",""extra"":""It's 90 feet from home plate to first base. But it seems longer when you’re trying to reach it!"",""sets"":""Junior 9+ (2nd)""},")</f>
        <v>"wnsf":{"label":"Baseball Fields","extra":"It's 90 feet from home plate to first base. But it seems longer when you’re trying to reach it!","sets":"Junior 9+ (2nd)"},</v>
      </c>
    </row>
    <row r="65">
      <c r="A65" s="8" t="str">
        <f>IFERROR(__xludf.DUMMYFUNCTION("""COMPUTED_VALUE"""),"Baseball Games")</f>
        <v>Baseball Games</v>
      </c>
      <c r="B65" s="8" t="str">
        <f>IFERROR(__xludf.DUMMYFUNCTION("""COMPUTED_VALUE"""),"“One, two, three strikes, YOU'RE OUT!”")</f>
        <v>“One, two, three strikes, YOU'RE OUT!”</v>
      </c>
      <c r="C65" s="13" t="str">
        <f>IFERROR(__xludf.DUMMYFUNCTION("""COMPUTED_VALUE"""),"""wfaq"":{""label"":""Baseball Games"",""extra"":""“One, two, three strikes, YOU'RE OUT!”"",""sets"":""Junior 9+ (1st) &amp; (2nd)""},")</f>
        <v>"wfaq":{"label":"Baseball Games","extra":"“One, two, three strikes, YOU'RE OUT!”","sets":"Junior 9+ (1st) &amp; (2nd)"},</v>
      </c>
    </row>
    <row r="66">
      <c r="A66" s="8" t="str">
        <f>IFERROR(__xludf.DUMMYFUNCTION("""COMPUTED_VALUE"""),"Basketball")</f>
        <v>Basketball</v>
      </c>
      <c r="B66" s="8" t="str">
        <f>IFERROR(__xludf.DUMMYFUNCTION("""COMPUTED_VALUE"""),"Some basketball players are over seven feet tall.")</f>
        <v>Some basketball players are over seven feet tall.</v>
      </c>
      <c r="C66" s="13" t="str">
        <f>IFERROR(__xludf.DUMMYFUNCTION("""COMPUTED_VALUE"""),"""axww"":{""label"":""Basketball"",""extra"":""Some basketball players are over seven feet tall."",""sets"":""Junior 9+ (1st) &amp; (2nd)""},")</f>
        <v>"axww":{"label":"Basketball","extra":"Some basketball players are over seven feet tall.","sets":"Junior 9+ (1st) &amp; (2nd)"},</v>
      </c>
    </row>
    <row r="67">
      <c r="A67" s="8" t="str">
        <f>IFERROR(__xludf.DUMMYFUNCTION("""COMPUTED_VALUE"""),"Batman")</f>
        <v>Batman</v>
      </c>
      <c r="B67" s="8" t="str">
        <f>IFERROR(__xludf.DUMMYFUNCTION("""COMPUTED_VALUE"""),"A superhero who wears a black mask and cape. He drives the Batmobile.")</f>
        <v>A superhero who wears a black mask and cape. He drives the Batmobile.</v>
      </c>
      <c r="C67" s="13" t="str">
        <f>IFERROR(__xludf.DUMMYFUNCTION("""COMPUTED_VALUE"""),"""{rjq"":{""label"":""Batman"",""extra"":""A superhero who wears a black mask and cape. He drives the Batmobile."",""sets"":""Junior""},")</f>
        <v>"{rjq":{"label":"Batman","extra":"A superhero who wears a black mask and cape. He drives the Batmobile.","sets":"Junior"},</v>
      </c>
    </row>
    <row r="68">
      <c r="A68" s="8" t="str">
        <f>IFERROR(__xludf.DUMMYFUNCTION("""COMPUTED_VALUE"""),"Bats")</f>
        <v>Bats</v>
      </c>
      <c r="B68" s="8" t="str">
        <f>IFERROR(__xludf.DUMMYFUNCTION("""COMPUTED_VALUE"""),"Either furry little animals that fly, or sticks used to hit baseballs.")</f>
        <v>Either furry little animals that fly, or sticks used to hit baseballs.</v>
      </c>
      <c r="C68" s="13" t="str">
        <f>IFERROR(__xludf.DUMMYFUNCTION("""COMPUTED_VALUE"""),"""hhhz"":{""label"":""Bats"",""extra"":""Either furry little animals that fly, or sticks used to hit baseballs."",""sets"":""Junior""},")</f>
        <v>"hhhz":{"label":"Bats","extra":"Either furry little animals that fly, or sticks used to hit baseballs.","sets":"Junior"},</v>
      </c>
    </row>
    <row r="69">
      <c r="A69" s="8" t="str">
        <f>IFERROR(__xludf.DUMMYFUNCTION("""COMPUTED_VALUE"""),"Beach Balls")</f>
        <v>Beach Balls</v>
      </c>
      <c r="B69" s="8" t="str">
        <f>IFERROR(__xludf.DUMMYFUNCTION("""COMPUTED_VALUE"""),"Blow them up and watch them blow away!")</f>
        <v>Blow them up and watch them blow away!</v>
      </c>
      <c r="C69" s="13" t="str">
        <f>IFERROR(__xludf.DUMMYFUNCTION("""COMPUTED_VALUE"""),"""dgcb"":{""label"":""Beach Balls"",""extra"":""Blow them up and watch them blow away!"",""sets"":""Junior 9+ (1st) &amp; (2nd)""},")</f>
        <v>"dgcb":{"label":"Beach Balls","extra":"Blow them up and watch them blow away!","sets":"Junior 9+ (1st) &amp; (2nd)"},</v>
      </c>
    </row>
    <row r="70">
      <c r="A70" s="8" t="str">
        <f>IFERROR(__xludf.DUMMYFUNCTION("""COMPUTED_VALUE"""),"Beanie Babies")</f>
        <v>Beanie Babies</v>
      </c>
      <c r="B70" s="8" t="str">
        <f>IFERROR(__xludf.DUMMYFUNCTION("""COMPUTED_VALUE"""),"Little bean bag creatures that can be played with or collected.")</f>
        <v>Little bean bag creatures that can be played with or collected.</v>
      </c>
      <c r="C70" s="13" t="str">
        <f>IFERROR(__xludf.DUMMYFUNCTION("""COMPUTED_VALUE"""),"""unpl"":{""label"":""Beanie Babies"",""extra"":""Little bean bag creatures that can be played with or collected."",""sets"":""Junior""},")</f>
        <v>"unpl":{"label":"Beanie Babies","extra":"Little bean bag creatures that can be played with or collected.","sets":"Junior"},</v>
      </c>
    </row>
    <row r="71">
      <c r="A71" s="8" t="str">
        <f>IFERROR(__xludf.DUMMYFUNCTION("""COMPUTED_VALUE"""),"Bears")</f>
        <v>Bears</v>
      </c>
      <c r="B71" s="8" t="str">
        <f>IFERROR(__xludf.DUMMYFUNCTION("""COMPUTED_VALUE"""),"Large, shaggy animals with sharp claws and little tails. Sometimes they are named Teddy.")</f>
        <v>Large, shaggy animals with sharp claws and little tails. Sometimes they are named Teddy.</v>
      </c>
      <c r="C71" s="13" t="str">
        <f>IFERROR(__xludf.DUMMYFUNCTION("""COMPUTED_VALUE"""),"""jaqw"":{""label"":""Bears"",""extra"":""Large, shaggy animals with sharp claws and little tails. Sometimes they are named Teddy."",""sets"":""Junior""},")</f>
        <v>"jaqw":{"label":"Bears","extra":"Large, shaggy animals with sharp claws and little tails. Sometimes they are named Teddy.","sets":"Junior"},</v>
      </c>
    </row>
    <row r="72">
      <c r="A72" s="8" t="str">
        <f>IFERROR(__xludf.DUMMYFUNCTION("""COMPUTED_VALUE"""),"Bee Stings")</f>
        <v>Bee Stings</v>
      </c>
      <c r="B72" s="8" t="str">
        <f>IFERROR(__xludf.DUMMYFUNCTION("""COMPUTED_VALUE"""),"Leave the bees alone—and they’ll leave you alone.")</f>
        <v>Leave the bees alone—and they’ll leave you alone.</v>
      </c>
      <c r="C72" s="13" t="str">
        <f>IFERROR(__xludf.DUMMYFUNCTION("""COMPUTED_VALUE"""),"""tdqo"":{""label"":""Bee Stings"",""extra"":""Leave the bees alone—and they’ll leave you alone."",""sets"":""Junior 9+ (2nd)""},")</f>
        <v>"tdqo":{"label":"Bee Stings","extra":"Leave the bees alone—and they’ll leave you alone.","sets":"Junior 9+ (2nd)"},</v>
      </c>
    </row>
    <row r="73">
      <c r="A73" s="8" t="str">
        <f>IFERROR(__xludf.DUMMYFUNCTION("""COMPUTED_VALUE"""),"Beef Stew")</f>
        <v>Beef Stew</v>
      </c>
      <c r="B73" s="8" t="str">
        <f>IFERROR(__xludf.DUMMYFUNCTION("""COMPUTED_VALUE"""),"Meat, potatoes, carrots, onions…")</f>
        <v>Meat, potatoes, carrots, onions…</v>
      </c>
      <c r="C73" s="13" t="str">
        <f>IFERROR(__xludf.DUMMYFUNCTION("""COMPUTED_VALUE"""),"""hmoo"":{""label"":""Beef Stew"",""extra"":""Meat, potatoes, carrots, onions…"",""sets"":""Junior 9+ (2nd)""},")</f>
        <v>"hmoo":{"label":"Beef Stew","extra":"Meat, potatoes, carrots, onions…","sets":"Junior 9+ (2nd)"},</v>
      </c>
    </row>
    <row r="74">
      <c r="A74" s="8" t="str">
        <f>IFERROR(__xludf.DUMMYFUNCTION("""COMPUTED_VALUE"""),"Beets")</f>
        <v>Beets</v>
      </c>
      <c r="B74" s="8" t="str">
        <f>IFERROR(__xludf.DUMMYFUNCTION("""COMPUTED_VALUE"""),"Round purplish-red vegetables. Do you like beets?")</f>
        <v>Round purplish-red vegetables. Do you like beets?</v>
      </c>
      <c r="C74" s="13" t="str">
        <f>IFERROR(__xludf.DUMMYFUNCTION("""COMPUTED_VALUE"""),"""rfhe"":{""label"":""Beets"",""extra"":""Round purplish-red vegetables. Do you like beets?"",""sets"":""Junior""},")</f>
        <v>"rfhe":{"label":"Beets","extra":"Round purplish-red vegetables. Do you like beets?","sets":"Junior"},</v>
      </c>
    </row>
    <row r="75">
      <c r="A75" s="8" t="str">
        <f>IFERROR(__xludf.DUMMYFUNCTION("""COMPUTED_VALUE"""),"Belt Buckles")</f>
        <v>Belt Buckles</v>
      </c>
      <c r="B75" s="8" t="str">
        <f>IFERROR(__xludf.DUMMYFUNCTION("""COMPUTED_VALUE"""),"Cowboys like them fancy and pilgrims like them plain.")</f>
        <v>Cowboys like them fancy and pilgrims like them plain.</v>
      </c>
      <c r="C75" s="13" t="str">
        <f>IFERROR(__xludf.DUMMYFUNCTION("""COMPUTED_VALUE"""),"""zcco"":{""label"":""Belt Buckles"",""extra"":""Cowboys like them fancy and pilgrims like them plain."",""sets"":""Junior 9+ (2nd)""},")</f>
        <v>"zcco":{"label":"Belt Buckles","extra":"Cowboys like them fancy and pilgrims like them plain.","sets":"Junior 9+ (2nd)"},</v>
      </c>
    </row>
    <row r="76">
      <c r="A76" s="8" t="str">
        <f>IFERROR(__xludf.DUMMYFUNCTION("""COMPUTED_VALUE"""),"Bert And Ernie")</f>
        <v>Bert And Ernie</v>
      </c>
      <c r="B76" s="8" t="str">
        <f>IFERROR(__xludf.DUMMYFUNCTION("""COMPUTED_VALUE"""),"Two nice guys in striped shirts who live on Sesame Street.")</f>
        <v>Two nice guys in striped shirts who live on Sesame Street.</v>
      </c>
      <c r="C76" s="13" t="str">
        <f>IFERROR(__xludf.DUMMYFUNCTION("""COMPUTED_VALUE"""),"""yqfm"":{""label"":""Bert And Ernie"",""extra"":""Two nice guys in striped shirts who live on Sesame Street."",""sets"":""Junior""},")</f>
        <v>"yqfm":{"label":"Bert And Ernie","extra":"Two nice guys in striped shirts who live on Sesame Street.","sets":"Junior"},</v>
      </c>
    </row>
    <row r="77">
      <c r="A77" s="8" t="str">
        <f>IFERROR(__xludf.DUMMYFUNCTION("""COMPUTED_VALUE"""),"Big Bird")</f>
        <v>Big Bird</v>
      </c>
      <c r="B77" s="8" t="str">
        <f>IFERROR(__xludf.DUMMYFUNCTION("""COMPUTED_VALUE"""),"A very large, yellow bird who lives on Sesame Street with Bert and Ernie.")</f>
        <v>A very large, yellow bird who lives on Sesame Street with Bert and Ernie.</v>
      </c>
      <c r="C77" s="13" t="str">
        <f>IFERROR(__xludf.DUMMYFUNCTION("""COMPUTED_VALUE"""),"""hxyt"":{""label"":""Big Bird"",""extra"":""A very large, yellow bird who lives on Sesame Street with Bert and Ernie."",""sets"":""Junior""},")</f>
        <v>"hxyt":{"label":"Big Bird","extra":"A very large, yellow bird who lives on Sesame Street with Bert and Ernie.","sets":"Junior"},</v>
      </c>
    </row>
    <row r="78">
      <c r="A78" s="8" t="str">
        <f>IFERROR(__xludf.DUMMYFUNCTION("""COMPUTED_VALUE"""),"Big Cities")</f>
        <v>Big Cities</v>
      </c>
      <c r="B78" s="8" t="str">
        <f>IFERROR(__xludf.DUMMYFUNCTION("""COMPUTED_VALUE"""),"Very large towns, like New York, Los Angeles and Chicago.")</f>
        <v>Very large towns, like New York, Los Angeles and Chicago.</v>
      </c>
      <c r="C78" s="13" t="str">
        <f>IFERROR(__xludf.DUMMYFUNCTION("""COMPUTED_VALUE"""),"""gorf"":{""label"":""Big Cities"",""extra"":""Very large towns, like New York, Los Angeles and Chicago."",""sets"":""Junior""},")</f>
        <v>"gorf":{"label":"Big Cities","extra":"Very large towns, like New York, Los Angeles and Chicago.","sets":"Junior"},</v>
      </c>
    </row>
    <row r="79">
      <c r="A79" s="8" t="str">
        <f>IFERROR(__xludf.DUMMYFUNCTION("""COMPUTED_VALUE"""),"Big Dogs")</f>
        <v>Big Dogs</v>
      </c>
      <c r="B79" s="8" t="str">
        <f>IFERROR(__xludf.DUMMYFUNCTION("""COMPUTED_VALUE"""),"An adult Saint Bernard weighs over 170 pounds.")</f>
        <v>An adult Saint Bernard weighs over 170 pounds.</v>
      </c>
      <c r="C79" s="13" t="str">
        <f>IFERROR(__xludf.DUMMYFUNCTION("""COMPUTED_VALUE"""),"""djxt"":{""label"":""Big Dogs"",""extra"":""An adult Saint Bernard weighs over 170 pounds."",""sets"":""Junior 9+ (1st) &amp; (2nd)""},")</f>
        <v>"djxt":{"label":"Big Dogs","extra":"An adult Saint Bernard weighs over 170 pounds.","sets":"Junior 9+ (1st) &amp; (2nd)"},</v>
      </c>
    </row>
    <row r="80">
      <c r="A80" s="8" t="str">
        <f>IFERROR(__xludf.DUMMYFUNCTION("""COMPUTED_VALUE"""),"Bingo")</f>
        <v>Bingo</v>
      </c>
      <c r="B80" s="8" t="str">
        <f>IFERROR(__xludf.DUMMYFUNCTION("""COMPUTED_VALUE"""),"Get five in a row. BINGO!")</f>
        <v>Get five in a row. BINGO!</v>
      </c>
      <c r="C80" s="13" t="str">
        <f>IFERROR(__xludf.DUMMYFUNCTION("""COMPUTED_VALUE"""),"""pixd"":{""label"":""Bingo"",""extra"":""Get five in a row. BINGO!"",""sets"":""Junior 9+ (2nd)""},")</f>
        <v>"pixd":{"label":"Bingo","extra":"Get five in a row. BINGO!","sets":"Junior 9+ (2nd)"},</v>
      </c>
    </row>
    <row r="81">
      <c r="A81" s="8" t="str">
        <f>IFERROR(__xludf.DUMMYFUNCTION("""COMPUTED_VALUE"""),"Birds")</f>
        <v>Birds</v>
      </c>
      <c r="B81" s="8" t="str">
        <f>IFERROR(__xludf.DUMMYFUNCTION("""COMPUTED_VALUE"""),"“Birds of a feather, flock together.”")</f>
        <v>“Birds of a feather, flock together.”</v>
      </c>
      <c r="C81" s="13" t="str">
        <f>IFERROR(__xludf.DUMMYFUNCTION("""COMPUTED_VALUE"""),"""wsbb"":{""label"":""Birds"",""extra"":""“Birds of a feather, flock together.”"",""sets"":""Junior""},")</f>
        <v>"wsbb":{"label":"Birds","extra":"“Birds of a feather, flock together.”","sets":"Junior"},</v>
      </c>
    </row>
    <row r="82">
      <c r="A82" s="8" t="str">
        <f>IFERROR(__xludf.DUMMYFUNCTION("""COMPUTED_VALUE"""),"Birthday Cake")</f>
        <v>Birthday Cake</v>
      </c>
      <c r="B82" s="8" t="str">
        <f>IFERROR(__xludf.DUMMYFUNCTION("""COMPUTED_VALUE"""),"What kind of cake, white or chocolate?")</f>
        <v>What kind of cake, white or chocolate?</v>
      </c>
      <c r="C82" s="13" t="str">
        <f>IFERROR(__xludf.DUMMYFUNCTION("""COMPUTED_VALUE"""),"""ubjq"":{""label"":""Birthday Cake"",""extra"":""What kind of cake, white or chocolate?"",""sets"":""Junior""},")</f>
        <v>"ubjq":{"label":"Birthday Cake","extra":"What kind of cake, white or chocolate?","sets":"Junior"},</v>
      </c>
    </row>
    <row r="83">
      <c r="A83" s="8" t="str">
        <f>IFERROR(__xludf.DUMMYFUNCTION("""COMPUTED_VALUE"""),"Black Cats")</f>
        <v>Black Cats</v>
      </c>
      <c r="B83" s="8" t="str">
        <f>IFERROR(__xludf.DUMMYFUNCTION("""COMPUTED_VALUE"""),"They’re not really bad luck!")</f>
        <v>They’re not really bad luck!</v>
      </c>
      <c r="C83" s="13" t="str">
        <f>IFERROR(__xludf.DUMMYFUNCTION("""COMPUTED_VALUE"""),"""aklz"":{""label"":""Black Cats"",""extra"":""They’re not really bad luck!"",""sets"":""Junior 9+ (2nd)""},")</f>
        <v>"aklz":{"label":"Black Cats","extra":"They’re not really bad luck!","sets":"Junior 9+ (2nd)"},</v>
      </c>
    </row>
    <row r="84">
      <c r="A84" s="8" t="str">
        <f>IFERROR(__xludf.DUMMYFUNCTION("""COMPUTED_VALUE"""),"Blood")</f>
        <v>Blood</v>
      </c>
      <c r="B84" s="8" t="str">
        <f>IFERROR(__xludf.DUMMYFUNCTION("""COMPUTED_VALUE"""),"Blood carries oxygen and nutrients throughout the body.")</f>
        <v>Blood carries oxygen and nutrients throughout the body.</v>
      </c>
      <c r="C84" s="13" t="str">
        <f>IFERROR(__xludf.DUMMYFUNCTION("""COMPUTED_VALUE"""),"""gmdb"":{""label"":""Blood"",""extra"":""Blood carries oxygen and nutrients throughout the body."",""sets"":""Junior 9+ (2nd)""},")</f>
        <v>"gmdb":{"label":"Blood","extra":"Blood carries oxygen and nutrients throughout the body.","sets":"Junior 9+ (2nd)"},</v>
      </c>
    </row>
    <row r="85">
      <c r="A85" s="8" t="str">
        <f>IFERROR(__xludf.DUMMYFUNCTION("""COMPUTED_VALUE"""),"Blowing Bubbles")</f>
        <v>Blowing Bubbles</v>
      </c>
      <c r="B85" s="8" t="str">
        <f>IFERROR(__xludf.DUMMYFUNCTION("""COMPUTED_VALUE"""),"The bigger the better!")</f>
        <v>The bigger the better!</v>
      </c>
      <c r="C85" s="13" t="str">
        <f>IFERROR(__xludf.DUMMYFUNCTION("""COMPUTED_VALUE"""),"""ngxd"":{""label"":""Blowing Bubbles"",""extra"":""The bigger the better!"",""sets"":""Junior""},")</f>
        <v>"ngxd":{"label":"Blowing Bubbles","extra":"The bigger the better!","sets":"Junior"},</v>
      </c>
    </row>
    <row r="86">
      <c r="A86" s="8" t="str">
        <f>IFERROR(__xludf.DUMMYFUNCTION("""COMPUTED_VALUE"""),"Blowing Your Nose")</f>
        <v>Blowing Your Nose</v>
      </c>
      <c r="B86" s="8" t="str">
        <f>IFERROR(__xludf.DUMMYFUNCTION("""COMPUTED_VALUE"""),"Please use a tissue!")</f>
        <v>Please use a tissue!</v>
      </c>
      <c r="C86" s="13" t="str">
        <f>IFERROR(__xludf.DUMMYFUNCTION("""COMPUTED_VALUE"""),"""kacg"":{""label"":""Blowing Your Nose"",""extra"":""Please use a tissue!"",""sets"":""Junior""},")</f>
        <v>"kacg":{"label":"Blowing Your Nose","extra":"Please use a tissue!","sets":"Junior"},</v>
      </c>
    </row>
    <row r="87">
      <c r="A87" s="8" t="str">
        <f>IFERROR(__xludf.DUMMYFUNCTION("""COMPUTED_VALUE"""),"Blueberries")</f>
        <v>Blueberries</v>
      </c>
      <c r="B87" s="8" t="str">
        <f>IFERROR(__xludf.DUMMYFUNCTION("""COMPUTED_VALUE"""),"Blueberries will stain your teeth. Smile!")</f>
        <v>Blueberries will stain your teeth. Smile!</v>
      </c>
      <c r="C87" s="13" t="str">
        <f>IFERROR(__xludf.DUMMYFUNCTION("""COMPUTED_VALUE"""),"""zbds"":{""label"":""Blueberries"",""extra"":""Blueberries will stain your teeth. Smile!"",""sets"":""Junior 9+ (1st) &amp; (2nd)""},")</f>
        <v>"zbds":{"label":"Blueberries","extra":"Blueberries will stain your teeth. Smile!","sets":"Junior 9+ (1st) &amp; (2nd)"},</v>
      </c>
    </row>
    <row r="88">
      <c r="A88" s="8" t="str">
        <f>IFERROR(__xludf.DUMMYFUNCTION("""COMPUTED_VALUE"""),"Boats")</f>
        <v>Boats</v>
      </c>
      <c r="B88" s="8" t="str">
        <f>IFERROR(__xludf.DUMMYFUNCTION("""COMPUTED_VALUE"""),"“Row, row, row your boat!”")</f>
        <v>“Row, row, row your boat!”</v>
      </c>
      <c r="C88" s="13" t="str">
        <f>IFERROR(__xludf.DUMMYFUNCTION("""COMPUTED_VALUE"""),"""rhsc"":{""label"":""Boats"",""extra"":""“Row, row, row your boat!”"",""sets"":""Junior""},")</f>
        <v>"rhsc":{"label":"Boats","extra":"“Row, row, row your boat!”","sets":"Junior"},</v>
      </c>
    </row>
    <row r="89">
      <c r="A89" s="8" t="str">
        <f>IFERROR(__xludf.DUMMYFUNCTION("""COMPUTED_VALUE"""),"Bowling")</f>
        <v>Bowling</v>
      </c>
      <c r="B89" s="8" t="str">
        <f>IFERROR(__xludf.DUMMYFUNCTION("""COMPUTED_VALUE"""),"A game played by rolling a heavy ball so that it knocks down wooden pins. A perfect score is 300.")</f>
        <v>A game played by rolling a heavy ball so that it knocks down wooden pins. A perfect score is 300.</v>
      </c>
      <c r="C89" s="13" t="str">
        <f>IFERROR(__xludf.DUMMYFUNCTION("""COMPUTED_VALUE"""),"""ckim"":{""label"":""Bowling"",""extra"":""A game played by rolling a heavy ball so that it knocks down wooden pins. A perfect score is 300."",""sets"":""Junior 9+ (1st) &amp; (2nd)""},")</f>
        <v>"ckim":{"label":"Bowling","extra":"A game played by rolling a heavy ball so that it knocks down wooden pins. A perfect score is 300.","sets":"Junior 9+ (1st) &amp; (2nd)"},</v>
      </c>
    </row>
    <row r="90">
      <c r="A90" s="8" t="str">
        <f>IFERROR(__xludf.DUMMYFUNCTION("""COMPUTED_VALUE"""),"Boy Scouts")</f>
        <v>Boy Scouts</v>
      </c>
      <c r="B90" s="8" t="str">
        <f>IFERROR(__xludf.DUMMYFUNCTION("""COMPUTED_VALUE"""),"On my honor, I will do my best… and learn to camp.")</f>
        <v>On my honor, I will do my best… and learn to camp.</v>
      </c>
      <c r="C90" s="13" t="str">
        <f>IFERROR(__xludf.DUMMYFUNCTION("""COMPUTED_VALUE"""),"""urzd"":{""label"":""Boy Scouts"",""extra"":""On my honor, I will do my best… and learn to camp."",""sets"":""Junior 9+ (2nd)""},")</f>
        <v>"urzd":{"label":"Boy Scouts","extra":"On my honor, I will do my best… and learn to camp.","sets":"Junior 9+ (2nd)"},</v>
      </c>
    </row>
    <row r="91">
      <c r="A91" s="8" t="str">
        <f>IFERROR(__xludf.DUMMYFUNCTION("""COMPUTED_VALUE"""),"Boyfriends")</f>
        <v>Boyfriends</v>
      </c>
      <c r="B91" s="8" t="str">
        <f>IFERROR(__xludf.DUMMYFUNCTION("""COMPUTED_VALUE"""),"We're just friends!")</f>
        <v>We're just friends!</v>
      </c>
      <c r="C91" s="13" t="str">
        <f>IFERROR(__xludf.DUMMYFUNCTION("""COMPUTED_VALUE"""),"""ycqa"":{""label"":""Boyfriends"",""extra"":""We're just friends!"",""sets"":""Junior 9+ (2nd)""},")</f>
        <v>"ycqa":{"label":"Boyfriends","extra":"We're just friends!","sets":"Junior 9+ (2nd)"},</v>
      </c>
    </row>
    <row r="92">
      <c r="A92" s="8" t="str">
        <f>IFERROR(__xludf.DUMMYFUNCTION("""COMPUTED_VALUE"""),"Boys")</f>
        <v>Boys</v>
      </c>
      <c r="B92" s="8" t="str">
        <f>IFERROR(__xludf.DUMMYFUNCTION("""COMPUTED_VALUE"""),"“Snips and snails and puppy dog tails.”")</f>
        <v>“Snips and snails and puppy dog tails.”</v>
      </c>
      <c r="C92" s="13" t="str">
        <f>IFERROR(__xludf.DUMMYFUNCTION("""COMPUTED_VALUE"""),"""wpij"":{""label"":""Boys"",""extra"":""“Snips and snails and puppy dog tails.”"",""sets"":""Junior""},")</f>
        <v>"wpij":{"label":"Boys","extra":"“Snips and snails and puppy dog tails.”","sets":"Junior"},</v>
      </c>
    </row>
    <row r="93">
      <c r="A93" s="8" t="str">
        <f>IFERROR(__xludf.DUMMYFUNCTION("""COMPUTED_VALUE"""),"Braces")</f>
        <v>Braces</v>
      </c>
      <c r="B93" s="8" t="str">
        <f>IFERROR(__xludf.DUMMYFUNCTION("""COMPUTED_VALUE"""),"No more gum, no caramels, no corn on the cob.")</f>
        <v>No more gum, no caramels, no corn on the cob.</v>
      </c>
      <c r="C93" s="13" t="str">
        <f>IFERROR(__xludf.DUMMYFUNCTION("""COMPUTED_VALUE"""),"""ixdx"":{""label"":""Braces"",""extra"":""No more gum, no caramels, no corn on the cob."",""sets"":""Junior 9+ (1st) &amp; (2nd)""},")</f>
        <v>"ixdx":{"label":"Braces","extra":"No more gum, no caramels, no corn on the cob.","sets":"Junior 9+ (1st) &amp; (2nd)"},</v>
      </c>
    </row>
    <row r="94">
      <c r="A94" s="8" t="str">
        <f>IFERROR(__xludf.DUMMYFUNCTION("""COMPUTED_VALUE"""),"Brains")</f>
        <v>Brains</v>
      </c>
      <c r="B94" s="8" t="str">
        <f>IFERROR(__xludf.DUMMYFUNCTION("""COMPUTED_VALUE"""),"It’s all in your head.")</f>
        <v>It’s all in your head.</v>
      </c>
      <c r="C94" s="13" t="str">
        <f>IFERROR(__xludf.DUMMYFUNCTION("""COMPUTED_VALUE"""),"""jtjx"":{""label"":""Brains"",""extra"":""It’s all in your head."",""sets"":""Junior 9+ (1st) &amp; (2nd)""},")</f>
        <v>"jtjx":{"label":"Brains","extra":"It’s all in your head.","sets":"Junior 9+ (1st) &amp; (2nd)"},</v>
      </c>
    </row>
    <row r="95">
      <c r="A95" s="8" t="str">
        <f>IFERROR(__xludf.DUMMYFUNCTION("""COMPUTED_VALUE"""),"Brothers")</f>
        <v>Brothers</v>
      </c>
      <c r="B95" s="8" t="str">
        <f>IFERROR(__xludf.DUMMYFUNCTION("""COMPUTED_VALUE"""),"Oh, brother!")</f>
        <v>Oh, brother!</v>
      </c>
      <c r="C95" s="13" t="str">
        <f>IFERROR(__xludf.DUMMYFUNCTION("""COMPUTED_VALUE"""),"""nqwc"":{""label"":""Brothers"",""extra"":""Oh, brother!"",""sets"":""Junior 9+ (1st) &amp; (2nd)""},")</f>
        <v>"nqwc":{"label":"Brothers","extra":"Oh, brother!","sets":"Junior 9+ (1st) &amp; (2nd)"},</v>
      </c>
    </row>
    <row r="96">
      <c r="A96" s="8" t="str">
        <f>IFERROR(__xludf.DUMMYFUNCTION("""COMPUTED_VALUE"""),"Bruises")</f>
        <v>Bruises</v>
      </c>
      <c r="B96" s="8" t="str">
        <f>IFERROR(__xludf.DUMMYFUNCTION("""COMPUTED_VALUE"""),"The dark color of a bruise is caused by broken blood vessels under the skin.")</f>
        <v>The dark color of a bruise is caused by broken blood vessels under the skin.</v>
      </c>
      <c r="C96" s="13" t="str">
        <f>IFERROR(__xludf.DUMMYFUNCTION("""COMPUTED_VALUE"""),"""wqwg"":{""label"":""Bruises"",""extra"":""The dark color of a bruise is caused by broken blood vessels under the skin."",""sets"":""Junior 9+ (2nd)""},")</f>
        <v>"wqwg":{"label":"Bruises","extra":"The dark color of a bruise is caused by broken blood vessels under the skin.","sets":"Junior 9+ (2nd)"},</v>
      </c>
    </row>
    <row r="97">
      <c r="A97" s="8" t="str">
        <f>IFERROR(__xludf.DUMMYFUNCTION("""COMPUTED_VALUE"""),"Brushing Your Teeth")</f>
        <v>Brushing Your Teeth</v>
      </c>
      <c r="B97" s="8" t="str">
        <f>IFERROR(__xludf.DUMMYFUNCTION("""COMPUTED_VALUE"""),"Oh! What's that gunk stuck on your teeth?")</f>
        <v>Oh! What's that gunk stuck on your teeth?</v>
      </c>
      <c r="C97" s="13" t="str">
        <f>IFERROR(__xludf.DUMMYFUNCTION("""COMPUTED_VALUE"""),"""rmkz"":{""label"":""Brushing Your Teeth"",""extra"":""Oh! What's that gunk stuck on your teeth?"",""sets"":""Junior 9+ (1st) &amp; (2nd)""},")</f>
        <v>"rmkz":{"label":"Brushing Your Teeth","extra":"Oh! What's that gunk stuck on your teeth?","sets":"Junior 9+ (1st) &amp; (2nd)"},</v>
      </c>
    </row>
    <row r="98">
      <c r="A98" s="8" t="str">
        <f>IFERROR(__xludf.DUMMYFUNCTION("""COMPUTED_VALUE"""),"Bubble Bath")</f>
        <v>Bubble Bath</v>
      </c>
      <c r="B98" s="8" t="str">
        <f>IFERROR(__xludf.DUMMYFUNCTION("""COMPUTED_VALUE"""),"Just add water!")</f>
        <v>Just add water!</v>
      </c>
      <c r="C98" s="13" t="str">
        <f>IFERROR(__xludf.DUMMYFUNCTION("""COMPUTED_VALUE"""),"""epxs"":{""label"":""Bubble Bath"",""extra"":""Just add water!"",""sets"":""Junior 9+ (2nd)""},")</f>
        <v>"epxs":{"label":"Bubble Bath","extra":"Just add water!","sets":"Junior 9+ (2nd)"},</v>
      </c>
    </row>
    <row r="99">
      <c r="A99" s="8" t="str">
        <f>IFERROR(__xludf.DUMMYFUNCTION("""COMPUTED_VALUE"""),"Bubble Gum")</f>
        <v>Bubble Gum</v>
      </c>
      <c r="B99" s="8" t="str">
        <f>IFERROR(__xludf.DUMMYFUNCTION("""COMPUTED_VALUE"""),"Chewing is easy, blowing bubbles is hard, getting it out of your hair is even harder.")</f>
        <v>Chewing is easy, blowing bubbles is hard, getting it out of your hair is even harder.</v>
      </c>
      <c r="C99" s="13" t="str">
        <f>IFERROR(__xludf.DUMMYFUNCTION("""COMPUTED_VALUE"""),"""jgoz"":{""label"":""Bubble Gum"",""extra"":""Chewing is easy, blowing bubbles is hard, getting it out of your hair is even harder."",""sets"":""Junior 9+ (1st) &amp; (2nd)""},")</f>
        <v>"jgoz":{"label":"Bubble Gum","extra":"Chewing is easy, blowing bubbles is hard, getting it out of your hair is even harder.","sets":"Junior 9+ (1st) &amp; (2nd)"},</v>
      </c>
    </row>
    <row r="100">
      <c r="A100" s="8" t="str">
        <f>IFERROR(__xludf.DUMMYFUNCTION("""COMPUTED_VALUE"""),"Buddies")</f>
        <v>Buddies</v>
      </c>
      <c r="B100" s="8" t="str">
        <f>IFERROR(__xludf.DUMMYFUNCTION("""COMPUTED_VALUE"""),"Good friends people and pets.")</f>
        <v>Good friends people and pets.</v>
      </c>
      <c r="C100" s="13" t="str">
        <f>IFERROR(__xludf.DUMMYFUNCTION("""COMPUTED_VALUE"""),"""ushb"":{""label"":""Buddies"",""extra"":""Good friends people and pets."",""sets"":""Junior""},")</f>
        <v>"ushb":{"label":"Buddies","extra":"Good friends people and pets.","sets":"Junior"},</v>
      </c>
    </row>
    <row r="101">
      <c r="A101" s="8" t="str">
        <f>IFERROR(__xludf.DUMMYFUNCTION("""COMPUTED_VALUE"""),"Buffalo")</f>
        <v>Buffalo</v>
      </c>
      <c r="B101" s="8" t="str">
        <f>IFERROR(__xludf.DUMMYFUNCTION("""COMPUTED_VALUE"""),"A large animal with a big, shaggy head and a hump on its back, native to North America.")</f>
        <v>A large animal with a big, shaggy head and a hump on its back, native to North America.</v>
      </c>
      <c r="C101" s="13" t="str">
        <f>IFERROR(__xludf.DUMMYFUNCTION("""COMPUTED_VALUE"""),"""xvtr"":{""label"":""Buffalo"",""extra"":""A large animal with a big, shaggy head and a hump on its back, native to North America."",""sets"":""Junior 9+ (1st) &amp; (2nd)""},")</f>
        <v>"xvtr":{"label":"Buffalo","extra":"A large animal with a big, shaggy head and a hump on its back, native to North America.","sets":"Junior 9+ (1st) &amp; (2nd)"},</v>
      </c>
    </row>
    <row r="102">
      <c r="A102" s="8" t="str">
        <f>IFERROR(__xludf.DUMMYFUNCTION("""COMPUTED_VALUE"""),"Bugs")</f>
        <v>Bugs</v>
      </c>
      <c r="B102" s="8" t="str">
        <f>IFERROR(__xludf.DUMMYFUNCTION("""COMPUTED_VALUE"""),"Ants, beetles, spiders, and roaches. It’s “A Bug’s Life.”")</f>
        <v>Ants, beetles, spiders, and roaches. It’s “A Bug’s Life.”</v>
      </c>
      <c r="C102" s="13" t="str">
        <f>IFERROR(__xludf.DUMMYFUNCTION("""COMPUTED_VALUE"""),"""v{ll"":{""label"":""Bugs"",""extra"":""Ants, beetles, spiders, and roaches. It’s “A Bug’s Life.”"",""sets"":""Junior""},")</f>
        <v>"v{ll":{"label":"Bugs","extra":"Ants, beetles, spiders, and roaches. It’s “A Bug’s Life.”","sets":"Junior"},</v>
      </c>
    </row>
    <row r="103">
      <c r="A103" s="8" t="str">
        <f>IFERROR(__xludf.DUMMYFUNCTION("""COMPUTED_VALUE"""),"Bugs Bunny")</f>
        <v>Bugs Bunny</v>
      </c>
      <c r="B103" s="8" t="str">
        <f>IFERROR(__xludf.DUMMYFUNCTION("""COMPUTED_VALUE"""),"A tall, skinny cartoon rabbit. “What’s up, Doc?”")</f>
        <v>A tall, skinny cartoon rabbit. “What’s up, Doc?”</v>
      </c>
      <c r="C103" s="13" t="str">
        <f>IFERROR(__xludf.DUMMYFUNCTION("""COMPUTED_VALUE"""),"""gmyd"":{""label"":""Bugs Bunny"",""extra"":""A tall, skinny cartoon rabbit. “What’s up, Doc?”"",""sets"":""Junior""},")</f>
        <v>"gmyd":{"label":"Bugs Bunny","extra":"A tall, skinny cartoon rabbit. “What’s up, Doc?”","sets":"Junior"},</v>
      </c>
    </row>
    <row r="104">
      <c r="A104" s="8" t="str">
        <f>IFERROR(__xludf.DUMMYFUNCTION("""COMPUTED_VALUE"""),"Bullfighting")</f>
        <v>Bullfighting</v>
      </c>
      <c r="B104" s="8" t="str">
        <f>IFERROR(__xludf.DUMMYFUNCTION("""COMPUTED_VALUE"""),"A traditional sport in some Spanish speaking countries.")</f>
        <v>A traditional sport in some Spanish speaking countries.</v>
      </c>
      <c r="C104" s="13" t="str">
        <f>IFERROR(__xludf.DUMMYFUNCTION("""COMPUTED_VALUE"""),"""keey"":{""label"":""Bullfighting"",""extra"":""A traditional sport in some Spanish speaking countries."",""sets"":""Junior 9+ (2nd)""},")</f>
        <v>"keey":{"label":"Bullfighting","extra":"A traditional sport in some Spanish speaking countries.","sets":"Junior 9+ (2nd)"},</v>
      </c>
    </row>
    <row r="105">
      <c r="A105" s="8" t="str">
        <f>IFERROR(__xludf.DUMMYFUNCTION("""COMPUTED_VALUE"""),"Bumble Bees")</f>
        <v>Bumble Bees</v>
      </c>
      <c r="B105" s="8" t="str">
        <f>IFERROR(__xludf.DUMMYFUNCTION("""COMPUTED_VALUE"""),"Large, fuzzy bees with yellow and black stripes. Watch outthey sting!")</f>
        <v>Large, fuzzy bees with yellow and black stripes. Watch outthey sting!</v>
      </c>
      <c r="C105" s="13" t="str">
        <f>IFERROR(__xludf.DUMMYFUNCTION("""COMPUTED_VALUE"""),"""gdzg"":{""label"":""Bumble Bees"",""extra"":""Large, fuzzy bees with yellow and black stripes. Watch outthey sting!"",""sets"":""Junior""},")</f>
        <v>"gdzg":{"label":"Bumble Bees","extra":"Large, fuzzy bees with yellow and black stripes. Watch outthey sting!","sets":"Junior"},</v>
      </c>
    </row>
    <row r="106">
      <c r="A106" s="8" t="str">
        <f>IFERROR(__xludf.DUMMYFUNCTION("""COMPUTED_VALUE"""),"Bunk Beds")</f>
        <v>Bunk Beds</v>
      </c>
      <c r="B106" s="8" t="str">
        <f>IFERROR(__xludf.DUMMYFUNCTION("""COMPUTED_VALUE"""),"Two single beds, one on top of the other. I want the top!")</f>
        <v>Two single beds, one on top of the other. I want the top!</v>
      </c>
      <c r="C106" s="13" t="str">
        <f>IFERROR(__xludf.DUMMYFUNCTION("""COMPUTED_VALUE"""),"""sdzo"":{""label"":""Bunk Beds"",""extra"":""Two single beds, one on top of the other. I want the top!"",""sets"":""Junior 9+ (1st) &amp; (2nd)""},")</f>
        <v>"sdzo":{"label":"Bunk Beds","extra":"Two single beds, one on top of the other. I want the top!","sets":"Junior 9+ (1st) &amp; (2nd)"},</v>
      </c>
    </row>
    <row r="107">
      <c r="A107" s="8" t="str">
        <f>IFERROR(__xludf.DUMMYFUNCTION("""COMPUTED_VALUE"""),"Burned Toast")</f>
        <v>Burned Toast</v>
      </c>
      <c r="B107" s="8" t="str">
        <f>IFERROR(__xludf.DUMMYFUNCTION("""COMPUTED_VALUE"""),"Want some burned bacon with that?")</f>
        <v>Want some burned bacon with that?</v>
      </c>
      <c r="C107" s="13" t="str">
        <f>IFERROR(__xludf.DUMMYFUNCTION("""COMPUTED_VALUE"""),"""eunm"":{""label"":""Burned Toast"",""extra"":""Want some burned bacon with that?"",""sets"":""Junior 9+ (1st) &amp; (2nd)""},")</f>
        <v>"eunm":{"label":"Burned Toast","extra":"Want some burned bacon with that?","sets":"Junior 9+ (1st) &amp; (2nd)"},</v>
      </c>
    </row>
    <row r="108">
      <c r="A108" s="8" t="str">
        <f>IFERROR(__xludf.DUMMYFUNCTION("""COMPUTED_VALUE"""),"Bus Drivers")</f>
        <v>Bus Drivers</v>
      </c>
      <c r="B108" s="8" t="str">
        <f>IFERROR(__xludf.DUMMYFUNCTION("""COMPUTED_VALUE"""),"Don’t bother the bus driver.")</f>
        <v>Don’t bother the bus driver.</v>
      </c>
      <c r="C108" s="13" t="str">
        <f>IFERROR(__xludf.DUMMYFUNCTION("""COMPUTED_VALUE"""),"""{wgz"":{""label"":""Bus Drivers"",""extra"":""Don’t bother the bus driver."",""sets"":""Junior 9+ (1st) &amp; (2nd)""},")</f>
        <v>"{wgz":{"label":"Bus Drivers","extra":"Don’t bother the bus driver.","sets":"Junior 9+ (1st) &amp; (2nd)"},</v>
      </c>
    </row>
    <row r="109">
      <c r="A109" s="8" t="str">
        <f>IFERROR(__xludf.DUMMYFUNCTION("""COMPUTED_VALUE"""),"Butter")</f>
        <v>Butter</v>
      </c>
      <c r="B109" s="8" t="str">
        <f>IFERROR(__xludf.DUMMYFUNCTION("""COMPUTED_VALUE"""),"What’s better than butter?")</f>
        <v>What’s better than butter?</v>
      </c>
      <c r="C109" s="13" t="str">
        <f>IFERROR(__xludf.DUMMYFUNCTION("""COMPUTED_VALUE"""),"""mrhh"":{""label"":""Butter"",""extra"":""What’s better than butter?"",""sets"":""Junior 9+ (1st) &amp; (2nd)""},")</f>
        <v>"mrhh":{"label":"Butter","extra":"What’s better than butter?","sets":"Junior 9+ (1st) &amp; (2nd)"},</v>
      </c>
    </row>
    <row r="110">
      <c r="A110" s="8" t="str">
        <f>IFERROR(__xludf.DUMMYFUNCTION("""COMPUTED_VALUE"""),"Butterflies")</f>
        <v>Butterflies</v>
      </c>
      <c r="B110" s="8" t="str">
        <f>IFERROR(__xludf.DUMMYFUNCTION("""COMPUTED_VALUE"""),"Butterflies flutter by.")</f>
        <v>Butterflies flutter by.</v>
      </c>
      <c r="C110" s="13" t="str">
        <f>IFERROR(__xludf.DUMMYFUNCTION("""COMPUTED_VALUE"""),"""uxdp"":{""label"":""Butterflies"",""extra"":""Butterflies flutter by."",""sets"":""Junior 9+ (1st) &amp; (2nd)""},")</f>
        <v>"uxdp":{"label":"Butterflies","extra":"Butterflies flutter by.","sets":"Junior 9+ (1st) &amp; (2nd)"},</v>
      </c>
    </row>
    <row r="111">
      <c r="A111" s="8" t="str">
        <f>IFERROR(__xludf.DUMMYFUNCTION("""COMPUTED_VALUE"""),"Buzz Lightyear")</f>
        <v>Buzz Lightyear</v>
      </c>
      <c r="B111" s="8" t="str">
        <f>IFERROR(__xludf.DUMMYFUNCTION("""COMPUTED_VALUE"""),"The animated star of Toy Story. “To infinity and beyond!”")</f>
        <v>The animated star of Toy Story. “To infinity and beyond!”</v>
      </c>
      <c r="C111" s="13" t="str">
        <f>IFERROR(__xludf.DUMMYFUNCTION("""COMPUTED_VALUE"""),"""jdu{"":{""label"":""Buzz Lightyear"",""extra"":""The animated star of Toy Story. “To infinity and beyond!”"",""sets"":""Junior 9+ (2nd)""},")</f>
        <v>"jdu{":{"label":"Buzz Lightyear","extra":"The animated star of Toy Story. “To infinity and beyond!”","sets":"Junior 9+ (2nd)"},</v>
      </c>
    </row>
    <row r="112">
      <c r="A112" s="8" t="str">
        <f>IFERROR(__xludf.DUMMYFUNCTION("""COMPUTED_VALUE"""),"Camels")</f>
        <v>Camels</v>
      </c>
      <c r="B112" s="8" t="str">
        <f>IFERROR(__xludf.DUMMYFUNCTION("""COMPUTED_VALUE"""),"One hump or two?")</f>
        <v>One hump or two?</v>
      </c>
      <c r="C112" s="13" t="str">
        <f>IFERROR(__xludf.DUMMYFUNCTION("""COMPUTED_VALUE"""),"""gzke"":{""label"":""Camels"",""extra"":""One hump or two?"",""sets"":""Junior 9+ (2nd)""},")</f>
        <v>"gzke":{"label":"Camels","extra":"One hump or two?","sets":"Junior 9+ (2nd)"},</v>
      </c>
    </row>
    <row r="113">
      <c r="A113" s="8" t="str">
        <f>IFERROR(__xludf.DUMMYFUNCTION("""COMPUTED_VALUE"""),"Cameras")</f>
        <v>Cameras</v>
      </c>
      <c r="B113" s="8" t="str">
        <f>IFERROR(__xludf.DUMMYFUNCTION("""COMPUTED_VALUE"""),"“And this is a picture from our summer vacation…”")</f>
        <v>“And this is a picture from our summer vacation…”</v>
      </c>
      <c r="C113" s="13" t="str">
        <f>IFERROR(__xludf.DUMMYFUNCTION("""COMPUTED_VALUE"""),"""tiuv"":{""label"":""Cameras"",""extra"":""“And this is a picture from our summer vacation…”"",""sets"":""Junior 9+ (2nd)""},")</f>
        <v>"tiuv":{"label":"Cameras","extra":"“And this is a picture from our summer vacation…”","sets":"Junior 9+ (2nd)"},</v>
      </c>
    </row>
    <row r="114">
      <c r="A114" s="8" t="str">
        <f>IFERROR(__xludf.DUMMYFUNCTION("""COMPUTED_VALUE"""),"Campfire")</f>
        <v>Campfire</v>
      </c>
      <c r="B114" s="8" t="str">
        <f>IFERROR(__xludf.DUMMYFUNCTION("""COMPUTED_VALUE"""),"S’mores and songs. Gather ’round!")</f>
        <v>S’mores and songs. Gather ’round!</v>
      </c>
      <c r="C114" s="13" t="str">
        <f>IFERROR(__xludf.DUMMYFUNCTION("""COMPUTED_VALUE"""),"""yezo"":{""label"":""Campfire"",""extra"":""S’mores and songs. Gather ’round!"",""sets"":""Junior 9+ (2nd)""},")</f>
        <v>"yezo":{"label":"Campfire","extra":"S’mores and songs. Gather ’round!","sets":"Junior 9+ (2nd)"},</v>
      </c>
    </row>
    <row r="115">
      <c r="A115" s="8" t="str">
        <f>IFERROR(__xludf.DUMMYFUNCTION("""COMPUTED_VALUE"""),"Camping")</f>
        <v>Camping</v>
      </c>
      <c r="B115" s="8" t="str">
        <f>IFERROR(__xludf.DUMMYFUNCTION("""COMPUTED_VALUE"""),"Shhh! Did you hear that noise?")</f>
        <v>Shhh! Did you hear that noise?</v>
      </c>
      <c r="C115" s="13" t="str">
        <f>IFERROR(__xludf.DUMMYFUNCTION("""COMPUTED_VALUE"""),"""puhx"":{""label"":""Camping"",""extra"":""Shhh! Did you hear that noise?"",""sets"":""Junior 9+ (1st) &amp; (2nd)""},")</f>
        <v>"puhx":{"label":"Camping","extra":"Shhh! Did you hear that noise?","sets":"Junior 9+ (1st) &amp; (2nd)"},</v>
      </c>
    </row>
    <row r="116">
      <c r="A116" s="8" t="str">
        <f>IFERROR(__xludf.DUMMYFUNCTION("""COMPUTED_VALUE"""),"Canada")</f>
        <v>Canada</v>
      </c>
      <c r="B116" s="8" t="str">
        <f>IFERROR(__xludf.DUMMYFUNCTION("""COMPUTED_VALUE"""),"Largest country in North America. Canada is located north of the U.S.")</f>
        <v>Largest country in North America. Canada is located north of the U.S.</v>
      </c>
      <c r="C116" s="13" t="str">
        <f>IFERROR(__xludf.DUMMYFUNCTION("""COMPUTED_VALUE"""),"""ffzv"":{""label"":""Canada"",""extra"":""Largest country in North America. Canada is located north of the U.S."",""sets"":""Junior 9+ (1st) &amp; (2nd)""},")</f>
        <v>"ffzv":{"label":"Canada","extra":"Largest country in North America. Canada is located north of the U.S.","sets":"Junior 9+ (1st) &amp; (2nd)"},</v>
      </c>
    </row>
    <row r="117">
      <c r="A117" s="8" t="str">
        <f>IFERROR(__xludf.DUMMYFUNCTION("""COMPUTED_VALUE"""),"Candles")</f>
        <v>Candles</v>
      </c>
      <c r="B117" s="8" t="str">
        <f>IFERROR(__xludf.DUMMYFUNCTION("""COMPUTED_VALUE"""),"How many candles are on your birthday cake?")</f>
        <v>How many candles are on your birthday cake?</v>
      </c>
      <c r="C117" s="13" t="str">
        <f>IFERROR(__xludf.DUMMYFUNCTION("""COMPUTED_VALUE"""),"""qnzo"":{""label"":""Candles"",""extra"":""How many candles are on your birthday cake?"",""sets"":""Junior""},")</f>
        <v>"qnzo":{"label":"Candles","extra":"How many candles are on your birthday cake?","sets":"Junior"},</v>
      </c>
    </row>
    <row r="118">
      <c r="A118" s="8" t="str">
        <f>IFERROR(__xludf.DUMMYFUNCTION("""COMPUTED_VALUE"""),"Candy")</f>
        <v>Candy</v>
      </c>
      <c r="B118" s="8" t="str">
        <f>IFERROR(__xludf.DUMMYFUNCTION("""COMPUTED_VALUE"""),"Lollipops, jelly beans, chocolates, and lots more. All the good stuff!")</f>
        <v>Lollipops, jelly beans, chocolates, and lots more. All the good stuff!</v>
      </c>
      <c r="C118" s="13" t="str">
        <f>IFERROR(__xludf.DUMMYFUNCTION("""COMPUTED_VALUE"""),"""ckce"":{""label"":""Candy"",""extra"":""Lollipops, jelly beans, chocolates, and lots more. All the good stuff!"",""sets"":""Junior""},")</f>
        <v>"ckce":{"label":"Candy","extra":"Lollipops, jelly beans, chocolates, and lots more. All the good stuff!","sets":"Junior"},</v>
      </c>
    </row>
    <row r="119">
      <c r="A119" s="8" t="str">
        <f>IFERROR(__xludf.DUMMYFUNCTION("""COMPUTED_VALUE"""),"Candy Corn")</f>
        <v>Candy Corn</v>
      </c>
      <c r="B119" s="8" t="str">
        <f>IFERROR(__xludf.DUMMYFUNCTION("""COMPUTED_VALUE"""),"It may be corn but it's not a vegetable.")</f>
        <v>It may be corn but it's not a vegetable.</v>
      </c>
      <c r="C119" s="13" t="str">
        <f>IFERROR(__xludf.DUMMYFUNCTION("""COMPUTED_VALUE"""),"""wxwx"":{""label"":""Candy Corn"",""extra"":""It may be corn but it's not a vegetable."",""sets"":""Junior 9+ (1st) &amp; (2nd)""},")</f>
        <v>"wxwx":{"label":"Candy Corn","extra":"It may be corn but it's not a vegetable.","sets":"Junior 9+ (1st) &amp; (2nd)"},</v>
      </c>
    </row>
    <row r="120">
      <c r="A120" s="8" t="str">
        <f>IFERROR(__xludf.DUMMYFUNCTION("""COMPUTED_VALUE"""),"Canoes")</f>
        <v>Canoes</v>
      </c>
      <c r="B120" s="8" t="str">
        <f>IFERROR(__xludf.DUMMYFUNCTION("""COMPUTED_VALUE"""),"Light, narrow boats. Don't stand up!")</f>
        <v>Light, narrow boats. Don't stand up!</v>
      </c>
      <c r="C120" s="13" t="str">
        <f>IFERROR(__xludf.DUMMYFUNCTION("""COMPUTED_VALUE"""),"""bevr"":{""label"":""Canoes"",""extra"":""Light, narrow boats. Don't stand up!"",""sets"":""Junior 9+ (1st) &amp; (2nd)""},")</f>
        <v>"bevr":{"label":"Canoes","extra":"Light, narrow boats. Don't stand up!","sets":"Junior 9+ (1st) &amp; (2nd)"},</v>
      </c>
    </row>
    <row r="121">
      <c r="A121" s="8" t="str">
        <f>IFERROR(__xludf.DUMMYFUNCTION("""COMPUTED_VALUE"""),"Car Crash")</f>
        <v>Car Crash</v>
      </c>
      <c r="B121" s="8" t="str">
        <f>IFERROR(__xludf.DUMMYFUNCTION("""COMPUTED_VALUE"""),"Always wear your seatbelt.")</f>
        <v>Always wear your seatbelt.</v>
      </c>
      <c r="C121" s="13" t="str">
        <f>IFERROR(__xludf.DUMMYFUNCTION("""COMPUTED_VALUE"""),"""kpel"":{""label"":""Car Crash"",""extra"":""Always wear your seatbelt."",""sets"":""Junior 9+ (1st) &amp; (2nd)""},")</f>
        <v>"kpel":{"label":"Car Crash","extra":"Always wear your seatbelt.","sets":"Junior 9+ (1st) &amp; (2nd)"},</v>
      </c>
    </row>
    <row r="122">
      <c r="A122" s="8" t="str">
        <f>IFERROR(__xludf.DUMMYFUNCTION("""COMPUTED_VALUE"""),"Card Games")</f>
        <v>Card Games</v>
      </c>
      <c r="B122" s="8" t="str">
        <f>IFERROR(__xludf.DUMMYFUNCTION("""COMPUTED_VALUE"""),"“Apples to Apples” might be fun!")</f>
        <v>“Apples to Apples” might be fun!</v>
      </c>
      <c r="C122" s="13" t="str">
        <f>IFERROR(__xludf.DUMMYFUNCTION("""COMPUTED_VALUE"""),"""fs{n"":{""label"":""Card Games"",""extra"":""“Apples to Apples” might be fun!"",""sets"":""Junior 9+ (1st) &amp; (2nd)""},")</f>
        <v>"fs{n":{"label":"Card Games","extra":"“Apples to Apples” might be fun!","sets":"Junior 9+ (1st) &amp; (2nd)"},</v>
      </c>
    </row>
    <row r="123">
      <c r="A123" s="8" t="str">
        <f>IFERROR(__xludf.DUMMYFUNCTION("""COMPUTED_VALUE"""),"Carpenters")</f>
        <v>Carpenters</v>
      </c>
      <c r="B123" s="8" t="str">
        <f>IFERROR(__xludf.DUMMYFUNCTION("""COMPUTED_VALUE"""),"Hammering and sawing- it’s just wood work.")</f>
        <v>Hammering and sawing- it’s just wood work.</v>
      </c>
      <c r="C123" s="13" t="str">
        <f>IFERROR(__xludf.DUMMYFUNCTION("""COMPUTED_VALUE"""),"""twtm"":{""label"":""Carpenters"",""extra"":""Hammering and sawing- it’s just wood work."",""sets"":""Junior 9+ (2nd)""},")</f>
        <v>"twtm":{"label":"Carpenters","extra":"Hammering and sawing- it’s just wood work.","sets":"Junior 9+ (2nd)"},</v>
      </c>
    </row>
    <row r="124">
      <c r="A124" s="8" t="str">
        <f>IFERROR(__xludf.DUMMYFUNCTION("""COMPUTED_VALUE"""),"Carrots")</f>
        <v>Carrots</v>
      </c>
      <c r="B124" s="8" t="str">
        <f>IFERROR(__xludf.DUMMYFUNCTION("""COMPUTED_VALUE"""),"Bugs Bunny’s favorite food.")</f>
        <v>Bugs Bunny’s favorite food.</v>
      </c>
      <c r="C124" s="13" t="str">
        <f>IFERROR(__xludf.DUMMYFUNCTION("""COMPUTED_VALUE"""),"""tydc"":{""label"":""Carrots"",""extra"":""Bugs Bunny’s favorite food."",""sets"":""Junior 9+ (1st) &amp; (2nd)""},")</f>
        <v>"tydc":{"label":"Carrots","extra":"Bugs Bunny’s favorite food.","sets":"Junior 9+ (1st) &amp; (2nd)"},</v>
      </c>
    </row>
    <row r="125">
      <c r="A125" s="8" t="str">
        <f>IFERROR(__xludf.DUMMYFUNCTION("""COMPUTED_VALUE"""),"Castles")</f>
        <v>Castles</v>
      </c>
      <c r="B125" s="8" t="str">
        <f>IFERROR(__xludf.DUMMYFUNCTION("""COMPUTED_VALUE"""),"Some have towers, dungeons and moats.")</f>
        <v>Some have towers, dungeons and moats.</v>
      </c>
      <c r="C125" s="13" t="str">
        <f>IFERROR(__xludf.DUMMYFUNCTION("""COMPUTED_VALUE"""),"""{fct"":{""label"":""Castles"",""extra"":""Some have towers, dungeons and moats."",""sets"":""Junior 9+ (1st) &amp; (2nd)""},")</f>
        <v>"{fct":{"label":"Castles","extra":"Some have towers, dungeons and moats.","sets":"Junior 9+ (1st) &amp; (2nd)"},</v>
      </c>
    </row>
    <row r="126">
      <c r="A126" s="8" t="str">
        <f>IFERROR(__xludf.DUMMYFUNCTION("""COMPUTED_VALUE"""),"Catfish")</f>
        <v>Catfish</v>
      </c>
      <c r="B126" s="8" t="str">
        <f>IFERROR(__xludf.DUMMYFUNCTION("""COMPUTED_VALUE"""),"Fish with feelers that look like whiskers.")</f>
        <v>Fish with feelers that look like whiskers.</v>
      </c>
      <c r="C126" s="13" t="str">
        <f>IFERROR(__xludf.DUMMYFUNCTION("""COMPUTED_VALUE"""),"""uquv"":{""label"":""Catfish"",""extra"":""Fish with feelers that look like whiskers."",""sets"":""Junior""},")</f>
        <v>"uquv":{"label":"Catfish","extra":"Fish with feelers that look like whiskers.","sets":"Junior"},</v>
      </c>
    </row>
    <row r="127">
      <c r="A127" s="8" t="str">
        <f>IFERROR(__xludf.DUMMYFUNCTION("""COMPUTED_VALUE"""),"Catsup")</f>
        <v>Catsup</v>
      </c>
      <c r="B127" s="8" t="str">
        <f>IFERROR(__xludf.DUMMYFUNCTION("""COMPUTED_VALUE"""),"Catsup is made from tomatoes, onions, sugar, and spices.")</f>
        <v>Catsup is made from tomatoes, onions, sugar, and spices.</v>
      </c>
      <c r="C127" s="13" t="str">
        <f>IFERROR(__xludf.DUMMYFUNCTION("""COMPUTED_VALUE"""),"""biji"":{""label"":""Catsup"",""extra"":""Catsup is made from tomatoes, onions, sugar, and spices."",""sets"":""Junior 9+ (2nd)""},")</f>
        <v>"biji":{"label":"Catsup","extra":"Catsup is made from tomatoes, onions, sugar, and spices.","sets":"Junior 9+ (2nd)"},</v>
      </c>
    </row>
    <row r="128">
      <c r="A128" s="8" t="str">
        <f>IFERROR(__xludf.DUMMYFUNCTION("""COMPUTED_VALUE"""),"Cattle Ranch")</f>
        <v>Cattle Ranch</v>
      </c>
      <c r="B128" s="8" t="str">
        <f>IFERROR(__xludf.DUMMYFUNCTION("""COMPUTED_VALUE"""),"Home on the range.")</f>
        <v>Home on the range.</v>
      </c>
      <c r="C128" s="13" t="str">
        <f>IFERROR(__xludf.DUMMYFUNCTION("""COMPUTED_VALUE"""),"""ilnp"":{""label"":""Cattle Ranch"",""extra"":""Home on the range."",""sets"":""Junior 9+ (2nd)""},")</f>
        <v>"ilnp":{"label":"Cattle Ranch","extra":"Home on the range.","sets":"Junior 9+ (2nd)"},</v>
      </c>
    </row>
    <row r="129">
      <c r="A129" s="8" t="str">
        <f>IFERROR(__xludf.DUMMYFUNCTION("""COMPUTED_VALUE"""),"Caves")</f>
        <v>Caves</v>
      </c>
      <c r="B129" s="8" t="str">
        <f>IFERROR(__xludf.DUMMYFUNCTION("""COMPUTED_VALUE"""),"Dark and cool, and sometimes home to bats.")</f>
        <v>Dark and cool, and sometimes home to bats.</v>
      </c>
      <c r="C129" s="13" t="str">
        <f>IFERROR(__xludf.DUMMYFUNCTION("""COMPUTED_VALUE"""),"""wazq"":{""label"":""Caves"",""extra"":""Dark and cool, and sometimes home to bats."",""sets"":""Junior 9+ (1st) &amp; (2nd)""},")</f>
        <v>"wazq":{"label":"Caves","extra":"Dark and cool, and sometimes home to bats.","sets":"Junior 9+ (1st) &amp; (2nd)"},</v>
      </c>
    </row>
    <row r="130">
      <c r="A130" s="8" t="str">
        <f>IFERROR(__xludf.DUMMYFUNCTION("""COMPUTED_VALUE"""),"Cavities")</f>
        <v>Cavities</v>
      </c>
      <c r="B130" s="8" t="str">
        <f>IFERROR(__xludf.DUMMYFUNCTION("""COMPUTED_VALUE"""),"But I did brush my teeth!")</f>
        <v>But I did brush my teeth!</v>
      </c>
      <c r="C130" s="13" t="str">
        <f>IFERROR(__xludf.DUMMYFUNCTION("""COMPUTED_VALUE"""),"""fvug"":{""label"":""Cavities"",""extra"":""But I did brush my teeth!"",""sets"":""Junior 9+ (2nd)""},")</f>
        <v>"fvug":{"label":"Cavities","extra":"But I did brush my teeth!","sets":"Junior 9+ (2nd)"},</v>
      </c>
    </row>
    <row r="131">
      <c r="A131" s="8" t="str">
        <f>IFERROR(__xludf.DUMMYFUNCTION("""COMPUTED_VALUE"""),"CD Players")</f>
        <v>CD Players</v>
      </c>
      <c r="B131" s="8" t="str">
        <f>IFERROR(__xludf.DUMMYFUNCTION("""COMPUTED_VALUE"""),"Your portable, personal stereo system.")</f>
        <v>Your portable, personal stereo system.</v>
      </c>
      <c r="C131" s="13" t="str">
        <f>IFERROR(__xludf.DUMMYFUNCTION("""COMPUTED_VALUE"""),"""nnv{"":{""label"":""CD Players"",""extra"":""Your portable, personal stereo system."",""sets"":""Junior 9+ (2nd)""},")</f>
        <v>"nnv{":{"label":"CD Players","extra":"Your portable, personal stereo system.","sets":"Junior 9+ (2nd)"},</v>
      </c>
    </row>
    <row r="132">
      <c r="A132" s="8" t="str">
        <f>IFERROR(__xludf.DUMMYFUNCTION("""COMPUTED_VALUE"""),"Cell Phones")</f>
        <v>Cell Phones</v>
      </c>
      <c r="B132" s="8" t="str">
        <f>IFERROR(__xludf.DUMMYFUNCTION("""COMPUTED_VALUE"""),"Call home if you’re going to be late.")</f>
        <v>Call home if you’re going to be late.</v>
      </c>
      <c r="C132" s="13" t="str">
        <f>IFERROR(__xludf.DUMMYFUNCTION("""COMPUTED_VALUE"""),"""jbzy"":{""label"":""Cell Phones"",""extra"":""Call home if you’re going to be late."",""sets"":""Junior 9+ (2nd)""},")</f>
        <v>"jbzy":{"label":"Cell Phones","extra":"Call home if you’re going to be late.","sets":"Junior 9+ (2nd)"},</v>
      </c>
    </row>
    <row r="133">
      <c r="A133" s="8" t="str">
        <f>IFERROR(__xludf.DUMMYFUNCTION("""COMPUTED_VALUE"""),"Charlie Brown")</f>
        <v>Charlie Brown</v>
      </c>
      <c r="B133" s="8" t="str">
        <f>IFERROR(__xludf.DUMMYFUNCTION("""COMPUTED_VALUE"""),"“Peanuts” cartoon character, friend of Linus and Lucy.")</f>
        <v>“Peanuts” cartoon character, friend of Linus and Lucy.</v>
      </c>
      <c r="C133" s="13" t="str">
        <f>IFERROR(__xludf.DUMMYFUNCTION("""COMPUTED_VALUE"""),"""jqmx"":{""label"":""Charlie Brown"",""extra"":""“Peanuts” cartoon character, friend of Linus and Lucy."",""sets"":""Junior""},")</f>
        <v>"jqmx":{"label":"Charlie Brown","extra":"“Peanuts” cartoon character, friend of Linus and Lucy.","sets":"Junior"},</v>
      </c>
    </row>
    <row r="134">
      <c r="A134" s="8" t="str">
        <f>IFERROR(__xludf.DUMMYFUNCTION("""COMPUTED_VALUE"""),"Charlotte’s Web")</f>
        <v>Charlotte’s Web</v>
      </c>
      <c r="B134" s="8" t="str">
        <f>IFERROR(__xludf.DUMMYFUNCTION("""COMPUTED_VALUE"""),"Award-winning book by E.B. White featuring Charlotte the spider, and a pig named Wilbur.")</f>
        <v>Award-winning book by E.B. White featuring Charlotte the spider, and a pig named Wilbur.</v>
      </c>
      <c r="C134" s="13" t="str">
        <f>IFERROR(__xludf.DUMMYFUNCTION("""COMPUTED_VALUE"""),"""udte"":{""label"":""Charlotte’s Web"",""extra"":""Award-winning book by E.B. White featuring Charlotte the spider, and a pig named Wilbur."",""sets"":""Junior 9+ (2nd)""},")</f>
        <v>"udte":{"label":"Charlotte’s Web","extra":"Award-winning book by E.B. White featuring Charlotte the spider, and a pig named Wilbur.","sets":"Junior 9+ (2nd)"},</v>
      </c>
    </row>
    <row r="135">
      <c r="A135" s="8" t="str">
        <f>IFERROR(__xludf.DUMMYFUNCTION("""COMPUTED_VALUE"""),"Cheerleaders")</f>
        <v>Cheerleaders</v>
      </c>
      <c r="B135" s="8" t="str">
        <f>IFERROR(__xludf.DUMMYFUNCTION("""COMPUTED_VALUE"""),"“Go, Team, Go!”")</f>
        <v>“Go, Team, Go!”</v>
      </c>
      <c r="C135" s="13" t="str">
        <f>IFERROR(__xludf.DUMMYFUNCTION("""COMPUTED_VALUE"""),"""ciuc"":{""label"":""Cheerleaders"",""extra"":""“Go, Team, Go!”"",""sets"":""Junior 9+ (1st) &amp; (2nd)""},")</f>
        <v>"ciuc":{"label":"Cheerleaders","extra":"“Go, Team, Go!”","sets":"Junior 9+ (1st) &amp; (2nd)"},</v>
      </c>
    </row>
    <row r="136">
      <c r="A136" s="8" t="str">
        <f>IFERROR(__xludf.DUMMYFUNCTION("""COMPUTED_VALUE"""),"Cheese")</f>
        <v>Cheese</v>
      </c>
      <c r="B136" s="8" t="str">
        <f>IFERROR(__xludf.DUMMYFUNCTION("""COMPUTED_VALUE"""),"Swiss cheese, American cheese, cottage cheese. Say cheese!")</f>
        <v>Swiss cheese, American cheese, cottage cheese. Say cheese!</v>
      </c>
      <c r="C136" s="13" t="str">
        <f>IFERROR(__xludf.DUMMYFUNCTION("""COMPUTED_VALUE"""),"""utat"":{""label"":""Cheese"",""extra"":""Swiss cheese, American cheese, cottage cheese. Say cheese!"",""sets"":""Junior""},")</f>
        <v>"utat":{"label":"Cheese","extra":"Swiss cheese, American cheese, cottage cheese. Say cheese!","sets":"Junior"},</v>
      </c>
    </row>
    <row r="137">
      <c r="A137" s="8" t="str">
        <f>IFERROR(__xludf.DUMMYFUNCTION("""COMPUTED_VALUE"""),"Cheese Sandwich")</f>
        <v>Cheese Sandwich</v>
      </c>
      <c r="B137" s="8" t="str">
        <f>IFERROR(__xludf.DUMMYFUNCTION("""COMPUTED_VALUE"""),"Two pieces of bread and a slice of cheese. Grill it, if you want.")</f>
        <v>Two pieces of bread and a slice of cheese. Grill it, if you want.</v>
      </c>
      <c r="C137" s="13" t="str">
        <f>IFERROR(__xludf.DUMMYFUNCTION("""COMPUTED_VALUE"""),"""drzo"":{""label"":""Cheese Sandwich"",""extra"":""Two pieces of bread and a slice of cheese. Grill it, if you want."",""sets"":""Junior 9+ (1st) &amp; (2nd)""},")</f>
        <v>"drzo":{"label":"Cheese Sandwich","extra":"Two pieces of bread and a slice of cheese. Grill it, if you want.","sets":"Junior 9+ (1st) &amp; (2nd)"},</v>
      </c>
    </row>
    <row r="138">
      <c r="A138" s="8" t="str">
        <f>IFERROR(__xludf.DUMMYFUNCTION("""COMPUTED_VALUE"""),"Cherries")</f>
        <v>Cherries</v>
      </c>
      <c r="B138" s="8" t="str">
        <f>IFERROR(__xludf.DUMMYFUNCTION("""COMPUTED_VALUE"""),"And a cherry on top!")</f>
        <v>And a cherry on top!</v>
      </c>
      <c r="C138" s="13" t="str">
        <f>IFERROR(__xludf.DUMMYFUNCTION("""COMPUTED_VALUE"""),"""vjty"":{""label"":""Cherries"",""extra"":""And a cherry on top!"",""sets"":""Junior 9+ (2nd)""},")</f>
        <v>"vjty":{"label":"Cherries","extra":"And a cherry on top!","sets":"Junior 9+ (2nd)"},</v>
      </c>
    </row>
    <row r="139">
      <c r="A139" s="8" t="str">
        <f>IFERROR(__xludf.DUMMYFUNCTION("""COMPUTED_VALUE"""),"Cherry Pie")</f>
        <v>Cherry Pie</v>
      </c>
      <c r="B139" s="8" t="str">
        <f>IFERROR(__xludf.DUMMYFUNCTION("""COMPUTED_VALUE"""),"A flaky pastry filled with cherries.")</f>
        <v>A flaky pastry filled with cherries.</v>
      </c>
      <c r="C139" s="13" t="str">
        <f>IFERROR(__xludf.DUMMYFUNCTION("""COMPUTED_VALUE"""),"""vlec"":{""label"":""Cherry Pie"",""extra"":""A flaky pastry filled with cherries."",""sets"":""Junior""},")</f>
        <v>"vlec":{"label":"Cherry Pie","extra":"A flaky pastry filled with cherries.","sets":"Junior"},</v>
      </c>
    </row>
    <row r="140">
      <c r="A140" s="8" t="str">
        <f>IFERROR(__xludf.DUMMYFUNCTION("""COMPUTED_VALUE"""),"Chewing Your Fingernails")</f>
        <v>Chewing Your Fingernails</v>
      </c>
      <c r="B140" s="8" t="str">
        <f>IFERROR(__xludf.DUMMYFUNCTION("""COMPUTED_VALUE"""),"Hungry?")</f>
        <v>Hungry?</v>
      </c>
      <c r="C140" s="13" t="str">
        <f>IFERROR(__xludf.DUMMYFUNCTION("""COMPUTED_VALUE"""),"""gxzs"":{""label"":""Chewing Your Fingernails"",""extra"":""Hungry?"",""sets"":""Junior 9+ (2nd)""},")</f>
        <v>"gxzs":{"label":"Chewing Your Fingernails","extra":"Hungry?","sets":"Junior 9+ (2nd)"},</v>
      </c>
    </row>
    <row r="141">
      <c r="A141" s="8" t="str">
        <f>IFERROR(__xludf.DUMMYFUNCTION("""COMPUTED_VALUE"""),"Chicken Nuggets")</f>
        <v>Chicken Nuggets</v>
      </c>
      <c r="B141" s="8" t="str">
        <f>IFERROR(__xludf.DUMMYFUNCTION("""COMPUTED_VALUE"""),"Bite-sized pieces of fried chicken. Finger food!")</f>
        <v>Bite-sized pieces of fried chicken. Finger food!</v>
      </c>
      <c r="C141" s="13" t="str">
        <f>IFERROR(__xludf.DUMMYFUNCTION("""COMPUTED_VALUE"""),"""kekq"":{""label"":""Chicken Nuggets"",""extra"":""Bite-sized pieces of fried chicken. Finger food!"",""sets"":""Junior 9+ (2nd)""},")</f>
        <v>"kekq":{"label":"Chicken Nuggets","extra":"Bite-sized pieces of fried chicken. Finger food!","sets":"Junior 9+ (2nd)"},</v>
      </c>
    </row>
    <row r="142">
      <c r="A142" s="8" t="str">
        <f>IFERROR(__xludf.DUMMYFUNCTION("""COMPUTED_VALUE"""),"Chicken Pox")</f>
        <v>Chicken Pox</v>
      </c>
      <c r="B142" s="8" t="str">
        <f>IFERROR(__xludf.DUMMYFUNCTION("""COMPUTED_VALUE"""),"An illness that comes with a fever and itchy red bumps. Don’t scratch!")</f>
        <v>An illness that comes with a fever and itchy red bumps. Don’t scratch!</v>
      </c>
      <c r="C142" s="13" t="str">
        <f>IFERROR(__xludf.DUMMYFUNCTION("""COMPUTED_VALUE"""),"""iyhj"":{""label"":""Chicken Pox"",""extra"":""An illness that comes with a fever and itchy red bumps. Don’t scratch!"",""sets"":""Junior 9+ (1st) &amp; (2nd)""},")</f>
        <v>"iyhj":{"label":"Chicken Pox","extra":"An illness that comes with a fever and itchy red bumps. Don’t scratch!","sets":"Junior 9+ (1st) &amp; (2nd)"},</v>
      </c>
    </row>
    <row r="143">
      <c r="A143" s="8" t="str">
        <f>IFERROR(__xludf.DUMMYFUNCTION("""COMPUTED_VALUE"""),"Chickens")</f>
        <v>Chickens</v>
      </c>
      <c r="B143" s="8" t="str">
        <f>IFERROR(__xludf.DUMMYFUNCTION("""COMPUTED_VALUE"""),"Hens and roosters. Cluck-cluck, cock-a-doodle-do!")</f>
        <v>Hens and roosters. Cluck-cluck, cock-a-doodle-do!</v>
      </c>
      <c r="C143" s="13" t="str">
        <f>IFERROR(__xludf.DUMMYFUNCTION("""COMPUTED_VALUE"""),"""wovb"":{""label"":""Chickens"",""extra"":""Hens and roosters. Cluck-cluck, cock-a-doodle-do!"",""sets"":""Junior""},")</f>
        <v>"wovb":{"label":"Chickens","extra":"Hens and roosters. Cluck-cluck, cock-a-doodle-do!","sets":"Junior"},</v>
      </c>
    </row>
    <row r="144">
      <c r="A144" s="8" t="str">
        <f>IFERROR(__xludf.DUMMYFUNCTION("""COMPUTED_VALUE"""),"China")</f>
        <v>China</v>
      </c>
      <c r="B144" s="8" t="str">
        <f>IFERROR(__xludf.DUMMYFUNCTION("""COMPUTED_VALUE"""),"There are over one billion people living in the People’s Republic of China.")</f>
        <v>There are over one billion people living in the People’s Republic of China.</v>
      </c>
      <c r="C144" s="13" t="str">
        <f>IFERROR(__xludf.DUMMYFUNCTION("""COMPUTED_VALUE"""),"""fjtp"":{""label"":""China"",""extra"":""There are over one billion people living in the People’s Republic of China."",""sets"":""Junior 9+ (2nd)""},")</f>
        <v>"fjtp":{"label":"China","extra":"There are over one billion people living in the People’s Republic of China.","sets":"Junior 9+ (2nd)"},</v>
      </c>
    </row>
    <row r="145">
      <c r="A145" s="8" t="str">
        <f>IFERROR(__xludf.DUMMYFUNCTION("""COMPUTED_VALUE"""),"Chocolate Milk")</f>
        <v>Chocolate Milk</v>
      </c>
      <c r="B145" s="8" t="str">
        <f>IFERROR(__xludf.DUMMYFUNCTION("""COMPUTED_VALUE"""),"Good for you and tastes good too!")</f>
        <v>Good for you and tastes good too!</v>
      </c>
      <c r="C145" s="13" t="str">
        <f>IFERROR(__xludf.DUMMYFUNCTION("""COMPUTED_VALUE"""),"""pctg"":{""label"":""Chocolate Milk"",""extra"":""Good for you and tastes good too!"",""sets"":""Junior 9+ (1st) &amp; (2nd)""},")</f>
        <v>"pctg":{"label":"Chocolate Milk","extra":"Good for you and tastes good too!","sets":"Junior 9+ (1st) &amp; (2nd)"},</v>
      </c>
    </row>
    <row r="146">
      <c r="A146" s="8" t="str">
        <f>IFERROR(__xludf.DUMMYFUNCTION("""COMPUTED_VALUE"""),"Chopsticks")</f>
        <v>Chopsticks</v>
      </c>
      <c r="B146" s="8" t="str">
        <f>IFERROR(__xludf.DUMMYFUNCTION("""COMPUTED_VALUE"""),"A pair of small, slender sticks used for eating. Just try eating peas.")</f>
        <v>A pair of small, slender sticks used for eating. Just try eating peas.</v>
      </c>
      <c r="C146" s="13" t="str">
        <f>IFERROR(__xludf.DUMMYFUNCTION("""COMPUTED_VALUE"""),"""buhm"":{""label"":""Chopsticks"",""extra"":""A pair of small, slender sticks used for eating. Just try eating peas."",""sets"":""Junior 9+ (2nd)""},")</f>
        <v>"buhm":{"label":"Chopsticks","extra":"A pair of small, slender sticks used for eating. Just try eating peas.","sets":"Junior 9+ (2nd)"},</v>
      </c>
    </row>
    <row r="147">
      <c r="A147" s="8" t="str">
        <f>IFERROR(__xludf.DUMMYFUNCTION("""COMPUTED_VALUE"""),"Christmas")</f>
        <v>Christmas</v>
      </c>
      <c r="B147" s="8" t="str">
        <f>IFERROR(__xludf.DUMMYFUNCTION("""COMPUTED_VALUE"""),"December 25th, a Christian holiday that is celebrated around the world.")</f>
        <v>December 25th, a Christian holiday that is celebrated around the world.</v>
      </c>
      <c r="C147" s="13" t="str">
        <f>IFERROR(__xludf.DUMMYFUNCTION("""COMPUTED_VALUE"""),"""ykxv"":{""label"":""Christmas"",""extra"":""December 25th, a Christian holiday that is celebrated around the world."",""sets"":""Junior""},")</f>
        <v>"ykxv":{"label":"Christmas","extra":"December 25th, a Christian holiday that is celebrated around the world.","sets":"Junior"},</v>
      </c>
    </row>
    <row r="148">
      <c r="A148" s="8" t="str">
        <f>IFERROR(__xludf.DUMMYFUNCTION("""COMPUTED_VALUE"""),"Churches")</f>
        <v>Churches</v>
      </c>
      <c r="B148" s="8" t="str">
        <f>IFERROR(__xludf.DUMMYFUNCTION("""COMPUTED_VALUE"""),"“Here is the church, and here is the steeple…”")</f>
        <v>“Here is the church, and here is the steeple…”</v>
      </c>
      <c r="C148" s="13" t="str">
        <f>IFERROR(__xludf.DUMMYFUNCTION("""COMPUTED_VALUE"""),"""wfyi"":{""label"":""Churches"",""extra"":""“Here is the church, and here is the steeple…”"",""sets"":""Junior 9+ (2nd)""},")</f>
        <v>"wfyi":{"label":"Churches","extra":"“Here is the church, and here is the steeple…”","sets":"Junior 9+ (2nd)"},</v>
      </c>
    </row>
    <row r="149">
      <c r="A149" s="8" t="str">
        <f>IFERROR(__xludf.DUMMYFUNCTION("""COMPUTED_VALUE"""),"Cinderella")</f>
        <v>Cinderella</v>
      </c>
      <c r="B149" s="8" t="str">
        <f>IFERROR(__xludf.DUMMYFUNCTION("""COMPUTED_VALUE"""),"A storybook character who is helped by her fairy godmother. Bibbidi-bobbidi-boo!")</f>
        <v>A storybook character who is helped by her fairy godmother. Bibbidi-bobbidi-boo!</v>
      </c>
      <c r="C149" s="13" t="str">
        <f>IFERROR(__xludf.DUMMYFUNCTION("""COMPUTED_VALUE"""),"""qadr"":{""label"":""Cinderella"",""extra"":""A storybook character who is helped by her fairy godmother. Bibbidi-bobbidi-boo!"",""sets"":""Junior""},")</f>
        <v>"qadr":{"label":"Cinderella","extra":"A storybook character who is helped by her fairy godmother. Bibbidi-bobbidi-boo!","sets":"Junior"},</v>
      </c>
    </row>
    <row r="150">
      <c r="A150" s="8" t="str">
        <f>IFERROR(__xludf.DUMMYFUNCTION("""COMPUTED_VALUE"""),"Clay")</f>
        <v>Clay</v>
      </c>
      <c r="B150" s="8" t="str">
        <f>IFERROR(__xludf.DUMMYFUNCTION("""COMPUTED_VALUE"""),"The oven where pottery is hardened is called a kiln.")</f>
        <v>The oven where pottery is hardened is called a kiln.</v>
      </c>
      <c r="C150" s="13" t="str">
        <f>IFERROR(__xludf.DUMMYFUNCTION("""COMPUTED_VALUE"""),"""mxic"":{""label"":""Clay"",""extra"":""The oven where pottery is hardened is called a kiln."",""sets"":""Junior 9+ (1st) &amp; (2nd)""},")</f>
        <v>"mxic":{"label":"Clay","extra":"The oven where pottery is hardened is called a kiln.","sets":"Junior 9+ (1st) &amp; (2nd)"},</v>
      </c>
    </row>
    <row r="151">
      <c r="A151" s="8" t="str">
        <f>IFERROR(__xludf.DUMMYFUNCTION("""COMPUTED_VALUE"""),"Cleaning Your Room")</f>
        <v>Cleaning Your Room</v>
      </c>
      <c r="B151" s="8" t="str">
        <f>IFERROR(__xludf.DUMMYFUNCTION("""COMPUTED_VALUE"""),"It’s no fun, but you have to do it.")</f>
        <v>It’s no fun, but you have to do it.</v>
      </c>
      <c r="C151" s="13" t="str">
        <f>IFERROR(__xludf.DUMMYFUNCTION("""COMPUTED_VALUE"""),"""qrqh"":{""label"":""Cleaning Your Room"",""extra"":""It’s no fun, but you have to do it."",""sets"":""Junior""},")</f>
        <v>"qrqh":{"label":"Cleaning Your Room","extra":"It’s no fun, but you have to do it.","sets":"Junior"},</v>
      </c>
    </row>
    <row r="152">
      <c r="A152" s="8" t="str">
        <f>IFERROR(__xludf.DUMMYFUNCTION("""COMPUTED_VALUE"""),"Climbing A Ladder")</f>
        <v>Climbing A Ladder</v>
      </c>
      <c r="B152" s="8" t="str">
        <f>IFERROR(__xludf.DUMMYFUNCTION("""COMPUTED_VALUE"""),"Don’t look down!")</f>
        <v>Don’t look down!</v>
      </c>
      <c r="C152" s="13" t="str">
        <f>IFERROR(__xludf.DUMMYFUNCTION("""COMPUTED_VALUE"""),"""kfui"":{""label"":""Climbing A Ladder"",""extra"":""Don’t look down!"",""sets"":""Junior 9+ (1st) &amp; (2nd)""},")</f>
        <v>"kfui":{"label":"Climbing A Ladder","extra":"Don’t look down!","sets":"Junior 9+ (1st) &amp; (2nd)"},</v>
      </c>
    </row>
    <row r="153">
      <c r="A153" s="8" t="str">
        <f>IFERROR(__xludf.DUMMYFUNCTION("""COMPUTED_VALUE"""),"Climbing A Tree")</f>
        <v>Climbing A Tree</v>
      </c>
      <c r="B153" s="8" t="str">
        <f>IFERROR(__xludf.DUMMYFUNCTION("""COMPUTED_VALUE"""),"Don’t go out on a limb!")</f>
        <v>Don’t go out on a limb!</v>
      </c>
      <c r="C153" s="13" t="str">
        <f>IFERROR(__xludf.DUMMYFUNCTION("""COMPUTED_VALUE"""),"""omis"":{""label"":""Climbing A Tree"",""extra"":""Don’t go out on a limb!"",""sets"":""Junior 9+ (2nd)""},")</f>
        <v>"omis":{"label":"Climbing A Tree","extra":"Don’t go out on a limb!","sets":"Junior 9+ (2nd)"},</v>
      </c>
    </row>
    <row r="154">
      <c r="A154" s="8" t="str">
        <f>IFERROR(__xludf.DUMMYFUNCTION("""COMPUTED_VALUE"""),"Clouds")</f>
        <v>Clouds</v>
      </c>
      <c r="B154" s="8" t="str">
        <f>IFERROR(__xludf.DUMMYFUNCTION("""COMPUTED_VALUE"""),"I see an elephant! And that one looks like a rabbit.")</f>
        <v>I see an elephant! And that one looks like a rabbit.</v>
      </c>
      <c r="C154" s="13" t="str">
        <f>IFERROR(__xludf.DUMMYFUNCTION("""COMPUTED_VALUE"""),"""zptq"":{""label"":""Clouds"",""extra"":""I see an elephant! And that one looks like a rabbit."",""sets"":""Junior 9+ (1st) &amp; (2nd)""},")</f>
        <v>"zptq":{"label":"Clouds","extra":"I see an elephant! And that one looks like a rabbit.","sets":"Junior 9+ (1st) &amp; (2nd)"},</v>
      </c>
    </row>
    <row r="155">
      <c r="A155" s="8" t="str">
        <f>IFERROR(__xludf.DUMMYFUNCTION("""COMPUTED_VALUE"""),"Clowns")</f>
        <v>Clowns</v>
      </c>
      <c r="B155" s="8" t="str">
        <f>IFERROR(__xludf.DUMMYFUNCTION("""COMPUTED_VALUE"""),"They often dress in silly outfits and paint their faces!")</f>
        <v>They often dress in silly outfits and paint their faces!</v>
      </c>
      <c r="C155" s="13" t="str">
        <f>IFERROR(__xludf.DUMMYFUNCTION("""COMPUTED_VALUE"""),"""llen"":{""label"":""Clowns"",""extra"":""They often dress in silly outfits and paint their faces!"",""sets"":""Junior""},")</f>
        <v>"llen":{"label":"Clowns","extra":"They often dress in silly outfits and paint their faces!","sets":"Junior"},</v>
      </c>
    </row>
    <row r="156">
      <c r="A156" s="8" t="str">
        <f>IFERROR(__xludf.DUMMYFUNCTION("""COMPUTED_VALUE"""),"Coffee")</f>
        <v>Coffee</v>
      </c>
      <c r="B156" s="8" t="str">
        <f>IFERROR(__xludf.DUMMYFUNCTION("""COMPUTED_VALUE"""),"Two-thirds of the world's coffee beans are grown in Central and Southern America.")</f>
        <v>Two-thirds of the world's coffee beans are grown in Central and Southern America.</v>
      </c>
      <c r="C156" s="13" t="str">
        <f>IFERROR(__xludf.DUMMYFUNCTION("""COMPUTED_VALUE"""),"""dway"":{""label"":""Coffee"",""extra"":""Two-thirds of the world's coffee beans are grown in Central and Southern America."",""sets"":""Junior 9+ (1st) &amp; (2nd)""},")</f>
        <v>"dway":{"label":"Coffee","extra":"Two-thirds of the world's coffee beans are grown in Central and Southern America.","sets":"Junior 9+ (1st) &amp; (2nd)"},</v>
      </c>
    </row>
    <row r="157">
      <c r="A157" s="8" t="str">
        <f>IFERROR(__xludf.DUMMYFUNCTION("""COMPUTED_VALUE"""),"Collection Shells")</f>
        <v>Collection Shells</v>
      </c>
      <c r="B157" s="8" t="str">
        <f>IFERROR(__xludf.DUMMYFUNCTION("""COMPUTED_VALUE"""),"She sells seashells by the seashore.")</f>
        <v>She sells seashells by the seashore.</v>
      </c>
      <c r="C157" s="13" t="str">
        <f>IFERROR(__xludf.DUMMYFUNCTION("""COMPUTED_VALUE"""),"""zcyt"":{""label"":""Collection Shells"",""extra"":""She sells seashells by the seashore."",""sets"":""Junior 9+ (1st) &amp; (2nd)""},")</f>
        <v>"zcyt":{"label":"Collection Shells","extra":"She sells seashells by the seashore.","sets":"Junior 9+ (1st) &amp; (2nd)"},</v>
      </c>
    </row>
    <row r="158">
      <c r="A158" s="8" t="str">
        <f>IFERROR(__xludf.DUMMYFUNCTION("""COMPUTED_VALUE"""),"Computers")</f>
        <v>Computers</v>
      </c>
      <c r="B158" s="8" t="str">
        <f>IFERROR(__xludf.DUMMYFUNCTION("""COMPUTED_VALUE"""),"Great for games, homework, and e-mail.")</f>
        <v>Great for games, homework, and e-mail.</v>
      </c>
      <c r="C158" s="13" t="str">
        <f>IFERROR(__xludf.DUMMYFUNCTION("""COMPUTED_VALUE"""),"""ftfe"":{""label"":""Computers"",""extra"":""Great for games, homework, and e-mail."",""sets"":""Junior 9+ (1st) &amp; (2nd)""},")</f>
        <v>"ftfe":{"label":"Computers","extra":"Great for games, homework, and e-mail.","sets":"Junior 9+ (1st) &amp; (2nd)"},</v>
      </c>
    </row>
    <row r="159">
      <c r="A159" s="8" t="str">
        <f>IFERROR(__xludf.DUMMYFUNCTION("""COMPUTED_VALUE"""),"Cookies")</f>
        <v>Cookies</v>
      </c>
      <c r="B159" s="8" t="str">
        <f>IFERROR(__xludf.DUMMYFUNCTION("""COMPUTED_VALUE"""),"Chocolate chip, oatmeal, sugar or peanut butter.")</f>
        <v>Chocolate chip, oatmeal, sugar or peanut butter.</v>
      </c>
      <c r="C159" s="13" t="str">
        <f>IFERROR(__xludf.DUMMYFUNCTION("""COMPUTED_VALUE"""),"""zphy"":{""label"":""Cookies"",""extra"":""Chocolate chip, oatmeal, sugar or peanut butter."",""sets"":""Junior 9+ (1st) &amp; (2nd)""},")</f>
        <v>"zphy":{"label":"Cookies","extra":"Chocolate chip, oatmeal, sugar or peanut butter.","sets":"Junior 9+ (1st) &amp; (2nd)"},</v>
      </c>
    </row>
    <row r="160">
      <c r="A160" s="8" t="str">
        <f>IFERROR(__xludf.DUMMYFUNCTION("""COMPUTED_VALUE"""),"Cooking Dinner")</f>
        <v>Cooking Dinner</v>
      </c>
      <c r="B160" s="8" t="str">
        <f>IFERROR(__xludf.DUMMYFUNCTION("""COMPUTED_VALUE"""),"What’s for dinner?")</f>
        <v>What’s for dinner?</v>
      </c>
      <c r="C160" s="13" t="str">
        <f>IFERROR(__xludf.DUMMYFUNCTION("""COMPUTED_VALUE"""),"""ufie"":{""label"":""Cooking Dinner"",""extra"":""What’s for dinner?"",""sets"":""Junior 9+ (1st) &amp; (2nd)""},")</f>
        <v>"ufie":{"label":"Cooking Dinner","extra":"What’s for dinner?","sets":"Junior 9+ (1st) &amp; (2nd)"},</v>
      </c>
    </row>
    <row r="161">
      <c r="A161" s="8" t="str">
        <f>IFERROR(__xludf.DUMMYFUNCTION("""COMPUTED_VALUE"""),"Coral Reef")</f>
        <v>Coral Reef</v>
      </c>
      <c r="B161" s="8" t="str">
        <f>IFERROR(__xludf.DUMMYFUNCTION("""COMPUTED_VALUE"""),"Composed of the skeletons of marine organisms. Home to lots of tropical fish.")</f>
        <v>Composed of the skeletons of marine organisms. Home to lots of tropical fish.</v>
      </c>
      <c r="C161" s="13" t="str">
        <f>IFERROR(__xludf.DUMMYFUNCTION("""COMPUTED_VALUE"""),"""vskb"":{""label"":""Coral Reef"",""extra"":""Composed of the skeletons of marine organisms. Home to lots of tropical fish."",""sets"":""Junior 9+ (2nd)""},")</f>
        <v>"vskb":{"label":"Coral Reef","extra":"Composed of the skeletons of marine organisms. Home to lots of tropical fish.","sets":"Junior 9+ (2nd)"},</v>
      </c>
    </row>
    <row r="162">
      <c r="A162" s="8" t="str">
        <f>IFERROR(__xludf.DUMMYFUNCTION("""COMPUTED_VALUE"""),"Corn Flakes")</f>
        <v>Corn Flakes</v>
      </c>
      <c r="B162" s="8" t="str">
        <f>IFERROR(__xludf.DUMMYFUNCTION("""COMPUTED_VALUE"""),"Eat them fast or they’ll get soggy.")</f>
        <v>Eat them fast or they’ll get soggy.</v>
      </c>
      <c r="C162" s="13" t="str">
        <f>IFERROR(__xludf.DUMMYFUNCTION("""COMPUTED_VALUE"""),"""icyv"":{""label"":""Corn Flakes"",""extra"":""Eat them fast or they’ll get soggy."",""sets"":""Junior 9+ (1st) &amp; (2nd)""},")</f>
        <v>"icyv":{"label":"Corn Flakes","extra":"Eat them fast or they’ll get soggy.","sets":"Junior 9+ (1st) &amp; (2nd)"},</v>
      </c>
    </row>
    <row r="163">
      <c r="A163" s="8" t="str">
        <f>IFERROR(__xludf.DUMMYFUNCTION("""COMPUTED_VALUE"""),"Corn On The Cob")</f>
        <v>Corn On The Cob</v>
      </c>
      <c r="B163" s="8" t="str">
        <f>IFERROR(__xludf.DUMMYFUNCTION("""COMPUTED_VALUE"""),"It’s a summertime treat that gets stuck in your teeth.")</f>
        <v>It’s a summertime treat that gets stuck in your teeth.</v>
      </c>
      <c r="C163" s="13" t="str">
        <f>IFERROR(__xludf.DUMMYFUNCTION("""COMPUTED_VALUE"""),"""pwcn"":{""label"":""Corn On The Cob"",""extra"":""It’s a summertime treat that gets stuck in your teeth."",""sets"":""Junior""},")</f>
        <v>"pwcn":{"label":"Corn On The Cob","extra":"It’s a summertime treat that gets stuck in your teeth.","sets":"Junior"},</v>
      </c>
    </row>
    <row r="164">
      <c r="A164" s="8" t="str">
        <f>IFERROR(__xludf.DUMMYFUNCTION("""COMPUTED_VALUE"""),"Cotton Candy")</f>
        <v>Cotton Candy</v>
      </c>
      <c r="B164" s="8" t="str">
        <f>IFERROR(__xludf.DUMMYFUNCTION("""COMPUTED_VALUE"""),"Looks like cotton; tastes like candy.")</f>
        <v>Looks like cotton; tastes like candy.</v>
      </c>
      <c r="C164" s="13" t="str">
        <f>IFERROR(__xludf.DUMMYFUNCTION("""COMPUTED_VALUE"""),"""fbyb"":{""label"":""Cotton Candy"",""extra"":""Looks like cotton; tastes like candy."",""sets"":""Junior""},")</f>
        <v>"fbyb":{"label":"Cotton Candy","extra":"Looks like cotton; tastes like candy.","sets":"Junior"},</v>
      </c>
    </row>
    <row r="165">
      <c r="A165" s="8" t="str">
        <f>IFERROR(__xludf.DUMMYFUNCTION("""COMPUTED_VALUE"""),"Cowboys")</f>
        <v>Cowboys</v>
      </c>
      <c r="B165" s="8" t="str">
        <f>IFERROR(__xludf.DUMMYFUNCTION("""COMPUTED_VALUE"""),"Men who take care of cattle on a ranch.")</f>
        <v>Men who take care of cattle on a ranch.</v>
      </c>
      <c r="C165" s="13" t="str">
        <f>IFERROR(__xludf.DUMMYFUNCTION("""COMPUTED_VALUE"""),"""yyjg"":{""label"":""Cowboys"",""extra"":""Men who take care of cattle on a ranch."",""sets"":""Junior""},")</f>
        <v>"yyjg":{"label":"Cowboys","extra":"Men who take care of cattle on a ranch.","sets":"Junior"},</v>
      </c>
    </row>
    <row r="166">
      <c r="A166" s="8" t="str">
        <f>IFERROR(__xludf.DUMMYFUNCTION("""COMPUTED_VALUE"""),"Cows")</f>
        <v>Cows</v>
      </c>
      <c r="B166" s="8" t="str">
        <f>IFERROR(__xludf.DUMMYFUNCTION("""COMPUTED_VALUE"""),"Large farm animals raised for milk. Moo.")</f>
        <v>Large farm animals raised for milk. Moo.</v>
      </c>
      <c r="C166" s="13" t="str">
        <f>IFERROR(__xludf.DUMMYFUNCTION("""COMPUTED_VALUE"""),"""djms"":{""label"":""Cows"",""extra"":""Large farm animals raised for milk. Moo."",""sets"":""Junior""},")</f>
        <v>"djms":{"label":"Cows","extra":"Large farm animals raised for milk. Moo.","sets":"Junior"},</v>
      </c>
    </row>
    <row r="167">
      <c r="A167" s="8" t="str">
        <f>IFERROR(__xludf.DUMMYFUNCTION("""COMPUTED_VALUE"""),"Crying")</f>
        <v>Crying</v>
      </c>
      <c r="B167" s="8" t="str">
        <f>IFERROR(__xludf.DUMMYFUNCTION("""COMPUTED_VALUE"""),"“Don't cry over spilled milk.”")</f>
        <v>“Don't cry over spilled milk.”</v>
      </c>
      <c r="C167" s="13" t="str">
        <f>IFERROR(__xludf.DUMMYFUNCTION("""COMPUTED_VALUE"""),"""yxyh"":{""label"":""Crying"",""extra"":""“Don't cry over spilled milk.”"",""sets"":""Junior 9+ (1st) &amp; (2nd)""},")</f>
        <v>"yxyh":{"label":"Crying","extra":"“Don't cry over spilled milk.”","sets":"Junior 9+ (1st) &amp; (2nd)"},</v>
      </c>
    </row>
    <row r="168">
      <c r="A168" s="8" t="str">
        <f>IFERROR(__xludf.DUMMYFUNCTION("""COMPUTED_VALUE"""),"Cupcakes")</f>
        <v>Cupcakes</v>
      </c>
      <c r="B168" s="8" t="str">
        <f>IFERROR(__xludf.DUMMYFUNCTION("""COMPUTED_VALUE"""),"Small cakes, the size of a cup.")</f>
        <v>Small cakes, the size of a cup.</v>
      </c>
      <c r="C168" s="13" t="str">
        <f>IFERROR(__xludf.DUMMYFUNCTION("""COMPUTED_VALUE"""),"""ldos"":{""label"":""Cupcakes"",""extra"":""Small cakes, the size of a cup."",""sets"":""Junior 9+ (1st) &amp; (2nd)""},")</f>
        <v>"ldos":{"label":"Cupcakes","extra":"Small cakes, the size of a cup.","sets":"Junior 9+ (1st) &amp; (2nd)"},</v>
      </c>
    </row>
    <row r="169">
      <c r="A169" s="8" t="str">
        <f>IFERROR(__xludf.DUMMYFUNCTION("""COMPUTED_VALUE"""),"Cutting The Grass")</f>
        <v>Cutting The Grass</v>
      </c>
      <c r="B169" s="8" t="str">
        <f>IFERROR(__xludf.DUMMYFUNCTION("""COMPUTED_VALUE"""),"Why cut it? It just grows back.")</f>
        <v>Why cut it? It just grows back.</v>
      </c>
      <c r="C169" s="13" t="str">
        <f>IFERROR(__xludf.DUMMYFUNCTION("""COMPUTED_VALUE"""),"""bhzq"":{""label"":""Cutting The Grass"",""extra"":""Why cut it? It just grows back."",""sets"":""Junior 9+ (2nd)""},")</f>
        <v>"bhzq":{"label":"Cutting The Grass","extra":"Why cut it? It just grows back.","sets":"Junior 9+ (2nd)"},</v>
      </c>
    </row>
    <row r="170">
      <c r="A170" s="8" t="str">
        <f>IFERROR(__xludf.DUMMYFUNCTION("""COMPUTED_VALUE"""),"Dance Class")</f>
        <v>Dance Class</v>
      </c>
      <c r="B170" s="8" t="str">
        <f>IFERROR(__xludf.DUMMYFUNCTION("""COMPUTED_VALUE"""),"Step, turn, hop, hop, kick…")</f>
        <v>Step, turn, hop, hop, kick…</v>
      </c>
      <c r="C170" s="13" t="str">
        <f>IFERROR(__xludf.DUMMYFUNCTION("""COMPUTED_VALUE"""),"""wyzj"":{""label"":""Dance Class"",""extra"":""Step, turn, hop, hop, kick…"",""sets"":""Junior 9+ (2nd)""},")</f>
        <v>"wyzj":{"label":"Dance Class","extra":"Step, turn, hop, hop, kick…","sets":"Junior 9+ (2nd)"},</v>
      </c>
    </row>
    <row r="171">
      <c r="A171" s="8" t="str">
        <f>IFERROR(__xludf.DUMMYFUNCTION("""COMPUTED_VALUE"""),"Dancing")</f>
        <v>Dancing</v>
      </c>
      <c r="B171" s="8" t="str">
        <f>IFERROR(__xludf.DUMMYFUNCTION("""COMPUTED_VALUE"""),"Moving your feet and body in time with music. Cha-cha-cha.")</f>
        <v>Moving your feet and body in time with music. Cha-cha-cha.</v>
      </c>
      <c r="C171" s="13" t="str">
        <f>IFERROR(__xludf.DUMMYFUNCTION("""COMPUTED_VALUE"""),"""rc{t"":{""label"":""Dancing"",""extra"":""Moving your feet and body in time with music. Cha-cha-cha."",""sets"":""Junior""},")</f>
        <v>"rc{t":{"label":"Dancing","extra":"Moving your feet and body in time with music. Cha-cha-cha.","sets":"Junior"},</v>
      </c>
    </row>
    <row r="172">
      <c r="A172" s="8" t="str">
        <f>IFERROR(__xludf.DUMMYFUNCTION("""COMPUTED_VALUE"""),"Dark Alleys")</f>
        <v>Dark Alleys</v>
      </c>
      <c r="B172" s="8" t="str">
        <f>IFERROR(__xludf.DUMMYFUNCTION("""COMPUTED_VALUE"""),"I thought you brought the good flashlight!")</f>
        <v>I thought you brought the good flashlight!</v>
      </c>
      <c r="C172" s="13" t="str">
        <f>IFERROR(__xludf.DUMMYFUNCTION("""COMPUTED_VALUE"""),"""agiw"":{""label"":""Dark Alleys"",""extra"":""I thought you brought the good flashlight!"",""sets"":""Junior 9+ (2nd)""},")</f>
        <v>"agiw":{"label":"Dark Alleys","extra":"I thought you brought the good flashlight!","sets":"Junior 9+ (2nd)"},</v>
      </c>
    </row>
    <row r="173">
      <c r="A173" s="8" t="str">
        <f>IFERROR(__xludf.DUMMYFUNCTION("""COMPUTED_VALUE"""),"Dead Fish")</f>
        <v>Dead Fish</v>
      </c>
      <c r="B173" s="8" t="str">
        <f>IFERROR(__xludf.DUMMYFUNCTION("""COMPUTED_VALUE"""),"Floating in the water, washed up on shore, or at a fish market.")</f>
        <v>Floating in the water, washed up on shore, or at a fish market.</v>
      </c>
      <c r="C173" s="13" t="str">
        <f>IFERROR(__xludf.DUMMYFUNCTION("""COMPUTED_VALUE"""),"""fzpu"":{""label"":""Dead Fish"",""extra"":""Floating in the water, washed up on shore, or at a fish market."",""sets"":""Junior 9+ (1st) &amp; (2nd)""},")</f>
        <v>"fzpu":{"label":"Dead Fish","extra":"Floating in the water, washed up on shore, or at a fish market.","sets":"Junior 9+ (1st) &amp; (2nd)"},</v>
      </c>
    </row>
    <row r="174">
      <c r="A174" s="8" t="str">
        <f>IFERROR(__xludf.DUMMYFUNCTION("""COMPUTED_VALUE"""),"Dictionaries")</f>
        <v>Dictionaries</v>
      </c>
      <c r="B174" s="8" t="str">
        <f>IFERROR(__xludf.DUMMYFUNCTION("""COMPUTED_VALUE"""),"Let me look that up!")</f>
        <v>Let me look that up!</v>
      </c>
      <c r="C174" s="13" t="str">
        <f>IFERROR(__xludf.DUMMYFUNCTION("""COMPUTED_VALUE"""),"""ylnk"":{""label"":""Dictionaries"",""extra"":""Let me look that up!"",""sets"":""Junior 9+ (2nd)""},")</f>
        <v>"ylnk":{"label":"Dictionaries","extra":"Let me look that up!","sets":"Junior 9+ (2nd)"},</v>
      </c>
    </row>
    <row r="175">
      <c r="A175" s="8" t="str">
        <f>IFERROR(__xludf.DUMMYFUNCTION("""COMPUTED_VALUE"""),"Dinosaurs")</f>
        <v>Dinosaurs</v>
      </c>
      <c r="B175" s="8" t="str">
        <f>IFERROR(__xludf.DUMMYFUNCTION("""COMPUTED_VALUE"""),"Reptiles that lived millions of years ago. Some, like the T. rex, were huge!")</f>
        <v>Reptiles that lived millions of years ago. Some, like the T. rex, were huge!</v>
      </c>
      <c r="C175" s="13" t="str">
        <f>IFERROR(__xludf.DUMMYFUNCTION("""COMPUTED_VALUE"""),"""oqfk"":{""label"":""Dinosaurs"",""extra"":""Reptiles that lived millions of years ago. Some, like the T. rex, were huge!"",""sets"":""Junior""},")</f>
        <v>"oqfk":{"label":"Dinosaurs","extra":"Reptiles that lived millions of years ago. Some, like the T. rex, were huge!","sets":"Junior"},</v>
      </c>
    </row>
    <row r="176">
      <c r="A176" s="8" t="str">
        <f>IFERROR(__xludf.DUMMYFUNCTION("""COMPUTED_VALUE"""),"Dirt")</f>
        <v>Dirt</v>
      </c>
      <c r="B176" s="8" t="str">
        <f>IFERROR(__xludf.DUMMYFUNCTION("""COMPUTED_VALUE"""),"Good in the garden.")</f>
        <v>Good in the garden.</v>
      </c>
      <c r="C176" s="13" t="str">
        <f>IFERROR(__xludf.DUMMYFUNCTION("""COMPUTED_VALUE"""),"""twej"":{""label"":""Dirt"",""extra"":""Good in the garden."",""sets"":""Junior 9+ (1st) &amp; (2nd)""},")</f>
        <v>"twej":{"label":"Dirt","extra":"Good in the garden.","sets":"Junior 9+ (1st) &amp; (2nd)"},</v>
      </c>
    </row>
    <row r="177">
      <c r="A177" s="8" t="str">
        <f>IFERROR(__xludf.DUMMYFUNCTION("""COMPUTED_VALUE"""),"Dirty Diapers")</f>
        <v>Dirty Diapers</v>
      </c>
      <c r="B177" s="8" t="str">
        <f>IFERROR(__xludf.DUMMYFUNCTION("""COMPUTED_VALUE"""),"It must be time to change the baby!")</f>
        <v>It must be time to change the baby!</v>
      </c>
      <c r="C177" s="13" t="str">
        <f>IFERROR(__xludf.DUMMYFUNCTION("""COMPUTED_VALUE"""),"""nlkq"":{""label"":""Dirty Diapers"",""extra"":""It must be time to change the baby!"",""sets"":""Junior""},")</f>
        <v>"nlkq":{"label":"Dirty Diapers","extra":"It must be time to change the baby!","sets":"Junior"},</v>
      </c>
    </row>
    <row r="178">
      <c r="A178" s="8" t="str">
        <f>IFERROR(__xludf.DUMMYFUNCTION("""COMPUTED_VALUE"""),"Dirty Dishes")</f>
        <v>Dirty Dishes</v>
      </c>
      <c r="B178" s="8" t="str">
        <f>IFERROR(__xludf.DUMMYFUNCTION("""COMPUTED_VALUE"""),"That’s why they make paper plates!")</f>
        <v>That’s why they make paper plates!</v>
      </c>
      <c r="C178" s="13" t="str">
        <f>IFERROR(__xludf.DUMMYFUNCTION("""COMPUTED_VALUE"""),"""q{fb"":{""label"":""Dirty Dishes"",""extra"":""That’s why they make paper plates!"",""sets"":""Junior 9+ (2nd)""},")</f>
        <v>"q{fb":{"label":"Dirty Dishes","extra":"That’s why they make paper plates!","sets":"Junior 9+ (2nd)"},</v>
      </c>
    </row>
    <row r="179">
      <c r="A179" s="8" t="str">
        <f>IFERROR(__xludf.DUMMYFUNCTION("""COMPUTED_VALUE"""),"Dirty Socks")</f>
        <v>Dirty Socks</v>
      </c>
      <c r="B179" s="8" t="str">
        <f>IFERROR(__xludf.DUMMYFUNCTION("""COMPUTED_VALUE"""),"Put them in the wash!")</f>
        <v>Put them in the wash!</v>
      </c>
      <c r="C179" s="13" t="str">
        <f>IFERROR(__xludf.DUMMYFUNCTION("""COMPUTED_VALUE"""),"""esbl"":{""label"":""Dirty Socks"",""extra"":""Put them in the wash!"",""sets"":""Junior""},")</f>
        <v>"esbl":{"label":"Dirty Socks","extra":"Put them in the wash!","sets":"Junior"},</v>
      </c>
    </row>
    <row r="180">
      <c r="A180" s="8" t="str">
        <f>IFERROR(__xludf.DUMMYFUNCTION("""COMPUTED_VALUE"""),"Disneyland")</f>
        <v>Disneyland</v>
      </c>
      <c r="B180" s="8" t="str">
        <f>IFERROR(__xludf.DUMMYFUNCTION("""COMPUTED_VALUE"""),"A theme park featuring cartoon characters like Mickey Mouse and Donald Duck..")</f>
        <v>A theme park featuring cartoon characters like Mickey Mouse and Donald Duck..</v>
      </c>
      <c r="C180" s="13" t="str">
        <f>IFERROR(__xludf.DUMMYFUNCTION("""COMPUTED_VALUE"""),"""ddjj"":{""label"":""Disneyland"",""extra"":""A theme park featuring cartoon characters like Mickey Mouse and Donald Duck.."",""sets"":""Junior""},")</f>
        <v>"ddjj":{"label":"Disneyland","extra":"A theme park featuring cartoon characters like Mickey Mouse and Donald Duck..","sets":"Junior"},</v>
      </c>
    </row>
    <row r="181">
      <c r="A181" s="8" t="str">
        <f>IFERROR(__xludf.DUMMYFUNCTION("""COMPUTED_VALUE"""),"Doctors")</f>
        <v>Doctors</v>
      </c>
      <c r="B181" s="8" t="str">
        <f>IFERROR(__xludf.DUMMYFUNCTION("""COMPUTED_VALUE"""),"Stick out your tongue and say aaaaah!")</f>
        <v>Stick out your tongue and say aaaaah!</v>
      </c>
      <c r="C181" s="13" t="str">
        <f>IFERROR(__xludf.DUMMYFUNCTION("""COMPUTED_VALUE"""),"""qyww"":{""label"":""Doctors"",""extra"":""Stick out your tongue and say aaaaah!"",""sets"":""Junior 9+ (1st) &amp; (2nd)""},")</f>
        <v>"qyww":{"label":"Doctors","extra":"Stick out your tongue and say aaaaah!","sets":"Junior 9+ (1st) &amp; (2nd)"},</v>
      </c>
    </row>
    <row r="182">
      <c r="A182" s="8" t="str">
        <f>IFERROR(__xludf.DUMMYFUNCTION("""COMPUTED_VALUE"""),"Dog Food")</f>
        <v>Dog Food</v>
      </c>
      <c r="B182" s="8" t="str">
        <f>IFERROR(__xludf.DUMMYFUNCTION("""COMPUTED_VALUE"""),"I like the chewy kind.")</f>
        <v>I like the chewy kind.</v>
      </c>
      <c r="C182" s="13" t="str">
        <f>IFERROR(__xludf.DUMMYFUNCTION("""COMPUTED_VALUE"""),"""hgrh"":{""label"":""Dog Food"",""extra"":""I like the chewy kind."",""sets"":""Junior 9+ (2nd)""},")</f>
        <v>"hgrh":{"label":"Dog Food","extra":"I like the chewy kind.","sets":"Junior 9+ (2nd)"},</v>
      </c>
    </row>
    <row r="183">
      <c r="A183" s="8" t="str">
        <f>IFERROR(__xludf.DUMMYFUNCTION("""COMPUTED_VALUE"""),"Doing The Dishes")</f>
        <v>Doing The Dishes</v>
      </c>
      <c r="B183" s="8" t="str">
        <f>IFERROR(__xludf.DUMMYFUNCTION("""COMPUTED_VALUE"""),"I’ll wash the dishes and you can dry.")</f>
        <v>I’ll wash the dishes and you can dry.</v>
      </c>
      <c r="C183" s="13" t="str">
        <f>IFERROR(__xludf.DUMMYFUNCTION("""COMPUTED_VALUE"""),"""wiqe"":{""label"":""Doing The Dishes"",""extra"":""I’ll wash the dishes and you can dry."",""sets"":""Junior""},")</f>
        <v>"wiqe":{"label":"Doing The Dishes","extra":"I’ll wash the dishes and you can dry.","sets":"Junior"},</v>
      </c>
    </row>
    <row r="184">
      <c r="A184" s="8" t="str">
        <f>IFERROR(__xludf.DUMMYFUNCTION("""COMPUTED_VALUE"""),"Dolphins")</f>
        <v>Dolphins</v>
      </c>
      <c r="B184" s="8" t="str">
        <f>IFERROR(__xludf.DUMMYFUNCTION("""COMPUTED_VALUE"""),"Dolphins are mammals that live in the sea, and Sea World.")</f>
        <v>Dolphins are mammals that live in the sea, and Sea World.</v>
      </c>
      <c r="C184" s="13" t="str">
        <f>IFERROR(__xludf.DUMMYFUNCTION("""COMPUTED_VALUE"""),"""ybnf"":{""label"":""Dolphins"",""extra"":""Dolphins are mammals that live in the sea, and Sea World."",""sets"":""Junior 9+ (2nd)""},")</f>
        <v>"ybnf":{"label":"Dolphins","extra":"Dolphins are mammals that live in the sea, and Sea World.","sets":"Junior 9+ (2nd)"},</v>
      </c>
    </row>
    <row r="185">
      <c r="A185" s="8" t="str">
        <f>IFERROR(__xludf.DUMMYFUNCTION("""COMPUTED_VALUE"""),"Donuts")</f>
        <v>Donuts</v>
      </c>
      <c r="B185" s="8" t="str">
        <f>IFERROR(__xludf.DUMMYFUNCTION("""COMPUTED_VALUE"""),"In 1993, a doughnut weighing over 3,700 pounds was made in Utica, N.Y.")</f>
        <v>In 1993, a doughnut weighing over 3,700 pounds was made in Utica, N.Y.</v>
      </c>
      <c r="C185" s="13" t="str">
        <f>IFERROR(__xludf.DUMMYFUNCTION("""COMPUTED_VALUE"""),"""iksd"":{""label"":""Donuts"",""extra"":""In 1993, a doughnut weighing over 3,700 pounds was made in Utica, N.Y."",""sets"":""Junior 9+ (2nd)""},")</f>
        <v>"iksd":{"label":"Donuts","extra":"In 1993, a doughnut weighing over 3,700 pounds was made in Utica, N.Y.","sets":"Junior 9+ (2nd)"},</v>
      </c>
    </row>
    <row r="186">
      <c r="A186" s="8" t="str">
        <f>IFERROR(__xludf.DUMMYFUNCTION("""COMPUTED_VALUE"""),"Doorbells")</f>
        <v>Doorbells</v>
      </c>
      <c r="B186" s="8" t="str">
        <f>IFERROR(__xludf.DUMMYFUNCTION("""COMPUTED_VALUE"""),"Would someone please answer the door?")</f>
        <v>Would someone please answer the door?</v>
      </c>
      <c r="C186" s="13" t="str">
        <f>IFERROR(__xludf.DUMMYFUNCTION("""COMPUTED_VALUE"""),"""dily"":{""label"":""Doorbells"",""extra"":""Would someone please answer the door?"",""sets"":""Junior 9+ (1st) &amp; (2nd)""},")</f>
        <v>"dily":{"label":"Doorbells","extra":"Would someone please answer the door?","sets":"Junior 9+ (1st) &amp; (2nd)"},</v>
      </c>
    </row>
    <row r="187">
      <c r="A187" s="8" t="str">
        <f>IFERROR(__xludf.DUMMYFUNCTION("""COMPUTED_VALUE"""),"Dragons")</f>
        <v>Dragons</v>
      </c>
      <c r="B187" s="8" t="str">
        <f>IFERROR(__xludf.DUMMYFUNCTION("""COMPUTED_VALUE"""),"Pretend animals that look like giant lizards with wings. Sometimes they breath fire!")</f>
        <v>Pretend animals that look like giant lizards with wings. Sometimes they breath fire!</v>
      </c>
      <c r="C187" s="13" t="str">
        <f>IFERROR(__xludf.DUMMYFUNCTION("""COMPUTED_VALUE"""),"""nxut"":{""label"":""Dragons"",""extra"":""Pretend animals that look like giant lizards with wings. Sometimes they breath fire!"",""sets"":""Junior""},")</f>
        <v>"nxut":{"label":"Dragons","extra":"Pretend animals that look like giant lizards with wings. Sometimes they breath fire!","sets":"Junior"},</v>
      </c>
    </row>
    <row r="188">
      <c r="A188" s="8" t="str">
        <f>IFERROR(__xludf.DUMMYFUNCTION("""COMPUTED_VALUE"""),"Driving A Car")</f>
        <v>Driving A Car</v>
      </c>
      <c r="B188" s="8" t="str">
        <f>IFERROR(__xludf.DUMMYFUNCTION("""COMPUTED_VALUE"""),"In most states, you have to be 16 years old to drive a car.")</f>
        <v>In most states, you have to be 16 years old to drive a car.</v>
      </c>
      <c r="C188" s="13" t="str">
        <f>IFERROR(__xludf.DUMMYFUNCTION("""COMPUTED_VALUE"""),"""jehf"":{""label"":""Driving A Car"",""extra"":""In most states, you have to be 16 years old to drive a car."",""sets"":""Junior 9+ (1st) &amp; (2nd)""},")</f>
        <v>"jehf":{"label":"Driving A Car","extra":"In most states, you have to be 16 years old to drive a car.","sets":"Junior 9+ (1st) &amp; (2nd)"},</v>
      </c>
    </row>
    <row r="189">
      <c r="A189" s="8" t="str">
        <f>IFERROR(__xludf.DUMMYFUNCTION("""COMPUTED_VALUE"""),"Drums")</f>
        <v>Drums</v>
      </c>
      <c r="B189" s="8" t="str">
        <f>IFERROR(__xludf.DUMMYFUNCTION("""COMPUTED_VALUE"""),"Beat it!")</f>
        <v>Beat it!</v>
      </c>
      <c r="C189" s="13" t="str">
        <f>IFERROR(__xludf.DUMMYFUNCTION("""COMPUTED_VALUE"""),"""lhot"":{""label"":""Drums"",""extra"":""Beat it!"",""sets"":""Junior""},")</f>
        <v>"lhot":{"label":"Drums","extra":"Beat it!","sets":"Junior"},</v>
      </c>
    </row>
    <row r="190">
      <c r="A190" s="8" t="str">
        <f>IFERROR(__xludf.DUMMYFUNCTION("""COMPUTED_VALUE"""),"Ducks")</f>
        <v>Ducks</v>
      </c>
      <c r="B190" s="8" t="str">
        <f>IFERROR(__xludf.DUMMYFUNCTION("""COMPUTED_VALUE"""),"Large birds with webbed feet and a flat bill. Quack-quack-quack!")</f>
        <v>Large birds with webbed feet and a flat bill. Quack-quack-quack!</v>
      </c>
      <c r="C190" s="13" t="str">
        <f>IFERROR(__xludf.DUMMYFUNCTION("""COMPUTED_VALUE"""),"""tfbi"":{""label"":""Ducks"",""extra"":""Large birds with webbed feet and a flat bill. Quack-quack-quack!"",""sets"":""Junior""},")</f>
        <v>"tfbi":{"label":"Ducks","extra":"Large birds with webbed feet and a flat bill. Quack-quack-quack!","sets":"Junior"},</v>
      </c>
    </row>
    <row r="191">
      <c r="A191" s="8" t="str">
        <f>IFERROR(__xludf.DUMMYFUNCTION("""COMPUTED_VALUE"""),"Dumbo")</f>
        <v>Dumbo</v>
      </c>
      <c r="B191" s="8" t="str">
        <f>IFERROR(__xludf.DUMMYFUNCTION("""COMPUTED_VALUE"""),"A little elephant cartoon character. When he flaps his ears, he can fly!")</f>
        <v>A little elephant cartoon character. When he flaps his ears, he can fly!</v>
      </c>
      <c r="C191" s="13" t="str">
        <f>IFERROR(__xludf.DUMMYFUNCTION("""COMPUTED_VALUE"""),"""ivvh"":{""label"":""Dumbo"",""extra"":""A little elephant cartoon character. When he flaps his ears, he can fly!"",""sets"":""Junior""},")</f>
        <v>"ivvh":{"label":"Dumbo","extra":"A little elephant cartoon character. When he flaps his ears, he can fly!","sets":"Junior"},</v>
      </c>
    </row>
    <row r="192">
      <c r="A192" s="8" t="str">
        <f>IFERROR(__xludf.DUMMYFUNCTION("""COMPUTED_VALUE"""),"Dump Trucks")</f>
        <v>Dump Trucks</v>
      </c>
      <c r="B192" s="8" t="str">
        <f>IFERROR(__xludf.DUMMYFUNCTION("""COMPUTED_VALUE"""),"Large trucks that carry dirt, sand, and rocks.")</f>
        <v>Large trucks that carry dirt, sand, and rocks.</v>
      </c>
      <c r="C192" s="13" t="str">
        <f>IFERROR(__xludf.DUMMYFUNCTION("""COMPUTED_VALUE"""),"""gxus"":{""label"":""Dump Trucks"",""extra"":""Large trucks that carry dirt, sand, and rocks."",""sets"":""Junior 9+ (1st) &amp; (2nd)""},")</f>
        <v>"gxus":{"label":"Dump Trucks","extra":"Large trucks that carry dirt, sand, and rocks.","sets":"Junior 9+ (1st) &amp; (2nd)"},</v>
      </c>
    </row>
    <row r="193">
      <c r="A193" s="8" t="str">
        <f>IFERROR(__xludf.DUMMYFUNCTION("""COMPUTED_VALUE"""),"Early Morning")</f>
        <v>Early Morning</v>
      </c>
      <c r="B193" s="8" t="str">
        <f>IFERROR(__xludf.DUMMYFUNCTION("""COMPUTED_VALUE"""),"“The early bird gets the worm!”")</f>
        <v>“The early bird gets the worm!”</v>
      </c>
      <c r="C193" s="13" t="str">
        <f>IFERROR(__xludf.DUMMYFUNCTION("""COMPUTED_VALUE"""),"""iiii"":{""label"":""Early Morning"",""extra"":""“The early bird gets the worm!”"",""sets"":""Junior 9+ (2nd)""},")</f>
        <v>"iiii":{"label":"Early Morning","extra":"“The early bird gets the worm!”","sets":"Junior 9+ (2nd)"},</v>
      </c>
    </row>
    <row r="194">
      <c r="A194" s="8" t="str">
        <f>IFERROR(__xludf.DUMMYFUNCTION("""COMPUTED_VALUE"""),"Ears")</f>
        <v>Ears</v>
      </c>
      <c r="B194" s="8" t="str">
        <f>IFERROR(__xludf.DUMMYFUNCTION("""COMPUTED_VALUE"""),"What?")</f>
        <v>What?</v>
      </c>
      <c r="C194" s="13" t="str">
        <f>IFERROR(__xludf.DUMMYFUNCTION("""COMPUTED_VALUE"""),"""orkx"":{""label"":""Ears"",""extra"":""What?"",""sets"":""Junior 9+ (2nd)""},")</f>
        <v>"orkx":{"label":"Ears","extra":"What?","sets":"Junior 9+ (2nd)"},</v>
      </c>
    </row>
    <row r="195">
      <c r="A195" s="8" t="str">
        <f>IFERROR(__xludf.DUMMYFUNCTION("""COMPUTED_VALUE"""),"Eating Breakfast")</f>
        <v>Eating Breakfast</v>
      </c>
      <c r="B195" s="8" t="str">
        <f>IFERROR(__xludf.DUMMYFUNCTION("""COMPUTED_VALUE"""),"It’s always breakfast time at a truck stop.")</f>
        <v>It’s always breakfast time at a truck stop.</v>
      </c>
      <c r="C195" s="13" t="str">
        <f>IFERROR(__xludf.DUMMYFUNCTION("""COMPUTED_VALUE"""),"""zdzw"":{""label"":""Eating Breakfast"",""extra"":""It’s always breakfast time at a truck stop."",""sets"":""Junior 9+ (1st) &amp; (2nd)""},")</f>
        <v>"zdzw":{"label":"Eating Breakfast","extra":"It’s always breakfast time at a truck stop.","sets":"Junior 9+ (1st) &amp; (2nd)"},</v>
      </c>
    </row>
    <row r="196">
      <c r="A196" s="8" t="str">
        <f>IFERROR(__xludf.DUMMYFUNCTION("""COMPUTED_VALUE"""),"Egg Rolls")</f>
        <v>Egg Rolls</v>
      </c>
      <c r="B196" s="8" t="str">
        <f>IFERROR(__xludf.DUMMYFUNCTION("""COMPUTED_VALUE"""),"Crunchy rolls filled with vegetables and meat. Available at Chinese restaurants.")</f>
        <v>Crunchy rolls filled with vegetables and meat. Available at Chinese restaurants.</v>
      </c>
      <c r="C196" s="13" t="str">
        <f>IFERROR(__xludf.DUMMYFUNCTION("""COMPUTED_VALUE"""),"""kbfc"":{""label"":""Egg Rolls"",""extra"":""Crunchy rolls filled with vegetables and meat. Available at Chinese restaurants."",""sets"":""Junior 9+ (1st) &amp; (2nd)""},")</f>
        <v>"kbfc":{"label":"Egg Rolls","extra":"Crunchy rolls filled with vegetables and meat. Available at Chinese restaurants.","sets":"Junior 9+ (1st) &amp; (2nd)"},</v>
      </c>
    </row>
    <row r="197">
      <c r="A197" s="8" t="str">
        <f>IFERROR(__xludf.DUMMYFUNCTION("""COMPUTED_VALUE"""),"Eggs")</f>
        <v>Eggs</v>
      </c>
      <c r="B197" s="8" t="str">
        <f>IFERROR(__xludf.DUMMYFUNCTION("""COMPUTED_VALUE"""),"Birds, fish, snakes and insects all lay eggs.")</f>
        <v>Birds, fish, snakes and insects all lay eggs.</v>
      </c>
      <c r="C197" s="13" t="str">
        <f>IFERROR(__xludf.DUMMYFUNCTION("""COMPUTED_VALUE"""),"""hawe"":{""label"":""Eggs"",""extra"":""Birds, fish, snakes and insects all lay eggs."",""sets"":""Junior 9+ (1st) &amp; (2nd)""},")</f>
        <v>"hawe":{"label":"Eggs","extra":"Birds, fish, snakes and insects all lay eggs.","sets":"Junior 9+ (1st) &amp; (2nd)"},</v>
      </c>
    </row>
    <row r="198">
      <c r="A198" s="8" t="str">
        <f>IFERROR(__xludf.DUMMYFUNCTION("""COMPUTED_VALUE"""),"Elephants")</f>
        <v>Elephants</v>
      </c>
      <c r="B198" s="8" t="str">
        <f>IFERROR(__xludf.DUMMYFUNCTION("""COMPUTED_VALUE"""),"Huge gray animals with large ears and trunks. Some elephants have tusks.")</f>
        <v>Huge gray animals with large ears and trunks. Some elephants have tusks.</v>
      </c>
      <c r="C198" s="13" t="str">
        <f>IFERROR(__xludf.DUMMYFUNCTION("""COMPUTED_VALUE"""),"""gqyj"":{""label"":""Elephants"",""extra"":""Huge gray animals with large ears and trunks. Some elephants have tusks."",""sets"":""Junior""},")</f>
        <v>"gqyj":{"label":"Elephants","extra":"Huge gray animals with large ears and trunks. Some elephants have tusks.","sets":"Junior"},</v>
      </c>
    </row>
    <row r="199">
      <c r="A199" s="8" t="str">
        <f>IFERROR(__xludf.DUMMYFUNCTION("""COMPUTED_VALUE"""),"Elevators")</f>
        <v>Elevators</v>
      </c>
      <c r="B199" s="8" t="str">
        <f>IFERROR(__xludf.DUMMYFUNCTION("""COMPUTED_VALUE"""),"The 110-story Sears Tower in Chicago has 104 elevators.")</f>
        <v>The 110-story Sears Tower in Chicago has 104 elevators.</v>
      </c>
      <c r="C199" s="13" t="str">
        <f>IFERROR(__xludf.DUMMYFUNCTION("""COMPUTED_VALUE"""),"""lxgr"":{""label"":""Elevators"",""extra"":""The 110-story Sears Tower in Chicago has 104 elevators."",""sets"":""Junior 9+ (2nd)""},")</f>
        <v>"lxgr":{"label":"Elevators","extra":"The 110-story Sears Tower in Chicago has 104 elevators.","sets":"Junior 9+ (2nd)"},</v>
      </c>
    </row>
    <row r="200">
      <c r="A200" s="8" t="str">
        <f>IFERROR(__xludf.DUMMYFUNCTION("""COMPUTED_VALUE"""),"Elmo")</f>
        <v>Elmo</v>
      </c>
      <c r="B200" s="8" t="str">
        <f>IFERROR(__xludf.DUMMYFUNCTION("""COMPUTED_VALUE"""),"A little, red, fuzzy guy from Sesame Street. Tickle me!")</f>
        <v>A little, red, fuzzy guy from Sesame Street. Tickle me!</v>
      </c>
      <c r="C200" s="13" t="str">
        <f>IFERROR(__xludf.DUMMYFUNCTION("""COMPUTED_VALUE"""),"""jsgl"":{""label"":""Elmo"",""extra"":""A little, red, fuzzy guy from Sesame Street. Tickle me!"",""sets"":""Junior 9+ (1st) &amp; (2nd)""},")</f>
        <v>"jsgl":{"label":"Elmo","extra":"A little, red, fuzzy guy from Sesame Street. Tickle me!","sets":"Junior 9+ (1st) &amp; (2nd)"},</v>
      </c>
    </row>
    <row r="201">
      <c r="A201" s="8" t="str">
        <f>IFERROR(__xludf.DUMMYFUNCTION("""COMPUTED_VALUE"""),"Erasers")</f>
        <v>Erasers</v>
      </c>
      <c r="B201" s="8" t="str">
        <f>IFERROR(__xludf.DUMMYFUNCTION("""COMPUTED_VALUE"""),"Because everybody makes mistakes.")</f>
        <v>Because everybody makes mistakes.</v>
      </c>
      <c r="C201" s="13" t="str">
        <f>IFERROR(__xludf.DUMMYFUNCTION("""COMPUTED_VALUE"""),"""bwkc"":{""label"":""Erasers"",""extra"":""Because everybody makes mistakes."",""sets"":""Junior 9+ (2nd)""},")</f>
        <v>"bwkc":{"label":"Erasers","extra":"Because everybody makes mistakes.","sets":"Junior 9+ (2nd)"},</v>
      </c>
    </row>
    <row r="202">
      <c r="A202" s="8" t="str">
        <f>IFERROR(__xludf.DUMMYFUNCTION("""COMPUTED_VALUE"""),"Eyes")</f>
        <v>Eyes</v>
      </c>
      <c r="B202" s="8" t="str">
        <f>IFERROR(__xludf.DUMMYFUNCTION("""COMPUTED_VALUE"""),"Flies have five eyes.")</f>
        <v>Flies have five eyes.</v>
      </c>
      <c r="C202" s="13" t="str">
        <f>IFERROR(__xludf.DUMMYFUNCTION("""COMPUTED_VALUE"""),"""fhat"":{""label"":""Eyes"",""extra"":""Flies have five eyes."",""sets"":""Junior 9+ (1st) &amp; (2nd)""},")</f>
        <v>"fhat":{"label":"Eyes","extra":"Flies have five eyes.","sets":"Junior 9+ (1st) &amp; (2nd)"},</v>
      </c>
    </row>
    <row r="203">
      <c r="A203" s="8" t="str">
        <f>IFERROR(__xludf.DUMMYFUNCTION("""COMPUTED_VALUE"""),"Face Paint")</f>
        <v>Face Paint</v>
      </c>
      <c r="B203" s="8" t="str">
        <f>IFERROR(__xludf.DUMMYFUNCTION("""COMPUTED_VALUE"""),"You can be a clown, a pirate, a cat, or whatever you want.")</f>
        <v>You can be a clown, a pirate, a cat, or whatever you want.</v>
      </c>
      <c r="C203" s="13" t="str">
        <f>IFERROR(__xludf.DUMMYFUNCTION("""COMPUTED_VALUE"""),"""qeqm"":{""label"":""Face Paint"",""extra"":""You can be a clown, a pirate, a cat, or whatever you want."",""sets"":""Junior""},")</f>
        <v>"qeqm":{"label":"Face Paint","extra":"You can be a clown, a pirate, a cat, or whatever you want.","sets":"Junior"},</v>
      </c>
    </row>
    <row r="204">
      <c r="A204" s="8" t="str">
        <f>IFERROR(__xludf.DUMMYFUNCTION("""COMPUTED_VALUE"""),"Factories")</f>
        <v>Factories</v>
      </c>
      <c r="B204" s="8" t="str">
        <f>IFERROR(__xludf.DUMMYFUNCTION("""COMPUTED_VALUE"""),"Oompa-Loompa! Willy Wonka and the Chocolate Factory!")</f>
        <v>Oompa-Loompa! Willy Wonka and the Chocolate Factory!</v>
      </c>
      <c r="C204" s="13" t="str">
        <f>IFERROR(__xludf.DUMMYFUNCTION("""COMPUTED_VALUE"""),"""ggek"":{""label"":""Factories"",""extra"":""Oompa-Loompa! Willy Wonka and the Chocolate Factory!"",""sets"":""Junior 9+ (2nd)""},")</f>
        <v>"ggek":{"label":"Factories","extra":"Oompa-Loompa! Willy Wonka and the Chocolate Factory!","sets":"Junior 9+ (2nd)"},</v>
      </c>
    </row>
    <row r="205">
      <c r="A205" s="8" t="str">
        <f>IFERROR(__xludf.DUMMYFUNCTION("""COMPUTED_VALUE"""),"Fairies")</f>
        <v>Fairies</v>
      </c>
      <c r="B205" s="8" t="str">
        <f>IFERROR(__xludf.DUMMYFUNCTION("""COMPUTED_VALUE"""),"Tiny storybook characters with wings and magic powers.")</f>
        <v>Tiny storybook characters with wings and magic powers.</v>
      </c>
      <c r="C205" s="13" t="str">
        <f>IFERROR(__xludf.DUMMYFUNCTION("""COMPUTED_VALUE"""),"""xqjy"":{""label"":""Fairies"",""extra"":""Tiny storybook characters with wings and magic powers."",""sets"":""Junior 9+ (1st) &amp; (2nd)""},")</f>
        <v>"xqjy":{"label":"Fairies","extra":"Tiny storybook characters with wings and magic powers.","sets":"Junior 9+ (1st) &amp; (2nd)"},</v>
      </c>
    </row>
    <row r="206">
      <c r="A206" s="8" t="str">
        <f>IFERROR(__xludf.DUMMYFUNCTION("""COMPUTED_VALUE"""),"Farmers")</f>
        <v>Farmers</v>
      </c>
      <c r="B206" s="8" t="str">
        <f>IFERROR(__xludf.DUMMYFUNCTION("""COMPUTED_VALUE"""),"There's a farmer in the dell.")</f>
        <v>There's a farmer in the dell.</v>
      </c>
      <c r="C206" s="13" t="str">
        <f>IFERROR(__xludf.DUMMYFUNCTION("""COMPUTED_VALUE"""),"""rank"":{""label"":""Farmers"",""extra"":""There's a farmer in the dell."",""sets"":""Junior 9+ (1st) &amp; (2nd)""},")</f>
        <v>"rank":{"label":"Farmers","extra":"There's a farmer in the dell.","sets":"Junior 9+ (1st) &amp; (2nd)"},</v>
      </c>
    </row>
    <row r="207">
      <c r="A207" s="8" t="str">
        <f>IFERROR(__xludf.DUMMYFUNCTION("""COMPUTED_VALUE"""),"Farms")</f>
        <v>Farms</v>
      </c>
      <c r="B207" s="8" t="str">
        <f>IFERROR(__xludf.DUMMYFUNCTION("""COMPUTED_VALUE"""),"A place where animals and crops are raised for food. “Old McDonald had a farm.”")</f>
        <v>A place where animals and crops are raised for food. “Old McDonald had a farm.”</v>
      </c>
      <c r="C207" s="13" t="str">
        <f>IFERROR(__xludf.DUMMYFUNCTION("""COMPUTED_VALUE"""),"""zenn"":{""label"":""Farms"",""extra"":""A place where animals and crops are raised for food. “Old McDonald had a farm.”"",""sets"":""Junior""},")</f>
        <v>"zenn":{"label":"Farms","extra":"A place where animals and crops are raised for food. “Old McDonald had a farm.”","sets":"Junior"},</v>
      </c>
    </row>
    <row r="208">
      <c r="A208" s="8" t="str">
        <f>IFERROR(__xludf.DUMMYFUNCTION("""COMPUTED_VALUE"""),"Feathers")</f>
        <v>Feathers</v>
      </c>
      <c r="B208" s="8" t="str">
        <f>IFERROR(__xludf.DUMMYFUNCTION("""COMPUTED_VALUE"""),"Feathers protect a bird’s skin, keep them warm, and help them fly.")</f>
        <v>Feathers protect a bird’s skin, keep them warm, and help them fly.</v>
      </c>
      <c r="C208" s="13" t="str">
        <f>IFERROR(__xludf.DUMMYFUNCTION("""COMPUTED_VALUE"""),"""vfci"":{""label"":""Feathers"",""extra"":""Feathers protect a bird’s skin, keep them warm, and help them fly."",""sets"":""Junior 9+ (1st) &amp; (2nd)""},")</f>
        <v>"vfci":{"label":"Feathers","extra":"Feathers protect a bird’s skin, keep them warm, and help them fly.","sets":"Junior 9+ (1st) &amp; (2nd)"},</v>
      </c>
    </row>
    <row r="209">
      <c r="A209" s="8" t="str">
        <f>IFERROR(__xludf.DUMMYFUNCTION("""COMPUTED_VALUE"""),"Finger Painting")</f>
        <v>Finger Painting</v>
      </c>
      <c r="B209" s="8" t="str">
        <f>IFERROR(__xludf.DUMMYFUNCTION("""COMPUTED_VALUE"""),"Just paint with your fingers. No brush needed!")</f>
        <v>Just paint with your fingers. No brush needed!</v>
      </c>
      <c r="C209" s="13" t="str">
        <f>IFERROR(__xludf.DUMMYFUNCTION("""COMPUTED_VALUE"""),"""lbxq"":{""label"":""Finger Painting"",""extra"":""Just paint with your fingers. No brush needed!"",""sets"":""Junior""},")</f>
        <v>"lbxq":{"label":"Finger Painting","extra":"Just paint with your fingers. No brush needed!","sets":"Junior"},</v>
      </c>
    </row>
    <row r="210">
      <c r="A210" s="8" t="str">
        <f>IFERROR(__xludf.DUMMYFUNCTION("""COMPUTED_VALUE"""),"Fire")</f>
        <v>Fire</v>
      </c>
      <c r="B210" s="8" t="str">
        <f>IFERROR(__xludf.DUMMYFUNCTION("""COMPUTED_VALUE"""),"Don’t get burned!")</f>
        <v>Don’t get burned!</v>
      </c>
      <c r="C210" s="13" t="str">
        <f>IFERROR(__xludf.DUMMYFUNCTION("""COMPUTED_VALUE"""),"""uhej"":{""label"":""Fire"",""extra"":""Don’t get burned!"",""sets"":""Junior""},")</f>
        <v>"uhej":{"label":"Fire","extra":"Don’t get burned!","sets":"Junior"},</v>
      </c>
    </row>
    <row r="211">
      <c r="A211" s="8" t="str">
        <f>IFERROR(__xludf.DUMMYFUNCTION("""COMPUTED_VALUE"""),"Firefighters")</f>
        <v>Firefighters</v>
      </c>
      <c r="B211" s="8" t="str">
        <f>IFERROR(__xludf.DUMMYFUNCTION("""COMPUTED_VALUE"""),"Their job is to put out fires. They also get to drive fire engines.")</f>
        <v>Their job is to put out fires. They also get to drive fire engines.</v>
      </c>
      <c r="C211" s="13" t="str">
        <f>IFERROR(__xludf.DUMMYFUNCTION("""COMPUTED_VALUE"""),"""eipe"":{""label"":""Firefighters"",""extra"":""Their job is to put out fires. They also get to drive fire engines."",""sets"":""Junior""},")</f>
        <v>"eipe":{"label":"Firefighters","extra":"Their job is to put out fires. They also get to drive fire engines.","sets":"Junior"},</v>
      </c>
    </row>
    <row r="212">
      <c r="A212" s="8" t="str">
        <f>IFERROR(__xludf.DUMMYFUNCTION("""COMPUTED_VALUE"""),"Fireworks")</f>
        <v>Fireworks</v>
      </c>
      <c r="B212" s="8" t="str">
        <f>IFERROR(__xludf.DUMMYFUNCTION("""COMPUTED_VALUE"""),"Bright, explosive displays often used for the 4th of July. Bang-Boom-Pop-Pop! Ohhh-Ahhh!")</f>
        <v>Bright, explosive displays often used for the 4th of July. Bang-Boom-Pop-Pop! Ohhh-Ahhh!</v>
      </c>
      <c r="C212" s="13" t="str">
        <f>IFERROR(__xludf.DUMMYFUNCTION("""COMPUTED_VALUE"""),"""{who"":{""label"":""Fireworks"",""extra"":""Bright, explosive displays often used for the 4th of July. Bang-Boom-Pop-Pop! Ohhh-Ahhh!"",""sets"":""Junior""},")</f>
        <v>"{who":{"label":"Fireworks","extra":"Bright, explosive displays often used for the 4th of July. Bang-Boom-Pop-Pop! Ohhh-Ahhh!","sets":"Junior"},</v>
      </c>
    </row>
    <row r="213">
      <c r="A213" s="8" t="str">
        <f>IFERROR(__xludf.DUMMYFUNCTION("""COMPUTED_VALUE"""),"Fishing")</f>
        <v>Fishing</v>
      </c>
      <c r="B213" s="8" t="str">
        <f>IFERROR(__xludf.DUMMYFUNCTION("""COMPUTED_VALUE"""),"The perfect way to spend a summer day. Maybe you’ll catch a big one!")</f>
        <v>The perfect way to spend a summer day. Maybe you’ll catch a big one!</v>
      </c>
      <c r="C213" s="13" t="str">
        <f>IFERROR(__xludf.DUMMYFUNCTION("""COMPUTED_VALUE"""),"""odxh"":{""label"":""Fishing"",""extra"":""The perfect way to spend a summer day. Maybe you’ll catch a big one!"",""sets"":""Junior""},")</f>
        <v>"odxh":{"label":"Fishing","extra":"The perfect way to spend a summer day. Maybe you’ll catch a big one!","sets":"Junior"},</v>
      </c>
    </row>
    <row r="214">
      <c r="A214" s="8" t="str">
        <f>IFERROR(__xludf.DUMMYFUNCTION("""COMPUTED_VALUE"""),"Flags")</f>
        <v>Flags</v>
      </c>
      <c r="B214" s="8" t="str">
        <f>IFERROR(__xludf.DUMMYFUNCTION("""COMPUTED_VALUE"""),"There are fifty stars and thirteen stripes on the flag of the United States of America.")</f>
        <v>There are fifty stars and thirteen stripes on the flag of the United States of America.</v>
      </c>
      <c r="C214" s="13" t="str">
        <f>IFERROR(__xludf.DUMMYFUNCTION("""COMPUTED_VALUE"""),"""emsc"":{""label"":""Flags"",""extra"":""There are fifty stars and thirteen stripes on the flag of the United States of America."",""sets"":""Junior 9+ (1st) &amp; (2nd)""},")</f>
        <v>"emsc":{"label":"Flags","extra":"There are fifty stars and thirteen stripes on the flag of the United States of America.","sets":"Junior 9+ (1st) &amp; (2nd)"},</v>
      </c>
    </row>
    <row r="215">
      <c r="A215" s="8" t="str">
        <f>IFERROR(__xludf.DUMMYFUNCTION("""COMPUTED_VALUE"""),"Flashlights")</f>
        <v>Flashlights</v>
      </c>
      <c r="B215" s="8" t="str">
        <f>IFERROR(__xludf.DUMMYFUNCTION("""COMPUTED_VALUE"""),"Good for camping and reading under the covers.")</f>
        <v>Good for camping and reading under the covers.</v>
      </c>
      <c r="C215" s="13" t="str">
        <f>IFERROR(__xludf.DUMMYFUNCTION("""COMPUTED_VALUE"""),"""tobr"":{""label"":""Flashlights"",""extra"":""Good for camping and reading under the covers."",""sets"":""Junior 9+ (1st) &amp; (2nd)""},")</f>
        <v>"tobr":{"label":"Flashlights","extra":"Good for camping and reading under the covers.","sets":"Junior 9+ (1st) &amp; (2nd)"},</v>
      </c>
    </row>
    <row r="216">
      <c r="A216" s="8" t="str">
        <f>IFERROR(__xludf.DUMMYFUNCTION("""COMPUTED_VALUE"""),"Flies")</f>
        <v>Flies</v>
      </c>
      <c r="B216" s="8" t="str">
        <f>IFERROR(__xludf.DUMMYFUNCTION("""COMPUTED_VALUE"""),"A group of insects with wings. They enjoy picnics.")</f>
        <v>A group of insects with wings. They enjoy picnics.</v>
      </c>
      <c r="C216" s="13" t="str">
        <f>IFERROR(__xludf.DUMMYFUNCTION("""COMPUTED_VALUE"""),"""sgsp"":{""label"":""Flies"",""extra"":""A group of insects with wings. They enjoy picnics."",""sets"":""Junior 9+ (1st) &amp; (2nd)""},")</f>
        <v>"sgsp":{"label":"Flies","extra":"A group of insects with wings. They enjoy picnics.","sets":"Junior 9+ (1st) &amp; (2nd)"},</v>
      </c>
    </row>
    <row r="217">
      <c r="A217" s="8" t="str">
        <f>IFERROR(__xludf.DUMMYFUNCTION("""COMPUTED_VALUE"""),"Flip-Flops")</f>
        <v>Flip-Flops</v>
      </c>
      <c r="B217" s="8" t="str">
        <f>IFERROR(__xludf.DUMMYFUNCTION("""COMPUTED_VALUE"""),"It’s the sound they make when you walk.")</f>
        <v>It’s the sound they make when you walk.</v>
      </c>
      <c r="C217" s="13" t="str">
        <f>IFERROR(__xludf.DUMMYFUNCTION("""COMPUTED_VALUE"""),"""qqro"":{""label"":""Flip-Flops"",""extra"":""It’s the sound they make when you walk."",""sets"":""Junior 9+ (2nd)""},")</f>
        <v>"qqro":{"label":"Flip-Flops","extra":"It’s the sound they make when you walk.","sets":"Junior 9+ (2nd)"},</v>
      </c>
    </row>
    <row r="218">
      <c r="A218" s="8" t="str">
        <f>IFERROR(__xludf.DUMMYFUNCTION("""COMPUTED_VALUE"""),"Floods")</f>
        <v>Floods</v>
      </c>
      <c r="B218" s="8" t="str">
        <f>IFERROR(__xludf.DUMMYFUNCTION("""COMPUTED_VALUE"""),"Heavy rains and melting snow can cause floods.")</f>
        <v>Heavy rains and melting snow can cause floods.</v>
      </c>
      <c r="C218" s="13" t="str">
        <f>IFERROR(__xludf.DUMMYFUNCTION("""COMPUTED_VALUE"""),"""hoxb"":{""label"":""Floods"",""extra"":""Heavy rains and melting snow can cause floods."",""sets"":""Junior 9+ (1st) &amp; (2nd)""},")</f>
        <v>"hoxb":{"label":"Floods","extra":"Heavy rains and melting snow can cause floods.","sets":"Junior 9+ (1st) &amp; (2nd)"},</v>
      </c>
    </row>
    <row r="219">
      <c r="A219" s="8" t="str">
        <f>IFERROR(__xludf.DUMMYFUNCTION("""COMPUTED_VALUE"""),"Flour")</f>
        <v>Flour</v>
      </c>
      <c r="B219" s="8" t="str">
        <f>IFERROR(__xludf.DUMMYFUNCTION("""COMPUTED_VALUE"""),"Flour is made by grinding wheat and other grains.")</f>
        <v>Flour is made by grinding wheat and other grains.</v>
      </c>
      <c r="C219" s="13" t="str">
        <f>IFERROR(__xludf.DUMMYFUNCTION("""COMPUTED_VALUE"""),"""ocxs"":{""label"":""Flour"",""extra"":""Flour is made by grinding wheat and other grains."",""sets"":""Junior 9+ (2nd)""},")</f>
        <v>"ocxs":{"label":"Flour","extra":"Flour is made by grinding wheat and other grains.","sets":"Junior 9+ (2nd)"},</v>
      </c>
    </row>
    <row r="220">
      <c r="A220" s="8" t="str">
        <f>IFERROR(__xludf.DUMMYFUNCTION("""COMPUTED_VALUE"""),"Flower Gardens")</f>
        <v>Flower Gardens</v>
      </c>
      <c r="B220" s="8" t="str">
        <f>IFERROR(__xludf.DUMMYFUNCTION("""COMPUTED_VALUE"""),"No weeds allowed.")</f>
        <v>No weeds allowed.</v>
      </c>
      <c r="C220" s="13" t="str">
        <f>IFERROR(__xludf.DUMMYFUNCTION("""COMPUTED_VALUE"""),"""cswi"":{""label"":""Flower Gardens"",""extra"":""No weeds allowed."",""sets"":""Junior 9+ (2nd)""},")</f>
        <v>"cswi":{"label":"Flower Gardens","extra":"No weeds allowed.","sets":"Junior 9+ (2nd)"},</v>
      </c>
    </row>
    <row r="221">
      <c r="A221" s="8" t="str">
        <f>IFERROR(__xludf.DUMMYFUNCTION("""COMPUTED_VALUE"""),"Flying A Kite")</f>
        <v>Flying A Kite</v>
      </c>
      <c r="B221" s="8" t="str">
        <f>IFERROR(__xludf.DUMMYFUNCTION("""COMPUTED_VALUE"""),"Don’t let go of the string!")</f>
        <v>Don’t let go of the string!</v>
      </c>
      <c r="C221" s="13" t="str">
        <f>IFERROR(__xludf.DUMMYFUNCTION("""COMPUTED_VALUE"""),"""zsyn"":{""label"":""Flying A Kite"",""extra"":""Don’t let go of the string!"",""sets"":""Junior""},")</f>
        <v>"zsyn":{"label":"Flying A Kite","extra":"Don’t let go of the string!","sets":"Junior"},</v>
      </c>
    </row>
    <row r="222">
      <c r="A222" s="8" t="str">
        <f>IFERROR(__xludf.DUMMYFUNCTION("""COMPUTED_VALUE"""),"Football")</f>
        <v>Football</v>
      </c>
      <c r="B222" s="8" t="str">
        <f>IFERROR(__xludf.DUMMYFUNCTION("""COMPUTED_VALUE"""),"It's a ball AND a game.")</f>
        <v>It's a ball AND a game.</v>
      </c>
      <c r="C222" s="13" t="str">
        <f>IFERROR(__xludf.DUMMYFUNCTION("""COMPUTED_VALUE"""),"""nujb"":{""label"":""Football"",""extra"":""It's a ball AND a game."",""sets"":""Junior 9+ (1st) &amp; (2nd)""},")</f>
        <v>"nujb":{"label":"Football","extra":"It's a ball AND a game.","sets":"Junior 9+ (1st) &amp; (2nd)"},</v>
      </c>
    </row>
    <row r="223">
      <c r="A223" s="8" t="str">
        <f>IFERROR(__xludf.DUMMYFUNCTION("""COMPUTED_VALUE"""),"Football Players")</f>
        <v>Football Players</v>
      </c>
      <c r="B223" s="8" t="str">
        <f>IFERROR(__xludf.DUMMYFUNCTION("""COMPUTED_VALUE"""),"Punt, pass, and kick!")</f>
        <v>Punt, pass, and kick!</v>
      </c>
      <c r="C223" s="13" t="str">
        <f>IFERROR(__xludf.DUMMYFUNCTION("""COMPUTED_VALUE"""),"""bqjf"":{""label"":""Football Players"",""extra"":""Punt, pass, and kick!"",""sets"":""Junior""},")</f>
        <v>"bqjf":{"label":"Football Players","extra":"Punt, pass, and kick!","sets":"Junior"},</v>
      </c>
    </row>
    <row r="224">
      <c r="A224" s="8" t="str">
        <f>IFERROR(__xludf.DUMMYFUNCTION("""COMPUTED_VALUE"""),"Forest Fires")</f>
        <v>Forest Fires</v>
      </c>
      <c r="B224" s="8" t="str">
        <f>IFERROR(__xludf.DUMMYFUNCTION("""COMPUTED_VALUE"""),"Lightning can start forest fires.")</f>
        <v>Lightning can start forest fires.</v>
      </c>
      <c r="C224" s="13" t="str">
        <f>IFERROR(__xludf.DUMMYFUNCTION("""COMPUTED_VALUE"""),"""kvul"":{""label"":""Forest Fires"",""extra"":""Lightning can start forest fires."",""sets"":""Junior 9+ (1st) &amp; (2nd)""},")</f>
        <v>"kvul":{"label":"Forest Fires","extra":"Lightning can start forest fires.","sets":"Junior 9+ (1st) &amp; (2nd)"},</v>
      </c>
    </row>
    <row r="225">
      <c r="A225" s="8" t="str">
        <f>IFERROR(__xludf.DUMMYFUNCTION("""COMPUTED_VALUE"""),"Fortune Teller")</f>
        <v>Fortune Teller</v>
      </c>
      <c r="B225" s="8" t="str">
        <f>IFERROR(__xludf.DUMMYFUNCTION("""COMPUTED_VALUE"""),"“My crystal ball says…”")</f>
        <v>“My crystal ball says…”</v>
      </c>
      <c r="C225" s="13" t="str">
        <f>IFERROR(__xludf.DUMMYFUNCTION("""COMPUTED_VALUE"""),"""fwgw"":{""label"":""Fortune Teller"",""extra"":""“My crystal ball says…”"",""sets"":""Junior 9+ (2nd)""},")</f>
        <v>"fwgw":{"label":"Fortune Teller","extra":"“My crystal ball says…”","sets":"Junior 9+ (2nd)"},</v>
      </c>
    </row>
    <row r="226">
      <c r="A226" s="8" t="str">
        <f>IFERROR(__xludf.DUMMYFUNCTION("""COMPUTED_VALUE"""),"Fourth Of July")</f>
        <v>Fourth Of July</v>
      </c>
      <c r="B226" s="8" t="str">
        <f>IFERROR(__xludf.DUMMYFUNCTION("""COMPUTED_VALUE"""),"The United States Independence Day. Lots of picnics and fireworks!")</f>
        <v>The United States Independence Day. Lots of picnics and fireworks!</v>
      </c>
      <c r="C226" s="13" t="str">
        <f>IFERROR(__xludf.DUMMYFUNCTION("""COMPUTED_VALUE"""),"""xczo"":{""label"":""Fourth Of July"",""extra"":""The United States Independence Day. Lots of picnics and fireworks!"",""sets"":""Junior""},")</f>
        <v>"xczo":{"label":"Fourth Of July","extra":"The United States Independence Day. Lots of picnics and fireworks!","sets":"Junior"},</v>
      </c>
    </row>
    <row r="227">
      <c r="A227" s="8" t="str">
        <f>IFERROR(__xludf.DUMMYFUNCTION("""COMPUTED_VALUE"""),"Freckles")</f>
        <v>Freckles</v>
      </c>
      <c r="B227" s="8" t="str">
        <f>IFERROR(__xludf.DUMMYFUNCTION("""COMPUTED_VALUE"""),"The more the merrier!")</f>
        <v>The more the merrier!</v>
      </c>
      <c r="C227" s="13" t="str">
        <f>IFERROR(__xludf.DUMMYFUNCTION("""COMPUTED_VALUE"""),"""oarl"":{""label"":""Freckles"",""extra"":""The more the merrier!"",""sets"":""Junior 9+ (2nd)""},")</f>
        <v>"oarl":{"label":"Freckles","extra":"The more the merrier!","sets":"Junior 9+ (2nd)"},</v>
      </c>
    </row>
    <row r="228">
      <c r="A228" s="8" t="str">
        <f>IFERROR(__xludf.DUMMYFUNCTION("""COMPUTED_VALUE"""),"French Fries")</f>
        <v>French Fries</v>
      </c>
      <c r="B228" s="8" t="str">
        <f>IFERROR(__xludf.DUMMYFUNCTION("""COMPUTED_VALUE"""),"In Europe, French fries are usually eaten with a fork.")</f>
        <v>In Europe, French fries are usually eaten with a fork.</v>
      </c>
      <c r="C228" s="13" t="str">
        <f>IFERROR(__xludf.DUMMYFUNCTION("""COMPUTED_VALUE"""),"""mskp"":{""label"":""French Fries"",""extra"":""In Europe, French fries are usually eaten with a fork."",""sets"":""Junior 9+ (1st) &amp; (2nd)""},")</f>
        <v>"mskp":{"label":"French Fries","extra":"In Europe, French fries are usually eaten with a fork.","sets":"Junior 9+ (1st) &amp; (2nd)"},</v>
      </c>
    </row>
    <row r="229">
      <c r="A229" s="8" t="str">
        <f>IFERROR(__xludf.DUMMYFUNCTION("""COMPUTED_VALUE"""),"Frogs")</f>
        <v>Frogs</v>
      </c>
      <c r="B229" s="8" t="str">
        <f>IFERROR(__xludf.DUMMYFUNCTION("""COMPUTED_VALUE"""),"Some frogs can jump 20 feet.")</f>
        <v>Some frogs can jump 20 feet.</v>
      </c>
      <c r="C229" s="13" t="str">
        <f>IFERROR(__xludf.DUMMYFUNCTION("""COMPUTED_VALUE"""),"""jjyd"":{""label"":""Frogs"",""extra"":""Some frogs can jump 20 feet."",""sets"":""Junior 9+ (1st) &amp; (2nd)""},")</f>
        <v>"jjyd":{"label":"Frogs","extra":"Some frogs can jump 20 feet.","sets":"Junior 9+ (1st) &amp; (2nd)"},</v>
      </c>
    </row>
    <row r="230">
      <c r="A230" s="8" t="str">
        <f>IFERROR(__xludf.DUMMYFUNCTION("""COMPUTED_VALUE"""),"Frosty The Snowman")</f>
        <v>Frosty The Snowman</v>
      </c>
      <c r="B230" s="8" t="str">
        <f>IFERROR(__xludf.DUMMYFUNCTION("""COMPUTED_VALUE"""),"This snowman has a corncob pipe and a button nose.")</f>
        <v>This snowman has a corncob pipe and a button nose.</v>
      </c>
      <c r="C230" s="13" t="str">
        <f>IFERROR(__xludf.DUMMYFUNCTION("""COMPUTED_VALUE"""),"""coxo"":{""label"":""Frosty The Snowman"",""extra"":""This snowman has a corncob pipe and a button nose."",""sets"":""Junior""},")</f>
        <v>"coxo":{"label":"Frosty The Snowman","extra":"This snowman has a corncob pipe and a button nose.","sets":"Junior"},</v>
      </c>
    </row>
    <row r="231">
      <c r="A231" s="8" t="str">
        <f>IFERROR(__xludf.DUMMYFUNCTION("""COMPUTED_VALUE"""),"Frozen Peas")</f>
        <v>Frozen Peas</v>
      </c>
      <c r="B231" s="8" t="str">
        <f>IFERROR(__xludf.DUMMYFUNCTION("""COMPUTED_VALUE"""),"Right under the frozen pizza.")</f>
        <v>Right under the frozen pizza.</v>
      </c>
      <c r="C231" s="13" t="str">
        <f>IFERROR(__xludf.DUMMYFUNCTION("""COMPUTED_VALUE"""),"""mygx"":{""label"":""Frozen Peas"",""extra"":""Right under the frozen pizza."",""sets"":""Junior 9+ (2nd)""},")</f>
        <v>"mygx":{"label":"Frozen Peas","extra":"Right under the frozen pizza.","sets":"Junior 9+ (2nd)"},</v>
      </c>
    </row>
    <row r="232">
      <c r="A232" s="8" t="str">
        <f>IFERROR(__xludf.DUMMYFUNCTION("""COMPUTED_VALUE"""),"Fur")</f>
        <v>Fur</v>
      </c>
      <c r="B232" s="8" t="str">
        <f>IFERROR(__xludf.DUMMYFUNCTION("""COMPUTED_VALUE"""),"The soft, hairy covering on the skin of some animals.")</f>
        <v>The soft, hairy covering on the skin of some animals.</v>
      </c>
      <c r="C232" s="13" t="str">
        <f>IFERROR(__xludf.DUMMYFUNCTION("""COMPUTED_VALUE"""),"""qqih"":{""label"":""Fur"",""extra"":""The soft, hairy covering on the skin of some animals."",""sets"":""Junior""},")</f>
        <v>"qqih":{"label":"Fur","extra":"The soft, hairy covering on the skin of some animals.","sets":"Junior"},</v>
      </c>
    </row>
    <row r="233">
      <c r="A233" s="8" t="str">
        <f>IFERROR(__xludf.DUMMYFUNCTION("""COMPUTED_VALUE"""),"Garages")</f>
        <v>Garages</v>
      </c>
      <c r="B233" s="8" t="str">
        <f>IFERROR(__xludf.DUMMYFUNCTION("""COMPUTED_VALUE"""),"Little houses for cars.")</f>
        <v>Little houses for cars.</v>
      </c>
      <c r="C233" s="13" t="str">
        <f>IFERROR(__xludf.DUMMYFUNCTION("""COMPUTED_VALUE"""),"""iffy"":{""label"":""Garages"",""extra"":""Little houses for cars."",""sets"":""Junior 9+ (2nd)""},")</f>
        <v>"iffy":{"label":"Garages","extra":"Little houses for cars.","sets":"Junior 9+ (2nd)"},</v>
      </c>
    </row>
    <row r="234">
      <c r="A234" s="8" t="str">
        <f>IFERROR(__xludf.DUMMYFUNCTION("""COMPUTED_VALUE"""),"Garbage Cans")</f>
        <v>Garbage Cans</v>
      </c>
      <c r="B234" s="8" t="str">
        <f>IFERROR(__xludf.DUMMYFUNCTION("""COMPUTED_VALUE"""),"A restaurant for raccoons.")</f>
        <v>A restaurant for raccoons.</v>
      </c>
      <c r="C234" s="13" t="str">
        <f>IFERROR(__xludf.DUMMYFUNCTION("""COMPUTED_VALUE"""),"""iolz"":{""label"":""Garbage Cans"",""extra"":""A restaurant for raccoons."",""sets"":""Junior 9+ (1st) &amp; (2nd)""},")</f>
        <v>"iolz":{"label":"Garbage Cans","extra":"A restaurant for raccoons.","sets":"Junior 9+ (1st) &amp; (2nd)"},</v>
      </c>
    </row>
    <row r="235">
      <c r="A235" s="8" t="str">
        <f>IFERROR(__xludf.DUMMYFUNCTION("""COMPUTED_VALUE"""),"Gas Stations")</f>
        <v>Gas Stations</v>
      </c>
      <c r="B235" s="8" t="str">
        <f>IFERROR(__xludf.DUMMYFUNCTION("""COMPUTED_VALUE"""),"How far to the next gas station?")</f>
        <v>How far to the next gas station?</v>
      </c>
      <c r="C235" s="13" t="str">
        <f>IFERROR(__xludf.DUMMYFUNCTION("""COMPUTED_VALUE"""),"""kews"":{""label"":""Gas Stations"",""extra"":""How far to the next gas station?"",""sets"":""Junior 9+ (1st) &amp; (2nd)""},")</f>
        <v>"kews":{"label":"Gas Stations","extra":"How far to the next gas station?","sets":"Junior 9+ (1st) &amp; (2nd)"},</v>
      </c>
    </row>
    <row r="236">
      <c r="A236" s="8" t="str">
        <f>IFERROR(__xludf.DUMMYFUNCTION("""COMPUTED_VALUE"""),"George Washington")</f>
        <v>George Washington</v>
      </c>
      <c r="B236" s="8" t="str">
        <f>IFERROR(__xludf.DUMMYFUNCTION("""COMPUTED_VALUE"""),"First president of the United States.")</f>
        <v>First president of the United States.</v>
      </c>
      <c r="C236" s="13" t="str">
        <f>IFERROR(__xludf.DUMMYFUNCTION("""COMPUTED_VALUE"""),"""djxg"":{""label"":""George Washington"",""extra"":""First president of the United States."",""sets"":""Junior""},")</f>
        <v>"djxg":{"label":"George Washington","extra":"First president of the United States.","sets":"Junior"},</v>
      </c>
    </row>
    <row r="237">
      <c r="A237" s="8" t="str">
        <f>IFERROR(__xludf.DUMMYFUNCTION("""COMPUTED_VALUE"""),"Getting A Haircut")</f>
        <v>Getting A Haircut</v>
      </c>
      <c r="B237" s="8" t="str">
        <f>IFERROR(__xludf.DUMMYFUNCTION("""COMPUTED_VALUE"""),"It will always grow back.")</f>
        <v>It will always grow back.</v>
      </c>
      <c r="C237" s="13" t="str">
        <f>IFERROR(__xludf.DUMMYFUNCTION("""COMPUTED_VALUE"""),"""jysl"":{""label"":""Getting A Haircut"",""extra"":""It will always grow back."",""sets"":""Junior 9+ (1st) &amp; (2nd)""},")</f>
        <v>"jysl":{"label":"Getting A Haircut","extra":"It will always grow back.","sets":"Junior 9+ (1st) &amp; (2nd)"},</v>
      </c>
    </row>
    <row r="238">
      <c r="A238" s="8" t="str">
        <f>IFERROR(__xludf.DUMMYFUNCTION("""COMPUTED_VALUE"""),"Getting A Shot")</f>
        <v>Getting A Shot</v>
      </c>
      <c r="B238" s="8" t="str">
        <f>IFERROR(__xludf.DUMMYFUNCTION("""COMPUTED_VALUE"""),"It’s better than getting sick!")</f>
        <v>It’s better than getting sick!</v>
      </c>
      <c r="C238" s="13" t="str">
        <f>IFERROR(__xludf.DUMMYFUNCTION("""COMPUTED_VALUE"""),"""znyb"":{""label"":""Getting A Shot"",""extra"":""It’s better than getting sick!"",""sets"":""Junior 9+ (1st) &amp; (2nd)""},")</f>
        <v>"znyb":{"label":"Getting A Shot","extra":"It’s better than getting sick!","sets":"Junior 9+ (1st) &amp; (2nd)"},</v>
      </c>
    </row>
    <row r="239">
      <c r="A239" s="8" t="str">
        <f>IFERROR(__xludf.DUMMYFUNCTION("""COMPUTED_VALUE"""),"Getting Head Lice")</f>
        <v>Getting Head Lice</v>
      </c>
      <c r="B239" s="8" t="str">
        <f>IFERROR(__xludf.DUMMYFUNCTION("""COMPUTED_VALUE"""),"Tiny insects that live on the human scalp. Millions of children get head lice each year.")</f>
        <v>Tiny insects that live on the human scalp. Millions of children get head lice each year.</v>
      </c>
      <c r="C239" s="13" t="str">
        <f>IFERROR(__xludf.DUMMYFUNCTION("""COMPUTED_VALUE"""),"""aiey"":{""label"":""Getting Head Lice"",""extra"":""Tiny insects that live on the human scalp. Millions of children get head lice each year."",""sets"":""Junior 9+ (2nd)""},")</f>
        <v>"aiey":{"label":"Getting Head Lice","extra":"Tiny insects that live on the human scalp. Millions of children get head lice each year.","sets":"Junior 9+ (2nd)"},</v>
      </c>
    </row>
    <row r="240">
      <c r="A240" s="8" t="str">
        <f>IFERROR(__xludf.DUMMYFUNCTION("""COMPUTED_VALUE"""),"Getting Lost")</f>
        <v>Getting Lost</v>
      </c>
      <c r="B240" s="8" t="str">
        <f>IFERROR(__xludf.DUMMYFUNCTION("""COMPUTED_VALUE"""),"Now, where did they go?")</f>
        <v>Now, where did they go?</v>
      </c>
      <c r="C240" s="13" t="str">
        <f>IFERROR(__xludf.DUMMYFUNCTION("""COMPUTED_VALUE"""),"""lenz"":{""label"":""Getting Lost"",""extra"":""Now, where did they go?"",""sets"":""Junior 9+ (1st) &amp; (2nd)""},")</f>
        <v>"lenz":{"label":"Getting Lost","extra":"Now, where did they go?","sets":"Junior 9+ (1st) &amp; (2nd)"},</v>
      </c>
    </row>
    <row r="241">
      <c r="A241" s="8" t="str">
        <f>IFERROR(__xludf.DUMMYFUNCTION("""COMPUTED_VALUE"""),"Getting Mail")</f>
        <v>Getting Mail</v>
      </c>
      <c r="B241" s="8" t="str">
        <f>IFERROR(__xludf.DUMMYFUNCTION("""COMPUTED_VALUE"""),"Letters, cards, magazines and packages. Is there anything for me?")</f>
        <v>Letters, cards, magazines and packages. Is there anything for me?</v>
      </c>
      <c r="C241" s="13" t="str">
        <f>IFERROR(__xludf.DUMMYFUNCTION("""COMPUTED_VALUE"""),"""ohmn"":{""label"":""Getting Mail"",""extra"":""Letters, cards, magazines and packages. Is there anything for me?"",""sets"":""Junior""},")</f>
        <v>"ohmn":{"label":"Getting Mail","extra":"Letters, cards, magazines and packages. Is there anything for me?","sets":"Junior"},</v>
      </c>
    </row>
    <row r="242">
      <c r="A242" s="8" t="str">
        <f>IFERROR(__xludf.DUMMYFUNCTION("""COMPUTED_VALUE"""),"Getting Sick")</f>
        <v>Getting Sick</v>
      </c>
      <c r="B242" s="8" t="str">
        <f>IFERROR(__xludf.DUMMYFUNCTION("""COMPUTED_VALUE"""),"Oh, I don't feel very good.")</f>
        <v>Oh, I don't feel very good.</v>
      </c>
      <c r="C242" s="13" t="str">
        <f>IFERROR(__xludf.DUMMYFUNCTION("""COMPUTED_VALUE"""),"""hmxd"":{""label"":""Getting Sick"",""extra"":""Oh, I don't feel very good."",""sets"":""Junior""},")</f>
        <v>"hmxd":{"label":"Getting Sick","extra":"Oh, I don't feel very good.","sets":"Junior"},</v>
      </c>
    </row>
    <row r="243">
      <c r="A243" s="8" t="str">
        <f>IFERROR(__xludf.DUMMYFUNCTION("""COMPUTED_VALUE"""),"Getting Stitches")</f>
        <v>Getting Stitches</v>
      </c>
      <c r="B243" s="8" t="str">
        <f>IFERROR(__xludf.DUMMYFUNCTION("""COMPUTED_VALUE"""),"Now they can sew you up or glue you back together.")</f>
        <v>Now they can sew you up or glue you back together.</v>
      </c>
      <c r="C243" s="13" t="str">
        <f>IFERROR(__xludf.DUMMYFUNCTION("""COMPUTED_VALUE"""),"""dvtd"":{""label"":""Getting Stitches"",""extra"":""Now they can sew you up or glue you back together."",""sets"":""Junior 9+ (2nd)""},")</f>
        <v>"dvtd":{"label":"Getting Stitches","extra":"Now they can sew you up or glue you back together.","sets":"Junior 9+ (2nd)"},</v>
      </c>
    </row>
    <row r="244">
      <c r="A244" s="8" t="str">
        <f>IFERROR(__xludf.DUMMYFUNCTION("""COMPUTED_VALUE"""),"Getting The Flu")</f>
        <v>Getting The Flu</v>
      </c>
      <c r="B244" s="8" t="str">
        <f>IFERROR(__xludf.DUMMYFUNCTION("""COMPUTED_VALUE"""),"Stay home, drink juice and watch TV.")</f>
        <v>Stay home, drink juice and watch TV.</v>
      </c>
      <c r="C244" s="13" t="str">
        <f>IFERROR(__xludf.DUMMYFUNCTION("""COMPUTED_VALUE"""),"""yxbz"":{""label"":""Getting The Flu"",""extra"":""Stay home, drink juice and watch TV."",""sets"":""Junior 9+ (2nd)""},")</f>
        <v>"yxbz":{"label":"Getting The Flu","extra":"Stay home, drink juice and watch TV.","sets":"Junior 9+ (2nd)"},</v>
      </c>
    </row>
    <row r="245">
      <c r="A245" s="8" t="str">
        <f>IFERROR(__xludf.DUMMYFUNCTION("""COMPUTED_VALUE"""),"Ghosts")</f>
        <v>Ghosts</v>
      </c>
      <c r="B245" s="8" t="str">
        <f>IFERROR(__xludf.DUMMYFUNCTION("""COMPUTED_VALUE"""),"A pale, shadowy form, and a favorite Halloween costume.")</f>
        <v>A pale, shadowy form, and a favorite Halloween costume.</v>
      </c>
      <c r="C245" s="13" t="str">
        <f>IFERROR(__xludf.DUMMYFUNCTION("""COMPUTED_VALUE"""),"""edgn"":{""label"":""Ghosts"",""extra"":""A pale, shadowy form, and a favorite Halloween costume."",""sets"":""Junior 9+ (1st) &amp; (2nd)""},")</f>
        <v>"edgn":{"label":"Ghosts","extra":"A pale, shadowy form, and a favorite Halloween costume.","sets":"Junior 9+ (1st) &amp; (2nd)"},</v>
      </c>
    </row>
    <row r="246">
      <c r="A246" s="8" t="str">
        <f>IFERROR(__xludf.DUMMYFUNCTION("""COMPUTED_VALUE"""),"GI Joe")</f>
        <v>GI Joe</v>
      </c>
      <c r="B246" s="8" t="str">
        <f>IFERROR(__xludf.DUMMYFUNCTION("""COMPUTED_VALUE"""),"He's an “action figure,” not a “doll.”")</f>
        <v>He's an “action figure,” not a “doll.”</v>
      </c>
      <c r="C246" s="13" t="str">
        <f>IFERROR(__xludf.DUMMYFUNCTION("""COMPUTED_VALUE"""),"""oemx"":{""label"":""GI Joe"",""extra"":""He's an “action figure,” not a “doll.”"",""sets"":""Junior 9+ (2nd)""},")</f>
        <v>"oemx":{"label":"GI Joe","extra":"He's an “action figure,” not a “doll.”","sets":"Junior 9+ (2nd)"},</v>
      </c>
    </row>
    <row r="247">
      <c r="A247" s="8" t="str">
        <f>IFERROR(__xludf.DUMMYFUNCTION("""COMPUTED_VALUE"""),"Girl Scouts")</f>
        <v>Girl Scouts</v>
      </c>
      <c r="B247" s="8" t="str">
        <f>IFERROR(__xludf.DUMMYFUNCTION("""COMPUTED_VALUE"""),"I will do my best to be honest and fair, friendly and helpful… and sell lots of cookies.")</f>
        <v>I will do my best to be honest and fair, friendly and helpful… and sell lots of cookies.</v>
      </c>
      <c r="C247" s="13" t="str">
        <f>IFERROR(__xludf.DUMMYFUNCTION("""COMPUTED_VALUE"""),"""f{im"":{""label"":""Girl Scouts"",""extra"":""I will do my best to be honest and fair, friendly and helpful… and sell lots of cookies."",""sets"":""Junior 9+ (2nd)""},")</f>
        <v>"f{im":{"label":"Girl Scouts","extra":"I will do my best to be honest and fair, friendly and helpful… and sell lots of cookies.","sets":"Junior 9+ (2nd)"},</v>
      </c>
    </row>
    <row r="248">
      <c r="A248" s="8" t="str">
        <f>IFERROR(__xludf.DUMMYFUNCTION("""COMPUTED_VALUE"""),"Girlfriends")</f>
        <v>Girlfriends</v>
      </c>
      <c r="B248" s="8" t="str">
        <f>IFERROR(__xludf.DUMMYFUNCTION("""COMPUTED_VALUE"""),"We're just friends!")</f>
        <v>We're just friends!</v>
      </c>
      <c r="C248" s="13" t="str">
        <f>IFERROR(__xludf.DUMMYFUNCTION("""COMPUTED_VALUE"""),"""dydi"":{""label"":""Girlfriends"",""extra"":""We're just friends!"",""sets"":""Junior 9+ (2nd)""},")</f>
        <v>"dydi":{"label":"Girlfriends","extra":"We're just friends!","sets":"Junior 9+ (2nd)"},</v>
      </c>
    </row>
    <row r="249">
      <c r="A249" s="8" t="str">
        <f>IFERROR(__xludf.DUMMYFUNCTION("""COMPUTED_VALUE"""),"Girls")</f>
        <v>Girls</v>
      </c>
      <c r="B249" s="8" t="str">
        <f>IFERROR(__xludf.DUMMYFUNCTION("""COMPUTED_VALUE"""),"“Sugar and spice and everything nice.”")</f>
        <v>“Sugar and spice and everything nice.”</v>
      </c>
      <c r="C249" s="13" t="str">
        <f>IFERROR(__xludf.DUMMYFUNCTION("""COMPUTED_VALUE"""),"""uodb"":{""label"":""Girls"",""extra"":""“Sugar and spice and everything nice.”"",""sets"":""Junior""},")</f>
        <v>"uodb":{"label":"Girls","extra":"“Sugar and spice and everything nice.”","sets":"Junior"},</v>
      </c>
    </row>
    <row r="250">
      <c r="A250" s="8" t="str">
        <f>IFERROR(__xludf.DUMMYFUNCTION("""COMPUTED_VALUE"""),"Glass")</f>
        <v>Glass</v>
      </c>
      <c r="B250" s="8" t="str">
        <f>IFERROR(__xludf.DUMMYFUNCTION("""COMPUTED_VALUE"""),"Glass is made by melting sand with potash or other chemicals.")</f>
        <v>Glass is made by melting sand with potash or other chemicals.</v>
      </c>
      <c r="C250" s="13" t="str">
        <f>IFERROR(__xludf.DUMMYFUNCTION("""COMPUTED_VALUE"""),"""jwlu"":{""label"":""Glass"",""extra"":""Glass is made by melting sand with potash or other chemicals."",""sets"":""Junior 9+ (1st) &amp; (2nd)""},")</f>
        <v>"jwlu":{"label":"Glass","extra":"Glass is made by melting sand with potash or other chemicals.","sets":"Junior 9+ (1st) &amp; (2nd)"},</v>
      </c>
    </row>
    <row r="251">
      <c r="A251" s="8" t="str">
        <f>IFERROR(__xludf.DUMMYFUNCTION("""COMPUTED_VALUE"""),"Globes")</f>
        <v>Globes</v>
      </c>
      <c r="B251" s="8" t="str">
        <f>IFERROR(__xludf.DUMMYFUNCTION("""COMPUTED_VALUE"""),"The world at your fingertips.")</f>
        <v>The world at your fingertips.</v>
      </c>
      <c r="C251" s="13" t="str">
        <f>IFERROR(__xludf.DUMMYFUNCTION("""COMPUTED_VALUE"""),"""ulwm"":{""label"":""Globes"",""extra"":""The world at your fingertips."",""sets"":""Junior 9+ (2nd)""},")</f>
        <v>"ulwm":{"label":"Globes","extra":"The world at your fingertips.","sets":"Junior 9+ (2nd)"},</v>
      </c>
    </row>
    <row r="252">
      <c r="A252" s="8" t="str">
        <f>IFERROR(__xludf.DUMMYFUNCTION("""COMPUTED_VALUE"""),"Glue")</f>
        <v>Glue</v>
      </c>
      <c r="B252" s="8" t="str">
        <f>IFERROR(__xludf.DUMMYFUNCTION("""COMPUTED_VALUE"""),"Very sticky stuff!")</f>
        <v>Very sticky stuff!</v>
      </c>
      <c r="C252" s="13" t="str">
        <f>IFERROR(__xludf.DUMMYFUNCTION("""COMPUTED_VALUE"""),"""qovg"":{""label"":""Glue"",""extra"":""Very sticky stuff!"",""sets"":""Junior""},")</f>
        <v>"qovg":{"label":"Glue","extra":"Very sticky stuff!","sets":"Junior"},</v>
      </c>
    </row>
    <row r="253">
      <c r="A253" s="8" t="str">
        <f>IFERROR(__xludf.DUMMYFUNCTION("""COMPUTED_VALUE"""),"Goats")</f>
        <v>Goats</v>
      </c>
      <c r="B253" s="8" t="str">
        <f>IFERROR(__xludf.DUMMYFUNCTION("""COMPUTED_VALUE"""),"Goats have short horns and beards. They’ll eat anything.")</f>
        <v>Goats have short horns and beards. They’ll eat anything.</v>
      </c>
      <c r="C253" s="13" t="str">
        <f>IFERROR(__xludf.DUMMYFUNCTION("""COMPUTED_VALUE"""),"""ueim"":{""label"":""Goats"",""extra"":""Goats have short horns and beards. They’ll eat anything."",""sets"":""Junior 9+ (1st) &amp; (2nd)""},")</f>
        <v>"ueim":{"label":"Goats","extra":"Goats have short horns and beards. They’ll eat anything.","sets":"Junior 9+ (1st) &amp; (2nd)"},</v>
      </c>
    </row>
    <row r="254">
      <c r="A254" s="8" t="str">
        <f>IFERROR(__xludf.DUMMYFUNCTION("""COMPUTED_VALUE"""),"Going On A Safari")</f>
        <v>Going On A Safari</v>
      </c>
      <c r="B254" s="8" t="str">
        <f>IFERROR(__xludf.DUMMYFUNCTION("""COMPUTED_VALUE"""),"Don’t feed the lions!")</f>
        <v>Don’t feed the lions!</v>
      </c>
      <c r="C254" s="13" t="str">
        <f>IFERROR(__xludf.DUMMYFUNCTION("""COMPUTED_VALUE"""),"""yjoc"":{""label"":""Going On A Safari"",""extra"":""Don’t feed the lions!"",""sets"":""Junior 9+ (2nd)""},")</f>
        <v>"yjoc":{"label":"Going On A Safari","extra":"Don’t feed the lions!","sets":"Junior 9+ (2nd)"},</v>
      </c>
    </row>
    <row r="255">
      <c r="A255" s="8" t="str">
        <f>IFERROR(__xludf.DUMMYFUNCTION("""COMPUTED_VALUE"""),"Going On Vacation")</f>
        <v>Going On Vacation</v>
      </c>
      <c r="B255" s="8" t="str">
        <f>IFERROR(__xludf.DUMMYFUNCTION("""COMPUTED_VALUE"""),"Pack your bags!")</f>
        <v>Pack your bags!</v>
      </c>
      <c r="C255" s="13" t="str">
        <f>IFERROR(__xludf.DUMMYFUNCTION("""COMPUTED_VALUE"""),"""bstc"":{""label"":""Going On Vacation"",""extra"":""Pack your bags!"",""sets"":""Junior 9+ (2nd)""},")</f>
        <v>"bstc":{"label":"Going On Vacation","extra":"Pack your bags!","sets":"Junior 9+ (2nd)"},</v>
      </c>
    </row>
    <row r="256">
      <c r="A256" s="8" t="str">
        <f>IFERROR(__xludf.DUMMYFUNCTION("""COMPUTED_VALUE"""),"Going To A Movie")</f>
        <v>Going To A Movie</v>
      </c>
      <c r="B256" s="8" t="str">
        <f>IFERROR(__xludf.DUMMYFUNCTION("""COMPUTED_VALUE"""),"Get some popcorn and watch the show.")</f>
        <v>Get some popcorn and watch the show.</v>
      </c>
      <c r="C256" s="13" t="str">
        <f>IFERROR(__xludf.DUMMYFUNCTION("""COMPUTED_VALUE"""),"""uvdt"":{""label"":""Going To A Movie"",""extra"":""Get some popcorn and watch the show."",""sets"":""Junior""},")</f>
        <v>"uvdt":{"label":"Going To A Movie","extra":"Get some popcorn and watch the show.","sets":"Junior"},</v>
      </c>
    </row>
    <row r="257">
      <c r="A257" s="8" t="str">
        <f>IFERROR(__xludf.DUMMYFUNCTION("""COMPUTED_VALUE"""),"Going To School")</f>
        <v>Going To School</v>
      </c>
      <c r="B257" s="8" t="str">
        <f>IFERROR(__xludf.DUMMYFUNCTION("""COMPUTED_VALUE"""),"The easiest way to get an education.")</f>
        <v>The easiest way to get an education.</v>
      </c>
      <c r="C257" s="13" t="str">
        <f>IFERROR(__xludf.DUMMYFUNCTION("""COMPUTED_VALUE"""),"""fofb"":{""label"":""Going To School"",""extra"":""The easiest way to get an education."",""sets"":""Junior 9+ (1st) &amp; (2nd)""},")</f>
        <v>"fofb":{"label":"Going To School","extra":"The easiest way to get an education.","sets":"Junior 9+ (1st) &amp; (2nd)"},</v>
      </c>
    </row>
    <row r="258">
      <c r="A258" s="8" t="str">
        <f>IFERROR(__xludf.DUMMYFUNCTION("""COMPUTED_VALUE"""),"Going To The Dentist")</f>
        <v>Going To The Dentist</v>
      </c>
      <c r="B258" s="8" t="str">
        <f>IFERROR(__xludf.DUMMYFUNCTION("""COMPUTED_VALUE"""),"Have you brushed your teeth today?")</f>
        <v>Have you brushed your teeth today?</v>
      </c>
      <c r="C258" s="13" t="str">
        <f>IFERROR(__xludf.DUMMYFUNCTION("""COMPUTED_VALUE"""),"""nbqe"":{""label"":""Going To The Dentist"",""extra"":""Have you brushed your teeth today?"",""sets"":""Junior""},")</f>
        <v>"nbqe":{"label":"Going To The Dentist","extra":"Have you brushed your teeth today?","sets":"Junior"},</v>
      </c>
    </row>
    <row r="259">
      <c r="A259" s="8" t="str">
        <f>IFERROR(__xludf.DUMMYFUNCTION("""COMPUTED_VALUE"""),"Gold")</f>
        <v>Gold</v>
      </c>
      <c r="B259" s="8" t="str">
        <f>IFERROR(__xludf.DUMMYFUNCTION("""COMPUTED_VALUE"""),"Rare yellow metal used to make coins and jewelry.")</f>
        <v>Rare yellow metal used to make coins and jewelry.</v>
      </c>
      <c r="C259" s="13" t="str">
        <f>IFERROR(__xludf.DUMMYFUNCTION("""COMPUTED_VALUE"""),"""pvwx"":{""label"":""Gold"",""extra"":""Rare yellow metal used to make coins and jewelry."",""sets"":""Junior""},")</f>
        <v>"pvwx":{"label":"Gold","extra":"Rare yellow metal used to make coins and jewelry.","sets":"Junior"},</v>
      </c>
    </row>
    <row r="260">
      <c r="A260" s="8" t="str">
        <f>IFERROR(__xludf.DUMMYFUNCTION("""COMPUTED_VALUE"""),"Goldfish")</f>
        <v>Goldfish</v>
      </c>
      <c r="B260" s="8" t="str">
        <f>IFERROR(__xludf.DUMMYFUNCTION("""COMPUTED_VALUE"""),"Little orange fish that you can keep as pets.")</f>
        <v>Little orange fish that you can keep as pets.</v>
      </c>
      <c r="C260" s="13" t="str">
        <f>IFERROR(__xludf.DUMMYFUNCTION("""COMPUTED_VALUE"""),"""bmgl"":{""label"":""Goldfish"",""extra"":""Little orange fish that you can keep as pets."",""sets"":""Junior""},")</f>
        <v>"bmgl":{"label":"Goldfish","extra":"Little orange fish that you can keep as pets.","sets":"Junior"},</v>
      </c>
    </row>
    <row r="261">
      <c r="A261" s="8" t="str">
        <f>IFERROR(__xludf.DUMMYFUNCTION("""COMPUTED_VALUE"""),"Gorillas")</f>
        <v>Gorillas</v>
      </c>
      <c r="B261" s="8" t="str">
        <f>IFERROR(__xludf.DUMMYFUNCTION("""COMPUTED_VALUE"""),"Large, strong primates. Gorillas come from Africa.")</f>
        <v>Large, strong primates. Gorillas come from Africa.</v>
      </c>
      <c r="C261" s="13" t="str">
        <f>IFERROR(__xludf.DUMMYFUNCTION("""COMPUTED_VALUE"""),"""zvyx"":{""label"":""Gorillas"",""extra"":""Large, strong primates. Gorillas come from Africa."",""sets"":""Junior 9+ (1st) &amp; (2nd)""},")</f>
        <v>"zvyx":{"label":"Gorillas","extra":"Large, strong primates. Gorillas come from Africa.","sets":"Junior 9+ (1st) &amp; (2nd)"},</v>
      </c>
    </row>
    <row r="262">
      <c r="A262" s="8" t="str">
        <f>IFERROR(__xludf.DUMMYFUNCTION("""COMPUTED_VALUE"""),"Grape Jelly")</f>
        <v>Grape Jelly</v>
      </c>
      <c r="B262" s="8" t="str">
        <f>IFERROR(__xludf.DUMMYFUNCTION("""COMPUTED_VALUE"""),"It’s perfect for peanut butter and jelly sandwiches.")</f>
        <v>It’s perfect for peanut butter and jelly sandwiches.</v>
      </c>
      <c r="C262" s="13" t="str">
        <f>IFERROR(__xludf.DUMMYFUNCTION("""COMPUTED_VALUE"""),"""cxct"":{""label"":""Grape Jelly"",""extra"":""It’s perfect for peanut butter and jelly sandwiches."",""sets"":""Junior 9+ (1st) &amp; (2nd)""},")</f>
        <v>"cxct":{"label":"Grape Jelly","extra":"It’s perfect for peanut butter and jelly sandwiches.","sets":"Junior 9+ (1st) &amp; (2nd)"},</v>
      </c>
    </row>
    <row r="263">
      <c r="A263" s="8" t="str">
        <f>IFERROR(__xludf.DUMMYFUNCTION("""COMPUTED_VALUE"""),"Grapefruit")</f>
        <v>Grapefruit</v>
      </c>
      <c r="B263" s="8" t="str">
        <f>IFERROR(__xludf.DUMMYFUNCTION("""COMPUTED_VALUE"""),"Not a grape, but it is a fruit.")</f>
        <v>Not a grape, but it is a fruit.</v>
      </c>
      <c r="C263" s="13" t="str">
        <f>IFERROR(__xludf.DUMMYFUNCTION("""COMPUTED_VALUE"""),"""zgnj"":{""label"":""Grapefruit"",""extra"":""Not a grape, but it is a fruit."",""sets"":""Junior 9+ (2nd)""},")</f>
        <v>"zgnj":{"label":"Grapefruit","extra":"Not a grape, but it is a fruit.","sets":"Junior 9+ (2nd)"},</v>
      </c>
    </row>
    <row r="264">
      <c r="A264" s="8" t="str">
        <f>IFERROR(__xludf.DUMMYFUNCTION("""COMPUTED_VALUE"""),"Grapes")</f>
        <v>Grapes</v>
      </c>
      <c r="B264" s="8" t="str">
        <f>IFERROR(__xludf.DUMMYFUNCTION("""COMPUTED_VALUE"""),"Small round fruit that grows in bunches, usually purple, red or green. They make good snacks!")</f>
        <v>Small round fruit that grows in bunches, usually purple, red or green. They make good snacks!</v>
      </c>
      <c r="C264" s="13" t="str">
        <f>IFERROR(__xludf.DUMMYFUNCTION("""COMPUTED_VALUE"""),"""ilun"":{""label"":""Grapes"",""extra"":""Small round fruit that grows in bunches, usually purple, red or green. They make good snacks!"",""sets"":""Junior""},")</f>
        <v>"ilun":{"label":"Grapes","extra":"Small round fruit that grows in bunches, usually purple, red or green. They make good snacks!","sets":"Junior"},</v>
      </c>
    </row>
    <row r="265">
      <c r="A265" s="8" t="str">
        <f>IFERROR(__xludf.DUMMYFUNCTION("""COMPUTED_VALUE"""),"Grassy Hill")</f>
        <v>Grassy Hill</v>
      </c>
      <c r="B265" s="8" t="str">
        <f>IFERROR(__xludf.DUMMYFUNCTION("""COMPUTED_VALUE"""),"Good for rolling down, flying kites, and playing games.")</f>
        <v>Good for rolling down, flying kites, and playing games.</v>
      </c>
      <c r="C265" s="13" t="str">
        <f>IFERROR(__xludf.DUMMYFUNCTION("""COMPUTED_VALUE"""),"""judl"":{""label"":""Grassy Hill"",""extra"":""Good for rolling down, flying kites, and playing games."",""sets"":""Junior""},")</f>
        <v>"judl":{"label":"Grassy Hill","extra":"Good for rolling down, flying kites, and playing games.","sets":"Junior"},</v>
      </c>
    </row>
    <row r="266">
      <c r="A266" s="8" t="str">
        <f>IFERROR(__xludf.DUMMYFUNCTION("""COMPUTED_VALUE"""),"Gravy")</f>
        <v>Gravy</v>
      </c>
      <c r="B266" s="8" t="str">
        <f>IFERROR(__xludf.DUMMYFUNCTION("""COMPUTED_VALUE"""),"Sauce made from meat juices. Got to have it on mashed potatoes.")</f>
        <v>Sauce made from meat juices. Got to have it on mashed potatoes.</v>
      </c>
      <c r="C266" s="13" t="str">
        <f>IFERROR(__xludf.DUMMYFUNCTION("""COMPUTED_VALUE"""),"""wgfd"":{""label"":""Gravy"",""extra"":""Sauce made from meat juices. Got to have it on mashed potatoes."",""sets"":""Junior 9+ (1st) &amp; (2nd)""},")</f>
        <v>"wgfd":{"label":"Gravy","extra":"Sauce made from meat juices. Got to have it on mashed potatoes.","sets":"Junior 9+ (1st) &amp; (2nd)"},</v>
      </c>
    </row>
    <row r="267">
      <c r="A267" s="8" t="str">
        <f>IFERROR(__xludf.DUMMYFUNCTION("""COMPUTED_VALUE"""),"Green Beans")</f>
        <v>Green Beans</v>
      </c>
      <c r="B267" s="8" t="str">
        <f>IFERROR(__xludf.DUMMYFUNCTION("""COMPUTED_VALUE"""),"Long, thin beans that you can eat raw or cooked.")</f>
        <v>Long, thin beans that you can eat raw or cooked.</v>
      </c>
      <c r="C267" s="13" t="str">
        <f>IFERROR(__xludf.DUMMYFUNCTION("""COMPUTED_VALUE"""),"""{wvk"":{""label"":""Green Beans"",""extra"":""Long, thin beans that you can eat raw or cooked."",""sets"":""Junior 9+ (1st) &amp; (2nd)""},")</f>
        <v>"{wvk":{"label":"Green Beans","extra":"Long, thin beans that you can eat raw or cooked.","sets":"Junior 9+ (1st) &amp; (2nd)"},</v>
      </c>
    </row>
    <row r="268">
      <c r="A268" s="8" t="str">
        <f>IFERROR(__xludf.DUMMYFUNCTION("""COMPUTED_VALUE"""),"Grocery Stores")</f>
        <v>Grocery Stores</v>
      </c>
      <c r="B268" s="8" t="str">
        <f>IFERROR(__xludf.DUMMYFUNCTION("""COMPUTED_VALUE"""),"Good places to buy food, supplies and candy!")</f>
        <v>Good places to buy food, supplies and candy!</v>
      </c>
      <c r="C268" s="13" t="str">
        <f>IFERROR(__xludf.DUMMYFUNCTION("""COMPUTED_VALUE"""),"""qddc"":{""label"":""Grocery Stores"",""extra"":""Good places to buy food, supplies and candy!"",""sets"":""Junior""},")</f>
        <v>"qddc":{"label":"Grocery Stores","extra":"Good places to buy food, supplies and candy!","sets":"Junior"},</v>
      </c>
    </row>
    <row r="269">
      <c r="A269" s="8" t="str">
        <f>IFERROR(__xludf.DUMMYFUNCTION("""COMPUTED_VALUE"""),"Guitars")</f>
        <v>Guitars</v>
      </c>
      <c r="B269" s="8" t="str">
        <f>IFERROR(__xludf.DUMMYFUNCTION("""COMPUTED_VALUE"""),"ROCK AND ROLL!")</f>
        <v>ROCK AND ROLL!</v>
      </c>
      <c r="C269" s="13" t="str">
        <f>IFERROR(__xludf.DUMMYFUNCTION("""COMPUTED_VALUE"""),"""mveq"":{""label"":""Guitars"",""extra"":""ROCK AND ROLL!"",""sets"":""Junior 9+ (2nd)""},")</f>
        <v>"mveq":{"label":"Guitars","extra":"ROCK AND ROLL!","sets":"Junior 9+ (2nd)"},</v>
      </c>
    </row>
    <row r="270">
      <c r="A270" s="8" t="str">
        <f>IFERROR(__xludf.DUMMYFUNCTION("""COMPUTED_VALUE"""),"Gummi Bears")</f>
        <v>Gummi Bears</v>
      </c>
      <c r="B270" s="8" t="str">
        <f>IFERROR(__xludf.DUMMYFUNCTION("""COMPUTED_VALUE"""),"Little rubbery candies shaped like bears.")</f>
        <v>Little rubbery candies shaped like bears.</v>
      </c>
      <c r="C270" s="13" t="str">
        <f>IFERROR(__xludf.DUMMYFUNCTION("""COMPUTED_VALUE"""),"""rrak"":{""label"":""Gummi Bears"",""extra"":""Little rubbery candies shaped like bears."",""sets"":""Junior""},")</f>
        <v>"rrak":{"label":"Gummi Bears","extra":"Little rubbery candies shaped like bears.","sets":"Junior"},</v>
      </c>
    </row>
    <row r="271">
      <c r="A271" s="8" t="str">
        <f>IFERROR(__xludf.DUMMYFUNCTION("""COMPUTED_VALUE"""),"Gymnastics")</f>
        <v>Gymnastics</v>
      </c>
      <c r="B271" s="8" t="str">
        <f>IFERROR(__xludf.DUMMYFUNCTION("""COMPUTED_VALUE"""),"Tucks, vaults and handsprings—it's harder than it looks.")</f>
        <v>Tucks, vaults and handsprings—it's harder than it looks.</v>
      </c>
      <c r="C271" s="13" t="str">
        <f>IFERROR(__xludf.DUMMYFUNCTION("""COMPUTED_VALUE"""),"""ockd"":{""label"":""Gymnastics"",""extra"":""Tucks, vaults and handsprings—it's harder than it looks."",""sets"":""Junior 9+ (2nd)""},")</f>
        <v>"ockd":{"label":"Gymnastics","extra":"Tucks, vaults and handsprings—it's harder than it looks.","sets":"Junior 9+ (2nd)"},</v>
      </c>
    </row>
    <row r="272">
      <c r="A272" s="8" t="str">
        <f>IFERROR(__xludf.DUMMYFUNCTION("""COMPUTED_VALUE"""),"Halloween")</f>
        <v>Halloween</v>
      </c>
      <c r="B272" s="8" t="str">
        <f>IFERROR(__xludf.DUMMYFUNCTION("""COMPUTED_VALUE"""),"The October 31st celebration featuring costumes, treats, and other spooky stuff.")</f>
        <v>The October 31st celebration featuring costumes, treats, and other spooky stuff.</v>
      </c>
      <c r="C272" s="13" t="str">
        <f>IFERROR(__xludf.DUMMYFUNCTION("""COMPUTED_VALUE"""),"""dyru"":{""label"":""Halloween"",""extra"":""The October 31st celebration featuring costumes, treats, and other spooky stuff."",""sets"":""Junior 9+ (2nd)""},")</f>
        <v>"dyru":{"label":"Halloween","extra":"The October 31st celebration featuring costumes, treats, and other spooky stuff.","sets":"Junior 9+ (2nd)"},</v>
      </c>
    </row>
    <row r="273">
      <c r="A273" s="8" t="str">
        <f>IFERROR(__xludf.DUMMYFUNCTION("""COMPUTED_VALUE"""),"Ham Sandwhich")</f>
        <v>Ham Sandwhich</v>
      </c>
      <c r="B273" s="8" t="str">
        <f>IFERROR(__xludf.DUMMYFUNCTION("""COMPUTED_VALUE"""),"Ham is pork. Pork is pig. It’s a pig sandwich!")</f>
        <v>Ham is pork. Pork is pig. It’s a pig sandwich!</v>
      </c>
      <c r="C273" s="13" t="str">
        <f>IFERROR(__xludf.DUMMYFUNCTION("""COMPUTED_VALUE"""),"""lbgy"":{""label"":""Ham Sandwhich"",""extra"":""Ham is pork. Pork is pig. It’s a pig sandwich!"",""sets"":""Junior 9+ (2nd)""},")</f>
        <v>"lbgy":{"label":"Ham Sandwhich","extra":"Ham is pork. Pork is pig. It’s a pig sandwich!","sets":"Junior 9+ (2nd)"},</v>
      </c>
    </row>
    <row r="274">
      <c r="A274" s="8" t="str">
        <f>IFERROR(__xludf.DUMMYFUNCTION("""COMPUTED_VALUE"""),"Hamburgers")</f>
        <v>Hamburgers</v>
      </c>
      <c r="B274" s="8" t="str">
        <f>IFERROR(__xludf.DUMMYFUNCTION("""COMPUTED_VALUE"""),"Do you want fries with that?")</f>
        <v>Do you want fries with that?</v>
      </c>
      <c r="C274" s="13" t="str">
        <f>IFERROR(__xludf.DUMMYFUNCTION("""COMPUTED_VALUE"""),"""bedv"":{""label"":""Hamburgers"",""extra"":""Do you want fries with that?"",""sets"":""Junior 9+ (1st) &amp; (2nd)""},")</f>
        <v>"bedv":{"label":"Hamburgers","extra":"Do you want fries with that?","sets":"Junior 9+ (1st) &amp; (2nd)"},</v>
      </c>
    </row>
    <row r="275">
      <c r="A275" s="8" t="str">
        <f>IFERROR(__xludf.DUMMYFUNCTION("""COMPUTED_VALUE"""),"Hammerhead Sharks")</f>
        <v>Hammerhead Sharks</v>
      </c>
      <c r="B275" s="8" t="str">
        <f>IFERROR(__xludf.DUMMYFUNCTION("""COMPUTED_VALUE"""),"The name for these sharks comes from the unusual shape of their heads.")</f>
        <v>The name for these sharks comes from the unusual shape of their heads.</v>
      </c>
      <c r="C275" s="13" t="str">
        <f>IFERROR(__xludf.DUMMYFUNCTION("""COMPUTED_VALUE"""),"""wckm"":{""label"":""Hammerhead Sharks"",""extra"":""The name for these sharks comes from the unusual shape of their heads."",""sets"":""Junior 9+ (2nd)""},")</f>
        <v>"wckm":{"label":"Hammerhead Sharks","extra":"The name for these sharks comes from the unusual shape of their heads.","sets":"Junior 9+ (2nd)"},</v>
      </c>
    </row>
    <row r="276">
      <c r="A276" s="8" t="str">
        <f>IFERROR(__xludf.DUMMYFUNCTION("""COMPUTED_VALUE"""),"Hammers")</f>
        <v>Hammers</v>
      </c>
      <c r="B276" s="8" t="str">
        <f>IFERROR(__xludf.DUMMYFUNCTION("""COMPUTED_VALUE"""),"“I’d rather be a hammer than a nail.”")</f>
        <v>“I’d rather be a hammer than a nail.”</v>
      </c>
      <c r="C276" s="13" t="str">
        <f>IFERROR(__xludf.DUMMYFUNCTION("""COMPUTED_VALUE"""),"""pcff"":{""label"":""Hammers"",""extra"":""“I’d rather be a hammer than a nail.”"",""sets"":""Junior 9+ (1st) &amp; (2nd)""},")</f>
        <v>"pcff":{"label":"Hammers","extra":"“I’d rather be a hammer than a nail.”","sets":"Junior 9+ (1st) &amp; (2nd)"},</v>
      </c>
    </row>
    <row r="277">
      <c r="A277" s="8" t="str">
        <f>IFERROR(__xludf.DUMMYFUNCTION("""COMPUTED_VALUE"""),"Hamsters")</f>
        <v>Hamsters</v>
      </c>
      <c r="B277" s="8" t="str">
        <f>IFERROR(__xludf.DUMMYFUNCTION("""COMPUTED_VALUE"""),"These little rodents store food in their cheeks.")</f>
        <v>These little rodents store food in their cheeks.</v>
      </c>
      <c r="C277" s="13" t="str">
        <f>IFERROR(__xludf.DUMMYFUNCTION("""COMPUTED_VALUE"""),"""fnel"":{""label"":""Hamsters"",""extra"":""These little rodents store food in their cheeks."",""sets"":""Junior 9+ (2nd)""},")</f>
        <v>"fnel":{"label":"Hamsters","extra":"These little rodents store food in their cheeks.","sets":"Junior 9+ (2nd)"},</v>
      </c>
    </row>
    <row r="278">
      <c r="A278" s="8" t="str">
        <f>IFERROR(__xludf.DUMMYFUNCTION("""COMPUTED_VALUE"""),"Hanukkah")</f>
        <v>Hanukkah</v>
      </c>
      <c r="B278" s="8" t="str">
        <f>IFERROR(__xludf.DUMMYFUNCTION("""COMPUTED_VALUE"""),"An eight day long Jewish celebration that usually occurs in December.")</f>
        <v>An eight day long Jewish celebration that usually occurs in December.</v>
      </c>
      <c r="C278" s="13" t="str">
        <f>IFERROR(__xludf.DUMMYFUNCTION("""COMPUTED_VALUE"""),"""nvkg"":{""label"":""Hanukkah"",""extra"":""An eight day long Jewish celebration that usually occurs in December."",""sets"":""Junior""},")</f>
        <v>"nvkg":{"label":"Hanukkah","extra":"An eight day long Jewish celebration that usually occurs in December.","sets":"Junior"},</v>
      </c>
    </row>
    <row r="279">
      <c r="A279" s="8" t="str">
        <f>IFERROR(__xludf.DUMMYFUNCTION("""COMPUTED_VALUE"""),"Harry Potter")</f>
        <v>Harry Potter</v>
      </c>
      <c r="B279" s="8" t="str">
        <f>IFERROR(__xludf.DUMMYFUNCTION("""COMPUTED_VALUE"""),"The hero in a series of books by J.K. Rowling featuring wizards and muggles.")</f>
        <v>The hero in a series of books by J.K. Rowling featuring wizards and muggles.</v>
      </c>
      <c r="C279" s="13" t="str">
        <f>IFERROR(__xludf.DUMMYFUNCTION("""COMPUTED_VALUE"""),"""yajt"":{""label"":""Harry Potter"",""extra"":""The hero in a series of books by J.K. Rowling featuring wizards and muggles."",""sets"":""Junior 9+ (1st) &amp; (2nd)""},")</f>
        <v>"yajt":{"label":"Harry Potter","extra":"The hero in a series of books by J.K. Rowling featuring wizards and muggles.","sets":"Junior 9+ (1st) &amp; (2nd)"},</v>
      </c>
    </row>
    <row r="280">
      <c r="A280" s="8" t="str">
        <f>IFERROR(__xludf.DUMMYFUNCTION("""COMPUTED_VALUE"""),"Haunted House")</f>
        <v>Haunted House</v>
      </c>
      <c r="B280" s="8" t="str">
        <f>IFERROR(__xludf.DUMMYFUNCTION("""COMPUTED_VALUE"""),"If there’s a ghost—it's haunted!")</f>
        <v>If there’s a ghost—it's haunted!</v>
      </c>
      <c r="C280" s="13" t="str">
        <f>IFERROR(__xludf.DUMMYFUNCTION("""COMPUTED_VALUE"""),"""stgz"":{""label"":""Haunted House"",""extra"":""If there’s a ghost—it's haunted!"",""sets"":""Junior 9+ (2nd)""},")</f>
        <v>"stgz":{"label":"Haunted House","extra":"If there’s a ghost—it's haunted!","sets":"Junior 9+ (2nd)"},</v>
      </c>
    </row>
    <row r="281">
      <c r="A281" s="8" t="str">
        <f>IFERROR(__xludf.DUMMYFUNCTION("""COMPUTED_VALUE"""),"Having A Party")</f>
        <v>Having A Party</v>
      </c>
      <c r="B281" s="8" t="str">
        <f>IFERROR(__xludf.DUMMYFUNCTION("""COMPUTED_VALUE"""),"Invitations, snacks, games, music… it’s a party!")</f>
        <v>Invitations, snacks, games, music… it’s a party!</v>
      </c>
      <c r="C281" s="13" t="str">
        <f>IFERROR(__xludf.DUMMYFUNCTION("""COMPUTED_VALUE"""),"""qtbx"":{""label"":""Having A Party"",""extra"":""Invitations, snacks, games, music… it’s a party!"",""sets"":""Junior 9+ (2nd)""},")</f>
        <v>"qtbx":{"label":"Having A Party","extra":"Invitations, snacks, games, music… it’s a party!","sets":"Junior 9+ (2nd)"},</v>
      </c>
    </row>
    <row r="282">
      <c r="A282" s="8" t="str">
        <f>IFERROR(__xludf.DUMMYFUNCTION("""COMPUTED_VALUE"""),"Helicopters")</f>
        <v>Helicopters</v>
      </c>
      <c r="B282" s="8" t="str">
        <f>IFERROR(__xludf.DUMMYFUNCTION("""COMPUTED_VALUE"""),"The spinning blades keep the helicopter in the air… somehow.")</f>
        <v>The spinning blades keep the helicopter in the air… somehow.</v>
      </c>
      <c r="C282" s="13" t="str">
        <f>IFERROR(__xludf.DUMMYFUNCTION("""COMPUTED_VALUE"""),"""gpvu"":{""label"":""Helicopters"",""extra"":""The spinning blades keep the helicopter in the air… somehow."",""sets"":""Junior 9+ (2nd)""},")</f>
        <v>"gpvu":{"label":"Helicopters","extra":"The spinning blades keep the helicopter in the air… somehow.","sets":"Junior 9+ (2nd)"},</v>
      </c>
    </row>
    <row r="283">
      <c r="A283" s="8" t="str">
        <f>IFERROR(__xludf.DUMMYFUNCTION("""COMPUTED_VALUE"""),"Hiding Places")</f>
        <v>Hiding Places</v>
      </c>
      <c r="B283" s="8" t="str">
        <f>IFERROR(__xludf.DUMMYFUNCTION("""COMPUTED_VALUE"""),"It’s a secret.")</f>
        <v>It’s a secret.</v>
      </c>
      <c r="C283" s="13" t="str">
        <f>IFERROR(__xludf.DUMMYFUNCTION("""COMPUTED_VALUE"""),"""xvul"":{""label"":""Hiding Places"",""extra"":""It’s a secret."",""sets"":""Junior 9+ (1st) &amp; (2nd)""},")</f>
        <v>"xvul":{"label":"Hiding Places","extra":"It’s a secret.","sets":"Junior 9+ (1st) &amp; (2nd)"},</v>
      </c>
    </row>
    <row r="284">
      <c r="A284" s="8" t="str">
        <f>IFERROR(__xludf.DUMMYFUNCTION("""COMPUTED_VALUE"""),"High Heels")</f>
        <v>High Heels</v>
      </c>
      <c r="B284" s="8" t="str">
        <f>IFERROR(__xludf.DUMMYFUNCTION("""COMPUTED_VALUE"""),"No running.")</f>
        <v>No running.</v>
      </c>
      <c r="C284" s="13" t="str">
        <f>IFERROR(__xludf.DUMMYFUNCTION("""COMPUTED_VALUE"""),"""twst"":{""label"":""High Heels"",""extra"":""No running."",""sets"":""Junior 9+ (2nd)""},")</f>
        <v>"twst":{"label":"High Heels","extra":"No running.","sets":"Junior 9+ (2nd)"},</v>
      </c>
    </row>
    <row r="285">
      <c r="A285" s="8" t="str">
        <f>IFERROR(__xludf.DUMMYFUNCTION("""COMPUTED_VALUE"""),"High School")</f>
        <v>High School</v>
      </c>
      <c r="B285" s="8" t="str">
        <f>IFERROR(__xludf.DUMMYFUNCTION("""COMPUTED_VALUE"""),"Most students start high school when they are fourteen.")</f>
        <v>Most students start high school when they are fourteen.</v>
      </c>
      <c r="C285" s="13" t="str">
        <f>IFERROR(__xludf.DUMMYFUNCTION("""COMPUTED_VALUE"""),"""txhj"":{""label"":""High School"",""extra"":""Most students start high school when they are fourteen."",""sets"":""Junior 9+ (1st) &amp; (2nd)""},")</f>
        <v>"txhj":{"label":"High School","extra":"Most students start high school when they are fourteen.","sets":"Junior 9+ (1st) &amp; (2nd)"},</v>
      </c>
    </row>
    <row r="286">
      <c r="A286" s="8" t="str">
        <f>IFERROR(__xludf.DUMMYFUNCTION("""COMPUTED_VALUE"""),"Hiking In The Woods")</f>
        <v>Hiking In The Woods</v>
      </c>
      <c r="B286" s="8" t="str">
        <f>IFERROR(__xludf.DUMMYFUNCTION("""COMPUTED_VALUE"""),"It’s an adventure.")</f>
        <v>It’s an adventure.</v>
      </c>
      <c r="C286" s="13" t="str">
        <f>IFERROR(__xludf.DUMMYFUNCTION("""COMPUTED_VALUE"""),"""krlz"":{""label"":""Hiking In The Woods"",""extra"":""It’s an adventure."",""sets"":""Junior 9+ (1st) &amp; (2nd)""},")</f>
        <v>"krlz":{"label":"Hiking In The Woods","extra":"It’s an adventure.","sets":"Junior 9+ (1st) &amp; (2nd)"},</v>
      </c>
    </row>
    <row r="287">
      <c r="A287" s="8" t="str">
        <f>IFERROR(__xludf.DUMMYFUNCTION("""COMPUTED_VALUE"""),"Hippopotamus")</f>
        <v>Hippopotamus</v>
      </c>
      <c r="B287" s="8" t="str">
        <f>IFERROR(__xludf.DUMMYFUNCTION("""COMPUTED_VALUE"""),"Hippos are also called “river horses” and only eat plants.")</f>
        <v>Hippos are also called “river horses” and only eat plants.</v>
      </c>
      <c r="C287" s="13" t="str">
        <f>IFERROR(__xludf.DUMMYFUNCTION("""COMPUTED_VALUE"""),"""msuz"":{""label"":""Hippopotamus"",""extra"":""Hippos are also called “river horses” and only eat plants."",""sets"":""Junior 9+ (2nd)""},")</f>
        <v>"msuz":{"label":"Hippopotamus","extra":"Hippos are also called “river horses” and only eat plants.","sets":"Junior 9+ (2nd)"},</v>
      </c>
    </row>
    <row r="288">
      <c r="A288" s="8" t="str">
        <f>IFERROR(__xludf.DUMMYFUNCTION("""COMPUTED_VALUE"""),"Hitting A Home-Run")</f>
        <v>Hitting A Home-Run</v>
      </c>
      <c r="B288" s="8" t="str">
        <f>IFERROR(__xludf.DUMMYFUNCTION("""COMPUTED_VALUE"""),"Going… going… CRASH… through the neighbor’s window!")</f>
        <v>Going… going… CRASH… through the neighbor’s window!</v>
      </c>
      <c r="C288" s="13" t="str">
        <f>IFERROR(__xludf.DUMMYFUNCTION("""COMPUTED_VALUE"""),"""lneb"":{""label"":""Hitting A Home-Run"",""extra"":""Going… going… CRASH… through the neighbor’s window!"",""sets"":""Junior 9+ (2nd)""},")</f>
        <v>"lneb":{"label":"Hitting A Home-Run","extra":"Going… going… CRASH… through the neighbor’s window!","sets":"Junior 9+ (2nd)"},</v>
      </c>
    </row>
    <row r="289">
      <c r="A289" s="8" t="str">
        <f>IFERROR(__xludf.DUMMYFUNCTION("""COMPUTED_VALUE"""),"Hockey")</f>
        <v>Hockey</v>
      </c>
      <c r="B289" s="8" t="str">
        <f>IFERROR(__xludf.DUMMYFUNCTION("""COMPUTED_VALUE"""),"Skate! Pass! Score!")</f>
        <v>Skate! Pass! Score!</v>
      </c>
      <c r="C289" s="13" t="str">
        <f>IFERROR(__xludf.DUMMYFUNCTION("""COMPUTED_VALUE"""),"""dgjf"":{""label"":""Hockey"",""extra"":""Skate! Pass! Score!"",""sets"":""Junior 9+ (1st) &amp; (2nd)""},")</f>
        <v>"dgjf":{"label":"Hockey","extra":"Skate! Pass! Score!","sets":"Junior 9+ (1st) &amp; (2nd)"},</v>
      </c>
    </row>
    <row r="290">
      <c r="A290" s="8" t="str">
        <f>IFERROR(__xludf.DUMMYFUNCTION("""COMPUTED_VALUE"""),"Homework")</f>
        <v>Homework</v>
      </c>
      <c r="B290" s="8" t="str">
        <f>IFERROR(__xludf.DUMMYFUNCTION("""COMPUTED_VALUE"""),"Something to do during comercials.")</f>
        <v>Something to do during comercials.</v>
      </c>
      <c r="C290" s="13" t="str">
        <f>IFERROR(__xludf.DUMMYFUNCTION("""COMPUTED_VALUE"""),"""xhty"":{""label"":""Homework"",""extra"":""Something to do during comercials."",""sets"":""Junior""},")</f>
        <v>"xhty":{"label":"Homework","extra":"Something to do during comercials.","sets":"Junior"},</v>
      </c>
    </row>
    <row r="291">
      <c r="A291" s="8" t="str">
        <f>IFERROR(__xludf.DUMMYFUNCTION("""COMPUTED_VALUE"""),"Honey")</f>
        <v>Honey</v>
      </c>
      <c r="B291" s="8" t="str">
        <f>IFERROR(__xludf.DUMMYFUNCTION("""COMPUTED_VALUE"""),"A sweet, thick, gold liquid made by bees.")</f>
        <v>A sweet, thick, gold liquid made by bees.</v>
      </c>
      <c r="C291" s="13" t="str">
        <f>IFERROR(__xludf.DUMMYFUNCTION("""COMPUTED_VALUE"""),"""ktaf"":{""label"":""Honey"",""extra"":""A sweet, thick, gold liquid made by bees."",""sets"":""Junior 9+ (1st) &amp; (2nd)""},")</f>
        <v>"ktaf":{"label":"Honey","extra":"A sweet, thick, gold liquid made by bees.","sets":"Junior 9+ (1st) &amp; (2nd)"},</v>
      </c>
    </row>
    <row r="292">
      <c r="A292" s="8" t="str">
        <f>IFERROR(__xludf.DUMMYFUNCTION("""COMPUTED_VALUE"""),"Hopscotch")</f>
        <v>Hopscotch</v>
      </c>
      <c r="B292" s="8" t="str">
        <f>IFERROR(__xludf.DUMMYFUNCTION("""COMPUTED_VALUE"""),"All you need is a sidewalk, chalk, and a rock.")</f>
        <v>All you need is a sidewalk, chalk, and a rock.</v>
      </c>
      <c r="C292" s="13" t="str">
        <f>IFERROR(__xludf.DUMMYFUNCTION("""COMPUTED_VALUE"""),"""eezr"":{""label"":""Hopscotch"",""extra"":""All you need is a sidewalk, chalk, and a rock."",""sets"":""Junior 9+ (2nd)""},")</f>
        <v>"eezr":{"label":"Hopscotch","extra":"All you need is a sidewalk, chalk, and a rock.","sets":"Junior 9+ (2nd)"},</v>
      </c>
    </row>
    <row r="293">
      <c r="A293" s="8" t="str">
        <f>IFERROR(__xludf.DUMMYFUNCTION("""COMPUTED_VALUE"""),"Horses")</f>
        <v>Horses</v>
      </c>
      <c r="B293" s="8" t="str">
        <f>IFERROR(__xludf.DUMMYFUNCTION("""COMPUTED_VALUE"""),"Black Beauty, the Black Stallion, and Flicka are famous horses in literature.")</f>
        <v>Black Beauty, the Black Stallion, and Flicka are famous horses in literature.</v>
      </c>
      <c r="C293" s="13" t="str">
        <f>IFERROR(__xludf.DUMMYFUNCTION("""COMPUTED_VALUE"""),"""jzcd"":{""label"":""Horses"",""extra"":""Black Beauty, the Black Stallion, and Flicka are famous horses in literature."",""sets"":""Junior 9+ (1st) &amp; (2nd)""},")</f>
        <v>"jzcd":{"label":"Horses","extra":"Black Beauty, the Black Stallion, and Flicka are famous horses in literature.","sets":"Junior 9+ (1st) &amp; (2nd)"},</v>
      </c>
    </row>
    <row r="294">
      <c r="A294" s="8" t="str">
        <f>IFERROR(__xludf.DUMMYFUNCTION("""COMPUTED_VALUE"""),"Hospitals")</f>
        <v>Hospitals</v>
      </c>
      <c r="B294" s="8" t="str">
        <f>IFERROR(__xludf.DUMMYFUNCTION("""COMPUTED_VALUE"""),"The ambulance is the fastest way to get there.")</f>
        <v>The ambulance is the fastest way to get there.</v>
      </c>
      <c r="C294" s="13" t="str">
        <f>IFERROR(__xludf.DUMMYFUNCTION("""COMPUTED_VALUE"""),"""daqh"":{""label"":""Hospitals"",""extra"":""The ambulance is the fastest way to get there."",""sets"":""Junior 9+ (1st) &amp; (2nd)""},")</f>
        <v>"daqh":{"label":"Hospitals","extra":"The ambulance is the fastest way to get there.","sets":"Junior 9+ (1st) &amp; (2nd)"},</v>
      </c>
    </row>
    <row r="295">
      <c r="A295" s="8" t="str">
        <f>IFERROR(__xludf.DUMMYFUNCTION("""COMPUTED_VALUE"""),"Hot Chocolate")</f>
        <v>Hot Chocolate</v>
      </c>
      <c r="B295" s="8" t="str">
        <f>IFERROR(__xludf.DUMMYFUNCTION("""COMPUTED_VALUE"""),"A good drink on a cold day. Just add marshmallows!")</f>
        <v>A good drink on a cold day. Just add marshmallows!</v>
      </c>
      <c r="C295" s="13" t="str">
        <f>IFERROR(__xludf.DUMMYFUNCTION("""COMPUTED_VALUE"""),"""mkfh"":{""label"":""Hot Chocolate"",""extra"":""A good drink on a cold day. Just add marshmallows!"",""sets"":""Junior""},")</f>
        <v>"mkfh":{"label":"Hot Chocolate","extra":"A good drink on a cold day. Just add marshmallows!","sets":"Junior"},</v>
      </c>
    </row>
    <row r="296">
      <c r="A296" s="8" t="str">
        <f>IFERROR(__xludf.DUMMYFUNCTION("""COMPUTED_VALUE"""),"Hot Tubs")</f>
        <v>Hot Tubs</v>
      </c>
      <c r="B296" s="8" t="str">
        <f>IFERROR(__xludf.DUMMYFUNCTION("""COMPUTED_VALUE"""),"Of course it’s hot—it’s a hot tub!")</f>
        <v>Of course it’s hot—it’s a hot tub!</v>
      </c>
      <c r="C296" s="13" t="str">
        <f>IFERROR(__xludf.DUMMYFUNCTION("""COMPUTED_VALUE"""),"""lbzb"":{""label"":""Hot Tubs"",""extra"":""Of course it’s hot—it’s a hot tub!"",""sets"":""Junior 9+ (2nd)""},")</f>
        <v>"lbzb":{"label":"Hot Tubs","extra":"Of course it’s hot—it’s a hot tub!","sets":"Junior 9+ (2nd)"},</v>
      </c>
    </row>
    <row r="297">
      <c r="A297" s="8" t="str">
        <f>IFERROR(__xludf.DUMMYFUNCTION("""COMPUTED_VALUE"""),"Hot Wheels Cars")</f>
        <v>Hot Wheels Cars</v>
      </c>
      <c r="B297" s="8" t="str">
        <f>IFERROR(__xludf.DUMMYFUNCTION("""COMPUTED_VALUE"""),"Small, metal cars to play with and collect. They can go over 300 miles per hour downhill!")</f>
        <v>Small, metal cars to play with and collect. They can go over 300 miles per hour downhill!</v>
      </c>
      <c r="C297" s="13" t="str">
        <f>IFERROR(__xludf.DUMMYFUNCTION("""COMPUTED_VALUE"""),"""pqbe"":{""label"":""Hot Wheels Cars"",""extra"":""Small, metal cars to play with and collect. They can go over 300 miles per hour downhill!"",""sets"":""Junior""},")</f>
        <v>"pqbe":{"label":"Hot Wheels Cars","extra":"Small, metal cars to play with and collect. They can go over 300 miles per hour downhill!","sets":"Junior"},</v>
      </c>
    </row>
    <row r="298">
      <c r="A298" s="8" t="str">
        <f>IFERROR(__xludf.DUMMYFUNCTION("""COMPUTED_VALUE"""),"Hotdogs")</f>
        <v>Hotdogs</v>
      </c>
      <c r="B298" s="8" t="str">
        <f>IFERROR(__xludf.DUMMYFUNCTION("""COMPUTED_VALUE"""),"A sausage served at ballgames and cookouts. They are NOT made from dogs!")</f>
        <v>A sausage served at ballgames and cookouts. They are NOT made from dogs!</v>
      </c>
      <c r="C298" s="13" t="str">
        <f>IFERROR(__xludf.DUMMYFUNCTION("""COMPUTED_VALUE"""),"""dylg"":{""label"":""Hotdogs"",""extra"":""A sausage served at ballgames and cookouts. They are NOT made from dogs!"",""sets"":""Junior""},")</f>
        <v>"dylg":{"label":"Hotdogs","extra":"A sausage served at ballgames and cookouts. They are NOT made from dogs!","sets":"Junior"},</v>
      </c>
    </row>
    <row r="299">
      <c r="A299" s="8" t="str">
        <f>IFERROR(__xludf.DUMMYFUNCTION("""COMPUTED_VALUE"""),"Hugs")</f>
        <v>Hugs</v>
      </c>
      <c r="B299" s="8" t="str">
        <f>IFERROR(__xludf.DUMMYFUNCTION("""COMPUTED_VALUE"""),"There are bear hugs, Grandma hugs, friend hugs, and love hugs.")</f>
        <v>There are bear hugs, Grandma hugs, friend hugs, and love hugs.</v>
      </c>
      <c r="C299" s="13" t="str">
        <f>IFERROR(__xludf.DUMMYFUNCTION("""COMPUTED_VALUE"""),"""zhgl"":{""label"":""Hugs"",""extra"":""There are bear hugs, Grandma hugs, friend hugs, and love hugs."",""sets"":""Junior""},")</f>
        <v>"zhgl":{"label":"Hugs","extra":"There are bear hugs, Grandma hugs, friend hugs, and love hugs.","sets":"Junior"},</v>
      </c>
    </row>
    <row r="300">
      <c r="A300" s="8" t="str">
        <f>IFERROR(__xludf.DUMMYFUNCTION("""COMPUTED_VALUE"""),"Hunters")</f>
        <v>Hunters</v>
      </c>
      <c r="B300" s="8" t="str">
        <f>IFERROR(__xludf.DUMMYFUNCTION("""COMPUTED_VALUE"""),"Wolves, hawks, owls, and people all hunt for food.")</f>
        <v>Wolves, hawks, owls, and people all hunt for food.</v>
      </c>
      <c r="C300" s="13" t="str">
        <f>IFERROR(__xludf.DUMMYFUNCTION("""COMPUTED_VALUE"""),"""iqzy"":{""label"":""Hunters"",""extra"":""Wolves, hawks, owls, and people all hunt for food."",""sets"":""Junior 9+ (1st) &amp; (2nd)""},")</f>
        <v>"iqzy":{"label":"Hunters","extra":"Wolves, hawks, owls, and people all hunt for food.","sets":"Junior 9+ (1st) &amp; (2nd)"},</v>
      </c>
    </row>
    <row r="301">
      <c r="A301" s="8" t="str">
        <f>IFERROR(__xludf.DUMMYFUNCTION("""COMPUTED_VALUE"""),"Ice")</f>
        <v>Ice</v>
      </c>
      <c r="B301" s="8" t="str">
        <f>IFERROR(__xludf.DUMMYFUNCTION("""COMPUTED_VALUE"""),"Good for drinks in the summer and skating in the winter.")</f>
        <v>Good for drinks in the summer and skating in the winter.</v>
      </c>
      <c r="C301" s="13" t="str">
        <f>IFERROR(__xludf.DUMMYFUNCTION("""COMPUTED_VALUE"""),"""sarr"":{""label"":""Ice"",""extra"":""Good for drinks in the summer and skating in the winter."",""sets"":""Junior 9+ (1st) &amp; (2nd)""},")</f>
        <v>"sarr":{"label":"Ice","extra":"Good for drinks in the summer and skating in the winter.","sets":"Junior 9+ (1st) &amp; (2nd)"},</v>
      </c>
    </row>
    <row r="302">
      <c r="A302" s="8" t="str">
        <f>IFERROR(__xludf.DUMMYFUNCTION("""COMPUTED_VALUE"""),"Ice Cream")</f>
        <v>Ice Cream</v>
      </c>
      <c r="B302" s="8" t="str">
        <f>IFERROR(__xludf.DUMMYFUNCTION("""COMPUTED_VALUE"""),"“I scream, you scream, we all scream, for ice cream!”")</f>
        <v>“I scream, you scream, we all scream, for ice cream!”</v>
      </c>
      <c r="C302" s="13" t="str">
        <f>IFERROR(__xludf.DUMMYFUNCTION("""COMPUTED_VALUE"""),"""tbdy"":{""label"":""Ice Cream"",""extra"":""“I scream, you scream, we all scream, for ice cream!”"",""sets"":""Junior""},")</f>
        <v>"tbdy":{"label":"Ice Cream","extra":"“I scream, you scream, we all scream, for ice cream!”","sets":"Junior"},</v>
      </c>
    </row>
    <row r="303">
      <c r="A303" s="8" t="str">
        <f>IFERROR(__xludf.DUMMYFUNCTION("""COMPUTED_VALUE"""),"Ice Skating")</f>
        <v>Ice Skating</v>
      </c>
      <c r="B303" s="8" t="str">
        <f>IFERROR(__xludf.DUMMYFUNCTION("""COMPUTED_VALUE"""),"You can do fancy turns, have a race, go backwards, or just glide.")</f>
        <v>You can do fancy turns, have a race, go backwards, or just glide.</v>
      </c>
      <c r="C303" s="13" t="str">
        <f>IFERROR(__xludf.DUMMYFUNCTION("""COMPUTED_VALUE"""),"""ltbx"":{""label"":""Ice Skating"",""extra"":""You can do fancy turns, have a race, go backwards, or just glide."",""sets"":""Junior""},")</f>
        <v>"ltbx":{"label":"Ice Skating","extra":"You can do fancy turns, have a race, go backwards, or just glide.","sets":"Junior"},</v>
      </c>
    </row>
    <row r="304">
      <c r="A304" s="8" t="str">
        <f>IFERROR(__xludf.DUMMYFUNCTION("""COMPUTED_VALUE"""),"In The Attic")</f>
        <v>In The Attic</v>
      </c>
      <c r="B304" s="8" t="str">
        <f>IFERROR(__xludf.DUMMYFUNCTION("""COMPUTED_VALUE"""),"Old clothes, old toys, old furniture, and more old stuff.")</f>
        <v>Old clothes, old toys, old furniture, and more old stuff.</v>
      </c>
      <c r="C304" s="13" t="str">
        <f>IFERROR(__xludf.DUMMYFUNCTION("""COMPUTED_VALUE"""),"""ymvr"":{""label"":""In The Attic"",""extra"":""Old clothes, old toys, old furniture, and more old stuff."",""sets"":""Junior 9+ (2nd)""},")</f>
        <v>"ymvr":{"label":"In The Attic","extra":"Old clothes, old toys, old furniture, and more old stuff.","sets":"Junior 9+ (2nd)"},</v>
      </c>
    </row>
    <row r="305">
      <c r="A305" s="8" t="str">
        <f>IFERROR(__xludf.DUMMYFUNCTION("""COMPUTED_VALUE"""),"In The Basement")</f>
        <v>In The Basement</v>
      </c>
      <c r="B305" s="8" t="str">
        <f>IFERROR(__xludf.DUMMYFUNCTION("""COMPUTED_VALUE"""),"You never know what you will find down there.")</f>
        <v>You never know what you will find down there.</v>
      </c>
      <c r="C305" s="13" t="str">
        <f>IFERROR(__xludf.DUMMYFUNCTION("""COMPUTED_VALUE"""),"""vayp"":{""label"":""In The Basement"",""extra"":""You never know what you will find down there."",""sets"":""Junior""},")</f>
        <v>"vayp":{"label":"In The Basement","extra":"You never know what you will find down there.","sets":"Junior"},</v>
      </c>
    </row>
    <row r="306">
      <c r="A306" s="8" t="str">
        <f>IFERROR(__xludf.DUMMYFUNCTION("""COMPUTED_VALUE"""),"Inchworm")</f>
        <v>Inchworm</v>
      </c>
      <c r="B306" s="8" t="str">
        <f>IFERROR(__xludf.DUMMYFUNCTION("""COMPUTED_VALUE"""),"An inchworm is actually a small, hairless caterpillar.")</f>
        <v>An inchworm is actually a small, hairless caterpillar.</v>
      </c>
      <c r="C306" s="13" t="str">
        <f>IFERROR(__xludf.DUMMYFUNCTION("""COMPUTED_VALUE"""),"""pzhj"":{""label"":""Inchworm"",""extra"":""An inchworm is actually a small, hairless caterpillar."",""sets"":""Junior 9+ (2nd)""},")</f>
        <v>"pzhj":{"label":"Inchworm","extra":"An inchworm is actually a small, hairless caterpillar.","sets":"Junior 9+ (2nd)"},</v>
      </c>
    </row>
    <row r="307">
      <c r="A307" s="8" t="str">
        <f>IFERROR(__xludf.DUMMYFUNCTION("""COMPUTED_VALUE"""),"Itchy Clothes")</f>
        <v>Itchy Clothes</v>
      </c>
      <c r="B307" s="8" t="str">
        <f>IFERROR(__xludf.DUMMYFUNCTION("""COMPUTED_VALUE"""),"Rough, prickly, scratchy they’re awful!")</f>
        <v>Rough, prickly, scratchy they’re awful!</v>
      </c>
      <c r="C307" s="13" t="str">
        <f>IFERROR(__xludf.DUMMYFUNCTION("""COMPUTED_VALUE"""),"""ylpr"":{""label"":""Itchy Clothes"",""extra"":""Rough, prickly, scratchy they’re awful!"",""sets"":""Junior""},")</f>
        <v>"ylpr":{"label":"Itchy Clothes","extra":"Rough, prickly, scratchy they’re awful!","sets":"Junior"},</v>
      </c>
    </row>
    <row r="308">
      <c r="A308" s="8" t="str">
        <f>IFERROR(__xludf.DUMMYFUNCTION("""COMPUTED_VALUE"""),"Jail")</f>
        <v>Jail</v>
      </c>
      <c r="B308" s="8" t="str">
        <f>IFERROR(__xludf.DUMMYFUNCTION("""COMPUTED_VALUE"""),"A place for keeping people who have broken the law.")</f>
        <v>A place for keeping people who have broken the law.</v>
      </c>
      <c r="C308" s="13" t="str">
        <f>IFERROR(__xludf.DUMMYFUNCTION("""COMPUTED_VALUE"""),"""yiyd"":{""label"":""Jail"",""extra"":""A place for keeping people who have broken the law."",""sets"":""Junior""},")</f>
        <v>"yiyd":{"label":"Jail","extra":"A place for keeping people who have broken the law.","sets":"Junior"},</v>
      </c>
    </row>
    <row r="309">
      <c r="A309" s="8" t="str">
        <f>IFERROR(__xludf.DUMMYFUNCTION("""COMPUTED_VALUE"""),"Jell-O")</f>
        <v>Jell-O</v>
      </c>
      <c r="B309" s="8" t="str">
        <f>IFERROR(__xludf.DUMMYFUNCTION("""COMPUTED_VALUE"""),"A solid, clear treat in lots of fruit flavors. It wiggles and jiggles!")</f>
        <v>A solid, clear treat in lots of fruit flavors. It wiggles and jiggles!</v>
      </c>
      <c r="C309" s="13" t="str">
        <f>IFERROR(__xludf.DUMMYFUNCTION("""COMPUTED_VALUE"""),"""bvri"":{""label"":""Jell-O"",""extra"":""A solid, clear treat in lots of fruit flavors. It wiggles and jiggles!"",""sets"":""Junior""},")</f>
        <v>"bvri":{"label":"Jell-O","extra":"A solid, clear treat in lots of fruit flavors. It wiggles and jiggles!","sets":"Junior"},</v>
      </c>
    </row>
    <row r="310">
      <c r="A310" s="8" t="str">
        <f>IFERROR(__xludf.DUMMYFUNCTION("""COMPUTED_VALUE"""),"Jelly Beans")</f>
        <v>Jelly Beans</v>
      </c>
      <c r="B310" s="8" t="str">
        <f>IFERROR(__xludf.DUMMYFUNCTION("""COMPUTED_VALUE"""),"Jelly beans are now available in 50 different flavors!")</f>
        <v>Jelly beans are now available in 50 different flavors!</v>
      </c>
      <c r="C310" s="13" t="str">
        <f>IFERROR(__xludf.DUMMYFUNCTION("""COMPUTED_VALUE"""),"""efcm"":{""label"":""Jelly Beans"",""extra"":""Jelly beans are now available in 50 different flavors!"",""sets"":""Junior 9+ (2nd)""},")</f>
        <v>"efcm":{"label":"Jelly Beans","extra":"Jelly beans are now available in 50 different flavors!","sets":"Junior 9+ (2nd)"},</v>
      </c>
    </row>
    <row r="311">
      <c r="A311" s="8" t="str">
        <f>IFERROR(__xludf.DUMMYFUNCTION("""COMPUTED_VALUE"""),"Juggling")</f>
        <v>Juggling</v>
      </c>
      <c r="B311" s="8" t="str">
        <f>IFERROR(__xludf.DUMMYFUNCTION("""COMPUTED_VALUE"""),"Start with two and see how you do.")</f>
        <v>Start with two and see how you do.</v>
      </c>
      <c r="C311" s="13" t="str">
        <f>IFERROR(__xludf.DUMMYFUNCTION("""COMPUTED_VALUE"""),"""lrkg"":{""label"":""Juggling"",""extra"":""Start with two and see how you do."",""sets"":""Junior 9+ (1st) &amp; (2nd)""},")</f>
        <v>"lrkg":{"label":"Juggling","extra":"Start with two and see how you do.","sets":"Junior 9+ (1st) &amp; (2nd)"},</v>
      </c>
    </row>
    <row r="312">
      <c r="A312" s="8" t="str">
        <f>IFERROR(__xludf.DUMMYFUNCTION("""COMPUTED_VALUE"""),"Jumping Rope")</f>
        <v>Jumping Rope</v>
      </c>
      <c r="B312" s="8" t="str">
        <f>IFERROR(__xludf.DUMMYFUNCTION("""COMPUTED_VALUE"""),"Twirl the rope and jump!")</f>
        <v>Twirl the rope and jump!</v>
      </c>
      <c r="C312" s="13" t="str">
        <f>IFERROR(__xludf.DUMMYFUNCTION("""COMPUTED_VALUE"""),"""{ptz"":{""label"":""Jumping Rope"",""extra"":""Twirl the rope and jump!"",""sets"":""Junior""},")</f>
        <v>"{ptz":{"label":"Jumping Rope","extra":"Twirl the rope and jump!","sets":"Junior"},</v>
      </c>
    </row>
    <row r="313">
      <c r="A313" s="8" t="str">
        <f>IFERROR(__xludf.DUMMYFUNCTION("""COMPUTED_VALUE"""),"Kangaroos")</f>
        <v>Kangaroos</v>
      </c>
      <c r="B313" s="8" t="str">
        <f>IFERROR(__xludf.DUMMYFUNCTION("""COMPUTED_VALUE"""),"Large animals from Australia that hop. Mother kangaroos carry their babies in pouches.")</f>
        <v>Large animals from Australia that hop. Mother kangaroos carry their babies in pouches.</v>
      </c>
      <c r="C313" s="13" t="str">
        <f>IFERROR(__xludf.DUMMYFUNCTION("""COMPUTED_VALUE"""),"""xgjn"":{""label"":""Kangaroos"",""extra"":""Large animals from Australia that hop. Mother kangaroos carry their babies in pouches."",""sets"":""Junior""},")</f>
        <v>"xgjn":{"label":"Kangaroos","extra":"Large animals from Australia that hop. Mother kangaroos carry their babies in pouches.","sets":"Junior"},</v>
      </c>
    </row>
    <row r="314">
      <c r="A314" s="8" t="str">
        <f>IFERROR(__xludf.DUMMYFUNCTION("""COMPUTED_VALUE"""),"Kickball")</f>
        <v>Kickball</v>
      </c>
      <c r="B314" s="8" t="str">
        <f>IFERROR(__xludf.DUMMYFUNCTION("""COMPUTED_VALUE"""),"You’ll get a kick out of it!")</f>
        <v>You’ll get a kick out of it!</v>
      </c>
      <c r="C314" s="13" t="str">
        <f>IFERROR(__xludf.DUMMYFUNCTION("""COMPUTED_VALUE"""),"""pkup"":{""label"":""Kickball"",""extra"":""You’ll get a kick out of it!"",""sets"":""Junior 9+ (2nd)""},")</f>
        <v>"pkup":{"label":"Kickball","extra":"You’ll get a kick out of it!","sets":"Junior 9+ (2nd)"},</v>
      </c>
    </row>
    <row r="315">
      <c r="A315" s="8" t="str">
        <f>IFERROR(__xludf.DUMMYFUNCTION("""COMPUTED_VALUE"""),"Kindergarten")</f>
        <v>Kindergarten</v>
      </c>
      <c r="B315" s="8" t="str">
        <f>IFERROR(__xludf.DUMMYFUNCTION("""COMPUTED_VALUE"""),"“A, B, C, D, E, F, G… Won’t you sing along with me?”")</f>
        <v>“A, B, C, D, E, F, G… Won’t you sing along with me?”</v>
      </c>
      <c r="C315" s="13" t="str">
        <f>IFERROR(__xludf.DUMMYFUNCTION("""COMPUTED_VALUE"""),"""dsnu"":{""label"":""Kindergarten"",""extra"":""“A, B, C, D, E, F, G… Won’t you sing along with me?”"",""sets"":""Junior 9+ (2nd)""},")</f>
        <v>"dsnu":{"label":"Kindergarten","extra":"“A, B, C, D, E, F, G… Won’t you sing along with me?”","sets":"Junior 9+ (2nd)"},</v>
      </c>
    </row>
    <row r="316">
      <c r="A316" s="8" t="str">
        <f>IFERROR(__xludf.DUMMYFUNCTION("""COMPUTED_VALUE"""),"Kisses")</f>
        <v>Kisses</v>
      </c>
      <c r="B316" s="8" t="str">
        <f>IFERROR(__xludf.DUMMYFUNCTION("""COMPUTED_VALUE"""),"Chocolate kisses are the best!")</f>
        <v>Chocolate kisses are the best!</v>
      </c>
      <c r="C316" s="13" t="str">
        <f>IFERROR(__xludf.DUMMYFUNCTION("""COMPUTED_VALUE"""),"""waow"":{""label"":""Kisses"",""extra"":""Chocolate kisses are the best!"",""sets"":""Junior 9+ (1st) &amp; (2nd)""},")</f>
        <v>"waow":{"label":"Kisses","extra":"Chocolate kisses are the best!","sets":"Junior 9+ (1st) &amp; (2nd)"},</v>
      </c>
    </row>
    <row r="317">
      <c r="A317" s="8" t="str">
        <f>IFERROR(__xludf.DUMMYFUNCTION("""COMPUTED_VALUE"""),"Kittens")</f>
        <v>Kittens</v>
      </c>
      <c r="B317" s="8" t="str">
        <f>IFERROR(__xludf.DUMMYFUNCTION("""COMPUTED_VALUE"""),"Baby cats, usually playful and fuzzy. Meow.")</f>
        <v>Baby cats, usually playful and fuzzy. Meow.</v>
      </c>
      <c r="C317" s="13" t="str">
        <f>IFERROR(__xludf.DUMMYFUNCTION("""COMPUTED_VALUE"""),"""jnqk"":{""label"":""Kittens"",""extra"":""Baby cats, usually playful and fuzzy. Meow."",""sets"":""Junior""},")</f>
        <v>"jnqk":{"label":"Kittens","extra":"Baby cats, usually playful and fuzzy. Meow.","sets":"Junior"},</v>
      </c>
    </row>
    <row r="318">
      <c r="A318" s="8" t="str">
        <f>IFERROR(__xludf.DUMMYFUNCTION("""COMPUTED_VALUE"""),"Ladybugs")</f>
        <v>Ladybugs</v>
      </c>
      <c r="B318" s="8" t="str">
        <f>IFERROR(__xludf.DUMMYFUNCTION("""COMPUTED_VALUE"""),"Small, round red or orange beetles with black spots. They can fly!")</f>
        <v>Small, round red or orange beetles with black spots. They can fly!</v>
      </c>
      <c r="C318" s="13" t="str">
        <f>IFERROR(__xludf.DUMMYFUNCTION("""COMPUTED_VALUE"""),"""rfwh"":{""label"":""Ladybugs"",""extra"":""Small, round red or orange beetles with black spots. They can fly!"",""sets"":""Junior""},")</f>
        <v>"rfwh":{"label":"Ladybugs","extra":"Small, round red or orange beetles with black spots. They can fly!","sets":"Junior"},</v>
      </c>
    </row>
    <row r="319">
      <c r="A319" s="8" t="str">
        <f>IFERROR(__xludf.DUMMYFUNCTION("""COMPUTED_VALUE"""),"Learning Spanish")</f>
        <v>Learning Spanish</v>
      </c>
      <c r="B319" s="8" t="str">
        <f>IFERROR(__xludf.DUMMYFUNCTION("""COMPUTED_VALUE"""),"Who knows, maybe you’ll need it someday.")</f>
        <v>Who knows, maybe you’ll need it someday.</v>
      </c>
      <c r="C319" s="13" t="str">
        <f>IFERROR(__xludf.DUMMYFUNCTION("""COMPUTED_VALUE"""),"""jcob"":{""label"":""Learning Spanish"",""extra"":""Who knows, maybe you’ll need it someday."",""sets"":""Junior 9+ (2nd)""},")</f>
        <v>"jcob":{"label":"Learning Spanish","extra":"Who knows, maybe you’ll need it someday.","sets":"Junior 9+ (2nd)"},</v>
      </c>
    </row>
    <row r="320">
      <c r="A320" s="8" t="str">
        <f>IFERROR(__xludf.DUMMYFUNCTION("""COMPUTED_VALUE"""),"Learning To Ski")</f>
        <v>Learning To Ski</v>
      </c>
      <c r="B320" s="8" t="str">
        <f>IFERROR(__xludf.DUMMYFUNCTION("""COMPUTED_VALUE"""),"Put on the ski boots, then the skis, then get up to the top of the hill…")</f>
        <v>Put on the ski boots, then the skis, then get up to the top of the hill…</v>
      </c>
      <c r="C320" s="13" t="str">
        <f>IFERROR(__xludf.DUMMYFUNCTION("""COMPUTED_VALUE"""),"""ehur"":{""label"":""Learning To Ski"",""extra"":""Put on the ski boots, then the skis, then get up to the top of the hill…"",""sets"":""Junior 9+ (2nd)""},")</f>
        <v>"ehur":{"label":"Learning To Ski","extra":"Put on the ski boots, then the skis, then get up to the top of the hill…","sets":"Junior 9+ (2nd)"},</v>
      </c>
    </row>
    <row r="321">
      <c r="A321" s="8" t="str">
        <f>IFERROR(__xludf.DUMMYFUNCTION("""COMPUTED_VALUE"""),"Lego Building Blocks")</f>
        <v>Lego Building Blocks</v>
      </c>
      <c r="B321" s="8" t="str">
        <f>IFERROR(__xludf.DUMMYFUNCTION("""COMPUTED_VALUE"""),"Get more blocks! We’re building the Golden Gate Bridge.")</f>
        <v>Get more blocks! We’re building the Golden Gate Bridge.</v>
      </c>
      <c r="C321" s="13" t="str">
        <f>IFERROR(__xludf.DUMMYFUNCTION("""COMPUTED_VALUE"""),"""qmvs"":{""label"":""Lego Building Blocks"",""extra"":""Get more blocks! We’re building the Golden Gate Bridge."",""sets"":""Junior 9+ (2nd)""},")</f>
        <v>"qmvs":{"label":"Lego Building Blocks","extra":"Get more blocks! We’re building the Golden Gate Bridge.","sets":"Junior 9+ (2nd)"},</v>
      </c>
    </row>
    <row r="322">
      <c r="A322" s="8" t="str">
        <f>IFERROR(__xludf.DUMMYFUNCTION("""COMPUTED_VALUE"""),"Legs")</f>
        <v>Legs</v>
      </c>
      <c r="B322" s="8" t="str">
        <f>IFERROR(__xludf.DUMMYFUNCTION("""COMPUTED_VALUE"""),"People have them, animals have them, even tables have them.")</f>
        <v>People have them, animals have them, even tables have them.</v>
      </c>
      <c r="C322" s="13" t="str">
        <f>IFERROR(__xludf.DUMMYFUNCTION("""COMPUTED_VALUE"""),"""buhj"":{""label"":""Legs"",""extra"":""People have them, animals have them, even tables have them."",""sets"":""Junior 9+ (2nd)""},")</f>
        <v>"buhj":{"label":"Legs","extra":"People have them, animals have them, even tables have them.","sets":"Junior 9+ (2nd)"},</v>
      </c>
    </row>
    <row r="323">
      <c r="A323" s="8" t="str">
        <f>IFERROR(__xludf.DUMMYFUNCTION("""COMPUTED_VALUE"""),"Lemonade")</f>
        <v>Lemonade</v>
      </c>
      <c r="B323" s="8" t="str">
        <f>IFERROR(__xludf.DUMMYFUNCTION("""COMPUTED_VALUE"""),"Needs more sugar!")</f>
        <v>Needs more sugar!</v>
      </c>
      <c r="C323" s="13" t="str">
        <f>IFERROR(__xludf.DUMMYFUNCTION("""COMPUTED_VALUE"""),"""zwgj"":{""label"":""Lemonade"",""extra"":""Needs more sugar!"",""sets"":""Junior 9+ (2nd)""},")</f>
        <v>"zwgj":{"label":"Lemonade","extra":"Needs more sugar!","sets":"Junior 9+ (2nd)"},</v>
      </c>
    </row>
    <row r="324">
      <c r="A324" s="8" t="str">
        <f>IFERROR(__xludf.DUMMYFUNCTION("""COMPUTED_VALUE"""),"Lemons")</f>
        <v>Lemons</v>
      </c>
      <c r="B324" s="8" t="str">
        <f>IFERROR(__xludf.DUMMYFUNCTION("""COMPUTED_VALUE"""),"Sour yellow fruit. Add sugar and water and you can make lemonade!")</f>
        <v>Sour yellow fruit. Add sugar and water and you can make lemonade!</v>
      </c>
      <c r="C324" s="13" t="str">
        <f>IFERROR(__xludf.DUMMYFUNCTION("""COMPUTED_VALUE"""),"""sshm"":{""label"":""Lemons"",""extra"":""Sour yellow fruit. Add sugar and water and you can make lemonade!"",""sets"":""Junior""},")</f>
        <v>"sshm":{"label":"Lemons","extra":"Sour yellow fruit. Add sugar and water and you can make lemonade!","sets":"Junior"},</v>
      </c>
    </row>
    <row r="325">
      <c r="A325" s="8" t="str">
        <f>IFERROR(__xludf.DUMMYFUNCTION("""COMPUTED_VALUE"""),"Life Jackets")</f>
        <v>Life Jackets</v>
      </c>
      <c r="B325" s="8" t="str">
        <f>IFERROR(__xludf.DUMMYFUNCTION("""COMPUTED_VALUE"""),"It won’t work if you don’t wear it!")</f>
        <v>It won’t work if you don’t wear it!</v>
      </c>
      <c r="C325" s="13" t="str">
        <f>IFERROR(__xludf.DUMMYFUNCTION("""COMPUTED_VALUE"""),"""glnt"":{""label"":""Life Jackets"",""extra"":""It won’t work if you don’t wear it!"",""sets"":""Junior 9+ (2nd)""},")</f>
        <v>"glnt":{"label":"Life Jackets","extra":"It won’t work if you don’t wear it!","sets":"Junior 9+ (2nd)"},</v>
      </c>
    </row>
    <row r="326">
      <c r="A326" s="8" t="str">
        <f>IFERROR(__xludf.DUMMYFUNCTION("""COMPUTED_VALUE"""),"Lifeguard")</f>
        <v>Lifeguard</v>
      </c>
      <c r="B326" s="8" t="str">
        <f>IFERROR(__xludf.DUMMYFUNCTION("""COMPUTED_VALUE"""),"A person whose job it is to help and protect swimmers.")</f>
        <v>A person whose job it is to help and protect swimmers.</v>
      </c>
      <c r="C326" s="13" t="str">
        <f>IFERROR(__xludf.DUMMYFUNCTION("""COMPUTED_VALUE"""),"""qtvm"":{""label"":""Lifeguard"",""extra"":""A person whose job it is to help and protect swimmers."",""sets"":""Junior""},")</f>
        <v>"qtvm":{"label":"Lifeguard","extra":"A person whose job it is to help and protect swimmers.","sets":"Junior"},</v>
      </c>
    </row>
    <row r="327">
      <c r="A327" s="8" t="str">
        <f>IFERROR(__xludf.DUMMYFUNCTION("""COMPUTED_VALUE"""),"Lightning")</f>
        <v>Lightning</v>
      </c>
      <c r="B327" s="8" t="str">
        <f>IFERROR(__xludf.DUMMYFUNCTION("""COMPUTED_VALUE"""),"An electrical flash of light in the sky, usually during a rainstorm.")</f>
        <v>An electrical flash of light in the sky, usually during a rainstorm.</v>
      </c>
      <c r="C327" s="13" t="str">
        <f>IFERROR(__xludf.DUMMYFUNCTION("""COMPUTED_VALUE"""),"""qvsq"":{""label"":""Lightning"",""extra"":""An electrical flash of light in the sky, usually during a rainstorm."",""sets"":""Junior""},")</f>
        <v>"qvsq":{"label":"Lightning","extra":"An electrical flash of light in the sky, usually during a rainstorm.","sets":"Junior"},</v>
      </c>
    </row>
    <row r="328">
      <c r="A328" s="8" t="str">
        <f>IFERROR(__xludf.DUMMYFUNCTION("""COMPUTED_VALUE"""),"Lions")</f>
        <v>Lions</v>
      </c>
      <c r="B328" s="8" t="str">
        <f>IFERROR(__xludf.DUMMYFUNCTION("""COMPUTED_VALUE"""),"King of the jungle. Roar!")</f>
        <v>King of the jungle. Roar!</v>
      </c>
      <c r="C328" s="13" t="str">
        <f>IFERROR(__xludf.DUMMYFUNCTION("""COMPUTED_VALUE"""),"""lowk"":{""label"":""Lions"",""extra"":""King of the jungle. Roar!"",""sets"":""Junior""},")</f>
        <v>"lowk":{"label":"Lions","extra":"King of the jungle. Roar!","sets":"Junior"},</v>
      </c>
    </row>
    <row r="329">
      <c r="A329" s="8" t="str">
        <f>IFERROR(__xludf.DUMMYFUNCTION("""COMPUTED_VALUE"""),"Listening To Music")</f>
        <v>Listening To Music</v>
      </c>
      <c r="B329" s="8" t="str">
        <f>IFERROR(__xludf.DUMMYFUNCTION("""COMPUTED_VALUE"""),"Nobody’s home… play it loud!")</f>
        <v>Nobody’s home… play it loud!</v>
      </c>
      <c r="C329" s="13" t="str">
        <f>IFERROR(__xludf.DUMMYFUNCTION("""COMPUTED_VALUE"""),"""{okg"":{""label"":""Listening To Music"",""extra"":""Nobody’s home… play it loud!"",""sets"":""Junior 9+ (2nd)""},")</f>
        <v>"{okg":{"label":"Listening To Music","extra":"Nobody’s home… play it loud!","sets":"Junior 9+ (2nd)"},</v>
      </c>
    </row>
    <row r="330">
      <c r="A330" s="8" t="str">
        <f>IFERROR(__xludf.DUMMYFUNCTION("""COMPUTED_VALUE"""),"Little Brown Mice")</f>
        <v>Little Brown Mice</v>
      </c>
      <c r="B330" s="8" t="str">
        <f>IFERROR(__xludf.DUMMYFUNCTION("""COMPUTED_VALUE"""),"EEEK!")</f>
        <v>EEEK!</v>
      </c>
      <c r="C330" s="13" t="str">
        <f>IFERROR(__xludf.DUMMYFUNCTION("""COMPUTED_VALUE"""),"""kcpz"":{""label"":""Little Brown Mice"",""extra"":""EEEK!"",""sets"":""Junior 9+ (2nd)""},")</f>
        <v>"kcpz":{"label":"Little Brown Mice","extra":"EEEK!","sets":"Junior 9+ (2nd)"},</v>
      </c>
    </row>
    <row r="331">
      <c r="A331" s="8" t="str">
        <f>IFERROR(__xludf.DUMMYFUNCTION("""COMPUTED_VALUE"""),"Lizards")</f>
        <v>Lizards</v>
      </c>
      <c r="B331" s="8" t="str">
        <f>IFERROR(__xludf.DUMMYFUNCTION("""COMPUTED_VALUE"""),"The Komodo dragon is the largest living lizard. They can grow to over ten feet long.")</f>
        <v>The Komodo dragon is the largest living lizard. They can grow to over ten feet long.</v>
      </c>
      <c r="C331" s="13" t="str">
        <f>IFERROR(__xludf.DUMMYFUNCTION("""COMPUTED_VALUE"""),"""lltw"":{""label"":""Lizards"",""extra"":""The Komodo dragon is the largest living lizard. They can grow to over ten feet long."",""sets"":""Junior 9+ (1st) &amp; (2nd)""},")</f>
        <v>"lltw":{"label":"Lizards","extra":"The Komodo dragon is the largest living lizard. They can grow to over ten feet long.","sets":"Junior 9+ (1st) &amp; (2nd)"},</v>
      </c>
    </row>
    <row r="332">
      <c r="A332" s="8" t="str">
        <f>IFERROR(__xludf.DUMMYFUNCTION("""COMPUTED_VALUE"""),"Llamas")</f>
        <v>Llamas</v>
      </c>
      <c r="B332" s="8" t="str">
        <f>IFERROR(__xludf.DUMMYFUNCTION("""COMPUTED_VALUE"""),"South American animal related to the camel, raised for wool, and used as pack animals.")</f>
        <v>South American animal related to the camel, raised for wool, and used as pack animals.</v>
      </c>
      <c r="C332" s="13" t="str">
        <f>IFERROR(__xludf.DUMMYFUNCTION("""COMPUTED_VALUE"""),"""vfud"":{""label"":""Llamas"",""extra"":""South American animal related to the camel, raised for wool, and used as pack animals."",""sets"":""Junior 9+ (1st) &amp; (2nd)""},")</f>
        <v>"vfud":{"label":"Llamas","extra":"South American animal related to the camel, raised for wool, and used as pack animals.","sets":"Junior 9+ (1st) &amp; (2nd)"},</v>
      </c>
    </row>
    <row r="333">
      <c r="A333" s="8" t="str">
        <f>IFERROR(__xludf.DUMMYFUNCTION("""COMPUTED_VALUE"""),"Lobsters")</f>
        <v>Lobsters</v>
      </c>
      <c r="B333" s="8" t="str">
        <f>IFERROR(__xludf.DUMMYFUNCTION("""COMPUTED_VALUE"""),"Their large claws are actually their front pair of legs.")</f>
        <v>Their large claws are actually their front pair of legs.</v>
      </c>
      <c r="C333" s="13" t="str">
        <f>IFERROR(__xludf.DUMMYFUNCTION("""COMPUTED_VALUE"""),"""nmpe"":{""label"":""Lobsters"",""extra"":""Their large claws are actually their front pair of legs."",""sets"":""Junior 9+ (2nd)""},")</f>
        <v>"nmpe":{"label":"Lobsters","extra":"Their large claws are actually their front pair of legs.","sets":"Junior 9+ (2nd)"},</v>
      </c>
    </row>
    <row r="334">
      <c r="A334" s="8" t="str">
        <f>IFERROR(__xludf.DUMMYFUNCTION("""COMPUTED_VALUE"""),"Long Hair")</f>
        <v>Long Hair</v>
      </c>
      <c r="B334" s="8" t="str">
        <f>IFERROR(__xludf.DUMMYFUNCTION("""COMPUTED_VALUE"""),"Braid it, tie it in a ponytail, or just let it fly in the wind.")</f>
        <v>Braid it, tie it in a ponytail, or just let it fly in the wind.</v>
      </c>
      <c r="C334" s="13" t="str">
        <f>IFERROR(__xludf.DUMMYFUNCTION("""COMPUTED_VALUE"""),"""dyfn"":{""label"":""Long Hair"",""extra"":""Braid it, tie it in a ponytail, or just let it fly in the wind."",""sets"":""Junior 9+ (1st) &amp; (2nd)""},")</f>
        <v>"dyfn":{"label":"Long Hair","extra":"Braid it, tie it in a ponytail, or just let it fly in the wind.","sets":"Junior 9+ (1st) &amp; (2nd)"},</v>
      </c>
    </row>
    <row r="335">
      <c r="A335" s="8" t="str">
        <f>IFERROR(__xludf.DUMMYFUNCTION("""COMPUTED_VALUE"""),"Losing Your Backpack")</f>
        <v>Losing Your Backpack</v>
      </c>
      <c r="B335" s="8" t="str">
        <f>IFERROR(__xludf.DUMMYFUNCTION("""COMPUTED_VALUE"""),"“I know I had it on the bus…”")</f>
        <v>“I know I had it on the bus…”</v>
      </c>
      <c r="C335" s="13" t="str">
        <f>IFERROR(__xludf.DUMMYFUNCTION("""COMPUTED_VALUE"""),"""gzea"":{""label"":""Losing Your Backpack"",""extra"":""“I know I had it on the bus…”"",""sets"":""Junior 9+ (2nd)""},")</f>
        <v>"gzea":{"label":"Losing Your Backpack","extra":"“I know I had it on the bus…”","sets":"Junior 9+ (2nd)"},</v>
      </c>
    </row>
    <row r="336">
      <c r="A336" s="8" t="str">
        <f>IFERROR(__xludf.DUMMYFUNCTION("""COMPUTED_VALUE"""),"Love Letters")</f>
        <v>Love Letters</v>
      </c>
      <c r="B336" s="8" t="str">
        <f>IFERROR(__xludf.DUMMYFUNCTION("""COMPUTED_VALUE"""),"“Roses are red, violets are blue…”")</f>
        <v>“Roses are red, violets are blue…”</v>
      </c>
      <c r="C336" s="13" t="str">
        <f>IFERROR(__xludf.DUMMYFUNCTION("""COMPUTED_VALUE"""),"""vmrx"":{""label"":""Love Letters"",""extra"":""“Roses are red, violets are blue…”"",""sets"":""Junior 9+ (2nd)""},")</f>
        <v>"vmrx":{"label":"Love Letters","extra":"“Roses are red, violets are blue…”","sets":"Junior 9+ (2nd)"},</v>
      </c>
    </row>
    <row r="337">
      <c r="A337" s="8" t="str">
        <f>IFERROR(__xludf.DUMMYFUNCTION("""COMPUTED_VALUE"""),"Macaroni And Cheese")</f>
        <v>Macaroni And Cheese</v>
      </c>
      <c r="B337" s="8" t="str">
        <f>IFERROR(__xludf.DUMMYFUNCTION("""COMPUTED_VALUE"""),"A good, hot meal that’s fun to eat.")</f>
        <v>A good, hot meal that’s fun to eat.</v>
      </c>
      <c r="C337" s="13" t="str">
        <f>IFERROR(__xludf.DUMMYFUNCTION("""COMPUTED_VALUE"""),"""xquv"":{""label"":""Macaroni And Cheese"",""extra"":""A good, hot meal that’s fun to eat."",""sets"":""Junior""},")</f>
        <v>"xquv":{"label":"Macaroni And Cheese","extra":"A good, hot meal that’s fun to eat.","sets":"Junior"},</v>
      </c>
    </row>
    <row r="338">
      <c r="A338" s="8" t="str">
        <f>IFERROR(__xludf.DUMMYFUNCTION("""COMPUTED_VALUE"""),"Madeline")</f>
        <v>Madeline</v>
      </c>
      <c r="B338" s="8" t="str">
        <f>IFERROR(__xludf.DUMMYFUNCTION("""COMPUTED_VALUE"""),"Brave storybook character who lived in an old house in Paris that was covered in vines.")</f>
        <v>Brave storybook character who lived in an old house in Paris that was covered in vines.</v>
      </c>
      <c r="C338" s="13" t="str">
        <f>IFERROR(__xludf.DUMMYFUNCTION("""COMPUTED_VALUE"""),"""lvie"":{""label"":""Madeline"",""extra"":""Brave storybook character who lived in an old house in Paris that was covered in vines."",""sets"":""Junior""},")</f>
        <v>"lvie":{"label":"Madeline","extra":"Brave storybook character who lived in an old house in Paris that was covered in vines.","sets":"Junior"},</v>
      </c>
    </row>
    <row r="339">
      <c r="A339" s="8" t="str">
        <f>IFERROR(__xludf.DUMMYFUNCTION("""COMPUTED_VALUE"""),"Magic Tricks")</f>
        <v>Magic Tricks</v>
      </c>
      <c r="B339" s="8" t="str">
        <f>IFERROR(__xludf.DUMMYFUNCTION("""COMPUTED_VALUE"""),"Now you see it, now you don’t!")</f>
        <v>Now you see it, now you don’t!</v>
      </c>
      <c r="C339" s="13" t="str">
        <f>IFERROR(__xludf.DUMMYFUNCTION("""COMPUTED_VALUE"""),"""cdgd"":{""label"":""Magic Tricks"",""extra"":""Now you see it, now you don’t!"",""sets"":""Junior 9+ (1st) &amp; (2nd)""},")</f>
        <v>"cdgd":{"label":"Magic Tricks","extra":"Now you see it, now you don’t!","sets":"Junior 9+ (1st) &amp; (2nd)"},</v>
      </c>
    </row>
    <row r="340">
      <c r="A340" s="8" t="str">
        <f>IFERROR(__xludf.DUMMYFUNCTION("""COMPUTED_VALUE"""),"Mail Carrier")</f>
        <v>Mail Carrier</v>
      </c>
      <c r="B340" s="8" t="str">
        <f>IFERROR(__xludf.DUMMYFUNCTION("""COMPUTED_VALUE"""),"A person who brings the mail to your house, no matter what the weather.")</f>
        <v>A person who brings the mail to your house, no matter what the weather.</v>
      </c>
      <c r="C340" s="13" t="str">
        <f>IFERROR(__xludf.DUMMYFUNCTION("""COMPUTED_VALUE"""),"""kjnm"":{""label"":""Mail Carrier"",""extra"":""A person who brings the mail to your house, no matter what the weather."",""sets"":""Junior""},")</f>
        <v>"kjnm":{"label":"Mail Carrier","extra":"A person who brings the mail to your house, no matter what the weather.","sets":"Junior"},</v>
      </c>
    </row>
    <row r="341">
      <c r="A341" s="8" t="str">
        <f>IFERROR(__xludf.DUMMYFUNCTION("""COMPUTED_VALUE"""),"Martin Luther King, Jr.")</f>
        <v>Martin Luther King, Jr.</v>
      </c>
      <c r="B341" s="8" t="str">
        <f>IFERROR(__xludf.DUMMYFUNCTION("""COMPUTED_VALUE"""),"He believed that everyone should have equal rights, regardless of the color of their skin.")</f>
        <v>He believed that everyone should have equal rights, regardless of the color of their skin.</v>
      </c>
      <c r="C341" s="13" t="str">
        <f>IFERROR(__xludf.DUMMYFUNCTION("""COMPUTED_VALUE"""),"""zlhe"":{""label"":""Martin Luther King, Jr."",""extra"":""He believed that everyone should have equal rights, regardless of the color of their skin."",""sets"":""Junior 9+ (1st) &amp; (2nd)""},")</f>
        <v>"zlhe":{"label":"Martin Luther King, Jr.","extra":"He believed that everyone should have equal rights, regardless of the color of their skin.","sets":"Junior 9+ (1st) &amp; (2nd)"},</v>
      </c>
    </row>
    <row r="342">
      <c r="A342" s="8" t="str">
        <f>IFERROR(__xludf.DUMMYFUNCTION("""COMPUTED_VALUE"""),"Mary-Kate And Ashley")</f>
        <v>Mary-Kate And Ashley</v>
      </c>
      <c r="B342" s="8" t="str">
        <f>IFERROR(__xludf.DUMMYFUNCTION("""COMPUTED_VALUE"""),"The Olsen twins have been TV stars since the 1980s. They also have books and videos.")</f>
        <v>The Olsen twins have been TV stars since the 1980s. They also have books and videos.</v>
      </c>
      <c r="C342" s="13" t="str">
        <f>IFERROR(__xludf.DUMMYFUNCTION("""COMPUTED_VALUE"""),"""lqvs"":{""label"":""Mary-Kate And Ashley"",""extra"":""The Olsen twins have been TV stars since the 1980s. They also have books and videos."",""sets"":""Junior 9+ (1st) &amp; (2nd)""},")</f>
        <v>"lqvs":{"label":"Mary-Kate And Ashley","extra":"The Olsen twins have been TV stars since the 1980s. They also have books and videos.","sets":"Junior 9+ (1st) &amp; (2nd)"},</v>
      </c>
    </row>
    <row r="343">
      <c r="A343" s="8" t="str">
        <f>IFERROR(__xludf.DUMMYFUNCTION("""COMPUTED_VALUE"""),"Mashed Potatoes")</f>
        <v>Mashed Potatoes</v>
      </c>
      <c r="B343" s="8" t="str">
        <f>IFERROR(__xludf.DUMMYFUNCTION("""COMPUTED_VALUE"""),"Pile them up like a volcano and put butter in the middle.")</f>
        <v>Pile them up like a volcano and put butter in the middle.</v>
      </c>
      <c r="C343" s="13" t="str">
        <f>IFERROR(__xludf.DUMMYFUNCTION("""COMPUTED_VALUE"""),"""moar"":{""label"":""Mashed Potatoes"",""extra"":""Pile them up like a volcano and put butter in the middle."",""sets"":""Junior 9+ (1st) &amp; (2nd)""},")</f>
        <v>"moar":{"label":"Mashed Potatoes","extra":"Pile them up like a volcano and put butter in the middle.","sets":"Junior 9+ (1st) &amp; (2nd)"},</v>
      </c>
    </row>
    <row r="344">
      <c r="A344" s="8" t="str">
        <f>IFERROR(__xludf.DUMMYFUNCTION("""COMPUTED_VALUE"""),"Math")</f>
        <v>Math</v>
      </c>
      <c r="B344" s="8" t="str">
        <f>IFERROR(__xludf.DUMMYFUNCTION("""COMPUTED_VALUE"""),"Add, subtract, multiply and divide—or use a calculator!")</f>
        <v>Add, subtract, multiply and divide—or use a calculator!</v>
      </c>
      <c r="C344" s="13" t="str">
        <f>IFERROR(__xludf.DUMMYFUNCTION("""COMPUTED_VALUE"""),"""qlac"":{""label"":""Math"",""extra"":""Add, subtract, multiply and divide—or use a calculator!"",""sets"":""Junior 9+ (1st) &amp; (2nd)""},")</f>
        <v>"qlac":{"label":"Math","extra":"Add, subtract, multiply and divide—or use a calculator!","sets":"Junior 9+ (1st) &amp; (2nd)"},</v>
      </c>
    </row>
    <row r="345">
      <c r="A345" s="8" t="str">
        <f>IFERROR(__xludf.DUMMYFUNCTION("""COMPUTED_VALUE"""),"McDonald's")</f>
        <v>McDonald's</v>
      </c>
      <c r="B345" s="8" t="str">
        <f>IFERROR(__xludf.DUMMYFUNCTION("""COMPUTED_VALUE"""),"At a McDonald's restaurant in Mexico you can order a “hamburguesa.”")</f>
        <v>At a McDonald's restaurant in Mexico you can order a “hamburguesa.”</v>
      </c>
      <c r="C345" s="13" t="str">
        <f>IFERROR(__xludf.DUMMYFUNCTION("""COMPUTED_VALUE"""),"""ljyi"":{""label"":""McDonald's"",""extra"":""At a McDonald's restaurant in Mexico you can order a “hamburguesa.”"",""sets"":""Junior 9+ (2nd)""},")</f>
        <v>"ljyi":{"label":"McDonald's","extra":"At a McDonald's restaurant in Mexico you can order a “hamburguesa.”","sets":"Junior 9+ (2nd)"},</v>
      </c>
    </row>
    <row r="346">
      <c r="A346" s="8" t="str">
        <f>IFERROR(__xludf.DUMMYFUNCTION("""COMPUTED_VALUE"""),"Meatballs")</f>
        <v>Meatballs</v>
      </c>
      <c r="B346" s="8" t="str">
        <f>IFERROR(__xludf.DUMMYFUNCTION("""COMPUTED_VALUE"""),"Like meatloaf, only smaller.")</f>
        <v>Like meatloaf, only smaller.</v>
      </c>
      <c r="C346" s="13" t="str">
        <f>IFERROR(__xludf.DUMMYFUNCTION("""COMPUTED_VALUE"""),"""ehyj"":{""label"":""Meatballs"",""extra"":""Like meatloaf, only smaller."",""sets"":""Junior 9+ (1st) &amp; (2nd)""},")</f>
        <v>"ehyj":{"label":"Meatballs","extra":"Like meatloaf, only smaller.","sets":"Junior 9+ (1st) &amp; (2nd)"},</v>
      </c>
    </row>
    <row r="347">
      <c r="A347" s="8" t="str">
        <f>IFERROR(__xludf.DUMMYFUNCTION("""COMPUTED_VALUE"""),"Mexico")</f>
        <v>Mexico</v>
      </c>
      <c r="B347" s="8" t="str">
        <f>IFERROR(__xludf.DUMMYFUNCTION("""COMPUTED_VALUE"""),"Country in North America, just south of the United States. Spanish is spoken in Mexico.")</f>
        <v>Country in North America, just south of the United States. Spanish is spoken in Mexico.</v>
      </c>
      <c r="C347" s="13" t="str">
        <f>IFERROR(__xludf.DUMMYFUNCTION("""COMPUTED_VALUE"""),"""fouh"":{""label"":""Mexico"",""extra"":""Country in North America, just south of the United States. Spanish is spoken in Mexico."",""sets"":""Junior 9+ (1st) &amp; (2nd)""},")</f>
        <v>"fouh":{"label":"Mexico","extra":"Country in North America, just south of the United States. Spanish is spoken in Mexico.","sets":"Junior 9+ (1st) &amp; (2nd)"},</v>
      </c>
    </row>
    <row r="348">
      <c r="A348" s="8" t="str">
        <f>IFERROR(__xludf.DUMMYFUNCTION("""COMPUTED_VALUE"""),"Mickey Mouse")</f>
        <v>Mickey Mouse</v>
      </c>
      <c r="B348" s="8" t="str">
        <f>IFERROR(__xludf.DUMMYFUNCTION("""COMPUTED_VALUE"""),"Disney cartoon character, friends with Minnie Mouse and Goofy.")</f>
        <v>Disney cartoon character, friends with Minnie Mouse and Goofy.</v>
      </c>
      <c r="C348" s="13" t="str">
        <f>IFERROR(__xludf.DUMMYFUNCTION("""COMPUTED_VALUE"""),"""isxj"":{""label"":""Mickey Mouse"",""extra"":""Disney cartoon character, friends with Minnie Mouse and Goofy."",""sets"":""Junior""},")</f>
        <v>"isxj":{"label":"Mickey Mouse","extra":"Disney cartoon character, friends with Minnie Mouse and Goofy.","sets":"Junior"},</v>
      </c>
    </row>
    <row r="349">
      <c r="A349" s="8" t="str">
        <f>IFERROR(__xludf.DUMMYFUNCTION("""COMPUTED_VALUE"""),"Midnight")</f>
        <v>Midnight</v>
      </c>
      <c r="B349" s="8" t="str">
        <f>IFERROR(__xludf.DUMMYFUNCTION("""COMPUTED_VALUE"""),"Cinderella’s curfew.")</f>
        <v>Cinderella’s curfew.</v>
      </c>
      <c r="C349" s="13" t="str">
        <f>IFERROR(__xludf.DUMMYFUNCTION("""COMPUTED_VALUE"""),"""da{l"":{""label"":""Midnight"",""extra"":""Cinderella’s curfew."",""sets"":""Junior 9+ (2nd)""},")</f>
        <v>"da{l":{"label":"Midnight","extra":"Cinderella’s curfew.","sets":"Junior 9+ (2nd)"},</v>
      </c>
    </row>
    <row r="350">
      <c r="A350" s="8" t="str">
        <f>IFERROR(__xludf.DUMMYFUNCTION("""COMPUTED_VALUE"""),"Milking A Cow")</f>
        <v>Milking A Cow</v>
      </c>
      <c r="B350" s="8" t="str">
        <f>IFERROR(__xludf.DUMMYFUNCTION("""COMPUTED_VALUE"""),"They have machines for that now.")</f>
        <v>They have machines for that now.</v>
      </c>
      <c r="C350" s="13" t="str">
        <f>IFERROR(__xludf.DUMMYFUNCTION("""COMPUTED_VALUE"""),"""hpov"":{""label"":""Milking A Cow"",""extra"":""They have machines for that now."",""sets"":""Junior 9+ (2nd)""},")</f>
        <v>"hpov":{"label":"Milking A Cow","extra":"They have machines for that now.","sets":"Junior 9+ (2nd)"},</v>
      </c>
    </row>
    <row r="351">
      <c r="A351" s="8" t="str">
        <f>IFERROR(__xludf.DUMMYFUNCTION("""COMPUTED_VALUE"""),"Miniature Golf")</f>
        <v>Miniature Golf</v>
      </c>
      <c r="B351" s="8" t="str">
        <f>IFERROR(__xludf.DUMMYFUNCTION("""COMPUTED_VALUE"""),"You don’t have to be miniature to play!")</f>
        <v>You don’t have to be miniature to play!</v>
      </c>
      <c r="C351" s="13" t="str">
        <f>IFERROR(__xludf.DUMMYFUNCTION("""COMPUTED_VALUE"""),"""crog"":{""label"":""Miniature Golf"",""extra"":""You don’t have to be miniature to play!"",""sets"":""Junior 9+ (2nd)""},")</f>
        <v>"crog":{"label":"Miniature Golf","extra":"You don’t have to be miniature to play!","sets":"Junior 9+ (2nd)"},</v>
      </c>
    </row>
    <row r="352">
      <c r="A352" s="8" t="str">
        <f>IFERROR(__xludf.DUMMYFUNCTION("""COMPUTED_VALUE"""),"Mittens")</f>
        <v>Mittens</v>
      </c>
      <c r="B352" s="8" t="str">
        <f>IFERROR(__xludf.DUMMYFUNCTION("""COMPUTED_VALUE"""),"“Three little kittens; they lost their mittens.”")</f>
        <v>“Three little kittens; they lost their mittens.”</v>
      </c>
      <c r="C352" s="13" t="str">
        <f>IFERROR(__xludf.DUMMYFUNCTION("""COMPUTED_VALUE"""),"""qrdn"":{""label"":""Mittens"",""extra"":""“Three little kittens; they lost their mittens.”"",""sets"":""Junior""},")</f>
        <v>"qrdn":{"label":"Mittens","extra":"“Three little kittens; they lost their mittens.”","sets":"Junior"},</v>
      </c>
    </row>
    <row r="353">
      <c r="A353" s="8" t="str">
        <f>IFERROR(__xludf.DUMMYFUNCTION("""COMPUTED_VALUE"""),"Monkeys")</f>
        <v>Monkeys</v>
      </c>
      <c r="B353" s="8" t="str">
        <f>IFERROR(__xludf.DUMMYFUNCTION("""COMPUTED_VALUE"""),"Monkeys are playful, intelligent mammals. They just monkey around!")</f>
        <v>Monkeys are playful, intelligent mammals. They just monkey around!</v>
      </c>
      <c r="C353" s="13" t="str">
        <f>IFERROR(__xludf.DUMMYFUNCTION("""COMPUTED_VALUE"""),"""kuxk"":{""label"":""Monkeys"",""extra"":""Monkeys are playful, intelligent mammals. They just monkey around!"",""sets"":""Junior 9+ (2nd)""},")</f>
        <v>"kuxk":{"label":"Monkeys","extra":"Monkeys are playful, intelligent mammals. They just monkey around!","sets":"Junior 9+ (2nd)"},</v>
      </c>
    </row>
    <row r="354">
      <c r="A354" s="8" t="str">
        <f>IFERROR(__xludf.DUMMYFUNCTION("""COMPUTED_VALUE"""),"Monster Trucks")</f>
        <v>Monster Trucks</v>
      </c>
      <c r="B354" s="8" t="str">
        <f>IFERROR(__xludf.DUMMYFUNCTION("""COMPUTED_VALUE"""),"Large, noisy trucks that drive over cars and crush them.")</f>
        <v>Large, noisy trucks that drive over cars and crush them.</v>
      </c>
      <c r="C354" s="13" t="str">
        <f>IFERROR(__xludf.DUMMYFUNCTION("""COMPUTED_VALUE"""),"""tgtn"":{""label"":""Monster Trucks"",""extra"":""Large, noisy trucks that drive over cars and crush them."",""sets"":""Junior""},")</f>
        <v>"tgtn":{"label":"Monster Trucks","extra":"Large, noisy trucks that drive over cars and crush them.","sets":"Junior"},</v>
      </c>
    </row>
    <row r="355">
      <c r="A355" s="8" t="str">
        <f>IFERROR(__xludf.DUMMYFUNCTION("""COMPUTED_VALUE"""),"Monsters")</f>
        <v>Monsters</v>
      </c>
      <c r="B355" s="8" t="str">
        <f>IFERROR(__xludf.DUMMYFUNCTION("""COMPUTED_VALUE"""),"Some people think they live in closets, basements, or under beds.")</f>
        <v>Some people think they live in closets, basements, or under beds.</v>
      </c>
      <c r="C355" s="13" t="str">
        <f>IFERROR(__xludf.DUMMYFUNCTION("""COMPUTED_VALUE"""),"""wbsi"":{""label"":""Monsters"",""extra"":""Some people think they live in closets, basements, or under beds."",""sets"":""Junior""},")</f>
        <v>"wbsi":{"label":"Monsters","extra":"Some people think they live in closets, basements, or under beds.","sets":"Junior"},</v>
      </c>
    </row>
    <row r="356">
      <c r="A356" s="8" t="str">
        <f>IFERROR(__xludf.DUMMYFUNCTION("""COMPUTED_VALUE"""),"Mosquito Bites")</f>
        <v>Mosquito Bites</v>
      </c>
      <c r="B356" s="8" t="str">
        <f>IFERROR(__xludf.DUMMYFUNCTION("""COMPUTED_VALUE"""),"They just want your blood.")</f>
        <v>They just want your blood.</v>
      </c>
      <c r="C356" s="13" t="str">
        <f>IFERROR(__xludf.DUMMYFUNCTION("""COMPUTED_VALUE"""),"""zeoe"":{""label"":""Mosquito Bites"",""extra"":""They just want your blood."",""sets"":""Junior 9+ (2nd)""},")</f>
        <v>"zeoe":{"label":"Mosquito Bites","extra":"They just want your blood.","sets":"Junior 9+ (2nd)"},</v>
      </c>
    </row>
    <row r="357">
      <c r="A357" s="8" t="str">
        <f>IFERROR(__xludf.DUMMYFUNCTION("""COMPUTED_VALUE"""),"Motorcycles")</f>
        <v>Motorcycles</v>
      </c>
      <c r="B357" s="8" t="str">
        <f>IFERROR(__xludf.DUMMYFUNCTION("""COMPUTED_VALUE"""),"Feel the wind in your hair! Or… feel the wind on your helmet!")</f>
        <v>Feel the wind in your hair! Or… feel the wind on your helmet!</v>
      </c>
      <c r="C357" s="13" t="str">
        <f>IFERROR(__xludf.DUMMYFUNCTION("""COMPUTED_VALUE"""),"""fhey"":{""label"":""Motorcycles"",""extra"":""Feel the wind in your hair! Or… feel the wind on your helmet!"",""sets"":""Junior 9+ (2nd)""},")</f>
        <v>"fhey":{"label":"Motorcycles","extra":"Feel the wind in your hair! Or… feel the wind on your helmet!","sets":"Junior 9+ (2nd)"},</v>
      </c>
    </row>
    <row r="358">
      <c r="A358" s="8" t="str">
        <f>IFERROR(__xludf.DUMMYFUNCTION("""COMPUTED_VALUE"""),"Mountain Bikes")</f>
        <v>Mountain Bikes</v>
      </c>
      <c r="B358" s="8" t="str">
        <f>IFERROR(__xludf.DUMMYFUNCTION("""COMPUTED_VALUE"""),"What goes up the mountain must come down.")</f>
        <v>What goes up the mountain must come down.</v>
      </c>
      <c r="C358" s="13" t="str">
        <f>IFERROR(__xludf.DUMMYFUNCTION("""COMPUTED_VALUE"""),"""elyx"":{""label"":""Mountain Bikes"",""extra"":""What goes up the mountain must come down."",""sets"":""Junior 9+ (2nd)""},")</f>
        <v>"elyx":{"label":"Mountain Bikes","extra":"What goes up the mountain must come down.","sets":"Junior 9+ (2nd)"},</v>
      </c>
    </row>
    <row r="359">
      <c r="A359" s="8" t="str">
        <f>IFERROR(__xludf.DUMMYFUNCTION("""COMPUTED_VALUE"""),"Mountains")</f>
        <v>Mountains</v>
      </c>
      <c r="B359" s="8" t="str">
        <f>IFERROR(__xludf.DUMMYFUNCTION("""COMPUTED_VALUE"""),"Very high hills. Some have snow at the top, even in the summer!")</f>
        <v>Very high hills. Some have snow at the top, even in the summer!</v>
      </c>
      <c r="C359" s="13" t="str">
        <f>IFERROR(__xludf.DUMMYFUNCTION("""COMPUTED_VALUE"""),"""slbu"":{""label"":""Mountains"",""extra"":""Very high hills. Some have snow at the top, even in the summer!"",""sets"":""Junior""},")</f>
        <v>"slbu":{"label":"Mountains","extra":"Very high hills. Some have snow at the top, even in the summer!","sets":"Junior"},</v>
      </c>
    </row>
    <row r="360">
      <c r="A360" s="8" t="str">
        <f>IFERROR(__xludf.DUMMYFUNCTION("""COMPUTED_VALUE"""),"Mr. Potato Head")</f>
        <v>Mr. Potato Head</v>
      </c>
      <c r="B360" s="8" t="str">
        <f>IFERROR(__xludf.DUMMYFUNCTION("""COMPUTED_VALUE"""),"Mr. Potato Head was introduced in 1952. By now, that would be Grandpa Potato Head.")</f>
        <v>Mr. Potato Head was introduced in 1952. By now, that would be Grandpa Potato Head.</v>
      </c>
      <c r="C360" s="13" t="str">
        <f>IFERROR(__xludf.DUMMYFUNCTION("""COMPUTED_VALUE"""),"""odpt"":{""label"":""Mr. Potato Head"",""extra"":""Mr. Potato Head was introduced in 1952. By now, that would be Grandpa Potato Head."",""sets"":""Junior 9+ (2nd)""},")</f>
        <v>"odpt":{"label":"Mr. Potato Head","extra":"Mr. Potato Head was introduced in 1952. By now, that would be Grandpa Potato Head.","sets":"Junior 9+ (2nd)"},</v>
      </c>
    </row>
    <row r="361">
      <c r="A361" s="8" t="str">
        <f>IFERROR(__xludf.DUMMYFUNCTION("""COMPUTED_VALUE"""),"Mud")</f>
        <v>Mud</v>
      </c>
      <c r="B361" s="8" t="str">
        <f>IFERROR(__xludf.DUMMYFUNCTION("""COMPUTED_VALUE"""),"Soft, wet, sticky, gooey, gritty, grimy dirt.")</f>
        <v>Soft, wet, sticky, gooey, gritty, grimy dirt.</v>
      </c>
      <c r="C361" s="13" t="str">
        <f>IFERROR(__xludf.DUMMYFUNCTION("""COMPUTED_VALUE"""),"""soxx"":{""label"":""Mud"",""extra"":""Soft, wet, sticky, gooey, gritty, grimy dirt."",""sets"":""Junior 9+ (1st) &amp; (2nd)""},")</f>
        <v>"soxx":{"label":"Mud","extra":"Soft, wet, sticky, gooey, gritty, grimy dirt.","sets":"Junior 9+ (1st) &amp; (2nd)"},</v>
      </c>
    </row>
    <row r="362">
      <c r="A362" s="8" t="str">
        <f>IFERROR(__xludf.DUMMYFUNCTION("""COMPUTED_VALUE"""),"Muddy Feet")</f>
        <v>Muddy Feet</v>
      </c>
      <c r="B362" s="8" t="str">
        <f>IFERROR(__xludf.DUMMYFUNCTION("""COMPUTED_VALUE"""),"Squish your toes!")</f>
        <v>Squish your toes!</v>
      </c>
      <c r="C362" s="13" t="str">
        <f>IFERROR(__xludf.DUMMYFUNCTION("""COMPUTED_VALUE"""),"""hzod"":{""label"":""Muddy Feet"",""extra"":""Squish your toes!"",""sets"":""Junior""},")</f>
        <v>"hzod":{"label":"Muddy Feet","extra":"Squish your toes!","sets":"Junior"},</v>
      </c>
    </row>
    <row r="363">
      <c r="A363" s="8" t="str">
        <f>IFERROR(__xludf.DUMMYFUNCTION("""COMPUTED_VALUE"""),"Muffins")</f>
        <v>Muffins</v>
      </c>
      <c r="B363" s="8" t="str">
        <f>IFERROR(__xludf.DUMMYFUNCTION("""COMPUTED_VALUE"""),"“Do you know the Muffin Man?”")</f>
        <v>“Do you know the Muffin Man?”</v>
      </c>
      <c r="C363" s="13" t="str">
        <f>IFERROR(__xludf.DUMMYFUNCTION("""COMPUTED_VALUE"""),"""gvlg"":{""label"":""Muffins"",""extra"":""“Do you know the Muffin Man?”"",""sets"":""Junior 9+ (2nd)""},")</f>
        <v>"gvlg":{"label":"Muffins","extra":"“Do you know the Muffin Man?”","sets":"Junior 9+ (2nd)"},</v>
      </c>
    </row>
    <row r="364">
      <c r="A364" s="8" t="str">
        <f>IFERROR(__xludf.DUMMYFUNCTION("""COMPUTED_VALUE"""),"Mushrooms")</f>
        <v>Mushrooms</v>
      </c>
      <c r="B364" s="8" t="str">
        <f>IFERROR(__xludf.DUMMYFUNCTION("""COMPUTED_VALUE"""),"It's a fungus.")</f>
        <v>It's a fungus.</v>
      </c>
      <c r="C364" s="13" t="str">
        <f>IFERROR(__xludf.DUMMYFUNCTION("""COMPUTED_VALUE"""),"""uljg"":{""label"":""Mushrooms"",""extra"":""It's a fungus."",""sets"":""Junior 9+ (2nd)""},")</f>
        <v>"uljg":{"label":"Mushrooms","extra":"It's a fungus.","sets":"Junior 9+ (2nd)"},</v>
      </c>
    </row>
    <row r="365">
      <c r="A365" s="8" t="str">
        <f>IFERROR(__xludf.DUMMYFUNCTION("""COMPUTED_VALUE"""),"Music")</f>
        <v>Music</v>
      </c>
      <c r="B365" s="8" t="str">
        <f>IFERROR(__xludf.DUMMYFUNCTION("""COMPUTED_VALUE"""),"Pick your favorite: country, pop, rock, rap, hip hop, jazz, or classical.")</f>
        <v>Pick your favorite: country, pop, rock, rap, hip hop, jazz, or classical.</v>
      </c>
      <c r="C365" s="13" t="str">
        <f>IFERROR(__xludf.DUMMYFUNCTION("""COMPUTED_VALUE"""),"""njjv"":{""label"":""Music"",""extra"":""Pick your favorite: country, pop, rock, rap, hip hop, jazz, or classical."",""sets"":""Junior 9+ (1st) &amp; (2nd)""},")</f>
        <v>"njjv":{"label":"Music","extra":"Pick your favorite: country, pop, rock, rap, hip hop, jazz, or classical.","sets":"Junior 9+ (1st) &amp; (2nd)"},</v>
      </c>
    </row>
    <row r="366">
      <c r="A366" s="8" t="str">
        <f>IFERROR(__xludf.DUMMYFUNCTION("""COMPUTED_VALUE"""),"Music Lessons")</f>
        <v>Music Lessons</v>
      </c>
      <c r="B366" s="8" t="str">
        <f>IFERROR(__xludf.DUMMYFUNCTION("""COMPUTED_VALUE"""),"Practice, practice, practice.")</f>
        <v>Practice, practice, practice.</v>
      </c>
      <c r="C366" s="13" t="str">
        <f>IFERROR(__xludf.DUMMYFUNCTION("""COMPUTED_VALUE"""),"""trzv"":{""label"":""Music Lessons"",""extra"":""Practice, practice, practice."",""sets"":""Junior 9+ (1st) &amp; (2nd)""},")</f>
        <v>"trzv":{"label":"Music Lessons","extra":"Practice, practice, practice.","sets":"Junior 9+ (1st) &amp; (2nd)"},</v>
      </c>
    </row>
    <row r="367">
      <c r="A367" s="8" t="str">
        <f>IFERROR(__xludf.DUMMYFUNCTION("""COMPUTED_VALUE"""),"Mustard")</f>
        <v>Mustard</v>
      </c>
      <c r="B367" s="8" t="str">
        <f>IFERROR(__xludf.DUMMYFUNCTION("""COMPUTED_VALUE"""),"Made from seeds of the mustard plant. Spread on pretzels and hotdogs.")</f>
        <v>Made from seeds of the mustard plant. Spread on pretzels and hotdogs.</v>
      </c>
      <c r="C367" s="13" t="str">
        <f>IFERROR(__xludf.DUMMYFUNCTION("""COMPUTED_VALUE"""),"""szzo"":{""label"":""Mustard"",""extra"":""Made from seeds of the mustard plant. Spread on pretzels and hotdogs."",""sets"":""Junior 9+ (1st) &amp; (2nd)""},")</f>
        <v>"szzo":{"label":"Mustard","extra":"Made from seeds of the mustard plant. Spread on pretzels and hotdogs.","sets":"Junior 9+ (1st) &amp; (2nd)"},</v>
      </c>
    </row>
    <row r="368">
      <c r="A368" s="8" t="str">
        <f>IFERROR(__xludf.DUMMYFUNCTION("""COMPUTED_VALUE"""),"My Baby Blanket")</f>
        <v>My Baby Blanket</v>
      </c>
      <c r="B368" s="8" t="str">
        <f>IFERROR(__xludf.DUMMYFUNCTION("""COMPUTED_VALUE"""),"I don’t care if it does have holes!")</f>
        <v>I don’t care if it does have holes!</v>
      </c>
      <c r="C368" s="13" t="str">
        <f>IFERROR(__xludf.DUMMYFUNCTION("""COMPUTED_VALUE"""),"""yzoj"":{""label"":""My Baby Blanket"",""extra"":""I don’t care if it does have holes!"",""sets"":""Junior 9+ (2nd)""},")</f>
        <v>"yzoj":{"label":"My Baby Blanket","extra":"I don’t care if it does have holes!","sets":"Junior 9+ (2nd)"},</v>
      </c>
    </row>
    <row r="369">
      <c r="A369" s="8" t="str">
        <f>IFERROR(__xludf.DUMMYFUNCTION("""COMPUTED_VALUE"""),"My Best Friend")</f>
        <v>My Best Friend</v>
      </c>
      <c r="B369" s="8" t="str">
        <f>IFERROR(__xludf.DUMMYFUNCTION("""COMPUTED_VALUE"""),"A person you can trust, no matter what.")</f>
        <v>A person you can trust, no matter what.</v>
      </c>
      <c r="C369" s="13" t="str">
        <f>IFERROR(__xludf.DUMMYFUNCTION("""COMPUTED_VALUE"""),"""vqbq"":{""label"":""My Best Friend"",""extra"":""A person you can trust, no matter what."",""sets"":""Junior 9+ (2nd)""},")</f>
        <v>"vqbq":{"label":"My Best Friend","extra":"A person you can trust, no matter what.","sets":"Junior 9+ (2nd)"},</v>
      </c>
    </row>
    <row r="370">
      <c r="A370" s="8" t="str">
        <f>IFERROR(__xludf.DUMMYFUNCTION("""COMPUTED_VALUE"""),"My Dad")</f>
        <v>My Dad</v>
      </c>
      <c r="B370" s="8" t="str">
        <f>IFERROR(__xludf.DUMMYFUNCTION("""COMPUTED_VALUE"""),"Father, Daddy, Papa.")</f>
        <v>Father, Daddy, Papa.</v>
      </c>
      <c r="C370" s="13" t="str">
        <f>IFERROR(__xludf.DUMMYFUNCTION("""COMPUTED_VALUE"""),"""gywt"":{""label"":""My Dad"",""extra"":""Father, Daddy, Papa."",""sets"":""Junior""},")</f>
        <v>"gywt":{"label":"My Dad","extra":"Father, Daddy, Papa.","sets":"Junior"},</v>
      </c>
    </row>
    <row r="371">
      <c r="A371" s="8" t="str">
        <f>IFERROR(__xludf.DUMMYFUNCTION("""COMPUTED_VALUE"""),"My Family")</f>
        <v>My Family</v>
      </c>
      <c r="B371" s="8" t="str">
        <f>IFERROR(__xludf.DUMMYFUNCTION("""COMPUTED_VALUE"""),"Everyone's family is different.")</f>
        <v>Everyone's family is different.</v>
      </c>
      <c r="C371" s="13" t="str">
        <f>IFERROR(__xludf.DUMMYFUNCTION("""COMPUTED_VALUE"""),"""oyzw"":{""label"":""My Family"",""extra"":""Everyone's family is different."",""sets"":""Junior 9+ (1st) &amp; (2nd)""},")</f>
        <v>"oyzw":{"label":"My Family","extra":"Everyone's family is different.","sets":"Junior 9+ (1st) &amp; (2nd)"},</v>
      </c>
    </row>
    <row r="372">
      <c r="A372" s="8" t="str">
        <f>IFERROR(__xludf.DUMMYFUNCTION("""COMPUTED_VALUE"""),"My Friends")</f>
        <v>My Friends</v>
      </c>
      <c r="B372" s="8" t="str">
        <f>IFERROR(__xludf.DUMMYFUNCTION("""COMPUTED_VALUE"""),"To have good friends, you have to be one.")</f>
        <v>To have good friends, you have to be one.</v>
      </c>
      <c r="C372" s="13" t="str">
        <f>IFERROR(__xludf.DUMMYFUNCTION("""COMPUTED_VALUE"""),"""hspm"":{""label"":""My Friends"",""extra"":""To have good friends, you have to be one."",""sets"":""Junior 9+ (1st) &amp; (2nd)""},")</f>
        <v>"hspm":{"label":"My Friends","extra":"To have good friends, you have to be one.","sets":"Junior 9+ (1st) &amp; (2nd)"},</v>
      </c>
    </row>
    <row r="373">
      <c r="A373" s="8" t="str">
        <f>IFERROR(__xludf.DUMMYFUNCTION("""COMPUTED_VALUE"""),"My Grandma")</f>
        <v>My Grandma</v>
      </c>
      <c r="B373" s="8" t="str">
        <f>IFERROR(__xludf.DUMMYFUNCTION("""COMPUTED_VALUE"""),"My mom or dad’s mother.")</f>
        <v>My mom or dad’s mother.</v>
      </c>
      <c r="C373" s="13" t="str">
        <f>IFERROR(__xludf.DUMMYFUNCTION("""COMPUTED_VALUE"""),"""rzby"":{""label"":""My Grandma"",""extra"":""My mom or dad’s mother."",""sets"":""Junior""},")</f>
        <v>"rzby":{"label":"My Grandma","extra":"My mom or dad’s mother.","sets":"Junior"},</v>
      </c>
    </row>
    <row r="374">
      <c r="A374" s="8" t="str">
        <f>IFERROR(__xludf.DUMMYFUNCTION("""COMPUTED_VALUE"""),"My Grandpa")</f>
        <v>My Grandpa</v>
      </c>
      <c r="B374" s="8" t="str">
        <f>IFERROR(__xludf.DUMMYFUNCTION("""COMPUTED_VALUE"""),"My mom or dad’s father.")</f>
        <v>My mom or dad’s father.</v>
      </c>
      <c r="C374" s="13" t="str">
        <f>IFERROR(__xludf.DUMMYFUNCTION("""COMPUTED_VALUE"""),"""wzni"":{""label"":""My Grandpa"",""extra"":""My mom or dad’s father."",""sets"":""Junior""},")</f>
        <v>"wzni":{"label":"My Grandpa","extra":"My mom or dad’s father.","sets":"Junior"},</v>
      </c>
    </row>
    <row r="375">
      <c r="A375" s="8" t="str">
        <f>IFERROR(__xludf.DUMMYFUNCTION("""COMPUTED_VALUE"""),"My Hair")</f>
        <v>My Hair</v>
      </c>
      <c r="B375" s="8" t="str">
        <f>IFERROR(__xludf.DUMMYFUNCTION("""COMPUTED_VALUE"""),"You can curl it, cut it, and color it!")</f>
        <v>You can curl it, cut it, and color it!</v>
      </c>
      <c r="C375" s="13" t="str">
        <f>IFERROR(__xludf.DUMMYFUNCTION("""COMPUTED_VALUE"""),"""koru"":{""label"":""My Hair"",""extra"":""You can curl it, cut it, and color it!"",""sets"":""Junior""},")</f>
        <v>"koru":{"label":"My Hair","extra":"You can curl it, cut it, and color it!","sets":"Junior"},</v>
      </c>
    </row>
    <row r="376">
      <c r="A376" s="8" t="str">
        <f>IFERROR(__xludf.DUMMYFUNCTION("""COMPUTED_VALUE"""),"My Home")</f>
        <v>My Home</v>
      </c>
      <c r="B376" s="8" t="str">
        <f>IFERROR(__xludf.DUMMYFUNCTION("""COMPUTED_VALUE"""),"There’s no place like home!")</f>
        <v>There’s no place like home!</v>
      </c>
      <c r="C376" s="13" t="str">
        <f>IFERROR(__xludf.DUMMYFUNCTION("""COMPUTED_VALUE"""),"""jdqp"":{""label"":""My Home"",""extra"":""There’s no place like home!"",""sets"":""Junior""},")</f>
        <v>"jdqp":{"label":"My Home","extra":"There’s no place like home!","sets":"Junior"},</v>
      </c>
    </row>
    <row r="377">
      <c r="A377" s="8" t="str">
        <f>IFERROR(__xludf.DUMMYFUNCTION("""COMPUTED_VALUE"""),"My Mom")</f>
        <v>My Mom</v>
      </c>
      <c r="B377" s="8" t="str">
        <f>IFERROR(__xludf.DUMMYFUNCTION("""COMPUTED_VALUE"""),"Mother, Mommy, Mama.")</f>
        <v>Mother, Mommy, Mama.</v>
      </c>
      <c r="C377" s="13" t="str">
        <f>IFERROR(__xludf.DUMMYFUNCTION("""COMPUTED_VALUE"""),"""zwys"":{""label"":""My Mom"",""extra"":""Mother, Mommy, Mama."",""sets"":""Junior""},")</f>
        <v>"zwys":{"label":"My Mom","extra":"Mother, Mommy, Mama.","sets":"Junior"},</v>
      </c>
    </row>
    <row r="378">
      <c r="A378" s="8" t="str">
        <f>IFERROR(__xludf.DUMMYFUNCTION("""COMPUTED_VALUE"""),"My Room")</f>
        <v>My Room</v>
      </c>
      <c r="B378" s="8" t="str">
        <f>IFERROR(__xludf.DUMMYFUNCTION("""COMPUTED_VALUE"""),"Where I sleep and keep all my things. KEEP OUT!")</f>
        <v>Where I sleep and keep all my things. KEEP OUT!</v>
      </c>
      <c r="C378" s="13" t="str">
        <f>IFERROR(__xludf.DUMMYFUNCTION("""COMPUTED_VALUE"""),"""kplk"":{""label"":""My Room"",""extra"":""Where I sleep and keep all my things. KEEP OUT!"",""sets"":""Junior""},")</f>
        <v>"kplk":{"label":"My Room","extra":"Where I sleep and keep all my things. KEEP OUT!","sets":"Junior"},</v>
      </c>
    </row>
    <row r="379">
      <c r="A379" s="8" t="str">
        <f>IFERROR(__xludf.DUMMYFUNCTION("""COMPUTED_VALUE"""),"My School")</f>
        <v>My School</v>
      </c>
      <c r="B379" s="8" t="str">
        <f>IFERROR(__xludf.DUMMYFUNCTION("""COMPUTED_VALUE"""),"“Be true to your school.”")</f>
        <v>“Be true to your school.”</v>
      </c>
      <c r="C379" s="13" t="str">
        <f>IFERROR(__xludf.DUMMYFUNCTION("""COMPUTED_VALUE"""),"""owrt"":{""label"":""My School"",""extra"":""“Be true to your school.”"",""sets"":""Junior 9+ (1st) &amp; (2nd)""},")</f>
        <v>"owrt":{"label":"My School","extra":"“Be true to your school.”","sets":"Junior 9+ (1st) &amp; (2nd)"},</v>
      </c>
    </row>
    <row r="380">
      <c r="A380" s="8" t="str">
        <f>IFERROR(__xludf.DUMMYFUNCTION("""COMPUTED_VALUE"""),"My Shoes")</f>
        <v>My Shoes</v>
      </c>
      <c r="B380" s="8" t="str">
        <f>IFERROR(__xludf.DUMMYFUNCTION("""COMPUTED_VALUE"""),"Old shoes, new shoes, red shoes, blue shoes.")</f>
        <v>Old shoes, new shoes, red shoes, blue shoes.</v>
      </c>
      <c r="C380" s="13" t="str">
        <f>IFERROR(__xludf.DUMMYFUNCTION("""COMPUTED_VALUE"""),"""moek"":{""label"":""My Shoes"",""extra"":""Old shoes, new shoes, red shoes, blue shoes."",""sets"":""Junior""},")</f>
        <v>"moek":{"label":"My Shoes","extra":"Old shoes, new shoes, red shoes, blue shoes.","sets":"Junior"},</v>
      </c>
    </row>
    <row r="381">
      <c r="A381" s="8" t="str">
        <f>IFERROR(__xludf.DUMMYFUNCTION("""COMPUTED_VALUE"""),"My Stuffed Animals")</f>
        <v>My Stuffed Animals</v>
      </c>
      <c r="B381" s="8" t="str">
        <f>IFERROR(__xludf.DUMMYFUNCTION("""COMPUTED_VALUE"""),"The dog’s name is Lucky, the bear is Teddy, and the duck is Quacker.")</f>
        <v>The dog’s name is Lucky, the bear is Teddy, and the duck is Quacker.</v>
      </c>
      <c r="C381" s="13" t="str">
        <f>IFERROR(__xludf.DUMMYFUNCTION("""COMPUTED_VALUE"""),"""{rbe"":{""label"":""My Stuffed Animals"",""extra"":""The dog’s name is Lucky, the bear is Teddy, and the duck is Quacker."",""sets"":""Junior 9+ (2nd)""},")</f>
        <v>"{rbe":{"label":"My Stuffed Animals","extra":"The dog’s name is Lucky, the bear is Teddy, and the duck is Quacker.","sets":"Junior 9+ (2nd)"},</v>
      </c>
    </row>
    <row r="382">
      <c r="A382" s="8" t="str">
        <f>IFERROR(__xludf.DUMMYFUNCTION("""COMPUTED_VALUE"""),"My Teacher")</f>
        <v>My Teacher</v>
      </c>
      <c r="B382" s="8" t="str">
        <f>IFERROR(__xludf.DUMMYFUNCTION("""COMPUTED_VALUE"""),"If you can read this card, thank a teacher!")</f>
        <v>If you can read this card, thank a teacher!</v>
      </c>
      <c r="C382" s="13" t="str">
        <f>IFERROR(__xludf.DUMMYFUNCTION("""COMPUTED_VALUE"""),"""ozvt"":{""label"":""My Teacher"",""extra"":""If you can read this card, thank a teacher!"",""sets"":""Junior""},")</f>
        <v>"ozvt":{"label":"My Teacher","extra":"If you can read this card, thank a teacher!","sets":"Junior"},</v>
      </c>
    </row>
    <row r="383">
      <c r="A383" s="8" t="str">
        <f>IFERROR(__xludf.DUMMYFUNCTION("""COMPUTED_VALUE"""),"My Town")</f>
        <v>My Town</v>
      </c>
      <c r="B383" s="8" t="str">
        <f>IFERROR(__xludf.DUMMYFUNCTION("""COMPUTED_VALUE"""),"Large or small, it’s home.")</f>
        <v>Large or small, it’s home.</v>
      </c>
      <c r="C383" s="13" t="str">
        <f>IFERROR(__xludf.DUMMYFUNCTION("""COMPUTED_VALUE"""),"""ghti"":{""label"":""My Town"",""extra"":""Large or small, it’s home."",""sets"":""Junior 9+ (2nd)""},")</f>
        <v>"ghti":{"label":"My Town","extra":"Large or small, it’s home.","sets":"Junior 9+ (2nd)"},</v>
      </c>
    </row>
    <row r="384">
      <c r="A384" s="8" t="str">
        <f>IFERROR(__xludf.DUMMYFUNCTION("""COMPUTED_VALUE"""),"Nail Polish")</f>
        <v>Nail Polish</v>
      </c>
      <c r="B384" s="8" t="str">
        <f>IFERROR(__xludf.DUMMYFUNCTION("""COMPUTED_VALUE"""),"Whatever color you want.")</f>
        <v>Whatever color you want.</v>
      </c>
      <c r="C384" s="13" t="str">
        <f>IFERROR(__xludf.DUMMYFUNCTION("""COMPUTED_VALUE"""),"""tglc"":{""label"":""Nail Polish"",""extra"":""Whatever color you want."",""sets"":""Junior 9+ (2nd)""},")</f>
        <v>"tglc":{"label":"Nail Polish","extra":"Whatever color you want.","sets":"Junior 9+ (2nd)"},</v>
      </c>
    </row>
    <row r="385">
      <c r="A385" s="8" t="str">
        <f>IFERROR(__xludf.DUMMYFUNCTION("""COMPUTED_VALUE"""),"Neighbors")</f>
        <v>Neighbors</v>
      </c>
      <c r="B385" s="8" t="str">
        <f>IFERROR(__xludf.DUMMYFUNCTION("""COMPUTED_VALUE"""),"Turn down that music!")</f>
        <v>Turn down that music!</v>
      </c>
      <c r="C385" s="13" t="str">
        <f>IFERROR(__xludf.DUMMYFUNCTION("""COMPUTED_VALUE"""),"""pbmn"":{""label"":""Neighbors"",""extra"":""Turn down that music!"",""sets"":""Junior 9+ (2nd)""},")</f>
        <v>"pbmn":{"label":"Neighbors","extra":"Turn down that music!","sets":"Junior 9+ (2nd)"},</v>
      </c>
    </row>
    <row r="386">
      <c r="A386" s="8" t="str">
        <f>IFERROR(__xludf.DUMMYFUNCTION("""COMPUTED_VALUE"""),"New York City")</f>
        <v>New York City</v>
      </c>
      <c r="B386" s="8" t="str">
        <f>IFERROR(__xludf.DUMMYFUNCTION("""COMPUTED_VALUE"""),"America’s largest city, known for the Statue of Liberty.")</f>
        <v>America’s largest city, known for the Statue of Liberty.</v>
      </c>
      <c r="C386" s="13" t="str">
        <f>IFERROR(__xludf.DUMMYFUNCTION("""COMPUTED_VALUE"""),"""slhc"":{""label"":""New York City"",""extra"":""America’s largest city, known for the Statue of Liberty."",""sets"":""Junior 9+ (1st) &amp; (2nd)""},")</f>
        <v>"slhc":{"label":"New York City","extra":"America’s largest city, known for the Statue of Liberty.","sets":"Junior 9+ (1st) &amp; (2nd)"},</v>
      </c>
    </row>
    <row r="387">
      <c r="A387" s="8" t="str">
        <f>IFERROR(__xludf.DUMMYFUNCTION("""COMPUTED_VALUE"""),"Niagara Falls")</f>
        <v>Niagara Falls</v>
      </c>
      <c r="B387" s="8" t="str">
        <f>IFERROR(__xludf.DUMMYFUNCTION("""COMPUTED_VALUE"""),"The 2nd largest waterfall in the world, located on the United States border with Canada.")</f>
        <v>The 2nd largest waterfall in the world, located on the United States border with Canada.</v>
      </c>
      <c r="C387" s="13" t="str">
        <f>IFERROR(__xludf.DUMMYFUNCTION("""COMPUTED_VALUE"""),"""tqxu"":{""label"":""Niagara Falls"",""extra"":""The 2nd largest waterfall in the world, located on the United States border with Canada."",""sets"":""Junior 9+ (1st) &amp; (2nd)""},")</f>
        <v>"tqxu":{"label":"Niagara Falls","extra":"The 2nd largest waterfall in the world, located on the United States border with Canada.","sets":"Junior 9+ (1st) &amp; (2nd)"},</v>
      </c>
    </row>
    <row r="388">
      <c r="A388" s="8" t="str">
        <f>IFERROR(__xludf.DUMMYFUNCTION("""COMPUTED_VALUE"""),"Night")</f>
        <v>Night</v>
      </c>
      <c r="B388" s="8" t="str">
        <f>IFERROR(__xludf.DUMMYFUNCTION("""COMPUTED_VALUE"""),"You can see stars and the moon in the sky.")</f>
        <v>You can see stars and the moon in the sky.</v>
      </c>
      <c r="C388" s="13" t="str">
        <f>IFERROR(__xludf.DUMMYFUNCTION("""COMPUTED_VALUE"""),"""rozp"":{""label"":""Night"",""extra"":""You can see stars and the moon in the sky."",""sets"":""Junior""},")</f>
        <v>"rozp":{"label":"Night","extra":"You can see stars and the moon in the sky.","sets":"Junior"},</v>
      </c>
    </row>
    <row r="389">
      <c r="A389" s="8" t="str">
        <f>IFERROR(__xludf.DUMMYFUNCTION("""COMPUTED_VALUE"""),"Noodles")</f>
        <v>Noodles</v>
      </c>
      <c r="B389" s="8" t="str">
        <f>IFERROR(__xludf.DUMMYFUNCTION("""COMPUTED_VALUE"""),"Most noodles are made with flour, water and eggs, but some contain seaweed or spinach.")</f>
        <v>Most noodles are made with flour, water and eggs, but some contain seaweed or spinach.</v>
      </c>
      <c r="C389" s="13" t="str">
        <f>IFERROR(__xludf.DUMMYFUNCTION("""COMPUTED_VALUE"""),"""pqju"":{""label"":""Noodles"",""extra"":""Most noodles are made with flour, water and eggs, but some contain seaweed or spinach."",""sets"":""Junior 9+ (1st) &amp; (2nd)""},")</f>
        <v>"pqju":{"label":"Noodles","extra":"Most noodles are made with flour, water and eggs, but some contain seaweed or spinach.","sets":"Junior 9+ (1st) &amp; (2nd)"},</v>
      </c>
    </row>
    <row r="390">
      <c r="A390" s="8" t="str">
        <f>IFERROR(__xludf.DUMMYFUNCTION("""COMPUTED_VALUE"""),"North Pole")</f>
        <v>North Pole</v>
      </c>
      <c r="B390" s="8" t="str">
        <f>IFERROR(__xludf.DUMMYFUNCTION("""COMPUTED_VALUE"""),"The northern most point on the earth, but you're not going to find a pole there.")</f>
        <v>The northern most point on the earth, but you're not going to find a pole there.</v>
      </c>
      <c r="C390" s="13" t="str">
        <f>IFERROR(__xludf.DUMMYFUNCTION("""COMPUTED_VALUE"""),"""oklv"":{""label"":""North Pole"",""extra"":""The northern most point on the earth, but you're not going to find a pole there."",""sets"":""Junior 9+ (1st) &amp; (2nd)""},")</f>
        <v>"oklv":{"label":"North Pole","extra":"The northern most point on the earth, but you're not going to find a pole there.","sets":"Junior 9+ (1st) &amp; (2nd)"},</v>
      </c>
    </row>
    <row r="391">
      <c r="A391" s="8" t="str">
        <f>IFERROR(__xludf.DUMMYFUNCTION("""COMPUTED_VALUE"""),"Oatmeal")</f>
        <v>Oatmeal</v>
      </c>
      <c r="B391" s="8" t="str">
        <f>IFERROR(__xludf.DUMMYFUNCTION("""COMPUTED_VALUE"""),"A hot cereal made from oats. It sticks to your ribs, and to the floor!")</f>
        <v>A hot cereal made from oats. It sticks to your ribs, and to the floor!</v>
      </c>
      <c r="C391" s="13" t="str">
        <f>IFERROR(__xludf.DUMMYFUNCTION("""COMPUTED_VALUE"""),"""majg"":{""label"":""Oatmeal"",""extra"":""A hot cereal made from oats. It sticks to your ribs, and to the floor!"",""sets"":""Junior""},")</f>
        <v>"majg":{"label":"Oatmeal","extra":"A hot cereal made from oats. It sticks to your ribs, and to the floor!","sets":"Junior"},</v>
      </c>
    </row>
    <row r="392">
      <c r="A392" s="8" t="str">
        <f>IFERROR(__xludf.DUMMYFUNCTION("""COMPUTED_VALUE"""),"Octopus")</f>
        <v>Octopus</v>
      </c>
      <c r="B392" s="8" t="str">
        <f>IFERROR(__xludf.DUMMYFUNCTION("""COMPUTED_VALUE"""),"A sea animal with a soft, round body and eight long arms, called tentacles.")</f>
        <v>A sea animal with a soft, round body and eight long arms, called tentacles.</v>
      </c>
      <c r="C392" s="13" t="str">
        <f>IFERROR(__xludf.DUMMYFUNCTION("""COMPUTED_VALUE"""),"""ur{r"":{""label"":""Octopus"",""extra"":""A sea animal with a soft, round body and eight long arms, called tentacles."",""sets"":""Junior 9+ (1st) &amp; (2nd)""},")</f>
        <v>"ur{r":{"label":"Octopus","extra":"A sea animal with a soft, round body and eight long arms, called tentacles.","sets":"Junior 9+ (1st) &amp; (2nd)"},</v>
      </c>
    </row>
    <row r="393">
      <c r="A393" s="8" t="str">
        <f>IFERROR(__xludf.DUMMYFUNCTION("""COMPUTED_VALUE"""),"On The Roof")</f>
        <v>On The Roof</v>
      </c>
      <c r="B393" s="8" t="str">
        <f>IFERROR(__xludf.DUMMYFUNCTION("""COMPUTED_VALUE"""),"Come down this instant!")</f>
        <v>Come down this instant!</v>
      </c>
      <c r="C393" s="13" t="str">
        <f>IFERROR(__xludf.DUMMYFUNCTION("""COMPUTED_VALUE"""),"""qrll"":{""label"":""On The Roof"",""extra"":""Come down this instant!"",""sets"":""Junior 9+ (2nd)""},")</f>
        <v>"qrll":{"label":"On The Roof","extra":"Come down this instant!","sets":"Junior 9+ (2nd)"},</v>
      </c>
    </row>
    <row r="394">
      <c r="A394" s="8" t="str">
        <f>IFERROR(__xludf.DUMMYFUNCTION("""COMPUTED_VALUE"""),"Onions")</f>
        <v>Onions</v>
      </c>
      <c r="B394" s="8" t="str">
        <f>IFERROR(__xludf.DUMMYFUNCTION("""COMPUTED_VALUE"""),"Round root vegetables with a strong smell and taste. They might make you cry!")</f>
        <v>Round root vegetables with a strong smell and taste. They might make you cry!</v>
      </c>
      <c r="C394" s="13" t="str">
        <f>IFERROR(__xludf.DUMMYFUNCTION("""COMPUTED_VALUE"""),"""comh"":{""label"":""Onions"",""extra"":""Round root vegetables with a strong smell and taste. They might make you cry!"",""sets"":""Junior""},")</f>
        <v>"comh":{"label":"Onions","extra":"Round root vegetables with a strong smell and taste. They might make you cry!","sets":"Junior"},</v>
      </c>
    </row>
    <row r="395">
      <c r="A395" s="8" t="str">
        <f>IFERROR(__xludf.DUMMYFUNCTION("""COMPUTED_VALUE"""),"Orange Juice")</f>
        <v>Orange Juice</v>
      </c>
      <c r="B395" s="8" t="str">
        <f>IFERROR(__xludf.DUMMYFUNCTION("""COMPUTED_VALUE"""),"Sunshine in a glass!")</f>
        <v>Sunshine in a glass!</v>
      </c>
      <c r="C395" s="13" t="str">
        <f>IFERROR(__xludf.DUMMYFUNCTION("""COMPUTED_VALUE"""),"""nzzg"":{""label"":""Orange Juice"",""extra"":""Sunshine in a glass!"",""sets"":""Junior 9+ (2nd)""},")</f>
        <v>"nzzg":{"label":"Orange Juice","extra":"Sunshine in a glass!","sets":"Junior 9+ (2nd)"},</v>
      </c>
    </row>
    <row r="396">
      <c r="A396" s="8" t="str">
        <f>IFERROR(__xludf.DUMMYFUNCTION("""COMPUTED_VALUE"""),"Oranges")</f>
        <v>Oranges</v>
      </c>
      <c r="B396" s="8" t="str">
        <f>IFERROR(__xludf.DUMMYFUNCTION("""COMPUTED_VALUE"""),"Round orange fruit, often made into juice. Some oranges have navels.")</f>
        <v>Round orange fruit, often made into juice. Some oranges have navels.</v>
      </c>
      <c r="C396" s="13" t="str">
        <f>IFERROR(__xludf.DUMMYFUNCTION("""COMPUTED_VALUE"""),"""cmn{"":{""label"":""Oranges"",""extra"":""Round orange fruit, often made into juice. Some oranges have navels."",""sets"":""Junior""},")</f>
        <v>"cmn{":{"label":"Oranges","extra":"Round orange fruit, often made into juice. Some oranges have navels.","sets":"Junior"},</v>
      </c>
    </row>
    <row r="397">
      <c r="A397" s="8" t="str">
        <f>IFERROR(__xludf.DUMMYFUNCTION("""COMPUTED_VALUE"""),"Outer Space")</f>
        <v>Outer Space</v>
      </c>
      <c r="B397" s="8" t="str">
        <f>IFERROR(__xludf.DUMMYFUNCTION("""COMPUTED_VALUE"""),"Where the sun, moon, and planets are located. Maybe you’ll visit there some day.")</f>
        <v>Where the sun, moon, and planets are located. Maybe you’ll visit there some day.</v>
      </c>
      <c r="C397" s="13" t="str">
        <f>IFERROR(__xludf.DUMMYFUNCTION("""COMPUTED_VALUE"""),"""wbna"":{""label"":""Outer Space"",""extra"":""Where the sun, moon, and planets are located. Maybe you’ll visit there some day."",""sets"":""Junior""},")</f>
        <v>"wbna":{"label":"Outer Space","extra":"Where the sun, moon, and planets are located. Maybe you’ll visit there some day.","sets":"Junior"},</v>
      </c>
    </row>
    <row r="398">
      <c r="A398" s="8" t="str">
        <f>IFERROR(__xludf.DUMMYFUNCTION("""COMPUTED_VALUE"""),"Owls")</f>
        <v>Owls</v>
      </c>
      <c r="B398" s="8" t="str">
        <f>IFERROR(__xludf.DUMMYFUNCTION("""COMPUTED_VALUE"""),"Birds with large eyes and heads. They eat mice and snakes. Hoot-hoot.")</f>
        <v>Birds with large eyes and heads. They eat mice and snakes. Hoot-hoot.</v>
      </c>
      <c r="C398" s="13" t="str">
        <f>IFERROR(__xludf.DUMMYFUNCTION("""COMPUTED_VALUE"""),"""xbpe"":{""label"":""Owls"",""extra"":""Birds with large eyes and heads. They eat mice and snakes. Hoot-hoot."",""sets"":""Junior""},")</f>
        <v>"xbpe":{"label":"Owls","extra":"Birds with large eyes and heads. They eat mice and snakes. Hoot-hoot.","sets":"Junior"},</v>
      </c>
    </row>
    <row r="399">
      <c r="A399" s="8" t="str">
        <f>IFERROR(__xludf.DUMMYFUNCTION("""COMPUTED_VALUE"""),"Pacific Ocean")</f>
        <v>Pacific Ocean</v>
      </c>
      <c r="B399" s="8" t="str">
        <f>IFERROR(__xludf.DUMMYFUNCTION("""COMPUTED_VALUE"""),"The Pacific is the largest, and deepest, ocean on Earth.")</f>
        <v>The Pacific is the largest, and deepest, ocean on Earth.</v>
      </c>
      <c r="C399" s="13" t="str">
        <f>IFERROR(__xludf.DUMMYFUNCTION("""COMPUTED_VALUE"""),"""buua"":{""label"":""Pacific Ocean"",""extra"":""The Pacific is the largest, and deepest, ocean on Earth."",""sets"":""Junior 9+ (2nd)""},")</f>
        <v>"buua":{"label":"Pacific Ocean","extra":"The Pacific is the largest, and deepest, ocean on Earth.","sets":"Junior 9+ (2nd)"},</v>
      </c>
    </row>
    <row r="400">
      <c r="A400" s="8" t="str">
        <f>IFERROR(__xludf.DUMMYFUNCTION("""COMPUTED_VALUE"""),"Painting A Fence")</f>
        <v>Painting A Fence</v>
      </c>
      <c r="B400" s="8" t="str">
        <f>IFERROR(__xludf.DUMMYFUNCTION("""COMPUTED_VALUE"""),"A good way to earn some money.")</f>
        <v>A good way to earn some money.</v>
      </c>
      <c r="C400" s="13" t="str">
        <f>IFERROR(__xludf.DUMMYFUNCTION("""COMPUTED_VALUE"""),"""ljvq"":{""label"":""Painting A Fence"",""extra"":""A good way to earn some money."",""sets"":""Junior 9+ (1st) &amp; (2nd)""},")</f>
        <v>"ljvq":{"label":"Painting A Fence","extra":"A good way to earn some money.","sets":"Junior 9+ (1st) &amp; (2nd)"},</v>
      </c>
    </row>
    <row r="401">
      <c r="A401" s="8" t="str">
        <f>IFERROR(__xludf.DUMMYFUNCTION("""COMPUTED_VALUE"""),"Pajamas")</f>
        <v>Pajamas</v>
      </c>
      <c r="B401" s="8" t="str">
        <f>IFERROR(__xludf.DUMMYFUNCTION("""COMPUTED_VALUE"""),"Clothes you sleep in. Some have feet!")</f>
        <v>Clothes you sleep in. Some have feet!</v>
      </c>
      <c r="C401" s="13" t="str">
        <f>IFERROR(__xludf.DUMMYFUNCTION("""COMPUTED_VALUE"""),"""ytjk"":{""label"":""Pajamas"",""extra"":""Clothes you sleep in. Some have feet!"",""sets"":""Junior""},")</f>
        <v>"ytjk":{"label":"Pajamas","extra":"Clothes you sleep in. Some have feet!","sets":"Junior"},</v>
      </c>
    </row>
    <row r="402">
      <c r="A402" s="8" t="str">
        <f>IFERROR(__xludf.DUMMYFUNCTION("""COMPUTED_VALUE"""),"Pancakes")</f>
        <v>Pancakes</v>
      </c>
      <c r="B402" s="8" t="str">
        <f>IFERROR(__xludf.DUMMYFUNCTION("""COMPUTED_VALUE"""),"Some people call them flapjacks.")</f>
        <v>Some people call them flapjacks.</v>
      </c>
      <c r="C402" s="13" t="str">
        <f>IFERROR(__xludf.DUMMYFUNCTION("""COMPUTED_VALUE"""),"""nriu"":{""label"":""Pancakes"",""extra"":""Some people call them flapjacks."",""sets"":""Junior 9+ (1st) &amp; (2nd)""},")</f>
        <v>"nriu":{"label":"Pancakes","extra":"Some people call them flapjacks.","sets":"Junior 9+ (1st) &amp; (2nd)"},</v>
      </c>
    </row>
    <row r="403">
      <c r="A403" s="8" t="str">
        <f>IFERROR(__xludf.DUMMYFUNCTION("""COMPUTED_VALUE"""),"Panda Bears")</f>
        <v>Panda Bears</v>
      </c>
      <c r="B403" s="8" t="str">
        <f>IFERROR(__xludf.DUMMYFUNCTION("""COMPUTED_VALUE"""),"In China they're called “Xiongmao” which means giant cat bear.")</f>
        <v>In China they're called “Xiongmao” which means giant cat bear.</v>
      </c>
      <c r="C403" s="13" t="str">
        <f>IFERROR(__xludf.DUMMYFUNCTION("""COMPUTED_VALUE"""),"""ltmk"":{""label"":""Panda Bears"",""extra"":""In China they're called “Xiongmao” which means giant cat bear."",""sets"":""Junior 9+ (1st) &amp; (2nd)""},")</f>
        <v>"ltmk":{"label":"Panda Bears","extra":"In China they're called “Xiongmao” which means giant cat bear.","sets":"Junior 9+ (1st) &amp; (2nd)"},</v>
      </c>
    </row>
    <row r="404">
      <c r="A404" s="8" t="str">
        <f>IFERROR(__xludf.DUMMYFUNCTION("""COMPUTED_VALUE"""),"Paper Route")</f>
        <v>Paper Route</v>
      </c>
      <c r="B404" s="8" t="str">
        <f>IFERROR(__xludf.DUMMYFUNCTION("""COMPUTED_VALUE"""),"It’s a job.")</f>
        <v>It’s a job.</v>
      </c>
      <c r="C404" s="13" t="str">
        <f>IFERROR(__xludf.DUMMYFUNCTION("""COMPUTED_VALUE"""),"""auht"":{""label"":""Paper Route"",""extra"":""It’s a job."",""sets"":""Junior 9+ (2nd)""},")</f>
        <v>"auht":{"label":"Paper Route","extra":"It’s a job.","sets":"Junior 9+ (2nd)"},</v>
      </c>
    </row>
    <row r="405">
      <c r="A405" s="8" t="str">
        <f>IFERROR(__xludf.DUMMYFUNCTION("""COMPUTED_VALUE"""),"Parachutes")</f>
        <v>Parachutes</v>
      </c>
      <c r="B405" s="8" t="str">
        <f>IFERROR(__xludf.DUMMYFUNCTION("""COMPUTED_VALUE"""),"Put this on your back, jump out of the plane, and pull the cord. Ready?")</f>
        <v>Put this on your back, jump out of the plane, and pull the cord. Ready?</v>
      </c>
      <c r="C405" s="13" t="str">
        <f>IFERROR(__xludf.DUMMYFUNCTION("""COMPUTED_VALUE"""),"""xubp"":{""label"":""Parachutes"",""extra"":""Put this on your back, jump out of the plane, and pull the cord. Ready?"",""sets"":""Junior 9+ (2nd)""},")</f>
        <v>"xubp":{"label":"Parachutes","extra":"Put this on your back, jump out of the plane, and pull the cord. Ready?","sets":"Junior 9+ (2nd)"},</v>
      </c>
    </row>
    <row r="406">
      <c r="A406" s="8" t="str">
        <f>IFERROR(__xludf.DUMMYFUNCTION("""COMPUTED_VALUE"""),"Parties")</f>
        <v>Parties</v>
      </c>
      <c r="B406" s="8" t="str">
        <f>IFERROR(__xludf.DUMMYFUNCTION("""COMPUTED_VALUE"""),"Birthday parties, slumber parties, Halloween parties. They’re all fun!")</f>
        <v>Birthday parties, slumber parties, Halloween parties. They’re all fun!</v>
      </c>
      <c r="C406" s="13" t="str">
        <f>IFERROR(__xludf.DUMMYFUNCTION("""COMPUTED_VALUE"""),"""cmum"":{""label"":""Parties"",""extra"":""Birthday parties, slumber parties, Halloween parties. They’re all fun!"",""sets"":""Junior""},")</f>
        <v>"cmum":{"label":"Parties","extra":"Birthday parties, slumber parties, Halloween parties. They’re all fun!","sets":"Junior"},</v>
      </c>
    </row>
    <row r="407">
      <c r="A407" s="8" t="str">
        <f>IFERROR(__xludf.DUMMYFUNCTION("""COMPUTED_VALUE"""),"Peaches")</f>
        <v>Peaches</v>
      </c>
      <c r="B407" s="8" t="str">
        <f>IFERROR(__xludf.DUMMYFUNCTION("""COMPUTED_VALUE"""),"Fuzzy fruit.")</f>
        <v>Fuzzy fruit.</v>
      </c>
      <c r="C407" s="13" t="str">
        <f>IFERROR(__xludf.DUMMYFUNCTION("""COMPUTED_VALUE"""),"""rcbb"":{""label"":""Peaches"",""extra"":""Fuzzy fruit."",""sets"":""Junior 9+ (1st) &amp; (2nd)""},")</f>
        <v>"rcbb":{"label":"Peaches","extra":"Fuzzy fruit.","sets":"Junior 9+ (1st) &amp; (2nd)"},</v>
      </c>
    </row>
    <row r="408">
      <c r="A408" s="8" t="str">
        <f>IFERROR(__xludf.DUMMYFUNCTION("""COMPUTED_VALUE"""),"Peacocks")</f>
        <v>Peacocks</v>
      </c>
      <c r="B408" s="8" t="str">
        <f>IFERROR(__xludf.DUMMYFUNCTION("""COMPUTED_VALUE"""),"The show-offs of the bird world.")</f>
        <v>The show-offs of the bird world.</v>
      </c>
      <c r="C408" s="13" t="str">
        <f>IFERROR(__xludf.DUMMYFUNCTION("""COMPUTED_VALUE"""),"""qpvn"":{""label"":""Peacocks"",""extra"":""The show-offs of the bird world."",""sets"":""Junior 9+ (2nd)""},")</f>
        <v>"qpvn":{"label":"Peacocks","extra":"The show-offs of the bird world.","sets":"Junior 9+ (2nd)"},</v>
      </c>
    </row>
    <row r="409">
      <c r="A409" s="8" t="str">
        <f>IFERROR(__xludf.DUMMYFUNCTION("""COMPUTED_VALUE"""),"Peanut Butter")</f>
        <v>Peanut Butter</v>
      </c>
      <c r="B409" s="8" t="str">
        <f>IFERROR(__xludf.DUMMYFUNCTION("""COMPUTED_VALUE"""),"A soft, creamy spread made from peanuts. Sometimes it sticks to the roof of your mouth.")</f>
        <v>A soft, creamy spread made from peanuts. Sometimes it sticks to the roof of your mouth.</v>
      </c>
      <c r="C409" s="13" t="str">
        <f>IFERROR(__xludf.DUMMYFUNCTION("""COMPUTED_VALUE"""),"""uqdo"":{""label"":""Peanut Butter"",""extra"":""A soft, creamy spread made from peanuts. Sometimes it sticks to the roof of your mouth."",""sets"":""Junior""},")</f>
        <v>"uqdo":{"label":"Peanut Butter","extra":"A soft, creamy spread made from peanuts. Sometimes it sticks to the roof of your mouth.","sets":"Junior"},</v>
      </c>
    </row>
    <row r="410">
      <c r="A410" s="8" t="str">
        <f>IFERROR(__xludf.DUMMYFUNCTION("""COMPUTED_VALUE"""),"Peanuts")</f>
        <v>Peanuts</v>
      </c>
      <c r="B410" s="8" t="str">
        <f>IFERROR(__xludf.DUMMYFUNCTION("""COMPUTED_VALUE"""),"Peanuts are really a seed, not a pea or a nut.")</f>
        <v>Peanuts are really a seed, not a pea or a nut.</v>
      </c>
      <c r="C410" s="13" t="str">
        <f>IFERROR(__xludf.DUMMYFUNCTION("""COMPUTED_VALUE"""),"""ecqb"":{""label"":""Peanuts"",""extra"":""Peanuts are really a seed, not a pea or a nut."",""sets"":""Junior 9+ (1st) &amp; (2nd)""},")</f>
        <v>"ecqb":{"label":"Peanuts","extra":"Peanuts are really a seed, not a pea or a nut.","sets":"Junior 9+ (1st) &amp; (2nd)"},</v>
      </c>
    </row>
    <row r="411">
      <c r="A411" s="8" t="str">
        <f>IFERROR(__xludf.DUMMYFUNCTION("""COMPUTED_VALUE"""),"Pearl Earrings")</f>
        <v>Pearl Earrings</v>
      </c>
      <c r="B411" s="8" t="str">
        <f>IFERROR(__xludf.DUMMYFUNCTION("""COMPUTED_VALUE"""),"A good gift for Mother’s Day!")</f>
        <v>A good gift for Mother’s Day!</v>
      </c>
      <c r="C411" s="13" t="str">
        <f>IFERROR(__xludf.DUMMYFUNCTION("""COMPUTED_VALUE"""),"""bfyo"":{""label"":""Pearl Earrings"",""extra"":""A good gift for Mother’s Day!"",""sets"":""Junior 9+ (2nd)""},")</f>
        <v>"bfyo":{"label":"Pearl Earrings","extra":"A good gift for Mother’s Day!","sets":"Junior 9+ (2nd)"},</v>
      </c>
    </row>
    <row r="412">
      <c r="A412" s="8" t="str">
        <f>IFERROR(__xludf.DUMMYFUNCTION("""COMPUTED_VALUE"""),"Pencils")</f>
        <v>Pencils</v>
      </c>
      <c r="B412" s="8" t="str">
        <f>IFERROR(__xludf.DUMMYFUNCTION("""COMPUTED_VALUE"""),"Three-fourths of all pencils made in the United States are yellow.")</f>
        <v>Three-fourths of all pencils made in the United States are yellow.</v>
      </c>
      <c r="C412" s="13" t="str">
        <f>IFERROR(__xludf.DUMMYFUNCTION("""COMPUTED_VALUE"""),"""hjdw"":{""label"":""Pencils"",""extra"":""Three-fourths of all pencils made in the United States are yellow."",""sets"":""Junior 9+ (1st) &amp; (2nd)""},")</f>
        <v>"hjdw":{"label":"Pencils","extra":"Three-fourths of all pencils made in the United States are yellow.","sets":"Junior 9+ (1st) &amp; (2nd)"},</v>
      </c>
    </row>
    <row r="413">
      <c r="A413" s="8" t="str">
        <f>IFERROR(__xludf.DUMMYFUNCTION("""COMPUTED_VALUE"""),"Penguins")</f>
        <v>Penguins</v>
      </c>
      <c r="B413" s="8" t="str">
        <f>IFERROR(__xludf.DUMMYFUNCTION("""COMPUTED_VALUE"""),"Black and white sea birds found in Antarctica. They can’t fly, but they sure can waddle.")</f>
        <v>Black and white sea birds found in Antarctica. They can’t fly, but they sure can waddle.</v>
      </c>
      <c r="C413" s="13" t="str">
        <f>IFERROR(__xludf.DUMMYFUNCTION("""COMPUTED_VALUE"""),"""nknr"":{""label"":""Penguins"",""extra"":""Black and white sea birds found in Antarctica. They can’t fly, but they sure can waddle."",""sets"":""Junior""},")</f>
        <v>"nknr":{"label":"Penguins","extra":"Black and white sea birds found in Antarctica. They can’t fly, but they sure can waddle.","sets":"Junior"},</v>
      </c>
    </row>
    <row r="414">
      <c r="A414" s="8" t="str">
        <f>IFERROR(__xludf.DUMMYFUNCTION("""COMPUTED_VALUE"""),"Pennies")</f>
        <v>Pennies</v>
      </c>
      <c r="B414" s="8" t="str">
        <f>IFERROR(__xludf.DUMMYFUNCTION("""COMPUTED_VALUE"""),"Heads or tails?")</f>
        <v>Heads or tails?</v>
      </c>
      <c r="C414" s="13" t="str">
        <f>IFERROR(__xludf.DUMMYFUNCTION("""COMPUTED_VALUE"""),"""nwxj"":{""label"":""Pennies"",""extra"":""Heads or tails?"",""sets"":""Junior 9+ (1st) &amp; (2nd)""},")</f>
        <v>"nwxj":{"label":"Pennies","extra":"Heads or tails?","sets":"Junior 9+ (1st) &amp; (2nd)"},</v>
      </c>
    </row>
    <row r="415">
      <c r="A415" s="8" t="str">
        <f>IFERROR(__xludf.DUMMYFUNCTION("""COMPUTED_VALUE"""),"Peppers")</f>
        <v>Peppers</v>
      </c>
      <c r="B415" s="8" t="str">
        <f>IFERROR(__xludf.DUMMYFUNCTION("""COMPUTED_VALUE"""),"Sweet and crunchy, or hot and spicy!")</f>
        <v>Sweet and crunchy, or hot and spicy!</v>
      </c>
      <c r="C415" s="13" t="str">
        <f>IFERROR(__xludf.DUMMYFUNCTION("""COMPUTED_VALUE"""),"""pvgi"":{""label"":""Peppers"",""extra"":""Sweet and crunchy, or hot and spicy!"",""sets"":""Junior 9+ (1st) &amp; (2nd)""},")</f>
        <v>"pvgi":{"label":"Peppers","extra":"Sweet and crunchy, or hot and spicy!","sets":"Junior 9+ (1st) &amp; (2nd)"},</v>
      </c>
    </row>
    <row r="416">
      <c r="A416" s="8" t="str">
        <f>IFERROR(__xludf.DUMMYFUNCTION("""COMPUTED_VALUE"""),"Perfume")</f>
        <v>Perfume</v>
      </c>
      <c r="B416" s="8" t="str">
        <f>IFERROR(__xludf.DUMMYFUNCTION("""COMPUTED_VALUE"""),"What’s that smell?")</f>
        <v>What’s that smell?</v>
      </c>
      <c r="C416" s="13" t="str">
        <f>IFERROR(__xludf.DUMMYFUNCTION("""COMPUTED_VALUE"""),"""ktso"":{""label"":""Perfume"",""extra"":""What’s that smell?"",""sets"":""Junior 9+ (2nd)""},")</f>
        <v>"ktso":{"label":"Perfume","extra":"What’s that smell?","sets":"Junior 9+ (2nd)"},</v>
      </c>
    </row>
    <row r="417">
      <c r="A417" s="8" t="str">
        <f>IFERROR(__xludf.DUMMYFUNCTION("""COMPUTED_VALUE"""),"Peter Pan")</f>
        <v>Peter Pan</v>
      </c>
      <c r="B417" s="8" t="str">
        <f>IFERROR(__xludf.DUMMYFUNCTION("""COMPUTED_VALUE"""),"A book and movie character who could fly. He never wanted to grow up!")</f>
        <v>A book and movie character who could fly. He never wanted to grow up!</v>
      </c>
      <c r="C417" s="13" t="str">
        <f>IFERROR(__xludf.DUMMYFUNCTION("""COMPUTED_VALUE"""),"""bxyk"":{""label"":""Peter Pan"",""extra"":""A book and movie character who could fly. He never wanted to grow up!"",""sets"":""Junior""},")</f>
        <v>"bxyk":{"label":"Peter Pan","extra":"A book and movie character who could fly. He never wanted to grow up!","sets":"Junior"},</v>
      </c>
    </row>
    <row r="418">
      <c r="A418" s="8" t="str">
        <f>IFERROR(__xludf.DUMMYFUNCTION("""COMPUTED_VALUE"""),"Piñatas")</f>
        <v>Piñatas</v>
      </c>
      <c r="B418" s="8" t="str">
        <f>IFERROR(__xludf.DUMMYFUNCTION("""COMPUTED_VALUE"""),"Papier-mâché animals filled with candy and whacked with a stick.")</f>
        <v>Papier-mâché animals filled with candy and whacked with a stick.</v>
      </c>
      <c r="C418" s="13" t="str">
        <f>IFERROR(__xludf.DUMMYFUNCTION("""COMPUTED_VALUE"""),"""jsoc"":{""label"":""Piñatas"",""extra"":""Papier-mâché animals filled with candy and whacked with a stick."",""sets"":""Junior 9+ (2nd)""},")</f>
        <v>"jsoc":{"label":"Piñatas","extra":"Papier-mâché animals filled with candy and whacked with a stick.","sets":"Junior 9+ (2nd)"},</v>
      </c>
    </row>
    <row r="419">
      <c r="A419" s="8" t="str">
        <f>IFERROR(__xludf.DUMMYFUNCTION("""COMPUTED_VALUE"""),"Pickles")</f>
        <v>Pickles</v>
      </c>
      <c r="B419" s="8" t="str">
        <f>IFERROR(__xludf.DUMMYFUNCTION("""COMPUTED_VALUE"""),"Dill or sweet?")</f>
        <v>Dill or sweet?</v>
      </c>
      <c r="C419" s="13" t="str">
        <f>IFERROR(__xludf.DUMMYFUNCTION("""COMPUTED_VALUE"""),"""wnku"":{""label"":""Pickles"",""extra"":""Dill or sweet?"",""sets"":""Junior 9+ (2nd)""},")</f>
        <v>"wnku":{"label":"Pickles","extra":"Dill or sweet?","sets":"Junior 9+ (2nd)"},</v>
      </c>
    </row>
    <row r="420">
      <c r="A420" s="8" t="str">
        <f>IFERROR(__xludf.DUMMYFUNCTION("""COMPUTED_VALUE"""),"Picnics")</f>
        <v>Picnics</v>
      </c>
      <c r="B420" s="8" t="str">
        <f>IFERROR(__xludf.DUMMYFUNCTION("""COMPUTED_VALUE"""),"Pack up your food and a blanket, and go to your favorite park or beach.")</f>
        <v>Pack up your food and a blanket, and go to your favorite park or beach.</v>
      </c>
      <c r="C420" s="13" t="str">
        <f>IFERROR(__xludf.DUMMYFUNCTION("""COMPUTED_VALUE"""),"""dvwy"":{""label"":""Picnics"",""extra"":""Pack up your food and a blanket, and go to your favorite park or beach."",""sets"":""Junior""},")</f>
        <v>"dvwy":{"label":"Picnics","extra":"Pack up your food and a blanket, and go to your favorite park or beach.","sets":"Junior"},</v>
      </c>
    </row>
    <row r="421">
      <c r="A421" s="8" t="str">
        <f>IFERROR(__xludf.DUMMYFUNCTION("""COMPUTED_VALUE"""),"Pierced Ears")</f>
        <v>Pierced Ears</v>
      </c>
      <c r="B421" s="8" t="str">
        <f>IFERROR(__xludf.DUMMYFUNCTION("""COMPUTED_VALUE"""),"Mom, when can I get my ears pierced?")</f>
        <v>Mom, when can I get my ears pierced?</v>
      </c>
      <c r="C421" s="13" t="str">
        <f>IFERROR(__xludf.DUMMYFUNCTION("""COMPUTED_VALUE"""),"""azvg"":{""label"":""Pierced Ears"",""extra"":""Mom, when can I get my ears pierced?"",""sets"":""Junior 9+ (1st) &amp; (2nd)""},")</f>
        <v>"azvg":{"label":"Pierced Ears","extra":"Mom, when can I get my ears pierced?","sets":"Junior 9+ (1st) &amp; (2nd)"},</v>
      </c>
    </row>
    <row r="422">
      <c r="A422" s="8" t="str">
        <f>IFERROR(__xludf.DUMMYFUNCTION("""COMPUTED_VALUE"""),"Pigs")</f>
        <v>Pigs</v>
      </c>
      <c r="B422" s="8" t="str">
        <f>IFERROR(__xludf.DUMMYFUNCTION("""COMPUTED_VALUE"""),"Raised for their meat, including ham and bacon.")</f>
        <v>Raised for their meat, including ham and bacon.</v>
      </c>
      <c r="C422" s="13" t="str">
        <f>IFERROR(__xludf.DUMMYFUNCTION("""COMPUTED_VALUE"""),"""ywwg"":{""label"":""Pigs"",""extra"":""Raised for their meat, including ham and bacon."",""sets"":""Junior 9+ (1st) &amp; (2nd)""},")</f>
        <v>"ywwg":{"label":"Pigs","extra":"Raised for their meat, including ham and bacon.","sets":"Junior 9+ (1st) &amp; (2nd)"},</v>
      </c>
    </row>
    <row r="423">
      <c r="A423" s="8" t="str">
        <f>IFERROR(__xludf.DUMMYFUNCTION("""COMPUTED_VALUE"""),"Pillow Fights")</f>
        <v>Pillow Fights</v>
      </c>
      <c r="B423" s="8" t="str">
        <f>IFERROR(__xludf.DUMMYFUNCTION("""COMPUTED_VALUE"""),"He started it!")</f>
        <v>He started it!</v>
      </c>
      <c r="C423" s="13" t="str">
        <f>IFERROR(__xludf.DUMMYFUNCTION("""COMPUTED_VALUE"""),"""hbfy"":{""label"":""Pillow Fights"",""extra"":""He started it!"",""sets"":""Junior 9+ (2nd)""},")</f>
        <v>"hbfy":{"label":"Pillow Fights","extra":"He started it!","sets":"Junior 9+ (2nd)"},</v>
      </c>
    </row>
    <row r="424">
      <c r="A424" s="8" t="str">
        <f>IFERROR(__xludf.DUMMYFUNCTION("""COMPUTED_VALUE"""),"Pillows")</f>
        <v>Pillows</v>
      </c>
      <c r="B424" s="8" t="str">
        <f>IFERROR(__xludf.DUMMYFUNCTION("""COMPUTED_VALUE"""),"Pillow fight!")</f>
        <v>Pillow fight!</v>
      </c>
      <c r="C424" s="13" t="str">
        <f>IFERROR(__xludf.DUMMYFUNCTION("""COMPUTED_VALUE"""),"""hwyg"":{""label"":""Pillows"",""extra"":""Pillow fight!"",""sets"":""Junior 9+ (1st) &amp; (2nd)""},")</f>
        <v>"hwyg":{"label":"Pillows","extra":"Pillow fight!","sets":"Junior 9+ (1st) &amp; (2nd)"},</v>
      </c>
    </row>
    <row r="425">
      <c r="A425" s="8" t="str">
        <f>IFERROR(__xludf.DUMMYFUNCTION("""COMPUTED_VALUE"""),"Pilots")</f>
        <v>Pilots</v>
      </c>
      <c r="B425" s="8" t="str">
        <f>IFERROR(__xludf.DUMMYFUNCTION("""COMPUTED_VALUE"""),"“Welcome aboard. Today we'll be flying at 30,000 feet.”")</f>
        <v>“Welcome aboard. Today we'll be flying at 30,000 feet.”</v>
      </c>
      <c r="C425" s="13" t="str">
        <f>IFERROR(__xludf.DUMMYFUNCTION("""COMPUTED_VALUE"""),"""jdwk"":{""label"":""Pilots"",""extra"":""“Welcome aboard. Today we'll be flying at 30,000 feet.”"",""sets"":""Junior 9+ (2nd)""},")</f>
        <v>"jdwk":{"label":"Pilots","extra":"“Welcome aboard. Today we'll be flying at 30,000 feet.”","sets":"Junior 9+ (2nd)"},</v>
      </c>
    </row>
    <row r="426">
      <c r="A426" s="8" t="str">
        <f>IFERROR(__xludf.DUMMYFUNCTION("""COMPUTED_VALUE"""),"Pimples")</f>
        <v>Pimples</v>
      </c>
      <c r="B426" s="8" t="str">
        <f>IFERROR(__xludf.DUMMYFUNCTION("""COMPUTED_VALUE"""),"Just in time for school pictures.")</f>
        <v>Just in time for school pictures.</v>
      </c>
      <c r="C426" s="13" t="str">
        <f>IFERROR(__xludf.DUMMYFUNCTION("""COMPUTED_VALUE"""),"""ovft"":{""label"":""Pimples"",""extra"":""Just in time for school pictures."",""sets"":""Junior 9+ (2nd)""},")</f>
        <v>"ovft":{"label":"Pimples","extra":"Just in time for school pictures.","sets":"Junior 9+ (2nd)"},</v>
      </c>
    </row>
    <row r="427">
      <c r="A427" s="8" t="str">
        <f>IFERROR(__xludf.DUMMYFUNCTION("""COMPUTED_VALUE"""),"Pine Cones")</f>
        <v>Pine Cones</v>
      </c>
      <c r="B427" s="8" t="str">
        <f>IFERROR(__xludf.DUMMYFUNCTION("""COMPUTED_VALUE"""),"Pine cones from Eastern White Pines can grow to eight inches in length.")</f>
        <v>Pine cones from Eastern White Pines can grow to eight inches in length.</v>
      </c>
      <c r="C427" s="13" t="str">
        <f>IFERROR(__xludf.DUMMYFUNCTION("""COMPUTED_VALUE"""),"""dyat"":{""label"":""Pine Cones"",""extra"":""Pine cones from Eastern White Pines can grow to eight inches in length."",""sets"":""Junior 9+ (1st) &amp; (2nd)""},")</f>
        <v>"dyat":{"label":"Pine Cones","extra":"Pine cones from Eastern White Pines can grow to eight inches in length.","sets":"Junior 9+ (1st) &amp; (2nd)"},</v>
      </c>
    </row>
    <row r="428">
      <c r="A428" s="8" t="str">
        <f>IFERROR(__xludf.DUMMYFUNCTION("""COMPUTED_VALUE"""),"Pine Trees")</f>
        <v>Pine Trees</v>
      </c>
      <c r="B428" s="8" t="str">
        <f>IFERROR(__xludf.DUMMYFUNCTION("""COMPUTED_VALUE"""),"Trees that stay green all year and have pinecones and needles. They smell great!")</f>
        <v>Trees that stay green all year and have pinecones and needles. They smell great!</v>
      </c>
      <c r="C428" s="13" t="str">
        <f>IFERROR(__xludf.DUMMYFUNCTION("""COMPUTED_VALUE"""),"""clmn"":{""label"":""Pine Trees"",""extra"":""Trees that stay green all year and have pinecones and needles. They smell great!"",""sets"":""Junior""},")</f>
        <v>"clmn":{"label":"Pine Trees","extra":"Trees that stay green all year and have pinecones and needles. They smell great!","sets":"Junior"},</v>
      </c>
    </row>
    <row r="429">
      <c r="A429" s="8" t="str">
        <f>IFERROR(__xludf.DUMMYFUNCTION("""COMPUTED_VALUE"""),"Pineapples")</f>
        <v>Pineapples</v>
      </c>
      <c r="B429" s="8" t="str">
        <f>IFERROR(__xludf.DUMMYFUNCTION("""COMPUTED_VALUE"""),"Shaped like a football, tastes like a fruit.")</f>
        <v>Shaped like a football, tastes like a fruit.</v>
      </c>
      <c r="C429" s="13" t="str">
        <f>IFERROR(__xludf.DUMMYFUNCTION("""COMPUTED_VALUE"""),"""kdfl"":{""label"":""Pineapples"",""extra"":""Shaped like a football, tastes like a fruit."",""sets"":""Junior 9+ (2nd)""},")</f>
        <v>"kdfl":{"label":"Pineapples","extra":"Shaped like a football, tastes like a fruit.","sets":"Junior 9+ (2nd)"},</v>
      </c>
    </row>
    <row r="430">
      <c r="A430" s="8" t="str">
        <f>IFERROR(__xludf.DUMMYFUNCTION("""COMPUTED_VALUE"""),"Pinocchio")</f>
        <v>Pinocchio</v>
      </c>
      <c r="B430" s="8" t="str">
        <f>IFERROR(__xludf.DUMMYFUNCTION("""COMPUTED_VALUE"""),"Pinocchio was a wooden puppet who came to life. His nose grew each time he told a lie.")</f>
        <v>Pinocchio was a wooden puppet who came to life. His nose grew each time he told a lie.</v>
      </c>
      <c r="C430" s="13" t="str">
        <f>IFERROR(__xludf.DUMMYFUNCTION("""COMPUTED_VALUE"""),"""rxth"":{""label"":""Pinocchio"",""extra"":""Pinocchio was a wooden puppet who came to life. His nose grew each time he told a lie."",""sets"":""Junior 9+ (2nd)""},")</f>
        <v>"rxth":{"label":"Pinocchio","extra":"Pinocchio was a wooden puppet who came to life. His nose grew each time he told a lie.","sets":"Junior 9+ (2nd)"},</v>
      </c>
    </row>
    <row r="431">
      <c r="A431" s="8" t="str">
        <f>IFERROR(__xludf.DUMMYFUNCTION("""COMPUTED_VALUE"""),"Pirates")</f>
        <v>Pirates</v>
      </c>
      <c r="B431" s="8" t="str">
        <f>IFERROR(__xludf.DUMMYFUNCTION("""COMPUTED_VALUE"""),"People who rob ships at sea. Blackbeard was a famous pirate.")</f>
        <v>People who rob ships at sea. Blackbeard was a famous pirate.</v>
      </c>
      <c r="C431" s="13" t="str">
        <f>IFERROR(__xludf.DUMMYFUNCTION("""COMPUTED_VALUE"""),"""iuhu"":{""label"":""Pirates"",""extra"":""People who rob ships at sea. Blackbeard was a famous pirate."",""sets"":""Junior""},")</f>
        <v>"iuhu":{"label":"Pirates","extra":"People who rob ships at sea. Blackbeard was a famous pirate.","sets":"Junior"},</v>
      </c>
    </row>
    <row r="432">
      <c r="A432" s="8" t="str">
        <f>IFERROR(__xludf.DUMMYFUNCTION("""COMPUTED_VALUE"""),"Pizza")</f>
        <v>Pizza</v>
      </c>
      <c r="B432" s="8" t="str">
        <f>IFERROR(__xludf.DUMMYFUNCTION("""COMPUTED_VALUE"""),"Cheese, sausage, pepperoni, onions, and mushrooms. Pick your toppings!")</f>
        <v>Cheese, sausage, pepperoni, onions, and mushrooms. Pick your toppings!</v>
      </c>
      <c r="C432" s="13" t="str">
        <f>IFERROR(__xludf.DUMMYFUNCTION("""COMPUTED_VALUE"""),"""jswu"":{""label"":""Pizza"",""extra"":""Cheese, sausage, pepperoni, onions, and mushrooms. Pick your toppings!"",""sets"":""Junior""},")</f>
        <v>"jswu":{"label":"Pizza","extra":"Cheese, sausage, pepperoni, onions, and mushrooms. Pick your toppings!","sets":"Junior"},</v>
      </c>
    </row>
    <row r="433">
      <c r="A433" s="8" t="str">
        <f>IFERROR(__xludf.DUMMYFUNCTION("""COMPUTED_VALUE"""),"Planting Flowers")</f>
        <v>Planting Flowers</v>
      </c>
      <c r="B433" s="8" t="str">
        <f>IFERROR(__xludf.DUMMYFUNCTION("""COMPUTED_VALUE"""),"“April showers bring May flowers.”")</f>
        <v>“April showers bring May flowers.”</v>
      </c>
      <c r="C433" s="13" t="str">
        <f>IFERROR(__xludf.DUMMYFUNCTION("""COMPUTED_VALUE"""),"""rnyi"":{""label"":""Planting Flowers"",""extra"":""“April showers bring May flowers.”"",""sets"":""Junior 9+ (1st) &amp; (2nd)""},")</f>
        <v>"rnyi":{"label":"Planting Flowers","extra":"“April showers bring May flowers.”","sets":"Junior 9+ (1st) &amp; (2nd)"},</v>
      </c>
    </row>
    <row r="434">
      <c r="A434" s="8" t="str">
        <f>IFERROR(__xludf.DUMMYFUNCTION("""COMPUTED_VALUE"""),"Play-Doh")</f>
        <v>Play-Doh</v>
      </c>
      <c r="B434" s="8" t="str">
        <f>IFERROR(__xludf.DUMMYFUNCTION("""COMPUTED_VALUE"""),"A colorful clay-like dough used for making shapes.")</f>
        <v>A colorful clay-like dough used for making shapes.</v>
      </c>
      <c r="C434" s="13" t="str">
        <f>IFERROR(__xludf.DUMMYFUNCTION("""COMPUTED_VALUE"""),"""zjft"":{""label"":""Play-Doh"",""extra"":""A colorful clay-like dough used for making shapes."",""sets"":""Junior""},")</f>
        <v>"zjft":{"label":"Play-Doh","extra":"A colorful clay-like dough used for making shapes.","sets":"Junior"},</v>
      </c>
    </row>
    <row r="435">
      <c r="A435" s="8" t="str">
        <f>IFERROR(__xludf.DUMMYFUNCTION("""COMPUTED_VALUE"""),"Playgrounds")</f>
        <v>Playgrounds</v>
      </c>
      <c r="B435" s="8" t="str">
        <f>IFERROR(__xludf.DUMMYFUNCTION("""COMPUTED_VALUE"""),"Some playgrounds have slides, swings, and sandboxes.")</f>
        <v>Some playgrounds have slides, swings, and sandboxes.</v>
      </c>
      <c r="C435" s="13" t="str">
        <f>IFERROR(__xludf.DUMMYFUNCTION("""COMPUTED_VALUE"""),"""fbct"":{""label"":""Playgrounds"",""extra"":""Some playgrounds have slides, swings, and sandboxes."",""sets"":""Junior""},")</f>
        <v>"fbct":{"label":"Playgrounds","extra":"Some playgrounds have slides, swings, and sandboxes.","sets":"Junior"},</v>
      </c>
    </row>
    <row r="436">
      <c r="A436" s="8" t="str">
        <f>IFERROR(__xludf.DUMMYFUNCTION("""COMPUTED_VALUE"""),"Playing Checkers")</f>
        <v>Playing Checkers</v>
      </c>
      <c r="B436" s="8" t="str">
        <f>IFERROR(__xludf.DUMMYFUNCTION("""COMPUTED_VALUE"""),"A game for two using a checkerboard and 24 round game pieces. Jump, jump, jump..KING ME!")</f>
        <v>A game for two using a checkerboard and 24 round game pieces. Jump, jump, jump..KING ME!</v>
      </c>
      <c r="C436" s="13" t="str">
        <f>IFERROR(__xludf.DUMMYFUNCTION("""COMPUTED_VALUE"""),"""sgyx"":{""label"":""Playing Checkers"",""extra"":""A game for two using a checkerboard and 24 round game pieces. Jump, jump, jump..KING ME!"",""sets"":""Junior""},")</f>
        <v>"sgyx":{"label":"Playing Checkers","extra":"A game for two using a checkerboard and 24 round game pieces. Jump, jump, jump..KING ME!","sets":"Junior"},</v>
      </c>
    </row>
    <row r="437">
      <c r="A437" s="8" t="str">
        <f>IFERROR(__xludf.DUMMYFUNCTION("""COMPUTED_VALUE"""),"Pluto")</f>
        <v>Pluto</v>
      </c>
      <c r="B437" s="8" t="str">
        <f>IFERROR(__xludf.DUMMYFUNCTION("""COMPUTED_VALUE"""),"The ninth planet in the Solar System, or Mickey Mouse’s dog.")</f>
        <v>The ninth planet in the Solar System, or Mickey Mouse’s dog.</v>
      </c>
      <c r="C437" s="13" t="str">
        <f>IFERROR(__xludf.DUMMYFUNCTION("""COMPUTED_VALUE"""),"""mksq"":{""label"":""Pluto"",""extra"":""The ninth planet in the Solar System, or Mickey Mouse’s dog."",""sets"":""Junior 9+ (2nd)""},")</f>
        <v>"mksq":{"label":"Pluto","extra":"The ninth planet in the Solar System, or Mickey Mouse’s dog.","sets":"Junior 9+ (2nd)"},</v>
      </c>
    </row>
    <row r="438">
      <c r="A438" s="8" t="str">
        <f>IFERROR(__xludf.DUMMYFUNCTION("""COMPUTED_VALUE"""),"Poison Ivy")</f>
        <v>Poison Ivy</v>
      </c>
      <c r="B438" s="8" t="str">
        <f>IFERROR(__xludf.DUMMYFUNCTION("""COMPUTED_VALUE"""),"Contact with the leaves of this plant can cause a serious, itchy rash.")</f>
        <v>Contact with the leaves of this plant can cause a serious, itchy rash.</v>
      </c>
      <c r="C438" s="13" t="str">
        <f>IFERROR(__xludf.DUMMYFUNCTION("""COMPUTED_VALUE"""),"""ce{k"":{""label"":""Poison Ivy"",""extra"":""Contact with the leaves of this plant can cause a serious, itchy rash."",""sets"":""Junior 9+ (2nd)""},")</f>
        <v>"ce{k":{"label":"Poison Ivy","extra":"Contact with the leaves of this plant can cause a serious, itchy rash.","sets":"Junior 9+ (2nd)"},</v>
      </c>
    </row>
    <row r="439">
      <c r="A439" s="8" t="str">
        <f>IFERROR(__xludf.DUMMYFUNCTION("""COMPUTED_VALUE"""),"Pokemon")</f>
        <v>Pokemon</v>
      </c>
      <c r="B439" s="8" t="str">
        <f>IFERROR(__xludf.DUMMYFUNCTION("""COMPUTED_VALUE"""),"A video game, card game and television show. I like Pikachu.")</f>
        <v>A video game, card game and television show. I like Pikachu.</v>
      </c>
      <c r="C439" s="13" t="str">
        <f>IFERROR(__xludf.DUMMYFUNCTION("""COMPUTED_VALUE"""),"""ckti"":{""label"":""Pokemon"",""extra"":""A video game, card game and television show. I like Pikachu."",""sets"":""Junior 9+ (2nd)""},")</f>
        <v>"ckti":{"label":"Pokemon","extra":"A video game, card game and television show. I like Pikachu.","sets":"Junior 9+ (2nd)"},</v>
      </c>
    </row>
    <row r="440">
      <c r="A440" s="8" t="str">
        <f>IFERROR(__xludf.DUMMYFUNCTION("""COMPUTED_VALUE"""),"Popcorn")</f>
        <v>Popcorn</v>
      </c>
      <c r="B440" s="8" t="str">
        <f>IFERROR(__xludf.DUMMYFUNCTION("""COMPUTED_VALUE"""),"A good movie-time snack.")</f>
        <v>A good movie-time snack.</v>
      </c>
      <c r="C440" s="13" t="str">
        <f>IFERROR(__xludf.DUMMYFUNCTION("""COMPUTED_VALUE"""),"""jlnp"":{""label"":""Popcorn"",""extra"":""A good movie-time snack."",""sets"":""Junior""},")</f>
        <v>"jlnp":{"label":"Popcorn","extra":"A good movie-time snack.","sets":"Junior"},</v>
      </c>
    </row>
    <row r="441">
      <c r="A441" s="8" t="str">
        <f>IFERROR(__xludf.DUMMYFUNCTION("""COMPUTED_VALUE"""),"Potato Chips")</f>
        <v>Potato Chips</v>
      </c>
      <c r="B441" s="8" t="str">
        <f>IFERROR(__xludf.DUMMYFUNCTION("""COMPUTED_VALUE"""),"Plain, sour cream and onion, ranch, or barbecue chips.")</f>
        <v>Plain, sour cream and onion, ranch, or barbecue chips.</v>
      </c>
      <c r="C441" s="13" t="str">
        <f>IFERROR(__xludf.DUMMYFUNCTION("""COMPUTED_VALUE"""),"""jnsj"":{""label"":""Potato Chips"",""extra"":""Plain, sour cream and onion, ranch, or barbecue chips."",""sets"":""Junior 9+ (1st) &amp; (2nd)""},")</f>
        <v>"jnsj":{"label":"Potato Chips","extra":"Plain, sour cream and onion, ranch, or barbecue chips.","sets":"Junior 9+ (1st) &amp; (2nd)"},</v>
      </c>
    </row>
    <row r="442">
      <c r="A442" s="8" t="str">
        <f>IFERROR(__xludf.DUMMYFUNCTION("""COMPUTED_VALUE"""),"Pounding Nails")</f>
        <v>Pounding Nails</v>
      </c>
      <c r="B442" s="8" t="str">
        <f>IFERROR(__xludf.DUMMYFUNCTION("""COMPUTED_VALUE"""),"Use a hammer and watch your fingers.")</f>
        <v>Use a hammer and watch your fingers.</v>
      </c>
      <c r="C442" s="13" t="str">
        <f>IFERROR(__xludf.DUMMYFUNCTION("""COMPUTED_VALUE"""),"""jcjb"":{""label"":""Pounding Nails"",""extra"":""Use a hammer and watch your fingers."",""sets"":""Junior""},")</f>
        <v>"jcjb":{"label":"Pounding Nails","extra":"Use a hammer and watch your fingers.","sets":"Junior"},</v>
      </c>
    </row>
    <row r="443">
      <c r="A443" s="8" t="str">
        <f>IFERROR(__xludf.DUMMYFUNCTION("""COMPUTED_VALUE"""),"Power Drills")</f>
        <v>Power Drills</v>
      </c>
      <c r="B443" s="8" t="str">
        <f>IFERROR(__xludf.DUMMYFUNCTION("""COMPUTED_VALUE"""),"Carpenters use them, and so do dentists.")</f>
        <v>Carpenters use them, and so do dentists.</v>
      </c>
      <c r="C443" s="13" t="str">
        <f>IFERROR(__xludf.DUMMYFUNCTION("""COMPUTED_VALUE"""),"""xefs"":{""label"":""Power Drills"",""extra"":""Carpenters use them, and so do dentists."",""sets"":""Junior 9+ (2nd)""},")</f>
        <v>"xefs":{"label":"Power Drills","extra":"Carpenters use them, and so do dentists.","sets":"Junior 9+ (2nd)"},</v>
      </c>
    </row>
    <row r="444">
      <c r="A444" s="8" t="str">
        <f>IFERROR(__xludf.DUMMYFUNCTION("""COMPUTED_VALUE"""),"Power Rangers")</f>
        <v>Power Rangers</v>
      </c>
      <c r="B444" s="8" t="str">
        <f>IFERROR(__xludf.DUMMYFUNCTION("""COMPUTED_VALUE"""),"A television series about a group of teens fighting evil space aliens.")</f>
        <v>A television series about a group of teens fighting evil space aliens.</v>
      </c>
      <c r="C444" s="13" t="str">
        <f>IFERROR(__xludf.DUMMYFUNCTION("""COMPUTED_VALUE"""),"""vkne"":{""label"":""Power Rangers"",""extra"":""A television series about a group of teens fighting evil space aliens."",""sets"":""Junior 9+ (2nd)""},")</f>
        <v>"vkne":{"label":"Power Rangers","extra":"A television series about a group of teens fighting evil space aliens.","sets":"Junior 9+ (2nd)"},</v>
      </c>
    </row>
    <row r="445">
      <c r="A445" s="8" t="str">
        <f>IFERROR(__xludf.DUMMYFUNCTION("""COMPUTED_VALUE"""),"Pretzels")</f>
        <v>Pretzels</v>
      </c>
      <c r="B445" s="8" t="str">
        <f>IFERROR(__xludf.DUMMYFUNCTION("""COMPUTED_VALUE"""),"Pretzels were first made in Germany. Available straight, twisted, or knotted.")</f>
        <v>Pretzels were first made in Germany. Available straight, twisted, or knotted.</v>
      </c>
      <c r="C445" s="13" t="str">
        <f>IFERROR(__xludf.DUMMYFUNCTION("""COMPUTED_VALUE"""),"""rtcb"":{""label"":""Pretzels"",""extra"":""Pretzels were first made in Germany. Available straight, twisted, or knotted."",""sets"":""Junior 9+ (2nd)""},")</f>
        <v>"rtcb":{"label":"Pretzels","extra":"Pretzels were first made in Germany. Available straight, twisted, or knotted.","sets":"Junior 9+ (2nd)"},</v>
      </c>
    </row>
    <row r="446">
      <c r="A446" s="8" t="str">
        <f>IFERROR(__xludf.DUMMYFUNCTION("""COMPUTED_VALUE"""),"Prince Charming")</f>
        <v>Prince Charming</v>
      </c>
      <c r="B446" s="8" t="str">
        <f>IFERROR(__xludf.DUMMYFUNCTION("""COMPUTED_VALUE"""),"The handsome prince who rescued Cinderella from her hard life. They lived happily ever after.")</f>
        <v>The handsome prince who rescued Cinderella from her hard life. They lived happily ever after.</v>
      </c>
      <c r="C446" s="13" t="str">
        <f>IFERROR(__xludf.DUMMYFUNCTION("""COMPUTED_VALUE"""),"""yjdv"":{""label"":""Prince Charming"",""extra"":""The handsome prince who rescued Cinderella from her hard life. They lived happily ever after."",""sets"":""Junior""},")</f>
        <v>"yjdv":{"label":"Prince Charming","extra":"The handsome prince who rescued Cinderella from her hard life. They lived happily ever after.","sets":"Junior"},</v>
      </c>
    </row>
    <row r="447">
      <c r="A447" s="8" t="str">
        <f>IFERROR(__xludf.DUMMYFUNCTION("""COMPUTED_VALUE"""),"Pulling Weeds")</f>
        <v>Pulling Weeds</v>
      </c>
      <c r="B447" s="8" t="str">
        <f>IFERROR(__xludf.DUMMYFUNCTION("""COMPUTED_VALUE"""),"The job nobody likes to do.")</f>
        <v>The job nobody likes to do.</v>
      </c>
      <c r="C447" s="13" t="str">
        <f>IFERROR(__xludf.DUMMYFUNCTION("""COMPUTED_VALUE"""),"""xzsw"":{""label"":""Pulling Weeds"",""extra"":""The job nobody likes to do."",""sets"":""Junior""},")</f>
        <v>"xzsw":{"label":"Pulling Weeds","extra":"The job nobody likes to do.","sets":"Junior"},</v>
      </c>
    </row>
    <row r="448">
      <c r="A448" s="8" t="str">
        <f>IFERROR(__xludf.DUMMYFUNCTION("""COMPUTED_VALUE"""),"Pumpkins")</f>
        <v>Pumpkins</v>
      </c>
      <c r="B448" s="8" t="str">
        <f>IFERROR(__xludf.DUMMYFUNCTION("""COMPUTED_VALUE"""),"Bake it or carve it. Pumpkins are actually a fruit!")</f>
        <v>Bake it or carve it. Pumpkins are actually a fruit!</v>
      </c>
      <c r="C448" s="13" t="str">
        <f>IFERROR(__xludf.DUMMYFUNCTION("""COMPUTED_VALUE"""),"""{gvn"":{""label"":""Pumpkins"",""extra"":""Bake it or carve it. Pumpkins are actually a fruit!"",""sets"":""Junior 9+ (1st) &amp; (2nd)""},")</f>
        <v>"{gvn":{"label":"Pumpkins","extra":"Bake it or carve it. Pumpkins are actually a fruit!","sets":"Junior 9+ (1st) &amp; (2nd)"},</v>
      </c>
    </row>
    <row r="449">
      <c r="A449" s="8" t="str">
        <f>IFERROR(__xludf.DUMMYFUNCTION("""COMPUTED_VALUE"""),"Puppets")</f>
        <v>Puppets</v>
      </c>
      <c r="B449" s="8" t="str">
        <f>IFERROR(__xludf.DUMMYFUNCTION("""COMPUTED_VALUE"""),"Finger puppets, hand puppets and string puppets. Kermit the Frog is a rod puppet.")</f>
        <v>Finger puppets, hand puppets and string puppets. Kermit the Frog is a rod puppet.</v>
      </c>
      <c r="C449" s="13" t="str">
        <f>IFERROR(__xludf.DUMMYFUNCTION("""COMPUTED_VALUE"""),"""pfni"":{""label"":""Puppets"",""extra"":""Finger puppets, hand puppets and string puppets. Kermit the Frog is a rod puppet."",""sets"":""Junior 9+ (1st) &amp; (2nd)""},")</f>
        <v>"pfni":{"label":"Puppets","extra":"Finger puppets, hand puppets and string puppets. Kermit the Frog is a rod puppet.","sets":"Junior 9+ (1st) &amp; (2nd)"},</v>
      </c>
    </row>
    <row r="450">
      <c r="A450" s="8" t="str">
        <f>IFERROR(__xludf.DUMMYFUNCTION("""COMPUTED_VALUE"""),"Puppies")</f>
        <v>Puppies</v>
      </c>
      <c r="B450" s="8" t="str">
        <f>IFERROR(__xludf.DUMMYFUNCTION("""COMPUTED_VALUE"""),"Young dogs. They’ll chew on your shoes and bark all night.")</f>
        <v>Young dogs. They’ll chew on your shoes and bark all night.</v>
      </c>
      <c r="C450" s="13" t="str">
        <f>IFERROR(__xludf.DUMMYFUNCTION("""COMPUTED_VALUE"""),"""oxlk"":{""label"":""Puppies"",""extra"":""Young dogs. They’ll chew on your shoes and bark all night."",""sets"":""Junior""},")</f>
        <v>"oxlk":{"label":"Puppies","extra":"Young dogs. They’ll chew on your shoes and bark all night.","sets":"Junior"},</v>
      </c>
    </row>
    <row r="451">
      <c r="A451" s="8" t="str">
        <f>IFERROR(__xludf.DUMMYFUNCTION("""COMPUTED_VALUE"""),"Rabbits")</f>
        <v>Rabbits</v>
      </c>
      <c r="B451" s="8" t="str">
        <f>IFERROR(__xludf.DUMMYFUNCTION("""COMPUTED_VALUE"""),"Small, furry animals with long ears and short, fluffy tails. They like carrots and other vegetables.")</f>
        <v>Small, furry animals with long ears and short, fluffy tails. They like carrots and other vegetables.</v>
      </c>
      <c r="C451" s="13" t="str">
        <f>IFERROR(__xludf.DUMMYFUNCTION("""COMPUTED_VALUE"""),"""fhsa"":{""label"":""Rabbits"",""extra"":""Small, furry animals with long ears and short, fluffy tails. They like carrots and other vegetables."",""sets"":""Junior""},")</f>
        <v>"fhsa":{"label":"Rabbits","extra":"Small, furry animals with long ears and short, fluffy tails. They like carrots and other vegetables.","sets":"Junior"},</v>
      </c>
    </row>
    <row r="452">
      <c r="A452" s="8" t="str">
        <f>IFERROR(__xludf.DUMMYFUNCTION("""COMPUTED_VALUE"""),"Raccoons")</f>
        <v>Raccoons</v>
      </c>
      <c r="B452" s="8" t="str">
        <f>IFERROR(__xludf.DUMMYFUNCTION("""COMPUTED_VALUE"""),"They come out at night. The dark fur around their eyes looks like a mask.")</f>
        <v>They come out at night. The dark fur around their eyes looks like a mask.</v>
      </c>
      <c r="C452" s="13" t="str">
        <f>IFERROR(__xludf.DUMMYFUNCTION("""COMPUTED_VALUE"""),"""khfj"":{""label"":""Raccoons"",""extra"":""They come out at night. The dark fur around their eyes looks like a mask."",""sets"":""Junior""},")</f>
        <v>"khfj":{"label":"Raccoons","extra":"They come out at night. The dark fur around their eyes looks like a mask.","sets":"Junior"},</v>
      </c>
    </row>
    <row r="453">
      <c r="A453" s="8" t="str">
        <f>IFERROR(__xludf.DUMMYFUNCTION("""COMPUTED_VALUE"""),"Race Car Drivers")</f>
        <v>Race Car Drivers</v>
      </c>
      <c r="B453" s="8" t="str">
        <f>IFERROR(__xludf.DUMMYFUNCTION("""COMPUTED_VALUE"""),"Start your engines!")</f>
        <v>Start your engines!</v>
      </c>
      <c r="C453" s="13" t="str">
        <f>IFERROR(__xludf.DUMMYFUNCTION("""COMPUTED_VALUE"""),"""snoz"":{""label"":""Race Car Drivers"",""extra"":""Start your engines!"",""sets"":""Junior 9+ (2nd)""},")</f>
        <v>"snoz":{"label":"Race Car Drivers","extra":"Start your engines!","sets":"Junior 9+ (2nd)"},</v>
      </c>
    </row>
    <row r="454">
      <c r="A454" s="8" t="str">
        <f>IFERROR(__xludf.DUMMYFUNCTION("""COMPUTED_VALUE"""),"Radios")</f>
        <v>Radios</v>
      </c>
      <c r="B454" s="8" t="str">
        <f>IFERROR(__xludf.DUMMYFUNCTION("""COMPUTED_VALUE"""),"In the 1940s, before television, families gathered together to listen to the radio.")</f>
        <v>In the 1940s, before television, families gathered together to listen to the radio.</v>
      </c>
      <c r="C454" s="13" t="str">
        <f>IFERROR(__xludf.DUMMYFUNCTION("""COMPUTED_VALUE"""),"""klfh"":{""label"":""Radios"",""extra"":""In the 1940s, before television, families gathered together to listen to the radio."",""sets"":""Junior 9+ (1st) &amp; (2nd)""},")</f>
        <v>"klfh":{"label":"Radios","extra":"In the 1940s, before television, families gathered together to listen to the radio.","sets":"Junior 9+ (1st) &amp; (2nd)"},</v>
      </c>
    </row>
    <row r="455">
      <c r="A455" s="8" t="str">
        <f>IFERROR(__xludf.DUMMYFUNCTION("""COMPUTED_VALUE"""),"Raggedy Ann")</f>
        <v>Raggedy Ann</v>
      </c>
      <c r="B455" s="8" t="str">
        <f>IFERROR(__xludf.DUMMYFUNCTION("""COMPUTED_VALUE"""),"A little red-headed rag doll with a triangle shaped nose.")</f>
        <v>A little red-headed rag doll with a triangle shaped nose.</v>
      </c>
      <c r="C455" s="13" t="str">
        <f>IFERROR(__xludf.DUMMYFUNCTION("""COMPUTED_VALUE"""),"""qjiv"":{""label"":""Raggedy Ann"",""extra"":""A little red-headed rag doll with a triangle shaped nose."",""sets"":""Junior""},")</f>
        <v>"qjiv":{"label":"Raggedy Ann","extra":"A little red-headed rag doll with a triangle shaped nose.","sets":"Junior"},</v>
      </c>
    </row>
    <row r="456">
      <c r="A456" s="8" t="str">
        <f>IFERROR(__xludf.DUMMYFUNCTION("""COMPUTED_VALUE"""),"Rain")</f>
        <v>Rain</v>
      </c>
      <c r="B456" s="8" t="str">
        <f>IFERROR(__xludf.DUMMYFUNCTION("""COMPUTED_VALUE"""),"“Rain, rain, go away, come again another day.”")</f>
        <v>“Rain, rain, go away, come again another day.”</v>
      </c>
      <c r="C456" s="13" t="str">
        <f>IFERROR(__xludf.DUMMYFUNCTION("""COMPUTED_VALUE"""),"""tscs"":{""label"":""Rain"",""extra"":""“Rain, rain, go away, come again another day.”"",""sets"":""Junior 9+ (1st) &amp; (2nd)""},")</f>
        <v>"tscs":{"label":"Rain","extra":"“Rain, rain, go away, come again another day.”","sets":"Junior 9+ (1st) &amp; (2nd)"},</v>
      </c>
    </row>
    <row r="457">
      <c r="A457" s="8" t="str">
        <f>IFERROR(__xludf.DUMMYFUNCTION("""COMPUTED_VALUE"""),"Rain Forests")</f>
        <v>Rain Forests</v>
      </c>
      <c r="B457" s="8" t="str">
        <f>IFERROR(__xludf.DUMMYFUNCTION("""COMPUTED_VALUE"""),"There is heavy rainfall throughout the year and lots of bugs.")</f>
        <v>There is heavy rainfall throughout the year and lots of bugs.</v>
      </c>
      <c r="C457" s="13" t="str">
        <f>IFERROR(__xludf.DUMMYFUNCTION("""COMPUTED_VALUE"""),"""tu{j"":{""label"":""Rain Forests"",""extra"":""There is heavy rainfall throughout the year and lots of bugs."",""sets"":""Junior 9+ (2nd)""},")</f>
        <v>"tu{j":{"label":"Rain Forests","extra":"There is heavy rainfall throughout the year and lots of bugs.","sets":"Junior 9+ (2nd)"},</v>
      </c>
    </row>
    <row r="458">
      <c r="A458" s="8" t="str">
        <f>IFERROR(__xludf.DUMMYFUNCTION("""COMPUTED_VALUE"""),"Rainbows")</f>
        <v>Rainbows</v>
      </c>
      <c r="B458" s="8" t="str">
        <f>IFERROR(__xludf.DUMMYFUNCTION("""COMPUTED_VALUE"""),"There are seven colors in a rainbow: red, orange, yellow, green, blue, indigo, and violet.")</f>
        <v>There are seven colors in a rainbow: red, orange, yellow, green, blue, indigo, and violet.</v>
      </c>
      <c r="C458" s="13" t="str">
        <f>IFERROR(__xludf.DUMMYFUNCTION("""COMPUTED_VALUE"""),"""dttl"":{""label"":""Rainbows"",""extra"":""There are seven colors in a rainbow: red, orange, yellow, green, blue, indigo, and violet."",""sets"":""Junior 9+ (1st) &amp; (2nd)""},")</f>
        <v>"dttl":{"label":"Rainbows","extra":"There are seven colors in a rainbow: red, orange, yellow, green, blue, indigo, and violet.","sets":"Junior 9+ (1st) &amp; (2nd)"},</v>
      </c>
    </row>
    <row r="459">
      <c r="A459" s="8" t="str">
        <f>IFERROR(__xludf.DUMMYFUNCTION("""COMPUTED_VALUE"""),"Raisins")</f>
        <v>Raisins</v>
      </c>
      <c r="B459" s="8" t="str">
        <f>IFERROR(__xludf.DUMMYFUNCTION("""COMPUTED_VALUE"""),"They’re just dried grapes.")</f>
        <v>They’re just dried grapes.</v>
      </c>
      <c r="C459" s="13" t="str">
        <f>IFERROR(__xludf.DUMMYFUNCTION("""COMPUTED_VALUE"""),"""nskl"":{""label"":""Raisins"",""extra"":""They’re just dried grapes."",""sets"":""Junior 9+ (2nd)""},")</f>
        <v>"nskl":{"label":"Raisins","extra":"They’re just dried grapes.","sets":"Junior 9+ (2nd)"},</v>
      </c>
    </row>
    <row r="460">
      <c r="A460" s="8" t="str">
        <f>IFERROR(__xludf.DUMMYFUNCTION("""COMPUTED_VALUE"""),"Raking Leaves")</f>
        <v>Raking Leaves</v>
      </c>
      <c r="B460" s="8" t="str">
        <f>IFERROR(__xludf.DUMMYFUNCTION("""COMPUTED_VALUE"""),"Maybe they’ll all just blow away!")</f>
        <v>Maybe they’ll all just blow away!</v>
      </c>
      <c r="C460" s="13" t="str">
        <f>IFERROR(__xludf.DUMMYFUNCTION("""COMPUTED_VALUE"""),"""blkp"":{""label"":""Raking Leaves"",""extra"":""Maybe they’ll all just blow away!"",""sets"":""Junior 9+ (2nd)""},")</f>
        <v>"blkp":{"label":"Raking Leaves","extra":"Maybe they’ll all just blow away!","sets":"Junior 9+ (2nd)"},</v>
      </c>
    </row>
    <row r="461">
      <c r="A461" s="8" t="str">
        <f>IFERROR(__xludf.DUMMYFUNCTION("""COMPUTED_VALUE"""),"Ramona")</f>
        <v>Ramona</v>
      </c>
      <c r="B461" s="8" t="str">
        <f>IFERROR(__xludf.DUMMYFUNCTION("""COMPUTED_VALUE"""),"Main character in Beverly Cleary’s “Ramona the Pest” and other books in the series.")</f>
        <v>Main character in Beverly Cleary’s “Ramona the Pest” and other books in the series.</v>
      </c>
      <c r="C461" s="13" t="str">
        <f>IFERROR(__xludf.DUMMYFUNCTION("""COMPUTED_VALUE"""),"""cylo"":{""label"":""Ramona"",""extra"":""Main character in Beverly Cleary’s “Ramona the Pest” and other books in the series."",""sets"":""Junior 9+ (1st) &amp; (2nd)""},")</f>
        <v>"cylo":{"label":"Ramona","extra":"Main character in Beverly Cleary’s “Ramona the Pest” and other books in the series.","sets":"Junior 9+ (1st) &amp; (2nd)"},</v>
      </c>
    </row>
    <row r="462">
      <c r="A462" s="8" t="str">
        <f>IFERROR(__xludf.DUMMYFUNCTION("""COMPUTED_VALUE"""),"Rap Music")</f>
        <v>Rap Music</v>
      </c>
      <c r="B462" s="8" t="str">
        <f>IFERROR(__xludf.DUMMYFUNCTION("""COMPUTED_VALUE"""),"Rap is a popular form of music with a strong beat and rhyming lyrics.")</f>
        <v>Rap is a popular form of music with a strong beat and rhyming lyrics.</v>
      </c>
      <c r="C462" s="13" t="str">
        <f>IFERROR(__xludf.DUMMYFUNCTION("""COMPUTED_VALUE"""),"""rvwc"":{""label"":""Rap Music"",""extra"":""Rap is a popular form of music with a strong beat and rhyming lyrics."",""sets"":""Junior 9+ (2nd)""},")</f>
        <v>"rvwc":{"label":"Rap Music","extra":"Rap is a popular form of music with a strong beat and rhyming lyrics.","sets":"Junior 9+ (2nd)"},</v>
      </c>
    </row>
    <row r="463">
      <c r="A463" s="8" t="str">
        <f>IFERROR(__xludf.DUMMYFUNCTION("""COMPUTED_VALUE"""),"Rats")</f>
        <v>Rats</v>
      </c>
      <c r="B463" s="8" t="str">
        <f>IFERROR(__xludf.DUMMYFUNCTION("""COMPUTED_VALUE"""),"Gray or brown animals that look like very large mice. Usually pet rats are white.")</f>
        <v>Gray or brown animals that look like very large mice. Usually pet rats are white.</v>
      </c>
      <c r="C463" s="13" t="str">
        <f>IFERROR(__xludf.DUMMYFUNCTION("""COMPUTED_VALUE"""),"""wqll"":{""label"":""Rats"",""extra"":""Gray or brown animals that look like very large mice. Usually pet rats are white."",""sets"":""Junior""},")</f>
        <v>"wqll":{"label":"Rats","extra":"Gray or brown animals that look like very large mice. Usually pet rats are white.","sets":"Junior"},</v>
      </c>
    </row>
    <row r="464">
      <c r="A464" s="8" t="str">
        <f>IFERROR(__xludf.DUMMYFUNCTION("""COMPUTED_VALUE"""),"Reading A Book")</f>
        <v>Reading A Book</v>
      </c>
      <c r="B464" s="8" t="str">
        <f>IFERROR(__xludf.DUMMYFUNCTION("""COMPUTED_VALUE"""),"A good book is like traveling to a new world.")</f>
        <v>A good book is like traveling to a new world.</v>
      </c>
      <c r="C464" s="13" t="str">
        <f>IFERROR(__xludf.DUMMYFUNCTION("""COMPUTED_VALUE"""),"""wxwr"":{""label"":""Reading A Book"",""extra"":""A good book is like traveling to a new world."",""sets"":""Junior""},")</f>
        <v>"wxwr":{"label":"Reading A Book","extra":"A good book is like traveling to a new world.","sets":"Junior"},</v>
      </c>
    </row>
    <row r="465">
      <c r="A465" s="8" t="str">
        <f>IFERROR(__xludf.DUMMYFUNCTION("""COMPUTED_VALUE"""),"Recess")</f>
        <v>Recess</v>
      </c>
      <c r="B465" s="8" t="str">
        <f>IFERROR(__xludf.DUMMYFUNCTION("""COMPUTED_VALUE"""),"My favorite subject in school!")</f>
        <v>My favorite subject in school!</v>
      </c>
      <c r="C465" s="13" t="str">
        <f>IFERROR(__xludf.DUMMYFUNCTION("""COMPUTED_VALUE"""),"""zove"":{""label"":""Recess"",""extra"":""My favorite subject in school!"",""sets"":""Junior""},")</f>
        <v>"zove":{"label":"Recess","extra":"My favorite subject in school!","sets":"Junior"},</v>
      </c>
    </row>
    <row r="466">
      <c r="A466" s="8" t="str">
        <f>IFERROR(__xludf.DUMMYFUNCTION("""COMPUTED_VALUE"""),"Red Roses")</f>
        <v>Red Roses</v>
      </c>
      <c r="B466" s="8" t="str">
        <f>IFERROR(__xludf.DUMMYFUNCTION("""COMPUTED_VALUE"""),"Red roses are a symbol of love.")</f>
        <v>Red roses are a symbol of love.</v>
      </c>
      <c r="C466" s="13" t="str">
        <f>IFERROR(__xludf.DUMMYFUNCTION("""COMPUTED_VALUE"""),"""mqzo"":{""label"":""Red Roses"",""extra"":""Red roses are a symbol of love."",""sets"":""Junior 9+ (1st) &amp; (2nd)""},")</f>
        <v>"mqzo":{"label":"Red Roses","extra":"Red roses are a symbol of love.","sets":"Junior 9+ (1st) &amp; (2nd)"},</v>
      </c>
    </row>
    <row r="467">
      <c r="A467" s="8" t="str">
        <f>IFERROR(__xludf.DUMMYFUNCTION("""COMPUTED_VALUE"""),"Restaurants")</f>
        <v>Restaurants</v>
      </c>
      <c r="B467" s="8" t="str">
        <f>IFERROR(__xludf.DUMMYFUNCTION("""COMPUTED_VALUE"""),"It’s good to try new things!")</f>
        <v>It’s good to try new things!</v>
      </c>
      <c r="C467" s="13" t="str">
        <f>IFERROR(__xludf.DUMMYFUNCTION("""COMPUTED_VALUE"""),"""licl"":{""label"":""Restaurants"",""extra"":""It’s good to try new things!"",""sets"":""Junior 9+ (2nd)""},")</f>
        <v>"licl":{"label":"Restaurants","extra":"It’s good to try new things!","sets":"Junior 9+ (2nd)"},</v>
      </c>
    </row>
    <row r="468">
      <c r="A468" s="8" t="str">
        <f>IFERROR(__xludf.DUMMYFUNCTION("""COMPUTED_VALUE"""),"Rice")</f>
        <v>Rice</v>
      </c>
      <c r="B468" s="8" t="str">
        <f>IFERROR(__xludf.DUMMYFUNCTION("""COMPUTED_VALUE"""),"A grain grown for food. Rice can be white, brown or black.")</f>
        <v>A grain grown for food. Rice can be white, brown or black.</v>
      </c>
      <c r="C468" s="13" t="str">
        <f>IFERROR(__xludf.DUMMYFUNCTION("""COMPUTED_VALUE"""),"""mzif"":{""label"":""Rice"",""extra"":""A grain grown for food. Rice can be white, brown or black."",""sets"":""Junior 9+ (1st) &amp; (2nd)""},")</f>
        <v>"mzif":{"label":"Rice","extra":"A grain grown for food. Rice can be white, brown or black.","sets":"Junior 9+ (1st) &amp; (2nd)"},</v>
      </c>
    </row>
    <row r="469">
      <c r="A469" s="8" t="str">
        <f>IFERROR(__xludf.DUMMYFUNCTION("""COMPUTED_VALUE"""),"Riding A Bike")</f>
        <v>Riding A Bike</v>
      </c>
      <c r="B469" s="8" t="str">
        <f>IFERROR(__xludf.DUMMYFUNCTION("""COMPUTED_VALUE"""),"Remember to wear your helmet.")</f>
        <v>Remember to wear your helmet.</v>
      </c>
      <c r="C469" s="13" t="str">
        <f>IFERROR(__xludf.DUMMYFUNCTION("""COMPUTED_VALUE"""),"""wvpr"":{""label"":""Riding A Bike"",""extra"":""Remember to wear your helmet."",""sets"":""Junior""},")</f>
        <v>"wvpr":{"label":"Riding A Bike","extra":"Remember to wear your helmet.","sets":"Junior"},</v>
      </c>
    </row>
    <row r="470">
      <c r="A470" s="8" t="str">
        <f>IFERROR(__xludf.DUMMYFUNCTION("""COMPUTED_VALUE"""),"Riding A Horse")</f>
        <v>Riding A Horse</v>
      </c>
      <c r="B470" s="8" t="str">
        <f>IFERROR(__xludf.DUMMYFUNCTION("""COMPUTED_VALUE"""),"Grab the reins and hang on!")</f>
        <v>Grab the reins and hang on!</v>
      </c>
      <c r="C470" s="13" t="str">
        <f>IFERROR(__xludf.DUMMYFUNCTION("""COMPUTED_VALUE"""),"""trlh"":{""label"":""Riding A Horse"",""extra"":""Grab the reins and hang on!"",""sets"":""Junior""},")</f>
        <v>"trlh":{"label":"Riding A Horse","extra":"Grab the reins and hang on!","sets":"Junior"},</v>
      </c>
    </row>
    <row r="471">
      <c r="A471" s="8" t="str">
        <f>IFERROR(__xludf.DUMMYFUNCTION("""COMPUTED_VALUE"""),"Riding A Scooter")</f>
        <v>Riding A Scooter</v>
      </c>
      <c r="B471" s="8" t="str">
        <f>IFERROR(__xludf.DUMMYFUNCTION("""COMPUTED_VALUE"""),"Where are the brakes?")</f>
        <v>Where are the brakes?</v>
      </c>
      <c r="C471" s="13" t="str">
        <f>IFERROR(__xludf.DUMMYFUNCTION("""COMPUTED_VALUE"""),"""hxel"":{""label"":""Riding A Scooter"",""extra"":""Where are the brakes?"",""sets"":""Junior 9+ (2nd)""},")</f>
        <v>"hxel":{"label":"Riding A Scooter","extra":"Where are the brakes?","sets":"Junior 9+ (2nd)"},</v>
      </c>
    </row>
    <row r="472">
      <c r="A472" s="8" t="str">
        <f>IFERROR(__xludf.DUMMYFUNCTION("""COMPUTED_VALUE"""),"Rivers")</f>
        <v>Rivers</v>
      </c>
      <c r="B472" s="8" t="str">
        <f>IFERROR(__xludf.DUMMYFUNCTION("""COMPUTED_VALUE"""),"Can you spell Mississippi?")</f>
        <v>Can you spell Mississippi?</v>
      </c>
      <c r="C472" s="13" t="str">
        <f>IFERROR(__xludf.DUMMYFUNCTION("""COMPUTED_VALUE"""),"""vngj"":{""label"":""Rivers"",""extra"":""Can you spell Mississippi?"",""sets"":""Junior""},")</f>
        <v>"vngj":{"label":"Rivers","extra":"Can you spell Mississippi?","sets":"Junior"},</v>
      </c>
    </row>
    <row r="473">
      <c r="A473" s="8" t="str">
        <f>IFERROR(__xludf.DUMMYFUNCTION("""COMPUTED_VALUE"""),"Robots")</f>
        <v>Robots</v>
      </c>
      <c r="B473" s="8" t="str">
        <f>IFERROR(__xludf.DUMMYFUNCTION("""COMPUTED_VALUE"""),"They should make a robot that does homework.")</f>
        <v>They should make a robot that does homework.</v>
      </c>
      <c r="C473" s="13" t="str">
        <f>IFERROR(__xludf.DUMMYFUNCTION("""COMPUTED_VALUE"""),"""wnpw"":{""label"":""Robots"",""extra"":""They should make a robot that does homework."",""sets"":""Junior 9+ (1st) &amp; (2nd)""},")</f>
        <v>"wnpw":{"label":"Robots","extra":"They should make a robot that does homework.","sets":"Junior 9+ (1st) &amp; (2nd)"},</v>
      </c>
    </row>
    <row r="474">
      <c r="A474" s="8" t="str">
        <f>IFERROR(__xludf.DUMMYFUNCTION("""COMPUTED_VALUE"""),"Rock Candy")</f>
        <v>Rock Candy</v>
      </c>
      <c r="B474" s="8" t="str">
        <f>IFERROR(__xludf.DUMMYFUNCTION("""COMPUTED_VALUE"""),"Large, clear sugar crystals- rock hard!")</f>
        <v>Large, clear sugar crystals- rock hard!</v>
      </c>
      <c r="C474" s="13" t="str">
        <f>IFERROR(__xludf.DUMMYFUNCTION("""COMPUTED_VALUE"""),"""xkek"":{""label"":""Rock Candy"",""extra"":""Large, clear sugar crystals- rock hard!"",""sets"":""Junior 9+ (2nd)""},")</f>
        <v>"xkek":{"label":"Rock Candy","extra":"Large, clear sugar crystals- rock hard!","sets":"Junior 9+ (2nd)"},</v>
      </c>
    </row>
    <row r="475">
      <c r="A475" s="8" t="str">
        <f>IFERROR(__xludf.DUMMYFUNCTION("""COMPUTED_VALUE"""),"Rock Concerts")</f>
        <v>Rock Concerts</v>
      </c>
      <c r="B475" s="8" t="str">
        <f>IFERROR(__xludf.DUMMYFUNCTION("""COMPUTED_VALUE"""),"Not on a school night!")</f>
        <v>Not on a school night!</v>
      </c>
      <c r="C475" s="13" t="str">
        <f>IFERROR(__xludf.DUMMYFUNCTION("""COMPUTED_VALUE"""),"""kbnz"":{""label"":""Rock Concerts"",""extra"":""Not on a school night!"",""sets"":""Junior 9+ (2nd)""},")</f>
        <v>"kbnz":{"label":"Rock Concerts","extra":"Not on a school night!","sets":"Junior 9+ (2nd)"},</v>
      </c>
    </row>
    <row r="476">
      <c r="A476" s="8" t="str">
        <f>IFERROR(__xludf.DUMMYFUNCTION("""COMPUTED_VALUE"""),"Rock Stars")</f>
        <v>Rock Stars</v>
      </c>
      <c r="B476" s="8" t="str">
        <f>IFERROR(__xludf.DUMMYFUNCTION("""COMPUTED_VALUE"""),"Even the guys wear make-up!")</f>
        <v>Even the guys wear make-up!</v>
      </c>
      <c r="C476" s="13" t="str">
        <f>IFERROR(__xludf.DUMMYFUNCTION("""COMPUTED_VALUE"""),"""xtji"":{""label"":""Rock Stars"",""extra"":""Even the guys wear make-up!"",""sets"":""Junior 9+ (2nd)""},")</f>
        <v>"xtji":{"label":"Rock Stars","extra":"Even the guys wear make-up!","sets":"Junior 9+ (2nd)"},</v>
      </c>
    </row>
    <row r="477">
      <c r="A477" s="8" t="str">
        <f>IFERROR(__xludf.DUMMYFUNCTION("""COMPUTED_VALUE"""),"Rocking Chairs")</f>
        <v>Rocking Chairs</v>
      </c>
      <c r="B477" s="8" t="str">
        <f>IFERROR(__xludf.DUMMYFUNCTION("""COMPUTED_VALUE"""),"Rock-a-bye baby.")</f>
        <v>Rock-a-bye baby.</v>
      </c>
      <c r="C477" s="13" t="str">
        <f>IFERROR(__xludf.DUMMYFUNCTION("""COMPUTED_VALUE"""),"""pvfj"":{""label"":""Rocking Chairs"",""extra"":""Rock-a-bye baby."",""sets"":""Junior 9+ (1st) &amp; (2nd)""},")</f>
        <v>"pvfj":{"label":"Rocking Chairs","extra":"Rock-a-bye baby.","sets":"Junior 9+ (1st) &amp; (2nd)"},</v>
      </c>
    </row>
    <row r="478">
      <c r="A478" s="8" t="str">
        <f>IFERROR(__xludf.DUMMYFUNCTION("""COMPUTED_VALUE"""),"Rocks")</f>
        <v>Rocks</v>
      </c>
      <c r="B478" s="8" t="str">
        <f>IFERROR(__xludf.DUMMYFUNCTION("""COMPUTED_VALUE"""),"Rock collectors are sometimes called rockhounds.")</f>
        <v>Rock collectors are sometimes called rockhounds.</v>
      </c>
      <c r="C478" s="13" t="str">
        <f>IFERROR(__xludf.DUMMYFUNCTION("""COMPUTED_VALUE"""),"""gsyg"":{""label"":""Rocks"",""extra"":""Rock collectors are sometimes called rockhounds."",""sets"":""Junior 9+ (1st) &amp; (2nd)""},")</f>
        <v>"gsyg":{"label":"Rocks","extra":"Rock collectors are sometimes called rockhounds.","sets":"Junior 9+ (1st) &amp; (2nd)"},</v>
      </c>
    </row>
    <row r="479">
      <c r="A479" s="8" t="str">
        <f>IFERROR(__xludf.DUMMYFUNCTION("""COMPUTED_VALUE"""),"Roller Coaster")</f>
        <v>Roller Coaster</v>
      </c>
      <c r="B479" s="8" t="str">
        <f>IFERROR(__xludf.DUMMYFUNCTION("""COMPUTED_VALUE"""),"Roller coaster cars can go more than 70 miles per hour.")</f>
        <v>Roller coaster cars can go more than 70 miles per hour.</v>
      </c>
      <c r="C479" s="13" t="str">
        <f>IFERROR(__xludf.DUMMYFUNCTION("""COMPUTED_VALUE"""),"""bvjc"":{""label"":""Roller Coaster"",""extra"":""Roller coaster cars can go more than 70 miles per hour."",""sets"":""Junior 9+ (1st) &amp; (2nd)""},")</f>
        <v>"bvjc":{"label":"Roller Coaster","extra":"Roller coaster cars can go more than 70 miles per hour.","sets":"Junior 9+ (1st) &amp; (2nd)"},</v>
      </c>
    </row>
    <row r="480">
      <c r="A480" s="8" t="str">
        <f>IFERROR(__xludf.DUMMYFUNCTION("""COMPUTED_VALUE"""),"Rollerblading")</f>
        <v>Rollerblading</v>
      </c>
      <c r="B480" s="8" t="str">
        <f>IFERROR(__xludf.DUMMYFUNCTION("""COMPUTED_VALUE"""),"Faster than walking.")</f>
        <v>Faster than walking.</v>
      </c>
      <c r="C480" s="13" t="str">
        <f>IFERROR(__xludf.DUMMYFUNCTION("""COMPUTED_VALUE"""),"""ojni"":{""label"":""Rollerblading"",""extra"":""Faster than walking."",""sets"":""Junior 9+ (1st) &amp; (2nd)""},")</f>
        <v>"ojni":{"label":"Rollerblading","extra":"Faster than walking.","sets":"Junior 9+ (1st) &amp; (2nd)"},</v>
      </c>
    </row>
    <row r="481">
      <c r="A481" s="8" t="str">
        <f>IFERROR(__xludf.DUMMYFUNCTION("""COMPUTED_VALUE"""),"Ronald McDonald")</f>
        <v>Ronald McDonald</v>
      </c>
      <c r="B481" s="8" t="str">
        <f>IFERROR(__xludf.DUMMYFUNCTION("""COMPUTED_VALUE"""),"The clown from McDonald’s restaurants.")</f>
        <v>The clown from McDonald’s restaurants.</v>
      </c>
      <c r="C481" s="13" t="str">
        <f>IFERROR(__xludf.DUMMYFUNCTION("""COMPUTED_VALUE"""),"""q{zt"":{""label"":""Ronald McDonald"",""extra"":""The clown from McDonald’s restaurants."",""sets"":""Junior""},")</f>
        <v>"q{zt":{"label":"Ronald McDonald","extra":"The clown from McDonald’s restaurants.","sets":"Junior"},</v>
      </c>
    </row>
    <row r="482">
      <c r="A482" s="8" t="str">
        <f>IFERROR(__xludf.DUMMYFUNCTION("""COMPUTED_VALUE"""),"Roosters")</f>
        <v>Roosters</v>
      </c>
      <c r="B482" s="8" t="str">
        <f>IFERROR(__xludf.DUMMYFUNCTION("""COMPUTED_VALUE"""),"The barnyard alarm clock.")</f>
        <v>The barnyard alarm clock.</v>
      </c>
      <c r="C482" s="13" t="str">
        <f>IFERROR(__xludf.DUMMYFUNCTION("""COMPUTED_VALUE"""),"""grsd"":{""label"":""Roosters"",""extra"":""The barnyard alarm clock."",""sets"":""Junior 9+ (2nd)""},")</f>
        <v>"grsd":{"label":"Roosters","extra":"The barnyard alarm clock.","sets":"Junior 9+ (2nd)"},</v>
      </c>
    </row>
    <row r="483">
      <c r="A483" s="8" t="str">
        <f>IFERROR(__xludf.DUMMYFUNCTION("""COMPUTED_VALUE"""),"Root Beer")</f>
        <v>Root Beer</v>
      </c>
      <c r="B483" s="8" t="str">
        <f>IFERROR(__xludf.DUMMYFUNCTION("""COMPUTED_VALUE"""),"A sweet, brown drink that is fizzy and foamy. Add ice cream to make a root beer float!")</f>
        <v>A sweet, brown drink that is fizzy and foamy. Add ice cream to make a root beer float!</v>
      </c>
      <c r="C483" s="13" t="str">
        <f>IFERROR(__xludf.DUMMYFUNCTION("""COMPUTED_VALUE"""),"""ltbw"":{""label"":""Root Beer"",""extra"":""A sweet, brown drink that is fizzy and foamy. Add ice cream to make a root beer float!"",""sets"":""Junior""},")</f>
        <v>"ltbw":{"label":"Root Beer","extra":"A sweet, brown drink that is fizzy and foamy. Add ice cream to make a root beer float!","sets":"Junior"},</v>
      </c>
    </row>
    <row r="484">
      <c r="A484" s="8" t="str">
        <f>IFERROR(__xludf.DUMMYFUNCTION("""COMPUTED_VALUE"""),"Rugrats")</f>
        <v>Rugrats</v>
      </c>
      <c r="B484" s="8" t="str">
        <f>IFERROR(__xludf.DUMMYFUNCTION("""COMPUTED_VALUE"""),"A cartoon about the adventures of Tommy, Chucky, Angelica, and Phil and Lil.")</f>
        <v>A cartoon about the adventures of Tommy, Chucky, Angelica, and Phil and Lil.</v>
      </c>
      <c r="C484" s="13" t="str">
        <f>IFERROR(__xludf.DUMMYFUNCTION("""COMPUTED_VALUE"""),"""sphx"":{""label"":""Rugrats"",""extra"":""A cartoon about the adventures of Tommy, Chucky, Angelica, and Phil and Lil."",""sets"":""Junior""},")</f>
        <v>"sphx":{"label":"Rugrats","extra":"A cartoon about the adventures of Tommy, Chucky, Angelica, and Phil and Lil.","sets":"Junior"},</v>
      </c>
    </row>
    <row r="485">
      <c r="A485" s="8" t="str">
        <f>IFERROR(__xludf.DUMMYFUNCTION("""COMPUTED_VALUE"""),"Running In A Race")</f>
        <v>Running In A Race</v>
      </c>
      <c r="B485" s="8" t="str">
        <f>IFERROR(__xludf.DUMMYFUNCTION("""COMPUTED_VALUE"""),"A marathon is a 26 mile race.")</f>
        <v>A marathon is a 26 mile race.</v>
      </c>
      <c r="C485" s="13" t="str">
        <f>IFERROR(__xludf.DUMMYFUNCTION("""COMPUTED_VALUE"""),"""srpn"":{""label"":""Running In A Race"",""extra"":""A marathon is a 26 mile race."",""sets"":""Junior 9+ (1st) &amp; (2nd)""},")</f>
        <v>"srpn":{"label":"Running In A Race","extra":"A marathon is a 26 mile race.","sets":"Junior 9+ (1st) &amp; (2nd)"},</v>
      </c>
    </row>
    <row r="486">
      <c r="A486" s="8" t="str">
        <f>IFERROR(__xludf.DUMMYFUNCTION("""COMPUTED_VALUE"""),"Sailors")</f>
        <v>Sailors</v>
      </c>
      <c r="B486" s="8" t="str">
        <f>IFERROR(__xludf.DUMMYFUNCTION("""COMPUTED_VALUE"""),"Get seasick? Don't become a sailor.")</f>
        <v>Get seasick? Don't become a sailor.</v>
      </c>
      <c r="C486" s="13" t="str">
        <f>IFERROR(__xludf.DUMMYFUNCTION("""COMPUTED_VALUE"""),"""zknp"":{""label"":""Sailors"",""extra"":""Get seasick? Don't become a sailor."",""sets"":""Junior 9+ (2nd)""},")</f>
        <v>"zknp":{"label":"Sailors","extra":"Get seasick? Don't become a sailor.","sets":"Junior 9+ (2nd)"},</v>
      </c>
    </row>
    <row r="487">
      <c r="A487" s="8" t="str">
        <f>IFERROR(__xludf.DUMMYFUNCTION("""COMPUTED_VALUE"""),"Salads")</f>
        <v>Salads</v>
      </c>
      <c r="B487" s="8" t="str">
        <f>IFERROR(__xludf.DUMMYFUNCTION("""COMPUTED_VALUE"""),"Fruit salads, pasta salads, potato salads, and lettuce salads.")</f>
        <v>Fruit salads, pasta salads, potato salads, and lettuce salads.</v>
      </c>
      <c r="C487" s="13" t="str">
        <f>IFERROR(__xludf.DUMMYFUNCTION("""COMPUTED_VALUE"""),"""uon{"":{""label"":""Salads"",""extra"":""Fruit salads, pasta salads, potato salads, and lettuce salads."",""sets"":""Junior 9+ (1st) &amp; (2nd)""},")</f>
        <v>"uon{":{"label":"Salads","extra":"Fruit salads, pasta salads, potato salads, and lettuce salads.","sets":"Junior 9+ (1st) &amp; (2nd)"},</v>
      </c>
    </row>
    <row r="488">
      <c r="A488" s="8" t="str">
        <f>IFERROR(__xludf.DUMMYFUNCTION("""COMPUTED_VALUE"""),"Salt")</f>
        <v>Salt</v>
      </c>
      <c r="B488" s="8" t="str">
        <f>IFERROR(__xludf.DUMMYFUNCTION("""COMPUTED_VALUE"""),"In ancient times salt was valuable. In fact, it was used as money.")</f>
        <v>In ancient times salt was valuable. In fact, it was used as money.</v>
      </c>
      <c r="C488" s="13" t="str">
        <f>IFERROR(__xludf.DUMMYFUNCTION("""COMPUTED_VALUE"""),"""jepy"":{""label"":""Salt"",""extra"":""In ancient times salt was valuable. In fact, it was used as money."",""sets"":""Junior 9+ (1st) &amp; (2nd)""},")</f>
        <v>"jepy":{"label":"Salt","extra":"In ancient times salt was valuable. In fact, it was used as money.","sets":"Junior 9+ (1st) &amp; (2nd)"},</v>
      </c>
    </row>
    <row r="489">
      <c r="A489" s="8" t="str">
        <f>IFERROR(__xludf.DUMMYFUNCTION("""COMPUTED_VALUE"""),"Sand")</f>
        <v>Sand</v>
      </c>
      <c r="B489" s="8" t="str">
        <f>IFERROR(__xludf.DUMMYFUNCTION("""COMPUTED_VALUE"""),"The desert, the dunes, the beach, and in your shoes.")</f>
        <v>The desert, the dunes, the beach, and in your shoes.</v>
      </c>
      <c r="C489" s="13" t="str">
        <f>IFERROR(__xludf.DUMMYFUNCTION("""COMPUTED_VALUE"""),"""kdjz"":{""label"":""Sand"",""extra"":""The desert, the dunes, the beach, and in your shoes."",""sets"":""Junior 9+ (1st) &amp; (2nd)""},")</f>
        <v>"kdjz":{"label":"Sand","extra":"The desert, the dunes, the beach, and in your shoes.","sets":"Junior 9+ (1st) &amp; (2nd)"},</v>
      </c>
    </row>
    <row r="490">
      <c r="A490" s="8" t="str">
        <f>IFERROR(__xludf.DUMMYFUNCTION("""COMPUTED_VALUE"""),"Sand Castles")</f>
        <v>Sand Castles</v>
      </c>
      <c r="B490" s="8" t="str">
        <f>IFERROR(__xludf.DUMMYFUNCTION("""COMPUTED_VALUE"""),"No dogs allowed.")</f>
        <v>No dogs allowed.</v>
      </c>
      <c r="C490" s="13" t="str">
        <f>IFERROR(__xludf.DUMMYFUNCTION("""COMPUTED_VALUE"""),"""qlck"":{""label"":""Sand Castles"",""extra"":""No dogs allowed."",""sets"":""Junior 9+ (2nd)""},")</f>
        <v>"qlck":{"label":"Sand Castles","extra":"No dogs allowed.","sets":"Junior 9+ (2nd)"},</v>
      </c>
    </row>
    <row r="491">
      <c r="A491" s="8" t="str">
        <f>IFERROR(__xludf.DUMMYFUNCTION("""COMPUTED_VALUE"""),"School Buses")</f>
        <v>School Buses</v>
      </c>
      <c r="B491" s="8" t="str">
        <f>IFERROR(__xludf.DUMMYFUNCTION("""COMPUTED_VALUE"""),"Large, yellow buses used to take children to school.")</f>
        <v>Large, yellow buses used to take children to school.</v>
      </c>
      <c r="C491" s="13" t="str">
        <f>IFERROR(__xludf.DUMMYFUNCTION("""COMPUTED_VALUE"""),"""bvjb"":{""label"":""School Buses"",""extra"":""Large, yellow buses used to take children to school."",""sets"":""Junior""},")</f>
        <v>"bvjb":{"label":"School Buses","extra":"Large, yellow buses used to take children to school.","sets":"Junior"},</v>
      </c>
    </row>
    <row r="492">
      <c r="A492" s="8" t="str">
        <f>IFERROR(__xludf.DUMMYFUNCTION("""COMPUTED_VALUE"""),"School Lunch")</f>
        <v>School Lunch</v>
      </c>
      <c r="B492" s="8" t="str">
        <f>IFERROR(__xludf.DUMMYFUNCTION("""COMPUTED_VALUE"""),"Hot lunch, cold lunch, or bring your own lunch.")</f>
        <v>Hot lunch, cold lunch, or bring your own lunch.</v>
      </c>
      <c r="C492" s="13" t="str">
        <f>IFERROR(__xludf.DUMMYFUNCTION("""COMPUTED_VALUE"""),"""dbgl"":{""label"":""School Lunch"",""extra"":""Hot lunch, cold lunch, or bring your own lunch."",""sets"":""Junior 9+ (1st) &amp; (2nd)""},")</f>
        <v>"dbgl":{"label":"School Lunch","extra":"Hot lunch, cold lunch, or bring your own lunch.","sets":"Junior 9+ (1st) &amp; (2nd)"},</v>
      </c>
    </row>
    <row r="493">
      <c r="A493" s="8" t="str">
        <f>IFERROR(__xludf.DUMMYFUNCTION("""COMPUTED_VALUE"""),"School Pictures")</f>
        <v>School Pictures</v>
      </c>
      <c r="B493" s="8" t="str">
        <f>IFERROR(__xludf.DUMMYFUNCTION("""COMPUTED_VALUE"""),"How do I look?")</f>
        <v>How do I look?</v>
      </c>
      <c r="C493" s="13" t="str">
        <f>IFERROR(__xludf.DUMMYFUNCTION("""COMPUTED_VALUE"""),"""zepd"":{""label"":""School Pictures"",""extra"":""How do I look?"",""sets"":""Junior 9+ (2nd)""},")</f>
        <v>"zepd":{"label":"School Pictures","extra":"How do I look?","sets":"Junior 9+ (2nd)"},</v>
      </c>
    </row>
    <row r="494">
      <c r="A494" s="8" t="str">
        <f>IFERROR(__xludf.DUMMYFUNCTION("""COMPUTED_VALUE"""),"Science Experiments")</f>
        <v>Science Experiments</v>
      </c>
      <c r="B494" s="8" t="str">
        <f>IFERROR(__xludf.DUMMYFUNCTION("""COMPUTED_VALUE"""),"Your science experiment? I thought it was dinner!")</f>
        <v>Your science experiment? I thought it was dinner!</v>
      </c>
      <c r="C494" s="13" t="str">
        <f>IFERROR(__xludf.DUMMYFUNCTION("""COMPUTED_VALUE"""),"""tkof"":{""label"":""Science Experiments"",""extra"":""Your science experiment? I thought it was dinner!"",""sets"":""Junior 9+ (2nd)""},")</f>
        <v>"tkof":{"label":"Science Experiments","extra":"Your science experiment? I thought it was dinner!","sets":"Junior 9+ (2nd)"},</v>
      </c>
    </row>
    <row r="495">
      <c r="A495" s="8" t="str">
        <f>IFERROR(__xludf.DUMMYFUNCTION("""COMPUTED_VALUE"""),"Science Tests")</f>
        <v>Science Tests</v>
      </c>
      <c r="B495" s="8" t="str">
        <f>IFERROR(__xludf.DUMMYFUNCTION("""COMPUTED_VALUE"""),"Multiple choice or essay.")</f>
        <v>Multiple choice or essay.</v>
      </c>
      <c r="C495" s="13" t="str">
        <f>IFERROR(__xludf.DUMMYFUNCTION("""COMPUTED_VALUE"""),"""ngfi"":{""label"":""Science Tests"",""extra"":""Multiple choice or essay."",""sets"":""Junior 9+ (2nd)""},")</f>
        <v>"ngfi":{"label":"Science Tests","extra":"Multiple choice or essay.","sets":"Junior 9+ (2nd)"},</v>
      </c>
    </row>
    <row r="496">
      <c r="A496" s="8" t="str">
        <f>IFERROR(__xludf.DUMMYFUNCTION("""COMPUTED_VALUE"""),"Scientists")</f>
        <v>Scientists</v>
      </c>
      <c r="B496" s="8" t="str">
        <f>IFERROR(__xludf.DUMMYFUNCTION("""COMPUTED_VALUE"""),"Scientists study astronomy, biology, chemistry, geology, and other stuff.")</f>
        <v>Scientists study astronomy, biology, chemistry, geology, and other stuff.</v>
      </c>
      <c r="C496" s="13" t="str">
        <f>IFERROR(__xludf.DUMMYFUNCTION("""COMPUTED_VALUE"""),"""yuoc"":{""label"":""Scientists"",""extra"":""Scientists study astronomy, biology, chemistry, geology, and other stuff."",""sets"":""Junior 9+ (1st) &amp; (2nd)""},")</f>
        <v>"yuoc":{"label":"Scientists","extra":"Scientists study astronomy, biology, chemistry, geology, and other stuff.","sets":"Junior 9+ (1st) &amp; (2nd)"},</v>
      </c>
    </row>
    <row r="497">
      <c r="A497" s="8" t="str">
        <f>IFERROR(__xludf.DUMMYFUNCTION("""COMPUTED_VALUE"""),"Scooby-Doo")</f>
        <v>Scooby-Doo</v>
      </c>
      <c r="B497" s="8" t="str">
        <f>IFERROR(__xludf.DUMMYFUNCTION("""COMPUTED_VALUE"""),"TV cartoon dog who helps solve crimes. “Scooby-Doo, where are you?”")</f>
        <v>TV cartoon dog who helps solve crimes. “Scooby-Doo, where are you?”</v>
      </c>
      <c r="C497" s="13" t="str">
        <f>IFERROR(__xludf.DUMMYFUNCTION("""COMPUTED_VALUE"""),"""jzhp"":{""label"":""Scooby-Doo"",""extra"":""TV cartoon dog who helps solve crimes. “Scooby-Doo, where are you?”"",""sets"":""Junior 9+ (1st) &amp; (2nd)""},")</f>
        <v>"jzhp":{"label":"Scooby-Doo","extra":"TV cartoon dog who helps solve crimes. “Scooby-Doo, where are you?”","sets":"Junior 9+ (1st) &amp; (2nd)"},</v>
      </c>
    </row>
    <row r="498">
      <c r="A498" s="8" t="str">
        <f>IFERROR(__xludf.DUMMYFUNCTION("""COMPUTED_VALUE"""),"Screaming")</f>
        <v>Screaming</v>
      </c>
      <c r="B498" s="8" t="str">
        <f>IFERROR(__xludf.DUMMYFUNCTION("""COMPUTED_VALUE"""),"NOT SO LOUD!")</f>
        <v>NOT SO LOUD!</v>
      </c>
      <c r="C498" s="13" t="str">
        <f>IFERROR(__xludf.DUMMYFUNCTION("""COMPUTED_VALUE"""),"""swef"":{""label"":""Screaming"",""extra"":""NOT SO LOUD!"",""sets"":""Junior""},")</f>
        <v>"swef":{"label":"Screaming","extra":"NOT SO LOUD!","sets":"Junior"},</v>
      </c>
    </row>
    <row r="499">
      <c r="A499" s="8" t="str">
        <f>IFERROR(__xludf.DUMMYFUNCTION("""COMPUTED_VALUE"""),"Seashells")</f>
        <v>Seashells</v>
      </c>
      <c r="B499" s="8" t="str">
        <f>IFERROR(__xludf.DUMMYFUNCTION("""COMPUTED_VALUE"""),"The outer shells of sea animals. You can find them on the beach.")</f>
        <v>The outer shells of sea animals. You can find them on the beach.</v>
      </c>
      <c r="C499" s="13" t="str">
        <f>IFERROR(__xludf.DUMMYFUNCTION("""COMPUTED_VALUE"""),"""vthe"":{""label"":""Seashells"",""extra"":""The outer shells of sea animals. You can find them on the beach."",""sets"":""Junior""},")</f>
        <v>"vthe":{"label":"Seashells","extra":"The outer shells of sea animals. You can find them on the beach.","sets":"Junior"},</v>
      </c>
    </row>
    <row r="500">
      <c r="A500" s="8" t="str">
        <f>IFERROR(__xludf.DUMMYFUNCTION("""COMPUTED_VALUE"""),"Sesame Street")</f>
        <v>Sesame Street</v>
      </c>
      <c r="B500" s="8" t="str">
        <f>IFERROR(__xludf.DUMMYFUNCTION("""COMPUTED_VALUE"""),"Children’s television show featuring Big Bird. “Can you tell me how to get to Sesame Street?”")</f>
        <v>Children’s television show featuring Big Bird. “Can you tell me how to get to Sesame Street?”</v>
      </c>
      <c r="C500" s="13" t="str">
        <f>IFERROR(__xludf.DUMMYFUNCTION("""COMPUTED_VALUE"""),"""wxvu"":{""label"":""Sesame Street"",""extra"":""Children’s television show featuring Big Bird. “Can you tell me how to get to Sesame Street?”"",""sets"":""Junior""},")</f>
        <v>"wxvu":{"label":"Sesame Street","extra":"Children’s television show featuring Big Bird. “Can you tell me how to get to Sesame Street?”","sets":"Junior"},</v>
      </c>
    </row>
    <row r="501">
      <c r="A501" s="8" t="str">
        <f>IFERROR(__xludf.DUMMYFUNCTION("""COMPUTED_VALUE"""),"Sharks")</f>
        <v>Sharks</v>
      </c>
      <c r="B501" s="8" t="str">
        <f>IFERROR(__xludf.DUMMYFUNCTION("""COMPUTED_VALUE"""),"Meat-eating fish known for their speed, sharp teeth, and the large fins on their backs.")</f>
        <v>Meat-eating fish known for their speed, sharp teeth, and the large fins on their backs.</v>
      </c>
      <c r="C501" s="13" t="str">
        <f>IFERROR(__xludf.DUMMYFUNCTION("""COMPUTED_VALUE"""),"""enhc"":{""label"":""Sharks"",""extra"":""Meat-eating fish known for their speed, sharp teeth, and the large fins on their backs."",""sets"":""Junior""},")</f>
        <v>"enhc":{"label":"Sharks","extra":"Meat-eating fish known for their speed, sharp teeth, and the large fins on their backs.","sets":"Junior"},</v>
      </c>
    </row>
    <row r="502">
      <c r="A502" s="8" t="str">
        <f>IFERROR(__xludf.DUMMYFUNCTION("""COMPUTED_VALUE"""),"Sharp Knives")</f>
        <v>Sharp Knives</v>
      </c>
      <c r="B502" s="8" t="str">
        <f>IFERROR(__xludf.DUMMYFUNCTION("""COMPUTED_VALUE"""),"Found in kitchen drawers, tackle boxes and butcher shops.")</f>
        <v>Found in kitchen drawers, tackle boxes and butcher shops.</v>
      </c>
      <c r="C502" s="13" t="str">
        <f>IFERROR(__xludf.DUMMYFUNCTION("""COMPUTED_VALUE"""),"""srru"":{""label"":""Sharp Knives"",""extra"":""Found in kitchen drawers, tackle boxes and butcher shops."",""sets"":""Junior 9+ (2nd)""},")</f>
        <v>"srru":{"label":"Sharp Knives","extra":"Found in kitchen drawers, tackle boxes and butcher shops.","sets":"Junior 9+ (2nd)"},</v>
      </c>
    </row>
    <row r="503">
      <c r="A503" s="8" t="str">
        <f>IFERROR(__xludf.DUMMYFUNCTION("""COMPUTED_VALUE"""),"Ships")</f>
        <v>Ships</v>
      </c>
      <c r="B503" s="8" t="str">
        <f>IFERROR(__xludf.DUMMYFUNCTION("""COMPUTED_VALUE"""),"Battleships, cruise ships, freighters, and oil tankers.")</f>
        <v>Battleships, cruise ships, freighters, and oil tankers.</v>
      </c>
      <c r="C503" s="13" t="str">
        <f>IFERROR(__xludf.DUMMYFUNCTION("""COMPUTED_VALUE"""),"""lrpy"":{""label"":""Ships"",""extra"":""Battleships, cruise ships, freighters, and oil tankers."",""sets"":""Junior 9+ (1st) &amp; (2nd)""},")</f>
        <v>"lrpy":{"label":"Ships","extra":"Battleships, cruise ships, freighters, and oil tankers.","sets":"Junior 9+ (1st) &amp; (2nd)"},</v>
      </c>
    </row>
    <row r="504">
      <c r="A504" s="8" t="str">
        <f>IFERROR(__xludf.DUMMYFUNCTION("""COMPUTED_VALUE"""),"Shoplifting")</f>
        <v>Shoplifting</v>
      </c>
      <c r="B504" s="8" t="str">
        <f>IFERROR(__xludf.DUMMYFUNCTION("""COMPUTED_VALUE"""),"It's stealing and it's against the law.")</f>
        <v>It's stealing and it's against the law.</v>
      </c>
      <c r="C504" s="13" t="str">
        <f>IFERROR(__xludf.DUMMYFUNCTION("""COMPUTED_VALUE"""),"""zvfi"":{""label"":""Shoplifting"",""extra"":""It's stealing and it's against the law."",""sets"":""Junior 9+ (2nd)""},")</f>
        <v>"zvfi":{"label":"Shoplifting","extra":"It's stealing and it's against the law.","sets":"Junior 9+ (2nd)"},</v>
      </c>
    </row>
    <row r="505">
      <c r="A505" s="8" t="str">
        <f>IFERROR(__xludf.DUMMYFUNCTION("""COMPUTED_VALUE"""),"Shopping")</f>
        <v>Shopping</v>
      </c>
      <c r="B505" s="8" t="str">
        <f>IFERROR(__xludf.DUMMYFUNCTION("""COMPUTED_VALUE"""),"It’s shopping-whether you buy something or not.")</f>
        <v>It’s shopping-whether you buy something or not.</v>
      </c>
      <c r="C505" s="13" t="str">
        <f>IFERROR(__xludf.DUMMYFUNCTION("""COMPUTED_VALUE"""),"""hzqf"":{""label"":""Shopping"",""extra"":""It’s shopping-whether you buy something or not."",""sets"":""Junior 9+ (2nd)""},")</f>
        <v>"hzqf":{"label":"Shopping","extra":"It’s shopping-whether you buy something or not.","sets":"Junior 9+ (2nd)"},</v>
      </c>
    </row>
    <row r="506">
      <c r="A506" s="8" t="str">
        <f>IFERROR(__xludf.DUMMYFUNCTION("""COMPUTED_VALUE"""),"Shrimp")</f>
        <v>Shrimp</v>
      </c>
      <c r="B506" s="8" t="str">
        <f>IFERROR(__xludf.DUMMYFUNCTION("""COMPUTED_VALUE"""),"Tiny to jumbo- they come in all sizes.")</f>
        <v>Tiny to jumbo- they come in all sizes.</v>
      </c>
      <c r="C506" s="13" t="str">
        <f>IFERROR(__xludf.DUMMYFUNCTION("""COMPUTED_VALUE"""),"""nype"":{""label"":""Shrimp"",""extra"":""Tiny to jumbo- they come in all sizes."",""sets"":""Junior 9+ (2nd)""},")</f>
        <v>"nype":{"label":"Shrimp","extra":"Tiny to jumbo- they come in all sizes.","sets":"Junior 9+ (2nd)"},</v>
      </c>
    </row>
    <row r="507">
      <c r="A507" s="8" t="str">
        <f>IFERROR(__xludf.DUMMYFUNCTION("""COMPUTED_VALUE"""),"Singing")</f>
        <v>Singing</v>
      </c>
      <c r="B507" s="8" t="str">
        <f>IFERROR(__xludf.DUMMYFUNCTION("""COMPUTED_VALUE"""),"Making music with your voice. La-la-la.")</f>
        <v>Making music with your voice. La-la-la.</v>
      </c>
      <c r="C507" s="13" t="str">
        <f>IFERROR(__xludf.DUMMYFUNCTION("""COMPUTED_VALUE"""),"""uufs"":{""label"":""Singing"",""extra"":""Making music with your voice. La-la-la."",""sets"":""Junior""},")</f>
        <v>"uufs":{"label":"Singing","extra":"Making music with your voice. La-la-la.","sets":"Junior"},</v>
      </c>
    </row>
    <row r="508">
      <c r="A508" s="8" t="str">
        <f>IFERROR(__xludf.DUMMYFUNCTION("""COMPUTED_VALUE"""),"Sisters")</f>
        <v>Sisters</v>
      </c>
      <c r="B508" s="8" t="str">
        <f>IFERROR(__xludf.DUMMYFUNCTION("""COMPUTED_VALUE"""),"Sister, sister!")</f>
        <v>Sister, sister!</v>
      </c>
      <c r="C508" s="13" t="str">
        <f>IFERROR(__xludf.DUMMYFUNCTION("""COMPUTED_VALUE"""),"""nm{x"":{""label"":""Sisters"",""extra"":""Sister, sister!"",""sets"":""Junior 9+ (1st) &amp; (2nd)""},")</f>
        <v>"nm{x":{"label":"Sisters","extra":"Sister, sister!","sets":"Junior 9+ (1st) &amp; (2nd)"},</v>
      </c>
    </row>
    <row r="509">
      <c r="A509" s="8" t="str">
        <f>IFERROR(__xludf.DUMMYFUNCTION("""COMPUTED_VALUE"""),"Skateboards")</f>
        <v>Skateboards</v>
      </c>
      <c r="B509" s="8" t="str">
        <f>IFERROR(__xludf.DUMMYFUNCTION("""COMPUTED_VALUE"""),"“Skateboarding is not a crime!”")</f>
        <v>“Skateboarding is not a crime!”</v>
      </c>
      <c r="C509" s="13" t="str">
        <f>IFERROR(__xludf.DUMMYFUNCTION("""COMPUTED_VALUE"""),"""rtro"":{""label"":""Skateboards"",""extra"":""“Skateboarding is not a crime!”"",""sets"":""Junior 9+ (1st) &amp; (2nd)""},")</f>
        <v>"rtro":{"label":"Skateboards","extra":"“Skateboarding is not a crime!”","sets":"Junior 9+ (1st) &amp; (2nd)"},</v>
      </c>
    </row>
    <row r="510">
      <c r="A510" s="8" t="str">
        <f>IFERROR(__xludf.DUMMYFUNCTION("""COMPUTED_VALUE"""),"Skeletons")</f>
        <v>Skeletons</v>
      </c>
      <c r="B510" s="8" t="str">
        <f>IFERROR(__xludf.DUMMYFUNCTION("""COMPUTED_VALUE"""),"There are 206 bones in the human body. Count them!")</f>
        <v>There are 206 bones in the human body. Count them!</v>
      </c>
      <c r="C510" s="13" t="str">
        <f>IFERROR(__xludf.DUMMYFUNCTION("""COMPUTED_VALUE"""),"""dxyp"":{""label"":""Skeletons"",""extra"":""There are 206 bones in the human body. Count them!"",""sets"":""Junior 9+ (2nd)""},")</f>
        <v>"dxyp":{"label":"Skeletons","extra":"There are 206 bones in the human body. Count them!","sets":"Junior 9+ (2nd)"},</v>
      </c>
    </row>
    <row r="511">
      <c r="A511" s="8" t="str">
        <f>IFERROR(__xludf.DUMMYFUNCTION("""COMPUTED_VALUE"""),"Skinned Knees")</f>
        <v>Skinned Knees</v>
      </c>
      <c r="B511" s="8" t="str">
        <f>IFERROR(__xludf.DUMMYFUNCTION("""COMPUTED_VALUE"""),"Ouch! Ouch! OUCH!")</f>
        <v>Ouch! Ouch! OUCH!</v>
      </c>
      <c r="C511" s="13" t="str">
        <f>IFERROR(__xludf.DUMMYFUNCTION("""COMPUTED_VALUE"""),"""oykk"":{""label"":""Skinned Knees"",""extra"":""Ouch! Ouch! OUCH!"",""sets"":""Junior 9+ (1st) &amp; (2nd)""},")</f>
        <v>"oykk":{"label":"Skinned Knees","extra":"Ouch! Ouch! OUCH!","sets":"Junior 9+ (1st) &amp; (2nd)"},</v>
      </c>
    </row>
    <row r="512">
      <c r="A512" s="8" t="str">
        <f>IFERROR(__xludf.DUMMYFUNCTION("""COMPUTED_VALUE"""),"Skunks")</f>
        <v>Skunks</v>
      </c>
      <c r="B512" s="8" t="str">
        <f>IFERROR(__xludf.DUMMYFUNCTION("""COMPUTED_VALUE"""),"Black, bushy-tailed animals with one or two white stripes down their backs. Stinky!")</f>
        <v>Black, bushy-tailed animals with one or two white stripes down their backs. Stinky!</v>
      </c>
      <c r="C512" s="13" t="str">
        <f>IFERROR(__xludf.DUMMYFUNCTION("""COMPUTED_VALUE"""),"""pemi"":{""label"":""Skunks"",""extra"":""Black, bushy-tailed animals with one or two white stripes down their backs. Stinky!"",""sets"":""Junior""},")</f>
        <v>"pemi":{"label":"Skunks","extra":"Black, bushy-tailed animals with one or two white stripes down their backs. Stinky!","sets":"Junior"},</v>
      </c>
    </row>
    <row r="513">
      <c r="A513" s="8" t="str">
        <f>IFERROR(__xludf.DUMMYFUNCTION("""COMPUTED_VALUE"""),"Sledding")</f>
        <v>Sledding</v>
      </c>
      <c r="B513" s="8" t="str">
        <f>IFERROR(__xludf.DUMMYFUNCTION("""COMPUTED_VALUE"""),"It would be more fun if you didn't have to climb back up the hill.")</f>
        <v>It would be more fun if you didn't have to climb back up the hill.</v>
      </c>
      <c r="C513" s="13" t="str">
        <f>IFERROR(__xludf.DUMMYFUNCTION("""COMPUTED_VALUE"""),"""cqdz"":{""label"":""Sledding"",""extra"":""It would be more fun if you didn't have to climb back up the hill."",""sets"":""Junior""},")</f>
        <v>"cqdz":{"label":"Sledding","extra":"It would be more fun if you didn't have to climb back up the hill.","sets":"Junior"},</v>
      </c>
    </row>
    <row r="514">
      <c r="A514" s="8" t="str">
        <f>IFERROR(__xludf.DUMMYFUNCTION("""COMPUTED_VALUE"""),"Sleep")</f>
        <v>Sleep</v>
      </c>
      <c r="B514" s="8" t="str">
        <f>IFERROR(__xludf.DUMMYFUNCTION("""COMPUTED_VALUE"""),"“Don’t let the bedbugs bite.”")</f>
        <v>“Don’t let the bedbugs bite.”</v>
      </c>
      <c r="C514" s="13" t="str">
        <f>IFERROR(__xludf.DUMMYFUNCTION("""COMPUTED_VALUE"""),"""dfml"":{""label"":""Sleep"",""extra"":""“Don’t let the bedbugs bite.”"",""sets"":""Junior""},")</f>
        <v>"dfml":{"label":"Sleep","extra":"“Don’t let the bedbugs bite.”","sets":"Junior"},</v>
      </c>
    </row>
    <row r="515">
      <c r="A515" s="8" t="str">
        <f>IFERROR(__xludf.DUMMYFUNCTION("""COMPUTED_VALUE"""),"Sleepovers")</f>
        <v>Sleepovers</v>
      </c>
      <c r="B515" s="8" t="str">
        <f>IFERROR(__xludf.DUMMYFUNCTION("""COMPUTED_VALUE"""),"If you don’t sleep, is it still a sleepover?")</f>
        <v>If you don’t sleep, is it still a sleepover?</v>
      </c>
      <c r="C515" s="13" t="str">
        <f>IFERROR(__xludf.DUMMYFUNCTION("""COMPUTED_VALUE"""),"""ropr"":{""label"":""Sleepovers"",""extra"":""If you don’t sleep, is it still a sleepover?"",""sets"":""Junior 9+ (1st) &amp; (2nd)""},")</f>
        <v>"ropr":{"label":"Sleepovers","extra":"If you don’t sleep, is it still a sleepover?","sets":"Junior 9+ (1st) &amp; (2nd)"},</v>
      </c>
    </row>
    <row r="516">
      <c r="A516" s="8" t="str">
        <f>IFERROR(__xludf.DUMMYFUNCTION("""COMPUTED_VALUE"""),"Smoke")</f>
        <v>Smoke</v>
      </c>
      <c r="B516" s="8" t="str">
        <f>IFERROR(__xludf.DUMMYFUNCTION("""COMPUTED_VALUE"""),"“Where there's smoke, there's fire!”")</f>
        <v>“Where there's smoke, there's fire!”</v>
      </c>
      <c r="C516" s="13" t="str">
        <f>IFERROR(__xludf.DUMMYFUNCTION("""COMPUTED_VALUE"""),"""kckz"":{""label"":""Smoke"",""extra"":""“Where there's smoke, there's fire!”"",""sets"":""Junior""},")</f>
        <v>"kckz":{"label":"Smoke","extra":"“Where there's smoke, there's fire!”","sets":"Junior"},</v>
      </c>
    </row>
    <row r="517">
      <c r="A517" s="8" t="str">
        <f>IFERROR(__xludf.DUMMYFUNCTION("""COMPUTED_VALUE"""),"Snakes")</f>
        <v>Snakes</v>
      </c>
      <c r="B517" s="8" t="str">
        <f>IFERROR(__xludf.DUMMYFUNCTION("""COMPUTED_VALUE"""),"Long, thin reptiles without arms or legs. Their forked tongues are used for smelling.")</f>
        <v>Long, thin reptiles without arms or legs. Their forked tongues are used for smelling.</v>
      </c>
      <c r="C517" s="13" t="str">
        <f>IFERROR(__xludf.DUMMYFUNCTION("""COMPUTED_VALUE"""),"""jwtd"":{""label"":""Snakes"",""extra"":""Long, thin reptiles without arms or legs. Their forked tongues are used for smelling."",""sets"":""Junior""},")</f>
        <v>"jwtd":{"label":"Snakes","extra":"Long, thin reptiles without arms or legs. Their forked tongues are used for smelling.","sets":"Junior"},</v>
      </c>
    </row>
    <row r="518">
      <c r="A518" s="8" t="str">
        <f>IFERROR(__xludf.DUMMYFUNCTION("""COMPUTED_VALUE"""),"Sneezing")</f>
        <v>Sneezing</v>
      </c>
      <c r="B518" s="8" t="str">
        <f>IFERROR(__xludf.DUMMYFUNCTION("""COMPUTED_VALUE"""),"Ah-ah-ah-choo!")</f>
        <v>Ah-ah-ah-choo!</v>
      </c>
      <c r="C518" s="13" t="str">
        <f>IFERROR(__xludf.DUMMYFUNCTION("""COMPUTED_VALUE"""),"""zwrt"":{""label"":""Sneezing"",""extra"":""Ah-ah-ah-choo!"",""sets"":""Junior 9+ (1st) &amp; (2nd)""},")</f>
        <v>"zwrt":{"label":"Sneezing","extra":"Ah-ah-ah-choo!","sets":"Junior 9+ (1st) &amp; (2nd)"},</v>
      </c>
    </row>
    <row r="519">
      <c r="A519" s="8" t="str">
        <f>IFERROR(__xludf.DUMMYFUNCTION("""COMPUTED_VALUE"""),"Snoopy")</f>
        <v>Snoopy</v>
      </c>
      <c r="B519" s="8" t="str">
        <f>IFERROR(__xludf.DUMMYFUNCTION("""COMPUTED_VALUE"""),"The little, white beagle from the “Peanuts” cartoon.")</f>
        <v>The little, white beagle from the “Peanuts” cartoon.</v>
      </c>
      <c r="C519" s="13" t="str">
        <f>IFERROR(__xludf.DUMMYFUNCTION("""COMPUTED_VALUE"""),"""mwej"":{""label"":""Snoopy"",""extra"":""The little, white beagle from the “Peanuts” cartoon."",""sets"":""Junior""},")</f>
        <v>"mwej":{"label":"Snoopy","extra":"The little, white beagle from the “Peanuts” cartoon.","sets":"Junior"},</v>
      </c>
    </row>
    <row r="520">
      <c r="A520" s="8" t="str">
        <f>IFERROR(__xludf.DUMMYFUNCTION("""COMPUTED_VALUE"""),"Snow Cones")</f>
        <v>Snow Cones</v>
      </c>
      <c r="B520" s="8" t="str">
        <f>IFERROR(__xludf.DUMMYFUNCTION("""COMPUTED_VALUE"""),"You don’t have to wait for snow.")</f>
        <v>You don’t have to wait for snow.</v>
      </c>
      <c r="C520" s="13" t="str">
        <f>IFERROR(__xludf.DUMMYFUNCTION("""COMPUTED_VALUE"""),"""ckol"":{""label"":""Snow Cones"",""extra"":""You don’t have to wait for snow."",""sets"":""Junior 9+ (1st) &amp; (2nd)""},")</f>
        <v>"ckol":{"label":"Snow Cones","extra":"You don’t have to wait for snow.","sets":"Junior 9+ (1st) &amp; (2nd)"},</v>
      </c>
    </row>
    <row r="521">
      <c r="A521" s="8" t="str">
        <f>IFERROR(__xludf.DUMMYFUNCTION("""COMPUTED_VALUE"""),"Snow White")</f>
        <v>Snow White</v>
      </c>
      <c r="B521" s="8" t="str">
        <f>IFERROR(__xludf.DUMMYFUNCTION("""COMPUTED_VALUE"""),"“Mirror, mirror, on the wall, who is the fairest of them all?”")</f>
        <v>“Mirror, mirror, on the wall, who is the fairest of them all?”</v>
      </c>
      <c r="C521" s="13" t="str">
        <f>IFERROR(__xludf.DUMMYFUNCTION("""COMPUTED_VALUE"""),"""bcrr"":{""label"":""Snow White"",""extra"":""“Mirror, mirror, on the wall, who is the fairest of them all?”"",""sets"":""Junior""},")</f>
        <v>"bcrr":{"label":"Snow White","extra":"“Mirror, mirror, on the wall, who is the fairest of them all?”","sets":"Junior"},</v>
      </c>
    </row>
    <row r="522">
      <c r="A522" s="8" t="str">
        <f>IFERROR(__xludf.DUMMYFUNCTION("""COMPUTED_VALUE"""),"Snowballs")</f>
        <v>Snowballs</v>
      </c>
      <c r="B522" s="8" t="str">
        <f>IFERROR(__xludf.DUMMYFUNCTION("""COMPUTED_VALUE"""),"Just right for throwing!")</f>
        <v>Just right for throwing!</v>
      </c>
      <c r="C522" s="13" t="str">
        <f>IFERROR(__xludf.DUMMYFUNCTION("""COMPUTED_VALUE"""),"""irbf"":{""label"":""Snowballs"",""extra"":""Just right for throwing!"",""sets"":""Junior""},")</f>
        <v>"irbf":{"label":"Snowballs","extra":"Just right for throwing!","sets":"Junior"},</v>
      </c>
    </row>
    <row r="523">
      <c r="A523" s="8" t="str">
        <f>IFERROR(__xludf.DUMMYFUNCTION("""COMPUTED_VALUE"""),"Snowboarding")</f>
        <v>Snowboarding</v>
      </c>
      <c r="B523" s="8" t="str">
        <f>IFERROR(__xludf.DUMMYFUNCTION("""COMPUTED_VALUE"""),"Snowboarding was declared an official Olympic sport in 1994.")</f>
        <v>Snowboarding was declared an official Olympic sport in 1994.</v>
      </c>
      <c r="C523" s="13" t="str">
        <f>IFERROR(__xludf.DUMMYFUNCTION("""COMPUTED_VALUE"""),"""oyjl"":{""label"":""Snowboarding"",""extra"":""Snowboarding was declared an official Olympic sport in 1994."",""sets"":""Junior 9+ (2nd)""},")</f>
        <v>"oyjl":{"label":"Snowboarding","extra":"Snowboarding was declared an official Olympic sport in 1994.","sets":"Junior 9+ (2nd)"},</v>
      </c>
    </row>
    <row r="524">
      <c r="A524" s="8" t="str">
        <f>IFERROR(__xludf.DUMMYFUNCTION("""COMPUTED_VALUE"""),"Snowflakes")</f>
        <v>Snowflakes</v>
      </c>
      <c r="B524" s="8" t="str">
        <f>IFERROR(__xludf.DUMMYFUNCTION("""COMPUTED_VALUE"""),"They say each one is different, but who would know?")</f>
        <v>They say each one is different, but who would know?</v>
      </c>
      <c r="C524" s="13" t="str">
        <f>IFERROR(__xludf.DUMMYFUNCTION("""COMPUTED_VALUE"""),"""kmch"":{""label"":""Snowflakes"",""extra"":""They say each one is different, but who would know?"",""sets"":""Junior 9+ (2nd)""},")</f>
        <v>"kmch":{"label":"Snowflakes","extra":"They say each one is different, but who would know?","sets":"Junior 9+ (2nd)"},</v>
      </c>
    </row>
    <row r="525">
      <c r="A525" s="8" t="str">
        <f>IFERROR(__xludf.DUMMYFUNCTION("""COMPUTED_VALUE"""),"Snowstorm")</f>
        <v>Snowstorm</v>
      </c>
      <c r="B525" s="8" t="str">
        <f>IFERROR(__xludf.DUMMYFUNCTION("""COMPUTED_VALUE"""),"Lots of snow blowing around. Maybe school will be closed!")</f>
        <v>Lots of snow blowing around. Maybe school will be closed!</v>
      </c>
      <c r="C525" s="13" t="str">
        <f>IFERROR(__xludf.DUMMYFUNCTION("""COMPUTED_VALUE"""),"""jtix"":{""label"":""Snowstorm"",""extra"":""Lots of snow blowing around. Maybe school will be closed!"",""sets"":""Junior""},")</f>
        <v>"jtix":{"label":"Snowstorm","extra":"Lots of snow blowing around. Maybe school will be closed!","sets":"Junior"},</v>
      </c>
    </row>
    <row r="526">
      <c r="A526" s="8" t="str">
        <f>IFERROR(__xludf.DUMMYFUNCTION("""COMPUTED_VALUE"""),"Soccer")</f>
        <v>Soccer</v>
      </c>
      <c r="B526" s="8" t="str">
        <f>IFERROR(__xludf.DUMMYFUNCTION("""COMPUTED_VALUE"""),"A favorite team sport for kids. KICK IT!")</f>
        <v>A favorite team sport for kids. KICK IT!</v>
      </c>
      <c r="C526" s="13" t="str">
        <f>IFERROR(__xludf.DUMMYFUNCTION("""COMPUTED_VALUE"""),"""jyyq"":{""label"":""Soccer"",""extra"":""A favorite team sport for kids. KICK IT!"",""sets"":""Junior""},")</f>
        <v>"jyyq":{"label":"Soccer","extra":"A favorite team sport for kids. KICK IT!","sets":"Junior"},</v>
      </c>
    </row>
    <row r="527">
      <c r="A527" s="8" t="str">
        <f>IFERROR(__xludf.DUMMYFUNCTION("""COMPUTED_VALUE"""),"Soldiers")</f>
        <v>Soldiers</v>
      </c>
      <c r="B527" s="8" t="str">
        <f>IFERROR(__xludf.DUMMYFUNCTION("""COMPUTED_VALUE"""),"Men and women who serve in the military.")</f>
        <v>Men and women who serve in the military.</v>
      </c>
      <c r="C527" s="13" t="str">
        <f>IFERROR(__xludf.DUMMYFUNCTION("""COMPUTED_VALUE"""),"""fzjk"":{""label"":""Soldiers"",""extra"":""Men and women who serve in the military."",""sets"":""Junior 9+ (1st) &amp; (2nd)""},")</f>
        <v>"fzjk":{"label":"Soldiers","extra":"Men and women who serve in the military.","sets":"Junior 9+ (1st) &amp; (2nd)"},</v>
      </c>
    </row>
    <row r="528">
      <c r="A528" s="8" t="str">
        <f>IFERROR(__xludf.DUMMYFUNCTION("""COMPUTED_VALUE"""),"Spaghetti")</f>
        <v>Spaghetti</v>
      </c>
      <c r="B528" s="8" t="str">
        <f>IFERROR(__xludf.DUMMYFUNCTION("""COMPUTED_VALUE"""),"Looks like a plate of worms!")</f>
        <v>Looks like a plate of worms!</v>
      </c>
      <c r="C528" s="13" t="str">
        <f>IFERROR(__xludf.DUMMYFUNCTION("""COMPUTED_VALUE"""),"""tvqh"":{""label"":""Spaghetti"",""extra"":""Looks like a plate of worms!"",""sets"":""Junior""},")</f>
        <v>"tvqh":{"label":"Spaghetti","extra":"Looks like a plate of worms!","sets":"Junior"},</v>
      </c>
    </row>
    <row r="529">
      <c r="A529" s="8" t="str">
        <f>IFERROR(__xludf.DUMMYFUNCTION("""COMPUTED_VALUE"""),"Sparklers")</f>
        <v>Sparklers</v>
      </c>
      <c r="B529" s="8" t="str">
        <f>IFERROR(__xludf.DUMMYFUNCTION("""COMPUTED_VALUE"""),"They'’e still fireworks!")</f>
        <v>They'’e still fireworks!</v>
      </c>
      <c r="C529" s="13" t="str">
        <f>IFERROR(__xludf.DUMMYFUNCTION("""COMPUTED_VALUE"""),"""bjzp"":{""label"":""Sparklers"",""extra"":""They'’e still fireworks!"",""sets"":""Junior 9+ (2nd)""},")</f>
        <v>"bjzp":{"label":"Sparklers","extra":"They'’e still fireworks!","sets":"Junior 9+ (2nd)"},</v>
      </c>
    </row>
    <row r="530">
      <c r="A530" s="8" t="str">
        <f>IFERROR(__xludf.DUMMYFUNCTION("""COMPUTED_VALUE"""),"Spelling Bees")</f>
        <v>Spelling Bees</v>
      </c>
      <c r="B530" s="8" t="str">
        <f>IFERROR(__xludf.DUMMYFUNCTION("""COMPUTED_VALUE"""),"Spelling contests. They have nothing to do with bees.")</f>
        <v>Spelling contests. They have nothing to do with bees.</v>
      </c>
      <c r="C530" s="13" t="str">
        <f>IFERROR(__xludf.DUMMYFUNCTION("""COMPUTED_VALUE"""),"""zuml"":{""label"":""Spelling Bees"",""extra"":""Spelling contests. They have nothing to do with bees."",""sets"":""Junior 9+ (1st) &amp; (2nd)""},")</f>
        <v>"zuml":{"label":"Spelling Bees","extra":"Spelling contests. They have nothing to do with bees.","sets":"Junior 9+ (1st) &amp; (2nd)"},</v>
      </c>
    </row>
    <row r="531">
      <c r="A531" s="8" t="str">
        <f>IFERROR(__xludf.DUMMYFUNCTION("""COMPUTED_VALUE"""),"Spider-Man")</f>
        <v>Spider-Man</v>
      </c>
      <c r="B531" s="8" t="str">
        <f>IFERROR(__xludf.DUMMYFUNCTION("""COMPUTED_VALUE"""),"He’s a student. He’s a superhuman crime fighter. He's Spider-Man!")</f>
        <v>He’s a student. He’s a superhuman crime fighter. He's Spider-Man!</v>
      </c>
      <c r="C531" s="13" t="str">
        <f>IFERROR(__xludf.DUMMYFUNCTION("""COMPUTED_VALUE"""),"""idgx"":{""label"":""Spider-Man"",""extra"":""He’s a student. He’s a superhuman crime fighter. He's Spider-Man!"",""sets"":""Junior 9+ (2nd)""},")</f>
        <v>"idgx":{"label":"Spider-Man","extra":"He’s a student. He’s a superhuman crime fighter. He's Spider-Man!","sets":"Junior 9+ (2nd)"},</v>
      </c>
    </row>
    <row r="532">
      <c r="A532" s="8" t="str">
        <f>IFERROR(__xludf.DUMMYFUNCTION("""COMPUTED_VALUE"""),"Spiders")</f>
        <v>Spiders</v>
      </c>
      <c r="B532" s="8" t="str">
        <f>IFERROR(__xludf.DUMMYFUNCTION("""COMPUTED_VALUE"""),"They have eight legs and they spin webs to catch their food.")</f>
        <v>They have eight legs and they spin webs to catch their food.</v>
      </c>
      <c r="C532" s="13" t="str">
        <f>IFERROR(__xludf.DUMMYFUNCTION("""COMPUTED_VALUE"""),"""oppl"":{""label"":""Spiders"",""extra"":""They have eight legs and they spin webs to catch their food."",""sets"":""Junior""},")</f>
        <v>"oppl":{"label":"Spiders","extra":"They have eight legs and they spin webs to catch their food.","sets":"Junior"},</v>
      </c>
    </row>
    <row r="533">
      <c r="A533" s="8" t="str">
        <f>IFERROR(__xludf.DUMMYFUNCTION("""COMPUTED_VALUE"""),"Spinach")</f>
        <v>Spinach</v>
      </c>
      <c r="B533" s="8" t="str">
        <f>IFERROR(__xludf.DUMMYFUNCTION("""COMPUTED_VALUE"""),"Raw or cooked- it’s full of vitamins.")</f>
        <v>Raw or cooked- it’s full of vitamins.</v>
      </c>
      <c r="C533" s="13" t="str">
        <f>IFERROR(__xludf.DUMMYFUNCTION("""COMPUTED_VALUE"""),"""rehd"":{""label"":""Spinach"",""extra"":""Raw or cooked- it’s full of vitamins."",""sets"":""Junior 9+ (2nd)""},")</f>
        <v>"rehd":{"label":"Spinach","extra":"Raw or cooked- it’s full of vitamins.","sets":"Junior 9+ (2nd)"},</v>
      </c>
    </row>
    <row r="534">
      <c r="A534" s="8" t="str">
        <f>IFERROR(__xludf.DUMMYFUNCTION("""COMPUTED_VALUE"""),"Spit")</f>
        <v>Spit</v>
      </c>
      <c r="B534" s="8" t="str">
        <f>IFERROR(__xludf.DUMMYFUNCTION("""COMPUTED_VALUE"""),"Spit that gum out right now!")</f>
        <v>Spit that gum out right now!</v>
      </c>
      <c r="C534" s="13" t="str">
        <f>IFERROR(__xludf.DUMMYFUNCTION("""COMPUTED_VALUE"""),"""enpj"":{""label"":""Spit"",""extra"":""Spit that gum out right now!"",""sets"":""Junior""},")</f>
        <v>"enpj":{"label":"Spit","extra":"Spit that gum out right now!","sets":"Junior"},</v>
      </c>
    </row>
    <row r="535">
      <c r="A535" s="8" t="str">
        <f>IFERROR(__xludf.DUMMYFUNCTION("""COMPUTED_VALUE"""),"Square Dancing")</f>
        <v>Square Dancing</v>
      </c>
      <c r="B535" s="8" t="str">
        <f>IFERROR(__xludf.DUMMYFUNCTION("""COMPUTED_VALUE"""),"“Swing your partner!”")</f>
        <v>“Swing your partner!”</v>
      </c>
      <c r="C535" s="13" t="str">
        <f>IFERROR(__xludf.DUMMYFUNCTION("""COMPUTED_VALUE"""),"""cuue"":{""label"":""Square Dancing"",""extra"":""“Swing your partner!”"",""sets"":""Junior 9+ (2nd)""},")</f>
        <v>"cuue":{"label":"Square Dancing","extra":"“Swing your partner!”","sets":"Junior 9+ (2nd)"},</v>
      </c>
    </row>
    <row r="536">
      <c r="A536" s="8" t="str">
        <f>IFERROR(__xludf.DUMMYFUNCTION("""COMPUTED_VALUE"""),"Squirrels")</f>
        <v>Squirrels</v>
      </c>
      <c r="B536" s="8" t="str">
        <f>IFERROR(__xludf.DUMMYFUNCTION("""COMPUTED_VALUE"""),"Small animals with big brown eyes and bushy tails. They like nuts and can run on telephone lines.")</f>
        <v>Small animals with big brown eyes and bushy tails. They like nuts and can run on telephone lines.</v>
      </c>
      <c r="C536" s="13" t="str">
        <f>IFERROR(__xludf.DUMMYFUNCTION("""COMPUTED_VALUE"""),"""soqu"":{""label"":""Squirrels"",""extra"":""Small animals with big brown eyes and bushy tails. They like nuts and can run on telephone lines."",""sets"":""Junior""},")</f>
        <v>"soqu":{"label":"Squirrels","extra":"Small animals with big brown eyes and bushy tails. They like nuts and can run on telephone lines.","sets":"Junior"},</v>
      </c>
    </row>
    <row r="537">
      <c r="A537" s="8" t="str">
        <f>IFERROR(__xludf.DUMMYFUNCTION("""COMPUTED_VALUE"""),"Starfish")</f>
        <v>Starfish</v>
      </c>
      <c r="B537" s="8" t="str">
        <f>IFERROR(__xludf.DUMMYFUNCTION("""COMPUTED_VALUE"""),"A star-shaped sea creature with five or more arms. If one breaks off, another arm will grow.")</f>
        <v>A star-shaped sea creature with five or more arms. If one breaks off, another arm will grow.</v>
      </c>
      <c r="C537" s="13" t="str">
        <f>IFERROR(__xludf.DUMMYFUNCTION("""COMPUTED_VALUE"""),"""{bhn"":{""label"":""Starfish"",""extra"":""A star-shaped sea creature with five or more arms. If one breaks off, another arm will grow."",""sets"":""Junior 9+ (1st) &amp; (2nd)""},")</f>
        <v>"{bhn":{"label":"Starfish","extra":"A star-shaped sea creature with five or more arms. If one breaks off, another arm will grow.","sets":"Junior 9+ (1st) &amp; (2nd)"},</v>
      </c>
    </row>
    <row r="538">
      <c r="A538" s="8" t="str">
        <f>IFERROR(__xludf.DUMMYFUNCTION("""COMPUTED_VALUE"""),"Stars")</f>
        <v>Stars</v>
      </c>
      <c r="B538" s="8" t="str">
        <f>IFERROR(__xludf.DUMMYFUNCTION("""COMPUTED_VALUE"""),"Points of sparkling light that you can see in the night sky. Make a wish!")</f>
        <v>Points of sparkling light that you can see in the night sky. Make a wish!</v>
      </c>
      <c r="C538" s="13" t="str">
        <f>IFERROR(__xludf.DUMMYFUNCTION("""COMPUTED_VALUE"""),"""vsyh"":{""label"":""Stars"",""extra"":""Points of sparkling light that you can see in the night sky. Make a wish!"",""sets"":""Junior""},")</f>
        <v>"vsyh":{"label":"Stars","extra":"Points of sparkling light that you can see in the night sky. Make a wish!","sets":"Junior"},</v>
      </c>
    </row>
    <row r="539">
      <c r="A539" s="8" t="str">
        <f>IFERROR(__xludf.DUMMYFUNCTION("""COMPUTED_VALUE"""),"Stomach Ache")</f>
        <v>Stomach Ache</v>
      </c>
      <c r="B539" s="8" t="str">
        <f>IFERROR(__xludf.DUMMYFUNCTION("""COMPUTED_VALUE"""),"You ate the whole thing?")</f>
        <v>You ate the whole thing?</v>
      </c>
      <c r="C539" s="13" t="str">
        <f>IFERROR(__xludf.DUMMYFUNCTION("""COMPUTED_VALUE"""),"""cfeg"":{""label"":""Stomach Ache"",""extra"":""You ate the whole thing?"",""sets"":""Junior 9+ (2nd)""},")</f>
        <v>"cfeg":{"label":"Stomach Ache","extra":"You ate the whole thing?","sets":"Junior 9+ (2nd)"},</v>
      </c>
    </row>
    <row r="540">
      <c r="A540" s="8" t="str">
        <f>IFERROR(__xludf.DUMMYFUNCTION("""COMPUTED_VALUE"""),"Strawberries")</f>
        <v>Strawberries</v>
      </c>
      <c r="B540" s="8" t="str">
        <f>IFERROR(__xludf.DUMMYFUNCTION("""COMPUTED_VALUE"""),"Strawberry shortcake!")</f>
        <v>Strawberry shortcake!</v>
      </c>
      <c r="C540" s="13" t="str">
        <f>IFERROR(__xludf.DUMMYFUNCTION("""COMPUTED_VALUE"""),"""wgic"":{""label"":""Strawberries"",""extra"":""Strawberry shortcake!"",""sets"":""Junior 9+ (2nd)""},")</f>
        <v>"wgic":{"label":"Strawberries","extra":"Strawberry shortcake!","sets":"Junior 9+ (2nd)"},</v>
      </c>
    </row>
    <row r="541">
      <c r="A541" s="8" t="str">
        <f>IFERROR(__xludf.DUMMYFUNCTION("""COMPUTED_VALUE"""),"Stuart Little")</f>
        <v>Stuart Little</v>
      </c>
      <c r="B541" s="8" t="str">
        <f>IFERROR(__xludf.DUMMYFUNCTION("""COMPUTED_VALUE"""),"A clever little mouse who is a character in a book and a movie.")</f>
        <v>A clever little mouse who is a character in a book and a movie.</v>
      </c>
      <c r="C541" s="13" t="str">
        <f>IFERROR(__xludf.DUMMYFUNCTION("""COMPUTED_VALUE"""),"""hv{f"":{""label"":""Stuart Little"",""extra"":""A clever little mouse who is a character in a book and a movie."",""sets"":""Junior""},")</f>
        <v>"hv{f":{"label":"Stuart Little","extra":"A clever little mouse who is a character in a book and a movie.","sets":"Junior"},</v>
      </c>
    </row>
    <row r="542">
      <c r="A542" s="8" t="str">
        <f>IFERROR(__xludf.DUMMYFUNCTION("""COMPUTED_VALUE"""),"Substitute Teachers")</f>
        <v>Substitute Teachers</v>
      </c>
      <c r="B542" s="8" t="str">
        <f>IFERROR(__xludf.DUMMYFUNCTION("""COMPUTED_VALUE"""),"“Ms. Jones lets us eat candy and get drinks whenever we want!”")</f>
        <v>“Ms. Jones lets us eat candy and get drinks whenever we want!”</v>
      </c>
      <c r="C542" s="13" t="str">
        <f>IFERROR(__xludf.DUMMYFUNCTION("""COMPUTED_VALUE"""),"""fpwu"":{""label"":""Substitute Teachers"",""extra"":""“Ms. Jones lets us eat candy and get drinks whenever we want!”"",""sets"":""Junior 9+ (2nd)""},")</f>
        <v>"fpwu":{"label":"Substitute Teachers","extra":"“Ms. Jones lets us eat candy and get drinks whenever we want!”","sets":"Junior 9+ (2nd)"},</v>
      </c>
    </row>
    <row r="543">
      <c r="A543" s="8" t="str">
        <f>IFERROR(__xludf.DUMMYFUNCTION("""COMPUTED_VALUE"""),"Sugar")</f>
        <v>Sugar</v>
      </c>
      <c r="B543" s="8" t="str">
        <f>IFERROR(__xludf.DUMMYFUNCTION("""COMPUTED_VALUE"""),"“Sugar is sweet and so are you.”")</f>
        <v>“Sugar is sweet and so are you.”</v>
      </c>
      <c r="C543" s="13" t="str">
        <f>IFERROR(__xludf.DUMMYFUNCTION("""COMPUTED_VALUE"""),"""hogi"":{""label"":""Sugar"",""extra"":""“Sugar is sweet and so are you.”"",""sets"":""Junior 9+ (2nd)""},")</f>
        <v>"hogi":{"label":"Sugar","extra":"“Sugar is sweet and so are you.”","sets":"Junior 9+ (2nd)"},</v>
      </c>
    </row>
    <row r="544">
      <c r="A544" s="8" t="str">
        <f>IFERROR(__xludf.DUMMYFUNCTION("""COMPUTED_VALUE"""),"Summer")</f>
        <v>Summer</v>
      </c>
      <c r="B544" s="8" t="str">
        <f>IFERROR(__xludf.DUMMYFUNCTION("""COMPUTED_VALUE"""),"SCHOOL'S OUT!")</f>
        <v>SCHOOL'S OUT!</v>
      </c>
      <c r="C544" s="13" t="str">
        <f>IFERROR(__xludf.DUMMYFUNCTION("""COMPUTED_VALUE"""),"""bc{f"":{""label"":""Summer"",""extra"":""SCHOOL'S OUT!"",""sets"":""Junior""},")</f>
        <v>"bc{f":{"label":"Summer","extra":"SCHOOL'S OUT!","sets":"Junior"},</v>
      </c>
    </row>
    <row r="545">
      <c r="A545" s="8" t="str">
        <f>IFERROR(__xludf.DUMMYFUNCTION("""COMPUTED_VALUE"""),"Summer Camp")</f>
        <v>Summer Camp</v>
      </c>
      <c r="B545" s="8" t="str">
        <f>IFERROR(__xludf.DUMMYFUNCTION("""COMPUTED_VALUE"""),"Day camps and sleepover camps. Either way, you’ll have lots of fun.")</f>
        <v>Day camps and sleepover camps. Either way, you’ll have lots of fun.</v>
      </c>
      <c r="C545" s="13" t="str">
        <f>IFERROR(__xludf.DUMMYFUNCTION("""COMPUTED_VALUE"""),"""bayl"":{""label"":""Summer Camp"",""extra"":""Day camps and sleepover camps. Either way, you’ll have lots of fun."",""sets"":""Junior""},")</f>
        <v>"bayl":{"label":"Summer Camp","extra":"Day camps and sleepover camps. Either way, you’ll have lots of fun.","sets":"Junior"},</v>
      </c>
    </row>
    <row r="546">
      <c r="A546" s="8" t="str">
        <f>IFERROR(__xludf.DUMMYFUNCTION("""COMPUTED_VALUE"""),"Sunburns")</f>
        <v>Sunburns</v>
      </c>
      <c r="B546" s="8" t="str">
        <f>IFERROR(__xludf.DUMMYFUNCTION("""COMPUTED_VALUE"""),"Next time, use some sunscreen.")</f>
        <v>Next time, use some sunscreen.</v>
      </c>
      <c r="C546" s="13" t="str">
        <f>IFERROR(__xludf.DUMMYFUNCTION("""COMPUTED_VALUE"""),"""nrso"":{""label"":""Sunburns"",""extra"":""Next time, use some sunscreen."",""sets"":""Junior 9+ (1st) &amp; (2nd)""},")</f>
        <v>"nrso":{"label":"Sunburns","extra":"Next time, use some sunscreen.","sets":"Junior 9+ (1st) &amp; (2nd)"},</v>
      </c>
    </row>
    <row r="547">
      <c r="A547" s="8" t="str">
        <f>IFERROR(__xludf.DUMMYFUNCTION("""COMPUTED_VALUE"""),"Sunflower")</f>
        <v>Sunflower</v>
      </c>
      <c r="B547" s="8" t="str">
        <f>IFERROR(__xludf.DUMMYFUNCTION("""COMPUTED_VALUE"""),"Tall plants with large, yellow flowers. Toast the seeds for a tasty snack.")</f>
        <v>Tall plants with large, yellow flowers. Toast the seeds for a tasty snack.</v>
      </c>
      <c r="C547" s="13" t="str">
        <f>IFERROR(__xludf.DUMMYFUNCTION("""COMPUTED_VALUE"""),"""ohhz"":{""label"":""Sunflower"",""extra"":""Tall plants with large, yellow flowers. Toast the seeds for a tasty snack."",""sets"":""Junior""},")</f>
        <v>"ohhz":{"label":"Sunflower","extra":"Tall plants with large, yellow flowers. Toast the seeds for a tasty snack.","sets":"Junior"},</v>
      </c>
    </row>
    <row r="548">
      <c r="A548" s="8" t="str">
        <f>IFERROR(__xludf.DUMMYFUNCTION("""COMPUTED_VALUE"""),"Sunken Ships")</f>
        <v>Sunken Ships</v>
      </c>
      <c r="B548" s="8" t="str">
        <f>IFERROR(__xludf.DUMMYFUNCTION("""COMPUTED_VALUE"""),"Early ships would often sink in battles or bad weather.")</f>
        <v>Early ships would often sink in battles or bad weather.</v>
      </c>
      <c r="C548" s="13" t="str">
        <f>IFERROR(__xludf.DUMMYFUNCTION("""COMPUTED_VALUE"""),"""nihj"":{""label"":""Sunken Ships"",""extra"":""Early ships would often sink in battles or bad weather."",""sets"":""Junior 9+ (2nd)""},")</f>
        <v>"nihj":{"label":"Sunken Ships","extra":"Early ships would often sink in battles or bad weather.","sets":"Junior 9+ (2nd)"},</v>
      </c>
    </row>
    <row r="549">
      <c r="A549" s="8" t="str">
        <f>IFERROR(__xludf.DUMMYFUNCTION("""COMPUTED_VALUE"""),"Sunshine")</f>
        <v>Sunshine</v>
      </c>
      <c r="B549" s="8" t="str">
        <f>IFERROR(__xludf.DUMMYFUNCTION("""COMPUTED_VALUE"""),"Warms the Earth and helps plants to grow.")</f>
        <v>Warms the Earth and helps plants to grow.</v>
      </c>
      <c r="C549" s="13" t="str">
        <f>IFERROR(__xludf.DUMMYFUNCTION("""COMPUTED_VALUE"""),"""bbbl"":{""label"":""Sunshine"",""extra"":""Warms the Earth and helps plants to grow."",""sets"":""Junior""},")</f>
        <v>"bbbl":{"label":"Sunshine","extra":"Warms the Earth and helps plants to grow.","sets":"Junior"},</v>
      </c>
    </row>
    <row r="550">
      <c r="A550" s="8" t="str">
        <f>IFERROR(__xludf.DUMMYFUNCTION("""COMPUTED_VALUE"""),"Superman")</f>
        <v>Superman</v>
      </c>
      <c r="B550" s="8" t="str">
        <f>IFERROR(__xludf.DUMMYFUNCTION("""COMPUTED_VALUE"""),"Faster than a speeding bullet!")</f>
        <v>Faster than a speeding bullet!</v>
      </c>
      <c r="C550" s="13" t="str">
        <f>IFERROR(__xludf.DUMMYFUNCTION("""COMPUTED_VALUE"""),"""eoun"":{""label"":""Superman"",""extra"":""Faster than a speeding bullet!"",""sets"":""Junior 9+ (1st) &amp; (2nd)""},")</f>
        <v>"eoun":{"label":"Superman","extra":"Faster than a speeding bullet!","sets":"Junior 9+ (1st) &amp; (2nd)"},</v>
      </c>
    </row>
    <row r="551">
      <c r="A551" s="8" t="str">
        <f>IFERROR(__xludf.DUMMYFUNCTION("""COMPUTED_VALUE"""),"Supermarkets")</f>
        <v>Supermarkets</v>
      </c>
      <c r="B551" s="8" t="str">
        <f>IFERROR(__xludf.DUMMYFUNCTION("""COMPUTED_VALUE"""),"It’s a meat market, bakery, flower shop, and toy store- all in one!")</f>
        <v>It’s a meat market, bakery, flower shop, and toy store- all in one!</v>
      </c>
      <c r="C551" s="13" t="str">
        <f>IFERROR(__xludf.DUMMYFUNCTION("""COMPUTED_VALUE"""),"""mdey"":{""label"":""Supermarkets"",""extra"":""It’s a meat market, bakery, flower shop, and toy store- all in one!"",""sets"":""Junior 9+ (2nd)""},")</f>
        <v>"mdey":{"label":"Supermarkets","extra":"It’s a meat market, bakery, flower shop, and toy store- all in one!","sets":"Junior 9+ (2nd)"},</v>
      </c>
    </row>
    <row r="552">
      <c r="A552" s="8" t="str">
        <f>IFERROR(__xludf.DUMMYFUNCTION("""COMPUTED_VALUE"""),"Surfing")</f>
        <v>Surfing</v>
      </c>
      <c r="B552" s="8" t="str">
        <f>IFERROR(__xludf.DUMMYFUNCTION("""COMPUTED_VALUE"""),"The waves or the web.")</f>
        <v>The waves or the web.</v>
      </c>
      <c r="C552" s="13" t="str">
        <f>IFERROR(__xludf.DUMMYFUNCTION("""COMPUTED_VALUE"""),"""wpwq"":{""label"":""Surfing"",""extra"":""The waves or the web."",""sets"":""Junior 9+ (2nd)""},")</f>
        <v>"wpwq":{"label":"Surfing","extra":"The waves or the web.","sets":"Junior 9+ (2nd)"},</v>
      </c>
    </row>
    <row r="553">
      <c r="A553" s="8" t="str">
        <f>IFERROR(__xludf.DUMMYFUNCTION("""COMPUTED_VALUE"""),"Surprise Parties")</f>
        <v>Surprise Parties</v>
      </c>
      <c r="B553" s="8" t="str">
        <f>IFERROR(__xludf.DUMMYFUNCTION("""COMPUTED_VALUE"""),"Everybody hide!")</f>
        <v>Everybody hide!</v>
      </c>
      <c r="C553" s="13" t="str">
        <f>IFERROR(__xludf.DUMMYFUNCTION("""COMPUTED_VALUE"""),"""tyqa"":{""label"":""Surprise Parties"",""extra"":""Everybody hide!"",""sets"":""Junior 9+ (2nd)""},")</f>
        <v>"tyqa":{"label":"Surprise Parties","extra":"Everybody hide!","sets":"Junior 9+ (2nd)"},</v>
      </c>
    </row>
    <row r="554">
      <c r="A554" s="8" t="str">
        <f>IFERROR(__xludf.DUMMYFUNCTION("""COMPUTED_VALUE"""),"Swamps")</f>
        <v>Swamps</v>
      </c>
      <c r="B554" s="8" t="str">
        <f>IFERROR(__xludf.DUMMYFUNCTION("""COMPUTED_VALUE"""),"Wet, spongy land, often covered with water. A great place to live- if you’re a mosquito.")</f>
        <v>Wet, spongy land, often covered with water. A great place to live- if you’re a mosquito.</v>
      </c>
      <c r="C554" s="13" t="str">
        <f>IFERROR(__xludf.DUMMYFUNCTION("""COMPUTED_VALUE"""),"""bdmp"":{""label"":""Swamps"",""extra"":""Wet, spongy land, often covered with water. A great place to live- if you’re a mosquito."",""sets"":""Junior 9+ (2nd)""},")</f>
        <v>"bdmp":{"label":"Swamps","extra":"Wet, spongy land, often covered with water. A great place to live- if you’re a mosquito.","sets":"Junior 9+ (2nd)"},</v>
      </c>
    </row>
    <row r="555">
      <c r="A555" s="8" t="str">
        <f>IFERROR(__xludf.DUMMYFUNCTION("""COMPUTED_VALUE"""),"Swans")</f>
        <v>Swans</v>
      </c>
      <c r="B555" s="8" t="str">
        <f>IFERROR(__xludf.DUMMYFUNCTION("""COMPUTED_VALUE"""),"The “Ugly Duckling” was actually a baby swan.")</f>
        <v>The “Ugly Duckling” was actually a baby swan.</v>
      </c>
      <c r="C555" s="13" t="str">
        <f>IFERROR(__xludf.DUMMYFUNCTION("""COMPUTED_VALUE"""),"""zljz"":{""label"":""Swans"",""extra"":""The “Ugly Duckling” was actually a baby swan."",""sets"":""Junior 9+ (2nd)""},")</f>
        <v>"zljz":{"label":"Swans","extra":"The “Ugly Duckling” was actually a baby swan.","sets":"Junior 9+ (2nd)"},</v>
      </c>
    </row>
    <row r="556">
      <c r="A556" s="8" t="str">
        <f>IFERROR(__xludf.DUMMYFUNCTION("""COMPUTED_VALUE"""),"Swimming")</f>
        <v>Swimming</v>
      </c>
      <c r="B556" s="8" t="str">
        <f>IFERROR(__xludf.DUMMYFUNCTION("""COMPUTED_VALUE"""),"A great way to cool down on a hot summer day!")</f>
        <v>A great way to cool down on a hot summer day!</v>
      </c>
      <c r="C556" s="13" t="str">
        <f>IFERROR(__xludf.DUMMYFUNCTION("""COMPUTED_VALUE"""),"""iwue"":{""label"":""Swimming"",""extra"":""A great way to cool down on a hot summer day!"",""sets"":""Junior""},")</f>
        <v>"iwue":{"label":"Swimming","extra":"A great way to cool down on a hot summer day!","sets":"Junior"},</v>
      </c>
    </row>
    <row r="557">
      <c r="A557" s="8" t="str">
        <f>IFERROR(__xludf.DUMMYFUNCTION("""COMPUTED_VALUE"""),"Swordfighting")</f>
        <v>Swordfighting</v>
      </c>
      <c r="B557" s="8" t="str">
        <f>IFERROR(__xludf.DUMMYFUNCTION("""COMPUTED_VALUE"""),"As a sport, sword fighting is called “Fencing.” It is an Olympic event.")</f>
        <v>As a sport, sword fighting is called “Fencing.” It is an Olympic event.</v>
      </c>
      <c r="C557" s="13" t="str">
        <f>IFERROR(__xludf.DUMMYFUNCTION("""COMPUTED_VALUE"""),"""cnvp"":{""label"":""Swordfighting"",""extra"":""As a sport, sword fighting is called “Fencing.” It is an Olympic event."",""sets"":""Junior 9+ (2nd)""},")</f>
        <v>"cnvp":{"label":"Swordfighting","extra":"As a sport, sword fighting is called “Fencing.” It is an Olympic event.","sets":"Junior 9+ (2nd)"},</v>
      </c>
    </row>
    <row r="558">
      <c r="A558" s="8" t="str">
        <f>IFERROR(__xludf.DUMMYFUNCTION("""COMPUTED_VALUE"""),"Tacos")</f>
        <v>Tacos</v>
      </c>
      <c r="B558" s="8" t="str">
        <f>IFERROR(__xludf.DUMMYFUNCTION("""COMPUTED_VALUE"""),"Meat, cheese, and hot sauce all wrapped up in a tortilla.")</f>
        <v>Meat, cheese, and hot sauce all wrapped up in a tortilla.</v>
      </c>
      <c r="C558" s="13" t="str">
        <f>IFERROR(__xludf.DUMMYFUNCTION("""COMPUTED_VALUE"""),"""mgqo"":{""label"":""Tacos"",""extra"":""Meat, cheese, and hot sauce all wrapped up in a tortilla."",""sets"":""Junior 9+ (2nd)""},")</f>
        <v>"mgqo":{"label":"Tacos","extra":"Meat, cheese, and hot sauce all wrapped up in a tortilla.","sets":"Junior 9+ (2nd)"},</v>
      </c>
    </row>
    <row r="559">
      <c r="A559" s="8" t="str">
        <f>IFERROR(__xludf.DUMMYFUNCTION("""COMPUTED_VALUE"""),"Taking A Bath")</f>
        <v>Taking A Bath</v>
      </c>
      <c r="B559" s="8" t="str">
        <f>IFERROR(__xludf.DUMMYFUNCTION("""COMPUTED_VALUE"""),"Don’t Forget the bubbles and toys.")</f>
        <v>Don’t Forget the bubbles and toys.</v>
      </c>
      <c r="C559" s="13" t="str">
        <f>IFERROR(__xludf.DUMMYFUNCTION("""COMPUTED_VALUE"""),"""tzfo"":{""label"":""Taking A Bath"",""extra"":""Don’t Forget the bubbles and toys."",""sets"":""Junior""},")</f>
        <v>"tzfo":{"label":"Taking A Bath","extra":"Don’t Forget the bubbles and toys.","sets":"Junior"},</v>
      </c>
    </row>
    <row r="560">
      <c r="A560" s="8" t="str">
        <f>IFERROR(__xludf.DUMMYFUNCTION("""COMPUTED_VALUE"""),"Taking A Shower")</f>
        <v>Taking A Shower</v>
      </c>
      <c r="B560" s="8" t="str">
        <f>IFERROR(__xludf.DUMMYFUNCTION("""COMPUTED_VALUE"""),"That’ll wake you up.")</f>
        <v>That’ll wake you up.</v>
      </c>
      <c r="C560" s="13" t="str">
        <f>IFERROR(__xludf.DUMMYFUNCTION("""COMPUTED_VALUE"""),"""wudv"":{""label"":""Taking A Shower"",""extra"":""That’ll wake you up."",""sets"":""Junior 9+ (2nd)""},")</f>
        <v>"wudv":{"label":"Taking A Shower","extra":"That’ll wake you up.","sets":"Junior 9+ (2nd)"},</v>
      </c>
    </row>
    <row r="561">
      <c r="A561" s="8" t="str">
        <f>IFERROR(__xludf.DUMMYFUNCTION("""COMPUTED_VALUE"""),"Tattoos")</f>
        <v>Tattoos</v>
      </c>
      <c r="B561" s="8" t="str">
        <f>IFERROR(__xludf.DUMMYFUNCTION("""COMPUTED_VALUE"""),"Tattoos can be painful. Temporary tatoos don’t hurt at all.")</f>
        <v>Tattoos can be painful. Temporary tatoos don’t hurt at all.</v>
      </c>
      <c r="C561" s="13" t="str">
        <f>IFERROR(__xludf.DUMMYFUNCTION("""COMPUTED_VALUE"""),"""jozd"":{""label"":""Tattoos"",""extra"":""Tattoos can be painful. Temporary tatoos don’t hurt at all."",""sets"":""Junior 9+ (2nd)""},")</f>
        <v>"jozd":{"label":"Tattoos","extra":"Tattoos can be painful. Temporary tatoos don’t hurt at all.","sets":"Junior 9+ (2nd)"},</v>
      </c>
    </row>
    <row r="562">
      <c r="A562" s="8" t="str">
        <f>IFERROR(__xludf.DUMMYFUNCTION("""COMPUTED_VALUE"""),"Teachers")</f>
        <v>Teachers</v>
      </c>
      <c r="B562" s="8" t="str">
        <f>IFERROR(__xludf.DUMMYFUNCTION("""COMPUTED_VALUE"""),"“What do you mean, you didn’t know there was a test today?”")</f>
        <v>“What do you mean, you didn’t know there was a test today?”</v>
      </c>
      <c r="C562" s="13" t="str">
        <f>IFERROR(__xludf.DUMMYFUNCTION("""COMPUTED_VALUE"""),"""ec{p"":{""label"":""Teachers"",""extra"":""“What do you mean, you didn’t know there was a test today?”"",""sets"":""Junior 9+ (1st) &amp; (2nd)""},")</f>
        <v>"ec{p":{"label":"Teachers","extra":"“What do you mean, you didn’t know there was a test today?”","sets":"Junior 9+ (1st) &amp; (2nd)"},</v>
      </c>
    </row>
    <row r="563">
      <c r="A563" s="8" t="str">
        <f>IFERROR(__xludf.DUMMYFUNCTION("""COMPUTED_VALUE"""),"Teenagers")</f>
        <v>Teenagers</v>
      </c>
      <c r="B563" s="8" t="str">
        <f>IFERROR(__xludf.DUMMYFUNCTION("""COMPUTED_VALUE"""),"Ages thirteen to nineteen.")</f>
        <v>Ages thirteen to nineteen.</v>
      </c>
      <c r="C563" s="13" t="str">
        <f>IFERROR(__xludf.DUMMYFUNCTION("""COMPUTED_VALUE"""),"""kdce"":{""label"":""Teenagers"",""extra"":""Ages thirteen to nineteen."",""sets"":""Junior 9+ (1st) &amp; (2nd)""},")</f>
        <v>"kdce":{"label":"Teenagers","extra":"Ages thirteen to nineteen.","sets":"Junior 9+ (1st) &amp; (2nd)"},</v>
      </c>
    </row>
    <row r="564">
      <c r="A564" s="8" t="str">
        <f>IFERROR(__xludf.DUMMYFUNCTION("""COMPUTED_VALUE"""),"Teeth")</f>
        <v>Teeth</v>
      </c>
      <c r="B564" s="8" t="str">
        <f>IFERROR(__xludf.DUMMYFUNCTION("""COMPUTED_VALUE"""),"Adults have 32 permanent teeth.")</f>
        <v>Adults have 32 permanent teeth.</v>
      </c>
      <c r="C564" s="13" t="str">
        <f>IFERROR(__xludf.DUMMYFUNCTION("""COMPUTED_VALUE"""),"""jcsy"":{""label"":""Teeth"",""extra"":""Adults have 32 permanent teeth."",""sets"":""Junior 9+ (1st) &amp; (2nd)""},")</f>
        <v>"jcsy":{"label":"Teeth","extra":"Adults have 32 permanent teeth.","sets":"Junior 9+ (1st) &amp; (2nd)"},</v>
      </c>
    </row>
    <row r="565">
      <c r="A565" s="8" t="str">
        <f>IFERROR(__xludf.DUMMYFUNCTION("""COMPUTED_VALUE"""),"Teletubbies")</f>
        <v>Teletubbies</v>
      </c>
      <c r="B565" s="8" t="str">
        <f>IFERROR(__xludf.DUMMYFUNCTION("""COMPUTED_VALUE"""),"Colorful characters with televisions in their stomachs. Tinky Winky is purple.")</f>
        <v>Colorful characters with televisions in their stomachs. Tinky Winky is purple.</v>
      </c>
      <c r="C565" s="13" t="str">
        <f>IFERROR(__xludf.DUMMYFUNCTION("""COMPUTED_VALUE"""),"""ifin"":{""label"":""Teletubbies"",""extra"":""Colorful characters with televisions in their stomachs. Tinky Winky is purple."",""sets"":""Junior""},")</f>
        <v>"ifin":{"label":"Teletubbies","extra":"Colorful characters with televisions in their stomachs. Tinky Winky is purple.","sets":"Junior"},</v>
      </c>
    </row>
    <row r="566">
      <c r="A566" s="8" t="str">
        <f>IFERROR(__xludf.DUMMYFUNCTION("""COMPUTED_VALUE"""),"Television")</f>
        <v>Television</v>
      </c>
      <c r="B566" s="8" t="str">
        <f>IFERROR(__xludf.DUMMYFUNCTION("""COMPUTED_VALUE"""),"If you get your homework done…")</f>
        <v>If you get your homework done…</v>
      </c>
      <c r="C566" s="13" t="str">
        <f>IFERROR(__xludf.DUMMYFUNCTION("""COMPUTED_VALUE"""),"""znfr"":{""label"":""Television"",""extra"":""If you get your homework done…"",""sets"":""Junior 9+ (2nd)""},")</f>
        <v>"znfr":{"label":"Television","extra":"If you get your homework done…","sets":"Junior 9+ (2nd)"},</v>
      </c>
    </row>
    <row r="567">
      <c r="A567" s="8" t="str">
        <f>IFERROR(__xludf.DUMMYFUNCTION("""COMPUTED_VALUE"""),"Telling Scary Stories")</f>
        <v>Telling Scary Stories</v>
      </c>
      <c r="B567" s="8" t="str">
        <f>IFERROR(__xludf.DUMMYFUNCTION("""COMPUTED_VALUE"""),"“It was a dark and stormy night…”")</f>
        <v>“It was a dark and stormy night…”</v>
      </c>
      <c r="C567" s="13" t="str">
        <f>IFERROR(__xludf.DUMMYFUNCTION("""COMPUTED_VALUE"""),"""ddkv"":{""label"":""Telling Scary Stories"",""extra"":""“It was a dark and stormy night…”"",""sets"":""Junior 9+ (1st) &amp; (2nd)""},")</f>
        <v>"ddkv":{"label":"Telling Scary Stories","extra":"“It was a dark and stormy night…”","sets":"Junior 9+ (1st) &amp; (2nd)"},</v>
      </c>
    </row>
    <row r="568">
      <c r="A568" s="8" t="str">
        <f>IFERROR(__xludf.DUMMYFUNCTION("""COMPUTED_VALUE"""),"Tents")</f>
        <v>Tents</v>
      </c>
      <c r="B568" s="8" t="str">
        <f>IFERROR(__xludf.DUMMYFUNCTION("""COMPUTED_VALUE"""),"A pup tent will hold one or two people, but a circus tent can hold hundreds.")</f>
        <v>A pup tent will hold one or two people, but a circus tent can hold hundreds.</v>
      </c>
      <c r="C568" s="13" t="str">
        <f>IFERROR(__xludf.DUMMYFUNCTION("""COMPUTED_VALUE"""),"""kxll"":{""label"":""Tents"",""extra"":""A pup tent will hold one or two people, but a circus tent can hold hundreds."",""sets"":""Junior 9+ (1st) &amp; (2nd)""},")</f>
        <v>"kxll":{"label":"Tents","extra":"A pup tent will hold one or two people, but a circus tent can hold hundreds.","sets":"Junior 9+ (1st) &amp; (2nd)"},</v>
      </c>
    </row>
    <row r="569">
      <c r="A569" s="8" t="str">
        <f>IFERROR(__xludf.DUMMYFUNCTION("""COMPUTED_VALUE"""),"Texas")</f>
        <v>Texas</v>
      </c>
      <c r="B569" s="8" t="str">
        <f>IFERROR(__xludf.DUMMYFUNCTION("""COMPUTED_VALUE"""),"Famous for oil wells, barbecues, and cowboys. The capital of Texas is Austin.")</f>
        <v>Famous for oil wells, barbecues, and cowboys. The capital of Texas is Austin.</v>
      </c>
      <c r="C569" s="13" t="str">
        <f>IFERROR(__xludf.DUMMYFUNCTION("""COMPUTED_VALUE"""),"""gnmi"":{""label"":""Texas"",""extra"":""Famous for oil wells, barbecues, and cowboys. The capital of Texas is Austin."",""sets"":""Junior 9+ (2nd)""},")</f>
        <v>"gnmi":{"label":"Texas","extra":"Famous for oil wells, barbecues, and cowboys. The capital of Texas is Austin.","sets":"Junior 9+ (2nd)"},</v>
      </c>
    </row>
    <row r="570">
      <c r="A570" s="8" t="str">
        <f>IFERROR(__xludf.DUMMYFUNCTION("""COMPUTED_VALUE"""),"Thanksgiving Day")</f>
        <v>Thanksgiving Day</v>
      </c>
      <c r="B570" s="8" t="str">
        <f>IFERROR(__xludf.DUMMYFUNCTION("""COMPUTED_VALUE"""),"A harvest festival celebrated on the fourth Thursday in November in the U.S.")</f>
        <v>A harvest festival celebrated on the fourth Thursday in November in the U.S.</v>
      </c>
      <c r="C570" s="13" t="str">
        <f>IFERROR(__xludf.DUMMYFUNCTION("""COMPUTED_VALUE"""),"""hsrt"":{""label"":""Thanksgiving Day"",""extra"":""A harvest festival celebrated on the fourth Thursday in November in the U.S."",""sets"":""Junior 9+ (1st) &amp; (2nd)""},")</f>
        <v>"hsrt":{"label":"Thanksgiving Day","extra":"A harvest festival celebrated on the fourth Thursday in November in the U.S.","sets":"Junior 9+ (1st) &amp; (2nd)"},</v>
      </c>
    </row>
    <row r="571">
      <c r="A571" s="8" t="str">
        <f>IFERROR(__xludf.DUMMYFUNCTION("""COMPUTED_VALUE"""),"The Baby-Sitters Club")</f>
        <v>The Baby-Sitters Club</v>
      </c>
      <c r="B571" s="8" t="str">
        <f>IFERROR(__xludf.DUMMYFUNCTION("""COMPUTED_VALUE"""),"This series of books, written by Ann M. Martin, is a favorite of girls, world-wide.")</f>
        <v>This series of books, written by Ann M. Martin, is a favorite of girls, world-wide.</v>
      </c>
      <c r="C571" s="13" t="str">
        <f>IFERROR(__xludf.DUMMYFUNCTION("""COMPUTED_VALUE"""),"""gbwu"":{""label"":""The Baby-Sitters Club"",""extra"":""This series of books, written by Ann M. Martin, is a favorite of girls, world-wide."",""sets"":""Junior 9+ (2nd)""},")</f>
        <v>"gbwu":{"label":"The Baby-Sitters Club","extra":"This series of books, written by Ann M. Martin, is a favorite of girls, world-wide.","sets":"Junior 9+ (2nd)"},</v>
      </c>
    </row>
    <row r="572">
      <c r="A572" s="8" t="str">
        <f>IFERROR(__xludf.DUMMYFUNCTION("""COMPUTED_VALUE"""),"The Beach")</f>
        <v>The Beach</v>
      </c>
      <c r="B572" s="8" t="str">
        <f>IFERROR(__xludf.DUMMYFUNCTION("""COMPUTED_VALUE"""),"Sun, surf, and sand.")</f>
        <v>Sun, surf, and sand.</v>
      </c>
      <c r="C572" s="13" t="str">
        <f>IFERROR(__xludf.DUMMYFUNCTION("""COMPUTED_VALUE"""),"""kdcd"":{""label"":""The Beach"",""extra"":""Sun, surf, and sand."",""sets"":""Junior 9+ (1st) &amp; (2nd)""},")</f>
        <v>"kdcd":{"label":"The Beach","extra":"Sun, surf, and sand.","sets":"Junior 9+ (1st) &amp; (2nd)"},</v>
      </c>
    </row>
    <row r="573">
      <c r="A573" s="8" t="str">
        <f>IFERROR(__xludf.DUMMYFUNCTION("""COMPUTED_VALUE"""),"The Chicken Dance")</f>
        <v>The Chicken Dance</v>
      </c>
      <c r="B573" s="8" t="str">
        <f>IFERROR(__xludf.DUMMYFUNCTION("""COMPUTED_VALUE"""),"You put your hands in your armpits…")</f>
        <v>You put your hands in your armpits…</v>
      </c>
      <c r="C573" s="13" t="str">
        <f>IFERROR(__xludf.DUMMYFUNCTION("""COMPUTED_VALUE"""),"""yxlm"":{""label"":""The Chicken Dance"",""extra"":""You put your hands in your armpits…"",""sets"":""Junior 9+ (2nd)""},")</f>
        <v>"yxlm":{"label":"The Chicken Dance","extra":"You put your hands in your armpits…","sets":"Junior 9+ (2nd)"},</v>
      </c>
    </row>
    <row r="574">
      <c r="A574" s="8" t="str">
        <f>IFERROR(__xludf.DUMMYFUNCTION("""COMPUTED_VALUE"""),"The Circus")</f>
        <v>The Circus</v>
      </c>
      <c r="B574" s="8" t="str">
        <f>IFERROR(__xludf.DUMMYFUNCTION("""COMPUTED_VALUE"""),"A show featuring trained animals, clowns and acrobats.")</f>
        <v>A show featuring trained animals, clowns and acrobats.</v>
      </c>
      <c r="C574" s="13" t="str">
        <f>IFERROR(__xludf.DUMMYFUNCTION("""COMPUTED_VALUE"""),"""mgbg"":{""label"":""The Circus"",""extra"":""A show featuring trained animals, clowns and acrobats."",""sets"":""Junior""},")</f>
        <v>"mgbg":{"label":"The Circus","extra":"A show featuring trained animals, clowns and acrobats.","sets":"Junior"},</v>
      </c>
    </row>
    <row r="575">
      <c r="A575" s="8" t="str">
        <f>IFERROR(__xludf.DUMMYFUNCTION("""COMPUTED_VALUE"""),"The Earth")</f>
        <v>The Earth</v>
      </c>
      <c r="B575" s="8" t="str">
        <f>IFERROR(__xludf.DUMMYFUNCTION("""COMPUTED_VALUE"""),"Third planet from the sun. Home to Earthlings.")</f>
        <v>Third planet from the sun. Home to Earthlings.</v>
      </c>
      <c r="C575" s="13" t="str">
        <f>IFERROR(__xludf.DUMMYFUNCTION("""COMPUTED_VALUE"""),"""wade"":{""label"":""The Earth"",""extra"":""Third planet from the sun. Home to Earthlings."",""sets"":""Junior 9+ (1st) &amp; (2nd)""},")</f>
        <v>"wade":{"label":"The Earth","extra":"Third planet from the sun. Home to Earthlings.","sets":"Junior 9+ (1st) &amp; (2nd)"},</v>
      </c>
    </row>
    <row r="576">
      <c r="A576" s="8" t="str">
        <f>IFERROR(__xludf.DUMMYFUNCTION("""COMPUTED_VALUE"""),"The First Day Of School")</f>
        <v>The First Day Of School</v>
      </c>
      <c r="B576" s="8" t="str">
        <f>IFERROR(__xludf.DUMMYFUNCTION("""COMPUTED_VALUE"""),"Get your backpack, your lunch, and get going!")</f>
        <v>Get your backpack, your lunch, and get going!</v>
      </c>
      <c r="C576" s="13" t="str">
        <f>IFERROR(__xludf.DUMMYFUNCTION("""COMPUTED_VALUE"""),"""typi"":{""label"":""The First Day Of School"",""extra"":""Get your backpack, your lunch, and get going!"",""sets"":""Junior""},")</f>
        <v>"typi":{"label":"The First Day Of School","extra":"Get your backpack, your lunch, and get going!","sets":"Junior"},</v>
      </c>
    </row>
    <row r="577">
      <c r="A577" s="8" t="str">
        <f>IFERROR(__xludf.DUMMYFUNCTION("""COMPUTED_VALUE"""),"The Last Day Of School")</f>
        <v>The Last Day Of School</v>
      </c>
      <c r="B577" s="8" t="str">
        <f>IFERROR(__xludf.DUMMYFUNCTION("""COMPUTED_VALUE"""),"Almost as good as a birthday!")</f>
        <v>Almost as good as a birthday!</v>
      </c>
      <c r="C577" s="13" t="str">
        <f>IFERROR(__xludf.DUMMYFUNCTION("""COMPUTED_VALUE"""),"""fgax"":{""label"":""The Last Day Of School"",""extra"":""Almost as good as a birthday!"",""sets"":""Junior 9+ (1st) &amp; (2nd)""},")</f>
        <v>"fgax":{"label":"The Last Day Of School","extra":"Almost as good as a birthday!","sets":"Junior 9+ (1st) &amp; (2nd)"},</v>
      </c>
    </row>
    <row r="578">
      <c r="A578" s="8" t="str">
        <f>IFERROR(__xludf.DUMMYFUNCTION("""COMPUTED_VALUE"""),"The Library")</f>
        <v>The Library</v>
      </c>
      <c r="B578" s="8" t="str">
        <f>IFERROR(__xludf.DUMMYFUNCTION("""COMPUTED_VALUE"""),"Books, magazines, newspapers, tapes, and computers. SHHHH!")</f>
        <v>Books, magazines, newspapers, tapes, and computers. SHHHH!</v>
      </c>
      <c r="C578" s="13" t="str">
        <f>IFERROR(__xludf.DUMMYFUNCTION("""COMPUTED_VALUE"""),"""lgbw"":{""label"":""The Library"",""extra"":""Books, magazines, newspapers, tapes, and computers. SHHHH!"",""sets"":""Junior 9+ (1st) &amp; (2nd)""},")</f>
        <v>"lgbw":{"label":"The Library","extra":"Books, magazines, newspapers, tapes, and computers. SHHHH!","sets":"Junior 9+ (1st) &amp; (2nd)"},</v>
      </c>
    </row>
    <row r="579">
      <c r="A579" s="8" t="str">
        <f>IFERROR(__xludf.DUMMYFUNCTION("""COMPUTED_VALUE"""),"The Little Mermaid")</f>
        <v>The Little Mermaid</v>
      </c>
      <c r="B579" s="8" t="str">
        <f>IFERROR(__xludf.DUMMYFUNCTION("""COMPUTED_VALUE"""),"A character in a folktale who gave up her home under the sea so that she could live on land.")</f>
        <v>A character in a folktale who gave up her home under the sea so that she could live on land.</v>
      </c>
      <c r="C579" s="13" t="str">
        <f>IFERROR(__xludf.DUMMYFUNCTION("""COMPUTED_VALUE"""),"""ynhg"":{""label"":""The Little Mermaid"",""extra"":""A character in a folktale who gave up her home under the sea so that she could live on land."",""sets"":""Junior""},")</f>
        <v>"ynhg":{"label":"The Little Mermaid","extra":"A character in a folktale who gave up her home under the sea so that she could live on land.","sets":"Junior"},</v>
      </c>
    </row>
    <row r="580">
      <c r="A580" s="8" t="str">
        <f>IFERROR(__xludf.DUMMYFUNCTION("""COMPUTED_VALUE"""),"The Lunchroom")</f>
        <v>The Lunchroom</v>
      </c>
      <c r="B580" s="8" t="str">
        <f>IFERROR(__xludf.DUMMYFUNCTION("""COMPUTED_VALUE"""),"What's for lunch?")</f>
        <v>What's for lunch?</v>
      </c>
      <c r="C580" s="13" t="str">
        <f>IFERROR(__xludf.DUMMYFUNCTION("""COMPUTED_VALUE"""),"""o{{y"":{""label"":""The Lunchroom"",""extra"":""What's for lunch?"",""sets"":""Junior 9+ (2nd)""},")</f>
        <v>"o{{y":{"label":"The Lunchroom","extra":"What's for lunch?","sets":"Junior 9+ (2nd)"},</v>
      </c>
    </row>
    <row r="581">
      <c r="A581" s="8" t="str">
        <f>IFERROR(__xludf.DUMMYFUNCTION("""COMPUTED_VALUE"""),"The Mall")</f>
        <v>The Mall</v>
      </c>
      <c r="B581" s="8" t="str">
        <f>IFERROR(__xludf.DUMMYFUNCTION("""COMPUTED_VALUE"""),"Great place to shop and meet friends.")</f>
        <v>Great place to shop and meet friends.</v>
      </c>
      <c r="C581" s="13" t="str">
        <f>IFERROR(__xludf.DUMMYFUNCTION("""COMPUTED_VALUE"""),"""hmoe"":{""label"":""The Mall"",""extra"":""Great place to shop and meet friends."",""sets"":""Junior 9+ (1st) &amp; (2nd)""},")</f>
        <v>"hmoe":{"label":"The Mall","extra":"Great place to shop and meet friends.","sets":"Junior 9+ (1st) &amp; (2nd)"},</v>
      </c>
    </row>
    <row r="582">
      <c r="A582" s="8" t="str">
        <f>IFERROR(__xludf.DUMMYFUNCTION("""COMPUTED_VALUE"""),"The Moon")</f>
        <v>The Moon</v>
      </c>
      <c r="B582" s="8" t="str">
        <f>IFERROR(__xludf.DUMMYFUNCTION("""COMPUTED_VALUE"""),"There’s a new moon and there’s a full moon, and sometimes there’s a man in the moon.")</f>
        <v>There’s a new moon and there’s a full moon, and sometimes there’s a man in the moon.</v>
      </c>
      <c r="C582" s="13" t="str">
        <f>IFERROR(__xludf.DUMMYFUNCTION("""COMPUTED_VALUE"""),"""yf{q"":{""label"":""The Moon"",""extra"":""There’s a new moon and there’s a full moon, and sometimes there’s a man in the moon."",""sets"":""Junior 9+ (1st) &amp; (2nd)""},")</f>
        <v>"yf{q":{"label":"The Moon","extra":"There’s a new moon and there’s a full moon, and sometimes there’s a man in the moon.","sets":"Junior 9+ (1st) &amp; (2nd)"},</v>
      </c>
    </row>
    <row r="583">
      <c r="A583" s="8" t="str">
        <f>IFERROR(__xludf.DUMMYFUNCTION("""COMPUTED_VALUE"""),"The Ocean")</f>
        <v>The Ocean</v>
      </c>
      <c r="B583" s="8" t="str">
        <f>IFERROR(__xludf.DUMMYFUNCTION("""COMPUTED_VALUE"""),"Almost three-fourths of the Earth’s surface is covered by the four oceans.")</f>
        <v>Almost three-fourths of the Earth’s surface is covered by the four oceans.</v>
      </c>
      <c r="C583" s="13" t="str">
        <f>IFERROR(__xludf.DUMMYFUNCTION("""COMPUTED_VALUE"""),"""mlog"":{""label"":""The Ocean"",""extra"":""Almost three-fourths of the Earth’s surface is covered by the four oceans."",""sets"":""Junior 9+ (1st) &amp; (2nd)""},")</f>
        <v>"mlog":{"label":"The Ocean","extra":"Almost three-fourths of the Earth’s surface is covered by the four oceans.","sets":"Junior 9+ (1st) &amp; (2nd)"},</v>
      </c>
    </row>
    <row r="584">
      <c r="A584" s="8" t="str">
        <f>IFERROR(__xludf.DUMMYFUNCTION("""COMPUTED_VALUE"""),"The Police")</f>
        <v>The Police</v>
      </c>
      <c r="B584" s="8" t="str">
        <f>IFERROR(__xludf.DUMMYFUNCTION("""COMPUTED_VALUE"""),"They keep order and arrest those who break the law.")</f>
        <v>They keep order and arrest those who break the law.</v>
      </c>
      <c r="C584" s="13" t="str">
        <f>IFERROR(__xludf.DUMMYFUNCTION("""COMPUTED_VALUE"""),"""bxun"":{""label"":""The Police"",""extra"":""They keep order and arrest those who break the law."",""sets"":""Junior 9+ (1st) &amp; (2nd)""},")</f>
        <v>"bxun":{"label":"The Police","extra":"They keep order and arrest those who break the law.","sets":"Junior 9+ (1st) &amp; (2nd)"},</v>
      </c>
    </row>
    <row r="585">
      <c r="A585" s="8" t="str">
        <f>IFERROR(__xludf.DUMMYFUNCTION("""COMPUTED_VALUE"""),"The President")</f>
        <v>The President</v>
      </c>
      <c r="B585" s="8" t="str">
        <f>IFERROR(__xludf.DUMMYFUNCTION("""COMPUTED_VALUE"""),"A U.S. president must be at least 35 years old and a natural born citizen.")</f>
        <v>A U.S. president must be at least 35 years old and a natural born citizen.</v>
      </c>
      <c r="C585" s="13" t="str">
        <f>IFERROR(__xludf.DUMMYFUNCTION("""COMPUTED_VALUE"""),"""gcqv"":{""label"":""The President"",""extra"":""A U.S. president must be at least 35 years old and a natural born citizen."",""sets"":""Junior 9+ (1st) &amp; (2nd)""},")</f>
        <v>"gcqv":{"label":"The President","extra":"A U.S. president must be at least 35 years old and a natural born citizen.","sets":"Junior 9+ (1st) &amp; (2nd)"},</v>
      </c>
    </row>
    <row r="586">
      <c r="A586" s="8" t="str">
        <f>IFERROR(__xludf.DUMMYFUNCTION("""COMPUTED_VALUE"""),"The Statue Of Liberty")</f>
        <v>The Statue Of Liberty</v>
      </c>
      <c r="B586" s="8" t="str">
        <f>IFERROR(__xludf.DUMMYFUNCTION("""COMPUTED_VALUE"""),"“Lady Liberty” was a gift to the U.S. from the people of France.")</f>
        <v>“Lady Liberty” was a gift to the U.S. from the people of France.</v>
      </c>
      <c r="C586" s="13" t="str">
        <f>IFERROR(__xludf.DUMMYFUNCTION("""COMPUTED_VALUE"""),"""xxud"":{""label"":""The Statue Of Liberty"",""extra"":""“Lady Liberty” was a gift to the U.S. from the people of France."",""sets"":""Junior 9+ (2nd)""},")</f>
        <v>"xxud":{"label":"The Statue Of Liberty","extra":"“Lady Liberty” was a gift to the U.S. from the people of France.","sets":"Junior 9+ (2nd)"},</v>
      </c>
    </row>
    <row r="587">
      <c r="A587" s="8" t="str">
        <f>IFERROR(__xludf.DUMMYFUNCTION("""COMPUTED_VALUE"""),"The Zoo")</f>
        <v>The Zoo</v>
      </c>
      <c r="B587" s="8" t="str">
        <f>IFERROR(__xludf.DUMMYFUNCTION("""COMPUTED_VALUE"""),"“Oh! Lions and tigers and bears. Oh my.”")</f>
        <v>“Oh! Lions and tigers and bears. Oh my.”</v>
      </c>
      <c r="C587" s="13" t="str">
        <f>IFERROR(__xludf.DUMMYFUNCTION("""COMPUTED_VALUE"""),"""jmuc"":{""label"":""The Zoo"",""extra"":""“Oh! Lions and tigers and bears. Oh my.”"",""sets"":""Junior""},")</f>
        <v>"jmuc":{"label":"The Zoo","extra":"“Oh! Lions and tigers and bears. Oh my.”","sets":"Junior"},</v>
      </c>
    </row>
    <row r="588">
      <c r="A588" s="8" t="str">
        <f>IFERROR(__xludf.DUMMYFUNCTION("""COMPUTED_VALUE"""),"Throwing Rocks")</f>
        <v>Throwing Rocks</v>
      </c>
      <c r="B588" s="8" t="str">
        <f>IFERROR(__xludf.DUMMYFUNCTION("""COMPUTED_VALUE"""),"Be careful so that you don't break any windows.")</f>
        <v>Be careful so that you don't break any windows.</v>
      </c>
      <c r="C588" s="13" t="str">
        <f>IFERROR(__xludf.DUMMYFUNCTION("""COMPUTED_VALUE"""),"""rjps"":{""label"":""Throwing Rocks"",""extra"":""Be careful so that you don't break any windows."",""sets"":""Junior""},")</f>
        <v>"rjps":{"label":"Throwing Rocks","extra":"Be careful so that you don't break any windows.","sets":"Junior"},</v>
      </c>
    </row>
    <row r="589">
      <c r="A589" s="8" t="str">
        <f>IFERROR(__xludf.DUMMYFUNCTION("""COMPUTED_VALUE"""),"Throwing Up")</f>
        <v>Throwing Up</v>
      </c>
      <c r="B589" s="8" t="str">
        <f>IFERROR(__xludf.DUMMYFUNCTION("""COMPUTED_VALUE"""),"It’s proof that you really are sick.")</f>
        <v>It’s proof that you really are sick.</v>
      </c>
      <c r="C589" s="13" t="str">
        <f>IFERROR(__xludf.DUMMYFUNCTION("""COMPUTED_VALUE"""),"""sxqk"":{""label"":""Throwing Up"",""extra"":""It’s proof that you really are sick."",""sets"":""Junior""},")</f>
        <v>"sxqk":{"label":"Throwing Up","extra":"It’s proof that you really are sick.","sets":"Junior"},</v>
      </c>
    </row>
    <row r="590">
      <c r="A590" s="8" t="str">
        <f>IFERROR(__xludf.DUMMYFUNCTION("""COMPUTED_VALUE"""),"Thunder")</f>
        <v>Thunder</v>
      </c>
      <c r="B590" s="8" t="str">
        <f>IFERROR(__xludf.DUMMYFUNCTION("""COMPUTED_VALUE"""),"A booming sound wave created by the heat from lightning.")</f>
        <v>A booming sound wave created by the heat from lightning.</v>
      </c>
      <c r="C590" s="13" t="str">
        <f>IFERROR(__xludf.DUMMYFUNCTION("""COMPUTED_VALUE"""),"""qpvz"":{""label"":""Thunder"",""extra"":""A booming sound wave created by the heat from lightning."",""sets"":""Junior 9+ (1st) &amp; (2nd)""},")</f>
        <v>"qpvz":{"label":"Thunder","extra":"A booming sound wave created by the heat from lightning.","sets":"Junior 9+ (1st) &amp; (2nd)"},</v>
      </c>
    </row>
    <row r="591">
      <c r="A591" s="8" t="str">
        <f>IFERROR(__xludf.DUMMYFUNCTION("""COMPUTED_VALUE"""),"Thunderstorms")</f>
        <v>Thunderstorms</v>
      </c>
      <c r="B591" s="8" t="str">
        <f>IFERROR(__xludf.DUMMYFUNCTION("""COMPUTED_VALUE"""),"Don’t stand under a tree if you hear thunder!")</f>
        <v>Don’t stand under a tree if you hear thunder!</v>
      </c>
      <c r="C591" s="13" t="str">
        <f>IFERROR(__xludf.DUMMYFUNCTION("""COMPUTED_VALUE"""),"""uebw"":{""label"":""Thunderstorms"",""extra"":""Don’t stand under a tree if you hear thunder!"",""sets"":""Junior""},")</f>
        <v>"uebw":{"label":"Thunderstorms","extra":"Don’t stand under a tree if you hear thunder!","sets":"Junior"},</v>
      </c>
    </row>
    <row r="592">
      <c r="A592" s="8" t="str">
        <f>IFERROR(__xludf.DUMMYFUNCTION("""COMPUTED_VALUE"""),"Tightrope Walking")</f>
        <v>Tightrope Walking</v>
      </c>
      <c r="B592" s="8" t="str">
        <f>IFERROR(__xludf.DUMMYFUNCTION("""COMPUTED_VALUE"""),"If you get really good, you can join the circus.")</f>
        <v>If you get really good, you can join the circus.</v>
      </c>
      <c r="C592" s="13" t="str">
        <f>IFERROR(__xludf.DUMMYFUNCTION("""COMPUTED_VALUE"""),"""jzcc"":{""label"":""Tightrope Walking"",""extra"":""If you get really good, you can join the circus."",""sets"":""Junior 9+ (2nd)""},")</f>
        <v>"jzcc":{"label":"Tightrope Walking","extra":"If you get really good, you can join the circus.","sets":"Junior 9+ (2nd)"},</v>
      </c>
    </row>
    <row r="593">
      <c r="A593" s="8" t="str">
        <f>IFERROR(__xludf.DUMMYFUNCTION("""COMPUTED_VALUE"""),"Toasted Marshmallows")</f>
        <v>Toasted Marshmallows</v>
      </c>
      <c r="B593" s="8" t="str">
        <f>IFERROR(__xludf.DUMMYFUNCTION("""COMPUTED_VALUE"""),"Add chocolate and graham crackers and you'll wish you had s’more.")</f>
        <v>Add chocolate and graham crackers and you'll wish you had s’more.</v>
      </c>
      <c r="C593" s="13" t="str">
        <f>IFERROR(__xludf.DUMMYFUNCTION("""COMPUTED_VALUE"""),"""lbmk"":{""label"":""Toasted Marshmallows"",""extra"":""Add chocolate and graham crackers and you'll wish you had s’more."",""sets"":""Junior 9+ (1st) &amp; (2nd)""},")</f>
        <v>"lbmk":{"label":"Toasted Marshmallows","extra":"Add chocolate and graham crackers and you'll wish you had s’more.","sets":"Junior 9+ (1st) &amp; (2nd)"},</v>
      </c>
    </row>
    <row r="594">
      <c r="A594" s="8" t="str">
        <f>IFERROR(__xludf.DUMMYFUNCTION("""COMPUTED_VALUE"""),"Toenails")</f>
        <v>Toenails</v>
      </c>
      <c r="B594" s="8" t="str">
        <f>IFERROR(__xludf.DUMMYFUNCTION("""COMPUTED_VALUE"""),"A horse’s foot is actually a toe. The hoof is a toenail.")</f>
        <v>A horse’s foot is actually a toe. The hoof is a toenail.</v>
      </c>
      <c r="C594" s="13" t="str">
        <f>IFERROR(__xludf.DUMMYFUNCTION("""COMPUTED_VALUE"""),"""ogzq"":{""label"":""Toenails"",""extra"":""A horse’s foot is actually a toe. The hoof is a toenail."",""sets"":""Junior 9+ (1st) &amp; (2nd)""},")</f>
        <v>"ogzq":{"label":"Toenails","extra":"A horse’s foot is actually a toe. The hoof is a toenail.","sets":"Junior 9+ (1st) &amp; (2nd)"},</v>
      </c>
    </row>
    <row r="595">
      <c r="A595" s="8" t="str">
        <f>IFERROR(__xludf.DUMMYFUNCTION("""COMPUTED_VALUE"""),"Tomato Soup")</f>
        <v>Tomato Soup</v>
      </c>
      <c r="B595" s="8" t="str">
        <f>IFERROR(__xludf.DUMMYFUNCTION("""COMPUTED_VALUE"""),"Good with cheese sandwiches.")</f>
        <v>Good with cheese sandwiches.</v>
      </c>
      <c r="C595" s="13" t="str">
        <f>IFERROR(__xludf.DUMMYFUNCTION("""COMPUTED_VALUE"""),"""klzc"":{""label"":""Tomato Soup"",""extra"":""Good with cheese sandwiches."",""sets"":""Junior 9+ (1st) &amp; (2nd)""},")</f>
        <v>"klzc":{"label":"Tomato Soup","extra":"Good with cheese sandwiches.","sets":"Junior 9+ (1st) &amp; (2nd)"},</v>
      </c>
    </row>
    <row r="596">
      <c r="A596" s="8" t="str">
        <f>IFERROR(__xludf.DUMMYFUNCTION("""COMPUTED_VALUE"""),"Tomatoes")</f>
        <v>Tomatoes</v>
      </c>
      <c r="B596" s="8" t="str">
        <f>IFERROR(__xludf.DUMMYFUNCTION("""COMPUTED_VALUE"""),"Most people don't know that a tomato is a fruit.")</f>
        <v>Most people don't know that a tomato is a fruit.</v>
      </c>
      <c r="C596" s="13" t="str">
        <f>IFERROR(__xludf.DUMMYFUNCTION("""COMPUTED_VALUE"""),"""dtrx"":{""label"":""Tomatoes"",""extra"":""Most people don't know that a tomato is a fruit."",""sets"":""Junior""},")</f>
        <v>"dtrx":{"label":"Tomatoes","extra":"Most people don't know that a tomato is a fruit.","sets":"Junior"},</v>
      </c>
    </row>
    <row r="597">
      <c r="A597" s="8" t="str">
        <f>IFERROR(__xludf.DUMMYFUNCTION("""COMPUTED_VALUE"""),"Tooth Fairy")</f>
        <v>Tooth Fairy</v>
      </c>
      <c r="B597" s="8" t="str">
        <f>IFERROR(__xludf.DUMMYFUNCTION("""COMPUTED_VALUE"""),"Who knows what they do with all those baby teeth.")</f>
        <v>Who knows what they do with all those baby teeth.</v>
      </c>
      <c r="C597" s="13" t="str">
        <f>IFERROR(__xludf.DUMMYFUNCTION("""COMPUTED_VALUE"""),"""esvb"":{""label"":""Tooth Fairy"",""extra"":""Who knows what they do with all those baby teeth."",""sets"":""Junior 9+ (1st) &amp; (2nd)""},")</f>
        <v>"esvb":{"label":"Tooth Fairy","extra":"Who knows what they do with all those baby teeth.","sets":"Junior 9+ (1st) &amp; (2nd)"},</v>
      </c>
    </row>
    <row r="598">
      <c r="A598" s="8" t="str">
        <f>IFERROR(__xludf.DUMMYFUNCTION("""COMPUTED_VALUE"""),"Toothpaste")</f>
        <v>Toothpaste</v>
      </c>
      <c r="B598" s="8" t="str">
        <f>IFERROR(__xludf.DUMMYFUNCTION("""COMPUTED_VALUE"""),"Brush and spit!")</f>
        <v>Brush and spit!</v>
      </c>
      <c r="C598" s="13" t="str">
        <f>IFERROR(__xludf.DUMMYFUNCTION("""COMPUTED_VALUE"""),"""qglu"":{""label"":""Toothpaste"",""extra"":""Brush and spit!"",""sets"":""Junior 9+ (2nd)""},")</f>
        <v>"qglu":{"label":"Toothpaste","extra":"Brush and spit!","sets":"Junior 9+ (2nd)"},</v>
      </c>
    </row>
    <row r="599">
      <c r="A599" s="8" t="str">
        <f>IFERROR(__xludf.DUMMYFUNCTION("""COMPUTED_VALUE"""),"Toy Poodles")</f>
        <v>Toy Poodles</v>
      </c>
      <c r="B599" s="8" t="str">
        <f>IFERROR(__xludf.DUMMYFUNCTION("""COMPUTED_VALUE"""),"They are less than ten inches tall, from their shoulders to the floor.")</f>
        <v>They are less than ten inches tall, from their shoulders to the floor.</v>
      </c>
      <c r="C599" s="13" t="str">
        <f>IFERROR(__xludf.DUMMYFUNCTION("""COMPUTED_VALUE"""),"""epvv"":{""label"":""Toy Poodles"",""extra"":""They are less than ten inches tall, from their shoulders to the floor."",""sets"":""Junior 9+ (2nd)""},")</f>
        <v>"epvv":{"label":"Toy Poodles","extra":"They are less than ten inches tall, from their shoulders to the floor.","sets":"Junior 9+ (2nd)"},</v>
      </c>
    </row>
    <row r="600">
      <c r="A600" s="8" t="str">
        <f>IFERROR(__xludf.DUMMYFUNCTION("""COMPUTED_VALUE"""),"Toys")</f>
        <v>Toys</v>
      </c>
      <c r="B600" s="8" t="str">
        <f>IFERROR(__xludf.DUMMYFUNCTION("""COMPUTED_VALUE"""),"Stuffed animals, action figures, dolls, balls, and lots more. Everyone loves toys!")</f>
        <v>Stuffed animals, action figures, dolls, balls, and lots more. Everyone loves toys!</v>
      </c>
      <c r="C600" s="13" t="str">
        <f>IFERROR(__xludf.DUMMYFUNCTION("""COMPUTED_VALUE"""),"""vxsb"":{""label"":""Toys"",""extra"":""Stuffed animals, action figures, dolls, balls, and lots more. Everyone loves toys!"",""sets"":""Junior""},")</f>
        <v>"vxsb":{"label":"Toys","extra":"Stuffed animals, action figures, dolls, balls, and lots more. Everyone loves toys!","sets":"Junior"},</v>
      </c>
    </row>
    <row r="601">
      <c r="A601" s="8" t="str">
        <f>IFERROR(__xludf.DUMMYFUNCTION("""COMPUTED_VALUE"""),"Training Wheels")</f>
        <v>Training Wheels</v>
      </c>
      <c r="B601" s="8" t="str">
        <f>IFERROR(__xludf.DUMMYFUNCTION("""COMPUTED_VALUE"""),"It’s a four-wheeler.")</f>
        <v>It’s a four-wheeler.</v>
      </c>
      <c r="C601" s="13" t="str">
        <f>IFERROR(__xludf.DUMMYFUNCTION("""COMPUTED_VALUE"""),"""twfw"":{""label"":""Training Wheels"",""extra"":""It’s a four-wheeler."",""sets"":""Junior 9+ (2nd)""},")</f>
        <v>"twfw":{"label":"Training Wheels","extra":"It’s a four-wheeler.","sets":"Junior 9+ (2nd)"},</v>
      </c>
    </row>
    <row r="602">
      <c r="A602" s="8" t="str">
        <f>IFERROR(__xludf.DUMMYFUNCTION("""COMPUTED_VALUE"""),"Trains")</f>
        <v>Trains</v>
      </c>
      <c r="B602" s="8" t="str">
        <f>IFERROR(__xludf.DUMMYFUNCTION("""COMPUTED_VALUE"""),"“The Little Engine That Could” is a story about a train that climbs over a mountain.")</f>
        <v>“The Little Engine That Could” is a story about a train that climbs over a mountain.</v>
      </c>
      <c r="C602" s="13" t="str">
        <f>IFERROR(__xludf.DUMMYFUNCTION("""COMPUTED_VALUE"""),"""gnvj"":{""label"":""Trains"",""extra"":""“The Little Engine That Could” is a story about a train that climbs over a mountain."",""sets"":""Junior""},")</f>
        <v>"gnvj":{"label":"Trains","extra":"“The Little Engine That Could” is a story about a train that climbs over a mountain.","sets":"Junior"},</v>
      </c>
    </row>
    <row r="603">
      <c r="A603" s="8" t="str">
        <f>IFERROR(__xludf.DUMMYFUNCTION("""COMPUTED_VALUE"""),"Treehouse")</f>
        <v>Treehouse</v>
      </c>
      <c r="B603" s="8" t="str">
        <f>IFERROR(__xludf.DUMMYFUNCTION("""COMPUTED_VALUE"""),"A playhouse built in a tree. The Swiss Family Robinson lived in a treehouse on an island")</f>
        <v>A playhouse built in a tree. The Swiss Family Robinson lived in a treehouse on an island</v>
      </c>
      <c r="C603" s="13" t="str">
        <f>IFERROR(__xludf.DUMMYFUNCTION("""COMPUTED_VALUE"""),"""zyve"":{""label"":""Treehouse"",""extra"":""A playhouse built in a tree. The Swiss Family Robinson lived in a treehouse on an island"",""sets"":""Junior""},")</f>
        <v>"zyve":{"label":"Treehouse","extra":"A playhouse built in a tree. The Swiss Family Robinson lived in a treehouse on an island","sets":"Junior"},</v>
      </c>
    </row>
    <row r="604">
      <c r="A604" s="8" t="str">
        <f>IFERROR(__xludf.DUMMYFUNCTION("""COMPUTED_VALUE"""),"Trees")</f>
        <v>Trees</v>
      </c>
      <c r="B604" s="8" t="str">
        <f>IFERROR(__xludf.DUMMYFUNCTION("""COMPUTED_VALUE"""),"Some redwood trees in California are over 300 feet tall and thousands of years old.")</f>
        <v>Some redwood trees in California are over 300 feet tall and thousands of years old.</v>
      </c>
      <c r="C604" s="13" t="str">
        <f>IFERROR(__xludf.DUMMYFUNCTION("""COMPUTED_VALUE"""),"""skgg"":{""label"":""Trees"",""extra"":""Some redwood trees in California are over 300 feet tall and thousands of years old."",""sets"":""Junior 9+ (1st) &amp; (2nd)""},")</f>
        <v>"skgg":{"label":"Trees","extra":"Some redwood trees in California are over 300 feet tall and thousands of years old.","sets":"Junior 9+ (1st) &amp; (2nd)"},</v>
      </c>
    </row>
    <row r="605">
      <c r="A605" s="8" t="str">
        <f>IFERROR(__xludf.DUMMYFUNCTION("""COMPUTED_VALUE"""),"Truck Drivers")</f>
        <v>Truck Drivers</v>
      </c>
      <c r="B605" s="8" t="str">
        <f>IFERROR(__xludf.DUMMYFUNCTION("""COMPUTED_VALUE"""),"See the country- or at least see the highways.")</f>
        <v>See the country- or at least see the highways.</v>
      </c>
      <c r="C605" s="13" t="str">
        <f>IFERROR(__xludf.DUMMYFUNCTION("""COMPUTED_VALUE"""),"""izyl"":{""label"":""Truck Drivers"",""extra"":""See the country- or at least see the highways."",""sets"":""Junior 9+ (2nd)""},")</f>
        <v>"izyl":{"label":"Truck Drivers","extra":"See the country- or at least see the highways.","sets":"Junior 9+ (2nd)"},</v>
      </c>
    </row>
    <row r="606">
      <c r="A606" s="8" t="str">
        <f>IFERROR(__xludf.DUMMYFUNCTION("""COMPUTED_VALUE"""),"Tulips")</f>
        <v>Tulips</v>
      </c>
      <c r="B606" s="8" t="str">
        <f>IFERROR(__xludf.DUMMYFUNCTION("""COMPUTED_VALUE"""),"A sign of spring!")</f>
        <v>A sign of spring!</v>
      </c>
      <c r="C606" s="13" t="str">
        <f>IFERROR(__xludf.DUMMYFUNCTION("""COMPUTED_VALUE"""),"""bipy"":{""label"":""Tulips"",""extra"":""A sign of spring!"",""sets"":""Junior 9+ (2nd)""},")</f>
        <v>"bipy":{"label":"Tulips","extra":"A sign of spring!","sets":"Junior 9+ (2nd)"},</v>
      </c>
    </row>
    <row r="607">
      <c r="A607" s="8" t="str">
        <f>IFERROR(__xludf.DUMMYFUNCTION("""COMPUTED_VALUE"""),"Turkeys")</f>
        <v>Turkeys</v>
      </c>
      <c r="B607" s="8" t="str">
        <f>IFERROR(__xludf.DUMMYFUNCTION("""COMPUTED_VALUE"""),"Large birds raised for food. Popular at Thanksgiving.")</f>
        <v>Large birds raised for food. Popular at Thanksgiving.</v>
      </c>
      <c r="C607" s="13" t="str">
        <f>IFERROR(__xludf.DUMMYFUNCTION("""COMPUTED_VALUE"""),"""xxhj"":{""label"":""Turkeys"",""extra"":""Large birds raised for food. Popular at Thanksgiving."",""sets"":""Junior 9+ (1st) &amp; (2nd)""},")</f>
        <v>"xxhj":{"label":"Turkeys","extra":"Large birds raised for food. Popular at Thanksgiving.","sets":"Junior 9+ (1st) &amp; (2nd)"},</v>
      </c>
    </row>
    <row r="608">
      <c r="A608" s="8" t="str">
        <f>IFERROR(__xludf.DUMMYFUNCTION("""COMPUTED_VALUE"""),"Turtles")</f>
        <v>Turtles</v>
      </c>
      <c r="B608" s="8" t="str">
        <f>IFERROR(__xludf.DUMMYFUNCTION("""COMPUTED_VALUE"""),"They pull their legs and heads inside their shells for safety.")</f>
        <v>They pull their legs and heads inside their shells for safety.</v>
      </c>
      <c r="C608" s="13" t="str">
        <f>IFERROR(__xludf.DUMMYFUNCTION("""COMPUTED_VALUE"""),"""fqyo"":{""label"":""Turtles"",""extra"":""They pull their legs and heads inside their shells for safety."",""sets"":""Junior""},")</f>
        <v>"fqyo":{"label":"Turtles","extra":"They pull their legs and heads inside their shells for safety.","sets":"Junior"},</v>
      </c>
    </row>
    <row r="609">
      <c r="A609" s="8" t="str">
        <f>IFERROR(__xludf.DUMMYFUNCTION("""COMPUTED_VALUE"""),"Umbrellas")</f>
        <v>Umbrellas</v>
      </c>
      <c r="B609" s="8" t="str">
        <f>IFERROR(__xludf.DUMMYFUNCTION("""COMPUTED_VALUE"""),"“Rain, rain, go away, come again another day.”")</f>
        <v>“Rain, rain, go away, come again another day.”</v>
      </c>
      <c r="C609" s="13" t="str">
        <f>IFERROR(__xludf.DUMMYFUNCTION("""COMPUTED_VALUE"""),"""pjfi"":{""label"":""Umbrellas"",""extra"":""“Rain, rain, go away, come again another day.”"",""sets"":""Junior 9+ (2nd)""},")</f>
        <v>"pjfi":{"label":"Umbrellas","extra":"“Rain, rain, go away, come again another day.”","sets":"Junior 9+ (2nd)"},</v>
      </c>
    </row>
    <row r="610">
      <c r="A610" s="8" t="str">
        <f>IFERROR(__xludf.DUMMYFUNCTION("""COMPUTED_VALUE"""),"Under My Bed")</f>
        <v>Under My Bed</v>
      </c>
      <c r="B610" s="8" t="str">
        <f>IFERROR(__xludf.DUMMYFUNCTION("""COMPUTED_VALUE"""),"A good place to hide, if it’s not too messy.")</f>
        <v>A good place to hide, if it’s not too messy.</v>
      </c>
      <c r="C610" s="13" t="str">
        <f>IFERROR(__xludf.DUMMYFUNCTION("""COMPUTED_VALUE"""),"""jygj"":{""label"":""Under My Bed"",""extra"":""A good place to hide, if it’s not too messy."",""sets"":""Junior""},")</f>
        <v>"jygj":{"label":"Under My Bed","extra":"A good place to hide, if it’s not too messy.","sets":"Junior"},</v>
      </c>
    </row>
    <row r="611">
      <c r="A611" s="8" t="str">
        <f>IFERROR(__xludf.DUMMYFUNCTION("""COMPUTED_VALUE"""),"Underwear")</f>
        <v>Underwear</v>
      </c>
      <c r="B611" s="8" t="str">
        <f>IFERROR(__xludf.DUMMYFUNCTION("""COMPUTED_VALUE"""),"Keep it clean!")</f>
        <v>Keep it clean!</v>
      </c>
      <c r="C611" s="13" t="str">
        <f>IFERROR(__xludf.DUMMYFUNCTION("""COMPUTED_VALUE"""),"""kbnp"":{""label"":""Underwear"",""extra"":""Keep it clean!"",""sets"":""Junior 9+ (2nd)""},")</f>
        <v>"kbnp":{"label":"Underwear","extra":"Keep it clean!","sets":"Junior 9+ (2nd)"},</v>
      </c>
    </row>
    <row r="612">
      <c r="A612" s="8" t="str">
        <f>IFERROR(__xludf.DUMMYFUNCTION("""COMPUTED_VALUE"""),"Unicorns")</f>
        <v>Unicorns</v>
      </c>
      <c r="B612" s="8" t="str">
        <f>IFERROR(__xludf.DUMMYFUNCTION("""COMPUTED_VALUE"""),"Imaginary horse-like animals. A long, pointed horn grown from the middle of their foreheads.")</f>
        <v>Imaginary horse-like animals. A long, pointed horn grown from the middle of their foreheads.</v>
      </c>
      <c r="C612" s="13" t="str">
        <f>IFERROR(__xludf.DUMMYFUNCTION("""COMPUTED_VALUE"""),"""ijev"":{""label"":""Unicorns"",""extra"":""Imaginary horse-like animals. A long, pointed horn grown from the middle of their foreheads."",""sets"":""Junior 9+ (1st) &amp; (2nd)""},")</f>
        <v>"ijev":{"label":"Unicorns","extra":"Imaginary horse-like animals. A long, pointed horn grown from the middle of their foreheads.","sets":"Junior 9+ (1st) &amp; (2nd)"},</v>
      </c>
    </row>
    <row r="613">
      <c r="A613" s="8" t="str">
        <f>IFERROR(__xludf.DUMMYFUNCTION("""COMPUTED_VALUE"""),"United States")</f>
        <v>United States</v>
      </c>
      <c r="B613" s="8" t="str">
        <f>IFERROR(__xludf.DUMMYFUNCTION("""COMPUTED_VALUE"""),"It's about 2,500 miles, from sea to shining sea.")</f>
        <v>It's about 2,500 miles, from sea to shining sea.</v>
      </c>
      <c r="C613" s="13" t="str">
        <f>IFERROR(__xludf.DUMMYFUNCTION("""COMPUTED_VALUE"""),"""mpyy"":{""label"":""United States"",""extra"":""It's about 2,500 miles, from sea to shining sea."",""sets"":""Junior 9+ (2nd)""},")</f>
        <v>"mpyy":{"label":"United States","extra":"It's about 2,500 miles, from sea to shining sea.","sets":"Junior 9+ (2nd)"},</v>
      </c>
    </row>
    <row r="614">
      <c r="A614" s="8" t="str">
        <f>IFERROR(__xludf.DUMMYFUNCTION("""COMPUTED_VALUE"""),"Vacuum Cleaners")</f>
        <v>Vacuum Cleaners</v>
      </c>
      <c r="B614" s="8" t="str">
        <f>IFERROR(__xludf.DUMMYFUNCTION("""COMPUTED_VALUE"""),"It’s a dirty job!")</f>
        <v>It’s a dirty job!</v>
      </c>
      <c r="C614" s="13" t="str">
        <f>IFERROR(__xludf.DUMMYFUNCTION("""COMPUTED_VALUE"""),"""szpt"":{""label"":""Vacuum Cleaners"",""extra"":""It’s a dirty job!"",""sets"":""Junior 9+ (2nd)""},")</f>
        <v>"szpt":{"label":"Vacuum Cleaners","extra":"It’s a dirty job!","sets":"Junior 9+ (2nd)"},</v>
      </c>
    </row>
    <row r="615">
      <c r="A615" s="8" t="str">
        <f>IFERROR(__xludf.DUMMYFUNCTION("""COMPUTED_VALUE"""),"Valentine's Day")</f>
        <v>Valentine's Day</v>
      </c>
      <c r="B615" s="8" t="str">
        <f>IFERROR(__xludf.DUMMYFUNCTION("""COMPUTED_VALUE"""),"Will you be my Valentine?")</f>
        <v>Will you be my Valentine?</v>
      </c>
      <c r="C615" s="13" t="str">
        <f>IFERROR(__xludf.DUMMYFUNCTION("""COMPUTED_VALUE"""),"""rtvk"":{""label"":""Valentine's Day"",""extra"":""Will you be my Valentine?"",""sets"":""Junior 9+ (1st) &amp; (2nd)""},")</f>
        <v>"rtvk":{"label":"Valentine's Day","extra":"Will you be my Valentine?","sets":"Junior 9+ (1st) &amp; (2nd)"},</v>
      </c>
    </row>
    <row r="616">
      <c r="A616" s="8" t="str">
        <f>IFERROR(__xludf.DUMMYFUNCTION("""COMPUTED_VALUE"""),"Vanilla Pudding")</f>
        <v>Vanilla Pudding</v>
      </c>
      <c r="B616" s="8" t="str">
        <f>IFERROR(__xludf.DUMMYFUNCTION("""COMPUTED_VALUE"""),"Now available frozen, on a stick.")</f>
        <v>Now available frozen, on a stick.</v>
      </c>
      <c r="C616" s="13" t="str">
        <f>IFERROR(__xludf.DUMMYFUNCTION("""COMPUTED_VALUE"""),"""cblo"":{""label"":""Vanilla Pudding"",""extra"":""Now available frozen, on a stick."",""sets"":""Junior 9+ (1st) &amp; (2nd)""},")</f>
        <v>"cblo":{"label":"Vanilla Pudding","extra":"Now available frozen, on a stick.","sets":"Junior 9+ (1st) &amp; (2nd)"},</v>
      </c>
    </row>
    <row r="617">
      <c r="A617" s="8" t="str">
        <f>IFERROR(__xludf.DUMMYFUNCTION("""COMPUTED_VALUE"""),"Video Games")</f>
        <v>Video Games</v>
      </c>
      <c r="B617" s="8" t="str">
        <f>IFERROR(__xludf.DUMMYFUNCTION("""COMPUTED_VALUE"""),"I told you ten hours a day was too much!")</f>
        <v>I told you ten hours a day was too much!</v>
      </c>
      <c r="C617" s="13" t="str">
        <f>IFERROR(__xludf.DUMMYFUNCTION("""COMPUTED_VALUE"""),"""smcr"":{""label"":""Video Games"",""extra"":""I told you ten hours a day was too much!"",""sets"":""Junior 9+ (1st) &amp; (2nd)""},")</f>
        <v>"smcr":{"label":"Video Games","extra":"I told you ten hours a day was too much!","sets":"Junior 9+ (1st) &amp; (2nd)"},</v>
      </c>
    </row>
    <row r="618">
      <c r="A618" s="8" t="str">
        <f>IFERROR(__xludf.DUMMYFUNCTION("""COMPUTED_VALUE"""),"Volleyball")</f>
        <v>Volleyball</v>
      </c>
      <c r="B618" s="8" t="str">
        <f>IFERROR(__xludf.DUMMYFUNCTION("""COMPUTED_VALUE"""),"Spike it!")</f>
        <v>Spike it!</v>
      </c>
      <c r="C618" s="13" t="str">
        <f>IFERROR(__xludf.DUMMYFUNCTION("""COMPUTED_VALUE"""),"""rfds"":{""label"":""Volleyball"",""extra"":""Spike it!"",""sets"":""Junior 9+ (1st) &amp; (2nd)""},")</f>
        <v>"rfds":{"label":"Volleyball","extra":"Spike it!","sets":"Junior 9+ (1st) &amp; (2nd)"},</v>
      </c>
    </row>
    <row r="619">
      <c r="A619" s="8" t="str">
        <f>IFERROR(__xludf.DUMMYFUNCTION("""COMPUTED_VALUE"""),"Waffles")</f>
        <v>Waffles</v>
      </c>
      <c r="B619" s="8" t="str">
        <f>IFERROR(__xludf.DUMMYFUNCTION("""COMPUTED_VALUE"""),"Like pancakes with built-in syrup cups.")</f>
        <v>Like pancakes with built-in syrup cups.</v>
      </c>
      <c r="C619" s="13" t="str">
        <f>IFERROR(__xludf.DUMMYFUNCTION("""COMPUTED_VALUE"""),"""mdzn"":{""label"":""Waffles"",""extra"":""Like pancakes with built-in syrup cups."",""sets"":""Junior 9+ (2nd)""},")</f>
        <v>"mdzn":{"label":"Waffles","extra":"Like pancakes with built-in syrup cups.","sets":"Junior 9+ (2nd)"},</v>
      </c>
    </row>
    <row r="620">
      <c r="A620" s="8" t="str">
        <f>IFERROR(__xludf.DUMMYFUNCTION("""COMPUTED_VALUE"""),"Walking The Dog")</f>
        <v>Walking The Dog</v>
      </c>
      <c r="B620" s="8" t="str">
        <f>IFERROR(__xludf.DUMMYFUNCTION("""COMPUTED_VALUE"""),"It's good exercise.")</f>
        <v>It's good exercise.</v>
      </c>
      <c r="C620" s="13" t="str">
        <f>IFERROR(__xludf.DUMMYFUNCTION("""COMPUTED_VALUE"""),"""ihwh"":{""label"":""Walking The Dog"",""extra"":""It's good exercise."",""sets"":""Junior 9+ (1st) &amp; (2nd)""},")</f>
        <v>"ihwh":{"label":"Walking The Dog","extra":"It's good exercise.","sets":"Junior 9+ (1st) &amp; (2nd)"},</v>
      </c>
    </row>
    <row r="621">
      <c r="A621" s="8" t="str">
        <f>IFERROR(__xludf.DUMMYFUNCTION("""COMPUTED_VALUE"""),"Warts")</f>
        <v>Warts</v>
      </c>
      <c r="B621" s="8" t="str">
        <f>IFERROR(__xludf.DUMMYFUNCTION("""COMPUTED_VALUE"""),"Small, hard lumps that grow on the skin. Anyone can get them, not just witches.")</f>
        <v>Small, hard lumps that grow on the skin. Anyone can get them, not just witches.</v>
      </c>
      <c r="C621" s="13" t="str">
        <f>IFERROR(__xludf.DUMMYFUNCTION("""COMPUTED_VALUE"""),"""{xfm"":{""label"":""Warts"",""extra"":""Small, hard lumps that grow on the skin. Anyone can get them, not just witches."",""sets"":""Junior 9+ (1st) &amp; (2nd)""},")</f>
        <v>"{xfm":{"label":"Warts","extra":"Small, hard lumps that grow on the skin. Anyone can get them, not just witches.","sets":"Junior 9+ (1st) &amp; (2nd)"},</v>
      </c>
    </row>
    <row r="622">
      <c r="A622" s="8" t="str">
        <f>IFERROR(__xludf.DUMMYFUNCTION("""COMPUTED_VALUE"""),"Washington, DC")</f>
        <v>Washington, DC</v>
      </c>
      <c r="B622" s="8" t="str">
        <f>IFERROR(__xludf.DUMMYFUNCTION("""COMPUTED_VALUE"""),"City named after George Washington, it's the capital of the United States.")</f>
        <v>City named after George Washington, it's the capital of the United States.</v>
      </c>
      <c r="C622" s="13" t="str">
        <f>IFERROR(__xludf.DUMMYFUNCTION("""COMPUTED_VALUE"""),"""domd"":{""label"":""Washington, DC"",""extra"":""City named after George Washington, it's the capital of the United States."",""sets"":""Junior 9+ (2nd)""},")</f>
        <v>"domd":{"label":"Washington, DC","extra":"City named after George Washington, it's the capital of the United States.","sets":"Junior 9+ (2nd)"},</v>
      </c>
    </row>
    <row r="623">
      <c r="A623" s="8" t="str">
        <f>IFERROR(__xludf.DUMMYFUNCTION("""COMPUTED_VALUE"""),"Watching Cartoons")</f>
        <v>Watching Cartoons</v>
      </c>
      <c r="B623" s="8" t="str">
        <f>IFERROR(__xludf.DUMMYFUNCTION("""COMPUTED_VALUE"""),"Not just for kids.")</f>
        <v>Not just for kids.</v>
      </c>
      <c r="C623" s="13" t="str">
        <f>IFERROR(__xludf.DUMMYFUNCTION("""COMPUTED_VALUE"""),"""vbnz"":{""label"":""Watching Cartoons"",""extra"":""Not just for kids."",""sets"":""Junior 9+ (2nd)""},")</f>
        <v>"vbnz":{"label":"Watching Cartoons","extra":"Not just for kids.","sets":"Junior 9+ (2nd)"},</v>
      </c>
    </row>
    <row r="624">
      <c r="A624" s="8" t="str">
        <f>IFERROR(__xludf.DUMMYFUNCTION("""COMPUTED_VALUE"""),"Watching Football")</f>
        <v>Watching Football</v>
      </c>
      <c r="B624" s="8" t="str">
        <f>IFERROR(__xludf.DUMMYFUNCTION("""COMPUTED_VALUE"""),"Isn't it more fun to PLAY football?")</f>
        <v>Isn't it more fun to PLAY football?</v>
      </c>
      <c r="C624" s="13" t="str">
        <f>IFERROR(__xludf.DUMMYFUNCTION("""COMPUTED_VALUE"""),"""qqhw"":{""label"":""Watching Football"",""extra"":""Isn't it more fun to PLAY football?"",""sets"":""Junior 9+ (1st) &amp; (2nd)""},")</f>
        <v>"qqhw":{"label":"Watching Football","extra":"Isn't it more fun to PLAY football?","sets":"Junior 9+ (1st) &amp; (2nd)"},</v>
      </c>
    </row>
    <row r="625">
      <c r="A625" s="8" t="str">
        <f>IFERROR(__xludf.DUMMYFUNCTION("""COMPUTED_VALUE"""),"Watching TV")</f>
        <v>Watching TV</v>
      </c>
      <c r="B625" s="8" t="str">
        <f>IFERROR(__xludf.DUMMYFUNCTION("""COMPUTED_VALUE"""),"Cartoons and commercials, movies, commercials, shows, commercials, sports, and commercials.")</f>
        <v>Cartoons and commercials, movies, commercials, shows, commercials, sports, and commercials.</v>
      </c>
      <c r="C625" s="13" t="str">
        <f>IFERROR(__xludf.DUMMYFUNCTION("""COMPUTED_VALUE"""),"""waix"":{""label"":""Watching TV"",""extra"":""Cartoons and commercials, movies, commercials, shows, commercials, sports, and commercials."",""sets"":""Junior""},")</f>
        <v>"waix":{"label":"Watching TV","extra":"Cartoons and commercials, movies, commercials, shows, commercials, sports, and commercials.","sets":"Junior"},</v>
      </c>
    </row>
    <row r="626">
      <c r="A626" s="8" t="str">
        <f>IFERROR(__xludf.DUMMYFUNCTION("""COMPUTED_VALUE"""),"Water")</f>
        <v>Water</v>
      </c>
      <c r="B626" s="8" t="str">
        <f>IFERROR(__xludf.DUMMYFUNCTION("""COMPUTED_VALUE"""),"Pure water has no color, taste or smell. So, if it smells funny, don't drink it.")</f>
        <v>Pure water has no color, taste or smell. So, if it smells funny, don't drink it.</v>
      </c>
      <c r="C626" s="13" t="str">
        <f>IFERROR(__xludf.DUMMYFUNCTION("""COMPUTED_VALUE"""),"""fiax"":{""label"":""Water"",""extra"":""Pure water has no color, taste or smell. So, if it smells funny, don't drink it."",""sets"":""Junior 9+ (1st) &amp; (2nd)""},")</f>
        <v>"fiax":{"label":"Water","extra":"Pure water has no color, taste or smell. So, if it smells funny, don't drink it.","sets":"Junior 9+ (1st) &amp; (2nd)"},</v>
      </c>
    </row>
    <row r="627">
      <c r="A627" s="8" t="str">
        <f>IFERROR(__xludf.DUMMYFUNCTION("""COMPUTED_VALUE"""),"Water Baloons")</f>
        <v>Water Baloons</v>
      </c>
      <c r="B627" s="8" t="str">
        <f>IFERROR(__xludf.DUMMYFUNCTION("""COMPUTED_VALUE"""),"I'll fill them and you tie them.")</f>
        <v>I'll fill them and you tie them.</v>
      </c>
      <c r="C627" s="13" t="str">
        <f>IFERROR(__xludf.DUMMYFUNCTION("""COMPUTED_VALUE"""),"""xmot"":{""label"":""Water Baloons"",""extra"":""I'll fill them and you tie them."",""sets"":""Junior 9+ (2nd)""},")</f>
        <v>"xmot":{"label":"Water Baloons","extra":"I'll fill them and you tie them.","sets":"Junior 9+ (2nd)"},</v>
      </c>
    </row>
    <row r="628">
      <c r="A628" s="8" t="str">
        <f>IFERROR(__xludf.DUMMYFUNCTION("""COMPUTED_VALUE"""),"Water Guns")</f>
        <v>Water Guns</v>
      </c>
      <c r="B628" s="8" t="str">
        <f>IFERROR(__xludf.DUMMYFUNCTION("""COMPUTED_VALUE"""),"Don't take them to school!")</f>
        <v>Don't take them to school!</v>
      </c>
      <c r="C628" s="13" t="str">
        <f>IFERROR(__xludf.DUMMYFUNCTION("""COMPUTED_VALUE"""),"""jduf"":{""label"":""Water Guns"",""extra"":""Don't take them to school!"",""sets"":""Junior 9+ (1st) &amp; (2nd)""},")</f>
        <v>"jduf":{"label":"Water Guns","extra":"Don't take them to school!","sets":"Junior 9+ (1st) &amp; (2nd)"},</v>
      </c>
    </row>
    <row r="629">
      <c r="A629" s="8" t="str">
        <f>IFERROR(__xludf.DUMMYFUNCTION("""COMPUTED_VALUE"""),"Water Skiing")</f>
        <v>Water Skiing</v>
      </c>
      <c r="B629" s="8" t="str">
        <f>IFERROR(__xludf.DUMMYFUNCTION("""COMPUTED_VALUE"""),"Try it on one ski.")</f>
        <v>Try it on one ski.</v>
      </c>
      <c r="C629" s="13" t="str">
        <f>IFERROR(__xludf.DUMMYFUNCTION("""COMPUTED_VALUE"""),"""qvfq"":{""label"":""Water Skiing"",""extra"":""Try it on one ski."",""sets"":""Junior 9+ (1st) &amp; (2nd)""},")</f>
        <v>"qvfq":{"label":"Water Skiing","extra":"Try it on one ski.","sets":"Junior 9+ (1st) &amp; (2nd)"},</v>
      </c>
    </row>
    <row r="630">
      <c r="A630" s="8" t="str">
        <f>IFERROR(__xludf.DUMMYFUNCTION("""COMPUTED_VALUE"""),"Waterfalls")</f>
        <v>Waterfalls</v>
      </c>
      <c r="B630" s="8" t="str">
        <f>IFERROR(__xludf.DUMMYFUNCTION("""COMPUTED_VALUE"""),"Water flowing from a cliff or other high place. Niagara Falls is over 160 feet high!")</f>
        <v>Water flowing from a cliff or other high place. Niagara Falls is over 160 feet high!</v>
      </c>
      <c r="C630" s="13" t="str">
        <f>IFERROR(__xludf.DUMMYFUNCTION("""COMPUTED_VALUE"""),"""nndy"":{""label"":""Waterfalls"",""extra"":""Water flowing from a cliff or other high place. Niagara Falls is over 160 feet high!"",""sets"":""Junior""},")</f>
        <v>"nndy":{"label":"Waterfalls","extra":"Water flowing from a cliff or other high place. Niagara Falls is over 160 feet high!","sets":"Junior"},</v>
      </c>
    </row>
    <row r="631">
      <c r="A631" s="8" t="str">
        <f>IFERROR(__xludf.DUMMYFUNCTION("""COMPUTED_VALUE"""),"Watermelon")</f>
        <v>Watermelon</v>
      </c>
      <c r="B631" s="8" t="str">
        <f>IFERROR(__xludf.DUMMYFUNCTION("""COMPUTED_VALUE"""),"How far can you spit the seeds?")</f>
        <v>How far can you spit the seeds?</v>
      </c>
      <c r="C631" s="13" t="str">
        <f>IFERROR(__xludf.DUMMYFUNCTION("""COMPUTED_VALUE"""),"""cbey"":{""label"":""Watermelon"",""extra"":""How far can you spit the seeds?"",""sets"":""Junior""},")</f>
        <v>"cbey":{"label":"Watermelon","extra":"How far can you spit the seeds?","sets":"Junior"},</v>
      </c>
    </row>
    <row r="632">
      <c r="A632" s="8" t="str">
        <f>IFERROR(__xludf.DUMMYFUNCTION("""COMPUTED_VALUE"""),"Waterparks")</f>
        <v>Waterparks</v>
      </c>
      <c r="B632" s="8" t="str">
        <f>IFERROR(__xludf.DUMMYFUNCTION("""COMPUTED_VALUE"""),"Wet and wild!")</f>
        <v>Wet and wild!</v>
      </c>
      <c r="C632" s="13" t="str">
        <f>IFERROR(__xludf.DUMMYFUNCTION("""COMPUTED_VALUE"""),"""fshg"":{""label"":""Waterparks"",""extra"":""Wet and wild!"",""sets"":""Junior 9+ (1st) &amp; (2nd)""},")</f>
        <v>"fshg":{"label":"Waterparks","extra":"Wet and wild!","sets":"Junior 9+ (1st) &amp; (2nd)"},</v>
      </c>
    </row>
    <row r="633">
      <c r="A633" s="8" t="str">
        <f>IFERROR(__xludf.DUMMYFUNCTION("""COMPUTED_VALUE"""),"Weddings")</f>
        <v>Weddings</v>
      </c>
      <c r="B633" s="8" t="str">
        <f>IFERROR(__xludf.DUMMYFUNCTION("""COMPUTED_VALUE"""),"Here comes the bride!")</f>
        <v>Here comes the bride!</v>
      </c>
      <c r="C633" s="13" t="str">
        <f>IFERROR(__xludf.DUMMYFUNCTION("""COMPUTED_VALUE"""),"""dzme"":{""label"":""Weddings"",""extra"":""Here comes the bride!"",""sets"":""Junior""},")</f>
        <v>"dzme":{"label":"Weddings","extra":"Here comes the bride!","sets":"Junior"},</v>
      </c>
    </row>
    <row r="634">
      <c r="A634" s="8" t="str">
        <f>IFERROR(__xludf.DUMMYFUNCTION("""COMPUTED_VALUE"""),"Whales")</f>
        <v>Whales</v>
      </c>
      <c r="B634" s="8" t="str">
        <f>IFERROR(__xludf.DUMMYFUNCTION("""COMPUTED_VALUE"""),"Very large animals that live in oceans. They squirt water from a blowhole.")</f>
        <v>Very large animals that live in oceans. They squirt water from a blowhole.</v>
      </c>
      <c r="C634" s="13" t="str">
        <f>IFERROR(__xludf.DUMMYFUNCTION("""COMPUTED_VALUE"""),"""wymx"":{""label"":""Whales"",""extra"":""Very large animals that live in oceans. They squirt water from a blowhole."",""sets"":""Junior""},")</f>
        <v>"wymx":{"label":"Whales","extra":"Very large animals that live in oceans. They squirt water from a blowhole.","sets":"Junior"},</v>
      </c>
    </row>
    <row r="635">
      <c r="A635" s="8" t="str">
        <f>IFERROR(__xludf.DUMMYFUNCTION("""COMPUTED_VALUE"""),"Whipped Cream")</f>
        <v>Whipped Cream</v>
      </c>
      <c r="B635" s="8" t="str">
        <f>IFERROR(__xludf.DUMMYFUNCTION("""COMPUTED_VALUE"""),"Sweet and fluffy!")</f>
        <v>Sweet and fluffy!</v>
      </c>
      <c r="C635" s="13" t="str">
        <f>IFERROR(__xludf.DUMMYFUNCTION("""COMPUTED_VALUE"""),"""xmje"":{""label"":""Whipped Cream"",""extra"":""Sweet and fluffy!"",""sets"":""Junior 9+ (1st) &amp; (2nd)""},")</f>
        <v>"xmje":{"label":"Whipped Cream","extra":"Sweet and fluffy!","sets":"Junior 9+ (1st) &amp; (2nd)"},</v>
      </c>
    </row>
    <row r="636">
      <c r="A636" s="8" t="str">
        <f>IFERROR(__xludf.DUMMYFUNCTION("""COMPUTED_VALUE"""),"White Bread")</f>
        <v>White Bread</v>
      </c>
      <c r="B636" s="8" t="str">
        <f>IFERROR(__xludf.DUMMYFUNCTION("""COMPUTED_VALUE"""),"Plain and simple.")</f>
        <v>Plain and simple.</v>
      </c>
      <c r="C636" s="13" t="str">
        <f>IFERROR(__xludf.DUMMYFUNCTION("""COMPUTED_VALUE"""),"""nzwz"":{""label"":""White Bread"",""extra"":""Plain and simple."",""sets"":""Junior 9+ (2nd)""},")</f>
        <v>"nzwz":{"label":"White Bread","extra":"Plain and simple.","sets":"Junior 9+ (2nd)"},</v>
      </c>
    </row>
    <row r="637">
      <c r="A637" s="8" t="str">
        <f>IFERROR(__xludf.DUMMYFUNCTION("""COMPUTED_VALUE"""),"Winnie The Pooh")</f>
        <v>Winnie The Pooh</v>
      </c>
      <c r="B637" s="8" t="str">
        <f>IFERROR(__xludf.DUMMYFUNCTION("""COMPUTED_VALUE"""),"There's never enough honey for Pooh Bear!")</f>
        <v>There's never enough honey for Pooh Bear!</v>
      </c>
      <c r="C637" s="13" t="str">
        <f>IFERROR(__xludf.DUMMYFUNCTION("""COMPUTED_VALUE"""),"""{kjk"":{""label"":""Winnie The Pooh"",""extra"":""There's never enough honey for Pooh Bear!"",""sets"":""Junior""},")</f>
        <v>"{kjk":{"label":"Winnie The Pooh","extra":"There's never enough honey for Pooh Bear!","sets":"Junior"},</v>
      </c>
    </row>
    <row r="638">
      <c r="A638" s="8" t="str">
        <f>IFERROR(__xludf.DUMMYFUNCTION("""COMPUTED_VALUE"""),"Winning A Trophy")</f>
        <v>Winning A Trophy</v>
      </c>
      <c r="B638" s="8" t="str">
        <f>IFERROR(__xludf.DUMMYFUNCTION("""COMPUTED_VALUE"""),"Congratulations!")</f>
        <v>Congratulations!</v>
      </c>
      <c r="C638" s="13" t="str">
        <f>IFERROR(__xludf.DUMMYFUNCTION("""COMPUTED_VALUE"""),"""aizt"":{""label"":""Winning A Trophy"",""extra"":""Congratulations!"",""sets"":""Junior 9+ (1st) &amp; (2nd)""},")</f>
        <v>"aizt":{"label":"Winning A Trophy","extra":"Congratulations!","sets":"Junior 9+ (1st) &amp; (2nd)"},</v>
      </c>
    </row>
    <row r="639">
      <c r="A639" s="8" t="str">
        <f>IFERROR(__xludf.DUMMYFUNCTION("""COMPUTED_VALUE"""),"Winter")</f>
        <v>Winter</v>
      </c>
      <c r="B639" s="8" t="str">
        <f>IFERROR(__xludf.DUMMYFUNCTION("""COMPUTED_VALUE"""),"The coldest season of the year.")</f>
        <v>The coldest season of the year.</v>
      </c>
      <c r="C639" s="13" t="str">
        <f>IFERROR(__xludf.DUMMYFUNCTION("""COMPUTED_VALUE"""),"""cjed"":{""label"":""Winter"",""extra"":""The coldest season of the year."",""sets"":""Junior 9+ (1st) &amp; (2nd)""},")</f>
        <v>"cjed":{"label":"Winter","extra":"The coldest season of the year.","sets":"Junior 9+ (1st) &amp; (2nd)"},</v>
      </c>
    </row>
    <row r="640">
      <c r="A640" s="8" t="str">
        <f>IFERROR(__xludf.DUMMYFUNCTION("""COMPUTED_VALUE"""),"Wishbone")</f>
        <v>Wishbone</v>
      </c>
      <c r="B640" s="8" t="str">
        <f>IFERROR(__xludf.DUMMYFUNCTION("""COMPUTED_VALUE"""),"Star of television and over 50 books. Wishbone is a Jack Russell terrier.")</f>
        <v>Star of television and over 50 books. Wishbone is a Jack Russell terrier.</v>
      </c>
      <c r="C640" s="13" t="str">
        <f>IFERROR(__xludf.DUMMYFUNCTION("""COMPUTED_VALUE"""),"""lepk"":{""label"":""Wishbone"",""extra"":""Star of television and over 50 books. Wishbone is a Jack Russell terrier."",""sets"":""Junior 9+ (1st) &amp; (2nd)""},")</f>
        <v>"lepk":{"label":"Wishbone","extra":"Star of television and over 50 books. Wishbone is a Jack Russell terrier.","sets":"Junior 9+ (1st) &amp; (2nd)"},</v>
      </c>
    </row>
    <row r="641">
      <c r="A641" s="8" t="str">
        <f>IFERROR(__xludf.DUMMYFUNCTION("""COMPUTED_VALUE"""),"Witches")</f>
        <v>Witches</v>
      </c>
      <c r="B641" s="8" t="str">
        <f>IFERROR(__xludf.DUMMYFUNCTION("""COMPUTED_VALUE"""),"They are famous for their pointy noses, black hats and broomsticks.")</f>
        <v>They are famous for their pointy noses, black hats and broomsticks.</v>
      </c>
      <c r="C641" s="13" t="str">
        <f>IFERROR(__xludf.DUMMYFUNCTION("""COMPUTED_VALUE"""),"""tjnt"":{""label"":""Witches"",""extra"":""They are famous for their pointy noses, black hats and broomsticks."",""sets"":""Junior""},")</f>
        <v>"tjnt":{"label":"Witches","extra":"They are famous for their pointy noses, black hats and broomsticks.","sets":"Junior"},</v>
      </c>
    </row>
    <row r="642">
      <c r="A642" s="8" t="str">
        <f>IFERROR(__xludf.DUMMYFUNCTION("""COMPUTED_VALUE"""),"Woodpeckers")</f>
        <v>Woodpeckers</v>
      </c>
      <c r="B642" s="8" t="str">
        <f>IFERROR(__xludf.DUMMYFUNCTION("""COMPUTED_VALUE"""),"They find insects to eat by pecking holes in wood with their beaks.")</f>
        <v>They find insects to eat by pecking holes in wood with their beaks.</v>
      </c>
      <c r="C642" s="13" t="str">
        <f>IFERROR(__xludf.DUMMYFUNCTION("""COMPUTED_VALUE"""),"""zide"":{""label"":""Woodpeckers"",""extra"":""They find insects to eat by pecking holes in wood with their beaks."",""sets"":""Junior 9+ (2nd)""},")</f>
        <v>"zide":{"label":"Woodpeckers","extra":"They find insects to eat by pecking holes in wood with their beaks.","sets":"Junior 9+ (2nd)"},</v>
      </c>
    </row>
    <row r="643">
      <c r="A643" s="8" t="str">
        <f>IFERROR(__xludf.DUMMYFUNCTION("""COMPUTED_VALUE"""),"Woolly Mammoth")</f>
        <v>Woolly Mammoth</v>
      </c>
      <c r="B643" s="8" t="str">
        <f>IFERROR(__xludf.DUMMYFUNCTION("""COMPUTED_VALUE"""),"These large hairy elephants are now extinct.")</f>
        <v>These large hairy elephants are now extinct.</v>
      </c>
      <c r="C643" s="13" t="str">
        <f>IFERROR(__xludf.DUMMYFUNCTION("""COMPUTED_VALUE"""),"""dnui"":{""label"":""Woolly Mammoth"",""extra"":""These large hairy elephants are now extinct."",""sets"":""Junior 9+ (2nd)""},")</f>
        <v>"dnui":{"label":"Woolly Mammoth","extra":"These large hairy elephants are now extinct.","sets":"Junior 9+ (2nd)"},</v>
      </c>
    </row>
    <row r="644">
      <c r="A644" s="8" t="str">
        <f>IFERROR(__xludf.DUMMYFUNCTION("""COMPUTED_VALUE"""),"Worms")</f>
        <v>Worms</v>
      </c>
      <c r="B644" s="8" t="str">
        <f>IFERROR(__xludf.DUMMYFUNCTION("""COMPUTED_VALUE"""),"A favorite food of robins.")</f>
        <v>A favorite food of robins.</v>
      </c>
      <c r="C644" s="13" t="str">
        <f>IFERROR(__xludf.DUMMYFUNCTION("""COMPUTED_VALUE"""),"""emvz"":{""label"":""Worms"",""extra"":""A favorite food of robins."",""sets"":""Junior""},")</f>
        <v>"emvz":{"label":"Worms","extra":"A favorite food of robins.","sets":"Junior"},</v>
      </c>
    </row>
    <row r="645">
      <c r="A645" s="8" t="str">
        <f>IFERROR(__xludf.DUMMYFUNCTION("""COMPUTED_VALUE"""),"Wrestling")</f>
        <v>Wrestling</v>
      </c>
      <c r="B645" s="8" t="str">
        <f>IFERROR(__xludf.DUMMYFUNCTION("""COMPUTED_VALUE"""),"A sport where two people try to force each other to the ground. No hitting allowed.")</f>
        <v>A sport where two people try to force each other to the ground. No hitting allowed.</v>
      </c>
      <c r="C645" s="13" t="str">
        <f>IFERROR(__xludf.DUMMYFUNCTION("""COMPUTED_VALUE"""),"""zpfi"":{""label"":""Wrestling"",""extra"":""A sport where two people try to force each other to the ground. No hitting allowed."",""sets"":""Junior 9+ (1st) &amp; (2nd)""},")</f>
        <v>"zpfi":{"label":"Wrestling","extra":"A sport where two people try to force each other to the ground. No hitting allowed.","sets":"Junior 9+ (1st) &amp; (2nd)"},</v>
      </c>
    </row>
    <row r="646">
      <c r="A646" s="8" t="str">
        <f>IFERROR(__xludf.DUMMYFUNCTION("""COMPUTED_VALUE"""),"Writing A Letter")</f>
        <v>Writing A Letter</v>
      </c>
      <c r="B646" s="8" t="str">
        <f>IFERROR(__xludf.DUMMYFUNCTION("""COMPUTED_VALUE"""),"Dear Mom, How are you? I am fine.")</f>
        <v>Dear Mom, How are you? I am fine.</v>
      </c>
      <c r="C646" s="13" t="str">
        <f>IFERROR(__xludf.DUMMYFUNCTION("""COMPUTED_VALUE"""),"""junw"":{""label"":""Writing A Letter"",""extra"":""Dear Mom, How are you? I am fine."",""sets"":""Junior 9+ (1st) &amp; (2nd)""},")</f>
        <v>"junw":{"label":"Writing A Letter","extra":"Dear Mom, How are you? I am fine.","sets":"Junior 9+ (1st) &amp; (2nd)"},</v>
      </c>
    </row>
    <row r="647">
      <c r="A647" s="8" t="str">
        <f>IFERROR(__xludf.DUMMYFUNCTION("""COMPUTED_VALUE"""),"Yo-Yos")</f>
        <v>Yo-Yos</v>
      </c>
      <c r="B647" s="8" t="str">
        <f>IFERROR(__xludf.DUMMYFUNCTION("""COMPUTED_VALUE"""),"There are lots of tricks that you can do with a yo-yo.")</f>
        <v>There are lots of tricks that you can do with a yo-yo.</v>
      </c>
      <c r="C647" s="13" t="str">
        <f>IFERROR(__xludf.DUMMYFUNCTION("""COMPUTED_VALUE"""),"""gqkv"":{""label"":""Yo-Yos"",""extra"":""There are lots of tricks that you can do with a yo-yo."",""sets"":""Junior""},")</f>
        <v>"gqkv":{"label":"Yo-Yos","extra":"There are lots of tricks that you can do with a yo-yo.","sets":"Junior"},</v>
      </c>
    </row>
    <row r="648">
      <c r="A648" s="8" t="str">
        <f>IFERROR(__xludf.DUMMYFUNCTION("""COMPUTED_VALUE"""),"Zebras")</f>
        <v>Zebras</v>
      </c>
      <c r="B648" s="8" t="str">
        <f>IFERROR(__xludf.DUMMYFUNCTION("""COMPUTED_VALUE"""),"The stripes on each zebra are in a slightly different pattern.")</f>
        <v>The stripes on each zebra are in a slightly different pattern.</v>
      </c>
      <c r="C648" s="13" t="str">
        <f>IFERROR(__xludf.DUMMYFUNCTION("""COMPUTED_VALUE"""),"""mxcz"":{""label"":""Zebras"",""extra"":""The stripes on each zebra are in a slightly different pattern."",""sets"":""Junior 9+ (2nd)""},")</f>
        <v>"mxcz":{"label":"Zebras","extra":"The stripes on each zebra are in a slightly different pattern.","sets":"Junior 9+ (2nd)"},</v>
      </c>
    </row>
    <row r="649">
      <c r="A649" s="8" t="str">
        <f>IFERROR(__xludf.DUMMYFUNCTION("""COMPUTED_VALUE"""),"Zippers")</f>
        <v>Zippers</v>
      </c>
      <c r="B649" s="8" t="str">
        <f>IFERROR(__xludf.DUMMYFUNCTION("""COMPUTED_VALUE"""),"Faster than buttons.")</f>
        <v>Faster than buttons.</v>
      </c>
      <c r="C649" s="13" t="str">
        <f>IFERROR(__xludf.DUMMYFUNCTION("""COMPUTED_VALUE"""),"""qhit"":{""label"":""Zippers"",""extra"":""Faster than buttons."",""sets"":""Junior 9+ (2nd)""},")</f>
        <v>"qhit":{"label":"Zippers","extra":"Faster than buttons.","sets":"Junior 9+ (2nd)"},</v>
      </c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